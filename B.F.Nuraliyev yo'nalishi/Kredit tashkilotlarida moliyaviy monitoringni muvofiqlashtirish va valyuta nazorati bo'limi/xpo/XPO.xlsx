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hp\Desktop\XPO New folder\"/>
    </mc:Choice>
  </mc:AlternateContent>
  <xr:revisionPtr revIDLastSave="0" documentId="13_ncr:1_{F9181C8F-D72A-4A2C-8437-1E260C42E4C2}" xr6:coauthVersionLast="47" xr6:coauthVersionMax="47" xr10:uidLastSave="{00000000-0000-0000-0000-000000000000}"/>
  <bookViews>
    <workbookView xWindow="-108" yWindow="-108" windowWidth="23256" windowHeight="12456" firstSheet="5" activeTab="6" xr2:uid="{00000000-000D-0000-FFFF-FFFF00000000}"/>
  </bookViews>
  <sheets>
    <sheet name="ХПУ тури" sheetId="2" r:id="rId1"/>
    <sheet name="Банк кесими" sheetId="3" r:id="rId2"/>
    <sheet name="ҳудуд кесими" sheetId="5" r:id="rId3"/>
    <sheet name="филиал кес." sheetId="6" r:id="rId4"/>
    <sheet name="валюта кес." sheetId="7" r:id="rId5"/>
    <sheet name="давлатлар кес." sheetId="9" r:id="rId6"/>
    <sheet name="топ банк филиал" sheetId="11" r:id="rId7"/>
    <sheet name="топ давлатлар" sheetId="10" r:id="rId8"/>
    <sheet name="норезидент" sheetId="13" r:id="rId9"/>
    <sheet name="ойлар кес." sheetId="16" r:id="rId10"/>
    <sheet name="тоифа " sheetId="19" r:id="rId11"/>
    <sheet name="Валюта градация" sheetId="21" r:id="rId12"/>
  </sheets>
  <externalReferences>
    <externalReference r:id="rId13"/>
  </externalReferences>
  <definedNames>
    <definedName name="_xlnm._FilterDatabase" localSheetId="1" hidden="1">'Банк кесими'!$B$4:$X$22</definedName>
    <definedName name="_xlnm._FilterDatabase" localSheetId="5" hidden="1">'давлатлар кес.'!$A$4:$M$166</definedName>
    <definedName name="_xlnm._FilterDatabase" localSheetId="10" hidden="1">'тоифа '!$A$5:$K$132</definedName>
    <definedName name="_xlnm._FilterDatabase" localSheetId="6" hidden="1">'топ банк филиал'!$A$4:$X$23</definedName>
    <definedName name="_xlnm._FilterDatabase" localSheetId="7" hidden="1">'топ давлатлар'!$A$4:$N$12</definedName>
    <definedName name="_xlnm._FilterDatabase" localSheetId="3" hidden="1">'филиал кес.'!$A$4:$W$124</definedName>
    <definedName name="_xlnm._FilterDatabase" localSheetId="0" hidden="1">'ХПУ тури'!$A$4:$W$4</definedName>
    <definedName name="_xlnm._FilterDatabase" localSheetId="2" hidden="1">'ҳудуд кесими'!$A$4:$O$27</definedName>
    <definedName name="Recover">[1]Macro1!$A$138</definedName>
    <definedName name="TableName">"Dummy"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0" i="19" l="1"/>
  <c r="J7" i="19"/>
  <c r="J6" i="19"/>
  <c r="J5" i="19"/>
  <c r="I5" i="19"/>
  <c r="J128" i="19"/>
  <c r="J124" i="19"/>
  <c r="J120" i="19"/>
  <c r="J110" i="19"/>
  <c r="J103" i="19"/>
  <c r="J101" i="19"/>
  <c r="J97" i="19"/>
  <c r="J92" i="19"/>
  <c r="J88" i="19"/>
  <c r="J84" i="19"/>
  <c r="J79" i="19"/>
  <c r="J69" i="19"/>
  <c r="J65" i="19"/>
  <c r="J53" i="19"/>
  <c r="J48" i="19"/>
  <c r="J43" i="19"/>
  <c r="J35" i="19"/>
  <c r="J29" i="19"/>
  <c r="J25" i="19"/>
  <c r="J18" i="19"/>
  <c r="J13" i="19"/>
  <c r="J8" i="19"/>
  <c r="J9" i="19"/>
  <c r="J11" i="19"/>
  <c r="J12" i="19"/>
  <c r="J14" i="19"/>
  <c r="J15" i="19"/>
  <c r="J16" i="19"/>
  <c r="J17" i="19"/>
  <c r="J19" i="19"/>
  <c r="J20" i="19"/>
  <c r="J21" i="19"/>
  <c r="J22" i="19"/>
  <c r="J23" i="19"/>
  <c r="J24" i="19"/>
  <c r="J26" i="19"/>
  <c r="J27" i="19"/>
  <c r="J28" i="19"/>
  <c r="J132" i="19"/>
  <c r="J130" i="19"/>
  <c r="J129" i="19"/>
  <c r="J127" i="19"/>
  <c r="J126" i="19"/>
  <c r="J125" i="19"/>
  <c r="J123" i="19"/>
  <c r="J122" i="19"/>
  <c r="J121" i="19"/>
  <c r="J119" i="19"/>
  <c r="J118" i="19"/>
  <c r="J117" i="19"/>
  <c r="J116" i="19"/>
  <c r="J115" i="19"/>
  <c r="J114" i="19"/>
  <c r="J113" i="19"/>
  <c r="J112" i="19"/>
  <c r="J111" i="19"/>
  <c r="J109" i="19"/>
  <c r="J108" i="19"/>
  <c r="J107" i="19"/>
  <c r="J106" i="19"/>
  <c r="J105" i="19"/>
  <c r="J104" i="19"/>
  <c r="J102" i="19"/>
  <c r="J100" i="19"/>
  <c r="J99" i="19"/>
  <c r="J98" i="19"/>
  <c r="J96" i="19"/>
  <c r="J95" i="19"/>
  <c r="J94" i="19"/>
  <c r="J93" i="19"/>
  <c r="J91" i="19"/>
  <c r="J90" i="19"/>
  <c r="J89" i="19"/>
  <c r="J87" i="19"/>
  <c r="J86" i="19"/>
  <c r="J85" i="19"/>
  <c r="J83" i="19"/>
  <c r="J82" i="19"/>
  <c r="J81" i="19"/>
  <c r="J80" i="19"/>
  <c r="J78" i="19"/>
  <c r="J77" i="19"/>
  <c r="J76" i="19"/>
  <c r="J75" i="19"/>
  <c r="J74" i="19"/>
  <c r="J73" i="19"/>
  <c r="J72" i="19"/>
  <c r="J71" i="19"/>
  <c r="J70" i="19"/>
  <c r="J68" i="19"/>
  <c r="J67" i="19"/>
  <c r="J66" i="19"/>
  <c r="J64" i="19"/>
  <c r="J63" i="19"/>
  <c r="J62" i="19"/>
  <c r="J61" i="19"/>
  <c r="J60" i="19"/>
  <c r="J59" i="19"/>
  <c r="J58" i="19"/>
  <c r="J57" i="19"/>
  <c r="J56" i="19"/>
  <c r="J55" i="19"/>
  <c r="J54" i="19"/>
  <c r="J52" i="19"/>
  <c r="J51" i="19"/>
  <c r="J50" i="19"/>
  <c r="J49" i="19"/>
  <c r="J47" i="19"/>
  <c r="J46" i="19"/>
  <c r="J45" i="19"/>
  <c r="J44" i="19"/>
  <c r="J42" i="19"/>
  <c r="J41" i="19"/>
  <c r="J40" i="19"/>
  <c r="J39" i="19"/>
  <c r="J38" i="19"/>
  <c r="J37" i="19"/>
  <c r="J36" i="19"/>
  <c r="J34" i="19"/>
  <c r="J33" i="19"/>
  <c r="J32" i="19"/>
  <c r="J31" i="19"/>
  <c r="J30" i="19"/>
  <c r="I132" i="19"/>
  <c r="I131" i="19"/>
  <c r="I130" i="19"/>
  <c r="I129" i="19"/>
  <c r="I127" i="19"/>
  <c r="I126" i="19"/>
  <c r="I125" i="19"/>
  <c r="I123" i="19"/>
  <c r="I122" i="19"/>
  <c r="I121" i="19"/>
  <c r="I119" i="19"/>
  <c r="I118" i="19"/>
  <c r="I117" i="19"/>
  <c r="I116" i="19"/>
  <c r="I115" i="19"/>
  <c r="I114" i="19"/>
  <c r="I113" i="19"/>
  <c r="I112" i="19"/>
  <c r="I111" i="19"/>
  <c r="I109" i="19"/>
  <c r="I108" i="19"/>
  <c r="I107" i="19"/>
  <c r="I106" i="19"/>
  <c r="I105" i="19"/>
  <c r="I104" i="19"/>
  <c r="I102" i="19"/>
  <c r="I100" i="19"/>
  <c r="I99" i="19"/>
  <c r="I98" i="19"/>
  <c r="I96" i="19"/>
  <c r="I95" i="19"/>
  <c r="I94" i="19"/>
  <c r="I93" i="19"/>
  <c r="I91" i="19"/>
  <c r="I90" i="19"/>
  <c r="I89" i="19"/>
  <c r="I87" i="19"/>
  <c r="I86" i="19"/>
  <c r="I85" i="19"/>
  <c r="I83" i="19"/>
  <c r="I82" i="19"/>
  <c r="I81" i="19"/>
  <c r="I80" i="19"/>
  <c r="I78" i="19"/>
  <c r="I77" i="19"/>
  <c r="I76" i="19"/>
  <c r="I75" i="19"/>
  <c r="I74" i="19"/>
  <c r="I73" i="19"/>
  <c r="I72" i="19"/>
  <c r="I71" i="19"/>
  <c r="I70" i="19"/>
  <c r="I68" i="19"/>
  <c r="I67" i="19"/>
  <c r="I66" i="19"/>
  <c r="I64" i="19"/>
  <c r="I63" i="19"/>
  <c r="I62" i="19"/>
  <c r="I61" i="19"/>
  <c r="I60" i="19"/>
  <c r="I59" i="19"/>
  <c r="I58" i="19"/>
  <c r="I57" i="19"/>
  <c r="I56" i="19"/>
  <c r="I55" i="19"/>
  <c r="I54" i="19"/>
  <c r="I52" i="19"/>
  <c r="I51" i="19"/>
  <c r="I50" i="19"/>
  <c r="I49" i="19"/>
  <c r="I47" i="19"/>
  <c r="I46" i="19"/>
  <c r="I45" i="19"/>
  <c r="I44" i="19"/>
  <c r="I42" i="19"/>
  <c r="I41" i="19"/>
  <c r="I40" i="19"/>
  <c r="I39" i="19"/>
  <c r="I38" i="19"/>
  <c r="I37" i="19"/>
  <c r="I36" i="19"/>
  <c r="I34" i="19"/>
  <c r="I33" i="19"/>
  <c r="I32" i="19"/>
  <c r="I31" i="19"/>
  <c r="I30" i="19"/>
  <c r="I28" i="19"/>
  <c r="I27" i="19"/>
  <c r="I26" i="19"/>
  <c r="I24" i="19"/>
  <c r="I23" i="19"/>
  <c r="I22" i="19"/>
  <c r="I21" i="19"/>
  <c r="I20" i="19"/>
  <c r="I19" i="19"/>
  <c r="I17" i="19"/>
  <c r="I16" i="19"/>
  <c r="I15" i="19"/>
  <c r="I14" i="19"/>
  <c r="I12" i="19"/>
  <c r="I11" i="19"/>
  <c r="I10" i="19"/>
  <c r="I9" i="19"/>
  <c r="I8" i="19"/>
  <c r="I7" i="19"/>
  <c r="I6" i="19"/>
  <c r="L4" i="6"/>
  <c r="K4" i="6"/>
  <c r="J4" i="6"/>
  <c r="G128" i="19"/>
  <c r="F128" i="19"/>
  <c r="E128" i="19"/>
  <c r="D128" i="19"/>
  <c r="G124" i="19"/>
  <c r="F124" i="19"/>
  <c r="E124" i="19"/>
  <c r="D124" i="19"/>
  <c r="G120" i="19"/>
  <c r="F120" i="19"/>
  <c r="E120" i="19"/>
  <c r="D120" i="19"/>
  <c r="G110" i="19"/>
  <c r="F110" i="19"/>
  <c r="E110" i="19"/>
  <c r="D110" i="19"/>
  <c r="G103" i="19"/>
  <c r="F103" i="19"/>
  <c r="E103" i="19"/>
  <c r="D103" i="19"/>
  <c r="G101" i="19"/>
  <c r="F101" i="19"/>
  <c r="E101" i="19"/>
  <c r="D101" i="19"/>
  <c r="G97" i="19"/>
  <c r="F97" i="19"/>
  <c r="E97" i="19"/>
  <c r="D97" i="19"/>
  <c r="G92" i="19"/>
  <c r="F92" i="19"/>
  <c r="E92" i="19"/>
  <c r="D92" i="19"/>
  <c r="G88" i="19"/>
  <c r="F88" i="19"/>
  <c r="E88" i="19"/>
  <c r="D88" i="19"/>
  <c r="G84" i="19"/>
  <c r="F84" i="19"/>
  <c r="E84" i="19"/>
  <c r="D84" i="19"/>
  <c r="G79" i="19"/>
  <c r="F79" i="19"/>
  <c r="E79" i="19"/>
  <c r="D79" i="19"/>
  <c r="G69" i="19"/>
  <c r="F69" i="19"/>
  <c r="E69" i="19"/>
  <c r="D69" i="19"/>
  <c r="G65" i="19"/>
  <c r="F65" i="19"/>
  <c r="E65" i="19"/>
  <c r="D65" i="19"/>
  <c r="G53" i="19"/>
  <c r="F53" i="19"/>
  <c r="E53" i="19"/>
  <c r="D53" i="19"/>
  <c r="G48" i="19"/>
  <c r="F48" i="19"/>
  <c r="E48" i="19"/>
  <c r="D48" i="19"/>
  <c r="G43" i="19"/>
  <c r="F43" i="19"/>
  <c r="E43" i="19"/>
  <c r="D43" i="19"/>
  <c r="G35" i="19"/>
  <c r="F35" i="19"/>
  <c r="E35" i="19"/>
  <c r="D35" i="19"/>
  <c r="G29" i="19"/>
  <c r="F29" i="19"/>
  <c r="E29" i="19"/>
  <c r="D29" i="19"/>
  <c r="G25" i="19"/>
  <c r="F25" i="19"/>
  <c r="E25" i="19"/>
  <c r="D25" i="19"/>
  <c r="G18" i="19"/>
  <c r="F18" i="19"/>
  <c r="E18" i="19"/>
  <c r="D18" i="19"/>
  <c r="G13" i="19"/>
  <c r="F13" i="19"/>
  <c r="E13" i="19"/>
  <c r="D13" i="19"/>
  <c r="G5" i="19"/>
  <c r="F5" i="19"/>
  <c r="F4" i="19" s="1"/>
  <c r="E5" i="19"/>
  <c r="E4" i="19" s="1"/>
  <c r="D5" i="19"/>
  <c r="D15" i="16"/>
  <c r="C15" i="16"/>
  <c r="D14" i="16"/>
  <c r="C14" i="16"/>
  <c r="D13" i="16"/>
  <c r="C13" i="16"/>
  <c r="D12" i="16"/>
  <c r="C12" i="16"/>
  <c r="D11" i="16"/>
  <c r="C11" i="16"/>
  <c r="D10" i="16"/>
  <c r="C10" i="16"/>
  <c r="D9" i="16"/>
  <c r="C9" i="16"/>
  <c r="D8" i="16"/>
  <c r="C8" i="16"/>
  <c r="D7" i="16"/>
  <c r="C7" i="16"/>
  <c r="D6" i="16"/>
  <c r="C6" i="16"/>
  <c r="D5" i="16"/>
  <c r="C5" i="16"/>
  <c r="D4" i="16"/>
  <c r="C4" i="16"/>
  <c r="H3" i="16"/>
  <c r="M4" i="13"/>
  <c r="L4" i="13"/>
  <c r="J4" i="13"/>
  <c r="I4" i="13"/>
  <c r="H4" i="13"/>
  <c r="G4" i="13"/>
  <c r="F4" i="13"/>
  <c r="K4" i="13"/>
  <c r="D22" i="11"/>
  <c r="C22" i="11"/>
  <c r="D21" i="11"/>
  <c r="C21" i="11"/>
  <c r="D20" i="11"/>
  <c r="C20" i="11"/>
  <c r="D19" i="11"/>
  <c r="C19" i="11"/>
  <c r="D18" i="11"/>
  <c r="C18" i="11"/>
  <c r="D17" i="11"/>
  <c r="C17" i="11"/>
  <c r="D16" i="11"/>
  <c r="C16" i="11"/>
  <c r="D15" i="11"/>
  <c r="C15" i="11"/>
  <c r="D14" i="11"/>
  <c r="C14" i="11"/>
  <c r="D13" i="11"/>
  <c r="C13" i="11"/>
  <c r="D12" i="11"/>
  <c r="C12" i="11"/>
  <c r="D11" i="11"/>
  <c r="C11" i="11"/>
  <c r="D10" i="11"/>
  <c r="C10" i="11"/>
  <c r="D9" i="11"/>
  <c r="C9" i="11"/>
  <c r="D8" i="11"/>
  <c r="C8" i="11"/>
  <c r="D7" i="11"/>
  <c r="C7" i="11"/>
  <c r="D6" i="11"/>
  <c r="C6" i="11"/>
  <c r="D5" i="11"/>
  <c r="C5" i="11"/>
  <c r="G4" i="11"/>
  <c r="H4" i="11"/>
  <c r="I4" i="11"/>
  <c r="H4" i="6"/>
  <c r="G4" i="6"/>
  <c r="F4" i="6"/>
  <c r="E4" i="6"/>
  <c r="F4" i="11"/>
  <c r="M4" i="11"/>
  <c r="L4" i="11"/>
  <c r="J4" i="11"/>
  <c r="K4" i="11"/>
  <c r="D10" i="7"/>
  <c r="C10" i="7"/>
  <c r="D9" i="7"/>
  <c r="C9" i="7"/>
  <c r="D8" i="7"/>
  <c r="C8" i="7"/>
  <c r="D7" i="7"/>
  <c r="C7" i="7"/>
  <c r="D6" i="7"/>
  <c r="C6" i="7"/>
  <c r="D5" i="7"/>
  <c r="C5" i="7"/>
  <c r="L4" i="7"/>
  <c r="K4" i="7"/>
  <c r="J4" i="7"/>
  <c r="I4" i="7"/>
  <c r="H4" i="7"/>
  <c r="G4" i="7"/>
  <c r="F4" i="7"/>
  <c r="E4" i="7"/>
  <c r="M4" i="5"/>
  <c r="L4" i="5"/>
  <c r="K4" i="5"/>
  <c r="J4" i="5"/>
  <c r="I4" i="5"/>
  <c r="H4" i="5"/>
  <c r="G4" i="5"/>
  <c r="F4" i="5"/>
  <c r="D27" i="5"/>
  <c r="C27" i="5"/>
  <c r="D26" i="5"/>
  <c r="C26" i="5"/>
  <c r="D25" i="5"/>
  <c r="C25" i="5"/>
  <c r="D24" i="5"/>
  <c r="C24" i="5"/>
  <c r="D23" i="5"/>
  <c r="C23" i="5"/>
  <c r="D22" i="5"/>
  <c r="C22" i="5"/>
  <c r="D21" i="5"/>
  <c r="C21" i="5"/>
  <c r="D20" i="5"/>
  <c r="C20" i="5"/>
  <c r="D19" i="5"/>
  <c r="C19" i="5"/>
  <c r="D18" i="5"/>
  <c r="C18" i="5"/>
  <c r="D17" i="5"/>
  <c r="C17" i="5"/>
  <c r="D16" i="5"/>
  <c r="C16" i="5"/>
  <c r="D15" i="5"/>
  <c r="C15" i="5"/>
  <c r="D14" i="5"/>
  <c r="C14" i="5"/>
  <c r="D13" i="5"/>
  <c r="C13" i="5"/>
  <c r="D12" i="5"/>
  <c r="C12" i="5"/>
  <c r="D11" i="5"/>
  <c r="C11" i="5"/>
  <c r="D10" i="5"/>
  <c r="C10" i="5"/>
  <c r="D9" i="5"/>
  <c r="C9" i="5"/>
  <c r="D8" i="5"/>
  <c r="C8" i="5"/>
  <c r="D7" i="5"/>
  <c r="C7" i="5"/>
  <c r="D6" i="5"/>
  <c r="C6" i="5"/>
  <c r="D5" i="5"/>
  <c r="C5" i="5"/>
  <c r="N4" i="5"/>
  <c r="E4" i="3"/>
  <c r="D4" i="3"/>
  <c r="E21" i="3"/>
  <c r="D21" i="3"/>
  <c r="E20" i="3"/>
  <c r="D20" i="3"/>
  <c r="E19" i="3"/>
  <c r="D19" i="3"/>
  <c r="E18" i="3"/>
  <c r="D18" i="3"/>
  <c r="E17" i="3"/>
  <c r="D17" i="3"/>
  <c r="E16" i="3"/>
  <c r="D16" i="3"/>
  <c r="E15" i="3"/>
  <c r="D15" i="3"/>
  <c r="E14" i="3"/>
  <c r="D14" i="3"/>
  <c r="E13" i="3"/>
  <c r="D13" i="3"/>
  <c r="E12" i="3"/>
  <c r="D12" i="3"/>
  <c r="E11" i="3"/>
  <c r="D11" i="3"/>
  <c r="E10" i="3"/>
  <c r="D10" i="3"/>
  <c r="E9" i="3"/>
  <c r="D9" i="3"/>
  <c r="E8" i="3"/>
  <c r="D8" i="3"/>
  <c r="E7" i="3"/>
  <c r="D7" i="3"/>
  <c r="E6" i="3"/>
  <c r="D6" i="3"/>
  <c r="E5" i="3"/>
  <c r="D5" i="3"/>
  <c r="C4" i="2"/>
  <c r="D4" i="2"/>
  <c r="D18" i="2"/>
  <c r="C18" i="2"/>
  <c r="D17" i="2"/>
  <c r="C17" i="2"/>
  <c r="D16" i="2"/>
  <c r="C16" i="2"/>
  <c r="D15" i="2"/>
  <c r="C15" i="2"/>
  <c r="D14" i="2"/>
  <c r="C14" i="2"/>
  <c r="D13" i="2"/>
  <c r="C13" i="2"/>
  <c r="D12" i="2"/>
  <c r="C12" i="2"/>
  <c r="D11" i="2"/>
  <c r="C11" i="2"/>
  <c r="D10" i="2"/>
  <c r="C10" i="2"/>
  <c r="D9" i="2"/>
  <c r="C9" i="2"/>
  <c r="D8" i="2"/>
  <c r="C8" i="2"/>
  <c r="D7" i="2"/>
  <c r="C7" i="2"/>
  <c r="D6" i="2"/>
  <c r="C6" i="2"/>
  <c r="D5" i="2"/>
  <c r="C5" i="2"/>
  <c r="D4" i="5" l="1"/>
  <c r="G4" i="19"/>
  <c r="C4" i="5"/>
  <c r="D4" i="19"/>
  <c r="C4" i="11"/>
  <c r="D4" i="11"/>
  <c r="D4" i="7"/>
  <c r="C4" i="7"/>
  <c r="O4" i="5"/>
  <c r="E6" i="13"/>
  <c r="E5" i="13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</calcChain>
</file>

<file path=xl/sharedStrings.xml><?xml version="1.0" encoding="utf-8"?>
<sst xmlns="http://schemas.openxmlformats.org/spreadsheetml/2006/main" count="1066" uniqueCount="551">
  <si>
    <t>ЧИНОЗ ТУМАНИ</t>
  </si>
  <si>
    <t>Юборилган</t>
  </si>
  <si>
    <t>Золотая Корона</t>
  </si>
  <si>
    <t>ЧИНОЗ Т., `ТУРОНБАНК` АТБ ЧИНОЗ БХО</t>
  </si>
  <si>
    <t>10714</t>
  </si>
  <si>
    <t>"ТУРОНБАНК" АТ БАНКИ</t>
  </si>
  <si>
    <t>Доллар США</t>
  </si>
  <si>
    <t>ОХАНГАРОН ТУМАНИ</t>
  </si>
  <si>
    <t>Western Union</t>
  </si>
  <si>
    <t>ОХАНГАРОН Т., `ТУРОНБАНК` АТБ ОХАНГАРОН БХО</t>
  </si>
  <si>
    <t>10715</t>
  </si>
  <si>
    <t>БЕКОБОД ТУМАНИ</t>
  </si>
  <si>
    <t>БЕКОБОД Т., `ТУРОНБАНК` АТБ `BEKOBOD` БХО</t>
  </si>
  <si>
    <t>12228</t>
  </si>
  <si>
    <t>ЗАНГИОТА ТУМАНИ</t>
  </si>
  <si>
    <t>ЗАНГИОТА Т., `ТУРОНБАНК` АТБ ЗАНГИОТА БХМ</t>
  </si>
  <si>
    <t>КИБРАЙ ТУМАНИ</t>
  </si>
  <si>
    <t>КИБРАЙ Т., "INVEST FINANCE BANK" АЖ ТОШКЕНТ ВИЛОЯТ ФИЛИАЛИ</t>
  </si>
  <si>
    <t>01056</t>
  </si>
  <si>
    <t>"INVEST FINANCE BANK" АЖ</t>
  </si>
  <si>
    <t>MoneyGram</t>
  </si>
  <si>
    <t>ЧИРЧИК ШАХРИ</t>
  </si>
  <si>
    <t>ЧИРЧИК Ш., "ИПОТЕКА-БАНК" АТИБ ЧИРЧИК ФИЛИАЛИ</t>
  </si>
  <si>
    <t>00478</t>
  </si>
  <si>
    <t>"ИПОТЕКА-БАНК" АТИ БАНКИ</t>
  </si>
  <si>
    <t>Сум (для междунар.расчетов код 860)</t>
  </si>
  <si>
    <t>АНГРЕН ШАХРИ</t>
  </si>
  <si>
    <t>АНГРЕН Ш., "ИПОТЕКА-БАНК" АТИБ АНГРЕН ФИЛИАЛИ</t>
  </si>
  <si>
    <t>00461</t>
  </si>
  <si>
    <t>ОХАНГАРОН Т., "ИПОТЕКА-БАНК" АТИБ ОХАНГАРОН ФИЛИАЛИ</t>
  </si>
  <si>
    <t>00487</t>
  </si>
  <si>
    <t>БУСТОНЛИК ТУМАНИ</t>
  </si>
  <si>
    <t>БУСТОНЛИК Т., `ГАРАНТ БАНК` АЖ ГАЗАЛКЕНТ БХО</t>
  </si>
  <si>
    <t>12090</t>
  </si>
  <si>
    <t>"ГАРАНТ БАНК" АЖ</t>
  </si>
  <si>
    <t>KwikPAY</t>
  </si>
  <si>
    <t>ЗАГИОТА Т., `ГАРАНТ БАНК` АЖ ЗАНГИОТА БХО</t>
  </si>
  <si>
    <t>12091</t>
  </si>
  <si>
    <t>UPT</t>
  </si>
  <si>
    <t>КИБРАЙ Т., `ГАРАНТ БАНК` АЖ КИБРАЙ БХО</t>
  </si>
  <si>
    <t>12097</t>
  </si>
  <si>
    <t>КУЙИЧИРЧИК ТУМАНИ</t>
  </si>
  <si>
    <t>КУЙИЧИРЧИК Т., "АГРОБАНК" АТБ КУЙИЧИРЧИК ФИЛИАЛИ</t>
  </si>
  <si>
    <t>00474</t>
  </si>
  <si>
    <t>"АГРОБАНК" АТБ</t>
  </si>
  <si>
    <t>БЕКОБОД ШАХРИ</t>
  </si>
  <si>
    <t>БЕКОБОД Ш., АТ `АЛОКАБАНК` БЕКОБОД КХКМ</t>
  </si>
  <si>
    <t>10508</t>
  </si>
  <si>
    <t>АТ "АЛОКАБАНК"</t>
  </si>
  <si>
    <t>УРТАЧИРЧИК ТУМАНИ</t>
  </si>
  <si>
    <t>УРТАЧИРЧИК Т., АТ `АЛОКАБАНК` УРТАЧИРЧИК КХКМ</t>
  </si>
  <si>
    <t>10510</t>
  </si>
  <si>
    <t>ТОШКЕНТ ТУМАНИ</t>
  </si>
  <si>
    <t>ТОШКЕНТ Т., АТ `АЛОКАБАНК` КЕЛЕС КХКМ</t>
  </si>
  <si>
    <t>10502</t>
  </si>
  <si>
    <t>БУСТОНЛИК Т., `ТИФ МИЛЛИЙ БАНКИ` АЖ ГАЗАЛКЕНТ БХМ</t>
  </si>
  <si>
    <t>11183</t>
  </si>
  <si>
    <t>"ТИФ МИЛЛИЙ БАНКИ" АЖ</t>
  </si>
  <si>
    <t>НУРАФШОН ШАХРИ</t>
  </si>
  <si>
    <t>НУРАФШОН Ш., `ТИФ МИЛЛИЙ БАНКИ` АЖ НУРАФШОН АМАЛИЁТ БХМ</t>
  </si>
  <si>
    <t>11253</t>
  </si>
  <si>
    <t>ЯНГИЙУЛ ШАХРИ</t>
  </si>
  <si>
    <t>ЯНГИЙУЛ Ш., `ТИФ МИЛЛИЙ БАНКИ` АЖ ЯНГИЙУЛ БХМ</t>
  </si>
  <si>
    <t>11255</t>
  </si>
  <si>
    <t>БЕКОБОД Ш., `ТИФ МИЛЛИЙ БАНКИ` АЖ БЕКОБОД БХМ</t>
  </si>
  <si>
    <t>11256</t>
  </si>
  <si>
    <t>Банковские переводы</t>
  </si>
  <si>
    <t>Российский рубль</t>
  </si>
  <si>
    <t>ОЛМАЛИК ШАХРИ</t>
  </si>
  <si>
    <t>ОЛМАЛИК Ш., `ТИФ МИЛЛИЙ БАНКИ` АЖ `OYDIN` БХО</t>
  </si>
  <si>
    <t>12174</t>
  </si>
  <si>
    <t>ЧИРЧИК Ш., `ТИФ МИЛЛИЙ БАНКИ` АЖ ЧИРЧИК БХМ</t>
  </si>
  <si>
    <t>11141</t>
  </si>
  <si>
    <t>ОЛМАЛИК Ш., `ТИФ МИЛЛИЙ БАНКИ` АЖ ОЛМАЛИК БХМ</t>
  </si>
  <si>
    <t>11142</t>
  </si>
  <si>
    <t>НУРАФШОН Ш., "АГРОБАНК" АТБ ТОШКЕНТ ВИЛОЯТ ХУДУДИЙ ФИЛИАЛИ</t>
  </si>
  <si>
    <t>00475</t>
  </si>
  <si>
    <t>ПСКЕНТ ТУМАНИ</t>
  </si>
  <si>
    <t>ПСКЕНТ Т., "АГРОБАНК" АТБ ПСКЕНТ ФИЛИАЛИ</t>
  </si>
  <si>
    <t>00472</t>
  </si>
  <si>
    <t>БЕКОБОД Т., "АГРОБАНК" АТБ БЕКОБОД ФИЛИАЛИ</t>
  </si>
  <si>
    <t>00468</t>
  </si>
  <si>
    <t>ЗАНГИОТА Т., "ИПОТЕКА-БАНК" АТИБ ЗАНГИОТА ФИЛИАЛИ</t>
  </si>
  <si>
    <t>01130</t>
  </si>
  <si>
    <t>ЗАНГИОТА Т., "INVEST FINANCE BANK" АЖ ЗАНГИОТА ФИЛИАЛИ</t>
  </si>
  <si>
    <t>01080</t>
  </si>
  <si>
    <t>ЧИНОЗ Т., ЧЕТ ЭЛ КАП ИШТИРОК `HAMKORBANK` АТБ ЧИНОЗ УНИВЕРСАЛ БХО</t>
  </si>
  <si>
    <t>11443</t>
  </si>
  <si>
    <t>ЧЭКИ "HAMKORBANK" АТ БАНКИ</t>
  </si>
  <si>
    <t>ЯНГИЙУЛ Ш., ЧЕТ ЭЛ КАП ИШТИРОК `HAMKORBANK` АТБ ЯНГИЙУЛ УНИВЕРСАЛ БХО</t>
  </si>
  <si>
    <t>11444</t>
  </si>
  <si>
    <t>Евро</t>
  </si>
  <si>
    <t>ОЛМАЛИК Ш., ЧЕТ ЭЛ КАП ИШТИРОК `HAMKORBANK` АТБ ОЛМАЛИК УНИВЕРСАЛ БХО</t>
  </si>
  <si>
    <t>11445</t>
  </si>
  <si>
    <t>АНГРЕН Ш., ЧЕТ ЭЛ КАП ИШТИРОК `HAMKORBANK` АТБ АНГРЕН УНИВЕРСАЛ БХО</t>
  </si>
  <si>
    <t>11446</t>
  </si>
  <si>
    <t>ЧИРЧИК Ш., ЧЕТ ЭЛ КАП ИШТИРОК `HAMKORBANK` АТБ ЧИРЧИК УНИВЕРСАЛ БХО</t>
  </si>
  <si>
    <t>11447</t>
  </si>
  <si>
    <t>НУРАФШОН Ш., ЧЕТ ЭЛ КАП ИШТИРОК `HAMKORBANK` АТБ НУРАФШОН УНИВЕРСАЛ БХО</t>
  </si>
  <si>
    <t>11448</t>
  </si>
  <si>
    <t>ЯНГИЙУЛ Ш., "БИЗНЕСНИ РИВОЖЛАНТИРИШ БАНКИ" АТБ ЯНГИЙУЛ БХМ</t>
  </si>
  <si>
    <t>10820</t>
  </si>
  <si>
    <t>"БИЗНЕСНИ РИВОЖЛАНТИРИШ БАНКИ" АТБ</t>
  </si>
  <si>
    <t>НУРАФШОН Ш., "БИЗНЕСНИ РИВОЖЛАНТИРИШ БАНКИ" АТБ НУРАФШОН БХО</t>
  </si>
  <si>
    <t>10818</t>
  </si>
  <si>
    <t>ОХАНГАРОН ШАХРИ</t>
  </si>
  <si>
    <t>ОХАНГАРОН Ш., "БИЗНЕСНИ РИВОЖЛАНТИРИШ БАНКИ" АТБ ОХАНГАРОН БХМ</t>
  </si>
  <si>
    <t>10819</t>
  </si>
  <si>
    <t>БЕКОБОД Т., `БИЗНЕСНИ РИВОЖЛАНТИРИШ БАНКИ` АТБ `ZAFAR` 2-ТОИФАЛИ БХМ</t>
  </si>
  <si>
    <t>12213</t>
  </si>
  <si>
    <t>БУСТОНЛИК Т., "БИЗНЕСНИ РИВОЖЛАНТИРИШ БАНКИ" АТБ "ГАЗАЛКЕНТ" 2-ТОИФАЛИ БХМ</t>
  </si>
  <si>
    <t>12129</t>
  </si>
  <si>
    <t>ПАРКЕНТ ТУМАНИ</t>
  </si>
  <si>
    <t>ПАРКЕНТ Т., `МИКРОКРЕДИТБАНК` АТБ ПАРКЕНТ БХО</t>
  </si>
  <si>
    <t>11785</t>
  </si>
  <si>
    <t>"МИКРОКРЕДИТБАНК" АТ БАНКИ</t>
  </si>
  <si>
    <t>НУРАФШОН Ш., `МИКРОКРЕДИТБАНК` АТБ НУРАФШОН БХО</t>
  </si>
  <si>
    <t>11786</t>
  </si>
  <si>
    <t>ПСКЕНТ Т., `МИКРОКРЕДИТБАНК` АТБ ПИСКЕНТ БХО</t>
  </si>
  <si>
    <t>11787</t>
  </si>
  <si>
    <t>ТОШКЕНТ Т., "МИКРОКРЕДИТБАНК" АТБ КЕЛЕС БХО</t>
  </si>
  <si>
    <t>11943</t>
  </si>
  <si>
    <t>ЧИРЧИК Ш., `МИКРОКРЕДИТБАНК` АТБ ЧИРЧИК БХМ</t>
  </si>
  <si>
    <t>10443</t>
  </si>
  <si>
    <t>ЮКОРИЧИРЧИК ТУМАНИ</t>
  </si>
  <si>
    <t>ЮКОРИЧИРЧИК Т., `МИКРОКРЕДИТБАНК` АТБ ЮКОРИ ЧИРЧИК БХМ</t>
  </si>
  <si>
    <t>10447</t>
  </si>
  <si>
    <t>ОККУРГОН ТУМАНИ</t>
  </si>
  <si>
    <t>ОККУРГОН Т., `МИКРОКРЕДИТБАНК` АТБ ОККУРГОН БХО</t>
  </si>
  <si>
    <t>11412</t>
  </si>
  <si>
    <t>БУСТОНЛИК Т., `МИКРОКРЕДИТБАНК` АТБ ГАЗАЛКЕНТ БХО</t>
  </si>
  <si>
    <t>11413</t>
  </si>
  <si>
    <t>БУКА ТУМАНИ</t>
  </si>
  <si>
    <t>БУКА Т., `УЗСАНОАТКУРИЛИШБАНКИ` АТБ БУКА БХМ</t>
  </si>
  <si>
    <t>10792</t>
  </si>
  <si>
    <t>"УЗСАНОАТКУРИЛИШБАНКИ" АТ БАНКИ</t>
  </si>
  <si>
    <t>ПСКЕНТ Т., `УЗСАНОАТКУРИЛИШБАНКИ` АТБ ПИСКЕНТ БХМ</t>
  </si>
  <si>
    <t>10793</t>
  </si>
  <si>
    <t>АНГРЕН Ш., `УЗСАНОАТКУРИЛИШБАНКИ` АТБ АНГРЕН БХМ</t>
  </si>
  <si>
    <t>11199</t>
  </si>
  <si>
    <t>ОЛМАЛИК Ш., `УЗСАНОАТКУРИЛИШБАНКИ` АТБ ОЛМАЛИК БХМ</t>
  </si>
  <si>
    <t>11200</t>
  </si>
  <si>
    <t>ЧИРЧИК Ш., `УЗСАНОАТКУРИЛИШБАНКИ` АТБ ЧИРЧИК БХМ</t>
  </si>
  <si>
    <t>11201</t>
  </si>
  <si>
    <t>КИБРАЙ Т., `УЗСАНОАТКУРИЛИШБАНКИ` АТБ КИБРАЙ БХМ</t>
  </si>
  <si>
    <t>11202</t>
  </si>
  <si>
    <t>БЕКОБОД Ш., `УЗСАНОАТКУРИЛИШБАНКИ` АТБ БЕКОБОД БХМ</t>
  </si>
  <si>
    <t>11203</t>
  </si>
  <si>
    <t>НУРАФШОН Ш., `УЗСАНОАТКУРИЛИШБАНКИ` АТБ ТОШКЕНТ ВИЛОЯТИ БХО</t>
  </si>
  <si>
    <t>11198</t>
  </si>
  <si>
    <t>КУЙИЧИРЧИК Т., "ИПОТЕКА-БАНК" АТИБ ДУСТОБОД ФИЛИАЛИ</t>
  </si>
  <si>
    <t>01170</t>
  </si>
  <si>
    <t>ЧИНОЗ Т., "ИПОТЕКА-БАНК" АТИБ ЧИНОЗ ФИЛИАЛИ</t>
  </si>
  <si>
    <t>01039</t>
  </si>
  <si>
    <t>БЕКОБОД Ш., "ИПОТЕКА-БАНК" АТИБ БЕКОБОД ФИЛИАЛИ</t>
  </si>
  <si>
    <t>00489</t>
  </si>
  <si>
    <t>БУКА Т., "АГРОБАНК" АТБ БУКА ФИЛИАЛИ</t>
  </si>
  <si>
    <t>00463</t>
  </si>
  <si>
    <t>ОККУРГОН Т., "АГРОБАНК" АТБ ОККУРГОН ФИЛИАЛИ</t>
  </si>
  <si>
    <t>00457</t>
  </si>
  <si>
    <t>ОХАНГАРОН Т., "АГРОБАНК" АТБ ОХАНГАРОН ФИЛИАЛИ</t>
  </si>
  <si>
    <t>00413</t>
  </si>
  <si>
    <t>ОЛМАЛИК Т., `КАПИТАЛБАНК` АТБ ОЛМАЛИК БХО</t>
  </si>
  <si>
    <t>11462</t>
  </si>
  <si>
    <t>"КАПИТАЛБАНК" АТ БАНКИ</t>
  </si>
  <si>
    <t>ЧИРЧИК Ш., `КАПИТАЛБАНК` АТБ ЧИРЧИК БХО</t>
  </si>
  <si>
    <t>10837</t>
  </si>
  <si>
    <t>ЯНГИЙУЛ ТУМАНИ</t>
  </si>
  <si>
    <t>ЯНГИЙУЛ Т., "ИПАК ЙУЛИ" АИТ БАНКИНИНГ ЯНГИЙУЛ ФИЛИАЛИ</t>
  </si>
  <si>
    <t>01081</t>
  </si>
  <si>
    <t>"ИПАК ЙУЛИ" АИТ БАНКИ</t>
  </si>
  <si>
    <t>ЗАНГИОТА Т., АТБ `УНИВЕРСАЛ БАНК` ЗАНГИОТА БХМ</t>
  </si>
  <si>
    <t>11853</t>
  </si>
  <si>
    <t>АТ БАНКИ "УНИВЕРСАЛ БАНК"</t>
  </si>
  <si>
    <t>ТОШКЕНТ ШАХРИ</t>
  </si>
  <si>
    <t>ТОШКЕНТ Ш., "ИПОТЕКА-БАНК" АТИБ ТОШКЕНТ ВИЛОЯТ ФИЛИАЛИ</t>
  </si>
  <si>
    <t>ЮКОРИЧИРЧИК Т., "АГРОБАНК" АТБ ЮКОРИЧИРЧИК ФИЛИАЛИ</t>
  </si>
  <si>
    <t>00480</t>
  </si>
  <si>
    <t>ОЛМАЛИК Ш., "ИПОТЕКА-БАНК" АТИБ ОЛМАЛИК ФИЛИАЛИ</t>
  </si>
  <si>
    <t>00459</t>
  </si>
  <si>
    <t>ЯНГИЙУЛ Т., "АГРОБАНК" АТБ ЯНГИЙУЛ ФИЛИАЛИ</t>
  </si>
  <si>
    <t>00485</t>
  </si>
  <si>
    <t>АНГРЕН Ш., `ТИФ МИЛЛИЙ БАНКИ` АЖ АНГРЕН БХМ</t>
  </si>
  <si>
    <t>11254</t>
  </si>
  <si>
    <t>ОЛМАЛИК Ш., `ТИФ МИЛЛИЙ БАНКИ` АЖ `ZARHAL` БХО</t>
  </si>
  <si>
    <t>12190</t>
  </si>
  <si>
    <t>НУРАФШОН Ш., `АСАКАБАНК` АЖ НУРАФШОН БХМ</t>
  </si>
  <si>
    <t>12008</t>
  </si>
  <si>
    <t>"АСАКАБАНК" АЖ</t>
  </si>
  <si>
    <t>RIA Money Transfer</t>
  </si>
  <si>
    <t>НУРАФШОН Ш., АТ `АЛОКАБАНК` ТОШКЕНТ ВИЛОЯТИ БХМ</t>
  </si>
  <si>
    <t>10729</t>
  </si>
  <si>
    <t>Фунт стерлингов</t>
  </si>
  <si>
    <t>ЧИНОЗ Т., "АГРОБАНК" АТБ ЧИНОЗ ФИЛИАЛИ</t>
  </si>
  <si>
    <t>00476</t>
  </si>
  <si>
    <t>ПАРКЕНТ Т., "АГРОБАНК" АТБ ПАРКЕНТ ФИЛИАЛИ</t>
  </si>
  <si>
    <t>00482</t>
  </si>
  <si>
    <t>ПАРКЕНТ Т., `МИКРОКРЕДИТБАНК` АТБ КИЗИЛТОГ БХМ</t>
  </si>
  <si>
    <t>Астрасенд</t>
  </si>
  <si>
    <t>АНГРЕН Ш., `КАПИТАЛБАНК` АТБ АНГРЕН БХО</t>
  </si>
  <si>
    <t>11372</t>
  </si>
  <si>
    <t>ОХАНГАРОН Т., `МИКРОКРЕДИТБАНК` АТБ ОХАНГАРОН БХО</t>
  </si>
  <si>
    <t>11978</t>
  </si>
  <si>
    <t>ЧИРЧИК Ш., АТ `АЛОКАБАНК` ЧИРЧИК КХКМ</t>
  </si>
  <si>
    <t>12029</t>
  </si>
  <si>
    <t>КУЙИЧИРЧИК Т., АТ ХАЛК БАНКИ ДУСТОБОД БХМ</t>
  </si>
  <si>
    <t>11386</t>
  </si>
  <si>
    <t>АКЦИЯДОРЛИК ТИЖОРАТ ХАЛК БАНКИ</t>
  </si>
  <si>
    <t>ЗАНГИОТА Т., "ТУРОНБАНК" АТ БАНКИНИНГ ЗАНГИОТА ФИЛИАЛИ</t>
  </si>
  <si>
    <t>01019</t>
  </si>
  <si>
    <t>КИБРАЙ Т., `УЗСАНОАТКУРИЛИШБАНКИ` АТБ САЛАР БХМ</t>
  </si>
  <si>
    <t>ОЛМАЛИК Ш., `МИКРОКРЕДИТБАНК` АТБ ОЛМАЛИК БХМ</t>
  </si>
  <si>
    <t>11247</t>
  </si>
  <si>
    <t>ЧИРЧИК Ш., `ТУРОНБАНК` АТБ ЧИРЧИК БХО</t>
  </si>
  <si>
    <t>10716</t>
  </si>
  <si>
    <t>БЕКОБОД Ш., `КАПИТАЛБАНК` АТБ БЕКАБАД БХО</t>
  </si>
  <si>
    <t>11302</t>
  </si>
  <si>
    <t>ЗАНГИОТА Т., АТ ХАЛК БАНКИ ЗАНГИОТА БХМ</t>
  </si>
  <si>
    <t>11579</t>
  </si>
  <si>
    <t>ОХАНГАРОН Ш., АТ ХАЛК БАНКИ ОХАНГАРОН БХМ</t>
  </si>
  <si>
    <t>11633</t>
  </si>
  <si>
    <t>БУКА Т., АТ ХАЛК БАНКИ БУКА БХМ</t>
  </si>
  <si>
    <t>11801</t>
  </si>
  <si>
    <t>БЭСТ</t>
  </si>
  <si>
    <t>ОККУРГОН Т., АТ ХАЛК БАНКИ ОККУРГОН БХМ</t>
  </si>
  <si>
    <t>11388</t>
  </si>
  <si>
    <t>НУРАФШОН Ш., `ТУРОНБАНК` АТБ `YANGI O`ZBEKISTON` БХО</t>
  </si>
  <si>
    <t>12062</t>
  </si>
  <si>
    <t>КИБРАЙ Т., АТ ХАЛК БАНКИ КИБРАЙ БХМ</t>
  </si>
  <si>
    <t>11490</t>
  </si>
  <si>
    <t>НУРАФШОН Ш., АТ ХАЛК БАНКИ НУРАФШОН БХМ</t>
  </si>
  <si>
    <t>11799</t>
  </si>
  <si>
    <t>НУРАФШОН Ш., `КАПИТАЛБАНК` АТБ НУРАФШОН БХО</t>
  </si>
  <si>
    <t>11303</t>
  </si>
  <si>
    <t>Қабул қилинган</t>
  </si>
  <si>
    <t>ПСКЕНТ Т., АТ ХАЛК БАНКИ ПИСКЕНТ БХМ</t>
  </si>
  <si>
    <t>11387</t>
  </si>
  <si>
    <t>ЯНГИЙУЛ Т., АТ ХАЛК БАНКИ ЯНГИЙУЛ БХМ</t>
  </si>
  <si>
    <t>11349</t>
  </si>
  <si>
    <t>ЮКОРИЧИРЧИК Т., АТ ХАЛК БАНКИ ЮКОРИ ЧИРЧИК БХМ</t>
  </si>
  <si>
    <t>11488</t>
  </si>
  <si>
    <t>БЕКОБОД Ш., АТ ХАЛК БАНКИ БЕКОБОД БХМ</t>
  </si>
  <si>
    <t>11634</t>
  </si>
  <si>
    <t>АНГРЕН Ш., АТ ХАЛК БАНКИ АНГРЕН БХМ</t>
  </si>
  <si>
    <t>11581</t>
  </si>
  <si>
    <t>ЧИНОЗ Т., АТ ХАЛК БАНКИ ЧИНОЗ БХМ</t>
  </si>
  <si>
    <t>Азия-Экспресс</t>
  </si>
  <si>
    <t>Intel Express</t>
  </si>
  <si>
    <t>Express Money</t>
  </si>
  <si>
    <t>U-CASH</t>
  </si>
  <si>
    <t>БЕКОБОД Т., АТ ХАЛК БАНКИ ЗАФАР БХМ</t>
  </si>
  <si>
    <t>11489</t>
  </si>
  <si>
    <t>ОЛМАЛИК Ш., АТ ХАЛК БАНКИ ОЛМАЛИК БХМ</t>
  </si>
  <si>
    <t>11582</t>
  </si>
  <si>
    <t>ЗАНГИОТА Т., `ТИФ МИЛЛИЙ БАНКИ` АЖ `ZANGIOTA` БХО</t>
  </si>
  <si>
    <t>12242</t>
  </si>
  <si>
    <t>БУСТОНЛИК Т., АТ ХАЛК БАНКИ БУСТОНЛИК БХМ</t>
  </si>
  <si>
    <t>11385</t>
  </si>
  <si>
    <t>ТОШКЕНТ Т., АТ ХАЛК БАНКИ КЕЛЕС БХМ</t>
  </si>
  <si>
    <t>11782</t>
  </si>
  <si>
    <t>ПАРКЕНТ Т., АТ ХАЛК БАНКИ ПАРКЕНТ БХМ</t>
  </si>
  <si>
    <t>11487</t>
  </si>
  <si>
    <t>Швейцарский франк</t>
  </si>
  <si>
    <t>ЧИНОЗ Т., АТ ХАЛК БАНКИ `НАФИС` БХМ</t>
  </si>
  <si>
    <t>10121</t>
  </si>
  <si>
    <t>ЧИРЧИК Ш., `ANOR BANK` АЖ ЧИРЧИК СОТУВ БУЛИМИ</t>
  </si>
  <si>
    <t>10422</t>
  </si>
  <si>
    <t>"ANOR BANK" АЖ</t>
  </si>
  <si>
    <t>ОХАНГАРОН Ш., `АГРОБАНК` АТБ НУРОБОД БХМ</t>
  </si>
  <si>
    <t>12042</t>
  </si>
  <si>
    <t>АНГРЕН Ш., `ANOR BANK` АЖ АНГРЕН СОТУВ БУЛИМИ</t>
  </si>
  <si>
    <t>10418</t>
  </si>
  <si>
    <t xml:space="preserve">КУЙИЧИРЧИК Т., АТ ХАЛК БАНКИ "ЧИНОР" БХМ </t>
  </si>
  <si>
    <t>10116</t>
  </si>
  <si>
    <t>ЯНГИЙУЛ Ш., `ТУРОНБАНК` АТБ ЯНГИЙУЛ БХО</t>
  </si>
  <si>
    <t>10717</t>
  </si>
  <si>
    <t>БУСТОНЛИК Т., "ГАРАНТ БАНК" АЖ ГАЗАЛКЕНТ ФИЛИАЛИ</t>
  </si>
  <si>
    <t>НУРАФШОН Ш., АТ `АЛОКАБАНК` "ТОШКЕНТ ВИЛОЯТИ" ХКХКМ</t>
  </si>
  <si>
    <t>КИБРАЙ Т., "ГАРАНТ БАНК" АЖ КИБРАЙ ФИЛИАЛИ</t>
  </si>
  <si>
    <t>НУРАФШОН Ш., "ИПОТЕКА-БАНК" АТИБ НУРАФШОН ФИЛИАЛИ</t>
  </si>
  <si>
    <t>Contact</t>
  </si>
  <si>
    <t>БУСТОНЛИК Т., "БИЗНЕСНИ РИВОЖЛАНТИРИШ БАНКИ" АТБ ГАЗАЛКЕНТ БХМ</t>
  </si>
  <si>
    <t>ЗАНГИОТА Т., "ГАРАНТ БАНК" АЖ ЗАНГИОТА ФИЛИАЛИ</t>
  </si>
  <si>
    <t>ТОШКЕНТ Ш., `МИКРОКРЕДИТБАНК` АТБ БЕКТЕМИР БХМ</t>
  </si>
  <si>
    <t>ЯНГИЙУЛ Т., АТ ХАЛК БАНКИ `ФАРОВОН` БХМ</t>
  </si>
  <si>
    <t>(пусто)</t>
  </si>
  <si>
    <t>Общий итог</t>
  </si>
  <si>
    <t>Суммаси</t>
  </si>
  <si>
    <t>Операциялар сони</t>
  </si>
  <si>
    <t>Операциялар суммаси</t>
  </si>
  <si>
    <t>Сони</t>
  </si>
  <si>
    <t>ХПУ номлари</t>
  </si>
  <si>
    <t>№</t>
  </si>
  <si>
    <t>Жами:</t>
  </si>
  <si>
    <r>
      <t xml:space="preserve">Улиши </t>
    </r>
    <r>
      <rPr>
        <b/>
        <i/>
        <sz val="10"/>
        <rFont val="Arial"/>
        <family val="2"/>
        <charset val="204"/>
      </rPr>
      <t>(фоизда)</t>
    </r>
  </si>
  <si>
    <t>Банк номлари</t>
  </si>
  <si>
    <t>ХПУ тури сони</t>
  </si>
  <si>
    <t>Швеция</t>
  </si>
  <si>
    <t>Нидерланды</t>
  </si>
  <si>
    <t>Канада</t>
  </si>
  <si>
    <t>Болгария</t>
  </si>
  <si>
    <t>Германия</t>
  </si>
  <si>
    <t>Швейцария</t>
  </si>
  <si>
    <t>Мальдивы</t>
  </si>
  <si>
    <t>Малайзия</t>
  </si>
  <si>
    <t>Беларусь</t>
  </si>
  <si>
    <t>Азербайджан</t>
  </si>
  <si>
    <t>Грузия</t>
  </si>
  <si>
    <t>Катар</t>
  </si>
  <si>
    <t>Австралия</t>
  </si>
  <si>
    <t>Саудовская Аравия</t>
  </si>
  <si>
    <t>Греция</t>
  </si>
  <si>
    <t>Франция</t>
  </si>
  <si>
    <t>Япония</t>
  </si>
  <si>
    <t>Кипр</t>
  </si>
  <si>
    <t>Финляндия</t>
  </si>
  <si>
    <t>Чешская Республика</t>
  </si>
  <si>
    <t>Словакия</t>
  </si>
  <si>
    <t>Италия</t>
  </si>
  <si>
    <t>Литва</t>
  </si>
  <si>
    <t>Ливан</t>
  </si>
  <si>
    <t>Латвия</t>
  </si>
  <si>
    <t>Оман</t>
  </si>
  <si>
    <t>Замбия</t>
  </si>
  <si>
    <t>Эстония</t>
  </si>
  <si>
    <t>Сербия</t>
  </si>
  <si>
    <t>Тайвань, провинция Китая</t>
  </si>
  <si>
    <t>Армения</t>
  </si>
  <si>
    <t>Республика Молдова</t>
  </si>
  <si>
    <t>Йемен</t>
  </si>
  <si>
    <t>Индонезия</t>
  </si>
  <si>
    <t>Дания</t>
  </si>
  <si>
    <t>Бельгия</t>
  </si>
  <si>
    <t>Австрия</t>
  </si>
  <si>
    <t>Венгрия</t>
  </si>
  <si>
    <t>Новая Зеландия</t>
  </si>
  <si>
    <t>Таиланд</t>
  </si>
  <si>
    <t>Испания</t>
  </si>
  <si>
    <t>Словения</t>
  </si>
  <si>
    <t>Питкэрн (Великобрит.)</t>
  </si>
  <si>
    <t>Ирак</t>
  </si>
  <si>
    <t>Сингапур</t>
  </si>
  <si>
    <t>Гвинея</t>
  </si>
  <si>
    <t>Эквадор</t>
  </si>
  <si>
    <t>Черногория</t>
  </si>
  <si>
    <t>Румыния</t>
  </si>
  <si>
    <t>Бахрейн</t>
  </si>
  <si>
    <t>Португалия</t>
  </si>
  <si>
    <t>Ангилья (Великобрит.)</t>
  </si>
  <si>
    <t>Кувейт</t>
  </si>
  <si>
    <t>Ирландия</t>
  </si>
  <si>
    <t>Тунис</t>
  </si>
  <si>
    <t>Бермудские о-ва</t>
  </si>
  <si>
    <t>Люксембург</t>
  </si>
  <si>
    <t>Иордания</t>
  </si>
  <si>
    <t>Макао, спец.админ.район Китая</t>
  </si>
  <si>
    <t>Мексика</t>
  </si>
  <si>
    <t>Украина</t>
  </si>
  <si>
    <t>Хорватия</t>
  </si>
  <si>
    <t>Филиппины</t>
  </si>
  <si>
    <t>Норвегия</t>
  </si>
  <si>
    <t>Чили</t>
  </si>
  <si>
    <t>Македония, бывшая Югославская республика</t>
  </si>
  <si>
    <t>Майотта (Франц.)</t>
  </si>
  <si>
    <t>Ливийская Арабская Джамахерия</t>
  </si>
  <si>
    <t>Бразилия</t>
  </si>
  <si>
    <t>Афганистан</t>
  </si>
  <si>
    <t>Пакистан</t>
  </si>
  <si>
    <t>Палестинская территория, оккуп.</t>
  </si>
  <si>
    <t>Камбоджа</t>
  </si>
  <si>
    <t>Святая Елена (Великобрит.)</t>
  </si>
  <si>
    <t>Монголия</t>
  </si>
  <si>
    <t>Южная Африка</t>
  </si>
  <si>
    <t>Египет</t>
  </si>
  <si>
    <t>Гернси (Великобрит.)</t>
  </si>
  <si>
    <t>Босния и Герцеговина</t>
  </si>
  <si>
    <t>Танзания, объединенная республика</t>
  </si>
  <si>
    <t>Кения</t>
  </si>
  <si>
    <t>Северные Марианские острова (США)</t>
  </si>
  <si>
    <t>Французская Гвиана</t>
  </si>
  <si>
    <t>Тувалу</t>
  </si>
  <si>
    <t>Албания</t>
  </si>
  <si>
    <t>Сенегал</t>
  </si>
  <si>
    <t>Туркменистан</t>
  </si>
  <si>
    <t>Доминика</t>
  </si>
  <si>
    <t>Остров Мэн (Великобрит.)</t>
  </si>
  <si>
    <t>Ямайка</t>
  </si>
  <si>
    <t>Сирийская Арабская Республика</t>
  </si>
  <si>
    <t>Исландия</t>
  </si>
  <si>
    <t>Реюньон (Франц.)</t>
  </si>
  <si>
    <t>Сент-Пьер и Микелон (Франц.)</t>
  </si>
  <si>
    <t>Маврикий</t>
  </si>
  <si>
    <t>Индия</t>
  </si>
  <si>
    <t>Фарерские острова (Дат.)</t>
  </si>
  <si>
    <t>Боливия</t>
  </si>
  <si>
    <t>Уганда</t>
  </si>
  <si>
    <t>Коста-Рика</t>
  </si>
  <si>
    <t>Тринидад и Тобаго</t>
  </si>
  <si>
    <t>Аргентина</t>
  </si>
  <si>
    <t>Сейшелы</t>
  </si>
  <si>
    <t>Острова Теркс и Кайкос (Великобрит.)</t>
  </si>
  <si>
    <t>Гайана</t>
  </si>
  <si>
    <t>Британская территория в Индийском океане</t>
  </si>
  <si>
    <t>Камерун</t>
  </si>
  <si>
    <t>Тонга</t>
  </si>
  <si>
    <t>Нидерландские Антилы</t>
  </si>
  <si>
    <t>Гана</t>
  </si>
  <si>
    <t>Эль-Сальвадор</t>
  </si>
  <si>
    <t>Остров Буве (Норв.)</t>
  </si>
  <si>
    <t>Доминиканская Республика</t>
  </si>
  <si>
    <t>Экваториальная Гвинея</t>
  </si>
  <si>
    <t>Бенин</t>
  </si>
  <si>
    <t>Бангладеш</t>
  </si>
  <si>
    <t>Того</t>
  </si>
  <si>
    <t>Шри-Ланка</t>
  </si>
  <si>
    <t>Кот-д`Ивуар</t>
  </si>
  <si>
    <t>Вьетнам</t>
  </si>
  <si>
    <t>Мавритания</t>
  </si>
  <si>
    <t>Гуам</t>
  </si>
  <si>
    <t>Непал</t>
  </si>
  <si>
    <t>Мали</t>
  </si>
  <si>
    <t>Нигерия</t>
  </si>
  <si>
    <t>Марокко</t>
  </si>
  <si>
    <t>Перу</t>
  </si>
  <si>
    <t>Лесото</t>
  </si>
  <si>
    <t>Бутан</t>
  </si>
  <si>
    <t>Французские Южные Территории</t>
  </si>
  <si>
    <t>Кирибати</t>
  </si>
  <si>
    <t>Либерия</t>
  </si>
  <si>
    <t>Зимбабве</t>
  </si>
  <si>
    <t>Колумбия</t>
  </si>
  <si>
    <t>Бруней-Даруссалам</t>
  </si>
  <si>
    <t>Ангола</t>
  </si>
  <si>
    <t>Габон</t>
  </si>
  <si>
    <t>Пуэрто-Рико (США)</t>
  </si>
  <si>
    <t>Конго</t>
  </si>
  <si>
    <t>Сьерра-Леоне</t>
  </si>
  <si>
    <t>Чад</t>
  </si>
  <si>
    <t>Токелау (Нов.Зелан.)</t>
  </si>
  <si>
    <t>Гренада</t>
  </si>
  <si>
    <t>Руанда</t>
  </si>
  <si>
    <t>Ҳудуд номлари</t>
  </si>
  <si>
    <t>Фарқи +/-</t>
  </si>
  <si>
    <t>Валюта номлари</t>
  </si>
  <si>
    <t>Финландия</t>
  </si>
  <si>
    <t>Самоа</t>
  </si>
  <si>
    <t>Гонконг</t>
  </si>
  <si>
    <t>Иран</t>
  </si>
  <si>
    <t>КХДР</t>
  </si>
  <si>
    <t>БАА</t>
  </si>
  <si>
    <t>АҚШ</t>
  </si>
  <si>
    <t>#Н/Д</t>
  </si>
  <si>
    <t>Давлат номлари</t>
  </si>
  <si>
    <t>Бошқа давлатлар</t>
  </si>
  <si>
    <t>Қирқизистон</t>
  </si>
  <si>
    <t>Хитой</t>
  </si>
  <si>
    <t>Қозоғистон</t>
  </si>
  <si>
    <t>Туркия</t>
  </si>
  <si>
    <t>Бошқа филиаллар</t>
  </si>
  <si>
    <t>Резидент</t>
  </si>
  <si>
    <t>Жами</t>
  </si>
  <si>
    <t>Hо резидент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</si>
  <si>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</si>
  <si>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</si>
  <si>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</si>
  <si>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</si>
  <si>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</si>
  <si>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</si>
  <si>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</si>
  <si>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</si>
  <si>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</si>
  <si>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Октябоь</t>
  </si>
  <si>
    <t>Ноябрь</t>
  </si>
  <si>
    <t>Қабул қилинган сумма</t>
  </si>
  <si>
    <t>Юборилган сумма</t>
  </si>
  <si>
    <t>Ойлар номи</t>
  </si>
  <si>
    <t>Мигрантлар сони 01.12.2025 (ишлаш учун кетганлар)</t>
  </si>
  <si>
    <t>Банк номи</t>
  </si>
  <si>
    <t>Ипотека банк</t>
  </si>
  <si>
    <t>Миллий банк</t>
  </si>
  <si>
    <t>Халқ банки</t>
  </si>
  <si>
    <t>СҚБ</t>
  </si>
  <si>
    <t>БРБ</t>
  </si>
  <si>
    <t>Агро банк</t>
  </si>
  <si>
    <t>Капиталбанк</t>
  </si>
  <si>
    <t>Алоқабанк</t>
  </si>
  <si>
    <t>Туронбанк</t>
  </si>
  <si>
    <t>Гарант банк</t>
  </si>
  <si>
    <t>МКБ</t>
  </si>
  <si>
    <t>Ипак йўли банк</t>
  </si>
  <si>
    <t>Универсал банк</t>
  </si>
  <si>
    <t>Анор банк</t>
  </si>
  <si>
    <t>Инфин банк</t>
  </si>
  <si>
    <t>Ҳамкорбанк</t>
  </si>
  <si>
    <t>Асака банк</t>
  </si>
  <si>
    <t>Банк МФо</t>
  </si>
  <si>
    <t>Белгиланган тоифа</t>
  </si>
  <si>
    <t>50000+</t>
  </si>
  <si>
    <t>10000-50000</t>
  </si>
  <si>
    <t>5000-10000</t>
  </si>
  <si>
    <t>1000-5000</t>
  </si>
  <si>
    <t>100-1000</t>
  </si>
  <si>
    <t xml:space="preserve">0-100
</t>
  </si>
  <si>
    <t>Банк номи Валюталар кесимида сони</t>
  </si>
  <si>
    <t>Самарадор</t>
  </si>
  <si>
    <t>Барқарор</t>
  </si>
  <si>
    <t>Ўртача</t>
  </si>
  <si>
    <t>Самарадорлиги паст</t>
  </si>
  <si>
    <t>Корея</t>
  </si>
  <si>
    <t>2024 йил</t>
  </si>
  <si>
    <t>2025 йил</t>
  </si>
  <si>
    <r>
      <t xml:space="preserve">2025 йилдаги банклар улиши </t>
    </r>
    <r>
      <rPr>
        <b/>
        <i/>
        <sz val="10"/>
        <rFont val="Arial"/>
        <family val="2"/>
        <charset val="204"/>
      </rPr>
      <t>(фоизда)</t>
    </r>
  </si>
  <si>
    <r>
      <t xml:space="preserve">2025 йилдаги давлатлар улиши </t>
    </r>
    <r>
      <rPr>
        <b/>
        <i/>
        <sz val="10"/>
        <rFont val="Arial"/>
        <family val="2"/>
        <charset val="204"/>
      </rPr>
      <t>(фоизда)</t>
    </r>
  </si>
  <si>
    <t>Декабрь</t>
  </si>
  <si>
    <t xml:space="preserve">2025 йилда банк даромади </t>
  </si>
  <si>
    <t xml:space="preserve">2025 йил </t>
  </si>
  <si>
    <t xml:space="preserve"> </t>
  </si>
  <si>
    <t>Hududdagi ulushi foizda</t>
  </si>
  <si>
    <t>БўКА ТУМАНИ</t>
  </si>
  <si>
    <t>БўСТОНЛИК ТУМАНИ</t>
  </si>
  <si>
    <t>ҚИБРАЙ ТУМАНИ</t>
  </si>
  <si>
    <t>ҚУЙИЧИРЧИК ТУМАНИ</t>
  </si>
  <si>
    <t>НУРАФШОН ШАҲРИ</t>
  </si>
  <si>
    <t>ОҚҚЎРҒОН ТУМАНИ</t>
  </si>
  <si>
    <t>ОЛМАЛИК ШАҲРИ</t>
  </si>
  <si>
    <t>ОҲАНГАРОН ТУМАНИ</t>
  </si>
  <si>
    <t>ОҲАНГАРОН ШАҲРИ</t>
  </si>
  <si>
    <t>ПИСКЕНТ ТУМАНИ</t>
  </si>
  <si>
    <t>ЎРТАЧИРЧИК ТУМАНИ</t>
  </si>
  <si>
    <t>ЧИРЧИК ШАҲРИ</t>
  </si>
  <si>
    <t>ЮҚОРИЧИРЧИК ТУМАНИ</t>
  </si>
  <si>
    <t>ЯНГИЙЎЛ ТУМАНИ</t>
  </si>
  <si>
    <t>ЯНГИЙЎЛ ШАҲРИ</t>
  </si>
  <si>
    <t>ТОШКЕНТ ШАҲРИ</t>
  </si>
  <si>
    <t>Россия</t>
  </si>
  <si>
    <t>Қозиғистон</t>
  </si>
  <si>
    <t>Қирғтзистон</t>
  </si>
  <si>
    <t>Исроил</t>
  </si>
  <si>
    <t>Полша</t>
  </si>
  <si>
    <t>Буюк британия</t>
  </si>
  <si>
    <t>Тожикистон</t>
  </si>
  <si>
    <t>`ТИФ МИЛЛИЙ БАНКИ` АЖ ЯНГИЙУЛ БХМ</t>
  </si>
  <si>
    <t>`УЗСАНОАТКУРИЛИШБАНКИ` АТБ АНГРЕН БХМ</t>
  </si>
  <si>
    <t>""Инфин банк"" АЖ ТОШКЕНТ ВИЛОЯТи ФИЛИАЛИ</t>
  </si>
  <si>
    <t>ЗАНГИОТА Т., ""Инфин банк"" АЖ ЗАНГИОТА ФИЛИАЛИ</t>
  </si>
  <si>
    <t>"Ҳамкорбанк" АНГРЕН УНИВЕРСАЛ БХО</t>
  </si>
  <si>
    <t>ЯНГИЙУЛ Ш., "Ҳамкорбанк" ЯНГИЙУЛ УНИВЕРСАЛ БХО</t>
  </si>
  <si>
    <t>БЕКОБОД Ш., Ипотека банкАТИБ БЕКОБОД ФИЛИАЛИ</t>
  </si>
  <si>
    <t>ТОШКЕНТ Ш., Ипотека банкАТИБ ТОШКЕНТ ВИЛОЯТ ФИЛИАЛИ</t>
  </si>
  <si>
    <t>АНГРЕН Ш., Ипотека банкАТИБ АНГРЕН ФИЛИАЛИ</t>
  </si>
  <si>
    <t>Ипотека банк АТИБ ОЛМАЛИК ФИЛИАЛИ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</si>
</sst>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0.0%"/>
    <numFmt numFmtId="166" formatCode="#,##0\ _₽;[Red]#,##0\ _₽"/>
    <numFmt numFmtId="167" formatCode="#,##0.0\ _₽;[Red]\-#,##0.0\ _₽"/>
  </numFmts>
  <fonts count="6" x14ac:knownFonts="1"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i/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37" fontId="0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9" fontId="2" fillId="0" borderId="1" xfId="2" applyFont="1" applyBorder="1" applyAlignment="1">
      <alignment horizontal="center" vertical="center"/>
    </xf>
    <xf numFmtId="0" fontId="2" fillId="0" borderId="0" xfId="0" applyFont="1"/>
    <xf numFmtId="37" fontId="2" fillId="0" borderId="1" xfId="1" applyNumberFormat="1" applyFont="1" applyBorder="1" applyAlignment="1">
      <alignment horizontal="center" vertical="center"/>
    </xf>
    <xf numFmtId="165" fontId="0" fillId="0" borderId="1" xfId="2" applyNumberFormat="1" applyFont="1" applyBorder="1" applyAlignment="1">
      <alignment horizontal="center" vertical="center"/>
    </xf>
    <xf numFmtId="166" fontId="0" fillId="0" borderId="1" xfId="1" applyNumberFormat="1" applyFont="1" applyBorder="1" applyAlignment="1">
      <alignment horizontal="center" vertical="center"/>
    </xf>
    <xf numFmtId="166" fontId="2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38" fontId="0" fillId="0" borderId="1" xfId="1" applyNumberFormat="1" applyFont="1" applyBorder="1" applyAlignment="1">
      <alignment horizontal="center" vertical="center"/>
    </xf>
    <xf numFmtId="38" fontId="2" fillId="0" borderId="1" xfId="1" applyNumberFormat="1" applyFont="1" applyBorder="1" applyAlignment="1">
      <alignment horizontal="center" vertical="center"/>
    </xf>
    <xf numFmtId="37" fontId="1" fillId="0" borderId="1" xfId="1" applyNumberFormat="1" applyFont="1" applyBorder="1" applyAlignment="1">
      <alignment horizontal="center" vertical="center"/>
    </xf>
    <xf numFmtId="167" fontId="2" fillId="0" borderId="1" xfId="1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37" fontId="0" fillId="0" borderId="0" xfId="0" applyNumberFormat="1"/>
    <xf numFmtId="16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4" fillId="0" borderId="1" xfId="0" applyFont="1" applyBorder="1" applyAlignment="1">
      <alignment vertical="center"/>
    </xf>
    <xf numFmtId="37" fontId="4" fillId="0" borderId="1" xfId="1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 vertical="center" wrapText="1"/>
    </xf>
    <xf numFmtId="0" fontId="2" fillId="0" borderId="4" xfId="0" applyFont="1" applyBorder="1" applyAlignment="1">
      <alignment vertical="center"/>
    </xf>
    <xf numFmtId="37" fontId="2" fillId="0" borderId="2" xfId="1" applyNumberFormat="1" applyFont="1" applyBorder="1" applyAlignment="1">
      <alignment horizontal="center" vertical="center"/>
    </xf>
    <xf numFmtId="0" fontId="0" fillId="0" borderId="8" xfId="0" applyBorder="1"/>
    <xf numFmtId="37" fontId="0" fillId="0" borderId="2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7" fontId="0" fillId="0" borderId="0" xfId="0" applyNumberForma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2" fontId="4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9" fontId="4" fillId="0" borderId="0" xfId="2" applyFont="1" applyAlignment="1">
      <alignment horizontal="center" vertical="center"/>
    </xf>
    <xf numFmtId="9" fontId="0" fillId="0" borderId="0" xfId="2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ochta\&#1058;&#1072;&#1093;&#1083;&#1080;&#1083;\&#1042;&#1072;&#1083;&#1102;&#1090;&#1072;\2024\&#1055;&#1086;&#1089;&#1090;&#1091;&#1087;&#1083;&#1077;&#1085;&#1080;&#1103;%20&#1044;&#1077;&#1085;&#1055;&#1077;&#1088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¿¿¿¿¿¿¿¿¿¿¿"/>
      <sheetName val="¿¿¿¿¿¿¿¿¿¿¿_1"/>
      <sheetName val="¿¿¿¿¿¿¿¿¿¿¿_2"/>
      <sheetName val="¿¿¿¿¿¿¿¿¿¿¿_3"/>
      <sheetName val="¿¿¿¿¿¿¿¿¿¿¿_4"/>
      <sheetName val="¿¿¿¿¿¿¿¿¿¿¿_5"/>
      <sheetName val="Macro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38">
          <cell r="A138" t="str">
            <v>Recover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zoomScaleNormal="100" workbookViewId="0">
      <selection activeCell="B1" sqref="B1:C3"/>
    </sheetView>
  </sheetViews>
  <sheetFormatPr defaultRowHeight="13.2" x14ac:dyDescent="0.25"/>
  <cols>
    <col min="1" max="1" width="7.33203125" customWidth="1"/>
    <col min="2" max="2" width="20.33203125" bestFit="1" customWidth="1"/>
    <col min="3" max="12" width="15.33203125" customWidth="1"/>
    <col min="13" max="13" width="15.33203125" style="39" customWidth="1"/>
  </cols>
  <sheetData>
    <row r="1" spans="1:13" s="4" customFormat="1" ht="23.25" customHeight="1" x14ac:dyDescent="0.25">
      <c r="A1" s="46" t="s">
        <v>292</v>
      </c>
      <c r="B1" s="46" t="s">
        <v>291</v>
      </c>
      <c r="C1" s="53" t="s">
        <v>288</v>
      </c>
      <c r="D1" s="53" t="s">
        <v>289</v>
      </c>
      <c r="E1" s="50" t="s">
        <v>294</v>
      </c>
      <c r="F1" s="47" t="s">
        <v>509</v>
      </c>
      <c r="G1" s="48"/>
      <c r="H1" s="48"/>
      <c r="I1" s="49"/>
      <c r="J1" s="47" t="s">
        <v>510</v>
      </c>
      <c r="K1" s="48"/>
      <c r="L1" s="48"/>
      <c r="M1" s="49"/>
    </row>
    <row r="2" spans="1:13" s="4" customFormat="1" ht="23.25" customHeight="1" x14ac:dyDescent="0.25">
      <c r="A2" s="46"/>
      <c r="B2" s="46"/>
      <c r="C2" s="53"/>
      <c r="D2" s="53"/>
      <c r="E2" s="51"/>
      <c r="F2" s="46" t="s">
        <v>234</v>
      </c>
      <c r="G2" s="46"/>
      <c r="H2" s="46" t="s">
        <v>1</v>
      </c>
      <c r="I2" s="47"/>
      <c r="J2" s="46" t="s">
        <v>234</v>
      </c>
      <c r="K2" s="46"/>
      <c r="L2" s="46" t="s">
        <v>1</v>
      </c>
      <c r="M2" s="46"/>
    </row>
    <row r="3" spans="1:13" s="4" customFormat="1" ht="23.25" customHeight="1" x14ac:dyDescent="0.25">
      <c r="A3" s="46"/>
      <c r="B3" s="46"/>
      <c r="C3" s="53"/>
      <c r="D3" s="53"/>
      <c r="E3" s="52"/>
      <c r="F3" s="10" t="s">
        <v>290</v>
      </c>
      <c r="G3" s="10" t="s">
        <v>287</v>
      </c>
      <c r="H3" s="10" t="s">
        <v>290</v>
      </c>
      <c r="I3" s="33" t="s">
        <v>287</v>
      </c>
      <c r="J3" s="10" t="s">
        <v>290</v>
      </c>
      <c r="K3" s="10" t="s">
        <v>287</v>
      </c>
      <c r="L3" s="10" t="s">
        <v>290</v>
      </c>
      <c r="M3" s="10" t="s">
        <v>287</v>
      </c>
    </row>
    <row r="4" spans="1:13" s="5" customFormat="1" ht="23.25" customHeight="1" x14ac:dyDescent="0.25">
      <c r="A4" s="37"/>
      <c r="B4" s="37" t="s">
        <v>293</v>
      </c>
      <c r="C4" s="14">
        <f>+F4+H4+J4+L4</f>
        <v>818352</v>
      </c>
      <c r="D4" s="14">
        <f>+G4+I4+K4+M4</f>
        <v>606793663.7499994</v>
      </c>
      <c r="E4" s="12">
        <v>1</v>
      </c>
      <c r="F4" s="14">
        <v>349371</v>
      </c>
      <c r="G4" s="14">
        <v>213229171.5199976</v>
      </c>
      <c r="H4" s="14">
        <v>58944</v>
      </c>
      <c r="I4" s="38">
        <v>63108475.349999905</v>
      </c>
      <c r="J4" s="14">
        <v>357183</v>
      </c>
      <c r="K4" s="14">
        <v>271555856.28000224</v>
      </c>
      <c r="L4" s="14">
        <v>52854</v>
      </c>
      <c r="M4" s="14">
        <v>58900160.599999711</v>
      </c>
    </row>
    <row r="5" spans="1:13" s="4" customFormat="1" ht="24.75" customHeight="1" x14ac:dyDescent="0.25">
      <c r="A5" s="8">
        <v>1</v>
      </c>
      <c r="B5" s="6" t="s">
        <v>2</v>
      </c>
      <c r="C5" s="7">
        <f>+F5+H5+J5+L5</f>
        <v>492212</v>
      </c>
      <c r="D5" s="7">
        <f>+G5+I5+K5+M5</f>
        <v>360586820.02999914</v>
      </c>
      <c r="E5" s="11">
        <f>+D5/D4</f>
        <v>0.59424948144903811</v>
      </c>
      <c r="F5" s="7">
        <v>209393</v>
      </c>
      <c r="G5" s="7">
        <v>129725165.62999742</v>
      </c>
      <c r="H5" s="7">
        <v>45475</v>
      </c>
      <c r="I5" s="40">
        <v>36822898.739999935</v>
      </c>
      <c r="J5" s="7">
        <v>198023</v>
      </c>
      <c r="K5" s="7">
        <v>157657898.62000203</v>
      </c>
      <c r="L5" s="7">
        <v>39321</v>
      </c>
      <c r="M5" s="7">
        <v>36380857.039999701</v>
      </c>
    </row>
    <row r="6" spans="1:13" s="4" customFormat="1" ht="24.75" customHeight="1" x14ac:dyDescent="0.25">
      <c r="A6" s="8">
        <v>2</v>
      </c>
      <c r="B6" s="6" t="s">
        <v>8</v>
      </c>
      <c r="C6" s="7">
        <f t="shared" ref="C6:C18" si="0">+F6+H6+J6+L6</f>
        <v>146386</v>
      </c>
      <c r="D6" s="7">
        <f t="shared" ref="D6:D18" si="1">+G6+I6+K6+M6</f>
        <v>92853167.920000464</v>
      </c>
      <c r="E6" s="11">
        <f>+D6/D4</f>
        <v>0.15302263927109203</v>
      </c>
      <c r="F6" s="7">
        <v>59838</v>
      </c>
      <c r="G6" s="7">
        <v>27650968.380000118</v>
      </c>
      <c r="H6" s="7">
        <v>10672</v>
      </c>
      <c r="I6" s="40">
        <v>15656866.569999974</v>
      </c>
      <c r="J6" s="7">
        <v>65233</v>
      </c>
      <c r="K6" s="7">
        <v>32401920.380000364</v>
      </c>
      <c r="L6" s="7">
        <v>10643</v>
      </c>
      <c r="M6" s="7">
        <v>17143412.590000007</v>
      </c>
    </row>
    <row r="7" spans="1:13" s="4" customFormat="1" ht="24.75" customHeight="1" x14ac:dyDescent="0.25">
      <c r="A7" s="8">
        <v>3</v>
      </c>
      <c r="B7" s="6" t="s">
        <v>20</v>
      </c>
      <c r="C7" s="7">
        <f t="shared" si="0"/>
        <v>38931</v>
      </c>
      <c r="D7" s="7">
        <f t="shared" si="1"/>
        <v>34599895.329999901</v>
      </c>
      <c r="E7" s="11">
        <f>+D7/D4</f>
        <v>5.7020857990130812E-2</v>
      </c>
      <c r="F7" s="7">
        <v>17338</v>
      </c>
      <c r="G7" s="7">
        <v>13579895.649999999</v>
      </c>
      <c r="H7" s="7">
        <v>872</v>
      </c>
      <c r="I7" s="40">
        <v>843731.26000000071</v>
      </c>
      <c r="J7" s="7">
        <v>20180</v>
      </c>
      <c r="K7" s="7">
        <v>19421916.519999903</v>
      </c>
      <c r="L7" s="7">
        <v>541</v>
      </c>
      <c r="M7" s="7">
        <v>754351.90000000014</v>
      </c>
    </row>
    <row r="8" spans="1:13" s="4" customFormat="1" ht="24.75" customHeight="1" x14ac:dyDescent="0.25">
      <c r="A8" s="8">
        <v>4</v>
      </c>
      <c r="B8" s="6" t="s">
        <v>246</v>
      </c>
      <c r="C8" s="7">
        <f t="shared" si="0"/>
        <v>30754</v>
      </c>
      <c r="D8" s="7">
        <f t="shared" si="1"/>
        <v>24224442.629999995</v>
      </c>
      <c r="E8" s="11">
        <f>+D8/D4</f>
        <v>3.9922042824726216E-2</v>
      </c>
      <c r="F8" s="7">
        <v>19995</v>
      </c>
      <c r="G8" s="7">
        <v>15318984.740000006</v>
      </c>
      <c r="H8" s="7">
        <v>10</v>
      </c>
      <c r="I8" s="40">
        <v>3978.75</v>
      </c>
      <c r="J8" s="7">
        <v>10749</v>
      </c>
      <c r="K8" s="7">
        <v>8901479.1399999894</v>
      </c>
      <c r="L8" s="7"/>
      <c r="M8" s="7"/>
    </row>
    <row r="9" spans="1:13" s="4" customFormat="1" ht="24.75" customHeight="1" x14ac:dyDescent="0.25">
      <c r="A9" s="8">
        <v>5</v>
      </c>
      <c r="B9" s="6" t="s">
        <v>198</v>
      </c>
      <c r="C9" s="7">
        <f t="shared" si="0"/>
        <v>35561</v>
      </c>
      <c r="D9" s="7">
        <f t="shared" si="1"/>
        <v>25243705.469999999</v>
      </c>
      <c r="E9" s="11">
        <f>+D9/D4</f>
        <v>4.1601794774838767E-2</v>
      </c>
      <c r="F9" s="7">
        <v>13504</v>
      </c>
      <c r="G9" s="7">
        <v>7372021.3699999992</v>
      </c>
      <c r="H9" s="7">
        <v>28</v>
      </c>
      <c r="I9" s="40">
        <v>7809.1999999999989</v>
      </c>
      <c r="J9" s="7">
        <v>21988</v>
      </c>
      <c r="K9" s="7">
        <v>17852201.619999997</v>
      </c>
      <c r="L9" s="7">
        <v>41</v>
      </c>
      <c r="M9" s="7">
        <v>11673.28</v>
      </c>
    </row>
    <row r="10" spans="1:13" s="4" customFormat="1" ht="24.75" customHeight="1" x14ac:dyDescent="0.25">
      <c r="A10" s="8">
        <v>6</v>
      </c>
      <c r="B10" s="6" t="s">
        <v>35</v>
      </c>
      <c r="C10" s="7">
        <f t="shared" si="0"/>
        <v>19751</v>
      </c>
      <c r="D10" s="7">
        <f t="shared" si="1"/>
        <v>22308322.86999999</v>
      </c>
      <c r="E10" s="11">
        <f>+D10/D4</f>
        <v>3.6764264696064919E-2</v>
      </c>
      <c r="F10" s="7">
        <v>5578</v>
      </c>
      <c r="G10" s="7">
        <v>5496057.8600000022</v>
      </c>
      <c r="H10" s="7">
        <v>120</v>
      </c>
      <c r="I10" s="40">
        <v>66538.470000000016</v>
      </c>
      <c r="J10" s="7">
        <v>13176</v>
      </c>
      <c r="K10" s="7">
        <v>16065372.209999988</v>
      </c>
      <c r="L10" s="7">
        <v>877</v>
      </c>
      <c r="M10" s="7">
        <v>680354.32999999973</v>
      </c>
    </row>
    <row r="11" spans="1:13" s="4" customFormat="1" ht="24.75" customHeight="1" x14ac:dyDescent="0.25">
      <c r="A11" s="8">
        <v>7</v>
      </c>
      <c r="B11" s="6" t="s">
        <v>38</v>
      </c>
      <c r="C11" s="7">
        <f t="shared" si="0"/>
        <v>27943</v>
      </c>
      <c r="D11" s="7">
        <f t="shared" si="1"/>
        <v>16955004.280000001</v>
      </c>
      <c r="E11" s="11">
        <f>+D11/D4</f>
        <v>2.7941959998754217E-2</v>
      </c>
      <c r="F11" s="7">
        <v>10819</v>
      </c>
      <c r="G11" s="7">
        <v>5028143.1499999994</v>
      </c>
      <c r="H11" s="7">
        <v>213</v>
      </c>
      <c r="I11" s="7">
        <v>451952</v>
      </c>
      <c r="J11" s="7">
        <v>16682</v>
      </c>
      <c r="K11" s="7">
        <v>10999004.130000003</v>
      </c>
      <c r="L11" s="7">
        <v>229</v>
      </c>
      <c r="M11" s="7">
        <v>475905</v>
      </c>
    </row>
    <row r="12" spans="1:13" s="4" customFormat="1" ht="24.75" customHeight="1" x14ac:dyDescent="0.25">
      <c r="A12" s="8">
        <v>8</v>
      </c>
      <c r="B12" s="6" t="s">
        <v>66</v>
      </c>
      <c r="C12" s="7">
        <f t="shared" si="0"/>
        <v>3529</v>
      </c>
      <c r="D12" s="7">
        <f t="shared" si="1"/>
        <v>14261653.999999993</v>
      </c>
      <c r="E12" s="11">
        <f>+D12/D4</f>
        <v>2.350330079563229E-2</v>
      </c>
      <c r="F12" s="7">
        <v>572</v>
      </c>
      <c r="G12" s="7">
        <v>973052.83</v>
      </c>
      <c r="H12" s="7">
        <v>1228</v>
      </c>
      <c r="I12" s="7">
        <v>8915660.0799999926</v>
      </c>
      <c r="J12" s="7">
        <v>643</v>
      </c>
      <c r="K12" s="7">
        <v>997003.81000000017</v>
      </c>
      <c r="L12" s="7">
        <v>1086</v>
      </c>
      <c r="M12" s="7">
        <v>3375937.2799999993</v>
      </c>
    </row>
    <row r="13" spans="1:13" s="4" customFormat="1" ht="24.75" customHeight="1" x14ac:dyDescent="0.25">
      <c r="A13" s="8">
        <v>9</v>
      </c>
      <c r="B13" s="6" t="s">
        <v>189</v>
      </c>
      <c r="C13" s="7">
        <f t="shared" si="0"/>
        <v>13717</v>
      </c>
      <c r="D13" s="7">
        <f t="shared" si="1"/>
        <v>9186631.390000008</v>
      </c>
      <c r="E13" s="11">
        <f>+D13/D4</f>
        <v>1.5139629727222935E-2</v>
      </c>
      <c r="F13" s="7">
        <v>5402</v>
      </c>
      <c r="G13" s="7">
        <v>3643629.1600000034</v>
      </c>
      <c r="H13" s="7">
        <v>114</v>
      </c>
      <c r="I13" s="7">
        <v>59570.999999999993</v>
      </c>
      <c r="J13" s="7">
        <v>8086</v>
      </c>
      <c r="K13" s="7">
        <v>5405763.0500000045</v>
      </c>
      <c r="L13" s="7">
        <v>115</v>
      </c>
      <c r="M13" s="7">
        <v>77668.179999999993</v>
      </c>
    </row>
    <row r="14" spans="1:13" s="4" customFormat="1" ht="24.75" customHeight="1" x14ac:dyDescent="0.25">
      <c r="A14" s="8">
        <v>10</v>
      </c>
      <c r="B14" s="6" t="s">
        <v>280</v>
      </c>
      <c r="C14" s="7">
        <f t="shared" si="0"/>
        <v>7140</v>
      </c>
      <c r="D14" s="7">
        <f t="shared" si="1"/>
        <v>4719372.0300000049</v>
      </c>
      <c r="E14" s="11">
        <f>+D14/D4</f>
        <v>7.7775565434124224E-3</v>
      </c>
      <c r="F14" s="7">
        <v>6928</v>
      </c>
      <c r="G14" s="7">
        <v>4439902.7500000047</v>
      </c>
      <c r="H14" s="7">
        <v>212</v>
      </c>
      <c r="I14" s="7">
        <v>279469.27999999997</v>
      </c>
      <c r="J14" s="7"/>
      <c r="K14" s="7"/>
      <c r="L14" s="7"/>
      <c r="M14" s="7"/>
    </row>
    <row r="15" spans="1:13" s="4" customFormat="1" ht="24.75" customHeight="1" x14ac:dyDescent="0.25">
      <c r="A15" s="8">
        <v>11</v>
      </c>
      <c r="B15" s="6" t="s">
        <v>248</v>
      </c>
      <c r="C15" s="7">
        <f t="shared" si="0"/>
        <v>2369</v>
      </c>
      <c r="D15" s="7">
        <f t="shared" si="1"/>
        <v>1774336.7999999998</v>
      </c>
      <c r="E15" s="15">
        <f>+D15/D4</f>
        <v>2.9241188660978361E-3</v>
      </c>
      <c r="F15" s="7">
        <v>2</v>
      </c>
      <c r="G15" s="7">
        <v>250</v>
      </c>
      <c r="H15" s="7"/>
      <c r="I15" s="7"/>
      <c r="J15" s="7">
        <v>2367</v>
      </c>
      <c r="K15" s="7">
        <v>1774086.7999999998</v>
      </c>
      <c r="L15" s="7"/>
      <c r="M15" s="7"/>
    </row>
    <row r="16" spans="1:13" s="4" customFormat="1" ht="24.75" customHeight="1" x14ac:dyDescent="0.25">
      <c r="A16" s="8">
        <v>12</v>
      </c>
      <c r="B16" s="6" t="s">
        <v>247</v>
      </c>
      <c r="C16" s="7">
        <f t="shared" si="0"/>
        <v>22</v>
      </c>
      <c r="D16" s="7">
        <f t="shared" si="1"/>
        <v>15710</v>
      </c>
      <c r="E16" s="15">
        <f>+D16/D4</f>
        <v>2.5890184651751014E-5</v>
      </c>
      <c r="F16" s="7">
        <v>2</v>
      </c>
      <c r="G16" s="7">
        <v>1100</v>
      </c>
      <c r="H16" s="7"/>
      <c r="I16" s="7"/>
      <c r="J16" s="7">
        <v>20</v>
      </c>
      <c r="K16" s="7">
        <v>14610</v>
      </c>
      <c r="L16" s="7"/>
      <c r="M16" s="7"/>
    </row>
    <row r="17" spans="1:13" s="4" customFormat="1" ht="24.75" customHeight="1" x14ac:dyDescent="0.25">
      <c r="A17" s="8">
        <v>13</v>
      </c>
      <c r="B17" s="6" t="s">
        <v>249</v>
      </c>
      <c r="C17" s="7">
        <f t="shared" si="0"/>
        <v>34</v>
      </c>
      <c r="D17" s="7">
        <f t="shared" si="1"/>
        <v>58300</v>
      </c>
      <c r="E17" s="15">
        <f>+D17/D4</f>
        <v>9.6078788363913685E-5</v>
      </c>
      <c r="F17" s="7"/>
      <c r="G17" s="7"/>
      <c r="H17" s="7"/>
      <c r="I17" s="7"/>
      <c r="J17" s="7">
        <v>34</v>
      </c>
      <c r="K17" s="7">
        <v>58300</v>
      </c>
      <c r="L17" s="7"/>
      <c r="M17" s="7"/>
    </row>
    <row r="18" spans="1:13" s="4" customFormat="1" ht="24.75" customHeight="1" x14ac:dyDescent="0.25">
      <c r="A18" s="8">
        <v>14</v>
      </c>
      <c r="B18" s="6" t="s">
        <v>223</v>
      </c>
      <c r="C18" s="7">
        <f t="shared" si="0"/>
        <v>3</v>
      </c>
      <c r="D18" s="7">
        <f t="shared" si="1"/>
        <v>6301</v>
      </c>
      <c r="E18" s="15">
        <f>+D18/D4</f>
        <v>1.0384089973945457E-5</v>
      </c>
      <c r="F18" s="7"/>
      <c r="G18" s="7"/>
      <c r="H18" s="7"/>
      <c r="I18" s="7"/>
      <c r="J18" s="7">
        <v>2</v>
      </c>
      <c r="K18" s="7">
        <v>6300</v>
      </c>
      <c r="L18" s="7">
        <v>1</v>
      </c>
      <c r="M18" s="7">
        <v>1</v>
      </c>
    </row>
    <row r="22" spans="1:13" x14ac:dyDescent="0.25">
      <c r="J22" s="24"/>
      <c r="K22" s="24"/>
    </row>
  </sheetData>
  <autoFilter ref="A4:W4" xr:uid="{00000000-0009-0000-0000-000000000000}">
    <sortState xmlns:xlrd2="http://schemas.microsoft.com/office/spreadsheetml/2017/richdata2" ref="A5:W20">
      <sortCondition descending="1" ref="D4"/>
    </sortState>
  </autoFilter>
  <mergeCells count="11">
    <mergeCell ref="J2:K2"/>
    <mergeCell ref="L2:M2"/>
    <mergeCell ref="B1:B3"/>
    <mergeCell ref="A1:A3"/>
    <mergeCell ref="F1:I1"/>
    <mergeCell ref="J1:M1"/>
    <mergeCell ref="E1:E3"/>
    <mergeCell ref="C1:C3"/>
    <mergeCell ref="D1:D3"/>
    <mergeCell ref="F2:G2"/>
    <mergeCell ref="H2:I2"/>
  </mergeCells>
  <pageMargins left="0.7" right="0.7" top="0.75" bottom="0.75" header="0.3" footer="0.3"/>
  <pageSetup scale="4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1"/>
  <sheetViews>
    <sheetView zoomScaleNormal="100" workbookViewId="0">
      <selection activeCell="B13" sqref="B13"/>
    </sheetView>
  </sheetViews>
  <sheetFormatPr defaultRowHeight="13.2" x14ac:dyDescent="0.25"/>
  <cols>
    <col min="2" max="2" width="42.44140625" bestFit="1" customWidth="1"/>
    <col min="3" max="3" width="14.44140625" customWidth="1"/>
    <col min="4" max="4" width="14.5546875" customWidth="1"/>
    <col min="5" max="6" width="15" customWidth="1"/>
    <col min="7" max="14" width="15.5546875" customWidth="1"/>
  </cols>
  <sheetData>
    <row r="1" spans="1:14" s="13" customFormat="1" ht="20.25" customHeight="1" x14ac:dyDescent="0.25">
      <c r="A1" s="46" t="s">
        <v>292</v>
      </c>
      <c r="B1" s="46" t="s">
        <v>295</v>
      </c>
      <c r="C1" s="53" t="s">
        <v>296</v>
      </c>
      <c r="D1" s="53" t="s">
        <v>288</v>
      </c>
      <c r="E1" s="53" t="s">
        <v>289</v>
      </c>
      <c r="F1" s="50" t="s">
        <v>511</v>
      </c>
      <c r="G1" s="47" t="s">
        <v>509</v>
      </c>
      <c r="H1" s="48"/>
      <c r="I1" s="48"/>
      <c r="J1" s="49"/>
      <c r="K1" s="47" t="s">
        <v>510</v>
      </c>
      <c r="L1" s="48"/>
      <c r="M1" s="48"/>
      <c r="N1" s="49"/>
    </row>
    <row r="2" spans="1:14" s="13" customFormat="1" ht="20.25" customHeight="1" x14ac:dyDescent="0.25">
      <c r="A2" s="46"/>
      <c r="B2" s="46"/>
      <c r="C2" s="53"/>
      <c r="D2" s="53"/>
      <c r="E2" s="53"/>
      <c r="F2" s="51"/>
      <c r="G2" s="46" t="s">
        <v>234</v>
      </c>
      <c r="H2" s="46"/>
      <c r="I2" s="46" t="s">
        <v>1</v>
      </c>
      <c r="J2" s="46"/>
      <c r="K2" s="46" t="s">
        <v>234</v>
      </c>
      <c r="L2" s="46"/>
      <c r="M2" s="46" t="s">
        <v>1</v>
      </c>
      <c r="N2" s="46"/>
    </row>
    <row r="3" spans="1:14" s="13" customFormat="1" ht="20.25" customHeight="1" x14ac:dyDescent="0.25">
      <c r="A3" s="46"/>
      <c r="B3" s="46"/>
      <c r="C3" s="53"/>
      <c r="D3" s="53"/>
      <c r="E3" s="53"/>
      <c r="F3" s="52"/>
      <c r="G3" s="10" t="s">
        <v>290</v>
      </c>
      <c r="H3" s="10" t="s">
        <v>287</v>
      </c>
      <c r="I3" s="10" t="s">
        <v>290</v>
      </c>
      <c r="J3" s="10" t="s">
        <v>287</v>
      </c>
      <c r="K3" s="10" t="s">
        <v>290</v>
      </c>
      <c r="L3" s="10" t="s">
        <v>287</v>
      </c>
      <c r="M3" s="10" t="s">
        <v>290</v>
      </c>
      <c r="N3" s="10" t="s">
        <v>287</v>
      </c>
    </row>
    <row r="4" spans="1:14" s="13" customFormat="1" ht="19.5" customHeight="1" x14ac:dyDescent="0.25">
      <c r="A4" s="9"/>
      <c r="B4" s="9" t="s">
        <v>293</v>
      </c>
      <c r="C4" s="9"/>
      <c r="D4" s="14">
        <f>+G4+I4+K4+M4</f>
        <v>818352</v>
      </c>
      <c r="E4" s="14">
        <f>+H4+J4+L4+N4</f>
        <v>606793663.75000358</v>
      </c>
      <c r="F4" s="12">
        <v>1</v>
      </c>
      <c r="G4" s="14">
        <v>349371</v>
      </c>
      <c r="H4" s="14">
        <v>213229171.52000147</v>
      </c>
      <c r="I4" s="14">
        <v>58944</v>
      </c>
      <c r="J4" s="14">
        <v>63108475.349999957</v>
      </c>
      <c r="K4" s="14">
        <v>357183</v>
      </c>
      <c r="L4" s="14">
        <v>271555856.28000212</v>
      </c>
      <c r="M4" s="14">
        <v>52854</v>
      </c>
      <c r="N4" s="14">
        <v>58900160.600000054</v>
      </c>
    </row>
    <row r="5" spans="1:14" s="4" customFormat="1" ht="19.5" customHeight="1" x14ac:dyDescent="0.25">
      <c r="A5" s="8">
        <v>1</v>
      </c>
      <c r="B5" s="6" t="s">
        <v>24</v>
      </c>
      <c r="C5" s="8">
        <v>7</v>
      </c>
      <c r="D5" s="7">
        <f>+G5+I5+K5+M5</f>
        <v>165472</v>
      </c>
      <c r="E5" s="7">
        <f>+H5+J5+L5+N5</f>
        <v>116782214.31000352</v>
      </c>
      <c r="F5" s="11">
        <v>0.16895743547703859</v>
      </c>
      <c r="G5" s="7">
        <v>73604</v>
      </c>
      <c r="H5" s="7">
        <v>41492539.440001428</v>
      </c>
      <c r="I5" s="7">
        <v>14366</v>
      </c>
      <c r="J5" s="7">
        <v>19456673.719999962</v>
      </c>
      <c r="K5" s="7">
        <v>67179</v>
      </c>
      <c r="L5" s="7">
        <v>45216401.440002121</v>
      </c>
      <c r="M5" s="7">
        <v>10323</v>
      </c>
      <c r="N5" s="7">
        <v>10616599.710000016</v>
      </c>
    </row>
    <row r="6" spans="1:14" s="4" customFormat="1" ht="19.5" customHeight="1" x14ac:dyDescent="0.25">
      <c r="A6" s="8">
        <v>2</v>
      </c>
      <c r="B6" s="6" t="s">
        <v>135</v>
      </c>
      <c r="C6" s="8">
        <v>6</v>
      </c>
      <c r="D6" s="7">
        <f t="shared" ref="D6:D21" si="0">+G6+I6+K6+M6</f>
        <v>117782</v>
      </c>
      <c r="E6" s="7">
        <f t="shared" ref="E6:E21" si="1">+H6+J6+L6+N6</f>
        <v>89268661.210000098</v>
      </c>
      <c r="F6" s="11">
        <v>0.13998239792013717</v>
      </c>
      <c r="G6" s="7">
        <v>53384</v>
      </c>
      <c r="H6" s="7">
        <v>35768668.52000007</v>
      </c>
      <c r="I6" s="7">
        <v>9360</v>
      </c>
      <c r="J6" s="7">
        <v>7241967.0399999991</v>
      </c>
      <c r="K6" s="7">
        <v>47878</v>
      </c>
      <c r="L6" s="7">
        <v>39798195.370000027</v>
      </c>
      <c r="M6" s="7">
        <v>7160</v>
      </c>
      <c r="N6" s="7">
        <v>6459830.2799999984</v>
      </c>
    </row>
    <row r="7" spans="1:14" s="4" customFormat="1" ht="19.5" customHeight="1" x14ac:dyDescent="0.25">
      <c r="A7" s="8">
        <v>3</v>
      </c>
      <c r="B7" s="6" t="s">
        <v>88</v>
      </c>
      <c r="C7" s="8">
        <v>9</v>
      </c>
      <c r="D7" s="7">
        <f t="shared" si="0"/>
        <v>99040</v>
      </c>
      <c r="E7" s="7">
        <f t="shared" si="1"/>
        <v>84403854.410000026</v>
      </c>
      <c r="F7" s="11">
        <v>0.16750672184038476</v>
      </c>
      <c r="G7" s="7">
        <v>34827</v>
      </c>
      <c r="H7" s="7">
        <v>24139937.020000003</v>
      </c>
      <c r="I7" s="7">
        <v>4922</v>
      </c>
      <c r="J7" s="7">
        <v>4910313.29</v>
      </c>
      <c r="K7" s="7">
        <v>53371</v>
      </c>
      <c r="L7" s="7">
        <v>49558459.999999993</v>
      </c>
      <c r="M7" s="7">
        <v>5920</v>
      </c>
      <c r="N7" s="7">
        <v>5795144.1000000192</v>
      </c>
    </row>
    <row r="8" spans="1:14" s="4" customFormat="1" ht="19.5" customHeight="1" x14ac:dyDescent="0.25">
      <c r="A8" s="8">
        <v>4</v>
      </c>
      <c r="B8" s="6" t="s">
        <v>57</v>
      </c>
      <c r="C8" s="8">
        <v>8</v>
      </c>
      <c r="D8" s="7">
        <f t="shared" si="0"/>
        <v>92170</v>
      </c>
      <c r="E8" s="7">
        <f t="shared" si="1"/>
        <v>71204315.680000037</v>
      </c>
      <c r="F8" s="11">
        <v>0.11875767468398286</v>
      </c>
      <c r="G8" s="7">
        <v>40764</v>
      </c>
      <c r="H8" s="7">
        <v>26445818.210000001</v>
      </c>
      <c r="I8" s="7">
        <v>5508</v>
      </c>
      <c r="J8" s="7">
        <v>5514309.3199999994</v>
      </c>
      <c r="K8" s="7">
        <v>40547</v>
      </c>
      <c r="L8" s="7">
        <v>32921831.120000038</v>
      </c>
      <c r="M8" s="7">
        <v>5351</v>
      </c>
      <c r="N8" s="7">
        <v>6322357.0300000031</v>
      </c>
    </row>
    <row r="9" spans="1:14" s="4" customFormat="1" ht="19.5" customHeight="1" x14ac:dyDescent="0.25">
      <c r="A9" s="8">
        <v>5</v>
      </c>
      <c r="B9" s="6" t="s">
        <v>44</v>
      </c>
      <c r="C9" s="8">
        <v>6</v>
      </c>
      <c r="D9" s="7">
        <f t="shared" si="0"/>
        <v>80748</v>
      </c>
      <c r="E9" s="7">
        <f t="shared" si="1"/>
        <v>54193006.36999999</v>
      </c>
      <c r="F9" s="11">
        <v>8.5107786069492986E-2</v>
      </c>
      <c r="G9" s="7">
        <v>38133</v>
      </c>
      <c r="H9" s="7">
        <v>23493702.090000004</v>
      </c>
      <c r="I9" s="7">
        <v>3787</v>
      </c>
      <c r="J9" s="7">
        <v>2574924.29</v>
      </c>
      <c r="K9" s="7">
        <v>35447</v>
      </c>
      <c r="L9" s="7">
        <v>25476798.149999987</v>
      </c>
      <c r="M9" s="7">
        <v>3381</v>
      </c>
      <c r="N9" s="7">
        <v>2647581.84</v>
      </c>
    </row>
    <row r="10" spans="1:14" s="4" customFormat="1" ht="19.5" customHeight="1" x14ac:dyDescent="0.25">
      <c r="A10" s="8">
        <v>6</v>
      </c>
      <c r="B10" s="6" t="s">
        <v>19</v>
      </c>
      <c r="C10" s="8">
        <v>8</v>
      </c>
      <c r="D10" s="7">
        <f t="shared" si="0"/>
        <v>56858</v>
      </c>
      <c r="E10" s="7">
        <f t="shared" si="1"/>
        <v>44080274.31999997</v>
      </c>
      <c r="F10" s="11">
        <v>6.3726275190344003E-2</v>
      </c>
      <c r="G10" s="7">
        <v>23269</v>
      </c>
      <c r="H10" s="7">
        <v>13539916.01999999</v>
      </c>
      <c r="I10" s="7">
        <v>7315</v>
      </c>
      <c r="J10" s="7">
        <v>9481627.2300000004</v>
      </c>
      <c r="K10" s="7">
        <v>20391</v>
      </c>
      <c r="L10" s="7">
        <v>13743909.029999981</v>
      </c>
      <c r="M10" s="7">
        <v>5883</v>
      </c>
      <c r="N10" s="7">
        <v>7314822.040000001</v>
      </c>
    </row>
    <row r="11" spans="1:14" s="4" customFormat="1" ht="19.5" customHeight="1" x14ac:dyDescent="0.25">
      <c r="A11" s="8">
        <v>7</v>
      </c>
      <c r="B11" s="6" t="s">
        <v>34</v>
      </c>
      <c r="C11" s="8">
        <v>10</v>
      </c>
      <c r="D11" s="7">
        <f t="shared" si="0"/>
        <v>34141</v>
      </c>
      <c r="E11" s="7">
        <f t="shared" si="1"/>
        <v>30778067.889999989</v>
      </c>
      <c r="F11" s="11">
        <v>6.1750325543050703E-2</v>
      </c>
      <c r="G11" s="7">
        <v>9631</v>
      </c>
      <c r="H11" s="7">
        <v>6864414.2699999996</v>
      </c>
      <c r="I11" s="7">
        <v>2886</v>
      </c>
      <c r="J11" s="7">
        <v>3507887</v>
      </c>
      <c r="K11" s="7">
        <v>17059</v>
      </c>
      <c r="L11" s="7">
        <v>14066013.039999986</v>
      </c>
      <c r="M11" s="7">
        <v>4565</v>
      </c>
      <c r="N11" s="7">
        <v>6339753.5800000019</v>
      </c>
    </row>
    <row r="12" spans="1:14" s="4" customFormat="1" ht="19.5" customHeight="1" x14ac:dyDescent="0.25">
      <c r="A12" s="8">
        <v>8</v>
      </c>
      <c r="B12" s="6" t="s">
        <v>102</v>
      </c>
      <c r="C12" s="8">
        <v>10</v>
      </c>
      <c r="D12" s="7">
        <f t="shared" si="0"/>
        <v>41778</v>
      </c>
      <c r="E12" s="7">
        <f t="shared" si="1"/>
        <v>26853009.329999994</v>
      </c>
      <c r="F12" s="11">
        <v>4.8676717439952361E-2</v>
      </c>
      <c r="G12" s="7">
        <v>16452</v>
      </c>
      <c r="H12" s="7">
        <v>9037930.4300000016</v>
      </c>
      <c r="I12" s="7">
        <v>2701</v>
      </c>
      <c r="J12" s="7">
        <v>1729564.7399999998</v>
      </c>
      <c r="K12" s="7">
        <v>20058</v>
      </c>
      <c r="L12" s="7">
        <v>13829977.729999993</v>
      </c>
      <c r="M12" s="7">
        <v>2567</v>
      </c>
      <c r="N12" s="7">
        <v>2255536.4300000002</v>
      </c>
    </row>
    <row r="13" spans="1:14" s="4" customFormat="1" ht="19.5" customHeight="1" x14ac:dyDescent="0.25">
      <c r="A13" s="8">
        <v>9</v>
      </c>
      <c r="B13" s="6" t="s">
        <v>115</v>
      </c>
      <c r="C13" s="8">
        <v>9</v>
      </c>
      <c r="D13" s="7">
        <f t="shared" si="0"/>
        <v>39885</v>
      </c>
      <c r="E13" s="7">
        <f t="shared" si="1"/>
        <v>25356674.150000002</v>
      </c>
      <c r="F13" s="11">
        <v>4.6799018084200228E-2</v>
      </c>
      <c r="G13" s="7">
        <v>15984</v>
      </c>
      <c r="H13" s="7">
        <v>8536658.9000000041</v>
      </c>
      <c r="I13" s="7">
        <v>1932</v>
      </c>
      <c r="J13" s="7">
        <v>1354998.1400000001</v>
      </c>
      <c r="K13" s="7">
        <v>19813</v>
      </c>
      <c r="L13" s="7">
        <v>13134440.199999996</v>
      </c>
      <c r="M13" s="7">
        <v>2156</v>
      </c>
      <c r="N13" s="7">
        <v>2330576.91</v>
      </c>
    </row>
    <row r="14" spans="1:14" s="4" customFormat="1" ht="19.5" customHeight="1" x14ac:dyDescent="0.25">
      <c r="A14" s="8">
        <v>10</v>
      </c>
      <c r="B14" s="6" t="s">
        <v>170</v>
      </c>
      <c r="C14" s="8">
        <v>5</v>
      </c>
      <c r="D14" s="7">
        <f t="shared" si="0"/>
        <v>30188</v>
      </c>
      <c r="E14" s="7">
        <f t="shared" si="1"/>
        <v>19346071.119999994</v>
      </c>
      <c r="F14" s="11">
        <v>3.0239924678474597E-2</v>
      </c>
      <c r="G14" s="7">
        <v>14053</v>
      </c>
      <c r="H14" s="7">
        <v>7218310.2299999995</v>
      </c>
      <c r="I14" s="7">
        <v>2025</v>
      </c>
      <c r="J14" s="7">
        <v>2134795.83</v>
      </c>
      <c r="K14" s="7">
        <v>12259</v>
      </c>
      <c r="L14" s="7">
        <v>7693250.2899999954</v>
      </c>
      <c r="M14" s="7">
        <v>1851</v>
      </c>
      <c r="N14" s="7">
        <v>2299714.77</v>
      </c>
    </row>
    <row r="15" spans="1:14" s="4" customFormat="1" ht="19.5" customHeight="1" x14ac:dyDescent="0.25">
      <c r="A15" s="8">
        <v>11</v>
      </c>
      <c r="B15" s="6" t="s">
        <v>48</v>
      </c>
      <c r="C15" s="8">
        <v>7</v>
      </c>
      <c r="D15" s="7">
        <f t="shared" si="0"/>
        <v>19633</v>
      </c>
      <c r="E15" s="7">
        <f t="shared" si="1"/>
        <v>14429336.460000001</v>
      </c>
      <c r="F15" s="15">
        <v>2.1908122140892744E-2</v>
      </c>
      <c r="G15" s="7">
        <v>8479</v>
      </c>
      <c r="H15" s="7">
        <v>4934309.8599999985</v>
      </c>
      <c r="I15" s="7">
        <v>1778</v>
      </c>
      <c r="J15" s="7">
        <v>2255355.8199999998</v>
      </c>
      <c r="K15" s="7">
        <v>7975</v>
      </c>
      <c r="L15" s="7">
        <v>5388747.3400000008</v>
      </c>
      <c r="M15" s="7">
        <v>1401</v>
      </c>
      <c r="N15" s="7">
        <v>1850923.4400000004</v>
      </c>
    </row>
    <row r="16" spans="1:14" s="4" customFormat="1" ht="19.5" customHeight="1" x14ac:dyDescent="0.25">
      <c r="A16" s="8">
        <v>12</v>
      </c>
      <c r="B16" s="6" t="s">
        <v>5</v>
      </c>
      <c r="C16" s="8">
        <v>7</v>
      </c>
      <c r="D16" s="7">
        <f t="shared" si="0"/>
        <v>17110</v>
      </c>
      <c r="E16" s="7">
        <f t="shared" si="1"/>
        <v>13745694.919999998</v>
      </c>
      <c r="F16" s="15">
        <v>2.0668724069503638E-2</v>
      </c>
      <c r="G16" s="7">
        <v>8798</v>
      </c>
      <c r="H16" s="7">
        <v>4859186.6899999958</v>
      </c>
      <c r="I16" s="7">
        <v>1789</v>
      </c>
      <c r="J16" s="7">
        <v>2056404</v>
      </c>
      <c r="K16" s="7">
        <v>5121</v>
      </c>
      <c r="L16" s="7">
        <v>3939273.8700000006</v>
      </c>
      <c r="M16" s="7">
        <v>1402</v>
      </c>
      <c r="N16" s="7">
        <v>2890830.3600000003</v>
      </c>
    </row>
    <row r="17" spans="1:14" s="4" customFormat="1" ht="19.5" customHeight="1" x14ac:dyDescent="0.25">
      <c r="A17" s="8">
        <v>13</v>
      </c>
      <c r="B17" s="6" t="s">
        <v>207</v>
      </c>
      <c r="C17" s="8">
        <v>4</v>
      </c>
      <c r="D17" s="7">
        <f t="shared" si="0"/>
        <v>18322</v>
      </c>
      <c r="E17" s="7">
        <f t="shared" si="1"/>
        <v>10470972.73</v>
      </c>
      <c r="F17" s="15">
        <v>1.2998400121610678E-2</v>
      </c>
      <c r="G17" s="7">
        <v>10827</v>
      </c>
      <c r="H17" s="7">
        <v>6053060.1999999993</v>
      </c>
      <c r="I17" s="7">
        <v>67</v>
      </c>
      <c r="J17" s="7">
        <v>122513</v>
      </c>
      <c r="K17" s="7">
        <v>7409</v>
      </c>
      <c r="L17" s="7">
        <v>4236669.53</v>
      </c>
      <c r="M17" s="7">
        <v>19</v>
      </c>
      <c r="N17" s="7">
        <v>58730</v>
      </c>
    </row>
    <row r="18" spans="1:14" s="4" customFormat="1" ht="19.5" customHeight="1" x14ac:dyDescent="0.25">
      <c r="A18" s="8">
        <v>14</v>
      </c>
      <c r="B18" s="6" t="s">
        <v>173</v>
      </c>
      <c r="C18" s="8">
        <v>10</v>
      </c>
      <c r="D18" s="7">
        <f t="shared" si="0"/>
        <v>3810</v>
      </c>
      <c r="E18" s="7">
        <f t="shared" si="1"/>
        <v>4040395.6799999997</v>
      </c>
      <c r="F18" s="15">
        <v>7.3921066200075798E-3</v>
      </c>
      <c r="G18" s="7">
        <v>1161</v>
      </c>
      <c r="H18" s="7">
        <v>839919.64</v>
      </c>
      <c r="I18" s="7">
        <v>502</v>
      </c>
      <c r="J18" s="7">
        <v>757709.92999999993</v>
      </c>
      <c r="K18" s="7">
        <v>1652</v>
      </c>
      <c r="L18" s="7">
        <v>1695110.11</v>
      </c>
      <c r="M18" s="7">
        <v>495</v>
      </c>
      <c r="N18" s="7">
        <v>747656</v>
      </c>
    </row>
    <row r="19" spans="1:14" s="4" customFormat="1" ht="19.5" customHeight="1" x14ac:dyDescent="0.25">
      <c r="A19" s="8">
        <v>15</v>
      </c>
      <c r="B19" s="6" t="s">
        <v>164</v>
      </c>
      <c r="C19" s="8">
        <v>5</v>
      </c>
      <c r="D19" s="7">
        <f t="shared" si="0"/>
        <v>640</v>
      </c>
      <c r="E19" s="7">
        <f t="shared" si="1"/>
        <v>1033986.5300000001</v>
      </c>
      <c r="F19" s="15">
        <v>3.1289686892748262E-3</v>
      </c>
      <c r="G19" s="7"/>
      <c r="H19" s="7"/>
      <c r="I19" s="7"/>
      <c r="J19" s="7"/>
      <c r="K19" s="7">
        <v>395</v>
      </c>
      <c r="L19" s="7">
        <v>278486.01000000013</v>
      </c>
      <c r="M19" s="7">
        <v>245</v>
      </c>
      <c r="N19" s="7">
        <v>755500.52</v>
      </c>
    </row>
    <row r="20" spans="1:14" s="4" customFormat="1" ht="19.5" customHeight="1" x14ac:dyDescent="0.25">
      <c r="A20" s="8">
        <v>16</v>
      </c>
      <c r="B20" s="6" t="s">
        <v>188</v>
      </c>
      <c r="C20" s="8">
        <v>5</v>
      </c>
      <c r="D20" s="7">
        <f t="shared" si="0"/>
        <v>768</v>
      </c>
      <c r="E20" s="7">
        <f t="shared" si="1"/>
        <v>798053.82</v>
      </c>
      <c r="F20" s="15">
        <v>2.3733077321596834E-3</v>
      </c>
      <c r="G20" s="7">
        <v>5</v>
      </c>
      <c r="H20" s="7">
        <v>4800</v>
      </c>
      <c r="I20" s="7">
        <v>5</v>
      </c>
      <c r="J20" s="7">
        <v>8980</v>
      </c>
      <c r="K20" s="7">
        <v>623</v>
      </c>
      <c r="L20" s="7">
        <v>569670.23</v>
      </c>
      <c r="M20" s="7">
        <v>135</v>
      </c>
      <c r="N20" s="7">
        <v>214603.59</v>
      </c>
    </row>
    <row r="21" spans="1:14" s="4" customFormat="1" ht="19.5" customHeight="1" x14ac:dyDescent="0.25">
      <c r="A21" s="8">
        <v>17</v>
      </c>
      <c r="B21" s="6" t="s">
        <v>267</v>
      </c>
      <c r="C21" s="8">
        <v>1</v>
      </c>
      <c r="D21" s="7">
        <f t="shared" si="0"/>
        <v>7</v>
      </c>
      <c r="E21" s="7">
        <f t="shared" si="1"/>
        <v>9074.82</v>
      </c>
      <c r="F21" s="15">
        <v>2.6093699492635319E-5</v>
      </c>
      <c r="G21" s="7"/>
      <c r="H21" s="7"/>
      <c r="I21" s="7">
        <v>1</v>
      </c>
      <c r="J21" s="7">
        <v>452</v>
      </c>
      <c r="K21" s="7">
        <v>6</v>
      </c>
      <c r="L21" s="7">
        <v>8622.82</v>
      </c>
      <c r="M21" s="7"/>
      <c r="N21" s="7"/>
    </row>
  </sheetData>
  <autoFilter ref="B4:X22" xr:uid="{00000000-0009-0000-0000-000001000000}">
    <sortState xmlns:xlrd2="http://schemas.microsoft.com/office/spreadsheetml/2017/richdata2" ref="B5:X22">
      <sortCondition descending="1" ref="E4:E22"/>
    </sortState>
  </autoFilter>
  <mergeCells count="12">
    <mergeCell ref="D1:D3"/>
    <mergeCell ref="E1:E3"/>
    <mergeCell ref="B1:B3"/>
    <mergeCell ref="A1:A3"/>
    <mergeCell ref="F1:F3"/>
    <mergeCell ref="C1:C3"/>
    <mergeCell ref="G1:J1"/>
    <mergeCell ref="G2:H2"/>
    <mergeCell ref="I2:J2"/>
    <mergeCell ref="K1:N1"/>
    <mergeCell ref="K2:L2"/>
    <mergeCell ref="M2:N2"/>
  </mergeCells>
  <pageMargins left="0.7" right="0.7" top="0.75" bottom="0.75" header="0.3" footer="0.3"/>
  <pageSetup scale="3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7"/>
  <sheetViews>
    <sheetView zoomScaleNormal="100" workbookViewId="0">
      <selection activeCell="F12" sqref="F12"/>
    </sheetView>
  </sheetViews>
  <sheetFormatPr defaultRowHeight="13.2" x14ac:dyDescent="0.25"/>
  <cols>
    <col min="2" max="2" width="25.6640625" customWidth="1"/>
    <col min="3" max="4" width="14" customWidth="1"/>
    <col min="5" max="13" width="13.33203125" customWidth="1"/>
    <col min="14" max="14" width="17" customWidth="1"/>
    <col min="15" max="15" width="18.5546875" customWidth="1"/>
  </cols>
  <sheetData>
    <row r="1" spans="1:15" ht="24" customHeight="1" x14ac:dyDescent="0.25">
      <c r="A1" s="46" t="s">
        <v>292</v>
      </c>
      <c r="B1" s="46" t="s">
        <v>441</v>
      </c>
      <c r="C1" s="53" t="s">
        <v>288</v>
      </c>
      <c r="D1" s="53" t="s">
        <v>289</v>
      </c>
      <c r="E1" s="50" t="s">
        <v>294</v>
      </c>
      <c r="F1" s="47" t="s">
        <v>509</v>
      </c>
      <c r="G1" s="48"/>
      <c r="H1" s="48"/>
      <c r="I1" s="49"/>
      <c r="J1" s="47" t="s">
        <v>510</v>
      </c>
      <c r="K1" s="48"/>
      <c r="L1" s="48"/>
      <c r="M1" s="49"/>
      <c r="N1" s="46" t="s">
        <v>442</v>
      </c>
      <c r="O1" s="53" t="s">
        <v>476</v>
      </c>
    </row>
    <row r="2" spans="1:15" ht="24" customHeight="1" x14ac:dyDescent="0.25">
      <c r="A2" s="46"/>
      <c r="B2" s="46"/>
      <c r="C2" s="53"/>
      <c r="D2" s="53"/>
      <c r="E2" s="51"/>
      <c r="F2" s="46" t="s">
        <v>234</v>
      </c>
      <c r="G2" s="46"/>
      <c r="H2" s="46" t="s">
        <v>1</v>
      </c>
      <c r="I2" s="46"/>
      <c r="J2" s="46" t="s">
        <v>234</v>
      </c>
      <c r="K2" s="46"/>
      <c r="L2" s="46" t="s">
        <v>1</v>
      </c>
      <c r="M2" s="46"/>
      <c r="N2" s="46"/>
      <c r="O2" s="53"/>
    </row>
    <row r="3" spans="1:15" ht="24" customHeight="1" x14ac:dyDescent="0.25">
      <c r="A3" s="46"/>
      <c r="B3" s="46"/>
      <c r="C3" s="53"/>
      <c r="D3" s="53"/>
      <c r="E3" s="52"/>
      <c r="F3" s="10" t="s">
        <v>290</v>
      </c>
      <c r="G3" s="10" t="s">
        <v>287</v>
      </c>
      <c r="H3" s="10" t="s">
        <v>290</v>
      </c>
      <c r="I3" s="10" t="s">
        <v>287</v>
      </c>
      <c r="J3" s="10" t="s">
        <v>290</v>
      </c>
      <c r="K3" s="10" t="s">
        <v>287</v>
      </c>
      <c r="L3" s="10" t="s">
        <v>290</v>
      </c>
      <c r="M3" s="10" t="s">
        <v>287</v>
      </c>
      <c r="N3" s="46"/>
      <c r="O3" s="53"/>
    </row>
    <row r="4" spans="1:15" s="13" customFormat="1" ht="20.25" customHeight="1" x14ac:dyDescent="0.25">
      <c r="A4" s="47" t="s">
        <v>293</v>
      </c>
      <c r="B4" s="49"/>
      <c r="C4" s="17">
        <f>SUM(C5:C27)</f>
        <v>818352</v>
      </c>
      <c r="D4" s="17">
        <f>SUM(D5:D27)</f>
        <v>606793663.75</v>
      </c>
      <c r="E4" s="12">
        <v>1</v>
      </c>
      <c r="F4" s="17">
        <f t="shared" ref="F4:M4" si="0">SUM(F5:F27)</f>
        <v>349371</v>
      </c>
      <c r="G4" s="17">
        <f t="shared" si="0"/>
        <v>213229171.52000007</v>
      </c>
      <c r="H4" s="17">
        <f t="shared" si="0"/>
        <v>58944</v>
      </c>
      <c r="I4" s="17">
        <f t="shared" si="0"/>
        <v>63108475.349999979</v>
      </c>
      <c r="J4" s="17">
        <f t="shared" si="0"/>
        <v>357183</v>
      </c>
      <c r="K4" s="17">
        <f t="shared" si="0"/>
        <v>271555856.27999985</v>
      </c>
      <c r="L4" s="17">
        <f t="shared" si="0"/>
        <v>52854</v>
      </c>
      <c r="M4" s="17">
        <f t="shared" si="0"/>
        <v>58900160.599999994</v>
      </c>
      <c r="N4" s="20">
        <f>SUM(N5:N27)</f>
        <v>54118370.009999819</v>
      </c>
      <c r="O4" s="25">
        <f>SUM(O5:O27)</f>
        <v>110420</v>
      </c>
    </row>
    <row r="5" spans="1:15" ht="21.75" customHeight="1" x14ac:dyDescent="0.25">
      <c r="A5" s="10">
        <v>1</v>
      </c>
      <c r="B5" s="26" t="s">
        <v>26</v>
      </c>
      <c r="C5" s="16">
        <f>+F5+H5+J5+L5</f>
        <v>91939</v>
      </c>
      <c r="D5" s="16">
        <f>+G5+I5+K5+M5</f>
        <v>80548272.210000008</v>
      </c>
      <c r="E5" s="11">
        <v>0.12751336437127536</v>
      </c>
      <c r="F5" s="16">
        <v>38304</v>
      </c>
      <c r="G5" s="16">
        <v>27920985.790000021</v>
      </c>
      <c r="H5" s="16">
        <v>5067</v>
      </c>
      <c r="I5" s="16">
        <v>5088407.5000000019</v>
      </c>
      <c r="J5" s="16">
        <v>44157</v>
      </c>
      <c r="K5" s="16">
        <v>43211585.669999987</v>
      </c>
      <c r="L5" s="16">
        <v>4411</v>
      </c>
      <c r="M5" s="16">
        <v>4327293.25</v>
      </c>
      <c r="N5" s="19">
        <v>14529485.629999965</v>
      </c>
      <c r="O5" s="16">
        <v>7921</v>
      </c>
    </row>
    <row r="6" spans="1:15" ht="21.75" customHeight="1" x14ac:dyDescent="0.25">
      <c r="A6" s="10">
        <v>2</v>
      </c>
      <c r="B6" s="26" t="s">
        <v>11</v>
      </c>
      <c r="C6" s="16">
        <f t="shared" ref="C6:C27" si="1">+F6+H6+J6+L6</f>
        <v>16823</v>
      </c>
      <c r="D6" s="16">
        <f t="shared" ref="D6:D27" si="2">+G6+I6+K6+M6</f>
        <v>12433708.740000002</v>
      </c>
      <c r="E6" s="11">
        <v>1.9363833201031865E-2</v>
      </c>
      <c r="F6" s="16">
        <v>7743</v>
      </c>
      <c r="G6" s="16">
        <v>4950749.040000001</v>
      </c>
      <c r="H6" s="16">
        <v>302</v>
      </c>
      <c r="I6" s="16">
        <v>199366.96</v>
      </c>
      <c r="J6" s="16">
        <v>8489</v>
      </c>
      <c r="K6" s="16">
        <v>6935862.2300000014</v>
      </c>
      <c r="L6" s="16">
        <v>289</v>
      </c>
      <c r="M6" s="16">
        <v>347730.51</v>
      </c>
      <c r="N6" s="19">
        <v>2133476.7400000002</v>
      </c>
      <c r="O6" s="16">
        <v>5006</v>
      </c>
    </row>
    <row r="7" spans="1:15" ht="21.75" customHeight="1" x14ac:dyDescent="0.25">
      <c r="A7" s="10">
        <v>3</v>
      </c>
      <c r="B7" s="26" t="s">
        <v>45</v>
      </c>
      <c r="C7" s="16">
        <f t="shared" si="1"/>
        <v>82179</v>
      </c>
      <c r="D7" s="16">
        <f t="shared" si="2"/>
        <v>64678523.439999931</v>
      </c>
      <c r="E7" s="11">
        <v>0.10526787957133843</v>
      </c>
      <c r="F7" s="16">
        <v>36404</v>
      </c>
      <c r="G7" s="16">
        <v>24112092.800000008</v>
      </c>
      <c r="H7" s="16">
        <v>4007</v>
      </c>
      <c r="I7" s="16">
        <v>4126965.3700000015</v>
      </c>
      <c r="J7" s="16">
        <v>38672</v>
      </c>
      <c r="K7" s="16">
        <v>33007175.189999923</v>
      </c>
      <c r="L7" s="16">
        <v>3096</v>
      </c>
      <c r="M7" s="16">
        <v>3432290.08</v>
      </c>
      <c r="N7" s="19">
        <v>8200407.0999999121</v>
      </c>
      <c r="O7" s="16">
        <v>6229</v>
      </c>
    </row>
    <row r="8" spans="1:15" ht="21.75" customHeight="1" x14ac:dyDescent="0.25">
      <c r="A8" s="10">
        <v>4</v>
      </c>
      <c r="B8" s="26" t="s">
        <v>518</v>
      </c>
      <c r="C8" s="16">
        <f t="shared" si="1"/>
        <v>13043</v>
      </c>
      <c r="D8" s="16">
        <f t="shared" si="2"/>
        <v>8836775.9000000022</v>
      </c>
      <c r="E8" s="11">
        <v>1.3800195756104279E-2</v>
      </c>
      <c r="F8" s="16">
        <v>3618</v>
      </c>
      <c r="G8" s="16">
        <v>2207957.54</v>
      </c>
      <c r="H8" s="16">
        <v>395</v>
      </c>
      <c r="I8" s="16">
        <v>197079</v>
      </c>
      <c r="J8" s="16">
        <v>8295</v>
      </c>
      <c r="K8" s="16">
        <v>5943156.5200000014</v>
      </c>
      <c r="L8" s="16">
        <v>735</v>
      </c>
      <c r="M8" s="16">
        <v>488582.83999999997</v>
      </c>
      <c r="N8" s="19">
        <v>4026702.8200000012</v>
      </c>
      <c r="O8" s="16">
        <v>2994</v>
      </c>
    </row>
    <row r="9" spans="1:15" ht="21.75" customHeight="1" x14ac:dyDescent="0.25">
      <c r="A9" s="10">
        <v>5</v>
      </c>
      <c r="B9" s="26" t="s">
        <v>519</v>
      </c>
      <c r="C9" s="16">
        <f t="shared" si="1"/>
        <v>39271</v>
      </c>
      <c r="D9" s="16">
        <f t="shared" si="2"/>
        <v>29864369.689999998</v>
      </c>
      <c r="E9" s="11">
        <v>4.8240851867137072E-2</v>
      </c>
      <c r="F9" s="16">
        <v>14811</v>
      </c>
      <c r="G9" s="16">
        <v>9507392.7699999996</v>
      </c>
      <c r="H9" s="16">
        <v>2825</v>
      </c>
      <c r="I9" s="16">
        <v>2069169.78</v>
      </c>
      <c r="J9" s="16">
        <v>18485</v>
      </c>
      <c r="K9" s="16">
        <v>15005454.969999995</v>
      </c>
      <c r="L9" s="16">
        <v>3150</v>
      </c>
      <c r="M9" s="16">
        <v>3282352.17</v>
      </c>
      <c r="N9" s="19">
        <v>6711244.5899999943</v>
      </c>
      <c r="O9" s="16">
        <v>7958</v>
      </c>
    </row>
    <row r="10" spans="1:15" ht="21.75" customHeight="1" x14ac:dyDescent="0.25">
      <c r="A10" s="10">
        <v>6</v>
      </c>
      <c r="B10" s="26" t="s">
        <v>14</v>
      </c>
      <c r="C10" s="16">
        <f t="shared" si="1"/>
        <v>31056</v>
      </c>
      <c r="D10" s="16">
        <f t="shared" si="2"/>
        <v>38210362.980000012</v>
      </c>
      <c r="E10" s="11">
        <v>6.3168323265598694E-2</v>
      </c>
      <c r="F10" s="16">
        <v>9360</v>
      </c>
      <c r="G10" s="16">
        <v>6814708.1400000006</v>
      </c>
      <c r="H10" s="16">
        <v>5374</v>
      </c>
      <c r="I10" s="16">
        <v>11001787.400000002</v>
      </c>
      <c r="J10" s="16">
        <v>10822</v>
      </c>
      <c r="K10" s="16">
        <v>9525177.6100000069</v>
      </c>
      <c r="L10" s="16">
        <v>5500</v>
      </c>
      <c r="M10" s="16">
        <v>10868689.830000002</v>
      </c>
      <c r="N10" s="19">
        <v>2577371.900000006</v>
      </c>
      <c r="O10" s="16">
        <v>2383</v>
      </c>
    </row>
    <row r="11" spans="1:15" ht="21.75" customHeight="1" x14ac:dyDescent="0.25">
      <c r="A11" s="10">
        <v>7</v>
      </c>
      <c r="B11" s="26" t="s">
        <v>520</v>
      </c>
      <c r="C11" s="16">
        <f t="shared" si="1"/>
        <v>60433</v>
      </c>
      <c r="D11" s="16">
        <f t="shared" si="2"/>
        <v>42474219.559999973</v>
      </c>
      <c r="E11" s="11">
        <v>7.0074607420571741E-2</v>
      </c>
      <c r="F11" s="16">
        <v>25128</v>
      </c>
      <c r="G11" s="16">
        <v>14781008.059999995</v>
      </c>
      <c r="H11" s="16">
        <v>6525</v>
      </c>
      <c r="I11" s="16">
        <v>5895681.0900000008</v>
      </c>
      <c r="J11" s="16">
        <v>23003</v>
      </c>
      <c r="K11" s="16">
        <v>15677554.23999998</v>
      </c>
      <c r="L11" s="16">
        <v>5777</v>
      </c>
      <c r="M11" s="16">
        <v>6119976.1699999999</v>
      </c>
      <c r="N11" s="19">
        <v>1120841.2599999867</v>
      </c>
      <c r="O11" s="16">
        <v>3865</v>
      </c>
    </row>
    <row r="12" spans="1:15" ht="21.75" customHeight="1" x14ac:dyDescent="0.25">
      <c r="A12" s="10">
        <v>8</v>
      </c>
      <c r="B12" s="26" t="s">
        <v>521</v>
      </c>
      <c r="C12" s="16">
        <f t="shared" si="1"/>
        <v>37599</v>
      </c>
      <c r="D12" s="16">
        <f t="shared" si="2"/>
        <v>25141895.590000033</v>
      </c>
      <c r="E12" s="11">
        <v>4.1118639099105542E-2</v>
      </c>
      <c r="F12" s="16">
        <v>18773</v>
      </c>
      <c r="G12" s="16">
        <v>11226115.840000033</v>
      </c>
      <c r="H12" s="16">
        <v>1316</v>
      </c>
      <c r="I12" s="16">
        <v>1171135.4899999993</v>
      </c>
      <c r="J12" s="16">
        <v>16540</v>
      </c>
      <c r="K12" s="16">
        <v>11938467.030000001</v>
      </c>
      <c r="L12" s="16">
        <v>970</v>
      </c>
      <c r="M12" s="16">
        <v>806177.23000000045</v>
      </c>
      <c r="N12" s="19">
        <v>347392.9299999699</v>
      </c>
      <c r="O12" s="16">
        <v>8892</v>
      </c>
    </row>
    <row r="13" spans="1:15" ht="21.75" customHeight="1" x14ac:dyDescent="0.25">
      <c r="A13" s="10">
        <v>9</v>
      </c>
      <c r="B13" s="26" t="s">
        <v>522</v>
      </c>
      <c r="C13" s="16">
        <f t="shared" si="1"/>
        <v>43692</v>
      </c>
      <c r="D13" s="16">
        <f t="shared" si="2"/>
        <v>30085681.149999999</v>
      </c>
      <c r="E13" s="11">
        <v>4.7631355820594086E-2</v>
      </c>
      <c r="F13" s="16">
        <v>18065</v>
      </c>
      <c r="G13" s="16">
        <v>10306895.660000002</v>
      </c>
      <c r="H13" s="16">
        <v>2452</v>
      </c>
      <c r="I13" s="16">
        <v>1991265.7</v>
      </c>
      <c r="J13" s="16">
        <v>20613</v>
      </c>
      <c r="K13" s="16">
        <v>15172048.459999995</v>
      </c>
      <c r="L13" s="16">
        <v>2562</v>
      </c>
      <c r="M13" s="16">
        <v>2615471.33</v>
      </c>
      <c r="N13" s="19">
        <v>5489358.4299999941</v>
      </c>
      <c r="O13" s="16">
        <v>2262</v>
      </c>
    </row>
    <row r="14" spans="1:15" ht="21.75" customHeight="1" x14ac:dyDescent="0.25">
      <c r="A14" s="10">
        <v>10</v>
      </c>
      <c r="B14" s="26" t="s">
        <v>523</v>
      </c>
      <c r="C14" s="16">
        <f t="shared" si="1"/>
        <v>44146</v>
      </c>
      <c r="D14" s="16">
        <f t="shared" si="2"/>
        <v>26791841.779999997</v>
      </c>
      <c r="E14" s="11">
        <v>4.4141661544655979E-2</v>
      </c>
      <c r="F14" s="16">
        <v>21323</v>
      </c>
      <c r="G14" s="16">
        <v>12513328.23</v>
      </c>
      <c r="H14" s="16">
        <v>932</v>
      </c>
      <c r="I14" s="16">
        <v>714482.54</v>
      </c>
      <c r="J14" s="16">
        <v>21100</v>
      </c>
      <c r="K14" s="16">
        <v>12908073.909999996</v>
      </c>
      <c r="L14" s="16">
        <v>791</v>
      </c>
      <c r="M14" s="16">
        <v>655957.1</v>
      </c>
      <c r="N14" s="19">
        <v>336220.2399999965</v>
      </c>
      <c r="O14" s="16">
        <v>5004</v>
      </c>
    </row>
    <row r="15" spans="1:15" ht="21.75" customHeight="1" x14ac:dyDescent="0.25">
      <c r="A15" s="10">
        <v>11</v>
      </c>
      <c r="B15" s="26" t="s">
        <v>524</v>
      </c>
      <c r="C15" s="16">
        <f t="shared" si="1"/>
        <v>72825</v>
      </c>
      <c r="D15" s="16">
        <f t="shared" si="2"/>
        <v>48963661.480000019</v>
      </c>
      <c r="E15" s="15">
        <v>8.0545287890022549E-2</v>
      </c>
      <c r="F15" s="16">
        <v>30213</v>
      </c>
      <c r="G15" s="16">
        <v>16404302.240000034</v>
      </c>
      <c r="H15" s="16">
        <v>8649</v>
      </c>
      <c r="I15" s="16">
        <v>6918324.6999999797</v>
      </c>
      <c r="J15" s="16">
        <v>25860</v>
      </c>
      <c r="K15" s="16">
        <v>17131624.500000011</v>
      </c>
      <c r="L15" s="16">
        <v>8103</v>
      </c>
      <c r="M15" s="16">
        <v>8509410.0399999898</v>
      </c>
      <c r="N15" s="19">
        <v>2318407.5999999866</v>
      </c>
      <c r="O15" s="16">
        <v>8225</v>
      </c>
    </row>
    <row r="16" spans="1:15" ht="21.75" customHeight="1" x14ac:dyDescent="0.25">
      <c r="A16" s="10">
        <v>12</v>
      </c>
      <c r="B16" s="26" t="s">
        <v>525</v>
      </c>
      <c r="C16" s="16">
        <f t="shared" si="1"/>
        <v>16220</v>
      </c>
      <c r="D16" s="16">
        <f t="shared" si="2"/>
        <v>8797596.8899999913</v>
      </c>
      <c r="E16" s="15">
        <v>1.4611940956229473E-2</v>
      </c>
      <c r="F16" s="16">
        <v>7344</v>
      </c>
      <c r="G16" s="16">
        <v>3387575.4199999869</v>
      </c>
      <c r="H16" s="16">
        <v>1400</v>
      </c>
      <c r="I16" s="16">
        <v>986744.33999999927</v>
      </c>
      <c r="J16" s="16">
        <v>6327</v>
      </c>
      <c r="K16" s="16">
        <v>3527342.5700000045</v>
      </c>
      <c r="L16" s="16">
        <v>1149</v>
      </c>
      <c r="M16" s="16">
        <v>895934.56000000052</v>
      </c>
      <c r="N16" s="19">
        <v>48957.370000018738</v>
      </c>
      <c r="O16" s="16">
        <v>1676</v>
      </c>
    </row>
    <row r="17" spans="1:15" ht="21.75" customHeight="1" x14ac:dyDescent="0.25">
      <c r="A17" s="10">
        <v>13</v>
      </c>
      <c r="B17" s="26" t="s">
        <v>526</v>
      </c>
      <c r="C17" s="16">
        <f t="shared" si="1"/>
        <v>7432</v>
      </c>
      <c r="D17" s="16">
        <f t="shared" si="2"/>
        <v>4513808.1300000008</v>
      </c>
      <c r="E17" s="15">
        <v>7.2162205318760742E-3</v>
      </c>
      <c r="F17" s="16">
        <v>2916</v>
      </c>
      <c r="G17" s="16">
        <v>1494815.4</v>
      </c>
      <c r="H17" s="16">
        <v>590</v>
      </c>
      <c r="I17" s="16">
        <v>304257.77999999997</v>
      </c>
      <c r="J17" s="16">
        <v>3201</v>
      </c>
      <c r="K17" s="16">
        <v>2235496.7200000002</v>
      </c>
      <c r="L17" s="16">
        <v>725</v>
      </c>
      <c r="M17" s="16">
        <v>479238.23</v>
      </c>
      <c r="N17" s="19">
        <v>915661.77000000025</v>
      </c>
      <c r="O17" s="16">
        <v>2200</v>
      </c>
    </row>
    <row r="18" spans="1:15" ht="21.75" customHeight="1" x14ac:dyDescent="0.25">
      <c r="A18" s="10">
        <v>14</v>
      </c>
      <c r="B18" s="26" t="s">
        <v>112</v>
      </c>
      <c r="C18" s="16">
        <f t="shared" si="1"/>
        <v>5107</v>
      </c>
      <c r="D18" s="16">
        <f t="shared" si="2"/>
        <v>3057728.38</v>
      </c>
      <c r="E18" s="15">
        <v>4.9364120729768739E-3</v>
      </c>
      <c r="F18" s="16">
        <v>2348</v>
      </c>
      <c r="G18" s="16">
        <v>1142927.18</v>
      </c>
      <c r="H18" s="16">
        <v>370</v>
      </c>
      <c r="I18" s="16">
        <v>249488</v>
      </c>
      <c r="J18" s="16">
        <v>2117</v>
      </c>
      <c r="K18" s="16">
        <v>1385648.9400000002</v>
      </c>
      <c r="L18" s="16">
        <v>272</v>
      </c>
      <c r="M18" s="16">
        <v>279664.26</v>
      </c>
      <c r="N18" s="19">
        <v>272898.02000000025</v>
      </c>
      <c r="O18" s="16">
        <v>1231</v>
      </c>
    </row>
    <row r="19" spans="1:15" ht="21.75" customHeight="1" x14ac:dyDescent="0.25">
      <c r="A19" s="10">
        <v>15</v>
      </c>
      <c r="B19" s="26" t="s">
        <v>527</v>
      </c>
      <c r="C19" s="16">
        <f t="shared" si="1"/>
        <v>5398</v>
      </c>
      <c r="D19" s="16">
        <f t="shared" si="2"/>
        <v>3372526.62</v>
      </c>
      <c r="E19" s="15">
        <v>5.2933605234775577E-3</v>
      </c>
      <c r="F19" s="16">
        <v>1902</v>
      </c>
      <c r="G19" s="16">
        <v>1068904.81</v>
      </c>
      <c r="H19" s="16">
        <v>216</v>
      </c>
      <c r="I19" s="16">
        <v>109553</v>
      </c>
      <c r="J19" s="16">
        <v>2936</v>
      </c>
      <c r="K19" s="16">
        <v>2023142.8100000003</v>
      </c>
      <c r="L19" s="16">
        <v>344</v>
      </c>
      <c r="M19" s="16">
        <v>170926</v>
      </c>
      <c r="N19" s="19">
        <v>1015611.0000000005</v>
      </c>
      <c r="O19" s="16">
        <v>1546</v>
      </c>
    </row>
    <row r="20" spans="1:15" ht="21.75" customHeight="1" x14ac:dyDescent="0.25">
      <c r="A20" s="10">
        <v>16</v>
      </c>
      <c r="B20" s="26" t="s">
        <v>52</v>
      </c>
      <c r="C20" s="16">
        <f t="shared" si="1"/>
        <v>5970</v>
      </c>
      <c r="D20" s="16">
        <f t="shared" si="2"/>
        <v>4683628.4000000004</v>
      </c>
      <c r="E20" s="15">
        <v>7.5206811615686885E-3</v>
      </c>
      <c r="F20" s="16">
        <v>2196</v>
      </c>
      <c r="G20" s="16">
        <v>1281981.8200000008</v>
      </c>
      <c r="H20" s="16">
        <v>427</v>
      </c>
      <c r="I20" s="16">
        <v>353692.65</v>
      </c>
      <c r="J20" s="16">
        <v>2893</v>
      </c>
      <c r="K20" s="16">
        <v>2440062.5599999996</v>
      </c>
      <c r="L20" s="16">
        <v>454</v>
      </c>
      <c r="M20" s="16">
        <v>607891.37</v>
      </c>
      <c r="N20" s="19">
        <v>1412279.459999999</v>
      </c>
      <c r="O20" s="16">
        <v>2404</v>
      </c>
    </row>
    <row r="21" spans="1:15" ht="21.75" customHeight="1" x14ac:dyDescent="0.25">
      <c r="A21" s="10">
        <v>18</v>
      </c>
      <c r="B21" s="26" t="s">
        <v>528</v>
      </c>
      <c r="C21" s="16">
        <f t="shared" si="1"/>
        <v>4314</v>
      </c>
      <c r="D21" s="16">
        <f t="shared" si="2"/>
        <v>3186554.6300000004</v>
      </c>
      <c r="E21" s="15">
        <v>5.3841988484687152E-3</v>
      </c>
      <c r="F21" s="16">
        <v>1758</v>
      </c>
      <c r="G21" s="16">
        <v>1135281.5799999998</v>
      </c>
      <c r="H21" s="16">
        <v>528</v>
      </c>
      <c r="I21" s="16">
        <v>490780.21</v>
      </c>
      <c r="J21" s="16">
        <v>1641</v>
      </c>
      <c r="K21" s="16">
        <v>1191859.7800000007</v>
      </c>
      <c r="L21" s="16">
        <v>387</v>
      </c>
      <c r="M21" s="16">
        <v>368633.06</v>
      </c>
      <c r="N21" s="19">
        <v>-65568.949999999022</v>
      </c>
      <c r="O21" s="16">
        <v>4095</v>
      </c>
    </row>
    <row r="22" spans="1:15" ht="21.75" customHeight="1" x14ac:dyDescent="0.25">
      <c r="A22" s="10">
        <v>19</v>
      </c>
      <c r="B22" s="26" t="s">
        <v>0</v>
      </c>
      <c r="C22" s="16">
        <f t="shared" si="1"/>
        <v>40421</v>
      </c>
      <c r="D22" s="16">
        <f t="shared" si="2"/>
        <v>26531175.489999983</v>
      </c>
      <c r="E22" s="15">
        <v>4.3297838435797771E-2</v>
      </c>
      <c r="F22" s="16">
        <v>17901</v>
      </c>
      <c r="G22" s="16">
        <v>10309024.93</v>
      </c>
      <c r="H22" s="16">
        <v>1804</v>
      </c>
      <c r="I22" s="16">
        <v>1417775.5199999996</v>
      </c>
      <c r="J22" s="16">
        <v>19298</v>
      </c>
      <c r="K22" s="16">
        <v>13718130.019999985</v>
      </c>
      <c r="L22" s="16">
        <v>1418</v>
      </c>
      <c r="M22" s="16">
        <v>1086245.02</v>
      </c>
      <c r="N22" s="19">
        <v>3077574.5899999849</v>
      </c>
      <c r="O22" s="16">
        <v>5508</v>
      </c>
    </row>
    <row r="23" spans="1:15" ht="21.75" customHeight="1" x14ac:dyDescent="0.25">
      <c r="A23" s="10">
        <v>20</v>
      </c>
      <c r="B23" s="26" t="s">
        <v>529</v>
      </c>
      <c r="C23" s="16">
        <f t="shared" si="1"/>
        <v>57781</v>
      </c>
      <c r="D23" s="16">
        <f t="shared" si="2"/>
        <v>42605007.049999997</v>
      </c>
      <c r="E23" s="15">
        <v>7.1110852831719959E-2</v>
      </c>
      <c r="F23" s="16">
        <v>25023</v>
      </c>
      <c r="G23" s="16">
        <v>15457901.479999993</v>
      </c>
      <c r="H23" s="16">
        <v>5959</v>
      </c>
      <c r="I23" s="16">
        <v>4858225.3200000022</v>
      </c>
      <c r="J23" s="16">
        <v>21825</v>
      </c>
      <c r="K23" s="16">
        <v>16852748.840000007</v>
      </c>
      <c r="L23" s="16">
        <v>4974</v>
      </c>
      <c r="M23" s="16">
        <v>5436131.4099999992</v>
      </c>
      <c r="N23" s="19">
        <v>1972753.4500000104</v>
      </c>
      <c r="O23" s="16">
        <v>12575</v>
      </c>
    </row>
    <row r="24" spans="1:15" ht="21.75" customHeight="1" x14ac:dyDescent="0.25">
      <c r="A24" s="10">
        <v>21</v>
      </c>
      <c r="B24" s="26" t="s">
        <v>530</v>
      </c>
      <c r="C24" s="16">
        <f t="shared" si="1"/>
        <v>13798</v>
      </c>
      <c r="D24" s="16">
        <f t="shared" si="2"/>
        <v>9602940.7599999998</v>
      </c>
      <c r="E24" s="15">
        <v>1.5679451281958405E-2</v>
      </c>
      <c r="F24" s="16">
        <v>5194</v>
      </c>
      <c r="G24" s="16">
        <v>3076162.4999999995</v>
      </c>
      <c r="H24" s="16">
        <v>1292</v>
      </c>
      <c r="I24" s="16">
        <v>884771.27</v>
      </c>
      <c r="J24" s="16">
        <v>5913</v>
      </c>
      <c r="K24" s="16">
        <v>4387604.99</v>
      </c>
      <c r="L24" s="16">
        <v>1399</v>
      </c>
      <c r="M24" s="16">
        <v>1254402</v>
      </c>
      <c r="N24" s="19">
        <v>1681073.2200000007</v>
      </c>
      <c r="O24" s="16">
        <v>7924</v>
      </c>
    </row>
    <row r="25" spans="1:15" ht="21.75" customHeight="1" x14ac:dyDescent="0.25">
      <c r="A25" s="10">
        <v>22</v>
      </c>
      <c r="B25" s="26" t="s">
        <v>531</v>
      </c>
      <c r="C25" s="16">
        <f t="shared" si="1"/>
        <v>8339</v>
      </c>
      <c r="D25" s="16">
        <f t="shared" si="2"/>
        <v>4915997.370000001</v>
      </c>
      <c r="E25" s="15">
        <v>4.0371377146041408E-2</v>
      </c>
      <c r="F25" s="16">
        <v>3836</v>
      </c>
      <c r="G25" s="16">
        <v>2035917.81</v>
      </c>
      <c r="H25" s="16">
        <v>203</v>
      </c>
      <c r="I25" s="16">
        <v>86942</v>
      </c>
      <c r="J25" s="16">
        <v>4048</v>
      </c>
      <c r="K25" s="16">
        <v>2607771.5600000005</v>
      </c>
      <c r="L25" s="16">
        <v>252</v>
      </c>
      <c r="M25" s="16">
        <v>185366</v>
      </c>
      <c r="N25" s="19">
        <v>670277.75000000047</v>
      </c>
      <c r="O25" s="16">
        <v>5964</v>
      </c>
    </row>
    <row r="26" spans="1:15" ht="21.75" customHeight="1" x14ac:dyDescent="0.25">
      <c r="A26" s="10">
        <v>23</v>
      </c>
      <c r="B26" s="26" t="s">
        <v>532</v>
      </c>
      <c r="C26" s="16">
        <f t="shared" si="1"/>
        <v>113088</v>
      </c>
      <c r="D26" s="16">
        <f t="shared" si="2"/>
        <v>75178606.429999977</v>
      </c>
      <c r="E26" s="15">
        <v>9.1031154922930138E-2</v>
      </c>
      <c r="F26" s="16">
        <v>49667</v>
      </c>
      <c r="G26" s="16">
        <v>27605331.239999991</v>
      </c>
      <c r="H26" s="16">
        <v>6377</v>
      </c>
      <c r="I26" s="16">
        <v>6161609.8900000015</v>
      </c>
      <c r="J26" s="16">
        <v>50948</v>
      </c>
      <c r="K26" s="16">
        <v>34729867.159999982</v>
      </c>
      <c r="L26" s="16">
        <v>6096</v>
      </c>
      <c r="M26" s="16">
        <v>6681798.1400000006</v>
      </c>
      <c r="N26" s="19">
        <v>7644724.1699999869</v>
      </c>
      <c r="O26" s="16">
        <v>4558</v>
      </c>
    </row>
    <row r="27" spans="1:15" ht="21.75" customHeight="1" x14ac:dyDescent="0.25">
      <c r="A27" s="10">
        <v>17</v>
      </c>
      <c r="B27" s="26" t="s">
        <v>533</v>
      </c>
      <c r="C27" s="16">
        <f t="shared" si="1"/>
        <v>7478</v>
      </c>
      <c r="D27" s="16">
        <f t="shared" si="2"/>
        <v>12318781.080000015</v>
      </c>
      <c r="E27" s="15">
        <v>3.2680511479519288E-2</v>
      </c>
      <c r="F27" s="16">
        <v>5544</v>
      </c>
      <c r="G27" s="16">
        <v>4487811.2400000142</v>
      </c>
      <c r="H27" s="16">
        <v>1934</v>
      </c>
      <c r="I27" s="16">
        <v>7830969.8400000008</v>
      </c>
      <c r="J27" s="16"/>
      <c r="K27" s="16"/>
      <c r="L27" s="16"/>
      <c r="M27" s="16"/>
      <c r="N27" s="19">
        <v>-12318781.080000015</v>
      </c>
      <c r="O27" s="16">
        <v>0</v>
      </c>
    </row>
  </sheetData>
  <autoFilter ref="A4:O27" xr:uid="{00000000-0001-0000-0200-000000000000}">
    <filterColumn colId="0" showButton="0"/>
  </autoFilter>
  <mergeCells count="14">
    <mergeCell ref="O1:O3"/>
    <mergeCell ref="A1:A3"/>
    <mergeCell ref="B1:B3"/>
    <mergeCell ref="A4:B4"/>
    <mergeCell ref="N1:N3"/>
    <mergeCell ref="C1:C3"/>
    <mergeCell ref="D1:D3"/>
    <mergeCell ref="E1:E3"/>
    <mergeCell ref="F1:I1"/>
    <mergeCell ref="J1:M1"/>
    <mergeCell ref="F2:G2"/>
    <mergeCell ref="H2:I2"/>
    <mergeCell ref="J2:K2"/>
    <mergeCell ref="L2:M2"/>
  </mergeCells>
  <pageMargins left="0.7" right="0.7" top="0.75" bottom="0.75" header="0.3" footer="0.3"/>
  <pageSetup scale="42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24"/>
  <sheetViews>
    <sheetView topLeftCell="A118" zoomScaleNormal="100" workbookViewId="0">
      <selection activeCell="B14" sqref="B14"/>
    </sheetView>
  </sheetViews>
  <sheetFormatPr defaultRowHeight="13.2" x14ac:dyDescent="0.25"/>
  <cols>
    <col min="2" max="2" width="86.6640625" bestFit="1" customWidth="1"/>
    <col min="3" max="12" width="17.5546875" customWidth="1"/>
    <col min="13" max="13" width="12.33203125" style="1" customWidth="1"/>
  </cols>
  <sheetData>
    <row r="1" spans="1:13" ht="18.75" customHeight="1" x14ac:dyDescent="0.25">
      <c r="A1" s="46" t="s">
        <v>292</v>
      </c>
      <c r="B1" s="46" t="s">
        <v>295</v>
      </c>
      <c r="C1" s="53" t="s">
        <v>288</v>
      </c>
      <c r="D1" s="53" t="s">
        <v>289</v>
      </c>
      <c r="E1" s="46" t="s">
        <v>509</v>
      </c>
      <c r="F1" s="46"/>
      <c r="G1" s="46"/>
      <c r="H1" s="46"/>
      <c r="I1" s="46" t="s">
        <v>510</v>
      </c>
      <c r="J1" s="46"/>
      <c r="K1" s="46"/>
      <c r="L1" s="46"/>
      <c r="M1" s="54" t="s">
        <v>442</v>
      </c>
    </row>
    <row r="2" spans="1:13" ht="18.75" customHeight="1" x14ac:dyDescent="0.25">
      <c r="A2" s="46"/>
      <c r="B2" s="46"/>
      <c r="C2" s="53"/>
      <c r="D2" s="53"/>
      <c r="E2" s="46" t="s">
        <v>234</v>
      </c>
      <c r="F2" s="46"/>
      <c r="G2" s="46" t="s">
        <v>1</v>
      </c>
      <c r="H2" s="46"/>
      <c r="I2" s="46" t="s">
        <v>234</v>
      </c>
      <c r="J2" s="46"/>
      <c r="K2" s="46" t="s">
        <v>1</v>
      </c>
      <c r="L2" s="46"/>
      <c r="M2" s="54"/>
    </row>
    <row r="3" spans="1:13" ht="18.75" customHeight="1" x14ac:dyDescent="0.25">
      <c r="A3" s="46"/>
      <c r="B3" s="46"/>
      <c r="C3" s="53"/>
      <c r="D3" s="53"/>
      <c r="E3" s="10" t="s">
        <v>290</v>
      </c>
      <c r="F3" s="10" t="s">
        <v>287</v>
      </c>
      <c r="G3" s="10" t="s">
        <v>290</v>
      </c>
      <c r="H3" s="10" t="s">
        <v>287</v>
      </c>
      <c r="I3" s="10" t="s">
        <v>290</v>
      </c>
      <c r="J3" s="10" t="s">
        <v>287</v>
      </c>
      <c r="K3" s="10" t="s">
        <v>290</v>
      </c>
      <c r="L3" s="10" t="s">
        <v>287</v>
      </c>
      <c r="M3" s="54"/>
    </row>
    <row r="4" spans="1:13" s="13" customFormat="1" ht="24.75" customHeight="1" x14ac:dyDescent="0.25">
      <c r="A4" s="46" t="s">
        <v>293</v>
      </c>
      <c r="B4" s="46"/>
      <c r="C4" s="17">
        <v>748883</v>
      </c>
      <c r="D4" s="17">
        <v>547507013.19999993</v>
      </c>
      <c r="E4" s="17">
        <f>+SUM(E5:E122)</f>
        <v>349371</v>
      </c>
      <c r="F4" s="17">
        <f t="shared" ref="F4:H4" si="0">+SUM(F5:F122)</f>
        <v>213229171.52000022</v>
      </c>
      <c r="G4" s="17">
        <f t="shared" si="0"/>
        <v>58944</v>
      </c>
      <c r="H4" s="17">
        <f t="shared" si="0"/>
        <v>63108475.350000009</v>
      </c>
      <c r="I4" s="17">
        <v>49018</v>
      </c>
      <c r="J4" s="17">
        <f>SUM(J5:J122)</f>
        <v>271555856.27999973</v>
      </c>
      <c r="K4" s="17">
        <f t="shared" ref="K4:L4" si="1">SUM(K5:K122)</f>
        <v>52854</v>
      </c>
      <c r="L4" s="17">
        <f t="shared" si="1"/>
        <v>58900160.599999994</v>
      </c>
      <c r="M4" s="19">
        <v>10188546.359999895</v>
      </c>
    </row>
    <row r="5" spans="1:13" ht="15.75" customHeight="1" x14ac:dyDescent="0.25">
      <c r="A5" s="8">
        <v>1</v>
      </c>
      <c r="B5" s="3" t="s">
        <v>17</v>
      </c>
      <c r="C5" s="16">
        <v>49063</v>
      </c>
      <c r="D5" s="16">
        <v>32988706.799999975</v>
      </c>
      <c r="E5" s="16">
        <v>20679</v>
      </c>
      <c r="F5" s="16">
        <v>11371229.509999996</v>
      </c>
      <c r="G5" s="16">
        <v>5327</v>
      </c>
      <c r="H5" s="16">
        <v>4867402.1300000008</v>
      </c>
      <c r="I5" s="16">
        <v>18366</v>
      </c>
      <c r="J5" s="16">
        <v>11862441.389999978</v>
      </c>
      <c r="K5" s="16">
        <v>4691</v>
      </c>
      <c r="L5" s="16">
        <v>4887633.7699999996</v>
      </c>
      <c r="M5" s="19">
        <v>511443.51999998093</v>
      </c>
    </row>
    <row r="6" spans="1:13" ht="15.75" customHeight="1" x14ac:dyDescent="0.25">
      <c r="A6" s="8">
        <v>2</v>
      </c>
      <c r="B6" s="3" t="s">
        <v>94</v>
      </c>
      <c r="C6" s="16">
        <v>30574</v>
      </c>
      <c r="D6" s="16">
        <v>30929894.469999999</v>
      </c>
      <c r="E6" s="16">
        <v>9393</v>
      </c>
      <c r="F6" s="16">
        <v>7519579.6299999971</v>
      </c>
      <c r="G6" s="16">
        <v>1223</v>
      </c>
      <c r="H6" s="16">
        <v>1678985.2399999998</v>
      </c>
      <c r="I6" s="16">
        <v>18540</v>
      </c>
      <c r="J6" s="16">
        <v>20194015.190000001</v>
      </c>
      <c r="K6" s="16">
        <v>1418</v>
      </c>
      <c r="L6" s="16">
        <v>1537314.4099999992</v>
      </c>
      <c r="M6" s="19">
        <v>12532764.730000004</v>
      </c>
    </row>
    <row r="7" spans="1:13" ht="15.75" customHeight="1" x14ac:dyDescent="0.25">
      <c r="A7" s="8">
        <v>3</v>
      </c>
      <c r="B7" s="3" t="s">
        <v>62</v>
      </c>
      <c r="C7" s="16">
        <v>39655</v>
      </c>
      <c r="D7" s="16">
        <v>25399113.359999977</v>
      </c>
      <c r="E7" s="16">
        <v>18082</v>
      </c>
      <c r="F7" s="16">
        <v>10170530.059999991</v>
      </c>
      <c r="G7" s="16">
        <v>2216</v>
      </c>
      <c r="H7" s="16">
        <v>2190439.040000001</v>
      </c>
      <c r="I7" s="16">
        <v>17322</v>
      </c>
      <c r="J7" s="16">
        <v>10889278.269999985</v>
      </c>
      <c r="K7" s="16">
        <v>2035</v>
      </c>
      <c r="L7" s="16">
        <v>2148865.9900000002</v>
      </c>
      <c r="M7" s="19">
        <v>677175.1599999927</v>
      </c>
    </row>
    <row r="8" spans="1:13" ht="15.75" customHeight="1" x14ac:dyDescent="0.25">
      <c r="A8" s="8">
        <v>4</v>
      </c>
      <c r="B8" s="3" t="s">
        <v>138</v>
      </c>
      <c r="C8" s="16">
        <v>25931</v>
      </c>
      <c r="D8" s="16">
        <v>22453245.790000018</v>
      </c>
      <c r="E8" s="16">
        <v>11932</v>
      </c>
      <c r="F8" s="16">
        <v>9230814.2500000112</v>
      </c>
      <c r="G8" s="16">
        <v>2065</v>
      </c>
      <c r="H8" s="16">
        <v>1905398.1099999996</v>
      </c>
      <c r="I8" s="16">
        <v>10400</v>
      </c>
      <c r="J8" s="16">
        <v>9802316.5500000063</v>
      </c>
      <c r="K8" s="16">
        <v>1534</v>
      </c>
      <c r="L8" s="16">
        <v>1514716.8800000004</v>
      </c>
      <c r="M8" s="19">
        <v>180821.06999999657</v>
      </c>
    </row>
    <row r="9" spans="1:13" ht="15.75" customHeight="1" x14ac:dyDescent="0.25">
      <c r="A9" s="8">
        <v>5</v>
      </c>
      <c r="B9" s="3" t="s">
        <v>178</v>
      </c>
      <c r="C9" s="16">
        <v>32290</v>
      </c>
      <c r="D9" s="16">
        <v>21459961.320000008</v>
      </c>
      <c r="E9" s="16">
        <v>11063</v>
      </c>
      <c r="F9" s="16">
        <v>5514475.9000000283</v>
      </c>
      <c r="G9" s="16">
        <v>4715</v>
      </c>
      <c r="H9" s="16">
        <v>4174071.1899999804</v>
      </c>
      <c r="I9" s="16">
        <v>12197</v>
      </c>
      <c r="J9" s="16">
        <v>7162707.4700000091</v>
      </c>
      <c r="K9" s="16">
        <v>4315</v>
      </c>
      <c r="L9" s="16">
        <v>4608706.7599999895</v>
      </c>
      <c r="M9" s="19">
        <v>2082867.1399999894</v>
      </c>
    </row>
    <row r="10" spans="1:13" ht="15.75" customHeight="1" x14ac:dyDescent="0.25">
      <c r="A10" s="8">
        <v>6</v>
      </c>
      <c r="B10" s="3" t="s">
        <v>146</v>
      </c>
      <c r="C10" s="16">
        <v>24181</v>
      </c>
      <c r="D10" s="16">
        <v>21146459.609999992</v>
      </c>
      <c r="E10" s="16">
        <v>10812</v>
      </c>
      <c r="F10" s="16">
        <v>8154692.7699999949</v>
      </c>
      <c r="G10" s="16">
        <v>829</v>
      </c>
      <c r="H10" s="16">
        <v>860341.41</v>
      </c>
      <c r="I10" s="16">
        <v>11835</v>
      </c>
      <c r="J10" s="16">
        <v>11342555.439999994</v>
      </c>
      <c r="K10" s="16">
        <v>705</v>
      </c>
      <c r="L10" s="16">
        <v>788869.99000000022</v>
      </c>
      <c r="M10" s="19">
        <v>3116391.25</v>
      </c>
    </row>
    <row r="11" spans="1:13" ht="15.75" customHeight="1" x14ac:dyDescent="0.25">
      <c r="A11" s="8">
        <v>7</v>
      </c>
      <c r="B11" s="3" t="s">
        <v>154</v>
      </c>
      <c r="C11" s="16">
        <v>31482</v>
      </c>
      <c r="D11" s="16">
        <v>20484011.969999947</v>
      </c>
      <c r="E11" s="16">
        <v>13764</v>
      </c>
      <c r="F11" s="16">
        <v>7610437.3000000138</v>
      </c>
      <c r="G11" s="16">
        <v>1629</v>
      </c>
      <c r="H11" s="16">
        <v>1130828.9700000016</v>
      </c>
      <c r="I11" s="16">
        <v>14967</v>
      </c>
      <c r="J11" s="16">
        <v>10946564.599999933</v>
      </c>
      <c r="K11" s="16">
        <v>1122</v>
      </c>
      <c r="L11" s="16">
        <v>796181.09999999986</v>
      </c>
      <c r="M11" s="19">
        <v>3001479.4299999177</v>
      </c>
    </row>
    <row r="12" spans="1:13" ht="15.75" customHeight="1" x14ac:dyDescent="0.25">
      <c r="A12" s="8">
        <v>8</v>
      </c>
      <c r="B12" s="3" t="s">
        <v>175</v>
      </c>
      <c r="C12" s="16">
        <v>7478</v>
      </c>
      <c r="D12" s="16">
        <v>12318781.080000015</v>
      </c>
      <c r="E12" s="16">
        <v>5544</v>
      </c>
      <c r="F12" s="16">
        <v>4487811.2400000142</v>
      </c>
      <c r="G12" s="16">
        <v>1934</v>
      </c>
      <c r="H12" s="16">
        <v>7830969.8400000008</v>
      </c>
      <c r="I12" s="16"/>
      <c r="J12" s="16"/>
      <c r="K12" s="16"/>
      <c r="L12" s="16"/>
      <c r="M12" s="19">
        <v>-12318781.080000015</v>
      </c>
    </row>
    <row r="13" spans="1:13" ht="15.75" customHeight="1" x14ac:dyDescent="0.25">
      <c r="A13" s="8">
        <v>9</v>
      </c>
      <c r="B13" s="3" t="s">
        <v>168</v>
      </c>
      <c r="C13" s="16">
        <v>30188</v>
      </c>
      <c r="D13" s="16">
        <v>19346071.119999994</v>
      </c>
      <c r="E13" s="16">
        <v>14053</v>
      </c>
      <c r="F13" s="16">
        <v>7218310.2299999995</v>
      </c>
      <c r="G13" s="16">
        <v>2025</v>
      </c>
      <c r="H13" s="16">
        <v>2134795.83</v>
      </c>
      <c r="I13" s="16">
        <v>12259</v>
      </c>
      <c r="J13" s="16">
        <v>7693250.2899999954</v>
      </c>
      <c r="K13" s="16">
        <v>1851</v>
      </c>
      <c r="L13" s="16">
        <v>2299714.77</v>
      </c>
      <c r="M13" s="19">
        <v>639858.99999999627</v>
      </c>
    </row>
    <row r="14" spans="1:13" ht="15.75" customHeight="1" x14ac:dyDescent="0.25">
      <c r="A14" s="8">
        <v>10</v>
      </c>
      <c r="B14" s="3" t="s">
        <v>89</v>
      </c>
      <c r="C14" s="16">
        <v>24005</v>
      </c>
      <c r="D14" s="16">
        <v>18219701.299999997</v>
      </c>
      <c r="E14" s="16">
        <v>9250</v>
      </c>
      <c r="F14" s="16">
        <v>5778534.4600000018</v>
      </c>
      <c r="G14" s="16">
        <v>970</v>
      </c>
      <c r="H14" s="16">
        <v>876690.32000000041</v>
      </c>
      <c r="I14" s="16">
        <v>12537</v>
      </c>
      <c r="J14" s="16">
        <v>10352010.489999993</v>
      </c>
      <c r="K14" s="16">
        <v>1248</v>
      </c>
      <c r="L14" s="16">
        <v>1212466.0300000003</v>
      </c>
      <c r="M14" s="19">
        <v>4909251.73999999</v>
      </c>
    </row>
    <row r="15" spans="1:13" ht="15.75" customHeight="1" x14ac:dyDescent="0.25">
      <c r="A15" s="8">
        <v>11</v>
      </c>
      <c r="B15" s="3" t="s">
        <v>27</v>
      </c>
      <c r="C15" s="16">
        <v>25314</v>
      </c>
      <c r="D15" s="16">
        <v>17300180.439999998</v>
      </c>
      <c r="E15" s="16">
        <v>11387</v>
      </c>
      <c r="F15" s="16">
        <v>6475548.8400000138</v>
      </c>
      <c r="G15" s="16">
        <v>1423</v>
      </c>
      <c r="H15" s="16">
        <v>1132511.1500000027</v>
      </c>
      <c r="I15" s="16">
        <v>11278</v>
      </c>
      <c r="J15" s="16">
        <v>8696366.4899999779</v>
      </c>
      <c r="K15" s="16">
        <v>1226</v>
      </c>
      <c r="L15" s="16">
        <v>995753.96000000101</v>
      </c>
      <c r="M15" s="19">
        <v>2084060.4599999618</v>
      </c>
    </row>
    <row r="16" spans="1:13" ht="15.75" customHeight="1" x14ac:dyDescent="0.25">
      <c r="A16" s="8">
        <v>12</v>
      </c>
      <c r="B16" s="3" t="s">
        <v>142</v>
      </c>
      <c r="C16" s="16">
        <v>22167</v>
      </c>
      <c r="D16" s="16">
        <v>15448130.180000002</v>
      </c>
      <c r="E16" s="16">
        <v>9694</v>
      </c>
      <c r="F16" s="16">
        <v>5852705.1699999962</v>
      </c>
      <c r="G16" s="16">
        <v>2271</v>
      </c>
      <c r="H16" s="16">
        <v>1627360.5399999998</v>
      </c>
      <c r="I16" s="16">
        <v>8452</v>
      </c>
      <c r="J16" s="16">
        <v>6421905.4600000046</v>
      </c>
      <c r="K16" s="16">
        <v>1750</v>
      </c>
      <c r="L16" s="16">
        <v>1546159.0100000002</v>
      </c>
      <c r="M16" s="19">
        <v>487998.76000000816</v>
      </c>
    </row>
    <row r="17" spans="1:13" ht="15.75" customHeight="1" x14ac:dyDescent="0.25">
      <c r="A17" s="8">
        <v>13</v>
      </c>
      <c r="B17" s="3" t="s">
        <v>64</v>
      </c>
      <c r="C17" s="16">
        <v>16979</v>
      </c>
      <c r="D17" s="16">
        <v>15317208.909999993</v>
      </c>
      <c r="E17" s="16">
        <v>7241</v>
      </c>
      <c r="F17" s="16">
        <v>5515812.5999999987</v>
      </c>
      <c r="G17" s="16">
        <v>824</v>
      </c>
      <c r="H17" s="16">
        <v>770354.02999999968</v>
      </c>
      <c r="I17" s="16">
        <v>8297</v>
      </c>
      <c r="J17" s="16">
        <v>8379084.1599999955</v>
      </c>
      <c r="K17" s="16">
        <v>617</v>
      </c>
      <c r="L17" s="16">
        <v>651958.11999999988</v>
      </c>
      <c r="M17" s="19">
        <v>2744875.6499999976</v>
      </c>
    </row>
    <row r="18" spans="1:13" ht="15.75" customHeight="1" x14ac:dyDescent="0.25">
      <c r="A18" s="8">
        <v>14</v>
      </c>
      <c r="B18" s="3" t="s">
        <v>158</v>
      </c>
      <c r="C18" s="16">
        <v>22454</v>
      </c>
      <c r="D18" s="16">
        <v>14570390.280000001</v>
      </c>
      <c r="E18" s="16">
        <v>11107</v>
      </c>
      <c r="F18" s="16">
        <v>6949111.9200000018</v>
      </c>
      <c r="G18" s="16">
        <v>640</v>
      </c>
      <c r="H18" s="16">
        <v>444171</v>
      </c>
      <c r="I18" s="16">
        <v>10157</v>
      </c>
      <c r="J18" s="16">
        <v>6722889.3600000003</v>
      </c>
      <c r="K18" s="16">
        <v>550</v>
      </c>
      <c r="L18" s="16">
        <v>454218</v>
      </c>
      <c r="M18" s="19">
        <v>-216175.56000000145</v>
      </c>
    </row>
    <row r="19" spans="1:13" ht="15.75" customHeight="1" x14ac:dyDescent="0.25">
      <c r="A19" s="8">
        <v>15</v>
      </c>
      <c r="B19" s="3" t="s">
        <v>140</v>
      </c>
      <c r="C19" s="16">
        <v>24615</v>
      </c>
      <c r="D19" s="16">
        <v>14092309.600000007</v>
      </c>
      <c r="E19" s="16">
        <v>14351</v>
      </c>
      <c r="F19" s="16">
        <v>7756291.570000005</v>
      </c>
      <c r="G19" s="16">
        <v>2762</v>
      </c>
      <c r="H19" s="16">
        <v>1535518.02</v>
      </c>
      <c r="I19" s="16">
        <v>5924</v>
      </c>
      <c r="J19" s="16">
        <v>3736434.2600000012</v>
      </c>
      <c r="K19" s="16">
        <v>1578</v>
      </c>
      <c r="L19" s="16">
        <v>1064065.7500000002</v>
      </c>
      <c r="M19" s="19">
        <v>-4491309.5800000038</v>
      </c>
    </row>
    <row r="20" spans="1:13" ht="15.75" customHeight="1" x14ac:dyDescent="0.25">
      <c r="A20" s="8">
        <v>16</v>
      </c>
      <c r="B20" s="3" t="s">
        <v>32</v>
      </c>
      <c r="C20" s="16">
        <v>16261</v>
      </c>
      <c r="D20" s="16">
        <v>12983294.079999994</v>
      </c>
      <c r="E20" s="16">
        <v>2114</v>
      </c>
      <c r="F20" s="16">
        <v>1478780.1600000004</v>
      </c>
      <c r="G20" s="16">
        <v>529</v>
      </c>
      <c r="H20" s="16">
        <v>332167</v>
      </c>
      <c r="I20" s="16">
        <v>13618</v>
      </c>
      <c r="J20" s="16">
        <v>11172346.919999994</v>
      </c>
      <c r="K20" s="16"/>
      <c r="L20" s="16"/>
      <c r="M20" s="19">
        <v>9361399.7599999942</v>
      </c>
    </row>
    <row r="21" spans="1:13" ht="15.75" customHeight="1" x14ac:dyDescent="0.25">
      <c r="A21" s="8">
        <v>17</v>
      </c>
      <c r="B21" s="3" t="s">
        <v>84</v>
      </c>
      <c r="C21" s="16">
        <v>7795</v>
      </c>
      <c r="D21" s="16">
        <v>11091567.52</v>
      </c>
      <c r="E21" s="16">
        <v>2590</v>
      </c>
      <c r="F21" s="16">
        <v>2168686.5099999998</v>
      </c>
      <c r="G21" s="16">
        <v>1988</v>
      </c>
      <c r="H21" s="16">
        <v>4614225.0999999996</v>
      </c>
      <c r="I21" s="16">
        <v>2025</v>
      </c>
      <c r="J21" s="16">
        <v>1881467.64</v>
      </c>
      <c r="K21" s="16">
        <v>1192</v>
      </c>
      <c r="L21" s="16">
        <v>2427188.2700000005</v>
      </c>
      <c r="M21" s="19">
        <v>-2474255.6999999993</v>
      </c>
    </row>
    <row r="22" spans="1:13" ht="15.75" customHeight="1" x14ac:dyDescent="0.25">
      <c r="A22" s="8">
        <v>18</v>
      </c>
      <c r="B22" s="3" t="s">
        <v>152</v>
      </c>
      <c r="C22" s="16">
        <v>19606</v>
      </c>
      <c r="D22" s="16">
        <v>11128702.459999984</v>
      </c>
      <c r="E22" s="16">
        <v>9529</v>
      </c>
      <c r="F22" s="16">
        <v>5056798.1999999993</v>
      </c>
      <c r="G22" s="16">
        <v>645</v>
      </c>
      <c r="H22" s="16">
        <v>506147.39999999944</v>
      </c>
      <c r="I22" s="16">
        <v>8867</v>
      </c>
      <c r="J22" s="16">
        <v>5132457.919999986</v>
      </c>
      <c r="K22" s="16">
        <v>565</v>
      </c>
      <c r="L22" s="16">
        <v>433298.94000000006</v>
      </c>
      <c r="M22" s="19">
        <v>2811.2599999876693</v>
      </c>
    </row>
    <row r="23" spans="1:13" ht="15.75" customHeight="1" x14ac:dyDescent="0.25">
      <c r="A23" s="8">
        <v>19</v>
      </c>
      <c r="B23" s="3" t="s">
        <v>86</v>
      </c>
      <c r="C23" s="16">
        <v>12946</v>
      </c>
      <c r="D23" s="16">
        <v>11194271.92</v>
      </c>
      <c r="E23" s="16">
        <v>4331</v>
      </c>
      <c r="F23" s="16">
        <v>3169648.71</v>
      </c>
      <c r="G23" s="16">
        <v>706</v>
      </c>
      <c r="H23" s="16">
        <v>638128.16</v>
      </c>
      <c r="I23" s="16">
        <v>7320</v>
      </c>
      <c r="J23" s="16">
        <v>6848839.9699999988</v>
      </c>
      <c r="K23" s="16">
        <v>589</v>
      </c>
      <c r="L23" s="16">
        <v>537655.08000000007</v>
      </c>
      <c r="M23" s="19">
        <v>3578718.1799999988</v>
      </c>
    </row>
    <row r="24" spans="1:13" ht="15.75" customHeight="1" x14ac:dyDescent="0.25">
      <c r="A24" s="8">
        <v>20</v>
      </c>
      <c r="B24" s="3" t="s">
        <v>96</v>
      </c>
      <c r="C24" s="16">
        <v>13440</v>
      </c>
      <c r="D24" s="16">
        <v>10327810.289999994</v>
      </c>
      <c r="E24" s="16">
        <v>5839</v>
      </c>
      <c r="F24" s="16">
        <v>3860354.2899999986</v>
      </c>
      <c r="G24" s="16">
        <v>836</v>
      </c>
      <c r="H24" s="16">
        <v>669405.78</v>
      </c>
      <c r="I24" s="16">
        <v>5905</v>
      </c>
      <c r="J24" s="16">
        <v>4905012.2299999958</v>
      </c>
      <c r="K24" s="16">
        <v>860</v>
      </c>
      <c r="L24" s="16">
        <v>893037.98999999987</v>
      </c>
      <c r="M24" s="19">
        <v>1268290.1499999976</v>
      </c>
    </row>
    <row r="25" spans="1:13" ht="15.75" customHeight="1" x14ac:dyDescent="0.25">
      <c r="A25" s="8">
        <v>21</v>
      </c>
      <c r="B25" s="3" t="s">
        <v>128</v>
      </c>
      <c r="C25" s="16">
        <v>17634</v>
      </c>
      <c r="D25" s="16">
        <v>10198310.959999993</v>
      </c>
      <c r="E25" s="16">
        <v>7892</v>
      </c>
      <c r="F25" s="16">
        <v>4416045.3099999977</v>
      </c>
      <c r="G25" s="16">
        <v>290</v>
      </c>
      <c r="H25" s="16">
        <v>270141.54000000004</v>
      </c>
      <c r="I25" s="16">
        <v>9212</v>
      </c>
      <c r="J25" s="16">
        <v>5311085.0099999961</v>
      </c>
      <c r="K25" s="16">
        <v>240</v>
      </c>
      <c r="L25" s="16">
        <v>201039.09999999998</v>
      </c>
      <c r="M25" s="19">
        <v>825937.25999999791</v>
      </c>
    </row>
    <row r="26" spans="1:13" ht="15.75" customHeight="1" x14ac:dyDescent="0.25">
      <c r="A26" s="8">
        <v>22</v>
      </c>
      <c r="B26" s="3" t="s">
        <v>100</v>
      </c>
      <c r="C26" s="16">
        <v>16388</v>
      </c>
      <c r="D26" s="16">
        <v>10614226.820000006</v>
      </c>
      <c r="E26" s="16">
        <v>5723</v>
      </c>
      <c r="F26" s="16">
        <v>3219812.6600000006</v>
      </c>
      <c r="G26" s="16">
        <v>866</v>
      </c>
      <c r="H26" s="16">
        <v>574810.69999999995</v>
      </c>
      <c r="I26" s="16">
        <v>8836</v>
      </c>
      <c r="J26" s="16">
        <v>5798722.1100000059</v>
      </c>
      <c r="K26" s="16">
        <v>963</v>
      </c>
      <c r="L26" s="16">
        <v>1020881.3500000001</v>
      </c>
      <c r="M26" s="19">
        <v>3024980.1000000061</v>
      </c>
    </row>
    <row r="27" spans="1:13" ht="15.75" customHeight="1" x14ac:dyDescent="0.25">
      <c r="A27" s="8">
        <v>23</v>
      </c>
      <c r="B27" s="3" t="s">
        <v>80</v>
      </c>
      <c r="C27" s="16">
        <v>13958</v>
      </c>
      <c r="D27" s="16">
        <v>9903922.3300000019</v>
      </c>
      <c r="E27" s="16">
        <v>7112</v>
      </c>
      <c r="F27" s="16">
        <v>4512059.0300000012</v>
      </c>
      <c r="G27" s="16">
        <v>302</v>
      </c>
      <c r="H27" s="16">
        <v>199366.96</v>
      </c>
      <c r="I27" s="16">
        <v>6328</v>
      </c>
      <c r="J27" s="16">
        <v>4980666.3400000008</v>
      </c>
      <c r="K27" s="16">
        <v>216</v>
      </c>
      <c r="L27" s="16">
        <v>211830</v>
      </c>
      <c r="M27" s="19">
        <v>481070.34999999963</v>
      </c>
    </row>
    <row r="28" spans="1:13" ht="15.75" customHeight="1" x14ac:dyDescent="0.25">
      <c r="A28" s="8">
        <v>24</v>
      </c>
      <c r="B28" s="3" t="s">
        <v>59</v>
      </c>
      <c r="C28" s="16">
        <v>14665</v>
      </c>
      <c r="D28" s="16">
        <v>10605317.089999992</v>
      </c>
      <c r="E28" s="16">
        <v>6213</v>
      </c>
      <c r="F28" s="16">
        <v>3518891.7299999986</v>
      </c>
      <c r="G28" s="16">
        <v>1021</v>
      </c>
      <c r="H28" s="16">
        <v>955456.85999999975</v>
      </c>
      <c r="I28" s="16">
        <v>6373</v>
      </c>
      <c r="J28" s="16">
        <v>4894805.8199999956</v>
      </c>
      <c r="K28" s="16">
        <v>1058</v>
      </c>
      <c r="L28" s="16">
        <v>1236162.6800000002</v>
      </c>
      <c r="M28" s="19">
        <v>1656619.9099999983</v>
      </c>
    </row>
    <row r="29" spans="1:13" ht="15.75" customHeight="1" x14ac:dyDescent="0.25">
      <c r="A29" s="8">
        <v>25</v>
      </c>
      <c r="B29" s="3" t="s">
        <v>42</v>
      </c>
      <c r="C29" s="16">
        <v>13642</v>
      </c>
      <c r="D29" s="16">
        <v>9486311.4900000002</v>
      </c>
      <c r="E29" s="16">
        <v>6715</v>
      </c>
      <c r="F29" s="16">
        <v>4231858.83</v>
      </c>
      <c r="G29" s="16">
        <v>557</v>
      </c>
      <c r="H29" s="16">
        <v>468402</v>
      </c>
      <c r="I29" s="16">
        <v>5919</v>
      </c>
      <c r="J29" s="16">
        <v>4402586.66</v>
      </c>
      <c r="K29" s="16">
        <v>451</v>
      </c>
      <c r="L29" s="16">
        <v>383464</v>
      </c>
      <c r="M29" s="19">
        <v>85789.830000000075</v>
      </c>
    </row>
    <row r="30" spans="1:13" ht="15.75" customHeight="1" x14ac:dyDescent="0.25">
      <c r="A30" s="8">
        <v>26</v>
      </c>
      <c r="B30" s="3" t="s">
        <v>182</v>
      </c>
      <c r="C30" s="16">
        <v>9157</v>
      </c>
      <c r="D30" s="16">
        <v>9270044.2400000002</v>
      </c>
      <c r="E30" s="16">
        <v>4993</v>
      </c>
      <c r="F30" s="16">
        <v>4321968.6100000013</v>
      </c>
      <c r="G30" s="16">
        <v>356</v>
      </c>
      <c r="H30" s="16">
        <v>371513</v>
      </c>
      <c r="I30" s="16">
        <v>3594</v>
      </c>
      <c r="J30" s="16">
        <v>4323716.629999999</v>
      </c>
      <c r="K30" s="16">
        <v>214</v>
      </c>
      <c r="L30" s="16">
        <v>252846</v>
      </c>
      <c r="M30" s="19">
        <v>-116918.98000000231</v>
      </c>
    </row>
    <row r="31" spans="1:13" ht="15.75" customHeight="1" x14ac:dyDescent="0.25">
      <c r="A31" s="8">
        <v>27</v>
      </c>
      <c r="B31" s="3" t="s">
        <v>92</v>
      </c>
      <c r="C31" s="16">
        <v>11439</v>
      </c>
      <c r="D31" s="16">
        <v>8788501.6300000008</v>
      </c>
      <c r="E31" s="16">
        <v>3607</v>
      </c>
      <c r="F31" s="16">
        <v>2346395.3700000006</v>
      </c>
      <c r="G31" s="16">
        <v>827</v>
      </c>
      <c r="H31" s="16">
        <v>783093.96999999974</v>
      </c>
      <c r="I31" s="16">
        <v>5657</v>
      </c>
      <c r="J31" s="16">
        <v>4434438.24</v>
      </c>
      <c r="K31" s="16">
        <v>1348</v>
      </c>
      <c r="L31" s="16">
        <v>1224574.05</v>
      </c>
      <c r="M31" s="19">
        <v>2529522.9499999997</v>
      </c>
    </row>
    <row r="32" spans="1:13" ht="15.75" customHeight="1" x14ac:dyDescent="0.25">
      <c r="A32" s="8">
        <v>28</v>
      </c>
      <c r="B32" s="3" t="s">
        <v>279</v>
      </c>
      <c r="C32" s="16">
        <v>21163</v>
      </c>
      <c r="D32" s="16">
        <v>14019694.350000035</v>
      </c>
      <c r="E32" s="16">
        <v>10370</v>
      </c>
      <c r="F32" s="16">
        <v>5996087.7600000333</v>
      </c>
      <c r="G32" s="16">
        <v>687</v>
      </c>
      <c r="H32" s="16">
        <v>651479.98999999918</v>
      </c>
      <c r="I32" s="16">
        <v>9594</v>
      </c>
      <c r="J32" s="16">
        <v>6954346.370000002</v>
      </c>
      <c r="K32" s="16">
        <v>512</v>
      </c>
      <c r="L32" s="16">
        <v>417780.23000000045</v>
      </c>
      <c r="M32" s="19">
        <v>724558.84999996983</v>
      </c>
    </row>
    <row r="33" spans="1:13" ht="15.75" customHeight="1" x14ac:dyDescent="0.25">
      <c r="A33" s="8">
        <v>29</v>
      </c>
      <c r="B33" s="3" t="s">
        <v>22</v>
      </c>
      <c r="C33" s="16">
        <v>8066</v>
      </c>
      <c r="D33" s="16">
        <v>7009170.0500000026</v>
      </c>
      <c r="E33" s="16">
        <v>3442</v>
      </c>
      <c r="F33" s="16">
        <v>2336843.4199999976</v>
      </c>
      <c r="G33" s="16">
        <v>1003</v>
      </c>
      <c r="H33" s="16">
        <v>1135272.0700000019</v>
      </c>
      <c r="I33" s="16">
        <v>2749</v>
      </c>
      <c r="J33" s="16">
        <v>2185020.400000005</v>
      </c>
      <c r="K33" s="16">
        <v>872</v>
      </c>
      <c r="L33" s="16">
        <v>1352034.1599999985</v>
      </c>
      <c r="M33" s="19">
        <v>64939.070000004023</v>
      </c>
    </row>
    <row r="34" spans="1:13" ht="15.75" customHeight="1" x14ac:dyDescent="0.25">
      <c r="A34" s="8">
        <v>30</v>
      </c>
      <c r="B34" s="3" t="s">
        <v>176</v>
      </c>
      <c r="C34" s="16">
        <v>10655</v>
      </c>
      <c r="D34" s="16">
        <v>7200997.8300000001</v>
      </c>
      <c r="E34" s="16">
        <v>4372</v>
      </c>
      <c r="F34" s="16">
        <v>2559117.5299999993</v>
      </c>
      <c r="G34" s="16">
        <v>1252</v>
      </c>
      <c r="H34" s="16">
        <v>865677.27</v>
      </c>
      <c r="I34" s="16">
        <v>3831</v>
      </c>
      <c r="J34" s="16">
        <v>2815726.0300000003</v>
      </c>
      <c r="K34" s="16">
        <v>1200</v>
      </c>
      <c r="L34" s="16">
        <v>960477</v>
      </c>
      <c r="M34" s="19">
        <v>351408.23000000091</v>
      </c>
    </row>
    <row r="35" spans="1:13" ht="15.75" customHeight="1" x14ac:dyDescent="0.25">
      <c r="A35" s="8">
        <v>31</v>
      </c>
      <c r="B35" s="3" t="s">
        <v>82</v>
      </c>
      <c r="C35" s="16">
        <v>7547</v>
      </c>
      <c r="D35" s="16">
        <v>6663320.8500000089</v>
      </c>
      <c r="E35" s="16">
        <v>2683</v>
      </c>
      <c r="F35" s="16">
        <v>1431174.63</v>
      </c>
      <c r="G35" s="16">
        <v>1145</v>
      </c>
      <c r="H35" s="16">
        <v>2068695.370000002</v>
      </c>
      <c r="I35" s="16">
        <v>2893</v>
      </c>
      <c r="J35" s="16">
        <v>1819839.7500000063</v>
      </c>
      <c r="K35" s="16">
        <v>826</v>
      </c>
      <c r="L35" s="16">
        <v>1343611.100000001</v>
      </c>
      <c r="M35" s="19">
        <v>-336419.14999999478</v>
      </c>
    </row>
    <row r="36" spans="1:13" ht="15.75" customHeight="1" x14ac:dyDescent="0.25">
      <c r="A36" s="8">
        <v>32</v>
      </c>
      <c r="B36" s="3" t="s">
        <v>150</v>
      </c>
      <c r="C36" s="16">
        <v>223</v>
      </c>
      <c r="D36" s="16">
        <v>140862.91999999998</v>
      </c>
      <c r="E36" s="16">
        <v>168</v>
      </c>
      <c r="F36" s="16">
        <v>102216.41999999998</v>
      </c>
      <c r="G36" s="16">
        <v>55</v>
      </c>
      <c r="H36" s="16">
        <v>38646.500000000007</v>
      </c>
      <c r="I36" s="16"/>
      <c r="J36" s="16"/>
      <c r="K36" s="16"/>
      <c r="L36" s="16"/>
      <c r="M36" s="19">
        <v>-140862.91999999998</v>
      </c>
    </row>
    <row r="37" spans="1:13" ht="15.75" customHeight="1" x14ac:dyDescent="0.25">
      <c r="A37" s="8">
        <v>33</v>
      </c>
      <c r="B37" s="3" t="s">
        <v>144</v>
      </c>
      <c r="C37" s="16">
        <v>7311</v>
      </c>
      <c r="D37" s="16">
        <v>6500962.9799999977</v>
      </c>
      <c r="E37" s="16">
        <v>3428</v>
      </c>
      <c r="F37" s="16">
        <v>2746189.0499999984</v>
      </c>
      <c r="G37" s="16">
        <v>1030</v>
      </c>
      <c r="H37" s="16">
        <v>930747.95999999985</v>
      </c>
      <c r="I37" s="16">
        <v>2192</v>
      </c>
      <c r="J37" s="16">
        <v>2001033.45</v>
      </c>
      <c r="K37" s="16">
        <v>661</v>
      </c>
      <c r="L37" s="16">
        <v>822992.5199999999</v>
      </c>
      <c r="M37" s="19">
        <v>-852911.03999999864</v>
      </c>
    </row>
    <row r="38" spans="1:13" ht="15.75" customHeight="1" x14ac:dyDescent="0.25">
      <c r="A38" s="8">
        <v>34</v>
      </c>
      <c r="B38" s="3" t="s">
        <v>29</v>
      </c>
      <c r="C38" s="16">
        <v>12303</v>
      </c>
      <c r="D38" s="16">
        <v>6257528.8699999917</v>
      </c>
      <c r="E38" s="16">
        <v>5654</v>
      </c>
      <c r="F38" s="16">
        <v>2481145.7299999869</v>
      </c>
      <c r="G38" s="16">
        <v>1130</v>
      </c>
      <c r="H38" s="16">
        <v>788051.23999999929</v>
      </c>
      <c r="I38" s="16">
        <v>4634</v>
      </c>
      <c r="J38" s="16">
        <v>2319098.4400000046</v>
      </c>
      <c r="K38" s="16">
        <v>885</v>
      </c>
      <c r="L38" s="16">
        <v>669233.46000000054</v>
      </c>
      <c r="M38" s="19">
        <v>-280865.06999998121</v>
      </c>
    </row>
    <row r="39" spans="1:13" ht="15.75" customHeight="1" x14ac:dyDescent="0.25">
      <c r="A39" s="8">
        <v>35</v>
      </c>
      <c r="B39" s="3" t="s">
        <v>103</v>
      </c>
      <c r="C39" s="16">
        <v>10568</v>
      </c>
      <c r="D39" s="16">
        <v>6397186.1500000022</v>
      </c>
      <c r="E39" s="16">
        <v>4599</v>
      </c>
      <c r="F39" s="16">
        <v>2535999.2500000014</v>
      </c>
      <c r="G39" s="16">
        <v>589</v>
      </c>
      <c r="H39" s="16">
        <v>326929.02</v>
      </c>
      <c r="I39" s="16">
        <v>4896</v>
      </c>
      <c r="J39" s="16">
        <v>3232478.0300000012</v>
      </c>
      <c r="K39" s="16">
        <v>484</v>
      </c>
      <c r="L39" s="16">
        <v>301779.84999999998</v>
      </c>
      <c r="M39" s="19">
        <v>671329.60999999987</v>
      </c>
    </row>
    <row r="40" spans="1:13" ht="15.75" customHeight="1" x14ac:dyDescent="0.25">
      <c r="A40" s="8">
        <v>36</v>
      </c>
      <c r="B40" s="3" t="s">
        <v>46</v>
      </c>
      <c r="C40" s="16">
        <v>6844</v>
      </c>
      <c r="D40" s="16">
        <v>5993917.9699999997</v>
      </c>
      <c r="E40" s="16">
        <v>2863</v>
      </c>
      <c r="F40" s="16">
        <v>1757025.95</v>
      </c>
      <c r="G40" s="16">
        <v>723</v>
      </c>
      <c r="H40" s="16">
        <v>1364840.96</v>
      </c>
      <c r="I40" s="16">
        <v>2612</v>
      </c>
      <c r="J40" s="16">
        <v>1686554.19</v>
      </c>
      <c r="K40" s="16">
        <v>646</v>
      </c>
      <c r="L40" s="16">
        <v>1185496.8699999999</v>
      </c>
      <c r="M40" s="19">
        <v>-249815.85000000056</v>
      </c>
    </row>
    <row r="41" spans="1:13" ht="15.75" customHeight="1" x14ac:dyDescent="0.25">
      <c r="A41" s="8">
        <v>37</v>
      </c>
      <c r="B41" s="3" t="s">
        <v>36</v>
      </c>
      <c r="C41" s="16">
        <v>3947</v>
      </c>
      <c r="D41" s="16">
        <v>4931619.3900000006</v>
      </c>
      <c r="E41" s="16">
        <v>987</v>
      </c>
      <c r="F41" s="16">
        <v>808706.57000000007</v>
      </c>
      <c r="G41" s="16">
        <v>1159</v>
      </c>
      <c r="H41" s="16">
        <v>2438595</v>
      </c>
      <c r="I41" s="16">
        <v>1801</v>
      </c>
      <c r="J41" s="16">
        <v>1684317.8199999998</v>
      </c>
      <c r="K41" s="16"/>
      <c r="L41" s="16"/>
      <c r="M41" s="19">
        <v>-1562983.7500000005</v>
      </c>
    </row>
    <row r="42" spans="1:13" ht="15.75" customHeight="1" x14ac:dyDescent="0.25">
      <c r="A42" s="8">
        <v>38</v>
      </c>
      <c r="B42" s="3" t="s">
        <v>276</v>
      </c>
      <c r="C42" s="16">
        <v>8996</v>
      </c>
      <c r="D42" s="16">
        <v>6948202.6199999992</v>
      </c>
      <c r="E42" s="16">
        <v>5645</v>
      </c>
      <c r="F42" s="16">
        <v>3990845.8899999997</v>
      </c>
      <c r="G42" s="16">
        <v>1046</v>
      </c>
      <c r="H42" s="16">
        <v>661144</v>
      </c>
      <c r="I42" s="16"/>
      <c r="J42" s="16"/>
      <c r="K42" s="16">
        <v>2305</v>
      </c>
      <c r="L42" s="16">
        <v>2296212.73</v>
      </c>
      <c r="M42" s="19">
        <v>-2355777.1599999997</v>
      </c>
    </row>
    <row r="43" spans="1:13" ht="15.75" customHeight="1" x14ac:dyDescent="0.25">
      <c r="A43" s="8">
        <v>39</v>
      </c>
      <c r="B43" s="3" t="s">
        <v>98</v>
      </c>
      <c r="C43" s="16">
        <v>6636</v>
      </c>
      <c r="D43" s="16">
        <v>4943674.8</v>
      </c>
      <c r="E43" s="16">
        <v>2407</v>
      </c>
      <c r="F43" s="16">
        <v>1465424.56</v>
      </c>
      <c r="G43" s="16">
        <v>360</v>
      </c>
      <c r="H43" s="16">
        <v>264009.82000000007</v>
      </c>
      <c r="I43" s="16">
        <v>3412</v>
      </c>
      <c r="J43" s="16">
        <v>2824143.8799999994</v>
      </c>
      <c r="K43" s="16">
        <v>457</v>
      </c>
      <c r="L43" s="16">
        <v>390096.54000000027</v>
      </c>
      <c r="M43" s="19">
        <v>1484806.0399999998</v>
      </c>
    </row>
    <row r="44" spans="1:13" ht="15.75" customHeight="1" x14ac:dyDescent="0.25">
      <c r="A44" s="8">
        <v>40</v>
      </c>
      <c r="B44" s="3" t="s">
        <v>133</v>
      </c>
      <c r="C44" s="16">
        <v>7440</v>
      </c>
      <c r="D44" s="16">
        <v>5247431.0900000017</v>
      </c>
      <c r="E44" s="16">
        <v>959</v>
      </c>
      <c r="F44" s="16">
        <v>595220.24</v>
      </c>
      <c r="G44" s="16">
        <v>114</v>
      </c>
      <c r="H44" s="16">
        <v>57370</v>
      </c>
      <c r="I44" s="16">
        <v>5871</v>
      </c>
      <c r="J44" s="16">
        <v>4227640.8500000015</v>
      </c>
      <c r="K44" s="16">
        <v>496</v>
      </c>
      <c r="L44" s="16">
        <v>367200</v>
      </c>
      <c r="M44" s="19">
        <v>3942250.6100000013</v>
      </c>
    </row>
    <row r="45" spans="1:13" ht="15.75" customHeight="1" x14ac:dyDescent="0.25">
      <c r="A45" s="8">
        <v>41</v>
      </c>
      <c r="B45" s="3" t="s">
        <v>208</v>
      </c>
      <c r="C45" s="16">
        <v>1574</v>
      </c>
      <c r="D45" s="16">
        <v>1950586.94</v>
      </c>
      <c r="E45" s="16">
        <v>21</v>
      </c>
      <c r="F45" s="16">
        <v>23096</v>
      </c>
      <c r="G45" s="16"/>
      <c r="H45" s="16"/>
      <c r="I45" s="16">
        <v>1151</v>
      </c>
      <c r="J45" s="16">
        <v>1056156.94</v>
      </c>
      <c r="K45" s="16">
        <v>402</v>
      </c>
      <c r="L45" s="16">
        <v>871334</v>
      </c>
      <c r="M45" s="19">
        <v>1904394.94</v>
      </c>
    </row>
    <row r="46" spans="1:13" ht="15.75" customHeight="1" x14ac:dyDescent="0.25">
      <c r="A46" s="8">
        <v>42</v>
      </c>
      <c r="B46" s="3" t="s">
        <v>122</v>
      </c>
      <c r="C46" s="16">
        <v>7026</v>
      </c>
      <c r="D46" s="16">
        <v>4415306.82</v>
      </c>
      <c r="E46" s="16">
        <v>2673</v>
      </c>
      <c r="F46" s="16">
        <v>1288266.5500000003</v>
      </c>
      <c r="G46" s="16">
        <v>810</v>
      </c>
      <c r="H46" s="16">
        <v>550522.06000000006</v>
      </c>
      <c r="I46" s="16">
        <v>2706</v>
      </c>
      <c r="J46" s="16">
        <v>1780155.2899999998</v>
      </c>
      <c r="K46" s="16">
        <v>837</v>
      </c>
      <c r="L46" s="16">
        <v>796362.92</v>
      </c>
      <c r="M46" s="19">
        <v>737729.59999999963</v>
      </c>
    </row>
    <row r="47" spans="1:13" ht="15.75" customHeight="1" x14ac:dyDescent="0.25">
      <c r="A47" s="8">
        <v>43</v>
      </c>
      <c r="B47" s="3" t="s">
        <v>106</v>
      </c>
      <c r="C47" s="16">
        <v>7213</v>
      </c>
      <c r="D47" s="16">
        <v>4343789.1300000008</v>
      </c>
      <c r="E47" s="16">
        <v>2821</v>
      </c>
      <c r="F47" s="16">
        <v>1432591.4</v>
      </c>
      <c r="G47" s="16">
        <v>588</v>
      </c>
      <c r="H47" s="16">
        <v>303707.77999999997</v>
      </c>
      <c r="I47" s="16">
        <v>3081</v>
      </c>
      <c r="J47" s="16">
        <v>2129251.7200000002</v>
      </c>
      <c r="K47" s="16">
        <v>723</v>
      </c>
      <c r="L47" s="16">
        <v>478238.23</v>
      </c>
      <c r="M47" s="19">
        <v>871190.77000000025</v>
      </c>
    </row>
    <row r="48" spans="1:13" ht="15.75" customHeight="1" x14ac:dyDescent="0.25">
      <c r="A48" s="8">
        <v>44</v>
      </c>
      <c r="B48" s="3" t="s">
        <v>171</v>
      </c>
      <c r="C48" s="16">
        <v>3810</v>
      </c>
      <c r="D48" s="16">
        <v>4040395.6799999997</v>
      </c>
      <c r="E48" s="16">
        <v>1161</v>
      </c>
      <c r="F48" s="16">
        <v>839919.64</v>
      </c>
      <c r="G48" s="16">
        <v>502</v>
      </c>
      <c r="H48" s="16">
        <v>757709.92999999993</v>
      </c>
      <c r="I48" s="16">
        <v>1652</v>
      </c>
      <c r="J48" s="16">
        <v>1695110.11</v>
      </c>
      <c r="K48" s="16">
        <v>495</v>
      </c>
      <c r="L48" s="16">
        <v>747656</v>
      </c>
      <c r="M48" s="19">
        <v>845136.5400000005</v>
      </c>
    </row>
    <row r="49" spans="1:13" ht="15.75" customHeight="1" x14ac:dyDescent="0.25">
      <c r="A49" s="8">
        <v>45</v>
      </c>
      <c r="B49" s="3" t="s">
        <v>180</v>
      </c>
      <c r="C49" s="16">
        <v>6325</v>
      </c>
      <c r="D49" s="16">
        <v>3859020.9700000007</v>
      </c>
      <c r="E49" s="16">
        <v>2695</v>
      </c>
      <c r="F49" s="16">
        <v>1449761.46</v>
      </c>
      <c r="G49" s="16">
        <v>203</v>
      </c>
      <c r="H49" s="16">
        <v>86942</v>
      </c>
      <c r="I49" s="16">
        <v>3176</v>
      </c>
      <c r="J49" s="16">
        <v>2137081.5100000007</v>
      </c>
      <c r="K49" s="16">
        <v>251</v>
      </c>
      <c r="L49" s="16">
        <v>185236</v>
      </c>
      <c r="M49" s="19">
        <v>785614.05000000075</v>
      </c>
    </row>
    <row r="50" spans="1:13" ht="15.75" customHeight="1" x14ac:dyDescent="0.25">
      <c r="A50" s="8">
        <v>46</v>
      </c>
      <c r="B50" s="3" t="s">
        <v>71</v>
      </c>
      <c r="C50" s="16">
        <v>4338</v>
      </c>
      <c r="D50" s="16">
        <v>3552417.9500000011</v>
      </c>
      <c r="E50" s="16">
        <v>1672</v>
      </c>
      <c r="F50" s="16">
        <v>1162085.1200000003</v>
      </c>
      <c r="G50" s="16">
        <v>539</v>
      </c>
      <c r="H50" s="16">
        <v>546191.87000000011</v>
      </c>
      <c r="I50" s="16">
        <v>1616</v>
      </c>
      <c r="J50" s="16">
        <v>1312671.2000000004</v>
      </c>
      <c r="K50" s="16">
        <v>511</v>
      </c>
      <c r="L50" s="16">
        <v>531469.76</v>
      </c>
      <c r="M50" s="19">
        <v>135863.96999999997</v>
      </c>
    </row>
    <row r="51" spans="1:13" ht="15.75" customHeight="1" x14ac:dyDescent="0.25">
      <c r="A51" s="8">
        <v>47</v>
      </c>
      <c r="B51" s="3" t="s">
        <v>53</v>
      </c>
      <c r="C51" s="16">
        <v>4723</v>
      </c>
      <c r="D51" s="16">
        <v>3307356.9800000004</v>
      </c>
      <c r="E51" s="16">
        <v>2153</v>
      </c>
      <c r="F51" s="16">
        <v>1253024.9900000007</v>
      </c>
      <c r="G51" s="16">
        <v>412</v>
      </c>
      <c r="H51" s="16">
        <v>335603.65</v>
      </c>
      <c r="I51" s="16">
        <v>1877</v>
      </c>
      <c r="J51" s="16">
        <v>1467733.5499999996</v>
      </c>
      <c r="K51" s="16">
        <v>281</v>
      </c>
      <c r="L51" s="16">
        <v>250994.79</v>
      </c>
      <c r="M51" s="19">
        <v>130099.69999999902</v>
      </c>
    </row>
    <row r="52" spans="1:13" ht="15.75" customHeight="1" x14ac:dyDescent="0.25">
      <c r="A52" s="8">
        <v>48</v>
      </c>
      <c r="B52" s="3" t="s">
        <v>55</v>
      </c>
      <c r="C52" s="16">
        <v>3963</v>
      </c>
      <c r="D52" s="16">
        <v>3429424.63</v>
      </c>
      <c r="E52" s="16">
        <v>1798</v>
      </c>
      <c r="F52" s="16">
        <v>1181814.2399999998</v>
      </c>
      <c r="G52" s="16">
        <v>217</v>
      </c>
      <c r="H52" s="16">
        <v>285813</v>
      </c>
      <c r="I52" s="16">
        <v>1776</v>
      </c>
      <c r="J52" s="16">
        <v>1642310.3900000001</v>
      </c>
      <c r="K52" s="16">
        <v>172</v>
      </c>
      <c r="L52" s="16">
        <v>319487</v>
      </c>
      <c r="M52" s="19">
        <v>494170.15000000037</v>
      </c>
    </row>
    <row r="53" spans="1:13" ht="15.75" customHeight="1" x14ac:dyDescent="0.25">
      <c r="A53" s="8">
        <v>49</v>
      </c>
      <c r="B53" s="3" t="s">
        <v>50</v>
      </c>
      <c r="C53" s="16">
        <v>4291</v>
      </c>
      <c r="D53" s="16">
        <v>3171391.6300000004</v>
      </c>
      <c r="E53" s="16">
        <v>1736</v>
      </c>
      <c r="F53" s="16">
        <v>1120218.5799999998</v>
      </c>
      <c r="G53" s="16">
        <v>527</v>
      </c>
      <c r="H53" s="16">
        <v>490680.21</v>
      </c>
      <c r="I53" s="16">
        <v>1641</v>
      </c>
      <c r="J53" s="16">
        <v>1191859.7800000007</v>
      </c>
      <c r="K53" s="16">
        <v>387</v>
      </c>
      <c r="L53" s="16">
        <v>368633.06</v>
      </c>
      <c r="M53" s="19">
        <v>-50405.949999999022</v>
      </c>
    </row>
    <row r="54" spans="1:13" ht="15.75" customHeight="1" x14ac:dyDescent="0.25">
      <c r="A54" s="8">
        <v>50</v>
      </c>
      <c r="B54" s="3" t="s">
        <v>156</v>
      </c>
      <c r="C54" s="16">
        <v>4756</v>
      </c>
      <c r="D54" s="16">
        <v>3136606.7199999997</v>
      </c>
      <c r="E54" s="16">
        <v>2305</v>
      </c>
      <c r="F54" s="16">
        <v>1458272.21</v>
      </c>
      <c r="G54" s="16">
        <v>281</v>
      </c>
      <c r="H54" s="16">
        <v>139709</v>
      </c>
      <c r="I54" s="16">
        <v>1934</v>
      </c>
      <c r="J54" s="16">
        <v>1417839.6700000002</v>
      </c>
      <c r="K54" s="16">
        <v>236</v>
      </c>
      <c r="L54" s="16">
        <v>120785.84</v>
      </c>
      <c r="M54" s="19">
        <v>-59355.699999999721</v>
      </c>
    </row>
    <row r="55" spans="1:13" ht="15.75" customHeight="1" x14ac:dyDescent="0.25">
      <c r="A55" s="8">
        <v>51</v>
      </c>
      <c r="B55" s="3" t="s">
        <v>148</v>
      </c>
      <c r="C55" s="16">
        <v>4122</v>
      </c>
      <c r="D55" s="16">
        <v>3033563.330000001</v>
      </c>
      <c r="E55" s="16">
        <v>1942</v>
      </c>
      <c r="F55" s="16">
        <v>1293903.6400000006</v>
      </c>
      <c r="G55" s="16">
        <v>251</v>
      </c>
      <c r="H55" s="16">
        <v>302893</v>
      </c>
      <c r="I55" s="16">
        <v>1738</v>
      </c>
      <c r="J55" s="16">
        <v>1246513.6900000002</v>
      </c>
      <c r="K55" s="16">
        <v>191</v>
      </c>
      <c r="L55" s="16">
        <v>190253</v>
      </c>
      <c r="M55" s="19">
        <v>-160029.95000000042</v>
      </c>
    </row>
    <row r="56" spans="1:13" ht="15.75" customHeight="1" x14ac:dyDescent="0.25">
      <c r="A56" s="8">
        <v>52</v>
      </c>
      <c r="B56" s="3" t="s">
        <v>281</v>
      </c>
      <c r="C56" s="16">
        <v>5821</v>
      </c>
      <c r="D56" s="16">
        <v>3822052.0699999994</v>
      </c>
      <c r="E56" s="16">
        <v>3295</v>
      </c>
      <c r="F56" s="16">
        <v>1841666.9700000002</v>
      </c>
      <c r="G56" s="16">
        <v>652</v>
      </c>
      <c r="H56" s="16">
        <v>522747.24</v>
      </c>
      <c r="I56" s="16">
        <v>1545</v>
      </c>
      <c r="J56" s="16">
        <v>1129585.3699999996</v>
      </c>
      <c r="K56" s="16">
        <v>329</v>
      </c>
      <c r="L56" s="16">
        <v>328052.49</v>
      </c>
      <c r="M56" s="19">
        <v>-906776.35000000033</v>
      </c>
    </row>
    <row r="57" spans="1:13" ht="15.75" customHeight="1" x14ac:dyDescent="0.25">
      <c r="A57" s="8">
        <v>53</v>
      </c>
      <c r="B57" s="3" t="s">
        <v>282</v>
      </c>
      <c r="C57" s="16">
        <v>1984</v>
      </c>
      <c r="D57" s="16">
        <v>3744140.1</v>
      </c>
      <c r="E57" s="16"/>
      <c r="F57" s="16"/>
      <c r="G57" s="16"/>
      <c r="H57" s="16"/>
      <c r="I57" s="16"/>
      <c r="J57" s="16"/>
      <c r="K57" s="16">
        <v>1984</v>
      </c>
      <c r="L57" s="16">
        <v>3744140.1</v>
      </c>
      <c r="M57" s="19">
        <v>3744140.1</v>
      </c>
    </row>
    <row r="58" spans="1:13" ht="15.75" customHeight="1" x14ac:dyDescent="0.25">
      <c r="A58" s="8">
        <v>54</v>
      </c>
      <c r="B58" s="3" t="s">
        <v>130</v>
      </c>
      <c r="C58" s="16">
        <v>4058</v>
      </c>
      <c r="D58" s="16">
        <v>2593538.5200000005</v>
      </c>
      <c r="E58" s="16">
        <v>1832</v>
      </c>
      <c r="F58" s="16">
        <v>948357.73999999976</v>
      </c>
      <c r="G58" s="16">
        <v>375</v>
      </c>
      <c r="H58" s="16">
        <v>265928.54000000004</v>
      </c>
      <c r="I58" s="16">
        <v>1507</v>
      </c>
      <c r="J58" s="16">
        <v>1040652.2900000003</v>
      </c>
      <c r="K58" s="16">
        <v>344</v>
      </c>
      <c r="L58" s="16">
        <v>338599.95000000007</v>
      </c>
      <c r="M58" s="19">
        <v>164965.96000000043</v>
      </c>
    </row>
    <row r="59" spans="1:13" ht="15.75" customHeight="1" x14ac:dyDescent="0.25">
      <c r="A59" s="8">
        <v>55</v>
      </c>
      <c r="B59" s="3" t="s">
        <v>15</v>
      </c>
      <c r="C59" s="16">
        <v>3958</v>
      </c>
      <c r="D59" s="16">
        <v>5418235.1800000016</v>
      </c>
      <c r="E59" s="16">
        <v>1636</v>
      </c>
      <c r="F59" s="16">
        <v>1335941.4700000004</v>
      </c>
      <c r="G59" s="16">
        <v>562</v>
      </c>
      <c r="H59" s="16">
        <v>1067026</v>
      </c>
      <c r="I59" s="16">
        <v>1162</v>
      </c>
      <c r="J59" s="16">
        <v>1287007.3500000003</v>
      </c>
      <c r="K59" s="16">
        <v>598</v>
      </c>
      <c r="L59" s="16">
        <v>1728260.36</v>
      </c>
      <c r="M59" s="19">
        <v>612300.23999999976</v>
      </c>
    </row>
    <row r="60" spans="1:13" ht="15.75" customHeight="1" x14ac:dyDescent="0.25">
      <c r="A60" s="8">
        <v>56</v>
      </c>
      <c r="B60" s="3" t="s">
        <v>73</v>
      </c>
      <c r="C60" s="16">
        <v>2266</v>
      </c>
      <c r="D60" s="16">
        <v>2134885.0700000003</v>
      </c>
      <c r="E60" s="16">
        <v>765</v>
      </c>
      <c r="F60" s="16">
        <v>574715.84999999986</v>
      </c>
      <c r="G60" s="16">
        <v>335</v>
      </c>
      <c r="H60" s="16">
        <v>394541.51999999996</v>
      </c>
      <c r="I60" s="16">
        <v>830</v>
      </c>
      <c r="J60" s="16">
        <v>813828.69000000018</v>
      </c>
      <c r="K60" s="16">
        <v>336</v>
      </c>
      <c r="L60" s="16">
        <v>351799.01</v>
      </c>
      <c r="M60" s="19">
        <v>196370.33000000031</v>
      </c>
    </row>
    <row r="61" spans="1:13" ht="15.75" customHeight="1" x14ac:dyDescent="0.25">
      <c r="A61" s="8">
        <v>57</v>
      </c>
      <c r="B61" s="3" t="s">
        <v>125</v>
      </c>
      <c r="C61" s="16">
        <v>2860</v>
      </c>
      <c r="D61" s="16">
        <v>2202355.5799999996</v>
      </c>
      <c r="E61" s="16">
        <v>660</v>
      </c>
      <c r="F61" s="16">
        <v>392905.61999999994</v>
      </c>
      <c r="G61" s="16">
        <v>40</v>
      </c>
      <c r="H61" s="16">
        <v>19094</v>
      </c>
      <c r="I61" s="16">
        <v>1961</v>
      </c>
      <c r="J61" s="16">
        <v>1496430.9599999997</v>
      </c>
      <c r="K61" s="16">
        <v>199</v>
      </c>
      <c r="L61" s="16">
        <v>293925</v>
      </c>
      <c r="M61" s="19">
        <v>1378356.3399999999</v>
      </c>
    </row>
    <row r="62" spans="1:13" ht="15.75" customHeight="1" x14ac:dyDescent="0.25">
      <c r="A62" s="8">
        <v>58</v>
      </c>
      <c r="B62" s="3" t="s">
        <v>224</v>
      </c>
      <c r="C62" s="16">
        <v>4058</v>
      </c>
      <c r="D62" s="16">
        <v>2023140.54</v>
      </c>
      <c r="E62" s="16">
        <v>2324</v>
      </c>
      <c r="F62" s="16">
        <v>1148171</v>
      </c>
      <c r="G62" s="16">
        <v>2</v>
      </c>
      <c r="H62" s="16">
        <v>170</v>
      </c>
      <c r="I62" s="16">
        <v>1731</v>
      </c>
      <c r="J62" s="16">
        <v>874099.53999999992</v>
      </c>
      <c r="K62" s="16">
        <v>1</v>
      </c>
      <c r="L62" s="16">
        <v>700</v>
      </c>
      <c r="M62" s="19">
        <v>-273541.46000000008</v>
      </c>
    </row>
    <row r="63" spans="1:13" ht="15.75" customHeight="1" x14ac:dyDescent="0.25">
      <c r="A63" s="8">
        <v>59</v>
      </c>
      <c r="B63" s="3" t="s">
        <v>113</v>
      </c>
      <c r="C63" s="16">
        <v>3885</v>
      </c>
      <c r="D63" s="16">
        <v>2147325.19</v>
      </c>
      <c r="E63" s="16">
        <v>1829</v>
      </c>
      <c r="F63" s="16">
        <v>847568.95999999985</v>
      </c>
      <c r="G63" s="16">
        <v>289</v>
      </c>
      <c r="H63" s="16">
        <v>186874</v>
      </c>
      <c r="I63" s="16">
        <v>1574</v>
      </c>
      <c r="J63" s="16">
        <v>945708.23000000021</v>
      </c>
      <c r="K63" s="16">
        <v>193</v>
      </c>
      <c r="L63" s="16">
        <v>167174</v>
      </c>
      <c r="M63" s="19">
        <v>78439.270000000368</v>
      </c>
    </row>
    <row r="64" spans="1:13" ht="15.75" customHeight="1" x14ac:dyDescent="0.25">
      <c r="A64" s="8">
        <v>60</v>
      </c>
      <c r="B64" s="3" t="s">
        <v>193</v>
      </c>
      <c r="C64" s="16">
        <v>2540</v>
      </c>
      <c r="D64" s="16">
        <v>1703015.85</v>
      </c>
      <c r="E64" s="16">
        <v>1419</v>
      </c>
      <c r="F64" s="16">
        <v>881261.88000000012</v>
      </c>
      <c r="G64" s="16">
        <v>207</v>
      </c>
      <c r="H64" s="16">
        <v>151908.96</v>
      </c>
      <c r="I64" s="16">
        <v>833</v>
      </c>
      <c r="J64" s="16">
        <v>628129.01</v>
      </c>
      <c r="K64" s="16">
        <v>81</v>
      </c>
      <c r="L64" s="16">
        <v>41716</v>
      </c>
      <c r="M64" s="19">
        <v>-363325.83000000007</v>
      </c>
    </row>
    <row r="65" spans="1:13" ht="15.75" customHeight="1" x14ac:dyDescent="0.25">
      <c r="A65" s="8">
        <v>61</v>
      </c>
      <c r="B65" s="3" t="s">
        <v>3</v>
      </c>
      <c r="C65" s="16">
        <v>3863</v>
      </c>
      <c r="D65" s="16">
        <v>1799657.27</v>
      </c>
      <c r="E65" s="16">
        <v>1815</v>
      </c>
      <c r="F65" s="16">
        <v>807949.15</v>
      </c>
      <c r="G65" s="16">
        <v>245</v>
      </c>
      <c r="H65" s="16">
        <v>121091</v>
      </c>
      <c r="I65" s="16">
        <v>1620</v>
      </c>
      <c r="J65" s="16">
        <v>797042.12</v>
      </c>
      <c r="K65" s="16">
        <v>183</v>
      </c>
      <c r="L65" s="16">
        <v>73575</v>
      </c>
      <c r="M65" s="19">
        <v>-58423.030000000028</v>
      </c>
    </row>
    <row r="66" spans="1:13" ht="15.75" customHeight="1" x14ac:dyDescent="0.25">
      <c r="A66" s="8">
        <v>62</v>
      </c>
      <c r="B66" s="3" t="s">
        <v>274</v>
      </c>
      <c r="C66" s="16">
        <v>2859</v>
      </c>
      <c r="D66" s="16">
        <v>1603017.8299999996</v>
      </c>
      <c r="E66" s="16">
        <v>2559</v>
      </c>
      <c r="F66" s="16">
        <v>1218143.8299999996</v>
      </c>
      <c r="G66" s="16">
        <v>300</v>
      </c>
      <c r="H66" s="16">
        <v>384874</v>
      </c>
      <c r="I66" s="16"/>
      <c r="J66" s="16"/>
      <c r="K66" s="16"/>
      <c r="L66" s="16"/>
      <c r="M66" s="19">
        <v>-1603017.8299999996</v>
      </c>
    </row>
    <row r="67" spans="1:13" ht="15.75" customHeight="1" x14ac:dyDescent="0.25">
      <c r="A67" s="8">
        <v>63</v>
      </c>
      <c r="B67" s="3" t="s">
        <v>241</v>
      </c>
      <c r="C67" s="16">
        <v>2642</v>
      </c>
      <c r="D67" s="16">
        <v>1697578.3800000001</v>
      </c>
      <c r="E67" s="16">
        <v>1724</v>
      </c>
      <c r="F67" s="16">
        <v>1074124.1800000002</v>
      </c>
      <c r="G67" s="16">
        <v>2</v>
      </c>
      <c r="H67" s="16">
        <v>600</v>
      </c>
      <c r="I67" s="16">
        <v>916</v>
      </c>
      <c r="J67" s="16">
        <v>622854.19999999995</v>
      </c>
      <c r="K67" s="16"/>
      <c r="L67" s="16"/>
      <c r="M67" s="19">
        <v>-451869.98000000021</v>
      </c>
    </row>
    <row r="68" spans="1:13" ht="15.75" customHeight="1" x14ac:dyDescent="0.25">
      <c r="A68" s="8">
        <v>64</v>
      </c>
      <c r="B68" s="3" t="s">
        <v>39</v>
      </c>
      <c r="C68" s="16">
        <v>2953</v>
      </c>
      <c r="D68" s="16">
        <v>2170811.7000000002</v>
      </c>
      <c r="E68" s="16">
        <v>885</v>
      </c>
      <c r="F68" s="16">
        <v>586081.64999999991</v>
      </c>
      <c r="G68" s="16">
        <v>152</v>
      </c>
      <c r="H68" s="16">
        <v>75981</v>
      </c>
      <c r="I68" s="16">
        <v>1640</v>
      </c>
      <c r="J68" s="16">
        <v>1209348.3000000005</v>
      </c>
      <c r="K68" s="16">
        <v>276</v>
      </c>
      <c r="L68" s="16">
        <v>299400.75</v>
      </c>
      <c r="M68" s="19">
        <v>846686.40000000061</v>
      </c>
    </row>
    <row r="69" spans="1:13" ht="15.75" customHeight="1" x14ac:dyDescent="0.25">
      <c r="A69" s="8">
        <v>65</v>
      </c>
      <c r="B69" s="3" t="s">
        <v>78</v>
      </c>
      <c r="C69" s="16">
        <v>2641</v>
      </c>
      <c r="D69" s="16">
        <v>1641301.26</v>
      </c>
      <c r="E69" s="16">
        <v>861</v>
      </c>
      <c r="F69" s="16">
        <v>504354.26</v>
      </c>
      <c r="G69" s="16">
        <v>88</v>
      </c>
      <c r="H69" s="16">
        <v>50176</v>
      </c>
      <c r="I69" s="16">
        <v>1513</v>
      </c>
      <c r="J69" s="16">
        <v>1023259</v>
      </c>
      <c r="K69" s="16">
        <v>179</v>
      </c>
      <c r="L69" s="16">
        <v>63512</v>
      </c>
      <c r="M69" s="19">
        <v>532240.74</v>
      </c>
    </row>
    <row r="70" spans="1:13" ht="15.75" customHeight="1" x14ac:dyDescent="0.25">
      <c r="A70" s="8">
        <v>66</v>
      </c>
      <c r="B70" s="3" t="s">
        <v>9</v>
      </c>
      <c r="C70" s="16">
        <v>2484</v>
      </c>
      <c r="D70" s="16">
        <v>1550031.77</v>
      </c>
      <c r="E70" s="16">
        <v>1064</v>
      </c>
      <c r="F70" s="16">
        <v>516409.31</v>
      </c>
      <c r="G70" s="16">
        <v>183</v>
      </c>
      <c r="H70" s="16">
        <v>154392</v>
      </c>
      <c r="I70" s="16">
        <v>1032</v>
      </c>
      <c r="J70" s="16">
        <v>674146.46000000008</v>
      </c>
      <c r="K70" s="16">
        <v>205</v>
      </c>
      <c r="L70" s="16">
        <v>205084</v>
      </c>
      <c r="M70" s="19">
        <v>208429.15000000002</v>
      </c>
    </row>
    <row r="71" spans="1:13" ht="15.75" customHeight="1" x14ac:dyDescent="0.25">
      <c r="A71" s="8">
        <v>67</v>
      </c>
      <c r="B71" s="3" t="s">
        <v>205</v>
      </c>
      <c r="C71" s="16">
        <v>2388</v>
      </c>
      <c r="D71" s="16">
        <v>1400097.83</v>
      </c>
      <c r="E71" s="16">
        <v>1348</v>
      </c>
      <c r="F71" s="16">
        <v>811148.83000000007</v>
      </c>
      <c r="G71" s="16">
        <v>6</v>
      </c>
      <c r="H71" s="16">
        <v>2482</v>
      </c>
      <c r="I71" s="16">
        <v>1027</v>
      </c>
      <c r="J71" s="16">
        <v>581534</v>
      </c>
      <c r="K71" s="16">
        <v>7</v>
      </c>
      <c r="L71" s="16">
        <v>4933</v>
      </c>
      <c r="M71" s="19">
        <v>-227163.83000000007</v>
      </c>
    </row>
    <row r="72" spans="1:13" ht="15.75" customHeight="1" x14ac:dyDescent="0.25">
      <c r="A72" s="8">
        <v>68</v>
      </c>
      <c r="B72" s="3" t="s">
        <v>213</v>
      </c>
      <c r="C72" s="16">
        <v>2230</v>
      </c>
      <c r="D72" s="16">
        <v>1300299.9300000002</v>
      </c>
      <c r="E72" s="16">
        <v>1703</v>
      </c>
      <c r="F72" s="16">
        <v>957646.93</v>
      </c>
      <c r="G72" s="16">
        <v>499</v>
      </c>
      <c r="H72" s="16">
        <v>329021</v>
      </c>
      <c r="I72" s="16">
        <v>21</v>
      </c>
      <c r="J72" s="16">
        <v>10475</v>
      </c>
      <c r="K72" s="16">
        <v>7</v>
      </c>
      <c r="L72" s="16">
        <v>3157</v>
      </c>
      <c r="M72" s="19">
        <v>-1273035.9300000002</v>
      </c>
    </row>
    <row r="73" spans="1:13" ht="15.75" customHeight="1" x14ac:dyDescent="0.25">
      <c r="A73" s="8">
        <v>69</v>
      </c>
      <c r="B73" s="3" t="s">
        <v>110</v>
      </c>
      <c r="C73" s="16">
        <v>20</v>
      </c>
      <c r="D73" s="16">
        <v>9230.15</v>
      </c>
      <c r="E73" s="16">
        <v>14</v>
      </c>
      <c r="F73" s="16">
        <v>7860.15</v>
      </c>
      <c r="G73" s="16">
        <v>6</v>
      </c>
      <c r="H73" s="16">
        <v>1370</v>
      </c>
      <c r="I73" s="16"/>
      <c r="J73" s="16"/>
      <c r="K73" s="16"/>
      <c r="L73" s="16"/>
      <c r="M73" s="19">
        <v>-9230.15</v>
      </c>
    </row>
    <row r="74" spans="1:13" ht="15.75" customHeight="1" x14ac:dyDescent="0.25">
      <c r="A74" s="8">
        <v>70</v>
      </c>
      <c r="B74" s="3" t="s">
        <v>75</v>
      </c>
      <c r="C74" s="16">
        <v>1676</v>
      </c>
      <c r="D74" s="16">
        <v>1239125.46</v>
      </c>
      <c r="E74" s="16">
        <v>525</v>
      </c>
      <c r="F74" s="16">
        <v>337657.89</v>
      </c>
      <c r="G74" s="16">
        <v>93</v>
      </c>
      <c r="H74" s="16">
        <v>62356</v>
      </c>
      <c r="I74" s="16">
        <v>946</v>
      </c>
      <c r="J74" s="16">
        <v>706303.57000000007</v>
      </c>
      <c r="K74" s="16">
        <v>112</v>
      </c>
      <c r="L74" s="16">
        <v>132808</v>
      </c>
      <c r="M74" s="19">
        <v>439097.68000000005</v>
      </c>
    </row>
    <row r="75" spans="1:13" ht="15.75" customHeight="1" x14ac:dyDescent="0.25">
      <c r="A75" s="8">
        <v>71</v>
      </c>
      <c r="B75" s="3" t="s">
        <v>120</v>
      </c>
      <c r="C75" s="16">
        <v>1193</v>
      </c>
      <c r="D75" s="16">
        <v>1356736.59</v>
      </c>
      <c r="E75" s="16">
        <v>31</v>
      </c>
      <c r="F75" s="16">
        <v>25001</v>
      </c>
      <c r="G75" s="16">
        <v>15</v>
      </c>
      <c r="H75" s="16">
        <v>18089</v>
      </c>
      <c r="I75" s="16">
        <v>974</v>
      </c>
      <c r="J75" s="16">
        <v>956750.01000000013</v>
      </c>
      <c r="K75" s="16">
        <v>173</v>
      </c>
      <c r="L75" s="16">
        <v>356896.58</v>
      </c>
      <c r="M75" s="19">
        <v>1270556.5900000001</v>
      </c>
    </row>
    <row r="76" spans="1:13" ht="15.75" customHeight="1" x14ac:dyDescent="0.25">
      <c r="A76" s="8">
        <v>72</v>
      </c>
      <c r="B76" s="3" t="s">
        <v>237</v>
      </c>
      <c r="C76" s="16">
        <v>1996</v>
      </c>
      <c r="D76" s="16">
        <v>1047032.4000000001</v>
      </c>
      <c r="E76" s="16">
        <v>1130</v>
      </c>
      <c r="F76" s="16">
        <v>579736.35000000009</v>
      </c>
      <c r="G76" s="16"/>
      <c r="H76" s="16"/>
      <c r="I76" s="16">
        <v>866</v>
      </c>
      <c r="J76" s="16">
        <v>467296.05000000005</v>
      </c>
      <c r="K76" s="16"/>
      <c r="L76" s="16"/>
      <c r="M76" s="19">
        <v>-112440.30000000005</v>
      </c>
    </row>
    <row r="77" spans="1:13" ht="15.75" customHeight="1" x14ac:dyDescent="0.25">
      <c r="A77" s="8">
        <v>73</v>
      </c>
      <c r="B77" s="3" t="s">
        <v>108</v>
      </c>
      <c r="C77" s="16">
        <v>1768</v>
      </c>
      <c r="D77" s="16">
        <v>1666525.0100000007</v>
      </c>
      <c r="E77" s="16"/>
      <c r="F77" s="16"/>
      <c r="G77" s="16"/>
      <c r="H77" s="16"/>
      <c r="I77" s="16">
        <v>1700</v>
      </c>
      <c r="J77" s="16">
        <v>1539940.5000000007</v>
      </c>
      <c r="K77" s="16">
        <v>68</v>
      </c>
      <c r="L77" s="16">
        <v>126584.51</v>
      </c>
      <c r="M77" s="19">
        <v>1666525.0100000007</v>
      </c>
    </row>
    <row r="78" spans="1:13" ht="15.75" customHeight="1" x14ac:dyDescent="0.25">
      <c r="A78" s="8">
        <v>74</v>
      </c>
      <c r="B78" s="3" t="s">
        <v>118</v>
      </c>
      <c r="C78" s="16">
        <v>1542</v>
      </c>
      <c r="D78" s="16">
        <v>1029319.8700000001</v>
      </c>
      <c r="E78" s="16">
        <v>705</v>
      </c>
      <c r="F78" s="16">
        <v>406977.63</v>
      </c>
      <c r="G78" s="16">
        <v>90</v>
      </c>
      <c r="H78" s="16">
        <v>37039</v>
      </c>
      <c r="I78" s="16">
        <v>680</v>
      </c>
      <c r="J78" s="16">
        <v>536013.24000000011</v>
      </c>
      <c r="K78" s="16">
        <v>67</v>
      </c>
      <c r="L78" s="16">
        <v>49290</v>
      </c>
      <c r="M78" s="19">
        <v>141286.6100000001</v>
      </c>
    </row>
    <row r="79" spans="1:13" ht="15.75" customHeight="1" x14ac:dyDescent="0.25">
      <c r="A79" s="8">
        <v>75</v>
      </c>
      <c r="B79" s="3" t="s">
        <v>277</v>
      </c>
      <c r="C79" s="16">
        <v>3619</v>
      </c>
      <c r="D79" s="16">
        <v>1864601.58</v>
      </c>
      <c r="E79" s="16">
        <v>1727</v>
      </c>
      <c r="F79" s="16">
        <v>804040.34000000008</v>
      </c>
      <c r="G79" s="16">
        <v>116</v>
      </c>
      <c r="H79" s="16">
        <v>64231</v>
      </c>
      <c r="I79" s="16">
        <v>1718</v>
      </c>
      <c r="J79" s="16">
        <v>969123.57000000007</v>
      </c>
      <c r="K79" s="16">
        <v>58</v>
      </c>
      <c r="L79" s="16">
        <v>27206.67</v>
      </c>
      <c r="M79" s="19">
        <v>128058.90000000002</v>
      </c>
    </row>
    <row r="80" spans="1:13" ht="15.75" customHeight="1" x14ac:dyDescent="0.25">
      <c r="A80" s="8">
        <v>76</v>
      </c>
      <c r="B80" s="3" t="s">
        <v>190</v>
      </c>
      <c r="C80" s="16">
        <v>0</v>
      </c>
      <c r="D80" s="16">
        <v>0</v>
      </c>
      <c r="E80" s="16"/>
      <c r="F80" s="16"/>
      <c r="G80" s="16"/>
      <c r="H80" s="16"/>
      <c r="I80" s="16"/>
      <c r="J80" s="16"/>
      <c r="K80" s="16"/>
      <c r="L80" s="16"/>
      <c r="M80" s="19">
        <v>0</v>
      </c>
    </row>
    <row r="81" spans="1:13" ht="15.75" customHeight="1" x14ac:dyDescent="0.25">
      <c r="A81" s="8">
        <v>77</v>
      </c>
      <c r="B81" s="3" t="s">
        <v>210</v>
      </c>
      <c r="C81" s="16">
        <v>935</v>
      </c>
      <c r="D81" s="16">
        <v>697982.23</v>
      </c>
      <c r="E81" s="16">
        <v>19</v>
      </c>
      <c r="F81" s="16">
        <v>11901</v>
      </c>
      <c r="G81" s="16"/>
      <c r="H81" s="16"/>
      <c r="I81" s="16">
        <v>769</v>
      </c>
      <c r="J81" s="16">
        <v>578632.1</v>
      </c>
      <c r="K81" s="16">
        <v>147</v>
      </c>
      <c r="L81" s="16">
        <v>107449.13</v>
      </c>
      <c r="M81" s="19">
        <v>674180.23</v>
      </c>
    </row>
    <row r="82" spans="1:13" ht="15.75" customHeight="1" x14ac:dyDescent="0.25">
      <c r="A82" s="8">
        <v>78</v>
      </c>
      <c r="B82" s="3" t="s">
        <v>250</v>
      </c>
      <c r="C82" s="16">
        <v>990</v>
      </c>
      <c r="D82" s="16">
        <v>762111.4</v>
      </c>
      <c r="E82" s="16">
        <v>631</v>
      </c>
      <c r="F82" s="16">
        <v>438690.01</v>
      </c>
      <c r="G82" s="16"/>
      <c r="H82" s="16"/>
      <c r="I82" s="16">
        <v>359</v>
      </c>
      <c r="J82" s="16">
        <v>323421.39</v>
      </c>
      <c r="K82" s="16"/>
      <c r="L82" s="16"/>
      <c r="M82" s="19">
        <v>-115268.62</v>
      </c>
    </row>
    <row r="83" spans="1:13" ht="15.75" customHeight="1" x14ac:dyDescent="0.25">
      <c r="A83" s="8">
        <v>79</v>
      </c>
      <c r="B83" s="3" t="s">
        <v>116</v>
      </c>
      <c r="C83" s="16">
        <v>919</v>
      </c>
      <c r="D83" s="16">
        <v>781420.78</v>
      </c>
      <c r="E83" s="16">
        <v>258</v>
      </c>
      <c r="F83" s="16">
        <v>154085.10999999999</v>
      </c>
      <c r="G83" s="16">
        <v>17</v>
      </c>
      <c r="H83" s="16">
        <v>6410</v>
      </c>
      <c r="I83" s="16">
        <v>581</v>
      </c>
      <c r="J83" s="16">
        <v>541968.67000000004</v>
      </c>
      <c r="K83" s="16">
        <v>63</v>
      </c>
      <c r="L83" s="16">
        <v>78957</v>
      </c>
      <c r="M83" s="19">
        <v>460430.56000000006</v>
      </c>
    </row>
    <row r="84" spans="1:13" ht="15.75" customHeight="1" x14ac:dyDescent="0.25">
      <c r="A84" s="8">
        <v>80</v>
      </c>
      <c r="B84" s="3" t="s">
        <v>195</v>
      </c>
      <c r="C84" s="16">
        <v>980</v>
      </c>
      <c r="D84" s="16">
        <v>721040.22</v>
      </c>
      <c r="E84" s="16">
        <v>464</v>
      </c>
      <c r="F84" s="16">
        <v>256567.22</v>
      </c>
      <c r="G84" s="16">
        <v>81</v>
      </c>
      <c r="H84" s="16">
        <v>62614</v>
      </c>
      <c r="I84" s="16">
        <v>377</v>
      </c>
      <c r="J84" s="16">
        <v>328293</v>
      </c>
      <c r="K84" s="16">
        <v>58</v>
      </c>
      <c r="L84" s="16">
        <v>73566</v>
      </c>
      <c r="M84" s="19">
        <v>82677.780000000028</v>
      </c>
    </row>
    <row r="85" spans="1:13" ht="15.75" customHeight="1" x14ac:dyDescent="0.25">
      <c r="A85" s="8">
        <v>81</v>
      </c>
      <c r="B85" s="3" t="s">
        <v>160</v>
      </c>
      <c r="C85" s="16">
        <v>1120</v>
      </c>
      <c r="D85" s="16">
        <v>730973.96</v>
      </c>
      <c r="E85" s="16">
        <v>558</v>
      </c>
      <c r="F85" s="16">
        <v>353679.86</v>
      </c>
      <c r="G85" s="16">
        <v>83</v>
      </c>
      <c r="H85" s="16">
        <v>43601.1</v>
      </c>
      <c r="I85" s="16">
        <v>432</v>
      </c>
      <c r="J85" s="16">
        <v>313724</v>
      </c>
      <c r="K85" s="16">
        <v>47</v>
      </c>
      <c r="L85" s="16">
        <v>19969</v>
      </c>
      <c r="M85" s="19">
        <v>-63587.959999999963</v>
      </c>
    </row>
    <row r="86" spans="1:13" ht="15.75" customHeight="1" x14ac:dyDescent="0.25">
      <c r="A86" s="8">
        <v>82</v>
      </c>
      <c r="B86" s="3" t="s">
        <v>245</v>
      </c>
      <c r="C86" s="16">
        <v>1448</v>
      </c>
      <c r="D86" s="16">
        <v>691427.99</v>
      </c>
      <c r="E86" s="16">
        <v>807</v>
      </c>
      <c r="F86" s="16">
        <v>393366.99</v>
      </c>
      <c r="G86" s="16">
        <v>1</v>
      </c>
      <c r="H86" s="16">
        <v>500</v>
      </c>
      <c r="I86" s="16">
        <v>640</v>
      </c>
      <c r="J86" s="16">
        <v>297561</v>
      </c>
      <c r="K86" s="16"/>
      <c r="L86" s="16"/>
      <c r="M86" s="19">
        <v>-96305.989999999991</v>
      </c>
    </row>
    <row r="87" spans="1:13" ht="15.75" customHeight="1" x14ac:dyDescent="0.25">
      <c r="A87" s="8">
        <v>83</v>
      </c>
      <c r="B87" s="3" t="s">
        <v>186</v>
      </c>
      <c r="C87" s="16">
        <v>768</v>
      </c>
      <c r="D87" s="16">
        <v>798053.82</v>
      </c>
      <c r="E87" s="16">
        <v>5</v>
      </c>
      <c r="F87" s="16">
        <v>4800</v>
      </c>
      <c r="G87" s="16">
        <v>5</v>
      </c>
      <c r="H87" s="16">
        <v>8980</v>
      </c>
      <c r="I87" s="16">
        <v>623</v>
      </c>
      <c r="J87" s="16">
        <v>569670.23</v>
      </c>
      <c r="K87" s="16">
        <v>135</v>
      </c>
      <c r="L87" s="16">
        <v>214603.59</v>
      </c>
      <c r="M87" s="19">
        <v>770493.82</v>
      </c>
    </row>
    <row r="88" spans="1:13" ht="15.75" customHeight="1" x14ac:dyDescent="0.25">
      <c r="A88" s="8">
        <v>84</v>
      </c>
      <c r="B88" s="3" t="s">
        <v>69</v>
      </c>
      <c r="C88" s="16">
        <v>677</v>
      </c>
      <c r="D88" s="16">
        <v>725003.67999999993</v>
      </c>
      <c r="E88" s="16"/>
      <c r="F88" s="16"/>
      <c r="G88" s="16"/>
      <c r="H88" s="16"/>
      <c r="I88" s="16">
        <v>508</v>
      </c>
      <c r="J88" s="16">
        <v>481981.21</v>
      </c>
      <c r="K88" s="16">
        <v>169</v>
      </c>
      <c r="L88" s="16">
        <v>243022.46999999997</v>
      </c>
      <c r="M88" s="19">
        <v>725003.67999999993</v>
      </c>
    </row>
    <row r="89" spans="1:13" ht="15.75" customHeight="1" x14ac:dyDescent="0.25">
      <c r="A89" s="8">
        <v>85</v>
      </c>
      <c r="B89" s="3" t="s">
        <v>136</v>
      </c>
      <c r="C89" s="16">
        <v>1080</v>
      </c>
      <c r="D89" s="16">
        <v>648576.4</v>
      </c>
      <c r="E89" s="16">
        <v>247</v>
      </c>
      <c r="F89" s="16">
        <v>126950.82999999999</v>
      </c>
      <c r="G89" s="16">
        <v>38</v>
      </c>
      <c r="H89" s="16">
        <v>22338</v>
      </c>
      <c r="I89" s="16">
        <v>697</v>
      </c>
      <c r="J89" s="16">
        <v>441163.57000000007</v>
      </c>
      <c r="K89" s="16">
        <v>98</v>
      </c>
      <c r="L89" s="16">
        <v>58124</v>
      </c>
      <c r="M89" s="19">
        <v>349998.74000000011</v>
      </c>
    </row>
    <row r="90" spans="1:13" ht="15.75" customHeight="1" x14ac:dyDescent="0.25">
      <c r="A90" s="8">
        <v>86</v>
      </c>
      <c r="B90" s="3" t="s">
        <v>184</v>
      </c>
      <c r="C90" s="16">
        <v>455</v>
      </c>
      <c r="D90" s="16">
        <v>748491.75</v>
      </c>
      <c r="E90" s="16"/>
      <c r="F90" s="16"/>
      <c r="G90" s="16"/>
      <c r="H90" s="16"/>
      <c r="I90" s="16">
        <v>216</v>
      </c>
      <c r="J90" s="16">
        <v>161745.75</v>
      </c>
      <c r="K90" s="16">
        <v>239</v>
      </c>
      <c r="L90" s="16">
        <v>586746</v>
      </c>
      <c r="M90" s="19">
        <v>748491.75</v>
      </c>
    </row>
    <row r="91" spans="1:13" ht="15.75" customHeight="1" x14ac:dyDescent="0.25">
      <c r="A91" s="8">
        <v>87</v>
      </c>
      <c r="B91" s="3" t="s">
        <v>243</v>
      </c>
      <c r="C91" s="16">
        <v>879</v>
      </c>
      <c r="D91" s="16">
        <v>502368.16999999993</v>
      </c>
      <c r="E91" s="16">
        <v>599</v>
      </c>
      <c r="F91" s="16">
        <v>373074.45999999996</v>
      </c>
      <c r="G91" s="16"/>
      <c r="H91" s="16"/>
      <c r="I91" s="16">
        <v>280</v>
      </c>
      <c r="J91" s="16">
        <v>129293.70999999999</v>
      </c>
      <c r="K91" s="16"/>
      <c r="L91" s="16"/>
      <c r="M91" s="19">
        <v>-243780.74999999997</v>
      </c>
    </row>
    <row r="92" spans="1:13" ht="15.75" customHeight="1" x14ac:dyDescent="0.25">
      <c r="A92" s="8">
        <v>88</v>
      </c>
      <c r="B92" s="3" t="s">
        <v>278</v>
      </c>
      <c r="C92" s="16">
        <v>0</v>
      </c>
      <c r="D92" s="16">
        <v>0</v>
      </c>
      <c r="E92" s="16"/>
      <c r="F92" s="16"/>
      <c r="G92" s="16"/>
      <c r="H92" s="16"/>
      <c r="I92" s="16"/>
      <c r="J92" s="16"/>
      <c r="K92" s="16"/>
      <c r="L92" s="16"/>
      <c r="M92" s="19">
        <v>0</v>
      </c>
    </row>
    <row r="93" spans="1:13" ht="15.75" customHeight="1" x14ac:dyDescent="0.25">
      <c r="A93" s="8">
        <v>89</v>
      </c>
      <c r="B93" s="3" t="s">
        <v>162</v>
      </c>
      <c r="C93" s="16">
        <v>150</v>
      </c>
      <c r="D93" s="16">
        <v>449272.12</v>
      </c>
      <c r="E93" s="16"/>
      <c r="F93" s="16"/>
      <c r="G93" s="16"/>
      <c r="H93" s="16"/>
      <c r="I93" s="16">
        <v>39</v>
      </c>
      <c r="J93" s="16">
        <v>26536.12</v>
      </c>
      <c r="K93" s="16">
        <v>111</v>
      </c>
      <c r="L93" s="16">
        <v>422736</v>
      </c>
      <c r="M93" s="19">
        <v>449272.12</v>
      </c>
    </row>
    <row r="94" spans="1:13" ht="15.75" customHeight="1" x14ac:dyDescent="0.25">
      <c r="A94" s="8">
        <v>90</v>
      </c>
      <c r="B94" s="3" t="s">
        <v>221</v>
      </c>
      <c r="C94" s="16">
        <v>847</v>
      </c>
      <c r="D94" s="16">
        <v>452738.08999999997</v>
      </c>
      <c r="E94" s="16">
        <v>354</v>
      </c>
      <c r="F94" s="16">
        <v>154465.09</v>
      </c>
      <c r="G94" s="16"/>
      <c r="H94" s="16"/>
      <c r="I94" s="16">
        <v>490</v>
      </c>
      <c r="J94" s="16">
        <v>297676</v>
      </c>
      <c r="K94" s="16">
        <v>3</v>
      </c>
      <c r="L94" s="16">
        <v>597</v>
      </c>
      <c r="M94" s="19">
        <v>143807.91</v>
      </c>
    </row>
    <row r="95" spans="1:13" ht="15.75" customHeight="1" x14ac:dyDescent="0.25">
      <c r="A95" s="8">
        <v>91</v>
      </c>
      <c r="B95" s="3" t="s">
        <v>230</v>
      </c>
      <c r="C95" s="16">
        <v>680</v>
      </c>
      <c r="D95" s="16">
        <v>397922.14</v>
      </c>
      <c r="E95" s="16">
        <v>389</v>
      </c>
      <c r="F95" s="16">
        <v>192093.14</v>
      </c>
      <c r="G95" s="16"/>
      <c r="H95" s="16"/>
      <c r="I95" s="16">
        <v>290</v>
      </c>
      <c r="J95" s="16">
        <v>163329</v>
      </c>
      <c r="K95" s="16">
        <v>1</v>
      </c>
      <c r="L95" s="16">
        <v>42500</v>
      </c>
      <c r="M95" s="19">
        <v>13735.859999999986</v>
      </c>
    </row>
    <row r="96" spans="1:13" ht="15.75" customHeight="1" x14ac:dyDescent="0.25">
      <c r="A96" s="8">
        <v>92</v>
      </c>
      <c r="B96" s="3" t="s">
        <v>165</v>
      </c>
      <c r="C96" s="16">
        <v>352</v>
      </c>
      <c r="D96" s="16">
        <v>455228.71</v>
      </c>
      <c r="E96" s="16"/>
      <c r="F96" s="16"/>
      <c r="G96" s="16"/>
      <c r="H96" s="16"/>
      <c r="I96" s="16">
        <v>244</v>
      </c>
      <c r="J96" s="16">
        <v>159910.19</v>
      </c>
      <c r="K96" s="16">
        <v>108</v>
      </c>
      <c r="L96" s="16">
        <v>295318.52</v>
      </c>
      <c r="M96" s="19">
        <v>455228.71</v>
      </c>
    </row>
    <row r="97" spans="1:13" ht="15.75" customHeight="1" x14ac:dyDescent="0.25">
      <c r="A97" s="8">
        <v>93</v>
      </c>
      <c r="B97" s="3" t="s">
        <v>217</v>
      </c>
      <c r="C97" s="16">
        <v>426</v>
      </c>
      <c r="D97" s="16">
        <v>348088.32000000001</v>
      </c>
      <c r="E97" s="16">
        <v>282</v>
      </c>
      <c r="F97" s="16">
        <v>207183.32</v>
      </c>
      <c r="G97" s="16">
        <v>18</v>
      </c>
      <c r="H97" s="16">
        <v>55536</v>
      </c>
      <c r="I97" s="16">
        <v>123</v>
      </c>
      <c r="J97" s="16">
        <v>78869</v>
      </c>
      <c r="K97" s="16">
        <v>3</v>
      </c>
      <c r="L97" s="16">
        <v>6500</v>
      </c>
      <c r="M97" s="19">
        <v>-177350.32</v>
      </c>
    </row>
    <row r="98" spans="1:13" ht="15.75" customHeight="1" x14ac:dyDescent="0.25">
      <c r="A98" s="8">
        <v>94</v>
      </c>
      <c r="B98" s="3" t="s">
        <v>252</v>
      </c>
      <c r="C98" s="16">
        <v>636</v>
      </c>
      <c r="D98" s="16">
        <v>331534.73</v>
      </c>
      <c r="E98" s="16">
        <v>413</v>
      </c>
      <c r="F98" s="16">
        <v>206376.09</v>
      </c>
      <c r="G98" s="16">
        <v>9</v>
      </c>
      <c r="H98" s="16">
        <v>31000</v>
      </c>
      <c r="I98" s="16">
        <v>214</v>
      </c>
      <c r="J98" s="16">
        <v>94158.64</v>
      </c>
      <c r="K98" s="16"/>
      <c r="L98" s="16"/>
      <c r="M98" s="19">
        <v>-143217.45000000001</v>
      </c>
    </row>
    <row r="99" spans="1:13" ht="15.75" customHeight="1" x14ac:dyDescent="0.25">
      <c r="A99" s="8">
        <v>95</v>
      </c>
      <c r="B99" s="3" t="s">
        <v>211</v>
      </c>
      <c r="C99" s="16">
        <v>297</v>
      </c>
      <c r="D99" s="16">
        <v>233701.58</v>
      </c>
      <c r="E99" s="16">
        <v>14</v>
      </c>
      <c r="F99" s="16">
        <v>6047.46</v>
      </c>
      <c r="G99" s="16">
        <v>1</v>
      </c>
      <c r="H99" s="16">
        <v>100</v>
      </c>
      <c r="I99" s="16">
        <v>275</v>
      </c>
      <c r="J99" s="16">
        <v>219794.12</v>
      </c>
      <c r="K99" s="16">
        <v>7</v>
      </c>
      <c r="L99" s="16">
        <v>7760</v>
      </c>
      <c r="M99" s="19">
        <v>221406.66</v>
      </c>
    </row>
    <row r="100" spans="1:13" ht="15.75" customHeight="1" x14ac:dyDescent="0.25">
      <c r="A100" s="8">
        <v>96</v>
      </c>
      <c r="B100" s="3" t="s">
        <v>239</v>
      </c>
      <c r="C100" s="16">
        <v>283</v>
      </c>
      <c r="D100" s="16">
        <v>199587.35</v>
      </c>
      <c r="E100" s="16">
        <v>162</v>
      </c>
      <c r="F100" s="16">
        <v>124139.35</v>
      </c>
      <c r="G100" s="16"/>
      <c r="H100" s="16"/>
      <c r="I100" s="16">
        <v>121</v>
      </c>
      <c r="J100" s="16">
        <v>75448</v>
      </c>
      <c r="K100" s="16"/>
      <c r="L100" s="16"/>
      <c r="M100" s="19">
        <v>-48691.350000000006</v>
      </c>
    </row>
    <row r="101" spans="1:13" ht="15.75" customHeight="1" x14ac:dyDescent="0.25">
      <c r="A101" s="8">
        <v>97</v>
      </c>
      <c r="B101" s="3" t="s">
        <v>201</v>
      </c>
      <c r="C101" s="16">
        <v>313</v>
      </c>
      <c r="D101" s="16">
        <v>259062.29</v>
      </c>
      <c r="E101" s="16">
        <v>68</v>
      </c>
      <c r="F101" s="16">
        <v>36340.520000000004</v>
      </c>
      <c r="G101" s="16">
        <v>4</v>
      </c>
      <c r="H101" s="16">
        <v>700</v>
      </c>
      <c r="I101" s="16">
        <v>229</v>
      </c>
      <c r="J101" s="16">
        <v>220373.66999999998</v>
      </c>
      <c r="K101" s="16">
        <v>12</v>
      </c>
      <c r="L101" s="16">
        <v>1648.1</v>
      </c>
      <c r="M101" s="19">
        <v>184981.25</v>
      </c>
    </row>
    <row r="102" spans="1:13" ht="15.75" customHeight="1" x14ac:dyDescent="0.25">
      <c r="A102" s="8">
        <v>98</v>
      </c>
      <c r="B102" s="3" t="s">
        <v>219</v>
      </c>
      <c r="C102" s="16">
        <v>218</v>
      </c>
      <c r="D102" s="16">
        <v>169719</v>
      </c>
      <c r="E102" s="16">
        <v>95</v>
      </c>
      <c r="F102" s="16">
        <v>62224</v>
      </c>
      <c r="G102" s="16">
        <v>2</v>
      </c>
      <c r="H102" s="16">
        <v>550</v>
      </c>
      <c r="I102" s="16">
        <v>119</v>
      </c>
      <c r="J102" s="16">
        <v>105945</v>
      </c>
      <c r="K102" s="16">
        <v>2</v>
      </c>
      <c r="L102" s="16">
        <v>1000</v>
      </c>
      <c r="M102" s="19">
        <v>44171</v>
      </c>
    </row>
    <row r="103" spans="1:13" ht="15.75" customHeight="1" x14ac:dyDescent="0.25">
      <c r="A103" s="8">
        <v>99</v>
      </c>
      <c r="B103" s="3" t="s">
        <v>228</v>
      </c>
      <c r="C103" s="16">
        <v>171</v>
      </c>
      <c r="D103" s="16">
        <v>115755.85</v>
      </c>
      <c r="E103" s="16">
        <v>117</v>
      </c>
      <c r="F103" s="16">
        <v>65606.850000000006</v>
      </c>
      <c r="G103" s="16">
        <v>16</v>
      </c>
      <c r="H103" s="16">
        <v>21550</v>
      </c>
      <c r="I103" s="16">
        <v>36</v>
      </c>
      <c r="J103" s="16">
        <v>26099</v>
      </c>
      <c r="K103" s="16">
        <v>2</v>
      </c>
      <c r="L103" s="16">
        <v>2500</v>
      </c>
      <c r="M103" s="19">
        <v>-58557.850000000006</v>
      </c>
    </row>
    <row r="104" spans="1:13" ht="15.75" customHeight="1" x14ac:dyDescent="0.25">
      <c r="A104" s="8">
        <v>100</v>
      </c>
      <c r="B104" s="3" t="s">
        <v>197</v>
      </c>
      <c r="C104" s="16">
        <v>135</v>
      </c>
      <c r="D104" s="16">
        <v>124432.96999999999</v>
      </c>
      <c r="E104" s="16"/>
      <c r="F104" s="16"/>
      <c r="G104" s="16"/>
      <c r="H104" s="16"/>
      <c r="I104" s="16">
        <v>114</v>
      </c>
      <c r="J104" s="16">
        <v>85508.709999999992</v>
      </c>
      <c r="K104" s="16">
        <v>21</v>
      </c>
      <c r="L104" s="16">
        <v>38924.259999999995</v>
      </c>
      <c r="M104" s="19">
        <v>124432.96999999999</v>
      </c>
    </row>
    <row r="105" spans="1:13" ht="15.75" customHeight="1" x14ac:dyDescent="0.25">
      <c r="A105" s="8">
        <v>101</v>
      </c>
      <c r="B105" s="3" t="s">
        <v>272</v>
      </c>
      <c r="C105" s="16">
        <v>183</v>
      </c>
      <c r="D105" s="16">
        <v>94929</v>
      </c>
      <c r="E105" s="16">
        <v>172</v>
      </c>
      <c r="F105" s="16">
        <v>84804</v>
      </c>
      <c r="G105" s="16">
        <v>11</v>
      </c>
      <c r="H105" s="16">
        <v>10125</v>
      </c>
      <c r="I105" s="16"/>
      <c r="J105" s="16"/>
      <c r="K105" s="16"/>
      <c r="L105" s="16"/>
      <c r="M105" s="19">
        <v>-94929</v>
      </c>
    </row>
    <row r="106" spans="1:13" ht="15.75" customHeight="1" x14ac:dyDescent="0.25">
      <c r="A106" s="8">
        <v>102</v>
      </c>
      <c r="B106" s="3" t="s">
        <v>203</v>
      </c>
      <c r="C106" s="16">
        <v>156</v>
      </c>
      <c r="D106" s="16">
        <v>92068.3</v>
      </c>
      <c r="E106" s="16"/>
      <c r="F106" s="16"/>
      <c r="G106" s="16"/>
      <c r="H106" s="16"/>
      <c r="I106" s="16">
        <v>127</v>
      </c>
      <c r="J106" s="16">
        <v>73476.25</v>
      </c>
      <c r="K106" s="16">
        <v>29</v>
      </c>
      <c r="L106" s="16">
        <v>18592.05</v>
      </c>
      <c r="M106" s="19">
        <v>92068.3</v>
      </c>
    </row>
    <row r="107" spans="1:13" ht="15.75" customHeight="1" x14ac:dyDescent="0.25">
      <c r="A107" s="8">
        <v>103</v>
      </c>
      <c r="B107" s="3" t="s">
        <v>256</v>
      </c>
      <c r="C107" s="16">
        <v>152</v>
      </c>
      <c r="D107" s="16">
        <v>78627.62</v>
      </c>
      <c r="E107" s="16">
        <v>113</v>
      </c>
      <c r="F107" s="16">
        <v>58067.62</v>
      </c>
      <c r="G107" s="16"/>
      <c r="H107" s="16"/>
      <c r="I107" s="16">
        <v>39</v>
      </c>
      <c r="J107" s="16">
        <v>20560</v>
      </c>
      <c r="K107" s="16"/>
      <c r="L107" s="16"/>
      <c r="M107" s="19">
        <v>-37507.620000000003</v>
      </c>
    </row>
    <row r="108" spans="1:13" ht="15.75" customHeight="1" x14ac:dyDescent="0.25">
      <c r="A108" s="8">
        <v>104</v>
      </c>
      <c r="B108" s="3" t="s">
        <v>260</v>
      </c>
      <c r="C108" s="16">
        <v>107</v>
      </c>
      <c r="D108" s="16">
        <v>64930</v>
      </c>
      <c r="E108" s="16">
        <v>55</v>
      </c>
      <c r="F108" s="16">
        <v>38791</v>
      </c>
      <c r="G108" s="16"/>
      <c r="H108" s="16"/>
      <c r="I108" s="16">
        <v>52</v>
      </c>
      <c r="J108" s="16">
        <v>26139</v>
      </c>
      <c r="K108" s="16"/>
      <c r="L108" s="16"/>
      <c r="M108" s="19">
        <v>-12652</v>
      </c>
    </row>
    <row r="109" spans="1:13" ht="15.75" customHeight="1" x14ac:dyDescent="0.25">
      <c r="A109" s="8">
        <v>105</v>
      </c>
      <c r="B109" s="3" t="s">
        <v>199</v>
      </c>
      <c r="C109" s="16">
        <v>83</v>
      </c>
      <c r="D109" s="16">
        <v>88039.1</v>
      </c>
      <c r="E109" s="16"/>
      <c r="F109" s="16"/>
      <c r="G109" s="16"/>
      <c r="H109" s="16"/>
      <c r="I109" s="16">
        <v>64</v>
      </c>
      <c r="J109" s="16">
        <v>61377.100000000006</v>
      </c>
      <c r="K109" s="16">
        <v>19</v>
      </c>
      <c r="L109" s="16">
        <v>26662</v>
      </c>
      <c r="M109" s="19">
        <v>88039.1</v>
      </c>
    </row>
    <row r="110" spans="1:13" ht="15.75" customHeight="1" x14ac:dyDescent="0.25">
      <c r="A110" s="8">
        <v>106</v>
      </c>
      <c r="B110" s="3" t="s">
        <v>235</v>
      </c>
      <c r="C110" s="16">
        <v>135</v>
      </c>
      <c r="D110" s="16">
        <v>53329.09</v>
      </c>
      <c r="E110" s="16">
        <v>89</v>
      </c>
      <c r="F110" s="16">
        <v>30622.09</v>
      </c>
      <c r="G110" s="16"/>
      <c r="H110" s="16"/>
      <c r="I110" s="16">
        <v>46</v>
      </c>
      <c r="J110" s="16">
        <v>22707</v>
      </c>
      <c r="K110" s="16"/>
      <c r="L110" s="16"/>
      <c r="M110" s="19">
        <v>-7915.09</v>
      </c>
    </row>
    <row r="111" spans="1:13" ht="15.75" customHeight="1" x14ac:dyDescent="0.25">
      <c r="A111" s="8">
        <v>107</v>
      </c>
      <c r="B111" s="3" t="s">
        <v>12</v>
      </c>
      <c r="C111" s="16">
        <v>107</v>
      </c>
      <c r="D111" s="16">
        <v>101150</v>
      </c>
      <c r="E111" s="16"/>
      <c r="F111" s="16"/>
      <c r="G111" s="16"/>
      <c r="H111" s="16"/>
      <c r="I111" s="16">
        <v>102</v>
      </c>
      <c r="J111" s="16">
        <v>91834</v>
      </c>
      <c r="K111" s="16">
        <v>5</v>
      </c>
      <c r="L111" s="16">
        <v>9316</v>
      </c>
      <c r="M111" s="19">
        <v>101150</v>
      </c>
    </row>
    <row r="112" spans="1:13" ht="15.75" customHeight="1" x14ac:dyDescent="0.25">
      <c r="A112" s="8">
        <v>108</v>
      </c>
      <c r="B112" s="3" t="s">
        <v>215</v>
      </c>
      <c r="C112" s="16">
        <v>51</v>
      </c>
      <c r="D112" s="16">
        <v>39346.6</v>
      </c>
      <c r="E112" s="16"/>
      <c r="F112" s="16"/>
      <c r="G112" s="16"/>
      <c r="H112" s="16"/>
      <c r="I112" s="16">
        <v>45</v>
      </c>
      <c r="J112" s="16">
        <v>29562.6</v>
      </c>
      <c r="K112" s="16">
        <v>6</v>
      </c>
      <c r="L112" s="16">
        <v>9784</v>
      </c>
      <c r="M112" s="19">
        <v>39346.6</v>
      </c>
    </row>
    <row r="113" spans="1:13" ht="15.75" customHeight="1" x14ac:dyDescent="0.25">
      <c r="A113" s="8">
        <v>109</v>
      </c>
      <c r="B113" s="3" t="s">
        <v>226</v>
      </c>
      <c r="C113" s="16">
        <v>35</v>
      </c>
      <c r="D113" s="16">
        <v>22716</v>
      </c>
      <c r="E113" s="16"/>
      <c r="F113" s="16"/>
      <c r="G113" s="16"/>
      <c r="H113" s="16"/>
      <c r="I113" s="16">
        <v>33</v>
      </c>
      <c r="J113" s="16">
        <v>22612</v>
      </c>
      <c r="K113" s="16">
        <v>2</v>
      </c>
      <c r="L113" s="16">
        <v>104</v>
      </c>
      <c r="M113" s="19">
        <v>22716</v>
      </c>
    </row>
    <row r="114" spans="1:13" ht="15.75" customHeight="1" x14ac:dyDescent="0.25">
      <c r="A114" s="8">
        <v>110</v>
      </c>
      <c r="B114" s="3" t="s">
        <v>283</v>
      </c>
      <c r="C114" s="16">
        <v>23</v>
      </c>
      <c r="D114" s="16">
        <v>15163</v>
      </c>
      <c r="E114" s="16">
        <v>22</v>
      </c>
      <c r="F114" s="16">
        <v>15063</v>
      </c>
      <c r="G114" s="16">
        <v>1</v>
      </c>
      <c r="H114" s="16">
        <v>100</v>
      </c>
      <c r="I114" s="16"/>
      <c r="J114" s="16"/>
      <c r="K114" s="16"/>
      <c r="L114" s="16"/>
      <c r="M114" s="19">
        <v>-15163</v>
      </c>
    </row>
    <row r="115" spans="1:13" ht="15.75" customHeight="1" x14ac:dyDescent="0.25">
      <c r="A115" s="8">
        <v>111</v>
      </c>
      <c r="B115" s="3" t="s">
        <v>258</v>
      </c>
      <c r="C115" s="16">
        <v>54</v>
      </c>
      <c r="D115" s="16">
        <v>19534.830000000002</v>
      </c>
      <c r="E115" s="16">
        <v>12</v>
      </c>
      <c r="F115" s="16">
        <v>3955.83</v>
      </c>
      <c r="G115" s="16"/>
      <c r="H115" s="16"/>
      <c r="I115" s="16">
        <v>42</v>
      </c>
      <c r="J115" s="16">
        <v>15579</v>
      </c>
      <c r="K115" s="16"/>
      <c r="L115" s="16"/>
      <c r="M115" s="19">
        <v>11623.17</v>
      </c>
    </row>
    <row r="116" spans="1:13" ht="15.75" customHeight="1" x14ac:dyDescent="0.25">
      <c r="A116" s="8">
        <v>112</v>
      </c>
      <c r="B116" s="3" t="s">
        <v>263</v>
      </c>
      <c r="C116" s="16">
        <v>18</v>
      </c>
      <c r="D116" s="16">
        <v>14100</v>
      </c>
      <c r="E116" s="16"/>
      <c r="F116" s="16"/>
      <c r="G116" s="16"/>
      <c r="H116" s="16"/>
      <c r="I116" s="16">
        <v>18</v>
      </c>
      <c r="J116" s="16">
        <v>14100</v>
      </c>
      <c r="K116" s="16"/>
      <c r="L116" s="16"/>
      <c r="M116" s="19">
        <v>14100</v>
      </c>
    </row>
    <row r="117" spans="1:13" ht="15.75" customHeight="1" x14ac:dyDescent="0.25">
      <c r="A117" s="8">
        <v>113</v>
      </c>
      <c r="B117" s="3" t="s">
        <v>284</v>
      </c>
      <c r="C117" s="16">
        <v>11</v>
      </c>
      <c r="D117" s="16">
        <v>6420</v>
      </c>
      <c r="E117" s="16">
        <v>11</v>
      </c>
      <c r="F117" s="16">
        <v>6420</v>
      </c>
      <c r="G117" s="16"/>
      <c r="H117" s="16"/>
      <c r="I117" s="16"/>
      <c r="J117" s="16"/>
      <c r="K117" s="16"/>
      <c r="L117" s="16"/>
      <c r="M117" s="19">
        <v>-6420</v>
      </c>
    </row>
    <row r="118" spans="1:13" ht="15.75" customHeight="1" x14ac:dyDescent="0.25">
      <c r="A118" s="8">
        <v>114</v>
      </c>
      <c r="B118" s="3" t="s">
        <v>265</v>
      </c>
      <c r="C118" s="16">
        <v>6</v>
      </c>
      <c r="D118" s="16">
        <v>4574.82</v>
      </c>
      <c r="E118" s="16"/>
      <c r="F118" s="16"/>
      <c r="G118" s="16">
        <v>1</v>
      </c>
      <c r="H118" s="16">
        <v>452</v>
      </c>
      <c r="I118" s="16">
        <v>5</v>
      </c>
      <c r="J118" s="16">
        <v>4122.82</v>
      </c>
      <c r="K118" s="16"/>
      <c r="L118" s="16"/>
      <c r="M118" s="19">
        <v>3670.8199999999997</v>
      </c>
    </row>
    <row r="119" spans="1:13" ht="15.75" customHeight="1" x14ac:dyDescent="0.25">
      <c r="A119" s="8">
        <v>115</v>
      </c>
      <c r="B119" s="3" t="s">
        <v>270</v>
      </c>
      <c r="C119" s="16">
        <v>1</v>
      </c>
      <c r="D119" s="16">
        <v>4500</v>
      </c>
      <c r="E119" s="16"/>
      <c r="F119" s="16"/>
      <c r="G119" s="16"/>
      <c r="H119" s="16"/>
      <c r="I119" s="16">
        <v>1</v>
      </c>
      <c r="J119" s="16">
        <v>4500</v>
      </c>
      <c r="K119" s="16"/>
      <c r="L119" s="16"/>
      <c r="M119" s="19">
        <v>4500</v>
      </c>
    </row>
    <row r="120" spans="1:13" ht="15.75" customHeight="1" x14ac:dyDescent="0.25">
      <c r="A120" s="8">
        <v>116</v>
      </c>
      <c r="B120" s="3" t="s">
        <v>254</v>
      </c>
      <c r="C120" s="16">
        <v>15</v>
      </c>
      <c r="D120" s="16">
        <v>22409</v>
      </c>
      <c r="E120" s="16"/>
      <c r="F120" s="16"/>
      <c r="G120" s="16"/>
      <c r="H120" s="16"/>
      <c r="I120" s="16">
        <v>15</v>
      </c>
      <c r="J120" s="16">
        <v>22409</v>
      </c>
      <c r="K120" s="16"/>
      <c r="L120" s="16"/>
      <c r="M120" s="19">
        <v>22409</v>
      </c>
    </row>
    <row r="121" spans="1:13" ht="15.75" customHeight="1" x14ac:dyDescent="0.25">
      <c r="A121" s="8">
        <v>117</v>
      </c>
      <c r="B121" s="3" t="s">
        <v>232</v>
      </c>
      <c r="C121" s="16">
        <v>4</v>
      </c>
      <c r="D121" s="16">
        <v>2100</v>
      </c>
      <c r="E121" s="16"/>
      <c r="F121" s="16"/>
      <c r="G121" s="16"/>
      <c r="H121" s="16"/>
      <c r="I121" s="16">
        <v>3</v>
      </c>
      <c r="J121" s="16">
        <v>1100</v>
      </c>
      <c r="K121" s="16">
        <v>1</v>
      </c>
      <c r="L121" s="16">
        <v>1000</v>
      </c>
      <c r="M121" s="19">
        <v>2100</v>
      </c>
    </row>
    <row r="122" spans="1:13" ht="15.75" customHeight="1" x14ac:dyDescent="0.25">
      <c r="A122" s="8">
        <v>118</v>
      </c>
      <c r="B122" s="3" t="s">
        <v>268</v>
      </c>
      <c r="C122" s="16">
        <v>1</v>
      </c>
      <c r="D122" s="16">
        <v>300</v>
      </c>
      <c r="E122" s="16"/>
      <c r="F122" s="16"/>
      <c r="G122" s="16"/>
      <c r="H122" s="16"/>
      <c r="I122" s="16">
        <v>1</v>
      </c>
      <c r="J122" s="16">
        <v>300</v>
      </c>
      <c r="K122" s="16"/>
      <c r="L122" s="16"/>
      <c r="M122" s="19">
        <v>300</v>
      </c>
    </row>
    <row r="123" spans="1:13" x14ac:dyDescent="0.25">
      <c r="B123" t="s">
        <v>285</v>
      </c>
      <c r="M123" s="1">
        <v>0</v>
      </c>
    </row>
    <row r="124" spans="1:13" x14ac:dyDescent="0.25">
      <c r="M124" s="1">
        <v>0</v>
      </c>
    </row>
  </sheetData>
  <autoFilter ref="A4:W124" xr:uid="{00000000-0009-0000-0000-000003000000}">
    <filterColumn colId="0" showButton="0"/>
    <sortState xmlns:xlrd2="http://schemas.microsoft.com/office/spreadsheetml/2017/richdata2" ref="A5:W124">
      <sortCondition descending="1" ref="D4:D124"/>
    </sortState>
  </autoFilter>
  <mergeCells count="12">
    <mergeCell ref="A1:A3"/>
    <mergeCell ref="B1:B3"/>
    <mergeCell ref="A4:B4"/>
    <mergeCell ref="M1:M3"/>
    <mergeCell ref="C1:C3"/>
    <mergeCell ref="D1:D3"/>
    <mergeCell ref="E1:H1"/>
    <mergeCell ref="I1:L1"/>
    <mergeCell ref="E2:F2"/>
    <mergeCell ref="G2:H2"/>
    <mergeCell ref="I2:J2"/>
    <mergeCell ref="K2:L2"/>
  </mergeCells>
  <pageMargins left="0.7" right="0.7" top="0.75" bottom="0.75" header="0.3" footer="0.3"/>
  <pageSetup scale="33" orientation="portrait" r:id="rId1"/>
  <colBreaks count="1" manualBreakCount="1">
    <brk id="1" max="122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0"/>
  <sheetViews>
    <sheetView zoomScaleNormal="100" workbookViewId="0">
      <selection activeCell="H4" sqref="H4:L4"/>
    </sheetView>
  </sheetViews>
  <sheetFormatPr defaultRowHeight="13.2" x14ac:dyDescent="0.25"/>
  <cols>
    <col min="2" max="2" width="35" bestFit="1" customWidth="1"/>
    <col min="3" max="12" width="14.33203125" customWidth="1"/>
    <col min="13" max="13" width="14.44140625" customWidth="1"/>
  </cols>
  <sheetData>
    <row r="1" spans="1:13" ht="19.5" customHeight="1" x14ac:dyDescent="0.25">
      <c r="A1" s="46" t="s">
        <v>292</v>
      </c>
      <c r="B1" s="46" t="s">
        <v>443</v>
      </c>
      <c r="C1" s="53" t="s">
        <v>288</v>
      </c>
      <c r="D1" s="53" t="s">
        <v>289</v>
      </c>
      <c r="E1" s="46" t="s">
        <v>509</v>
      </c>
      <c r="F1" s="46"/>
      <c r="G1" s="46"/>
      <c r="H1" s="46"/>
      <c r="I1" s="46" t="s">
        <v>510</v>
      </c>
      <c r="J1" s="46"/>
      <c r="K1" s="46"/>
      <c r="L1" s="46"/>
      <c r="M1" s="54" t="s">
        <v>442</v>
      </c>
    </row>
    <row r="2" spans="1:13" ht="19.5" customHeight="1" x14ac:dyDescent="0.25">
      <c r="A2" s="46"/>
      <c r="B2" s="46"/>
      <c r="C2" s="53"/>
      <c r="D2" s="53"/>
      <c r="E2" s="46" t="s">
        <v>234</v>
      </c>
      <c r="F2" s="46"/>
      <c r="G2" s="46" t="s">
        <v>1</v>
      </c>
      <c r="H2" s="46"/>
      <c r="I2" s="46" t="s">
        <v>234</v>
      </c>
      <c r="J2" s="46"/>
      <c r="K2" s="46" t="s">
        <v>1</v>
      </c>
      <c r="L2" s="46"/>
      <c r="M2" s="54"/>
    </row>
    <row r="3" spans="1:13" ht="19.5" customHeight="1" x14ac:dyDescent="0.25">
      <c r="A3" s="46"/>
      <c r="B3" s="46"/>
      <c r="C3" s="53"/>
      <c r="D3" s="53"/>
      <c r="E3" s="10" t="s">
        <v>290</v>
      </c>
      <c r="F3" s="10" t="s">
        <v>287</v>
      </c>
      <c r="G3" s="10" t="s">
        <v>290</v>
      </c>
      <c r="H3" s="10" t="s">
        <v>287</v>
      </c>
      <c r="I3" s="10" t="s">
        <v>290</v>
      </c>
      <c r="J3" s="10" t="s">
        <v>287</v>
      </c>
      <c r="K3" s="10" t="s">
        <v>290</v>
      </c>
      <c r="L3" s="10" t="s">
        <v>287</v>
      </c>
      <c r="M3" s="54"/>
    </row>
    <row r="4" spans="1:13" s="5" customFormat="1" ht="20.25" customHeight="1" x14ac:dyDescent="0.25">
      <c r="A4" s="55" t="s">
        <v>286</v>
      </c>
      <c r="B4" s="56"/>
      <c r="C4" s="14">
        <f t="shared" ref="C4:D4" si="0">SUM(C5:C10)</f>
        <v>818352</v>
      </c>
      <c r="D4" s="14">
        <f t="shared" si="0"/>
        <v>606793663.75000286</v>
      </c>
      <c r="E4" s="14">
        <f>SUM(E5:E10)</f>
        <v>349371</v>
      </c>
      <c r="F4" s="14">
        <f t="shared" ref="F4:L4" si="1">SUM(F5:F10)</f>
        <v>213229171.52000082</v>
      </c>
      <c r="G4" s="14">
        <f t="shared" si="1"/>
        <v>58944</v>
      </c>
      <c r="H4" s="14">
        <f t="shared" si="1"/>
        <v>63108475.350000009</v>
      </c>
      <c r="I4" s="14">
        <f t="shared" si="1"/>
        <v>357183</v>
      </c>
      <c r="J4" s="14">
        <f t="shared" si="1"/>
        <v>271555856.28000206</v>
      </c>
      <c r="K4" s="14">
        <f t="shared" si="1"/>
        <v>52854</v>
      </c>
      <c r="L4" s="14">
        <f t="shared" si="1"/>
        <v>58900160.599999979</v>
      </c>
      <c r="M4" s="20">
        <v>54118370.01000119</v>
      </c>
    </row>
    <row r="5" spans="1:13" ht="20.25" customHeight="1" x14ac:dyDescent="0.25">
      <c r="A5" s="8">
        <v>1</v>
      </c>
      <c r="B5" s="18" t="s">
        <v>6</v>
      </c>
      <c r="C5" s="7">
        <f>+E5+G5+I5+K5</f>
        <v>649616</v>
      </c>
      <c r="D5" s="7">
        <f>+F5+H5+J5+L5</f>
        <v>492649332.80999935</v>
      </c>
      <c r="E5" s="21">
        <v>274722</v>
      </c>
      <c r="F5" s="21">
        <v>170975044.95999941</v>
      </c>
      <c r="G5" s="21">
        <v>44436</v>
      </c>
      <c r="H5" s="21">
        <v>48497045.090000041</v>
      </c>
      <c r="I5" s="21">
        <v>288351</v>
      </c>
      <c r="J5" s="7">
        <v>225109882.9799999</v>
      </c>
      <c r="K5" s="7">
        <v>42107</v>
      </c>
      <c r="L5" s="7">
        <v>48067359.779999971</v>
      </c>
      <c r="M5" s="19">
        <v>53705152.710000426</v>
      </c>
    </row>
    <row r="6" spans="1:13" ht="20.25" customHeight="1" x14ac:dyDescent="0.25">
      <c r="A6" s="8">
        <v>4</v>
      </c>
      <c r="B6" s="18" t="s">
        <v>25</v>
      </c>
      <c r="C6" s="7">
        <f t="shared" ref="C6:C10" si="2">+E6+G6+I6+K6</f>
        <v>165440</v>
      </c>
      <c r="D6" s="7">
        <f t="shared" ref="D6:D10" si="3">+F6+H6+J6+L6</f>
        <v>110720294.3300035</v>
      </c>
      <c r="E6" s="21">
        <v>73703</v>
      </c>
      <c r="F6" s="21">
        <v>41537143.440001398</v>
      </c>
      <c r="G6" s="21">
        <v>13924</v>
      </c>
      <c r="H6" s="21">
        <v>13417075.079999967</v>
      </c>
      <c r="I6" s="21">
        <v>67621</v>
      </c>
      <c r="J6" s="7">
        <v>45585480.390002131</v>
      </c>
      <c r="K6" s="7">
        <v>10192</v>
      </c>
      <c r="L6" s="7">
        <v>10180595.420000009</v>
      </c>
      <c r="M6" s="19">
        <v>811857.29000077397</v>
      </c>
    </row>
    <row r="7" spans="1:13" ht="20.25" customHeight="1" x14ac:dyDescent="0.25">
      <c r="A7" s="8">
        <v>2</v>
      </c>
      <c r="B7" s="18" t="s">
        <v>91</v>
      </c>
      <c r="C7" s="7">
        <f t="shared" si="2"/>
        <v>2727</v>
      </c>
      <c r="D7" s="7">
        <f t="shared" si="3"/>
        <v>3106921.1999999988</v>
      </c>
      <c r="E7" s="21">
        <v>923</v>
      </c>
      <c r="F7" s="21">
        <v>692411.16000000027</v>
      </c>
      <c r="G7" s="21">
        <v>306</v>
      </c>
      <c r="H7" s="21">
        <v>1053806.3399999999</v>
      </c>
      <c r="I7" s="21">
        <v>1181</v>
      </c>
      <c r="J7" s="7">
        <v>823176.69999999879</v>
      </c>
      <c r="K7" s="7">
        <v>317</v>
      </c>
      <c r="L7" s="7">
        <v>537527</v>
      </c>
      <c r="M7" s="19">
        <v>-385513.80000000121</v>
      </c>
    </row>
    <row r="8" spans="1:13" ht="20.25" customHeight="1" x14ac:dyDescent="0.25">
      <c r="A8" s="8">
        <v>3</v>
      </c>
      <c r="B8" s="18" t="s">
        <v>67</v>
      </c>
      <c r="C8" s="7">
        <f t="shared" si="2"/>
        <v>562</v>
      </c>
      <c r="D8" s="7">
        <f t="shared" si="3"/>
        <v>305483.12</v>
      </c>
      <c r="E8" s="21">
        <v>23</v>
      </c>
      <c r="F8" s="21">
        <v>24571.96</v>
      </c>
      <c r="G8" s="21">
        <v>275</v>
      </c>
      <c r="H8" s="21">
        <v>137123.41999999998</v>
      </c>
      <c r="I8" s="21">
        <v>29</v>
      </c>
      <c r="J8" s="7">
        <v>37066.49</v>
      </c>
      <c r="K8" s="7">
        <v>235</v>
      </c>
      <c r="L8" s="7">
        <v>106721.25000000004</v>
      </c>
      <c r="M8" s="19">
        <v>-17907.639999999927</v>
      </c>
    </row>
    <row r="9" spans="1:13" ht="20.25" customHeight="1" x14ac:dyDescent="0.25">
      <c r="A9" s="8">
        <v>5</v>
      </c>
      <c r="B9" s="18" t="s">
        <v>192</v>
      </c>
      <c r="C9" s="7">
        <f t="shared" si="2"/>
        <v>5</v>
      </c>
      <c r="D9" s="7">
        <f t="shared" si="3"/>
        <v>11155.61</v>
      </c>
      <c r="E9" s="21"/>
      <c r="F9" s="21"/>
      <c r="G9" s="21">
        <v>2</v>
      </c>
      <c r="H9" s="21">
        <v>3198.46</v>
      </c>
      <c r="I9" s="21"/>
      <c r="J9" s="7"/>
      <c r="K9" s="7">
        <v>3</v>
      </c>
      <c r="L9" s="7">
        <v>7957.1500000000005</v>
      </c>
      <c r="M9" s="19">
        <v>4758.6900000000005</v>
      </c>
    </row>
    <row r="10" spans="1:13" ht="20.25" customHeight="1" x14ac:dyDescent="0.25">
      <c r="A10" s="8">
        <v>6</v>
      </c>
      <c r="B10" s="18" t="s">
        <v>262</v>
      </c>
      <c r="C10" s="7">
        <f t="shared" si="2"/>
        <v>2</v>
      </c>
      <c r="D10" s="7">
        <f t="shared" si="3"/>
        <v>476.68</v>
      </c>
      <c r="E10" s="21"/>
      <c r="F10" s="21"/>
      <c r="G10" s="21">
        <v>1</v>
      </c>
      <c r="H10" s="21">
        <v>226.96</v>
      </c>
      <c r="I10" s="21">
        <v>1</v>
      </c>
      <c r="J10" s="7">
        <v>249.72</v>
      </c>
      <c r="K10" s="7"/>
      <c r="L10" s="7"/>
      <c r="M10" s="19">
        <v>22.759999999999991</v>
      </c>
    </row>
  </sheetData>
  <mergeCells count="12">
    <mergeCell ref="A4:B4"/>
    <mergeCell ref="A1:A3"/>
    <mergeCell ref="K2:L2"/>
    <mergeCell ref="B1:B3"/>
    <mergeCell ref="E1:H1"/>
    <mergeCell ref="I1:L1"/>
    <mergeCell ref="M1:M3"/>
    <mergeCell ref="E2:F2"/>
    <mergeCell ref="C1:C3"/>
    <mergeCell ref="D1:D3"/>
    <mergeCell ref="G2:H2"/>
    <mergeCell ref="I2:J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66"/>
  <sheetViews>
    <sheetView zoomScaleNormal="100" workbookViewId="0">
      <selection activeCell="B16" sqref="B16"/>
    </sheetView>
  </sheetViews>
  <sheetFormatPr defaultRowHeight="13.2" x14ac:dyDescent="0.25"/>
  <cols>
    <col min="2" max="2" width="36.6640625" customWidth="1"/>
    <col min="3" max="3" width="10.44140625" customWidth="1"/>
    <col min="4" max="4" width="14.5546875" customWidth="1"/>
    <col min="5" max="5" width="10.44140625" customWidth="1"/>
    <col min="6" max="6" width="13.6640625" customWidth="1"/>
    <col min="7" max="7" width="10.44140625" customWidth="1"/>
    <col min="8" max="8" width="11.6640625" customWidth="1"/>
    <col min="9" max="9" width="10.44140625" customWidth="1"/>
    <col min="10" max="10" width="13.6640625" customWidth="1"/>
    <col min="11" max="11" width="10.44140625" customWidth="1"/>
    <col min="12" max="12" width="11.6640625" customWidth="1"/>
    <col min="13" max="13" width="20.5546875" style="2" bestFit="1" customWidth="1"/>
  </cols>
  <sheetData>
    <row r="1" spans="1:13" s="13" customFormat="1" ht="19.5" customHeight="1" x14ac:dyDescent="0.25">
      <c r="A1" s="46" t="s">
        <v>292</v>
      </c>
      <c r="B1" s="46" t="s">
        <v>452</v>
      </c>
      <c r="C1" s="53" t="s">
        <v>288</v>
      </c>
      <c r="D1" s="53" t="s">
        <v>289</v>
      </c>
      <c r="E1" s="46" t="s">
        <v>509</v>
      </c>
      <c r="F1" s="46"/>
      <c r="G1" s="46"/>
      <c r="H1" s="46"/>
      <c r="I1" s="46" t="s">
        <v>510</v>
      </c>
      <c r="J1" s="46"/>
      <c r="K1" s="46"/>
      <c r="L1" s="46"/>
      <c r="M1" s="46" t="s">
        <v>442</v>
      </c>
    </row>
    <row r="2" spans="1:13" s="13" customFormat="1" ht="19.5" customHeight="1" x14ac:dyDescent="0.25">
      <c r="A2" s="46"/>
      <c r="B2" s="46"/>
      <c r="C2" s="53"/>
      <c r="D2" s="53"/>
      <c r="E2" s="46" t="s">
        <v>234</v>
      </c>
      <c r="F2" s="46"/>
      <c r="G2" s="46" t="s">
        <v>1</v>
      </c>
      <c r="H2" s="46"/>
      <c r="I2" s="46" t="s">
        <v>234</v>
      </c>
      <c r="J2" s="46"/>
      <c r="K2" s="46" t="s">
        <v>1</v>
      </c>
      <c r="L2" s="46"/>
      <c r="M2" s="46"/>
    </row>
    <row r="3" spans="1:13" s="13" customFormat="1" ht="19.5" customHeight="1" x14ac:dyDescent="0.25">
      <c r="A3" s="46"/>
      <c r="B3" s="46"/>
      <c r="C3" s="53"/>
      <c r="D3" s="53"/>
      <c r="E3" s="10" t="s">
        <v>290</v>
      </c>
      <c r="F3" s="10" t="s">
        <v>287</v>
      </c>
      <c r="G3" s="10" t="s">
        <v>290</v>
      </c>
      <c r="H3" s="10" t="s">
        <v>287</v>
      </c>
      <c r="I3" s="10" t="s">
        <v>290</v>
      </c>
      <c r="J3" s="10" t="s">
        <v>287</v>
      </c>
      <c r="K3" s="10" t="s">
        <v>290</v>
      </c>
      <c r="L3" s="10" t="s">
        <v>287</v>
      </c>
      <c r="M3" s="46"/>
    </row>
    <row r="4" spans="1:13" s="13" customFormat="1" ht="27.75" customHeight="1" x14ac:dyDescent="0.25">
      <c r="A4" s="9" t="s">
        <v>293</v>
      </c>
      <c r="B4" s="9"/>
      <c r="C4" s="14">
        <v>748883</v>
      </c>
      <c r="D4" s="14">
        <v>547507013.20000196</v>
      </c>
      <c r="E4" s="14">
        <v>344269</v>
      </c>
      <c r="F4" s="14">
        <v>210228544.23000547</v>
      </c>
      <c r="G4" s="14">
        <v>54084</v>
      </c>
      <c r="H4" s="14">
        <v>58430689.190000206</v>
      </c>
      <c r="I4" s="14">
        <v>354839</v>
      </c>
      <c r="J4" s="14">
        <v>271555855.83000153</v>
      </c>
      <c r="K4" s="14">
        <v>52887</v>
      </c>
      <c r="L4" s="14">
        <v>59193300.300000049</v>
      </c>
      <c r="M4" s="22">
        <v>54411509.260002606</v>
      </c>
    </row>
    <row r="5" spans="1:13" ht="15" customHeight="1" x14ac:dyDescent="0.25">
      <c r="A5" s="8">
        <v>1</v>
      </c>
      <c r="B5" s="3" t="s">
        <v>534</v>
      </c>
      <c r="C5" s="7">
        <v>343993</v>
      </c>
      <c r="D5" s="7">
        <v>264296492.48000059</v>
      </c>
      <c r="E5" s="7">
        <v>165975</v>
      </c>
      <c r="F5" s="7">
        <v>111030533.61999969</v>
      </c>
      <c r="G5" s="7">
        <v>18902</v>
      </c>
      <c r="H5" s="7">
        <v>14200138.720000017</v>
      </c>
      <c r="I5" s="7">
        <v>169480</v>
      </c>
      <c r="J5" s="7">
        <v>154258428.58000112</v>
      </c>
      <c r="K5" s="7">
        <v>18543</v>
      </c>
      <c r="L5" s="7">
        <v>15249828.630000021</v>
      </c>
      <c r="M5" s="22">
        <v>40824459.600002095</v>
      </c>
    </row>
    <row r="6" spans="1:13" ht="15" customHeight="1" x14ac:dyDescent="0.25">
      <c r="A6" s="8">
        <v>2</v>
      </c>
      <c r="B6" s="3" t="s">
        <v>457</v>
      </c>
      <c r="C6" s="7">
        <v>199479</v>
      </c>
      <c r="D6" s="7">
        <v>103447346.95000081</v>
      </c>
      <c r="E6" s="7">
        <v>87593</v>
      </c>
      <c r="F6" s="7">
        <v>33552736.130000677</v>
      </c>
      <c r="G6" s="7">
        <v>12390</v>
      </c>
      <c r="H6" s="7">
        <v>13780049.980000012</v>
      </c>
      <c r="I6" s="7">
        <v>104023</v>
      </c>
      <c r="J6" s="7">
        <v>47629853.680000737</v>
      </c>
      <c r="K6" s="7">
        <v>12735</v>
      </c>
      <c r="L6" s="7">
        <v>17651675.580000009</v>
      </c>
      <c r="M6" s="22">
        <v>15909762.070000738</v>
      </c>
    </row>
    <row r="7" spans="1:13" ht="15" customHeight="1" x14ac:dyDescent="0.25">
      <c r="A7" s="8">
        <v>3</v>
      </c>
      <c r="B7" s="3" t="s">
        <v>450</v>
      </c>
      <c r="C7" s="7">
        <v>38377</v>
      </c>
      <c r="D7" s="7">
        <v>40543208.370000325</v>
      </c>
      <c r="E7" s="7">
        <v>19049</v>
      </c>
      <c r="F7" s="7">
        <v>15963070.649999997</v>
      </c>
      <c r="G7" s="7">
        <v>557</v>
      </c>
      <c r="H7" s="7">
        <v>6186012.0500000017</v>
      </c>
      <c r="I7" s="7">
        <v>21366</v>
      </c>
      <c r="J7" s="7">
        <v>20698684.419999953</v>
      </c>
      <c r="K7" s="7">
        <v>363</v>
      </c>
      <c r="L7" s="7">
        <v>944086.31000000041</v>
      </c>
      <c r="M7" s="22">
        <v>-852183.00000008196</v>
      </c>
    </row>
    <row r="8" spans="1:13" ht="15" customHeight="1" x14ac:dyDescent="0.25">
      <c r="A8" s="8">
        <v>4</v>
      </c>
      <c r="B8" s="3" t="s">
        <v>508</v>
      </c>
      <c r="C8" s="7">
        <v>39844</v>
      </c>
      <c r="D8" s="7">
        <v>39238373.460000306</v>
      </c>
      <c r="E8" s="7">
        <v>21618</v>
      </c>
      <c r="F8" s="7">
        <v>19811489.940000094</v>
      </c>
      <c r="G8" s="7">
        <v>1053</v>
      </c>
      <c r="H8" s="7">
        <v>2042141.2300000007</v>
      </c>
      <c r="I8" s="7">
        <v>18678</v>
      </c>
      <c r="J8" s="7">
        <v>18449819.409999933</v>
      </c>
      <c r="K8" s="7">
        <v>1394</v>
      </c>
      <c r="L8" s="7">
        <v>2394739.1300000018</v>
      </c>
      <c r="M8" s="22">
        <v>-1381389.2400000803</v>
      </c>
    </row>
    <row r="9" spans="1:13" ht="15" customHeight="1" x14ac:dyDescent="0.25">
      <c r="A9" s="8">
        <v>5</v>
      </c>
      <c r="B9" s="3" t="s">
        <v>535</v>
      </c>
      <c r="C9" s="7">
        <v>48831</v>
      </c>
      <c r="D9" s="7">
        <v>32887282.670000035</v>
      </c>
      <c r="E9" s="7">
        <v>20640</v>
      </c>
      <c r="F9" s="7">
        <v>11794412.460000023</v>
      </c>
      <c r="G9" s="7">
        <v>9650</v>
      </c>
      <c r="H9" s="7">
        <v>6330400.1100000022</v>
      </c>
      <c r="I9" s="7">
        <v>12769</v>
      </c>
      <c r="J9" s="7">
        <v>9358893.4099999797</v>
      </c>
      <c r="K9" s="7">
        <v>8182</v>
      </c>
      <c r="L9" s="7">
        <v>7321509.9100000029</v>
      </c>
      <c r="M9" s="22">
        <v>-2171840.790000055</v>
      </c>
    </row>
    <row r="10" spans="1:13" ht="15" customHeight="1" x14ac:dyDescent="0.25">
      <c r="A10" s="8">
        <v>6</v>
      </c>
      <c r="B10" s="3" t="s">
        <v>455</v>
      </c>
      <c r="C10" s="7">
        <v>3535</v>
      </c>
      <c r="D10" s="7">
        <v>13985915.120000022</v>
      </c>
      <c r="E10" s="7">
        <v>83</v>
      </c>
      <c r="F10" s="7">
        <v>165783.09</v>
      </c>
      <c r="G10" s="7">
        <v>2011</v>
      </c>
      <c r="H10" s="7">
        <v>7880587.7900000028</v>
      </c>
      <c r="I10" s="7">
        <v>83</v>
      </c>
      <c r="J10" s="7">
        <v>163034.67000000001</v>
      </c>
      <c r="K10" s="7">
        <v>1373</v>
      </c>
      <c r="L10" s="7">
        <v>5829715.5800000019</v>
      </c>
      <c r="M10" s="22">
        <v>-2053620.6299999924</v>
      </c>
    </row>
    <row r="11" spans="1:13" ht="15" customHeight="1" x14ac:dyDescent="0.25">
      <c r="A11" s="8">
        <v>7</v>
      </c>
      <c r="B11" s="3" t="s">
        <v>536</v>
      </c>
      <c r="C11" s="7">
        <v>17300</v>
      </c>
      <c r="D11" s="7">
        <v>13642451.030000035</v>
      </c>
      <c r="E11" s="7">
        <v>3854</v>
      </c>
      <c r="F11" s="7">
        <v>2445452.6700000013</v>
      </c>
      <c r="G11" s="7">
        <v>4643</v>
      </c>
      <c r="H11" s="7">
        <v>3602076.2699999977</v>
      </c>
      <c r="I11" s="7">
        <v>4470</v>
      </c>
      <c r="J11" s="7">
        <v>3267811.87</v>
      </c>
      <c r="K11" s="7">
        <v>5303</v>
      </c>
      <c r="L11" s="7">
        <v>5038783.4800000014</v>
      </c>
      <c r="M11" s="22">
        <v>1895985.3999999966</v>
      </c>
    </row>
    <row r="12" spans="1:13" ht="15" customHeight="1" x14ac:dyDescent="0.25">
      <c r="A12" s="8">
        <v>8</v>
      </c>
      <c r="B12" s="3" t="s">
        <v>301</v>
      </c>
      <c r="C12" s="7">
        <v>5959</v>
      </c>
      <c r="D12" s="7">
        <v>3882249.1600000043</v>
      </c>
      <c r="E12" s="7">
        <v>2822</v>
      </c>
      <c r="F12" s="7">
        <v>1426191.6400000006</v>
      </c>
      <c r="G12" s="7">
        <v>242</v>
      </c>
      <c r="H12" s="7">
        <v>489746.94999999978</v>
      </c>
      <c r="I12" s="7">
        <v>2655</v>
      </c>
      <c r="J12" s="7">
        <v>1589141.45</v>
      </c>
      <c r="K12" s="7">
        <v>240</v>
      </c>
      <c r="L12" s="7">
        <v>437169.12000000011</v>
      </c>
      <c r="M12" s="22">
        <v>110371.97999999975</v>
      </c>
    </row>
    <row r="13" spans="1:13" ht="15" customHeight="1" x14ac:dyDescent="0.25">
      <c r="A13" s="8">
        <v>9</v>
      </c>
      <c r="B13" s="3" t="s">
        <v>449</v>
      </c>
      <c r="C13" s="7">
        <v>5952</v>
      </c>
      <c r="D13" s="7">
        <v>3844335.8899999931</v>
      </c>
      <c r="E13" s="7">
        <v>3310</v>
      </c>
      <c r="F13" s="7">
        <v>2029362.6500000032</v>
      </c>
      <c r="G13" s="7">
        <v>173</v>
      </c>
      <c r="H13" s="7">
        <v>120468.02</v>
      </c>
      <c r="I13" s="7">
        <v>2569</v>
      </c>
      <c r="J13" s="7">
        <v>1912461.27</v>
      </c>
      <c r="K13" s="7">
        <v>221</v>
      </c>
      <c r="L13" s="7">
        <v>370131.02999999997</v>
      </c>
      <c r="M13" s="22">
        <v>79017.18999999715</v>
      </c>
    </row>
    <row r="14" spans="1:13" ht="15" customHeight="1" x14ac:dyDescent="0.25">
      <c r="A14" s="8">
        <v>10</v>
      </c>
      <c r="B14" s="3" t="s">
        <v>537</v>
      </c>
      <c r="C14" s="7">
        <v>5328</v>
      </c>
      <c r="D14" s="7">
        <v>3142989.7899999982</v>
      </c>
      <c r="E14" s="7">
        <v>2542</v>
      </c>
      <c r="F14" s="7">
        <v>1244402.0499999993</v>
      </c>
      <c r="G14" s="7">
        <v>88</v>
      </c>
      <c r="H14" s="7">
        <v>118382.63</v>
      </c>
      <c r="I14" s="7">
        <v>2894</v>
      </c>
      <c r="J14" s="7">
        <v>1925544.33</v>
      </c>
      <c r="K14" s="7">
        <v>93</v>
      </c>
      <c r="L14" s="7">
        <v>87960.589999999982</v>
      </c>
      <c r="M14" s="22">
        <v>613262.85000000079</v>
      </c>
    </row>
    <row r="15" spans="1:13" ht="15" customHeight="1" x14ac:dyDescent="0.25">
      <c r="A15" s="8">
        <v>11</v>
      </c>
      <c r="B15" s="3" t="s">
        <v>538</v>
      </c>
      <c r="C15" s="7">
        <v>3672</v>
      </c>
      <c r="D15" s="7">
        <v>3118507.5300000012</v>
      </c>
      <c r="E15" s="7">
        <v>1844</v>
      </c>
      <c r="F15" s="7">
        <v>1358600.8500000013</v>
      </c>
      <c r="G15" s="7">
        <v>246</v>
      </c>
      <c r="H15" s="7">
        <v>379953.27000000025</v>
      </c>
      <c r="I15" s="7">
        <v>1551</v>
      </c>
      <c r="J15" s="7">
        <v>1315265.8400000017</v>
      </c>
      <c r="K15" s="7">
        <v>172</v>
      </c>
      <c r="L15" s="7">
        <v>208704.80000000002</v>
      </c>
      <c r="M15" s="22">
        <v>-248978.4599999981</v>
      </c>
    </row>
    <row r="16" spans="1:13" ht="15" customHeight="1" x14ac:dyDescent="0.25">
      <c r="A16" s="8">
        <v>12</v>
      </c>
      <c r="B16" s="3" t="s">
        <v>539</v>
      </c>
      <c r="C16" s="7">
        <v>3366</v>
      </c>
      <c r="D16" s="7">
        <v>2617171.4999999953</v>
      </c>
      <c r="E16" s="7">
        <v>2193</v>
      </c>
      <c r="F16" s="7">
        <v>1592235.5999999989</v>
      </c>
      <c r="G16" s="7">
        <v>23</v>
      </c>
      <c r="H16" s="7">
        <v>39294.559999999998</v>
      </c>
      <c r="I16" s="7">
        <v>1221</v>
      </c>
      <c r="J16" s="7">
        <v>1919179.07</v>
      </c>
      <c r="K16" s="7">
        <v>23</v>
      </c>
      <c r="L16" s="7">
        <v>34284.54</v>
      </c>
      <c r="M16" s="22">
        <v>307867.59999999823</v>
      </c>
    </row>
    <row r="17" spans="1:13" ht="15" customHeight="1" x14ac:dyDescent="0.25">
      <c r="A17" s="8">
        <v>13</v>
      </c>
      <c r="B17" s="3" t="s">
        <v>307</v>
      </c>
      <c r="C17" s="7">
        <v>3068</v>
      </c>
      <c r="D17" s="7">
        <v>2269190.7000000007</v>
      </c>
      <c r="E17" s="7">
        <v>935</v>
      </c>
      <c r="F17" s="7">
        <v>539873.52999999991</v>
      </c>
      <c r="G17" s="7">
        <v>284</v>
      </c>
      <c r="H17" s="7">
        <v>321919.52999999991</v>
      </c>
      <c r="I17" s="7">
        <v>1478</v>
      </c>
      <c r="J17" s="7">
        <v>934247.87000000011</v>
      </c>
      <c r="K17" s="7">
        <v>371</v>
      </c>
      <c r="L17" s="7">
        <v>473149.7699999999</v>
      </c>
      <c r="M17" s="22">
        <v>545604.57999999996</v>
      </c>
    </row>
    <row r="18" spans="1:13" ht="15" customHeight="1" x14ac:dyDescent="0.25">
      <c r="A18" s="8">
        <v>14</v>
      </c>
      <c r="B18" s="3" t="s">
        <v>297</v>
      </c>
      <c r="C18" s="7">
        <v>2199</v>
      </c>
      <c r="D18" s="7">
        <v>1669611.6599999995</v>
      </c>
      <c r="E18" s="7">
        <v>1239</v>
      </c>
      <c r="F18" s="7">
        <v>959207.0500000004</v>
      </c>
      <c r="G18" s="7">
        <v>22</v>
      </c>
      <c r="H18" s="7">
        <v>27290.179999999997</v>
      </c>
      <c r="I18" s="7">
        <v>991</v>
      </c>
      <c r="J18" s="7">
        <v>737739.15000000026</v>
      </c>
      <c r="K18" s="7">
        <v>19</v>
      </c>
      <c r="L18" s="7">
        <v>7333.4599999999991</v>
      </c>
      <c r="M18" s="22">
        <v>-253778.20999999961</v>
      </c>
    </row>
    <row r="19" spans="1:13" ht="15" customHeight="1" x14ac:dyDescent="0.25">
      <c r="A19" s="8">
        <v>15</v>
      </c>
      <c r="B19" s="3" t="s">
        <v>540</v>
      </c>
      <c r="C19" s="7">
        <v>3629</v>
      </c>
      <c r="D19" s="7">
        <v>1600833.9799999984</v>
      </c>
      <c r="E19" s="7">
        <v>618</v>
      </c>
      <c r="F19" s="7">
        <v>406466.25000000006</v>
      </c>
      <c r="G19" s="7">
        <v>1298</v>
      </c>
      <c r="H19" s="7">
        <v>352487.55999999976</v>
      </c>
      <c r="I19" s="7">
        <v>689</v>
      </c>
      <c r="J19" s="7">
        <v>583779.12</v>
      </c>
      <c r="K19" s="7">
        <v>1209</v>
      </c>
      <c r="L19" s="7">
        <v>483323.49000000005</v>
      </c>
      <c r="M19" s="22">
        <v>237700.47999999998</v>
      </c>
    </row>
    <row r="20" spans="1:13" ht="15" customHeight="1" x14ac:dyDescent="0.25">
      <c r="A20" s="8">
        <v>16</v>
      </c>
      <c r="B20" s="3" t="s">
        <v>319</v>
      </c>
      <c r="C20" s="7">
        <v>2013</v>
      </c>
      <c r="D20" s="7">
        <v>1590188.859999998</v>
      </c>
      <c r="E20" s="7">
        <v>1041</v>
      </c>
      <c r="F20" s="7">
        <v>753883.66</v>
      </c>
      <c r="G20" s="7">
        <v>88</v>
      </c>
      <c r="H20" s="7">
        <v>64269.45</v>
      </c>
      <c r="I20" s="7">
        <v>845</v>
      </c>
      <c r="J20" s="7">
        <v>743064.12</v>
      </c>
      <c r="K20" s="7">
        <v>95</v>
      </c>
      <c r="L20" s="7">
        <v>73445.569999999992</v>
      </c>
      <c r="M20" s="22">
        <v>-27829.729999999516</v>
      </c>
    </row>
    <row r="21" spans="1:13" ht="15" customHeight="1" x14ac:dyDescent="0.25">
      <c r="A21" s="8">
        <v>17</v>
      </c>
      <c r="B21" s="3" t="s">
        <v>306</v>
      </c>
      <c r="C21" s="7">
        <v>1692</v>
      </c>
      <c r="D21" s="7">
        <v>1227097.6399999987</v>
      </c>
      <c r="E21" s="7">
        <v>493</v>
      </c>
      <c r="F21" s="7">
        <v>179123.1400000001</v>
      </c>
      <c r="G21" s="7">
        <v>378</v>
      </c>
      <c r="H21" s="7">
        <v>412067.82999999996</v>
      </c>
      <c r="I21" s="7">
        <v>388</v>
      </c>
      <c r="J21" s="7">
        <v>181788.17</v>
      </c>
      <c r="K21" s="7">
        <v>433</v>
      </c>
      <c r="L21" s="7">
        <v>454118.49999999994</v>
      </c>
      <c r="M21" s="22">
        <v>44715.699999999837</v>
      </c>
    </row>
    <row r="22" spans="1:13" ht="15" customHeight="1" x14ac:dyDescent="0.25">
      <c r="A22" s="8">
        <v>18</v>
      </c>
      <c r="B22" s="3" t="s">
        <v>357</v>
      </c>
      <c r="C22" s="7">
        <v>1268</v>
      </c>
      <c r="D22" s="7">
        <v>949062.98999999976</v>
      </c>
      <c r="E22" s="7">
        <v>18</v>
      </c>
      <c r="F22" s="7">
        <v>17335.79</v>
      </c>
      <c r="G22" s="7">
        <v>696</v>
      </c>
      <c r="H22" s="7">
        <v>467779.65</v>
      </c>
      <c r="I22" s="7">
        <v>17</v>
      </c>
      <c r="J22" s="7">
        <v>10709.630000000001</v>
      </c>
      <c r="K22" s="7">
        <v>618</v>
      </c>
      <c r="L22" s="7">
        <v>505119.1599999998</v>
      </c>
      <c r="M22" s="22">
        <v>-9541.1400000002468</v>
      </c>
    </row>
    <row r="23" spans="1:13" ht="15" customHeight="1" x14ac:dyDescent="0.25">
      <c r="A23" s="8">
        <v>19</v>
      </c>
      <c r="B23" s="3" t="s">
        <v>316</v>
      </c>
      <c r="C23" s="7">
        <v>938</v>
      </c>
      <c r="D23" s="7">
        <v>835689.14000000013</v>
      </c>
      <c r="E23" s="7">
        <v>481</v>
      </c>
      <c r="F23" s="7">
        <v>375730.12999999983</v>
      </c>
      <c r="G23" s="7">
        <v>54</v>
      </c>
      <c r="H23" s="7">
        <v>88125.81</v>
      </c>
      <c r="I23" s="7">
        <v>353</v>
      </c>
      <c r="J23" s="7">
        <v>320252.21999999991</v>
      </c>
      <c r="K23" s="7">
        <v>50</v>
      </c>
      <c r="L23" s="7">
        <v>51580.98</v>
      </c>
      <c r="M23" s="22">
        <v>-92022.740000000049</v>
      </c>
    </row>
    <row r="24" spans="1:13" ht="15" customHeight="1" x14ac:dyDescent="0.25">
      <c r="A24" s="8">
        <v>20</v>
      </c>
      <c r="B24" s="3" t="s">
        <v>299</v>
      </c>
      <c r="C24" s="7">
        <v>1218</v>
      </c>
      <c r="D24" s="7">
        <v>740708.82999999973</v>
      </c>
      <c r="E24" s="7">
        <v>672</v>
      </c>
      <c r="F24" s="7">
        <v>297232.90999999997</v>
      </c>
      <c r="G24" s="7">
        <v>31</v>
      </c>
      <c r="H24" s="7">
        <v>77557.98</v>
      </c>
      <c r="I24" s="7">
        <v>469</v>
      </c>
      <c r="J24" s="7">
        <v>217274.81</v>
      </c>
      <c r="K24" s="7">
        <v>46</v>
      </c>
      <c r="L24" s="7">
        <v>153643.13</v>
      </c>
      <c r="M24" s="22">
        <v>-3872.9499999998952</v>
      </c>
    </row>
    <row r="25" spans="1:13" ht="15" customHeight="1" x14ac:dyDescent="0.25">
      <c r="A25" s="8">
        <v>21</v>
      </c>
      <c r="B25" s="3" t="s">
        <v>321</v>
      </c>
      <c r="C25" s="7">
        <v>1059</v>
      </c>
      <c r="D25" s="7">
        <v>718857.91999999981</v>
      </c>
      <c r="E25" s="7">
        <v>518</v>
      </c>
      <c r="F25" s="7">
        <v>311702.91999999987</v>
      </c>
      <c r="G25" s="7">
        <v>53</v>
      </c>
      <c r="H25" s="7">
        <v>48702.129999999983</v>
      </c>
      <c r="I25" s="7">
        <v>467</v>
      </c>
      <c r="J25" s="7">
        <v>314225.66000000015</v>
      </c>
      <c r="K25" s="7">
        <v>54</v>
      </c>
      <c r="L25" s="7">
        <v>63701.8</v>
      </c>
      <c r="M25" s="22">
        <v>11907.230000000156</v>
      </c>
    </row>
    <row r="26" spans="1:13" ht="15" customHeight="1" x14ac:dyDescent="0.25">
      <c r="A26" s="8">
        <v>22</v>
      </c>
      <c r="B26" s="3" t="s">
        <v>305</v>
      </c>
      <c r="C26" s="7">
        <v>1083</v>
      </c>
      <c r="D26" s="7">
        <v>709176.9099999998</v>
      </c>
      <c r="E26" s="7">
        <v>244</v>
      </c>
      <c r="F26" s="7">
        <v>146969.46</v>
      </c>
      <c r="G26" s="7">
        <v>299</v>
      </c>
      <c r="H26" s="7">
        <v>237629.37000000002</v>
      </c>
      <c r="I26" s="7">
        <v>218</v>
      </c>
      <c r="J26" s="7">
        <v>116210.84999999999</v>
      </c>
      <c r="K26" s="7">
        <v>322</v>
      </c>
      <c r="L26" s="7">
        <v>208367.23000000004</v>
      </c>
      <c r="M26" s="22">
        <v>-60020.750000000058</v>
      </c>
    </row>
    <row r="27" spans="1:13" ht="15" customHeight="1" x14ac:dyDescent="0.25">
      <c r="A27" s="8">
        <v>23</v>
      </c>
      <c r="B27" s="3" t="s">
        <v>310</v>
      </c>
      <c r="C27" s="7">
        <v>1196</v>
      </c>
      <c r="D27" s="7">
        <v>693671.0299999998</v>
      </c>
      <c r="E27" s="7">
        <v>517</v>
      </c>
      <c r="F27" s="7">
        <v>270701.45000000007</v>
      </c>
      <c r="G27" s="7">
        <v>21</v>
      </c>
      <c r="H27" s="7">
        <v>11642.65</v>
      </c>
      <c r="I27" s="7">
        <v>725</v>
      </c>
      <c r="J27" s="7">
        <v>499058.34</v>
      </c>
      <c r="K27" s="7">
        <v>8</v>
      </c>
      <c r="L27" s="7">
        <v>5735</v>
      </c>
      <c r="M27" s="22">
        <v>218425.7799999998</v>
      </c>
    </row>
    <row r="28" spans="1:13" ht="15" customHeight="1" x14ac:dyDescent="0.25">
      <c r="A28" s="8">
        <v>24</v>
      </c>
      <c r="B28" s="3" t="s">
        <v>300</v>
      </c>
      <c r="C28" s="7">
        <v>1209</v>
      </c>
      <c r="D28" s="7">
        <v>656919.70999999961</v>
      </c>
      <c r="E28" s="7">
        <v>501</v>
      </c>
      <c r="F28" s="7">
        <v>265505.87999999995</v>
      </c>
      <c r="G28" s="7">
        <v>32</v>
      </c>
      <c r="H28" s="7">
        <v>11669.840000000002</v>
      </c>
      <c r="I28" s="7">
        <v>646</v>
      </c>
      <c r="J28" s="7">
        <v>356189.67</v>
      </c>
      <c r="K28" s="7">
        <v>30</v>
      </c>
      <c r="L28" s="7">
        <v>23554.320000000003</v>
      </c>
      <c r="M28" s="22">
        <v>102568.26999999996</v>
      </c>
    </row>
    <row r="29" spans="1:13" ht="15" customHeight="1" x14ac:dyDescent="0.25">
      <c r="A29" s="8">
        <v>25</v>
      </c>
      <c r="B29" s="3" t="s">
        <v>312</v>
      </c>
      <c r="C29" s="7">
        <v>972</v>
      </c>
      <c r="D29" s="7">
        <v>656505.12000000046</v>
      </c>
      <c r="E29" s="7">
        <v>533</v>
      </c>
      <c r="F29" s="7">
        <v>306773.74000000011</v>
      </c>
      <c r="G29" s="7">
        <v>26</v>
      </c>
      <c r="H29" s="7">
        <v>109027.83</v>
      </c>
      <c r="I29" s="7">
        <v>377</v>
      </c>
      <c r="J29" s="7">
        <v>219870.12000000011</v>
      </c>
      <c r="K29" s="7">
        <v>36</v>
      </c>
      <c r="L29" s="7">
        <v>20833.429999999997</v>
      </c>
      <c r="M29" s="22">
        <v>-175108.01999999979</v>
      </c>
    </row>
    <row r="30" spans="1:13" ht="15" customHeight="1" x14ac:dyDescent="0.25">
      <c r="A30" s="8">
        <v>26</v>
      </c>
      <c r="B30" s="3" t="s">
        <v>298</v>
      </c>
      <c r="C30" s="7">
        <v>686</v>
      </c>
      <c r="D30" s="7">
        <v>503815.66000000038</v>
      </c>
      <c r="E30" s="7">
        <v>307</v>
      </c>
      <c r="F30" s="7">
        <v>191906.04999999996</v>
      </c>
      <c r="G30" s="7">
        <v>7</v>
      </c>
      <c r="H30" s="7">
        <v>71609.570000000007</v>
      </c>
      <c r="I30" s="7">
        <v>400</v>
      </c>
      <c r="J30" s="7">
        <v>263123.33000000007</v>
      </c>
      <c r="K30" s="7">
        <v>1</v>
      </c>
      <c r="L30" s="7">
        <v>228</v>
      </c>
      <c r="M30" s="22">
        <v>-3521.6599999999162</v>
      </c>
    </row>
    <row r="31" spans="1:13" ht="15" customHeight="1" x14ac:dyDescent="0.25">
      <c r="A31" s="8">
        <v>27</v>
      </c>
      <c r="B31" s="3" t="s">
        <v>309</v>
      </c>
      <c r="C31" s="7">
        <v>494</v>
      </c>
      <c r="D31" s="7">
        <v>435433.5500000004</v>
      </c>
      <c r="E31" s="7">
        <v>268</v>
      </c>
      <c r="F31" s="7">
        <v>211013.96000000008</v>
      </c>
      <c r="G31" s="7">
        <v>4</v>
      </c>
      <c r="H31" s="7">
        <v>5611.46</v>
      </c>
      <c r="I31" s="7">
        <v>216</v>
      </c>
      <c r="J31" s="7">
        <v>173804.12999999998</v>
      </c>
      <c r="K31" s="7">
        <v>6</v>
      </c>
      <c r="L31" s="7">
        <v>45004</v>
      </c>
      <c r="M31" s="22">
        <v>2182.710000000021</v>
      </c>
    </row>
    <row r="32" spans="1:13" ht="15" customHeight="1" x14ac:dyDescent="0.25">
      <c r="A32" s="8">
        <v>28</v>
      </c>
      <c r="B32" s="3" t="s">
        <v>346</v>
      </c>
      <c r="C32" s="7">
        <v>469</v>
      </c>
      <c r="D32" s="7">
        <v>425503.63999999984</v>
      </c>
      <c r="E32" s="7">
        <v>184</v>
      </c>
      <c r="F32" s="7">
        <v>134260.79</v>
      </c>
      <c r="G32" s="7">
        <v>6</v>
      </c>
      <c r="H32" s="7">
        <v>6682</v>
      </c>
      <c r="I32" s="7">
        <v>274</v>
      </c>
      <c r="J32" s="7">
        <v>281828.69000000018</v>
      </c>
      <c r="K32" s="7">
        <v>5</v>
      </c>
      <c r="L32" s="7">
        <v>2732.16</v>
      </c>
      <c r="M32" s="22">
        <v>143618.06000000014</v>
      </c>
    </row>
    <row r="33" spans="1:13" ht="15" customHeight="1" x14ac:dyDescent="0.25">
      <c r="A33" s="8">
        <v>29</v>
      </c>
      <c r="B33" s="3" t="s">
        <v>313</v>
      </c>
      <c r="C33" s="7">
        <v>533</v>
      </c>
      <c r="D33" s="7">
        <v>397895.2100000002</v>
      </c>
      <c r="E33" s="7">
        <v>204</v>
      </c>
      <c r="F33" s="7">
        <v>128445.29999999996</v>
      </c>
      <c r="G33" s="7">
        <v>6</v>
      </c>
      <c r="H33" s="7">
        <v>23290.71</v>
      </c>
      <c r="I33" s="7">
        <v>343</v>
      </c>
      <c r="J33" s="7">
        <v>248494.87</v>
      </c>
      <c r="K33" s="7">
        <v>11</v>
      </c>
      <c r="L33" s="7">
        <v>26118</v>
      </c>
      <c r="M33" s="22">
        <v>122428.86000000002</v>
      </c>
    </row>
    <row r="34" spans="1:13" ht="15" customHeight="1" x14ac:dyDescent="0.25">
      <c r="A34" s="8">
        <v>30</v>
      </c>
      <c r="B34" s="3" t="s">
        <v>314</v>
      </c>
      <c r="C34" s="7">
        <v>561</v>
      </c>
      <c r="D34" s="7">
        <v>377659.43999999994</v>
      </c>
      <c r="E34" s="7">
        <v>239</v>
      </c>
      <c r="F34" s="7">
        <v>136266.35999999993</v>
      </c>
      <c r="G34" s="7">
        <v>15</v>
      </c>
      <c r="H34" s="7">
        <v>8496.86</v>
      </c>
      <c r="I34" s="7">
        <v>297</v>
      </c>
      <c r="J34" s="7">
        <v>227746.82</v>
      </c>
      <c r="K34" s="7">
        <v>10</v>
      </c>
      <c r="L34" s="7">
        <v>5649.4</v>
      </c>
      <c r="M34" s="22">
        <v>88633.000000000029</v>
      </c>
    </row>
    <row r="35" spans="1:13" ht="15" customHeight="1" x14ac:dyDescent="0.25">
      <c r="A35" s="8">
        <v>31</v>
      </c>
      <c r="B35" s="3" t="s">
        <v>446</v>
      </c>
      <c r="C35" s="7">
        <v>27</v>
      </c>
      <c r="D35" s="7">
        <v>359325.15</v>
      </c>
      <c r="E35" s="7">
        <v>5</v>
      </c>
      <c r="F35" s="7">
        <v>10168</v>
      </c>
      <c r="G35" s="7">
        <v>10</v>
      </c>
      <c r="H35" s="7">
        <v>247025</v>
      </c>
      <c r="I35" s="7">
        <v>5</v>
      </c>
      <c r="J35" s="7">
        <v>8768.02</v>
      </c>
      <c r="K35" s="7">
        <v>8</v>
      </c>
      <c r="L35" s="7">
        <v>93493.12999999999</v>
      </c>
      <c r="M35" s="22">
        <v>-155631.85</v>
      </c>
    </row>
    <row r="36" spans="1:13" ht="15" customHeight="1" x14ac:dyDescent="0.25">
      <c r="A36" s="8">
        <v>32</v>
      </c>
      <c r="B36" s="3" t="s">
        <v>332</v>
      </c>
      <c r="C36" s="7">
        <v>504</v>
      </c>
      <c r="D36" s="7">
        <v>321076.73000000039</v>
      </c>
      <c r="E36" s="7">
        <v>215</v>
      </c>
      <c r="F36" s="7">
        <v>110529.09999999999</v>
      </c>
      <c r="G36" s="7">
        <v>38</v>
      </c>
      <c r="H36" s="7">
        <v>47927.389999999992</v>
      </c>
      <c r="I36" s="7">
        <v>231</v>
      </c>
      <c r="J36" s="7">
        <v>151599.36999999988</v>
      </c>
      <c r="K36" s="7">
        <v>20</v>
      </c>
      <c r="L36" s="7">
        <v>11020.869999999999</v>
      </c>
      <c r="M36" s="22">
        <v>4163.7499999998836</v>
      </c>
    </row>
    <row r="37" spans="1:13" ht="15" customHeight="1" x14ac:dyDescent="0.25">
      <c r="A37" s="8">
        <v>33</v>
      </c>
      <c r="B37" s="3" t="s">
        <v>329</v>
      </c>
      <c r="C37" s="7">
        <v>277</v>
      </c>
      <c r="D37" s="7">
        <v>302766.20000000007</v>
      </c>
      <c r="E37" s="7">
        <v>129</v>
      </c>
      <c r="F37" s="7">
        <v>130120.87999999999</v>
      </c>
      <c r="G37" s="7">
        <v>2</v>
      </c>
      <c r="H37" s="7">
        <v>1250</v>
      </c>
      <c r="I37" s="7">
        <v>156</v>
      </c>
      <c r="J37" s="7">
        <v>180996.39</v>
      </c>
      <c r="K37" s="7">
        <v>2</v>
      </c>
      <c r="L37" s="7">
        <v>41330</v>
      </c>
      <c r="M37" s="22">
        <v>89259.580000000016</v>
      </c>
    </row>
    <row r="38" spans="1:13" ht="15" customHeight="1" x14ac:dyDescent="0.25">
      <c r="A38" s="8">
        <v>34</v>
      </c>
      <c r="B38" s="3" t="s">
        <v>327</v>
      </c>
      <c r="C38" s="7">
        <v>350</v>
      </c>
      <c r="D38" s="7">
        <v>285441.94</v>
      </c>
      <c r="E38" s="7">
        <v>95</v>
      </c>
      <c r="F38" s="7">
        <v>76897.329999999973</v>
      </c>
      <c r="G38" s="7">
        <v>113</v>
      </c>
      <c r="H38" s="7">
        <v>75860.260000000009</v>
      </c>
      <c r="I38" s="7">
        <v>86</v>
      </c>
      <c r="J38" s="7">
        <v>91234.13</v>
      </c>
      <c r="K38" s="7">
        <v>56</v>
      </c>
      <c r="L38" s="7">
        <v>41459.22</v>
      </c>
      <c r="M38" s="22">
        <v>-20064.239999999962</v>
      </c>
    </row>
    <row r="39" spans="1:13" ht="15" customHeight="1" x14ac:dyDescent="0.25">
      <c r="A39" s="8">
        <v>35</v>
      </c>
      <c r="B39" s="3" t="s">
        <v>328</v>
      </c>
      <c r="C39" s="7">
        <v>575</v>
      </c>
      <c r="D39" s="7">
        <v>263925.75999999989</v>
      </c>
      <c r="E39" s="7">
        <v>83</v>
      </c>
      <c r="F39" s="7">
        <v>33370.480000000003</v>
      </c>
      <c r="G39" s="7">
        <v>169</v>
      </c>
      <c r="H39" s="7">
        <v>56527.489999999991</v>
      </c>
      <c r="I39" s="7">
        <v>167</v>
      </c>
      <c r="J39" s="7">
        <v>114554.5</v>
      </c>
      <c r="K39" s="7">
        <v>201</v>
      </c>
      <c r="L39" s="7">
        <v>101050.86</v>
      </c>
      <c r="M39" s="22">
        <v>99929.070000000022</v>
      </c>
    </row>
    <row r="40" spans="1:13" ht="15" customHeight="1" x14ac:dyDescent="0.25">
      <c r="A40" s="8">
        <v>36</v>
      </c>
      <c r="B40" s="3" t="s">
        <v>337</v>
      </c>
      <c r="C40" s="7">
        <v>369</v>
      </c>
      <c r="D40" s="7">
        <v>261337.73000000004</v>
      </c>
      <c r="E40" s="7">
        <v>162</v>
      </c>
      <c r="F40" s="7">
        <v>113371.01000000002</v>
      </c>
      <c r="G40" s="7">
        <v>23</v>
      </c>
      <c r="H40" s="7">
        <v>24766.93</v>
      </c>
      <c r="I40" s="7">
        <v>163</v>
      </c>
      <c r="J40" s="7">
        <v>88724.729999999967</v>
      </c>
      <c r="K40" s="7">
        <v>37</v>
      </c>
      <c r="L40" s="7">
        <v>54531.100000000013</v>
      </c>
      <c r="M40" s="22">
        <v>3617.8899999999849</v>
      </c>
    </row>
    <row r="41" spans="1:13" ht="15" customHeight="1" x14ac:dyDescent="0.25">
      <c r="A41" s="8">
        <v>37</v>
      </c>
      <c r="B41" s="3" t="s">
        <v>318</v>
      </c>
      <c r="C41" s="7">
        <v>565</v>
      </c>
      <c r="D41" s="7">
        <v>251556.02</v>
      </c>
      <c r="E41" s="7">
        <v>238</v>
      </c>
      <c r="F41" s="7">
        <v>91153.610000000015</v>
      </c>
      <c r="G41" s="7">
        <v>23</v>
      </c>
      <c r="H41" s="7">
        <v>24860.260000000006</v>
      </c>
      <c r="I41" s="7">
        <v>304</v>
      </c>
      <c r="J41" s="7">
        <v>131654.45000000001</v>
      </c>
      <c r="K41" s="7">
        <v>32</v>
      </c>
      <c r="L41" s="7">
        <v>32510.109999999997</v>
      </c>
      <c r="M41" s="22">
        <v>42703.620000000054</v>
      </c>
    </row>
    <row r="42" spans="1:13" ht="15" customHeight="1" x14ac:dyDescent="0.25">
      <c r="A42" s="8">
        <v>38</v>
      </c>
      <c r="B42" s="3" t="s">
        <v>445</v>
      </c>
      <c r="C42" s="7">
        <v>234</v>
      </c>
      <c r="D42" s="7">
        <v>243644.61</v>
      </c>
      <c r="E42" s="7">
        <v>119</v>
      </c>
      <c r="F42" s="7">
        <v>104523.61</v>
      </c>
      <c r="G42" s="7"/>
      <c r="H42" s="7"/>
      <c r="I42" s="7">
        <v>114</v>
      </c>
      <c r="J42" s="7">
        <v>138921</v>
      </c>
      <c r="K42" s="7">
        <v>1</v>
      </c>
      <c r="L42" s="7">
        <v>200</v>
      </c>
      <c r="M42" s="22">
        <v>34597.39</v>
      </c>
    </row>
    <row r="43" spans="1:13" ht="15" customHeight="1" x14ac:dyDescent="0.25">
      <c r="A43" s="8">
        <v>39</v>
      </c>
      <c r="B43" s="3" t="s">
        <v>302</v>
      </c>
      <c r="C43" s="7">
        <v>248</v>
      </c>
      <c r="D43" s="7">
        <v>236085.53</v>
      </c>
      <c r="E43" s="7">
        <v>93</v>
      </c>
      <c r="F43" s="7">
        <v>65030.599999999977</v>
      </c>
      <c r="G43" s="7">
        <v>8</v>
      </c>
      <c r="H43" s="7">
        <v>18253.03</v>
      </c>
      <c r="I43" s="7">
        <v>160</v>
      </c>
      <c r="J43" s="7">
        <v>162400.10999999996</v>
      </c>
      <c r="K43" s="7">
        <v>2</v>
      </c>
      <c r="L43" s="7">
        <v>2334.69</v>
      </c>
      <c r="M43" s="22">
        <v>80987.169999999984</v>
      </c>
    </row>
    <row r="44" spans="1:13" ht="15" customHeight="1" x14ac:dyDescent="0.25">
      <c r="A44" s="8">
        <v>40</v>
      </c>
      <c r="B44" s="3" t="s">
        <v>308</v>
      </c>
      <c r="C44" s="7">
        <v>310</v>
      </c>
      <c r="D44" s="7">
        <v>230262.64000000007</v>
      </c>
      <c r="E44" s="7">
        <v>146</v>
      </c>
      <c r="F44" s="7">
        <v>109119.56</v>
      </c>
      <c r="G44" s="7">
        <v>2</v>
      </c>
      <c r="H44" s="7">
        <v>800</v>
      </c>
      <c r="I44" s="7">
        <v>169</v>
      </c>
      <c r="J44" s="7">
        <v>130305.76000000002</v>
      </c>
      <c r="K44" s="7">
        <v>9</v>
      </c>
      <c r="L44" s="7">
        <v>3002</v>
      </c>
      <c r="M44" s="22">
        <v>22362.199999999983</v>
      </c>
    </row>
    <row r="45" spans="1:13" ht="15" customHeight="1" x14ac:dyDescent="0.25">
      <c r="A45" s="8">
        <v>41</v>
      </c>
      <c r="B45" s="3" t="s">
        <v>324</v>
      </c>
      <c r="C45" s="7">
        <v>226</v>
      </c>
      <c r="D45" s="7">
        <v>215528.36999999988</v>
      </c>
      <c r="E45" s="7">
        <v>126</v>
      </c>
      <c r="F45" s="7">
        <v>120823.63999999998</v>
      </c>
      <c r="G45" s="7">
        <v>6</v>
      </c>
      <c r="H45" s="7">
        <v>4740.42</v>
      </c>
      <c r="I45" s="7">
        <v>86</v>
      </c>
      <c r="J45" s="7">
        <v>87279.039999999994</v>
      </c>
      <c r="K45" s="7">
        <v>8</v>
      </c>
      <c r="L45" s="7">
        <v>2685.2700000000004</v>
      </c>
      <c r="M45" s="22">
        <v>-35599.749999999985</v>
      </c>
    </row>
    <row r="46" spans="1:13" ht="15" customHeight="1" x14ac:dyDescent="0.25">
      <c r="A46" s="8">
        <v>42</v>
      </c>
      <c r="B46" s="3" t="s">
        <v>392</v>
      </c>
      <c r="C46" s="7">
        <v>97</v>
      </c>
      <c r="D46" s="7">
        <v>208003.58000000002</v>
      </c>
      <c r="E46" s="7">
        <v>2</v>
      </c>
      <c r="F46" s="7">
        <v>2030</v>
      </c>
      <c r="G46" s="7">
        <v>46</v>
      </c>
      <c r="H46" s="7">
        <v>111348.1</v>
      </c>
      <c r="I46" s="7">
        <v>5</v>
      </c>
      <c r="J46" s="7">
        <v>9040</v>
      </c>
      <c r="K46" s="7">
        <v>51</v>
      </c>
      <c r="L46" s="7">
        <v>93428.26999999999</v>
      </c>
      <c r="M46" s="22">
        <v>-10909.830000000016</v>
      </c>
    </row>
    <row r="47" spans="1:13" ht="15" customHeight="1" x14ac:dyDescent="0.25">
      <c r="A47" s="8">
        <v>43</v>
      </c>
      <c r="B47" s="3" t="s">
        <v>333</v>
      </c>
      <c r="C47" s="7">
        <v>248</v>
      </c>
      <c r="D47" s="7">
        <v>193517.81000000008</v>
      </c>
      <c r="E47" s="7">
        <v>99</v>
      </c>
      <c r="F47" s="7">
        <v>40974.840000000011</v>
      </c>
      <c r="G47" s="7">
        <v>28</v>
      </c>
      <c r="H47" s="7">
        <v>35615.25</v>
      </c>
      <c r="I47" s="7">
        <v>93</v>
      </c>
      <c r="J47" s="7">
        <v>46166.30999999999</v>
      </c>
      <c r="K47" s="7">
        <v>28</v>
      </c>
      <c r="L47" s="7">
        <v>70761.41</v>
      </c>
      <c r="M47" s="22">
        <v>40337.630000000005</v>
      </c>
    </row>
    <row r="48" spans="1:13" ht="15" customHeight="1" x14ac:dyDescent="0.25">
      <c r="A48" s="8">
        <v>44</v>
      </c>
      <c r="B48" s="3" t="s">
        <v>317</v>
      </c>
      <c r="C48" s="7">
        <v>207</v>
      </c>
      <c r="D48" s="7">
        <v>187934.43000000002</v>
      </c>
      <c r="E48" s="7">
        <v>83</v>
      </c>
      <c r="F48" s="7">
        <v>80437.75999999998</v>
      </c>
      <c r="G48" s="7">
        <v>6</v>
      </c>
      <c r="H48" s="7">
        <v>2568.6</v>
      </c>
      <c r="I48" s="7">
        <v>116</v>
      </c>
      <c r="J48" s="7">
        <v>102196.46999999997</v>
      </c>
      <c r="K48" s="7">
        <v>8</v>
      </c>
      <c r="L48" s="7">
        <v>6015.66</v>
      </c>
      <c r="M48" s="22">
        <v>25205.769999999946</v>
      </c>
    </row>
    <row r="49" spans="1:13" ht="15" customHeight="1" x14ac:dyDescent="0.25">
      <c r="A49" s="8">
        <v>45</v>
      </c>
      <c r="B49" s="3" t="s">
        <v>303</v>
      </c>
      <c r="C49" s="7">
        <v>210</v>
      </c>
      <c r="D49" s="7">
        <v>185804.26</v>
      </c>
      <c r="E49" s="7">
        <v>105</v>
      </c>
      <c r="F49" s="7">
        <v>111737.78999999998</v>
      </c>
      <c r="G49" s="7">
        <v>4</v>
      </c>
      <c r="H49" s="7">
        <v>5603</v>
      </c>
      <c r="I49" s="7">
        <v>104</v>
      </c>
      <c r="J49" s="7">
        <v>74825.899999999994</v>
      </c>
      <c r="K49" s="7">
        <v>12</v>
      </c>
      <c r="L49" s="7">
        <v>2465.61</v>
      </c>
      <c r="M49" s="22">
        <v>-41099.279999999999</v>
      </c>
    </row>
    <row r="50" spans="1:13" ht="15" customHeight="1" x14ac:dyDescent="0.25">
      <c r="A50" s="8">
        <v>46</v>
      </c>
      <c r="B50" s="3" t="s">
        <v>330</v>
      </c>
      <c r="C50" s="7">
        <v>243</v>
      </c>
      <c r="D50" s="7">
        <v>182890.24000000002</v>
      </c>
      <c r="E50" s="7">
        <v>73</v>
      </c>
      <c r="F50" s="7">
        <v>69652.170000000013</v>
      </c>
      <c r="G50" s="7">
        <v>21</v>
      </c>
      <c r="H50" s="7">
        <v>8939.0199999999986</v>
      </c>
      <c r="I50" s="7">
        <v>115</v>
      </c>
      <c r="J50" s="7">
        <v>90097.579999999987</v>
      </c>
      <c r="K50" s="7">
        <v>41</v>
      </c>
      <c r="L50" s="7">
        <v>19448.68</v>
      </c>
      <c r="M50" s="22">
        <v>30555.069999999978</v>
      </c>
    </row>
    <row r="51" spans="1:13" ht="15" customHeight="1" x14ac:dyDescent="0.25">
      <c r="A51" s="8">
        <v>47</v>
      </c>
      <c r="B51" s="3" t="s">
        <v>325</v>
      </c>
      <c r="C51" s="7">
        <v>206</v>
      </c>
      <c r="D51" s="7">
        <v>169871.06000000006</v>
      </c>
      <c r="E51" s="7">
        <v>90</v>
      </c>
      <c r="F51" s="7">
        <v>58273.58</v>
      </c>
      <c r="G51" s="7">
        <v>4</v>
      </c>
      <c r="H51" s="7">
        <v>22906.63</v>
      </c>
      <c r="I51" s="7">
        <v>124</v>
      </c>
      <c r="J51" s="7">
        <v>108101.39</v>
      </c>
      <c r="K51" s="7">
        <v>12</v>
      </c>
      <c r="L51" s="7">
        <v>9116.91</v>
      </c>
      <c r="M51" s="22">
        <v>36038.090000000011</v>
      </c>
    </row>
    <row r="52" spans="1:13" ht="15" customHeight="1" x14ac:dyDescent="0.25">
      <c r="A52" s="8">
        <v>48</v>
      </c>
      <c r="B52" s="3" t="s">
        <v>336</v>
      </c>
      <c r="C52" s="7">
        <v>217</v>
      </c>
      <c r="D52" s="7">
        <v>159235.74999999997</v>
      </c>
      <c r="E52" s="7">
        <v>90</v>
      </c>
      <c r="F52" s="7">
        <v>56897.749999999978</v>
      </c>
      <c r="G52" s="7">
        <v>18</v>
      </c>
      <c r="H52" s="7">
        <v>12628.390000000001</v>
      </c>
      <c r="I52" s="7">
        <v>89</v>
      </c>
      <c r="J52" s="7">
        <v>62546.779999999992</v>
      </c>
      <c r="K52" s="7">
        <v>31</v>
      </c>
      <c r="L52" s="7">
        <v>32957.67</v>
      </c>
      <c r="M52" s="22">
        <v>25178.309999999969</v>
      </c>
    </row>
    <row r="53" spans="1:13" ht="15" customHeight="1" x14ac:dyDescent="0.25">
      <c r="A53" s="8">
        <v>49</v>
      </c>
      <c r="B53" s="3" t="s">
        <v>304</v>
      </c>
      <c r="C53" s="7">
        <v>229</v>
      </c>
      <c r="D53" s="7">
        <v>156648.33000000002</v>
      </c>
      <c r="E53" s="7">
        <v>116</v>
      </c>
      <c r="F53" s="7">
        <v>39190.460000000006</v>
      </c>
      <c r="G53" s="7">
        <v>13</v>
      </c>
      <c r="H53" s="7">
        <v>10811.17</v>
      </c>
      <c r="I53" s="7">
        <v>84</v>
      </c>
      <c r="J53" s="7">
        <v>86189.7</v>
      </c>
      <c r="K53" s="7">
        <v>23</v>
      </c>
      <c r="L53" s="7">
        <v>26051.599999999999</v>
      </c>
      <c r="M53" s="22">
        <v>60483.299999999988</v>
      </c>
    </row>
    <row r="54" spans="1:13" ht="15" customHeight="1" x14ac:dyDescent="0.25">
      <c r="A54" s="8">
        <v>50</v>
      </c>
      <c r="B54" s="3" t="s">
        <v>311</v>
      </c>
      <c r="C54" s="7">
        <v>540</v>
      </c>
      <c r="D54" s="7">
        <v>139700.72000000009</v>
      </c>
      <c r="E54" s="7">
        <v>262</v>
      </c>
      <c r="F54" s="7">
        <v>47404.71</v>
      </c>
      <c r="G54" s="7">
        <v>17</v>
      </c>
      <c r="H54" s="7">
        <v>10437.99</v>
      </c>
      <c r="I54" s="7">
        <v>267</v>
      </c>
      <c r="J54" s="7">
        <v>96696.82</v>
      </c>
      <c r="K54" s="7">
        <v>31</v>
      </c>
      <c r="L54" s="7">
        <v>18528.710000000003</v>
      </c>
      <c r="M54" s="22">
        <v>56030.830000000009</v>
      </c>
    </row>
    <row r="55" spans="1:13" ht="15" customHeight="1" x14ac:dyDescent="0.25">
      <c r="A55" s="8">
        <v>51</v>
      </c>
      <c r="B55" s="3" t="s">
        <v>320</v>
      </c>
      <c r="C55" s="7">
        <v>241</v>
      </c>
      <c r="D55" s="7">
        <v>127399.98999999996</v>
      </c>
      <c r="E55" s="7">
        <v>101</v>
      </c>
      <c r="F55" s="7">
        <v>64472.45</v>
      </c>
      <c r="G55" s="7">
        <v>3</v>
      </c>
      <c r="H55" s="7">
        <v>850</v>
      </c>
      <c r="I55" s="7">
        <v>147</v>
      </c>
      <c r="J55" s="7">
        <v>69359.31</v>
      </c>
      <c r="K55" s="7">
        <v>2</v>
      </c>
      <c r="L55" s="7">
        <v>985</v>
      </c>
      <c r="M55" s="22">
        <v>3619.8999999999942</v>
      </c>
    </row>
    <row r="56" spans="1:13" ht="15" customHeight="1" x14ac:dyDescent="0.25">
      <c r="A56" s="8">
        <v>52</v>
      </c>
      <c r="B56" s="3" t="s">
        <v>335</v>
      </c>
      <c r="C56" s="7">
        <v>172</v>
      </c>
      <c r="D56" s="7">
        <v>127128.78000000003</v>
      </c>
      <c r="E56" s="7">
        <v>100</v>
      </c>
      <c r="F56" s="7">
        <v>79319.77</v>
      </c>
      <c r="G56" s="7"/>
      <c r="H56" s="7"/>
      <c r="I56" s="7">
        <v>75</v>
      </c>
      <c r="J56" s="7">
        <v>49009.009999999995</v>
      </c>
      <c r="K56" s="7"/>
      <c r="L56" s="7"/>
      <c r="M56" s="22">
        <v>-31110.760000000009</v>
      </c>
    </row>
    <row r="57" spans="1:13" ht="15" customHeight="1" x14ac:dyDescent="0.25">
      <c r="A57" s="8">
        <v>53</v>
      </c>
      <c r="B57" s="3" t="s">
        <v>322</v>
      </c>
      <c r="C57" s="7">
        <v>326</v>
      </c>
      <c r="D57" s="7">
        <v>114452.09999999993</v>
      </c>
      <c r="E57" s="7">
        <v>184</v>
      </c>
      <c r="F57" s="7">
        <v>60639.230000000032</v>
      </c>
      <c r="G57" s="7">
        <v>4</v>
      </c>
      <c r="H57" s="7">
        <v>1930.71</v>
      </c>
      <c r="I57" s="7">
        <v>150</v>
      </c>
      <c r="J57" s="7">
        <v>62651.299999999981</v>
      </c>
      <c r="K57" s="7">
        <v>4</v>
      </c>
      <c r="L57" s="7">
        <v>3188.25</v>
      </c>
      <c r="M57" s="22">
        <v>-2230.3900000000431</v>
      </c>
    </row>
    <row r="58" spans="1:13" ht="15" customHeight="1" x14ac:dyDescent="0.25">
      <c r="A58" s="8">
        <v>54</v>
      </c>
      <c r="B58" s="3" t="s">
        <v>354</v>
      </c>
      <c r="C58" s="7">
        <v>136</v>
      </c>
      <c r="D58" s="7">
        <v>86068.57</v>
      </c>
      <c r="E58" s="7">
        <v>53</v>
      </c>
      <c r="F58" s="7">
        <v>28811.829999999994</v>
      </c>
      <c r="G58" s="7">
        <v>11</v>
      </c>
      <c r="H58" s="7">
        <v>14614.260000000002</v>
      </c>
      <c r="I58" s="7">
        <v>68</v>
      </c>
      <c r="J58" s="7">
        <v>34674.730000000003</v>
      </c>
      <c r="K58" s="7">
        <v>11</v>
      </c>
      <c r="L58" s="7">
        <v>15262.5</v>
      </c>
      <c r="M58" s="22">
        <v>6365.0900000000038</v>
      </c>
    </row>
    <row r="59" spans="1:13" ht="15" customHeight="1" x14ac:dyDescent="0.25">
      <c r="A59" s="8">
        <v>55</v>
      </c>
      <c r="B59" s="3" t="s">
        <v>367</v>
      </c>
      <c r="C59" s="7">
        <v>100</v>
      </c>
      <c r="D59" s="7">
        <v>83231.320000000007</v>
      </c>
      <c r="E59" s="7">
        <v>10</v>
      </c>
      <c r="F59" s="7">
        <v>3527.21</v>
      </c>
      <c r="G59" s="7">
        <v>35</v>
      </c>
      <c r="H59" s="7">
        <v>30983.480000000003</v>
      </c>
      <c r="I59" s="7">
        <v>9</v>
      </c>
      <c r="J59" s="7">
        <v>1730.88</v>
      </c>
      <c r="K59" s="7">
        <v>54</v>
      </c>
      <c r="L59" s="7">
        <v>50170.130000000005</v>
      </c>
      <c r="M59" s="22">
        <v>9689.2700000000041</v>
      </c>
    </row>
    <row r="60" spans="1:13" ht="15" customHeight="1" x14ac:dyDescent="0.25">
      <c r="A60" s="8">
        <v>56</v>
      </c>
      <c r="B60" s="3" t="s">
        <v>315</v>
      </c>
      <c r="C60" s="7">
        <v>211</v>
      </c>
      <c r="D60" s="7">
        <v>78977.249999999971</v>
      </c>
      <c r="E60" s="7">
        <v>126</v>
      </c>
      <c r="F60" s="7">
        <v>43184.349999999969</v>
      </c>
      <c r="G60" s="7">
        <v>1</v>
      </c>
      <c r="H60" s="7">
        <v>50.2</v>
      </c>
      <c r="I60" s="7">
        <v>84</v>
      </c>
      <c r="J60" s="7">
        <v>35742.699999999997</v>
      </c>
      <c r="K60" s="7"/>
      <c r="L60" s="7"/>
      <c r="M60" s="22">
        <v>-7441.6499999999869</v>
      </c>
    </row>
    <row r="61" spans="1:13" ht="15" customHeight="1" x14ac:dyDescent="0.25">
      <c r="A61" s="8">
        <v>57</v>
      </c>
      <c r="B61" s="3" t="s">
        <v>348</v>
      </c>
      <c r="C61" s="7">
        <v>99</v>
      </c>
      <c r="D61" s="7">
        <v>77387.16</v>
      </c>
      <c r="E61" s="7">
        <v>53</v>
      </c>
      <c r="F61" s="7">
        <v>43819.95</v>
      </c>
      <c r="G61" s="7">
        <v>7</v>
      </c>
      <c r="H61" s="7">
        <v>9399.39</v>
      </c>
      <c r="I61" s="7">
        <v>35</v>
      </c>
      <c r="J61" s="7">
        <v>24054.23</v>
      </c>
      <c r="K61" s="7">
        <v>7</v>
      </c>
      <c r="L61" s="7">
        <v>3506.84</v>
      </c>
      <c r="M61" s="22">
        <v>-28778.269999999997</v>
      </c>
    </row>
    <row r="62" spans="1:13" ht="15" customHeight="1" x14ac:dyDescent="0.25">
      <c r="A62" s="8">
        <v>58</v>
      </c>
      <c r="B62" s="3" t="s">
        <v>347</v>
      </c>
      <c r="C62" s="7">
        <v>102</v>
      </c>
      <c r="D62" s="7">
        <v>76168.829999999987</v>
      </c>
      <c r="E62" s="7">
        <v>58</v>
      </c>
      <c r="F62" s="7">
        <v>33562.749999999993</v>
      </c>
      <c r="G62" s="7">
        <v>1</v>
      </c>
      <c r="H62" s="7">
        <v>197</v>
      </c>
      <c r="I62" s="7">
        <v>42</v>
      </c>
      <c r="J62" s="7">
        <v>28676.800000000007</v>
      </c>
      <c r="K62" s="7">
        <v>4</v>
      </c>
      <c r="L62" s="7">
        <v>15552.29</v>
      </c>
      <c r="M62" s="22">
        <v>10164.340000000011</v>
      </c>
    </row>
    <row r="63" spans="1:13" ht="15" customHeight="1" x14ac:dyDescent="0.25">
      <c r="A63" s="8">
        <v>59</v>
      </c>
      <c r="B63" s="3" t="s">
        <v>416</v>
      </c>
      <c r="C63" s="7">
        <v>40</v>
      </c>
      <c r="D63" s="7">
        <v>70442.240000000005</v>
      </c>
      <c r="E63" s="7"/>
      <c r="F63" s="7"/>
      <c r="G63" s="7">
        <v>5</v>
      </c>
      <c r="H63" s="7">
        <v>9040.8799999999992</v>
      </c>
      <c r="I63" s="7">
        <v>1</v>
      </c>
      <c r="J63" s="7">
        <v>447.90000000000003</v>
      </c>
      <c r="K63" s="7">
        <v>35</v>
      </c>
      <c r="L63" s="7">
        <v>62853.46</v>
      </c>
      <c r="M63" s="22">
        <v>54260.480000000003</v>
      </c>
    </row>
    <row r="64" spans="1:13" ht="15" customHeight="1" x14ac:dyDescent="0.25">
      <c r="A64" s="8">
        <v>60</v>
      </c>
      <c r="B64" s="3" t="s">
        <v>341</v>
      </c>
      <c r="C64" s="7">
        <v>78</v>
      </c>
      <c r="D64" s="7">
        <v>68374.5</v>
      </c>
      <c r="E64" s="7">
        <v>34</v>
      </c>
      <c r="F64" s="7">
        <v>13497.43</v>
      </c>
      <c r="G64" s="7">
        <v>3</v>
      </c>
      <c r="H64" s="7">
        <v>12345</v>
      </c>
      <c r="I64" s="7">
        <v>27</v>
      </c>
      <c r="J64" s="7">
        <v>5655.38</v>
      </c>
      <c r="K64" s="7">
        <v>16</v>
      </c>
      <c r="L64" s="7">
        <v>37802.49</v>
      </c>
      <c r="M64" s="22">
        <v>17115.439999999995</v>
      </c>
    </row>
    <row r="65" spans="1:13" ht="15" customHeight="1" x14ac:dyDescent="0.25">
      <c r="A65" s="8">
        <v>61</v>
      </c>
      <c r="B65" s="3" t="s">
        <v>334</v>
      </c>
      <c r="C65" s="7">
        <v>70</v>
      </c>
      <c r="D65" s="7">
        <v>65805.959999999992</v>
      </c>
      <c r="E65" s="7">
        <v>43</v>
      </c>
      <c r="F65" s="7">
        <v>21205.59</v>
      </c>
      <c r="G65" s="7">
        <v>4</v>
      </c>
      <c r="H65" s="7">
        <v>6200</v>
      </c>
      <c r="I65" s="7">
        <v>20</v>
      </c>
      <c r="J65" s="7">
        <v>16487.599999999999</v>
      </c>
      <c r="K65" s="7">
        <v>6</v>
      </c>
      <c r="L65" s="7">
        <v>22318.109999999997</v>
      </c>
      <c r="M65" s="22">
        <v>11400.119999999992</v>
      </c>
    </row>
    <row r="66" spans="1:13" ht="15" customHeight="1" x14ac:dyDescent="0.25">
      <c r="A66" s="8">
        <v>62</v>
      </c>
      <c r="B66" s="3" t="s">
        <v>338</v>
      </c>
      <c r="C66" s="7">
        <v>50</v>
      </c>
      <c r="D66" s="7">
        <v>49750.07</v>
      </c>
      <c r="E66" s="7">
        <v>24</v>
      </c>
      <c r="F66" s="7">
        <v>23117.020000000004</v>
      </c>
      <c r="G66" s="7"/>
      <c r="H66" s="7"/>
      <c r="I66" s="7">
        <v>26</v>
      </c>
      <c r="J66" s="7">
        <v>26633.05000000001</v>
      </c>
      <c r="K66" s="7"/>
      <c r="L66" s="7"/>
      <c r="M66" s="22">
        <v>2616.0300000000134</v>
      </c>
    </row>
    <row r="67" spans="1:13" ht="15" customHeight="1" x14ac:dyDescent="0.25">
      <c r="A67" s="8">
        <v>63</v>
      </c>
      <c r="B67" s="3" t="s">
        <v>448</v>
      </c>
      <c r="C67" s="7">
        <v>22</v>
      </c>
      <c r="D67" s="7">
        <v>44940</v>
      </c>
      <c r="E67" s="7">
        <v>5</v>
      </c>
      <c r="F67" s="7">
        <v>6450</v>
      </c>
      <c r="G67" s="7"/>
      <c r="H67" s="7"/>
      <c r="I67" s="7">
        <v>13</v>
      </c>
      <c r="J67" s="7">
        <v>18360</v>
      </c>
      <c r="K67" s="7">
        <v>4</v>
      </c>
      <c r="L67" s="7">
        <v>20130</v>
      </c>
      <c r="M67" s="22">
        <v>32040</v>
      </c>
    </row>
    <row r="68" spans="1:13" ht="15" customHeight="1" x14ac:dyDescent="0.25">
      <c r="A68" s="8">
        <v>64</v>
      </c>
      <c r="B68" s="3" t="s">
        <v>340</v>
      </c>
      <c r="C68" s="7">
        <v>86</v>
      </c>
      <c r="D68" s="7">
        <v>41666.39</v>
      </c>
      <c r="E68" s="7">
        <v>59</v>
      </c>
      <c r="F68" s="7">
        <v>25096.91</v>
      </c>
      <c r="G68" s="7"/>
      <c r="H68" s="7"/>
      <c r="I68" s="7">
        <v>29</v>
      </c>
      <c r="J68" s="7">
        <v>20869.48</v>
      </c>
      <c r="K68" s="7"/>
      <c r="L68" s="7"/>
      <c r="M68" s="22">
        <v>-4227.4300000000039</v>
      </c>
    </row>
    <row r="69" spans="1:13" ht="15" customHeight="1" x14ac:dyDescent="0.25">
      <c r="A69" s="8">
        <v>65</v>
      </c>
      <c r="B69" s="3" t="s">
        <v>323</v>
      </c>
      <c r="C69" s="7">
        <v>136</v>
      </c>
      <c r="D69" s="7">
        <v>41484.869999999988</v>
      </c>
      <c r="E69" s="7">
        <v>49</v>
      </c>
      <c r="F69" s="7">
        <v>18145.789999999994</v>
      </c>
      <c r="G69" s="7">
        <v>3</v>
      </c>
      <c r="H69" s="7">
        <v>210</v>
      </c>
      <c r="I69" s="7">
        <v>94</v>
      </c>
      <c r="J69" s="7">
        <v>28495.079999999998</v>
      </c>
      <c r="K69" s="7">
        <v>6</v>
      </c>
      <c r="L69" s="7">
        <v>230</v>
      </c>
      <c r="M69" s="22">
        <v>10369.290000000001</v>
      </c>
    </row>
    <row r="70" spans="1:13" ht="15" customHeight="1" x14ac:dyDescent="0.25">
      <c r="A70" s="8">
        <v>66</v>
      </c>
      <c r="B70" s="3" t="s">
        <v>373</v>
      </c>
      <c r="C70" s="7">
        <v>73</v>
      </c>
      <c r="D70" s="7">
        <v>41424.33</v>
      </c>
      <c r="E70" s="7">
        <v>10</v>
      </c>
      <c r="F70" s="7">
        <v>7918.58</v>
      </c>
      <c r="G70" s="7">
        <v>28</v>
      </c>
      <c r="H70" s="7">
        <v>9008.58</v>
      </c>
      <c r="I70" s="7">
        <v>7</v>
      </c>
      <c r="J70" s="7">
        <v>2744.3199999999997</v>
      </c>
      <c r="K70" s="7">
        <v>28</v>
      </c>
      <c r="L70" s="7">
        <v>21752.85</v>
      </c>
      <c r="M70" s="22">
        <v>-54.319999999999709</v>
      </c>
    </row>
    <row r="71" spans="1:13" ht="15" customHeight="1" x14ac:dyDescent="0.25">
      <c r="A71" s="8">
        <v>67</v>
      </c>
      <c r="B71" s="3" t="s">
        <v>372</v>
      </c>
      <c r="C71" s="7">
        <v>22</v>
      </c>
      <c r="D71" s="7">
        <v>39050.199999999997</v>
      </c>
      <c r="E71" s="7">
        <v>8</v>
      </c>
      <c r="F71" s="7">
        <v>1904.37</v>
      </c>
      <c r="G71" s="7">
        <v>6</v>
      </c>
      <c r="H71" s="7">
        <v>16036</v>
      </c>
      <c r="I71" s="7">
        <v>7</v>
      </c>
      <c r="J71" s="7">
        <v>11209.829999999998</v>
      </c>
      <c r="K71" s="7">
        <v>2</v>
      </c>
      <c r="L71" s="7">
        <v>10000</v>
      </c>
      <c r="M71" s="22">
        <v>3269.4599999999991</v>
      </c>
    </row>
    <row r="72" spans="1:13" ht="15" customHeight="1" x14ac:dyDescent="0.25">
      <c r="A72" s="8">
        <v>68</v>
      </c>
      <c r="B72" s="3" t="s">
        <v>345</v>
      </c>
      <c r="C72" s="7">
        <v>82</v>
      </c>
      <c r="D72" s="7">
        <v>36628.050000000003</v>
      </c>
      <c r="E72" s="7">
        <v>39</v>
      </c>
      <c r="F72" s="7">
        <v>11278.150000000003</v>
      </c>
      <c r="G72" s="7"/>
      <c r="H72" s="7"/>
      <c r="I72" s="7">
        <v>44</v>
      </c>
      <c r="J72" s="7">
        <v>12730.43</v>
      </c>
      <c r="K72" s="7">
        <v>4</v>
      </c>
      <c r="L72" s="7">
        <v>15819.47</v>
      </c>
      <c r="M72" s="22">
        <v>17171.75</v>
      </c>
    </row>
    <row r="73" spans="1:13" ht="15" customHeight="1" x14ac:dyDescent="0.25">
      <c r="A73" s="8">
        <v>69</v>
      </c>
      <c r="B73" s="3" t="s">
        <v>360</v>
      </c>
      <c r="C73" s="7">
        <v>77</v>
      </c>
      <c r="D73" s="7">
        <v>32295.820000000007</v>
      </c>
      <c r="E73" s="7">
        <v>39</v>
      </c>
      <c r="F73" s="7">
        <v>15968.010000000002</v>
      </c>
      <c r="G73" s="7">
        <v>3</v>
      </c>
      <c r="H73" s="7">
        <v>1011.41</v>
      </c>
      <c r="I73" s="7">
        <v>35</v>
      </c>
      <c r="J73" s="7">
        <v>15146.53</v>
      </c>
      <c r="K73" s="7">
        <v>1</v>
      </c>
      <c r="L73" s="7">
        <v>500.49</v>
      </c>
      <c r="M73" s="22">
        <v>-1532.7100000000028</v>
      </c>
    </row>
    <row r="74" spans="1:13" ht="15" customHeight="1" x14ac:dyDescent="0.25">
      <c r="A74" s="8">
        <v>70</v>
      </c>
      <c r="B74" s="3" t="s">
        <v>349</v>
      </c>
      <c r="C74" s="7">
        <v>66</v>
      </c>
      <c r="D74" s="7">
        <v>31811.450000000004</v>
      </c>
      <c r="E74" s="7">
        <v>46</v>
      </c>
      <c r="F74" s="7">
        <v>18606.770000000004</v>
      </c>
      <c r="G74" s="7">
        <v>1</v>
      </c>
      <c r="H74" s="7">
        <v>1000</v>
      </c>
      <c r="I74" s="7">
        <v>21</v>
      </c>
      <c r="J74" s="7">
        <v>13126.31</v>
      </c>
      <c r="K74" s="7">
        <v>1</v>
      </c>
      <c r="L74" s="7">
        <v>77.260000000000005</v>
      </c>
      <c r="M74" s="22">
        <v>-6403.2000000000044</v>
      </c>
    </row>
    <row r="75" spans="1:13" ht="15" customHeight="1" x14ac:dyDescent="0.25">
      <c r="A75" s="8">
        <v>71</v>
      </c>
      <c r="B75" s="3" t="s">
        <v>342</v>
      </c>
      <c r="C75" s="7">
        <v>26</v>
      </c>
      <c r="D75" s="7">
        <v>29810.03</v>
      </c>
      <c r="E75" s="7">
        <v>17</v>
      </c>
      <c r="F75" s="7">
        <v>14829.279999999999</v>
      </c>
      <c r="G75" s="7"/>
      <c r="H75" s="7"/>
      <c r="I75" s="7">
        <v>10</v>
      </c>
      <c r="J75" s="7">
        <v>16176.15</v>
      </c>
      <c r="K75" s="7"/>
      <c r="L75" s="7"/>
      <c r="M75" s="22">
        <v>1346.8700000000008</v>
      </c>
    </row>
    <row r="76" spans="1:13" ht="15" customHeight="1" x14ac:dyDescent="0.25">
      <c r="A76" s="8">
        <v>72</v>
      </c>
      <c r="B76" s="3" t="s">
        <v>344</v>
      </c>
      <c r="C76" s="7">
        <v>60</v>
      </c>
      <c r="D76" s="7">
        <v>27317.819999999989</v>
      </c>
      <c r="E76" s="7">
        <v>9</v>
      </c>
      <c r="F76" s="7">
        <v>3386.0199999999995</v>
      </c>
      <c r="G76" s="7"/>
      <c r="H76" s="7"/>
      <c r="I76" s="7">
        <v>55</v>
      </c>
      <c r="J76" s="7">
        <v>27874.800000000007</v>
      </c>
      <c r="K76" s="7">
        <v>1</v>
      </c>
      <c r="L76" s="7">
        <v>100</v>
      </c>
      <c r="M76" s="22">
        <v>24588.780000000006</v>
      </c>
    </row>
    <row r="77" spans="1:13" ht="15" customHeight="1" x14ac:dyDescent="0.25">
      <c r="A77" s="8">
        <v>73</v>
      </c>
      <c r="B77" s="3" t="s">
        <v>358</v>
      </c>
      <c r="C77" s="7">
        <v>29</v>
      </c>
      <c r="D77" s="7">
        <v>27286.860000000004</v>
      </c>
      <c r="E77" s="7">
        <v>23</v>
      </c>
      <c r="F77" s="7">
        <v>18689.91</v>
      </c>
      <c r="G77" s="7">
        <v>1</v>
      </c>
      <c r="H77" s="7">
        <v>500</v>
      </c>
      <c r="I77" s="7">
        <v>4</v>
      </c>
      <c r="J77" s="7">
        <v>7790.9400000000005</v>
      </c>
      <c r="K77" s="7">
        <v>1</v>
      </c>
      <c r="L77" s="7">
        <v>306.01</v>
      </c>
      <c r="M77" s="22">
        <v>-11092.96</v>
      </c>
    </row>
    <row r="78" spans="1:13" ht="15" customHeight="1" x14ac:dyDescent="0.25">
      <c r="A78" s="8">
        <v>74</v>
      </c>
      <c r="B78" s="3" t="s">
        <v>350</v>
      </c>
      <c r="C78" s="7">
        <v>50</v>
      </c>
      <c r="D78" s="7">
        <v>25544.940000000002</v>
      </c>
      <c r="E78" s="7">
        <v>38</v>
      </c>
      <c r="F78" s="7">
        <v>7986.08</v>
      </c>
      <c r="G78" s="7"/>
      <c r="H78" s="7"/>
      <c r="I78" s="7">
        <v>10</v>
      </c>
      <c r="J78" s="7">
        <v>7571.1600000000008</v>
      </c>
      <c r="K78" s="7">
        <v>4</v>
      </c>
      <c r="L78" s="7">
        <v>14384.07</v>
      </c>
      <c r="M78" s="22">
        <v>12969.15</v>
      </c>
    </row>
    <row r="79" spans="1:13" ht="15" customHeight="1" x14ac:dyDescent="0.25">
      <c r="A79" s="8">
        <v>75</v>
      </c>
      <c r="B79" s="3" t="s">
        <v>366</v>
      </c>
      <c r="C79" s="7">
        <v>68</v>
      </c>
      <c r="D79" s="7">
        <v>25311.589999999997</v>
      </c>
      <c r="E79" s="7">
        <v>21</v>
      </c>
      <c r="F79" s="7">
        <v>4996.1000000000004</v>
      </c>
      <c r="G79" s="7">
        <v>3</v>
      </c>
      <c r="H79" s="7">
        <v>385</v>
      </c>
      <c r="I79" s="7">
        <v>37</v>
      </c>
      <c r="J79" s="7">
        <v>17343.46</v>
      </c>
      <c r="K79" s="7">
        <v>7</v>
      </c>
      <c r="L79" s="7">
        <v>2587.0299999999997</v>
      </c>
      <c r="M79" s="22">
        <v>14549.389999999998</v>
      </c>
    </row>
    <row r="80" spans="1:13" ht="15" customHeight="1" x14ac:dyDescent="0.25">
      <c r="A80" s="8">
        <v>76</v>
      </c>
      <c r="B80" s="3" t="s">
        <v>365</v>
      </c>
      <c r="C80" s="7">
        <v>46</v>
      </c>
      <c r="D80" s="7">
        <v>24586.080000000005</v>
      </c>
      <c r="E80" s="7">
        <v>27</v>
      </c>
      <c r="F80" s="7">
        <v>14566.510000000002</v>
      </c>
      <c r="G80" s="7">
        <v>2</v>
      </c>
      <c r="H80" s="7">
        <v>155</v>
      </c>
      <c r="I80" s="7">
        <v>17</v>
      </c>
      <c r="J80" s="7">
        <v>9864.5699999999979</v>
      </c>
      <c r="K80" s="7"/>
      <c r="L80" s="7"/>
      <c r="M80" s="22">
        <v>-4856.9400000000041</v>
      </c>
    </row>
    <row r="81" spans="1:13" ht="15" customHeight="1" x14ac:dyDescent="0.25">
      <c r="A81" s="8">
        <v>77</v>
      </c>
      <c r="B81" s="3" t="s">
        <v>383</v>
      </c>
      <c r="C81" s="7">
        <v>49</v>
      </c>
      <c r="D81" s="7">
        <v>24482.400000000001</v>
      </c>
      <c r="E81" s="7">
        <v>18</v>
      </c>
      <c r="F81" s="7">
        <v>6915.6699999999992</v>
      </c>
      <c r="G81" s="7">
        <v>7</v>
      </c>
      <c r="H81" s="7">
        <v>1901.19</v>
      </c>
      <c r="I81" s="7">
        <v>8</v>
      </c>
      <c r="J81" s="7">
        <v>2655.5099999999998</v>
      </c>
      <c r="K81" s="7">
        <v>18</v>
      </c>
      <c r="L81" s="7">
        <v>15693.7</v>
      </c>
      <c r="M81" s="22">
        <v>8628.2099999999991</v>
      </c>
    </row>
    <row r="82" spans="1:13" ht="15" customHeight="1" x14ac:dyDescent="0.25">
      <c r="A82" s="8">
        <v>78</v>
      </c>
      <c r="B82" s="3" t="s">
        <v>444</v>
      </c>
      <c r="C82" s="7">
        <v>1</v>
      </c>
      <c r="D82" s="7">
        <v>23079</v>
      </c>
      <c r="E82" s="7"/>
      <c r="F82" s="7"/>
      <c r="G82" s="7">
        <v>1</v>
      </c>
      <c r="H82" s="7">
        <v>23079</v>
      </c>
      <c r="I82" s="7"/>
      <c r="J82" s="7"/>
      <c r="K82" s="7"/>
      <c r="L82" s="7"/>
      <c r="M82" s="22">
        <v>-23129.200000000001</v>
      </c>
    </row>
    <row r="83" spans="1:13" ht="15" customHeight="1" x14ac:dyDescent="0.25">
      <c r="A83" s="8">
        <v>79</v>
      </c>
      <c r="B83" s="3" t="s">
        <v>331</v>
      </c>
      <c r="C83" s="7">
        <v>54</v>
      </c>
      <c r="D83" s="7">
        <v>22012.070000000003</v>
      </c>
      <c r="E83" s="7">
        <v>33</v>
      </c>
      <c r="F83" s="7">
        <v>13621.06</v>
      </c>
      <c r="G83" s="7">
        <v>1</v>
      </c>
      <c r="H83" s="7">
        <v>205.73000000000002</v>
      </c>
      <c r="I83" s="7">
        <v>19</v>
      </c>
      <c r="J83" s="7">
        <v>5739.53</v>
      </c>
      <c r="K83" s="7">
        <v>1</v>
      </c>
      <c r="L83" s="7">
        <v>2445.75</v>
      </c>
      <c r="M83" s="22">
        <v>-5641.5099999999993</v>
      </c>
    </row>
    <row r="84" spans="1:13" ht="15" customHeight="1" x14ac:dyDescent="0.25">
      <c r="A84" s="8">
        <v>80</v>
      </c>
      <c r="B84" s="3" t="s">
        <v>355</v>
      </c>
      <c r="C84" s="7">
        <v>20</v>
      </c>
      <c r="D84" s="7">
        <v>21205.820000000003</v>
      </c>
      <c r="E84" s="7">
        <v>9</v>
      </c>
      <c r="F84" s="7">
        <v>9800.1200000000008</v>
      </c>
      <c r="G84" s="7"/>
      <c r="H84" s="7"/>
      <c r="I84" s="7">
        <v>12</v>
      </c>
      <c r="J84" s="7">
        <v>11505.7</v>
      </c>
      <c r="K84" s="7"/>
      <c r="L84" s="7"/>
      <c r="M84" s="22">
        <v>1705.58</v>
      </c>
    </row>
    <row r="85" spans="1:13" ht="15" customHeight="1" x14ac:dyDescent="0.25">
      <c r="A85" s="8">
        <v>81</v>
      </c>
      <c r="B85" s="3" t="s">
        <v>412</v>
      </c>
      <c r="C85" s="7">
        <v>19</v>
      </c>
      <c r="D85" s="7">
        <v>19809</v>
      </c>
      <c r="E85" s="7"/>
      <c r="F85" s="7"/>
      <c r="G85" s="7">
        <v>4</v>
      </c>
      <c r="H85" s="7">
        <v>1929</v>
      </c>
      <c r="I85" s="7">
        <v>11</v>
      </c>
      <c r="J85" s="7">
        <v>16917</v>
      </c>
      <c r="K85" s="7">
        <v>4</v>
      </c>
      <c r="L85" s="7">
        <v>963</v>
      </c>
      <c r="M85" s="22">
        <v>15951</v>
      </c>
    </row>
    <row r="86" spans="1:13" ht="15" customHeight="1" x14ac:dyDescent="0.25">
      <c r="A86" s="8">
        <v>82</v>
      </c>
      <c r="B86" s="3" t="s">
        <v>353</v>
      </c>
      <c r="C86" s="7">
        <v>10</v>
      </c>
      <c r="D86" s="7">
        <v>12547.92</v>
      </c>
      <c r="E86" s="7">
        <v>2</v>
      </c>
      <c r="F86" s="7">
        <v>368.98</v>
      </c>
      <c r="G86" s="7">
        <v>1</v>
      </c>
      <c r="H86" s="7">
        <v>6000</v>
      </c>
      <c r="I86" s="7">
        <v>8</v>
      </c>
      <c r="J86" s="7">
        <v>7878.9400000000005</v>
      </c>
      <c r="K86" s="7"/>
      <c r="L86" s="7"/>
      <c r="M86" s="22">
        <v>1509.9600000000009</v>
      </c>
    </row>
    <row r="87" spans="1:13" ht="15" customHeight="1" x14ac:dyDescent="0.25">
      <c r="A87" s="8">
        <v>83</v>
      </c>
      <c r="B87" s="3" t="s">
        <v>381</v>
      </c>
      <c r="C87" s="7">
        <v>22</v>
      </c>
      <c r="D87" s="7">
        <v>11855.590000000002</v>
      </c>
      <c r="E87" s="7">
        <v>3</v>
      </c>
      <c r="F87" s="7">
        <v>1812.24</v>
      </c>
      <c r="G87" s="7">
        <v>8</v>
      </c>
      <c r="H87" s="7">
        <v>763.42000000000007</v>
      </c>
      <c r="I87" s="7">
        <v>7</v>
      </c>
      <c r="J87" s="7">
        <v>8167.0599999999995</v>
      </c>
      <c r="K87" s="7">
        <v>4</v>
      </c>
      <c r="L87" s="7">
        <v>1112.8699999999999</v>
      </c>
      <c r="M87" s="22">
        <v>6704.27</v>
      </c>
    </row>
    <row r="88" spans="1:13" ht="15" customHeight="1" x14ac:dyDescent="0.25">
      <c r="A88" s="8">
        <v>84</v>
      </c>
      <c r="B88" s="3" t="s">
        <v>371</v>
      </c>
      <c r="C88" s="7">
        <v>17</v>
      </c>
      <c r="D88" s="7">
        <v>10984.089999999997</v>
      </c>
      <c r="E88" s="7">
        <v>13</v>
      </c>
      <c r="F88" s="7">
        <v>9751.56</v>
      </c>
      <c r="G88" s="7">
        <v>3</v>
      </c>
      <c r="H88" s="7">
        <v>933.6400000000001</v>
      </c>
      <c r="I88" s="7">
        <v>1</v>
      </c>
      <c r="J88" s="7">
        <v>298.89</v>
      </c>
      <c r="K88" s="7"/>
      <c r="L88" s="7"/>
      <c r="M88" s="22">
        <v>-10386.310000000001</v>
      </c>
    </row>
    <row r="89" spans="1:13" ht="15" customHeight="1" x14ac:dyDescent="0.25">
      <c r="A89" s="8">
        <v>85</v>
      </c>
      <c r="B89" s="3" t="s">
        <v>393</v>
      </c>
      <c r="C89" s="7">
        <v>6</v>
      </c>
      <c r="D89" s="7">
        <v>10692.86</v>
      </c>
      <c r="E89" s="7">
        <v>2</v>
      </c>
      <c r="F89" s="7">
        <v>1097.83</v>
      </c>
      <c r="G89" s="7">
        <v>1</v>
      </c>
      <c r="H89" s="7">
        <v>5066.99</v>
      </c>
      <c r="I89" s="7"/>
      <c r="J89" s="7"/>
      <c r="K89" s="7"/>
      <c r="L89" s="7"/>
      <c r="M89" s="22">
        <v>0</v>
      </c>
    </row>
    <row r="90" spans="1:13" ht="15" customHeight="1" x14ac:dyDescent="0.25">
      <c r="A90" s="8">
        <v>86</v>
      </c>
      <c r="B90" s="3" t="s">
        <v>359</v>
      </c>
      <c r="C90" s="7">
        <v>25</v>
      </c>
      <c r="D90" s="7">
        <v>9703.42</v>
      </c>
      <c r="E90" s="7">
        <v>7</v>
      </c>
      <c r="F90" s="7">
        <v>5550</v>
      </c>
      <c r="G90" s="7">
        <v>6</v>
      </c>
      <c r="H90" s="7">
        <v>1000.89</v>
      </c>
      <c r="I90" s="7">
        <v>2</v>
      </c>
      <c r="J90" s="7">
        <v>199.59</v>
      </c>
      <c r="K90" s="7">
        <v>13</v>
      </c>
      <c r="L90" s="7">
        <v>4186.33</v>
      </c>
      <c r="M90" s="22">
        <v>-2164.9700000000003</v>
      </c>
    </row>
    <row r="91" spans="1:13" ht="15" customHeight="1" x14ac:dyDescent="0.25">
      <c r="A91" s="8">
        <v>87</v>
      </c>
      <c r="B91" s="3" t="s">
        <v>377</v>
      </c>
      <c r="C91" s="7">
        <v>31</v>
      </c>
      <c r="D91" s="7">
        <v>9694.9800000000014</v>
      </c>
      <c r="E91" s="7">
        <v>10</v>
      </c>
      <c r="F91" s="7">
        <v>1926.4499999999998</v>
      </c>
      <c r="G91" s="7">
        <v>5</v>
      </c>
      <c r="H91" s="7">
        <v>4145</v>
      </c>
      <c r="I91" s="7">
        <v>12</v>
      </c>
      <c r="J91" s="7">
        <v>3823.04</v>
      </c>
      <c r="K91" s="7">
        <v>7</v>
      </c>
      <c r="L91" s="7">
        <v>892.49</v>
      </c>
      <c r="M91" s="22">
        <v>-1555.92</v>
      </c>
    </row>
    <row r="92" spans="1:13" ht="15" customHeight="1" x14ac:dyDescent="0.25">
      <c r="A92" s="8">
        <v>88</v>
      </c>
      <c r="B92" s="3" t="s">
        <v>375</v>
      </c>
      <c r="C92" s="7">
        <v>10</v>
      </c>
      <c r="D92" s="7">
        <v>9452.56</v>
      </c>
      <c r="E92" s="7">
        <v>5</v>
      </c>
      <c r="F92" s="7">
        <v>2899.73</v>
      </c>
      <c r="G92" s="7">
        <v>1</v>
      </c>
      <c r="H92" s="7">
        <v>6000</v>
      </c>
      <c r="I92" s="7">
        <v>2</v>
      </c>
      <c r="J92" s="7">
        <v>257.83</v>
      </c>
      <c r="K92" s="7">
        <v>2</v>
      </c>
      <c r="L92" s="7">
        <v>295</v>
      </c>
      <c r="M92" s="22">
        <v>-8346.9</v>
      </c>
    </row>
    <row r="93" spans="1:13" ht="15" customHeight="1" x14ac:dyDescent="0.25">
      <c r="A93" s="8">
        <v>89</v>
      </c>
      <c r="B93" s="3" t="s">
        <v>391</v>
      </c>
      <c r="C93" s="7">
        <v>8</v>
      </c>
      <c r="D93" s="7">
        <v>9399.36</v>
      </c>
      <c r="E93" s="7">
        <v>3</v>
      </c>
      <c r="F93" s="7">
        <v>3262.6</v>
      </c>
      <c r="G93" s="7"/>
      <c r="H93" s="7"/>
      <c r="I93" s="7">
        <v>5</v>
      </c>
      <c r="J93" s="7">
        <v>6136.76</v>
      </c>
      <c r="K93" s="7"/>
      <c r="L93" s="7"/>
      <c r="M93" s="22">
        <v>2874.1600000000003</v>
      </c>
    </row>
    <row r="94" spans="1:13" ht="15" customHeight="1" x14ac:dyDescent="0.25">
      <c r="A94" s="8">
        <v>90</v>
      </c>
      <c r="B94" s="3" t="s">
        <v>387</v>
      </c>
      <c r="C94" s="7">
        <v>27</v>
      </c>
      <c r="D94" s="7">
        <v>9321.68</v>
      </c>
      <c r="E94" s="7">
        <v>13</v>
      </c>
      <c r="F94" s="7">
        <v>5446.74</v>
      </c>
      <c r="G94" s="7">
        <v>1</v>
      </c>
      <c r="H94" s="7">
        <v>249</v>
      </c>
      <c r="I94" s="7">
        <v>11</v>
      </c>
      <c r="J94" s="7">
        <v>2225.94</v>
      </c>
      <c r="K94" s="7">
        <v>2</v>
      </c>
      <c r="L94" s="7">
        <v>1400</v>
      </c>
      <c r="M94" s="22">
        <v>-2069.8000000000006</v>
      </c>
    </row>
    <row r="95" spans="1:13" ht="15" customHeight="1" x14ac:dyDescent="0.25">
      <c r="A95" s="8">
        <v>91</v>
      </c>
      <c r="B95" s="3" t="s">
        <v>351</v>
      </c>
      <c r="C95" s="7">
        <v>22</v>
      </c>
      <c r="D95" s="7">
        <v>9210.7599999999984</v>
      </c>
      <c r="E95" s="7">
        <v>9</v>
      </c>
      <c r="F95" s="7">
        <v>2044.9300000000003</v>
      </c>
      <c r="G95" s="7"/>
      <c r="H95" s="7"/>
      <c r="I95" s="7">
        <v>7</v>
      </c>
      <c r="J95" s="7">
        <v>2943.8300000000004</v>
      </c>
      <c r="K95" s="7">
        <v>8</v>
      </c>
      <c r="L95" s="7">
        <v>6122</v>
      </c>
      <c r="M95" s="22">
        <v>7020.9</v>
      </c>
    </row>
    <row r="96" spans="1:13" ht="15" customHeight="1" x14ac:dyDescent="0.25">
      <c r="A96" s="8">
        <v>92</v>
      </c>
      <c r="B96" s="3" t="s">
        <v>378</v>
      </c>
      <c r="C96" s="7">
        <v>4</v>
      </c>
      <c r="D96" s="7">
        <v>8848</v>
      </c>
      <c r="E96" s="7">
        <v>2</v>
      </c>
      <c r="F96" s="7">
        <v>8248</v>
      </c>
      <c r="G96" s="7"/>
      <c r="H96" s="7"/>
      <c r="I96" s="7">
        <v>2</v>
      </c>
      <c r="J96" s="7">
        <v>600</v>
      </c>
      <c r="K96" s="7"/>
      <c r="L96" s="7"/>
      <c r="M96" s="22">
        <v>-7648</v>
      </c>
    </row>
    <row r="97" spans="1:13" ht="15" customHeight="1" x14ac:dyDescent="0.25">
      <c r="A97" s="8">
        <v>93</v>
      </c>
      <c r="B97" s="3" t="s">
        <v>362</v>
      </c>
      <c r="C97" s="7">
        <v>18</v>
      </c>
      <c r="D97" s="7">
        <v>8580.1999999999989</v>
      </c>
      <c r="E97" s="7">
        <v>7</v>
      </c>
      <c r="F97" s="7">
        <v>2839.2900000000004</v>
      </c>
      <c r="G97" s="7"/>
      <c r="H97" s="7"/>
      <c r="I97" s="7">
        <v>12</v>
      </c>
      <c r="J97" s="7">
        <v>7490.91</v>
      </c>
      <c r="K97" s="7"/>
      <c r="L97" s="7"/>
      <c r="M97" s="22">
        <v>4651.62</v>
      </c>
    </row>
    <row r="98" spans="1:13" ht="15" customHeight="1" x14ac:dyDescent="0.25">
      <c r="A98" s="8">
        <v>94</v>
      </c>
      <c r="B98" s="3" t="s">
        <v>326</v>
      </c>
      <c r="C98" s="7">
        <v>19</v>
      </c>
      <c r="D98" s="7">
        <v>8474.89</v>
      </c>
      <c r="E98" s="7">
        <v>15</v>
      </c>
      <c r="F98" s="7">
        <v>5025</v>
      </c>
      <c r="G98" s="7">
        <v>3</v>
      </c>
      <c r="H98" s="7">
        <v>3089.8900000000003</v>
      </c>
      <c r="I98" s="7"/>
      <c r="J98" s="7"/>
      <c r="K98" s="7">
        <v>1</v>
      </c>
      <c r="L98" s="7">
        <v>360</v>
      </c>
      <c r="M98" s="22">
        <v>-7754.89</v>
      </c>
    </row>
    <row r="99" spans="1:13" ht="15" customHeight="1" x14ac:dyDescent="0.25">
      <c r="A99" s="8">
        <v>95</v>
      </c>
      <c r="B99" s="3" t="s">
        <v>368</v>
      </c>
      <c r="C99" s="7">
        <v>11</v>
      </c>
      <c r="D99" s="7">
        <v>7578.66</v>
      </c>
      <c r="E99" s="7">
        <v>6</v>
      </c>
      <c r="F99" s="7">
        <v>3501</v>
      </c>
      <c r="G99" s="7">
        <v>1</v>
      </c>
      <c r="H99" s="7">
        <v>647.66</v>
      </c>
      <c r="I99" s="7"/>
      <c r="J99" s="7"/>
      <c r="K99" s="7"/>
      <c r="L99" s="7"/>
      <c r="M99" s="22">
        <v>0</v>
      </c>
    </row>
    <row r="100" spans="1:13" ht="15" customHeight="1" x14ac:dyDescent="0.25">
      <c r="A100" s="8">
        <v>96</v>
      </c>
      <c r="B100" s="3" t="s">
        <v>382</v>
      </c>
      <c r="C100" s="7">
        <v>14</v>
      </c>
      <c r="D100" s="7">
        <v>7306.869999999999</v>
      </c>
      <c r="E100" s="7">
        <v>7</v>
      </c>
      <c r="F100" s="7">
        <v>5073.9699999999993</v>
      </c>
      <c r="G100" s="7">
        <v>1</v>
      </c>
      <c r="H100" s="7">
        <v>589</v>
      </c>
      <c r="I100" s="7">
        <v>5</v>
      </c>
      <c r="J100" s="7">
        <v>1443.08</v>
      </c>
      <c r="K100" s="7">
        <v>2</v>
      </c>
      <c r="L100" s="7">
        <v>300.82</v>
      </c>
      <c r="M100" s="22">
        <v>-4804.0700000000006</v>
      </c>
    </row>
    <row r="101" spans="1:13" ht="15" customHeight="1" x14ac:dyDescent="0.25">
      <c r="A101" s="8">
        <v>97</v>
      </c>
      <c r="B101" s="3" t="s">
        <v>356</v>
      </c>
      <c r="C101" s="7">
        <v>9</v>
      </c>
      <c r="D101" s="7">
        <v>7303.54</v>
      </c>
      <c r="E101" s="7">
        <v>2</v>
      </c>
      <c r="F101" s="7">
        <v>2180.77</v>
      </c>
      <c r="G101" s="7">
        <v>2</v>
      </c>
      <c r="H101" s="7">
        <v>3358.14</v>
      </c>
      <c r="I101" s="7">
        <v>4</v>
      </c>
      <c r="J101" s="7">
        <v>1585.63</v>
      </c>
      <c r="K101" s="7">
        <v>1</v>
      </c>
      <c r="L101" s="7">
        <v>179</v>
      </c>
      <c r="M101" s="22">
        <v>-3774.2799999999997</v>
      </c>
    </row>
    <row r="102" spans="1:13" ht="15" customHeight="1" x14ac:dyDescent="0.25">
      <c r="A102" s="8">
        <v>98</v>
      </c>
      <c r="B102" s="3" t="s">
        <v>415</v>
      </c>
      <c r="C102" s="7">
        <v>23</v>
      </c>
      <c r="D102" s="7">
        <v>6729.84</v>
      </c>
      <c r="E102" s="7"/>
      <c r="F102" s="7"/>
      <c r="G102" s="7">
        <v>10</v>
      </c>
      <c r="H102" s="7">
        <v>1790.77</v>
      </c>
      <c r="I102" s="7">
        <v>6</v>
      </c>
      <c r="J102" s="7">
        <v>2052.6899999999996</v>
      </c>
      <c r="K102" s="7">
        <v>8</v>
      </c>
      <c r="L102" s="7">
        <v>2951.84</v>
      </c>
      <c r="M102" s="22">
        <v>3213.7599999999998</v>
      </c>
    </row>
    <row r="103" spans="1:13" ht="15" customHeight="1" x14ac:dyDescent="0.25">
      <c r="A103" s="8">
        <v>99</v>
      </c>
      <c r="B103" s="3" t="s">
        <v>343</v>
      </c>
      <c r="C103" s="7">
        <v>7</v>
      </c>
      <c r="D103" s="7">
        <v>6595.1</v>
      </c>
      <c r="E103" s="7">
        <v>1</v>
      </c>
      <c r="F103" s="7">
        <v>458.1</v>
      </c>
      <c r="G103" s="7">
        <v>3</v>
      </c>
      <c r="H103" s="7">
        <v>5760</v>
      </c>
      <c r="I103" s="7">
        <v>1</v>
      </c>
      <c r="J103" s="7">
        <v>40</v>
      </c>
      <c r="K103" s="7">
        <v>2</v>
      </c>
      <c r="L103" s="7">
        <v>337</v>
      </c>
      <c r="M103" s="22">
        <v>-5841.1</v>
      </c>
    </row>
    <row r="104" spans="1:13" ht="15" customHeight="1" x14ac:dyDescent="0.25">
      <c r="A104" s="8">
        <v>100</v>
      </c>
      <c r="B104" s="3" t="s">
        <v>440</v>
      </c>
      <c r="C104" s="7">
        <v>3</v>
      </c>
      <c r="D104" s="7">
        <v>5823.92</v>
      </c>
      <c r="E104" s="7"/>
      <c r="F104" s="7"/>
      <c r="G104" s="7"/>
      <c r="H104" s="7"/>
      <c r="I104" s="7"/>
      <c r="J104" s="7"/>
      <c r="K104" s="7">
        <v>7</v>
      </c>
      <c r="L104" s="7">
        <v>7861.87</v>
      </c>
      <c r="M104" s="22">
        <v>7861.87</v>
      </c>
    </row>
    <row r="105" spans="1:13" ht="15" customHeight="1" x14ac:dyDescent="0.25">
      <c r="A105" s="8">
        <v>101</v>
      </c>
      <c r="B105" s="3" t="s">
        <v>398</v>
      </c>
      <c r="C105" s="7">
        <v>5</v>
      </c>
      <c r="D105" s="7">
        <v>5768.55</v>
      </c>
      <c r="E105" s="7">
        <v>5</v>
      </c>
      <c r="F105" s="7">
        <v>5768.55</v>
      </c>
      <c r="G105" s="7"/>
      <c r="H105" s="7"/>
      <c r="I105" s="7"/>
      <c r="J105" s="7"/>
      <c r="K105" s="7"/>
      <c r="L105" s="7"/>
      <c r="M105" s="22">
        <v>-5768.55</v>
      </c>
    </row>
    <row r="106" spans="1:13" ht="15" customHeight="1" x14ac:dyDescent="0.25">
      <c r="A106" s="8">
        <v>102</v>
      </c>
      <c r="B106" s="3" t="s">
        <v>435</v>
      </c>
      <c r="C106" s="7">
        <v>1</v>
      </c>
      <c r="D106" s="7">
        <v>4987.17</v>
      </c>
      <c r="E106" s="7"/>
      <c r="F106" s="7"/>
      <c r="G106" s="7"/>
      <c r="H106" s="7"/>
      <c r="I106" s="7">
        <v>1</v>
      </c>
      <c r="J106" s="7">
        <v>4987.17</v>
      </c>
      <c r="K106" s="7"/>
      <c r="L106" s="7"/>
      <c r="M106" s="22">
        <v>4987.17</v>
      </c>
    </row>
    <row r="107" spans="1:13" ht="15" customHeight="1" x14ac:dyDescent="0.25">
      <c r="A107" s="8">
        <v>103</v>
      </c>
      <c r="B107" s="3" t="s">
        <v>369</v>
      </c>
      <c r="C107" s="7">
        <v>12</v>
      </c>
      <c r="D107" s="7">
        <v>3522.89</v>
      </c>
      <c r="E107" s="7">
        <v>6</v>
      </c>
      <c r="F107" s="7">
        <v>1734.41</v>
      </c>
      <c r="G107" s="7">
        <v>1</v>
      </c>
      <c r="H107" s="7">
        <v>250</v>
      </c>
      <c r="I107" s="7">
        <v>4</v>
      </c>
      <c r="J107" s="7">
        <v>1288.48</v>
      </c>
      <c r="K107" s="7">
        <v>1</v>
      </c>
      <c r="L107" s="7">
        <v>250</v>
      </c>
      <c r="M107" s="22">
        <v>-445.93000000000006</v>
      </c>
    </row>
    <row r="108" spans="1:13" ht="15" customHeight="1" x14ac:dyDescent="0.25">
      <c r="A108" s="8">
        <v>104</v>
      </c>
      <c r="B108" s="3" t="s">
        <v>352</v>
      </c>
      <c r="C108" s="7">
        <v>2</v>
      </c>
      <c r="D108" s="7">
        <v>3463</v>
      </c>
      <c r="E108" s="7">
        <v>1</v>
      </c>
      <c r="F108" s="7">
        <v>1000</v>
      </c>
      <c r="G108" s="7">
        <v>1</v>
      </c>
      <c r="H108" s="7">
        <v>2463</v>
      </c>
      <c r="I108" s="7"/>
      <c r="J108" s="7"/>
      <c r="K108" s="7"/>
      <c r="L108" s="7"/>
      <c r="M108" s="22">
        <v>-3463</v>
      </c>
    </row>
    <row r="109" spans="1:13" ht="15" customHeight="1" x14ac:dyDescent="0.25">
      <c r="A109" s="8">
        <v>105</v>
      </c>
      <c r="B109" s="3" t="s">
        <v>422</v>
      </c>
      <c r="C109" s="7">
        <v>5</v>
      </c>
      <c r="D109" s="7">
        <v>2613.61</v>
      </c>
      <c r="E109" s="7"/>
      <c r="F109" s="7"/>
      <c r="G109" s="7">
        <v>1</v>
      </c>
      <c r="H109" s="7">
        <v>1152</v>
      </c>
      <c r="I109" s="7">
        <v>3</v>
      </c>
      <c r="J109" s="7">
        <v>700.61</v>
      </c>
      <c r="K109" s="7">
        <v>1</v>
      </c>
      <c r="L109" s="7">
        <v>761</v>
      </c>
      <c r="M109" s="22">
        <v>309.61000000000013</v>
      </c>
    </row>
    <row r="110" spans="1:13" ht="15" customHeight="1" x14ac:dyDescent="0.25">
      <c r="A110" s="8">
        <v>106</v>
      </c>
      <c r="B110" s="3" t="s">
        <v>388</v>
      </c>
      <c r="C110" s="7">
        <v>5</v>
      </c>
      <c r="D110" s="7">
        <v>2397.17</v>
      </c>
      <c r="E110" s="7">
        <v>5</v>
      </c>
      <c r="F110" s="7">
        <v>2397.17</v>
      </c>
      <c r="G110" s="7"/>
      <c r="H110" s="7"/>
      <c r="I110" s="7"/>
      <c r="J110" s="7"/>
      <c r="K110" s="7"/>
      <c r="L110" s="7"/>
      <c r="M110" s="22">
        <v>-2397.17</v>
      </c>
    </row>
    <row r="111" spans="1:13" ht="15" customHeight="1" x14ac:dyDescent="0.25">
      <c r="A111" s="8">
        <v>107</v>
      </c>
      <c r="B111" s="3" t="s">
        <v>370</v>
      </c>
      <c r="C111" s="7">
        <v>3</v>
      </c>
      <c r="D111" s="7">
        <v>2394.09</v>
      </c>
      <c r="E111" s="7">
        <v>3</v>
      </c>
      <c r="F111" s="7">
        <v>2394.09</v>
      </c>
      <c r="G111" s="7"/>
      <c r="H111" s="7"/>
      <c r="I111" s="7"/>
      <c r="J111" s="7"/>
      <c r="K111" s="7"/>
      <c r="L111" s="7"/>
      <c r="M111" s="22">
        <v>-2394.09</v>
      </c>
    </row>
    <row r="112" spans="1:13" ht="15" customHeight="1" x14ac:dyDescent="0.25">
      <c r="A112" s="8">
        <v>108</v>
      </c>
      <c r="B112" s="3" t="s">
        <v>376</v>
      </c>
      <c r="C112" s="7">
        <v>2</v>
      </c>
      <c r="D112" s="7">
        <v>2243.06</v>
      </c>
      <c r="E112" s="7">
        <v>2</v>
      </c>
      <c r="F112" s="7">
        <v>2243.06</v>
      </c>
      <c r="G112" s="7"/>
      <c r="H112" s="7"/>
      <c r="I112" s="7"/>
      <c r="J112" s="7"/>
      <c r="K112" s="7"/>
      <c r="L112" s="7"/>
      <c r="M112" s="22">
        <v>-2243.06</v>
      </c>
    </row>
    <row r="113" spans="1:13" ht="15" customHeight="1" x14ac:dyDescent="0.25">
      <c r="A113" s="8">
        <v>109</v>
      </c>
      <c r="B113" s="3" t="s">
        <v>395</v>
      </c>
      <c r="C113" s="7">
        <v>5</v>
      </c>
      <c r="D113" s="7">
        <v>2193.15</v>
      </c>
      <c r="E113" s="7">
        <v>3</v>
      </c>
      <c r="F113" s="7">
        <v>2139.9700000000003</v>
      </c>
      <c r="G113" s="7"/>
      <c r="H113" s="7"/>
      <c r="I113" s="7"/>
      <c r="J113" s="7"/>
      <c r="K113" s="7">
        <v>2</v>
      </c>
      <c r="L113" s="7">
        <v>53.18</v>
      </c>
      <c r="M113" s="22">
        <v>-2086.7900000000004</v>
      </c>
    </row>
    <row r="114" spans="1:13" ht="15" customHeight="1" x14ac:dyDescent="0.25">
      <c r="A114" s="8">
        <v>110</v>
      </c>
      <c r="B114" s="3" t="s">
        <v>418</v>
      </c>
      <c r="C114" s="7">
        <v>2</v>
      </c>
      <c r="D114" s="7">
        <v>2041.81</v>
      </c>
      <c r="E114" s="7"/>
      <c r="F114" s="7"/>
      <c r="G114" s="7">
        <v>1</v>
      </c>
      <c r="H114" s="7">
        <v>1041.81</v>
      </c>
      <c r="I114" s="7">
        <v>1</v>
      </c>
      <c r="J114" s="7">
        <v>1000</v>
      </c>
      <c r="K114" s="7"/>
      <c r="L114" s="7"/>
      <c r="M114" s="22">
        <v>-41.809999999999945</v>
      </c>
    </row>
    <row r="115" spans="1:13" ht="15" customHeight="1" x14ac:dyDescent="0.25">
      <c r="A115" s="8">
        <v>111</v>
      </c>
      <c r="B115" s="3" t="s">
        <v>400</v>
      </c>
      <c r="C115" s="7">
        <v>3</v>
      </c>
      <c r="D115" s="7">
        <v>2000</v>
      </c>
      <c r="E115" s="7">
        <v>1</v>
      </c>
      <c r="F115" s="7">
        <v>400</v>
      </c>
      <c r="G115" s="7"/>
      <c r="H115" s="7"/>
      <c r="I115" s="7"/>
      <c r="J115" s="7"/>
      <c r="K115" s="7"/>
      <c r="L115" s="7"/>
      <c r="M115" s="22">
        <v>0</v>
      </c>
    </row>
    <row r="116" spans="1:13" ht="15" customHeight="1" x14ac:dyDescent="0.25">
      <c r="A116" s="8">
        <v>112</v>
      </c>
      <c r="B116" s="3" t="s">
        <v>363</v>
      </c>
      <c r="C116" s="7">
        <v>6</v>
      </c>
      <c r="D116" s="7">
        <v>1844</v>
      </c>
      <c r="E116" s="7">
        <v>4</v>
      </c>
      <c r="F116" s="7">
        <v>1584</v>
      </c>
      <c r="G116" s="7">
        <v>2</v>
      </c>
      <c r="H116" s="7">
        <v>260</v>
      </c>
      <c r="I116" s="7"/>
      <c r="J116" s="7"/>
      <c r="K116" s="7"/>
      <c r="L116" s="7"/>
      <c r="M116" s="22">
        <v>-1844</v>
      </c>
    </row>
    <row r="117" spans="1:13" ht="15" customHeight="1" x14ac:dyDescent="0.25">
      <c r="A117" s="8">
        <v>113</v>
      </c>
      <c r="B117" s="3" t="s">
        <v>364</v>
      </c>
      <c r="C117" s="7">
        <v>6</v>
      </c>
      <c r="D117" s="7">
        <v>1799.73</v>
      </c>
      <c r="E117" s="7">
        <v>1</v>
      </c>
      <c r="F117" s="7">
        <v>1000</v>
      </c>
      <c r="G117" s="7">
        <v>4</v>
      </c>
      <c r="H117" s="7">
        <v>700</v>
      </c>
      <c r="I117" s="7">
        <v>1</v>
      </c>
      <c r="J117" s="7">
        <v>99.73</v>
      </c>
      <c r="K117" s="7"/>
      <c r="L117" s="7"/>
      <c r="M117" s="22">
        <v>-1600.27</v>
      </c>
    </row>
    <row r="118" spans="1:13" ht="15" customHeight="1" x14ac:dyDescent="0.25">
      <c r="A118" s="8">
        <v>114</v>
      </c>
      <c r="B118" s="3" t="s">
        <v>411</v>
      </c>
      <c r="C118" s="7">
        <v>17</v>
      </c>
      <c r="D118" s="7">
        <v>1736.1399999999999</v>
      </c>
      <c r="E118" s="7"/>
      <c r="F118" s="7"/>
      <c r="G118" s="7">
        <v>15</v>
      </c>
      <c r="H118" s="7">
        <v>1588.1399999999999</v>
      </c>
      <c r="I118" s="7"/>
      <c r="J118" s="7"/>
      <c r="K118" s="7">
        <v>2</v>
      </c>
      <c r="L118" s="7">
        <v>148</v>
      </c>
      <c r="M118" s="22">
        <v>-1440.1399999999999</v>
      </c>
    </row>
    <row r="119" spans="1:13" ht="15" customHeight="1" x14ac:dyDescent="0.25">
      <c r="A119" s="8">
        <v>115</v>
      </c>
      <c r="B119" s="3" t="s">
        <v>433</v>
      </c>
      <c r="C119" s="7">
        <v>2</v>
      </c>
      <c r="D119" s="7">
        <v>1649.86</v>
      </c>
      <c r="E119" s="7"/>
      <c r="F119" s="7"/>
      <c r="G119" s="7"/>
      <c r="H119" s="7"/>
      <c r="I119" s="7">
        <v>1</v>
      </c>
      <c r="J119" s="7">
        <v>49.86</v>
      </c>
      <c r="K119" s="7">
        <v>1</v>
      </c>
      <c r="L119" s="7">
        <v>1600</v>
      </c>
      <c r="M119" s="22">
        <v>1649.86</v>
      </c>
    </row>
    <row r="120" spans="1:13" ht="15" customHeight="1" x14ac:dyDescent="0.25">
      <c r="A120" s="8">
        <v>116</v>
      </c>
      <c r="B120" s="3" t="s">
        <v>403</v>
      </c>
      <c r="C120" s="7">
        <v>5</v>
      </c>
      <c r="D120" s="7">
        <v>1631.38</v>
      </c>
      <c r="E120" s="7">
        <v>1</v>
      </c>
      <c r="F120" s="7">
        <v>600.30000000000007</v>
      </c>
      <c r="G120" s="7">
        <v>3</v>
      </c>
      <c r="H120" s="7">
        <v>720</v>
      </c>
      <c r="I120" s="7">
        <v>1</v>
      </c>
      <c r="J120" s="7">
        <v>311.08</v>
      </c>
      <c r="K120" s="7"/>
      <c r="L120" s="7"/>
      <c r="M120" s="22">
        <v>-1009.2200000000003</v>
      </c>
    </row>
    <row r="121" spans="1:13" ht="15" customHeight="1" x14ac:dyDescent="0.25">
      <c r="A121" s="8">
        <v>117</v>
      </c>
      <c r="B121" s="3" t="s">
        <v>410</v>
      </c>
      <c r="C121" s="7">
        <v>1</v>
      </c>
      <c r="D121" s="7">
        <v>1617.03</v>
      </c>
      <c r="E121" s="7">
        <v>1</v>
      </c>
      <c r="F121" s="7">
        <v>1617.03</v>
      </c>
      <c r="G121" s="7"/>
      <c r="H121" s="7"/>
      <c r="I121" s="7"/>
      <c r="J121" s="7"/>
      <c r="K121" s="7"/>
      <c r="L121" s="7"/>
      <c r="M121" s="22">
        <v>-1617.03</v>
      </c>
    </row>
    <row r="122" spans="1:13" ht="15" customHeight="1" x14ac:dyDescent="0.25">
      <c r="A122" s="8">
        <v>118</v>
      </c>
      <c r="B122" s="3" t="s">
        <v>419</v>
      </c>
      <c r="C122" s="7">
        <v>3</v>
      </c>
      <c r="D122" s="7">
        <v>1470</v>
      </c>
      <c r="E122" s="7"/>
      <c r="F122" s="7"/>
      <c r="G122" s="7">
        <v>2</v>
      </c>
      <c r="H122" s="7">
        <v>1000</v>
      </c>
      <c r="I122" s="7"/>
      <c r="J122" s="7"/>
      <c r="K122" s="7">
        <v>1</v>
      </c>
      <c r="L122" s="7">
        <v>470</v>
      </c>
      <c r="M122" s="22">
        <v>-530</v>
      </c>
    </row>
    <row r="123" spans="1:13" ht="15" customHeight="1" x14ac:dyDescent="0.25">
      <c r="A123" s="8">
        <v>119</v>
      </c>
      <c r="B123" s="3" t="s">
        <v>405</v>
      </c>
      <c r="C123" s="7">
        <v>3</v>
      </c>
      <c r="D123" s="7">
        <v>1468.58</v>
      </c>
      <c r="E123" s="7">
        <v>1</v>
      </c>
      <c r="F123" s="7">
        <v>319.20999999999998</v>
      </c>
      <c r="G123" s="7"/>
      <c r="H123" s="7"/>
      <c r="I123" s="7">
        <v>2</v>
      </c>
      <c r="J123" s="7">
        <v>1149.3699999999999</v>
      </c>
      <c r="K123" s="7"/>
      <c r="L123" s="7"/>
      <c r="M123" s="22">
        <v>830.15999999999985</v>
      </c>
    </row>
    <row r="124" spans="1:13" ht="15" customHeight="1" x14ac:dyDescent="0.25">
      <c r="A124" s="8">
        <v>120</v>
      </c>
      <c r="B124" s="3" t="s">
        <v>421</v>
      </c>
      <c r="C124" s="7">
        <v>9</v>
      </c>
      <c r="D124" s="7">
        <v>1464.35</v>
      </c>
      <c r="E124" s="7"/>
      <c r="F124" s="7"/>
      <c r="G124" s="7">
        <v>3</v>
      </c>
      <c r="H124" s="7">
        <v>148.4</v>
      </c>
      <c r="I124" s="7"/>
      <c r="J124" s="7"/>
      <c r="K124" s="7">
        <v>7</v>
      </c>
      <c r="L124" s="7">
        <v>3296.9500000000003</v>
      </c>
      <c r="M124" s="22">
        <v>1148.5500000000002</v>
      </c>
    </row>
    <row r="125" spans="1:13" ht="15" customHeight="1" x14ac:dyDescent="0.25">
      <c r="A125" s="8">
        <v>121</v>
      </c>
      <c r="B125" s="3" t="s">
        <v>406</v>
      </c>
      <c r="C125" s="7">
        <v>9</v>
      </c>
      <c r="D125" s="7">
        <v>1397.54</v>
      </c>
      <c r="E125" s="7">
        <v>1</v>
      </c>
      <c r="F125" s="7">
        <v>97.54</v>
      </c>
      <c r="G125" s="7">
        <v>5</v>
      </c>
      <c r="H125" s="7">
        <v>950</v>
      </c>
      <c r="I125" s="7"/>
      <c r="J125" s="7"/>
      <c r="K125" s="7">
        <v>3</v>
      </c>
      <c r="L125" s="7">
        <v>350</v>
      </c>
      <c r="M125" s="22">
        <v>-697.54</v>
      </c>
    </row>
    <row r="126" spans="1:13" ht="15" customHeight="1" x14ac:dyDescent="0.25">
      <c r="A126" s="8">
        <v>122</v>
      </c>
      <c r="B126" s="3" t="s">
        <v>389</v>
      </c>
      <c r="C126" s="7">
        <v>1</v>
      </c>
      <c r="D126" s="7">
        <v>1267.7</v>
      </c>
      <c r="E126" s="7">
        <v>1</v>
      </c>
      <c r="F126" s="7">
        <v>1267.7</v>
      </c>
      <c r="G126" s="7"/>
      <c r="H126" s="7"/>
      <c r="I126" s="7"/>
      <c r="J126" s="7"/>
      <c r="K126" s="7"/>
      <c r="L126" s="7"/>
      <c r="M126" s="22">
        <v>-1267.7</v>
      </c>
    </row>
    <row r="127" spans="1:13" ht="15" customHeight="1" x14ac:dyDescent="0.25">
      <c r="A127" s="8">
        <v>123</v>
      </c>
      <c r="B127" s="3" t="s">
        <v>401</v>
      </c>
      <c r="C127" s="7">
        <v>2</v>
      </c>
      <c r="D127" s="7">
        <v>1125</v>
      </c>
      <c r="E127" s="7">
        <v>1</v>
      </c>
      <c r="F127" s="7">
        <v>125</v>
      </c>
      <c r="G127" s="7"/>
      <c r="H127" s="7"/>
      <c r="I127" s="7"/>
      <c r="J127" s="7"/>
      <c r="K127" s="7">
        <v>1</v>
      </c>
      <c r="L127" s="7">
        <v>1000</v>
      </c>
      <c r="M127" s="22">
        <v>875</v>
      </c>
    </row>
    <row r="128" spans="1:13" ht="15" customHeight="1" x14ac:dyDescent="0.25">
      <c r="A128" s="8">
        <v>124</v>
      </c>
      <c r="B128" s="3" t="s">
        <v>432</v>
      </c>
      <c r="C128" s="7">
        <v>2</v>
      </c>
      <c r="D128" s="7">
        <v>1100</v>
      </c>
      <c r="E128" s="7"/>
      <c r="F128" s="7"/>
      <c r="G128" s="7"/>
      <c r="H128" s="7"/>
      <c r="I128" s="7">
        <v>2</v>
      </c>
      <c r="J128" s="7">
        <v>1100</v>
      </c>
      <c r="K128" s="7"/>
      <c r="L128" s="7"/>
      <c r="M128" s="22">
        <v>1100</v>
      </c>
    </row>
    <row r="129" spans="1:13" ht="15" customHeight="1" x14ac:dyDescent="0.25">
      <c r="A129" s="8">
        <v>125</v>
      </c>
      <c r="B129" s="3" t="s">
        <v>414</v>
      </c>
      <c r="C129" s="7">
        <v>6</v>
      </c>
      <c r="D129" s="7">
        <v>1072</v>
      </c>
      <c r="E129" s="7"/>
      <c r="F129" s="7"/>
      <c r="G129" s="7">
        <v>5</v>
      </c>
      <c r="H129" s="7">
        <v>400</v>
      </c>
      <c r="I129" s="7"/>
      <c r="J129" s="7"/>
      <c r="K129" s="7">
        <v>1</v>
      </c>
      <c r="L129" s="7">
        <v>672</v>
      </c>
      <c r="M129" s="22">
        <v>272</v>
      </c>
    </row>
    <row r="130" spans="1:13" ht="15" customHeight="1" x14ac:dyDescent="0.25">
      <c r="A130" s="8">
        <v>126</v>
      </c>
      <c r="B130" s="3" t="s">
        <v>384</v>
      </c>
      <c r="C130" s="7">
        <v>1</v>
      </c>
      <c r="D130" s="7">
        <v>1034.74</v>
      </c>
      <c r="E130" s="7">
        <v>1</v>
      </c>
      <c r="F130" s="7">
        <v>1034.74</v>
      </c>
      <c r="G130" s="7"/>
      <c r="H130" s="7"/>
      <c r="I130" s="7"/>
      <c r="J130" s="7"/>
      <c r="K130" s="7"/>
      <c r="L130" s="7"/>
      <c r="M130" s="22">
        <v>-1034.74</v>
      </c>
    </row>
    <row r="131" spans="1:13" ht="15" customHeight="1" x14ac:dyDescent="0.25">
      <c r="A131" s="8">
        <v>127</v>
      </c>
      <c r="B131" s="3" t="s">
        <v>436</v>
      </c>
      <c r="C131" s="7">
        <v>1</v>
      </c>
      <c r="D131" s="7">
        <v>1020.78</v>
      </c>
      <c r="E131" s="7"/>
      <c r="F131" s="7"/>
      <c r="G131" s="7"/>
      <c r="H131" s="7"/>
      <c r="I131" s="7">
        <v>1</v>
      </c>
      <c r="J131" s="7">
        <v>1020.78</v>
      </c>
      <c r="K131" s="7"/>
      <c r="L131" s="7"/>
      <c r="M131" s="22">
        <v>1020.78</v>
      </c>
    </row>
    <row r="132" spans="1:13" ht="15" customHeight="1" x14ac:dyDescent="0.25">
      <c r="A132" s="8">
        <v>128</v>
      </c>
      <c r="B132" s="3" t="s">
        <v>451</v>
      </c>
      <c r="C132" s="7">
        <v>5</v>
      </c>
      <c r="D132" s="7">
        <v>1006.5400000000001</v>
      </c>
      <c r="E132" s="7">
        <v>1</v>
      </c>
      <c r="F132" s="7">
        <v>10</v>
      </c>
      <c r="G132" s="7"/>
      <c r="H132" s="7"/>
      <c r="I132" s="7"/>
      <c r="J132" s="7"/>
      <c r="K132" s="7"/>
      <c r="L132" s="7"/>
      <c r="M132" s="22">
        <v>0</v>
      </c>
    </row>
    <row r="133" spans="1:13" ht="15" customHeight="1" x14ac:dyDescent="0.25">
      <c r="A133" s="8">
        <v>129</v>
      </c>
      <c r="B133" s="3" t="s">
        <v>399</v>
      </c>
      <c r="C133" s="7">
        <v>1</v>
      </c>
      <c r="D133" s="7">
        <v>1000</v>
      </c>
      <c r="E133" s="7">
        <v>1</v>
      </c>
      <c r="F133" s="7">
        <v>1000</v>
      </c>
      <c r="G133" s="7"/>
      <c r="H133" s="7"/>
      <c r="I133" s="7"/>
      <c r="J133" s="7"/>
      <c r="K133" s="7"/>
      <c r="L133" s="7"/>
      <c r="M133" s="22">
        <v>-1000</v>
      </c>
    </row>
    <row r="134" spans="1:13" ht="15" customHeight="1" x14ac:dyDescent="0.25">
      <c r="A134" s="8">
        <v>130</v>
      </c>
      <c r="B134" s="3" t="s">
        <v>396</v>
      </c>
      <c r="C134" s="7">
        <v>1</v>
      </c>
      <c r="D134" s="7">
        <v>996.66</v>
      </c>
      <c r="E134" s="7">
        <v>1</v>
      </c>
      <c r="F134" s="7">
        <v>996.66</v>
      </c>
      <c r="G134" s="7"/>
      <c r="H134" s="7"/>
      <c r="I134" s="7"/>
      <c r="J134" s="7"/>
      <c r="K134" s="7"/>
      <c r="L134" s="7"/>
      <c r="M134" s="22">
        <v>-996.66</v>
      </c>
    </row>
    <row r="135" spans="1:13" ht="15" customHeight="1" x14ac:dyDescent="0.25">
      <c r="A135" s="8">
        <v>131</v>
      </c>
      <c r="B135" s="3" t="s">
        <v>438</v>
      </c>
      <c r="C135" s="7">
        <v>1</v>
      </c>
      <c r="D135" s="7">
        <v>995.29000000000008</v>
      </c>
      <c r="E135" s="7"/>
      <c r="F135" s="7"/>
      <c r="G135" s="7"/>
      <c r="H135" s="7"/>
      <c r="I135" s="7"/>
      <c r="J135" s="7"/>
      <c r="K135" s="7"/>
      <c r="L135" s="7"/>
      <c r="M135" s="22">
        <v>0</v>
      </c>
    </row>
    <row r="136" spans="1:13" ht="15" customHeight="1" x14ac:dyDescent="0.25">
      <c r="A136" s="8">
        <v>132</v>
      </c>
      <c r="B136" s="3" t="s">
        <v>390</v>
      </c>
      <c r="C136" s="7">
        <v>2</v>
      </c>
      <c r="D136" s="7">
        <v>950</v>
      </c>
      <c r="E136" s="7">
        <v>2</v>
      </c>
      <c r="F136" s="7">
        <v>950</v>
      </c>
      <c r="G136" s="7"/>
      <c r="H136" s="7"/>
      <c r="I136" s="7"/>
      <c r="J136" s="7"/>
      <c r="K136" s="7"/>
      <c r="L136" s="7"/>
      <c r="M136" s="22">
        <v>-950</v>
      </c>
    </row>
    <row r="137" spans="1:13" ht="15" customHeight="1" x14ac:dyDescent="0.25">
      <c r="A137" s="8">
        <v>133</v>
      </c>
      <c r="B137" s="3" t="s">
        <v>420</v>
      </c>
      <c r="C137" s="7">
        <v>6</v>
      </c>
      <c r="D137" s="7">
        <v>803</v>
      </c>
      <c r="E137" s="7"/>
      <c r="F137" s="7"/>
      <c r="G137" s="7">
        <v>4</v>
      </c>
      <c r="H137" s="7">
        <v>708</v>
      </c>
      <c r="I137" s="7"/>
      <c r="J137" s="7"/>
      <c r="K137" s="7">
        <v>3</v>
      </c>
      <c r="L137" s="7">
        <v>165.22</v>
      </c>
      <c r="M137" s="22">
        <v>-542.78</v>
      </c>
    </row>
    <row r="138" spans="1:13" ht="15" customHeight="1" x14ac:dyDescent="0.25">
      <c r="A138" s="8">
        <v>134</v>
      </c>
      <c r="B138" s="3" t="s">
        <v>447</v>
      </c>
      <c r="C138" s="7">
        <v>1</v>
      </c>
      <c r="D138" s="7">
        <v>800</v>
      </c>
      <c r="E138" s="7"/>
      <c r="F138" s="7"/>
      <c r="G138" s="7"/>
      <c r="H138" s="7"/>
      <c r="I138" s="7"/>
      <c r="J138" s="7"/>
      <c r="K138" s="7">
        <v>1</v>
      </c>
      <c r="L138" s="7">
        <v>800</v>
      </c>
      <c r="M138" s="22">
        <v>800</v>
      </c>
    </row>
    <row r="139" spans="1:13" ht="15" customHeight="1" x14ac:dyDescent="0.25">
      <c r="A139" s="8">
        <v>135</v>
      </c>
      <c r="B139" s="3" t="s">
        <v>428</v>
      </c>
      <c r="C139" s="7">
        <v>2</v>
      </c>
      <c r="D139" s="7">
        <v>766.40000000000009</v>
      </c>
      <c r="E139" s="7"/>
      <c r="F139" s="7"/>
      <c r="G139" s="7"/>
      <c r="H139" s="7"/>
      <c r="I139" s="7">
        <v>2</v>
      </c>
      <c r="J139" s="7">
        <v>766.40000000000009</v>
      </c>
      <c r="K139" s="7"/>
      <c r="L139" s="7"/>
      <c r="M139" s="22">
        <v>766.40000000000009</v>
      </c>
    </row>
    <row r="140" spans="1:13" ht="15" customHeight="1" x14ac:dyDescent="0.25">
      <c r="A140" s="8">
        <v>136</v>
      </c>
      <c r="B140" s="3" t="s">
        <v>429</v>
      </c>
      <c r="C140" s="7">
        <v>1</v>
      </c>
      <c r="D140" s="7">
        <v>710.08</v>
      </c>
      <c r="E140" s="7"/>
      <c r="F140" s="7"/>
      <c r="G140" s="7"/>
      <c r="H140" s="7"/>
      <c r="I140" s="7">
        <v>1</v>
      </c>
      <c r="J140" s="7">
        <v>710.08</v>
      </c>
      <c r="K140" s="7"/>
      <c r="L140" s="7"/>
      <c r="M140" s="22">
        <v>710.08</v>
      </c>
    </row>
    <row r="141" spans="1:13" ht="15" customHeight="1" x14ac:dyDescent="0.25">
      <c r="A141" s="8">
        <v>137</v>
      </c>
      <c r="B141" s="3" t="s">
        <v>380</v>
      </c>
      <c r="C141" s="7">
        <v>4</v>
      </c>
      <c r="D141" s="7">
        <v>667.14</v>
      </c>
      <c r="E141" s="7">
        <v>3</v>
      </c>
      <c r="F141" s="7">
        <v>548.13</v>
      </c>
      <c r="G141" s="7"/>
      <c r="H141" s="7"/>
      <c r="I141" s="7">
        <v>1</v>
      </c>
      <c r="J141" s="7">
        <v>119.01</v>
      </c>
      <c r="K141" s="7"/>
      <c r="L141" s="7"/>
      <c r="M141" s="22">
        <v>-429.12</v>
      </c>
    </row>
    <row r="142" spans="1:13" ht="15" customHeight="1" x14ac:dyDescent="0.25">
      <c r="A142" s="8">
        <v>138</v>
      </c>
      <c r="B142" s="3" t="s">
        <v>417</v>
      </c>
      <c r="C142" s="7">
        <v>2</v>
      </c>
      <c r="D142" s="7">
        <v>660.57</v>
      </c>
      <c r="E142" s="7"/>
      <c r="F142" s="7"/>
      <c r="G142" s="7">
        <v>2</v>
      </c>
      <c r="H142" s="7">
        <v>660.57</v>
      </c>
      <c r="I142" s="7"/>
      <c r="J142" s="7"/>
      <c r="K142" s="7">
        <v>1</v>
      </c>
      <c r="L142" s="7">
        <v>3009.07</v>
      </c>
      <c r="M142" s="22">
        <v>2348.5</v>
      </c>
    </row>
    <row r="143" spans="1:13" ht="15" customHeight="1" x14ac:dyDescent="0.25">
      <c r="A143" s="8">
        <v>139</v>
      </c>
      <c r="B143" s="3" t="s">
        <v>394</v>
      </c>
      <c r="C143" s="7">
        <v>3</v>
      </c>
      <c r="D143" s="7">
        <v>611.79999999999995</v>
      </c>
      <c r="E143" s="7">
        <v>1</v>
      </c>
      <c r="F143" s="7">
        <v>511.8</v>
      </c>
      <c r="G143" s="7"/>
      <c r="H143" s="7"/>
      <c r="I143" s="7"/>
      <c r="J143" s="7"/>
      <c r="K143" s="7">
        <v>2</v>
      </c>
      <c r="L143" s="7">
        <v>100</v>
      </c>
      <c r="M143" s="22">
        <v>-411.8</v>
      </c>
    </row>
    <row r="144" spans="1:13" ht="15" customHeight="1" x14ac:dyDescent="0.25">
      <c r="A144" s="8">
        <v>140</v>
      </c>
      <c r="B144" s="3" t="s">
        <v>407</v>
      </c>
      <c r="C144" s="7">
        <v>2</v>
      </c>
      <c r="D144" s="7">
        <v>599.15000000000009</v>
      </c>
      <c r="E144" s="7">
        <v>1</v>
      </c>
      <c r="F144" s="7">
        <v>498.03000000000003</v>
      </c>
      <c r="G144" s="7">
        <v>1</v>
      </c>
      <c r="H144" s="7">
        <v>101.12</v>
      </c>
      <c r="I144" s="7"/>
      <c r="J144" s="7"/>
      <c r="K144" s="7"/>
      <c r="L144" s="7"/>
      <c r="M144" s="22">
        <v>-599.15000000000009</v>
      </c>
    </row>
    <row r="145" spans="1:13" ht="15" customHeight="1" x14ac:dyDescent="0.25">
      <c r="A145" s="8">
        <v>141</v>
      </c>
      <c r="B145" s="3" t="s">
        <v>397</v>
      </c>
      <c r="C145" s="7">
        <v>1</v>
      </c>
      <c r="D145" s="7">
        <v>500</v>
      </c>
      <c r="E145" s="7">
        <v>1</v>
      </c>
      <c r="F145" s="7">
        <v>500</v>
      </c>
      <c r="G145" s="7"/>
      <c r="H145" s="7"/>
      <c r="I145" s="7">
        <v>1</v>
      </c>
      <c r="J145" s="7">
        <v>5000</v>
      </c>
      <c r="K145" s="7"/>
      <c r="L145" s="7"/>
      <c r="M145" s="22">
        <v>4500</v>
      </c>
    </row>
    <row r="146" spans="1:13" ht="15" customHeight="1" x14ac:dyDescent="0.25">
      <c r="A146" s="8">
        <v>142</v>
      </c>
      <c r="B146" s="3" t="s">
        <v>361</v>
      </c>
      <c r="C146" s="7">
        <v>2</v>
      </c>
      <c r="D146" s="7">
        <v>500</v>
      </c>
      <c r="E146" s="7">
        <v>2</v>
      </c>
      <c r="F146" s="7">
        <v>500</v>
      </c>
      <c r="G146" s="7"/>
      <c r="H146" s="7"/>
      <c r="I146" s="7"/>
      <c r="J146" s="7"/>
      <c r="K146" s="7"/>
      <c r="L146" s="7"/>
      <c r="M146" s="22">
        <v>-500</v>
      </c>
    </row>
    <row r="147" spans="1:13" ht="15" customHeight="1" x14ac:dyDescent="0.25">
      <c r="A147" s="8">
        <v>143</v>
      </c>
      <c r="B147" s="3" t="s">
        <v>385</v>
      </c>
      <c r="C147" s="7">
        <v>2</v>
      </c>
      <c r="D147" s="7">
        <v>498.39000000000004</v>
      </c>
      <c r="E147" s="7">
        <v>1</v>
      </c>
      <c r="F147" s="7">
        <v>99.600000000000009</v>
      </c>
      <c r="G147" s="7"/>
      <c r="H147" s="7"/>
      <c r="I147" s="7"/>
      <c r="J147" s="7"/>
      <c r="K147" s="7"/>
      <c r="L147" s="7"/>
      <c r="M147" s="22">
        <v>0</v>
      </c>
    </row>
    <row r="148" spans="1:13" ht="15" customHeight="1" x14ac:dyDescent="0.25">
      <c r="A148" s="8">
        <v>144</v>
      </c>
      <c r="B148" s="3" t="s">
        <v>386</v>
      </c>
      <c r="C148" s="7">
        <v>1</v>
      </c>
      <c r="D148" s="7">
        <v>458.48</v>
      </c>
      <c r="E148" s="7">
        <v>1</v>
      </c>
      <c r="F148" s="7">
        <v>458.48</v>
      </c>
      <c r="G148" s="7"/>
      <c r="H148" s="7"/>
      <c r="I148" s="7"/>
      <c r="J148" s="7"/>
      <c r="K148" s="7"/>
      <c r="L148" s="7"/>
      <c r="M148" s="22">
        <v>-458.48</v>
      </c>
    </row>
    <row r="149" spans="1:13" ht="15" customHeight="1" x14ac:dyDescent="0.25">
      <c r="A149" s="8">
        <v>145</v>
      </c>
      <c r="B149" s="3" t="s">
        <v>426</v>
      </c>
      <c r="C149" s="7">
        <v>2</v>
      </c>
      <c r="D149" s="7">
        <v>400.93</v>
      </c>
      <c r="E149" s="7"/>
      <c r="F149" s="7"/>
      <c r="G149" s="7"/>
      <c r="H149" s="7"/>
      <c r="I149" s="7">
        <v>2</v>
      </c>
      <c r="J149" s="7">
        <v>400.93</v>
      </c>
      <c r="K149" s="7"/>
      <c r="L149" s="7"/>
      <c r="M149" s="22">
        <v>400.93</v>
      </c>
    </row>
    <row r="150" spans="1:13" ht="15" customHeight="1" x14ac:dyDescent="0.25">
      <c r="A150" s="8">
        <v>146</v>
      </c>
      <c r="B150" s="3" t="s">
        <v>408</v>
      </c>
      <c r="C150" s="7">
        <v>1</v>
      </c>
      <c r="D150" s="7">
        <v>400</v>
      </c>
      <c r="E150" s="7">
        <v>1</v>
      </c>
      <c r="F150" s="7">
        <v>400</v>
      </c>
      <c r="G150" s="7"/>
      <c r="H150" s="7"/>
      <c r="I150" s="7"/>
      <c r="J150" s="7"/>
      <c r="K150" s="7"/>
      <c r="L150" s="7"/>
      <c r="M150" s="22">
        <v>-400</v>
      </c>
    </row>
    <row r="151" spans="1:13" ht="15" customHeight="1" x14ac:dyDescent="0.25">
      <c r="A151" s="8">
        <v>147</v>
      </c>
      <c r="B151" s="3" t="s">
        <v>434</v>
      </c>
      <c r="C151" s="7">
        <v>1</v>
      </c>
      <c r="D151" s="7">
        <v>400</v>
      </c>
      <c r="E151" s="7"/>
      <c r="F151" s="7"/>
      <c r="G151" s="7"/>
      <c r="H151" s="7"/>
      <c r="I151" s="7">
        <v>1</v>
      </c>
      <c r="J151" s="7">
        <v>400</v>
      </c>
      <c r="K151" s="7"/>
      <c r="L151" s="7"/>
      <c r="M151" s="22">
        <v>400</v>
      </c>
    </row>
    <row r="152" spans="1:13" ht="15" customHeight="1" x14ac:dyDescent="0.25">
      <c r="A152" s="8">
        <v>148</v>
      </c>
      <c r="B152" s="3" t="s">
        <v>424</v>
      </c>
      <c r="C152" s="7">
        <v>1</v>
      </c>
      <c r="D152" s="7">
        <v>336</v>
      </c>
      <c r="E152" s="7"/>
      <c r="F152" s="7"/>
      <c r="G152" s="7"/>
      <c r="H152" s="7"/>
      <c r="I152" s="7">
        <v>1</v>
      </c>
      <c r="J152" s="7">
        <v>336</v>
      </c>
      <c r="K152" s="7"/>
      <c r="L152" s="7"/>
      <c r="M152" s="22">
        <v>336</v>
      </c>
    </row>
    <row r="153" spans="1:13" ht="15" customHeight="1" x14ac:dyDescent="0.25">
      <c r="A153" s="8">
        <v>149</v>
      </c>
      <c r="B153" s="3" t="s">
        <v>423</v>
      </c>
      <c r="C153" s="7">
        <v>2</v>
      </c>
      <c r="D153" s="7">
        <v>315</v>
      </c>
      <c r="E153" s="7"/>
      <c r="F153" s="7"/>
      <c r="G153" s="7"/>
      <c r="H153" s="7"/>
      <c r="I153" s="7">
        <v>1</v>
      </c>
      <c r="J153" s="7">
        <v>50</v>
      </c>
      <c r="K153" s="7">
        <v>1</v>
      </c>
      <c r="L153" s="7">
        <v>265</v>
      </c>
      <c r="M153" s="22">
        <v>315</v>
      </c>
    </row>
    <row r="154" spans="1:13" ht="15" customHeight="1" x14ac:dyDescent="0.25">
      <c r="A154" s="8">
        <v>150</v>
      </c>
      <c r="B154" s="3" t="s">
        <v>402</v>
      </c>
      <c r="C154" s="7">
        <v>1</v>
      </c>
      <c r="D154" s="7">
        <v>300</v>
      </c>
      <c r="E154" s="7">
        <v>1</v>
      </c>
      <c r="F154" s="7">
        <v>300</v>
      </c>
      <c r="G154" s="7"/>
      <c r="H154" s="7"/>
      <c r="I154" s="7"/>
      <c r="J154" s="7"/>
      <c r="K154" s="7"/>
      <c r="L154" s="7"/>
      <c r="M154" s="22">
        <v>-300</v>
      </c>
    </row>
    <row r="155" spans="1:13" ht="15" customHeight="1" x14ac:dyDescent="0.25">
      <c r="A155" s="8">
        <v>151</v>
      </c>
      <c r="B155" s="3" t="s">
        <v>404</v>
      </c>
      <c r="C155" s="7">
        <v>1</v>
      </c>
      <c r="D155" s="7">
        <v>299.88</v>
      </c>
      <c r="E155" s="7">
        <v>1</v>
      </c>
      <c r="F155" s="7">
        <v>299.88</v>
      </c>
      <c r="G155" s="7"/>
      <c r="H155" s="7"/>
      <c r="I155" s="7"/>
      <c r="J155" s="7"/>
      <c r="K155" s="7"/>
      <c r="L155" s="7"/>
      <c r="M155" s="22">
        <v>-299.88</v>
      </c>
    </row>
    <row r="156" spans="1:13" ht="15" customHeight="1" x14ac:dyDescent="0.25">
      <c r="A156" s="8">
        <v>152</v>
      </c>
      <c r="B156" s="3" t="s">
        <v>427</v>
      </c>
      <c r="C156" s="7">
        <v>1</v>
      </c>
      <c r="D156" s="7">
        <v>296</v>
      </c>
      <c r="E156" s="7"/>
      <c r="F156" s="7"/>
      <c r="G156" s="7"/>
      <c r="H156" s="7"/>
      <c r="I156" s="7">
        <v>1</v>
      </c>
      <c r="J156" s="7">
        <v>296</v>
      </c>
      <c r="K156" s="7"/>
      <c r="L156" s="7"/>
      <c r="M156" s="22">
        <v>296</v>
      </c>
    </row>
    <row r="157" spans="1:13" ht="15" customHeight="1" x14ac:dyDescent="0.25">
      <c r="A157" s="8">
        <v>153</v>
      </c>
      <c r="B157" s="3" t="s">
        <v>409</v>
      </c>
      <c r="C157" s="7">
        <v>2</v>
      </c>
      <c r="D157" s="7">
        <v>280.27999999999997</v>
      </c>
      <c r="E157" s="7">
        <v>1</v>
      </c>
      <c r="F157" s="7">
        <v>152.22</v>
      </c>
      <c r="G157" s="7"/>
      <c r="H157" s="7"/>
      <c r="I157" s="7">
        <v>1</v>
      </c>
      <c r="J157" s="7">
        <v>128.06</v>
      </c>
      <c r="K157" s="7"/>
      <c r="L157" s="7"/>
      <c r="M157" s="22">
        <v>-24.159999999999997</v>
      </c>
    </row>
    <row r="158" spans="1:13" ht="15" customHeight="1" x14ac:dyDescent="0.25">
      <c r="A158" s="8">
        <v>154</v>
      </c>
      <c r="B158" s="3" t="s">
        <v>431</v>
      </c>
      <c r="C158" s="7">
        <v>1</v>
      </c>
      <c r="D158" s="7">
        <v>249.49</v>
      </c>
      <c r="E158" s="7"/>
      <c r="F158" s="7"/>
      <c r="G158" s="7"/>
      <c r="H158" s="7"/>
      <c r="I158" s="7">
        <v>1</v>
      </c>
      <c r="J158" s="7">
        <v>249.49</v>
      </c>
      <c r="K158" s="7"/>
      <c r="L158" s="7"/>
      <c r="M158" s="22">
        <v>249.49</v>
      </c>
    </row>
    <row r="159" spans="1:13" ht="15" customHeight="1" x14ac:dyDescent="0.25">
      <c r="A159" s="8">
        <v>155</v>
      </c>
      <c r="B159" s="3" t="s">
        <v>430</v>
      </c>
      <c r="C159" s="7">
        <v>1</v>
      </c>
      <c r="D159" s="7">
        <v>243.3</v>
      </c>
      <c r="E159" s="7"/>
      <c r="F159" s="7"/>
      <c r="G159" s="7"/>
      <c r="H159" s="7"/>
      <c r="I159" s="7">
        <v>1</v>
      </c>
      <c r="J159" s="7">
        <v>243.3</v>
      </c>
      <c r="K159" s="7"/>
      <c r="L159" s="7"/>
      <c r="M159" s="22">
        <v>243.3</v>
      </c>
    </row>
    <row r="160" spans="1:13" ht="15" customHeight="1" x14ac:dyDescent="0.25">
      <c r="A160" s="8">
        <v>156</v>
      </c>
      <c r="B160" s="3" t="s">
        <v>374</v>
      </c>
      <c r="C160" s="7">
        <v>1</v>
      </c>
      <c r="D160" s="7">
        <v>209</v>
      </c>
      <c r="E160" s="7">
        <v>1</v>
      </c>
      <c r="F160" s="7">
        <v>209</v>
      </c>
      <c r="G160" s="7"/>
      <c r="H160" s="7"/>
      <c r="I160" s="7"/>
      <c r="J160" s="7"/>
      <c r="K160" s="7"/>
      <c r="L160" s="7"/>
      <c r="M160" s="22">
        <v>-209</v>
      </c>
    </row>
    <row r="161" spans="1:13" ht="15" customHeight="1" x14ac:dyDescent="0.25">
      <c r="A161" s="8">
        <v>157</v>
      </c>
      <c r="B161" s="3" t="s">
        <v>437</v>
      </c>
      <c r="C161" s="7">
        <v>1</v>
      </c>
      <c r="D161" s="7">
        <v>200</v>
      </c>
      <c r="E161" s="7"/>
      <c r="F161" s="7"/>
      <c r="G161" s="7"/>
      <c r="H161" s="7"/>
      <c r="I161" s="7">
        <v>1</v>
      </c>
      <c r="J161" s="7">
        <v>200</v>
      </c>
      <c r="K161" s="7"/>
      <c r="L161" s="7"/>
      <c r="M161" s="22">
        <v>200</v>
      </c>
    </row>
    <row r="162" spans="1:13" ht="15" customHeight="1" x14ac:dyDescent="0.25">
      <c r="A162" s="8">
        <v>158</v>
      </c>
      <c r="B162" s="3" t="s">
        <v>413</v>
      </c>
      <c r="C162" s="7">
        <v>5</v>
      </c>
      <c r="D162" s="7">
        <v>139</v>
      </c>
      <c r="E162" s="7"/>
      <c r="F162" s="7"/>
      <c r="G162" s="7">
        <v>5</v>
      </c>
      <c r="H162" s="7">
        <v>139</v>
      </c>
      <c r="I162" s="7">
        <v>1</v>
      </c>
      <c r="J162" s="7">
        <v>800</v>
      </c>
      <c r="K162" s="7"/>
      <c r="L162" s="7"/>
      <c r="M162" s="22">
        <v>661</v>
      </c>
    </row>
    <row r="163" spans="1:13" ht="15" customHeight="1" x14ac:dyDescent="0.25">
      <c r="A163" s="8">
        <v>159</v>
      </c>
      <c r="B163" s="3" t="s">
        <v>379</v>
      </c>
      <c r="C163" s="7">
        <v>1</v>
      </c>
      <c r="D163" s="7">
        <v>106.96000000000001</v>
      </c>
      <c r="E163" s="7">
        <v>1</v>
      </c>
      <c r="F163" s="7">
        <v>106.96000000000001</v>
      </c>
      <c r="G163" s="7"/>
      <c r="H163" s="7"/>
      <c r="I163" s="7"/>
      <c r="J163" s="7"/>
      <c r="K163" s="7"/>
      <c r="L163" s="7"/>
      <c r="M163" s="22">
        <v>-106.96000000000001</v>
      </c>
    </row>
    <row r="164" spans="1:13" ht="15" customHeight="1" x14ac:dyDescent="0.25">
      <c r="A164" s="8">
        <v>160</v>
      </c>
      <c r="B164" s="3" t="s">
        <v>439</v>
      </c>
      <c r="C164" s="7">
        <v>1</v>
      </c>
      <c r="D164" s="7">
        <v>100</v>
      </c>
      <c r="E164" s="7"/>
      <c r="F164" s="7"/>
      <c r="G164" s="7"/>
      <c r="H164" s="7"/>
      <c r="I164" s="7"/>
      <c r="J164" s="7"/>
      <c r="K164" s="7">
        <v>1</v>
      </c>
      <c r="L164" s="7">
        <v>100</v>
      </c>
      <c r="M164" s="22">
        <v>100</v>
      </c>
    </row>
    <row r="165" spans="1:13" ht="15" customHeight="1" x14ac:dyDescent="0.25">
      <c r="A165" s="8">
        <v>161</v>
      </c>
      <c r="B165" s="3" t="s">
        <v>339</v>
      </c>
      <c r="C165" s="7">
        <v>1</v>
      </c>
      <c r="D165" s="7">
        <v>100</v>
      </c>
      <c r="E165" s="7">
        <v>1</v>
      </c>
      <c r="F165" s="7">
        <v>100</v>
      </c>
      <c r="G165" s="7"/>
      <c r="H165" s="7"/>
      <c r="I165" s="7"/>
      <c r="J165" s="7"/>
      <c r="K165" s="7"/>
      <c r="L165" s="7"/>
      <c r="M165" s="22">
        <v>-100</v>
      </c>
    </row>
    <row r="166" spans="1:13" x14ac:dyDescent="0.25">
      <c r="A166" s="8">
        <v>162</v>
      </c>
      <c r="B166" s="3" t="s">
        <v>425</v>
      </c>
      <c r="C166" s="7">
        <v>1</v>
      </c>
      <c r="D166" s="7">
        <v>50</v>
      </c>
      <c r="E166" s="7"/>
      <c r="F166" s="7"/>
      <c r="G166" s="7"/>
      <c r="H166" s="7"/>
      <c r="I166" s="7">
        <v>1</v>
      </c>
      <c r="J166" s="7">
        <v>50</v>
      </c>
      <c r="K166" s="7"/>
      <c r="L166" s="7"/>
      <c r="M166" s="22">
        <v>50</v>
      </c>
    </row>
  </sheetData>
  <autoFilter ref="A4:M166" xr:uid="{00000000-0001-0000-0500-000000000000}"/>
  <mergeCells count="11">
    <mergeCell ref="A1:A3"/>
    <mergeCell ref="B1:B3"/>
    <mergeCell ref="C1:C3"/>
    <mergeCell ref="D1:D3"/>
    <mergeCell ref="E1:H1"/>
    <mergeCell ref="I1:L1"/>
    <mergeCell ref="M1:M3"/>
    <mergeCell ref="E2:F2"/>
    <mergeCell ref="G2:H2"/>
    <mergeCell ref="I2:J2"/>
    <mergeCell ref="K2:L2"/>
  </mergeCells>
  <pageMargins left="0.7" right="0.7" top="0.75" bottom="0.75" header="0.3" footer="0.3"/>
  <pageSetup scale="47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30"/>
  <sheetViews>
    <sheetView tabSelected="1" zoomScaleNormal="100" workbookViewId="0">
      <selection activeCell="B10" sqref="B10"/>
    </sheetView>
  </sheetViews>
  <sheetFormatPr defaultRowHeight="13.2" x14ac:dyDescent="0.25"/>
  <cols>
    <col min="2" max="2" width="78" customWidth="1"/>
    <col min="3" max="13" width="17.5546875" customWidth="1"/>
    <col min="14" max="14" width="12.33203125" style="1" customWidth="1"/>
  </cols>
  <sheetData>
    <row r="1" spans="1:14" ht="18.75" customHeight="1" x14ac:dyDescent="0.25">
      <c r="A1" s="46" t="s">
        <v>292</v>
      </c>
      <c r="B1" s="46" t="s">
        <v>295</v>
      </c>
      <c r="C1" s="53" t="s">
        <v>288</v>
      </c>
      <c r="D1" s="53" t="s">
        <v>289</v>
      </c>
      <c r="E1" s="50" t="s">
        <v>511</v>
      </c>
      <c r="F1" s="46" t="s">
        <v>509</v>
      </c>
      <c r="G1" s="46"/>
      <c r="H1" s="46"/>
      <c r="I1" s="46"/>
      <c r="J1" s="46" t="s">
        <v>510</v>
      </c>
      <c r="K1" s="46"/>
      <c r="L1" s="46"/>
      <c r="M1" s="46"/>
      <c r="N1" s="54" t="s">
        <v>442</v>
      </c>
    </row>
    <row r="2" spans="1:14" ht="18.75" customHeight="1" x14ac:dyDescent="0.25">
      <c r="A2" s="46"/>
      <c r="B2" s="46"/>
      <c r="C2" s="53"/>
      <c r="D2" s="53"/>
      <c r="E2" s="51"/>
      <c r="F2" s="46" t="s">
        <v>234</v>
      </c>
      <c r="G2" s="46"/>
      <c r="H2" s="46" t="s">
        <v>1</v>
      </c>
      <c r="I2" s="46"/>
      <c r="J2" s="46" t="s">
        <v>234</v>
      </c>
      <c r="K2" s="46"/>
      <c r="L2" s="46" t="s">
        <v>1</v>
      </c>
      <c r="M2" s="46"/>
      <c r="N2" s="54"/>
    </row>
    <row r="3" spans="1:14" ht="18.75" customHeight="1" x14ac:dyDescent="0.25">
      <c r="A3" s="46"/>
      <c r="B3" s="46"/>
      <c r="C3" s="53"/>
      <c r="D3" s="53"/>
      <c r="E3" s="52"/>
      <c r="F3" s="10" t="s">
        <v>290</v>
      </c>
      <c r="G3" s="10" t="s">
        <v>287</v>
      </c>
      <c r="H3" s="10" t="s">
        <v>290</v>
      </c>
      <c r="I3" s="10" t="s">
        <v>287</v>
      </c>
      <c r="J3" s="10" t="s">
        <v>290</v>
      </c>
      <c r="K3" s="10" t="s">
        <v>287</v>
      </c>
      <c r="L3" s="10" t="s">
        <v>290</v>
      </c>
      <c r="M3" s="10" t="s">
        <v>287</v>
      </c>
      <c r="N3" s="54"/>
    </row>
    <row r="4" spans="1:14" s="13" customFormat="1" ht="18.75" customHeight="1" x14ac:dyDescent="0.25">
      <c r="A4" s="46" t="s">
        <v>293</v>
      </c>
      <c r="B4" s="46"/>
      <c r="C4" s="17">
        <f t="shared" ref="C4" si="0">SUM(C5:C22)</f>
        <v>816041</v>
      </c>
      <c r="D4" s="17">
        <f t="shared" ref="D4" si="1">SUM(D5:D22)</f>
        <v>607086803.00000238</v>
      </c>
      <c r="E4" s="11">
        <v>1</v>
      </c>
      <c r="F4" s="17">
        <f t="shared" ref="F4" si="2">SUM(F5:F22)</f>
        <v>349371</v>
      </c>
      <c r="G4" s="17">
        <f t="shared" ref="G4" si="3">SUM(G5:G22)</f>
        <v>213229171.52000082</v>
      </c>
      <c r="H4" s="17">
        <f t="shared" ref="H4" si="4">SUM(H5:H22)</f>
        <v>58944</v>
      </c>
      <c r="I4" s="17">
        <f t="shared" ref="I4" si="5">SUM(I5:I22)</f>
        <v>63108475.350000009</v>
      </c>
      <c r="J4" s="17">
        <f t="shared" ref="J4" si="6">SUM(J5:J22)</f>
        <v>354839</v>
      </c>
      <c r="K4" s="17">
        <f>SUM(K5:K22)</f>
        <v>271555855.83000153</v>
      </c>
      <c r="L4" s="17">
        <f t="shared" ref="L4:M4" si="7">SUM(L5:L22)</f>
        <v>52887</v>
      </c>
      <c r="M4" s="17">
        <f t="shared" si="7"/>
        <v>59193300.300000049</v>
      </c>
      <c r="N4" s="19">
        <v>54411509.26000078</v>
      </c>
    </row>
    <row r="5" spans="1:14" ht="20.25" customHeight="1" x14ac:dyDescent="0.25">
      <c r="A5" s="8">
        <v>1</v>
      </c>
      <c r="B5" s="6" t="s">
        <v>543</v>
      </c>
      <c r="C5" s="16">
        <f t="shared" ref="C5:C22" si="8">+F5+H5+J5+L5</f>
        <v>49063</v>
      </c>
      <c r="D5" s="16">
        <f t="shared" ref="D5:D22" si="9">+G5+I5+K5+M5</f>
        <v>32988706.799999975</v>
      </c>
      <c r="E5" s="11">
        <v>5.0642835664307266E-2</v>
      </c>
      <c r="F5" s="16">
        <v>20679</v>
      </c>
      <c r="G5" s="16">
        <v>11371229.509999996</v>
      </c>
      <c r="H5" s="16">
        <v>5327</v>
      </c>
      <c r="I5" s="16">
        <v>4867402.1300000008</v>
      </c>
      <c r="J5" s="16">
        <v>18366</v>
      </c>
      <c r="K5" s="16">
        <v>11862441.389999978</v>
      </c>
      <c r="L5" s="16">
        <v>4691</v>
      </c>
      <c r="M5" s="16">
        <v>4887633.7699999996</v>
      </c>
      <c r="N5" s="19">
        <v>511443.51999998093</v>
      </c>
    </row>
    <row r="6" spans="1:14" ht="20.25" customHeight="1" x14ac:dyDescent="0.25">
      <c r="A6" s="8">
        <v>2</v>
      </c>
      <c r="B6" s="6" t="s">
        <v>545</v>
      </c>
      <c r="C6" s="16">
        <f t="shared" si="8"/>
        <v>30574</v>
      </c>
      <c r="D6" s="16">
        <f t="shared" si="9"/>
        <v>30929894.469999999</v>
      </c>
      <c r="E6" s="11">
        <v>6.5703356145399988E-2</v>
      </c>
      <c r="F6" s="16">
        <v>9393</v>
      </c>
      <c r="G6" s="16">
        <v>7519579.6299999971</v>
      </c>
      <c r="H6" s="16">
        <v>1223</v>
      </c>
      <c r="I6" s="16">
        <v>1678985.2399999998</v>
      </c>
      <c r="J6" s="16">
        <v>18540</v>
      </c>
      <c r="K6" s="16">
        <v>20194015.190000001</v>
      </c>
      <c r="L6" s="16">
        <v>1418</v>
      </c>
      <c r="M6" s="16">
        <v>1537314.4099999992</v>
      </c>
      <c r="N6" s="19">
        <v>12532764.730000004</v>
      </c>
    </row>
    <row r="7" spans="1:14" ht="20.25" customHeight="1" x14ac:dyDescent="0.25">
      <c r="A7" s="8">
        <v>3</v>
      </c>
      <c r="B7" s="6" t="s">
        <v>541</v>
      </c>
      <c r="C7" s="16">
        <f t="shared" si="8"/>
        <v>39655</v>
      </c>
      <c r="D7" s="16">
        <f t="shared" si="9"/>
        <v>25399113.359999977</v>
      </c>
      <c r="E7" s="11">
        <v>3.9420037869651633E-2</v>
      </c>
      <c r="F7" s="16">
        <v>18082</v>
      </c>
      <c r="G7" s="16">
        <v>10170530.059999991</v>
      </c>
      <c r="H7" s="16">
        <v>2216</v>
      </c>
      <c r="I7" s="16">
        <v>2190439.040000001</v>
      </c>
      <c r="J7" s="16">
        <v>17322</v>
      </c>
      <c r="K7" s="16">
        <v>10889278.269999985</v>
      </c>
      <c r="L7" s="16">
        <v>2035</v>
      </c>
      <c r="M7" s="16">
        <v>2148865.9900000002</v>
      </c>
      <c r="N7" s="19">
        <v>677175.1599999927</v>
      </c>
    </row>
    <row r="8" spans="1:14" ht="20.25" customHeight="1" x14ac:dyDescent="0.25">
      <c r="A8" s="8">
        <v>4</v>
      </c>
      <c r="B8" s="6" t="s">
        <v>542</v>
      </c>
      <c r="C8" s="16">
        <f t="shared" si="8"/>
        <v>25931</v>
      </c>
      <c r="D8" s="16">
        <f t="shared" si="9"/>
        <v>22453245.790000018</v>
      </c>
      <c r="E8" s="11">
        <v>3.4216363731406844E-2</v>
      </c>
      <c r="F8" s="16">
        <v>11932</v>
      </c>
      <c r="G8" s="16">
        <v>9230814.2500000112</v>
      </c>
      <c r="H8" s="16">
        <v>2065</v>
      </c>
      <c r="I8" s="16">
        <v>1905398.1099999996</v>
      </c>
      <c r="J8" s="16">
        <v>10400</v>
      </c>
      <c r="K8" s="16">
        <v>9802316.5500000063</v>
      </c>
      <c r="L8" s="16">
        <v>1534</v>
      </c>
      <c r="M8" s="16">
        <v>1514716.8800000004</v>
      </c>
      <c r="N8" s="19">
        <v>180821.06999999657</v>
      </c>
    </row>
    <row r="9" spans="1:14" ht="20.25" customHeight="1" x14ac:dyDescent="0.25">
      <c r="A9" s="8">
        <v>5</v>
      </c>
      <c r="B9" s="6" t="s">
        <v>550</v>
      </c>
      <c r="C9" s="16">
        <f t="shared" si="8"/>
        <v>32290</v>
      </c>
      <c r="D9" s="16">
        <f t="shared" si="9"/>
        <v>21459961.320000008</v>
      </c>
      <c r="E9" s="11">
        <v>3.5590156503296479E-2</v>
      </c>
      <c r="F9" s="16">
        <v>11063</v>
      </c>
      <c r="G9" s="16">
        <v>5514475.9000000283</v>
      </c>
      <c r="H9" s="16">
        <v>4715</v>
      </c>
      <c r="I9" s="16">
        <v>4174071.1899999804</v>
      </c>
      <c r="J9" s="16">
        <v>12197</v>
      </c>
      <c r="K9" s="16">
        <v>7162707.4700000091</v>
      </c>
      <c r="L9" s="16">
        <v>4315</v>
      </c>
      <c r="M9" s="16">
        <v>4608706.7599999895</v>
      </c>
      <c r="N9" s="19">
        <v>2082867.1399999894</v>
      </c>
    </row>
    <row r="10" spans="1:14" ht="20.25" customHeight="1" x14ac:dyDescent="0.25">
      <c r="A10" s="8">
        <v>6</v>
      </c>
      <c r="B10" s="6" t="s">
        <v>146</v>
      </c>
      <c r="C10" s="16">
        <f t="shared" si="8"/>
        <v>24181</v>
      </c>
      <c r="D10" s="16">
        <f t="shared" si="9"/>
        <v>21146459.609999992</v>
      </c>
      <c r="E10" s="11">
        <v>3.6678628516989213E-2</v>
      </c>
      <c r="F10" s="16">
        <v>10812</v>
      </c>
      <c r="G10" s="16">
        <v>8154692.7699999949</v>
      </c>
      <c r="H10" s="16">
        <v>829</v>
      </c>
      <c r="I10" s="16">
        <v>860341.41</v>
      </c>
      <c r="J10" s="16">
        <v>11835</v>
      </c>
      <c r="K10" s="16">
        <v>11342555.439999994</v>
      </c>
      <c r="L10" s="16">
        <v>705</v>
      </c>
      <c r="M10" s="16">
        <v>788869.99000000022</v>
      </c>
      <c r="N10" s="19">
        <v>3116391.25</v>
      </c>
    </row>
    <row r="11" spans="1:14" ht="20.25" customHeight="1" x14ac:dyDescent="0.25">
      <c r="A11" s="8">
        <v>7</v>
      </c>
      <c r="B11" s="6" t="s">
        <v>547</v>
      </c>
      <c r="C11" s="16">
        <f t="shared" si="8"/>
        <v>31482</v>
      </c>
      <c r="D11" s="16">
        <f t="shared" si="9"/>
        <v>20484011.969999947</v>
      </c>
      <c r="E11" s="11">
        <v>3.550347894276841E-2</v>
      </c>
      <c r="F11" s="16">
        <v>13764</v>
      </c>
      <c r="G11" s="16">
        <v>7610437.3000000138</v>
      </c>
      <c r="H11" s="16">
        <v>1629</v>
      </c>
      <c r="I11" s="16">
        <v>1130828.9700000016</v>
      </c>
      <c r="J11" s="16">
        <v>14967</v>
      </c>
      <c r="K11" s="16">
        <v>10946564.599999933</v>
      </c>
      <c r="L11" s="16">
        <v>1122</v>
      </c>
      <c r="M11" s="16">
        <v>796181.09999999986</v>
      </c>
      <c r="N11" s="19">
        <v>3001479.4299999177</v>
      </c>
    </row>
    <row r="12" spans="1:14" ht="20.25" customHeight="1" x14ac:dyDescent="0.25">
      <c r="A12" s="8">
        <v>8</v>
      </c>
      <c r="B12" s="6" t="s">
        <v>548</v>
      </c>
      <c r="C12" s="16">
        <f t="shared" si="8"/>
        <v>21588</v>
      </c>
      <c r="D12" s="16">
        <f t="shared" si="9"/>
        <v>22311746.140000012</v>
      </c>
      <c r="E12" s="11">
        <v>3.0213123373993553E-2</v>
      </c>
      <c r="F12" s="16">
        <v>5544</v>
      </c>
      <c r="G12" s="16">
        <v>4487811.2400000142</v>
      </c>
      <c r="H12" s="16">
        <v>1934</v>
      </c>
      <c r="I12" s="16">
        <v>7830969.8400000008</v>
      </c>
      <c r="J12" s="16">
        <v>12259</v>
      </c>
      <c r="K12" s="16">
        <v>7693250.2899999954</v>
      </c>
      <c r="L12" s="16">
        <v>1851</v>
      </c>
      <c r="M12" s="16">
        <v>2299714.77</v>
      </c>
      <c r="N12" s="19">
        <v>-2325816.02000002</v>
      </c>
    </row>
    <row r="13" spans="1:14" ht="20.25" customHeight="1" x14ac:dyDescent="0.25">
      <c r="A13" s="8">
        <v>9</v>
      </c>
      <c r="B13" s="6" t="s">
        <v>168</v>
      </c>
      <c r="C13" s="16">
        <f t="shared" si="8"/>
        <v>29863</v>
      </c>
      <c r="D13" s="16">
        <f t="shared" si="9"/>
        <v>20917582.579999991</v>
      </c>
      <c r="E13" s="11">
        <v>3.4964492896406824E-2</v>
      </c>
      <c r="F13" s="16">
        <v>14053</v>
      </c>
      <c r="G13" s="16">
        <v>7218310.2299999995</v>
      </c>
      <c r="H13" s="16">
        <v>2025</v>
      </c>
      <c r="I13" s="16">
        <v>2134795.83</v>
      </c>
      <c r="J13" s="16">
        <v>12537</v>
      </c>
      <c r="K13" s="16">
        <v>10352010.489999993</v>
      </c>
      <c r="L13" s="16">
        <v>1248</v>
      </c>
      <c r="M13" s="16">
        <v>1212466.0300000003</v>
      </c>
      <c r="N13" s="19">
        <v>2211370.4599999934</v>
      </c>
    </row>
    <row r="14" spans="1:14" ht="20.25" customHeight="1" x14ac:dyDescent="0.25">
      <c r="A14" s="8">
        <v>10</v>
      </c>
      <c r="B14" s="6" t="s">
        <v>546</v>
      </c>
      <c r="C14" s="16">
        <f t="shared" si="8"/>
        <v>22724</v>
      </c>
      <c r="D14" s="16">
        <f t="shared" si="9"/>
        <v>16347345.229999982</v>
      </c>
      <c r="E14" s="11">
        <v>2.930353795427515E-2</v>
      </c>
      <c r="F14" s="16">
        <v>9250</v>
      </c>
      <c r="G14" s="16">
        <v>5778534.4600000018</v>
      </c>
      <c r="H14" s="16">
        <v>970</v>
      </c>
      <c r="I14" s="16">
        <v>876690.32000000041</v>
      </c>
      <c r="J14" s="16">
        <v>11278</v>
      </c>
      <c r="K14" s="16">
        <v>8696366.4899999779</v>
      </c>
      <c r="L14" s="16">
        <v>1226</v>
      </c>
      <c r="M14" s="16">
        <v>995753.96000000101</v>
      </c>
      <c r="N14" s="19">
        <v>3036895.6699999766</v>
      </c>
    </row>
    <row r="15" spans="1:14" ht="20.25" customHeight="1" x14ac:dyDescent="0.25">
      <c r="A15" s="8">
        <v>11</v>
      </c>
      <c r="B15" s="6" t="s">
        <v>549</v>
      </c>
      <c r="C15" s="16">
        <f t="shared" si="8"/>
        <v>23012</v>
      </c>
      <c r="D15" s="16">
        <f t="shared" si="9"/>
        <v>15576124.460000021</v>
      </c>
      <c r="E15" s="11">
        <v>2.4090959333750019E-2</v>
      </c>
      <c r="F15" s="16">
        <v>11387</v>
      </c>
      <c r="G15" s="16">
        <v>6475548.8400000138</v>
      </c>
      <c r="H15" s="16">
        <v>1423</v>
      </c>
      <c r="I15" s="16">
        <v>1132511.1500000027</v>
      </c>
      <c r="J15" s="16">
        <v>8452</v>
      </c>
      <c r="K15" s="16">
        <v>6421905.4600000046</v>
      </c>
      <c r="L15" s="16">
        <v>1750</v>
      </c>
      <c r="M15" s="16">
        <v>1546159.0100000002</v>
      </c>
      <c r="N15" s="19">
        <v>360004.47999998741</v>
      </c>
    </row>
    <row r="16" spans="1:14" ht="20.25" customHeight="1" x14ac:dyDescent="0.25">
      <c r="A16" s="8">
        <v>12</v>
      </c>
      <c r="B16" s="6" t="s">
        <v>142</v>
      </c>
      <c r="C16" s="16">
        <f t="shared" si="8"/>
        <v>20879</v>
      </c>
      <c r="D16" s="16">
        <f t="shared" si="9"/>
        <v>16511107.989999991</v>
      </c>
      <c r="E16" s="11">
        <v>2.7304808228899385E-2</v>
      </c>
      <c r="F16" s="16">
        <v>9694</v>
      </c>
      <c r="G16" s="16">
        <v>5852705.1699999962</v>
      </c>
      <c r="H16" s="16">
        <v>2271</v>
      </c>
      <c r="I16" s="16">
        <v>1627360.5399999998</v>
      </c>
      <c r="J16" s="16">
        <v>8297</v>
      </c>
      <c r="K16" s="16">
        <v>8379084.1599999955</v>
      </c>
      <c r="L16" s="16">
        <v>617</v>
      </c>
      <c r="M16" s="16">
        <v>651958.11999999988</v>
      </c>
      <c r="N16" s="19">
        <v>1550976.5699999994</v>
      </c>
    </row>
    <row r="17" spans="1:14" ht="20.25" customHeight="1" x14ac:dyDescent="0.25">
      <c r="A17" s="8">
        <v>13</v>
      </c>
      <c r="B17" s="6" t="s">
        <v>64</v>
      </c>
      <c r="C17" s="16">
        <f t="shared" si="8"/>
        <v>18772</v>
      </c>
      <c r="D17" s="16">
        <f t="shared" si="9"/>
        <v>13463273.989999998</v>
      </c>
      <c r="E17" s="11">
        <v>2.1699548515791298E-2</v>
      </c>
      <c r="F17" s="16">
        <v>7241</v>
      </c>
      <c r="G17" s="16">
        <v>5515812.5999999987</v>
      </c>
      <c r="H17" s="16">
        <v>824</v>
      </c>
      <c r="I17" s="16">
        <v>770354.02999999968</v>
      </c>
      <c r="J17" s="16">
        <v>10157</v>
      </c>
      <c r="K17" s="16">
        <v>6722889.3600000003</v>
      </c>
      <c r="L17" s="16">
        <v>550</v>
      </c>
      <c r="M17" s="16">
        <v>454218</v>
      </c>
      <c r="N17" s="19">
        <v>890940.73000000231</v>
      </c>
    </row>
    <row r="18" spans="1:14" ht="20.25" customHeight="1" x14ac:dyDescent="0.25">
      <c r="A18" s="8">
        <v>14</v>
      </c>
      <c r="B18" s="6" t="s">
        <v>158</v>
      </c>
      <c r="C18" s="16">
        <f t="shared" si="8"/>
        <v>19249</v>
      </c>
      <c r="D18" s="16">
        <f t="shared" si="9"/>
        <v>12193782.930000003</v>
      </c>
      <c r="E18" s="11">
        <v>1.4514020432188664E-2</v>
      </c>
      <c r="F18" s="16">
        <v>11107</v>
      </c>
      <c r="G18" s="16">
        <v>6949111.9200000018</v>
      </c>
      <c r="H18" s="16">
        <v>640</v>
      </c>
      <c r="I18" s="16">
        <v>444171</v>
      </c>
      <c r="J18" s="16">
        <v>5924</v>
      </c>
      <c r="K18" s="16">
        <v>3736434.2600000012</v>
      </c>
      <c r="L18" s="16">
        <v>1578</v>
      </c>
      <c r="M18" s="16">
        <v>1064065.7500000002</v>
      </c>
      <c r="N18" s="19">
        <v>-2592782.91</v>
      </c>
    </row>
    <row r="19" spans="1:14" ht="20.25" customHeight="1" x14ac:dyDescent="0.25">
      <c r="A19" s="8">
        <v>15</v>
      </c>
      <c r="B19" s="6" t="s">
        <v>140</v>
      </c>
      <c r="C19" s="16">
        <f t="shared" si="8"/>
        <v>33036</v>
      </c>
      <c r="D19" s="16">
        <f t="shared" si="9"/>
        <v>22760369.239999998</v>
      </c>
      <c r="E19" s="11">
        <v>4.0721372678895515E-2</v>
      </c>
      <c r="F19" s="16">
        <v>14351</v>
      </c>
      <c r="G19" s="16">
        <v>7756291.570000005</v>
      </c>
      <c r="H19" s="16">
        <v>2762</v>
      </c>
      <c r="I19" s="16">
        <v>1535518.02</v>
      </c>
      <c r="J19" s="16">
        <v>13618</v>
      </c>
      <c r="K19" s="16">
        <v>11172346.919999994</v>
      </c>
      <c r="L19" s="16">
        <v>2305</v>
      </c>
      <c r="M19" s="16">
        <v>2296212.73</v>
      </c>
      <c r="N19" s="19">
        <v>4176750.0599999893</v>
      </c>
    </row>
    <row r="20" spans="1:14" ht="20.25" customHeight="1" x14ac:dyDescent="0.25">
      <c r="A20" s="8">
        <v>16</v>
      </c>
      <c r="B20" s="6" t="s">
        <v>32</v>
      </c>
      <c r="C20" s="16">
        <f t="shared" si="8"/>
        <v>5860</v>
      </c>
      <c r="D20" s="16">
        <f t="shared" si="9"/>
        <v>6119603.0700000003</v>
      </c>
      <c r="E20" s="11">
        <v>1.3026959646441167E-2</v>
      </c>
      <c r="F20" s="16">
        <v>2114</v>
      </c>
      <c r="G20" s="16">
        <v>1478780.1600000004</v>
      </c>
      <c r="H20" s="16">
        <v>529</v>
      </c>
      <c r="I20" s="16">
        <v>332167</v>
      </c>
      <c r="J20" s="16">
        <v>2025</v>
      </c>
      <c r="K20" s="16">
        <v>1881467.64</v>
      </c>
      <c r="L20" s="16">
        <v>1192</v>
      </c>
      <c r="M20" s="16">
        <v>2427188.2700000005</v>
      </c>
      <c r="N20" s="19">
        <v>2497708.75</v>
      </c>
    </row>
    <row r="21" spans="1:14" ht="20.25" customHeight="1" x14ac:dyDescent="0.25">
      <c r="A21" s="8">
        <v>17</v>
      </c>
      <c r="B21" s="6" t="s">
        <v>544</v>
      </c>
      <c r="C21" s="16">
        <f t="shared" si="8"/>
        <v>12487</v>
      </c>
      <c r="D21" s="16">
        <f t="shared" si="9"/>
        <v>14169406.659999998</v>
      </c>
      <c r="E21" s="11">
        <v>2.2332619488518734E-2</v>
      </c>
      <c r="F21" s="16">
        <v>2590</v>
      </c>
      <c r="G21" s="16">
        <v>2168686.5099999998</v>
      </c>
      <c r="H21" s="16">
        <v>1988</v>
      </c>
      <c r="I21" s="16">
        <v>4614225.0999999996</v>
      </c>
      <c r="J21" s="16">
        <v>7320</v>
      </c>
      <c r="K21" s="16">
        <v>6848839.9699999988</v>
      </c>
      <c r="L21" s="16">
        <v>589</v>
      </c>
      <c r="M21" s="16">
        <v>537655.08000000007</v>
      </c>
      <c r="N21" s="19">
        <v>603583.43999999948</v>
      </c>
    </row>
    <row r="22" spans="1:14" s="4" customFormat="1" ht="19.5" customHeight="1" x14ac:dyDescent="0.25">
      <c r="A22" s="8">
        <v>18</v>
      </c>
      <c r="B22" s="6" t="s">
        <v>458</v>
      </c>
      <c r="C22" s="16">
        <f t="shared" si="8"/>
        <v>375395</v>
      </c>
      <c r="D22" s="16">
        <f t="shared" si="9"/>
        <v>271855067.39000249</v>
      </c>
      <c r="E22" s="11">
        <v>0.4440737000770198</v>
      </c>
      <c r="F22" s="16">
        <v>166315</v>
      </c>
      <c r="G22" s="16">
        <v>99975819.400000736</v>
      </c>
      <c r="H22" s="16">
        <v>25574</v>
      </c>
      <c r="I22" s="16">
        <v>25002246.430000022</v>
      </c>
      <c r="J22" s="16">
        <v>159345</v>
      </c>
      <c r="K22" s="16">
        <v>117451381.88000166</v>
      </c>
      <c r="L22" s="16">
        <v>24161</v>
      </c>
      <c r="M22" s="16">
        <v>29425619.680000059</v>
      </c>
      <c r="N22" s="19">
        <v>21898935.730000973</v>
      </c>
    </row>
    <row r="25" spans="1:14" x14ac:dyDescent="0.25">
      <c r="I25" s="1"/>
      <c r="N25"/>
    </row>
    <row r="26" spans="1:14" x14ac:dyDescent="0.25">
      <c r="I26" s="1"/>
      <c r="N26"/>
    </row>
    <row r="27" spans="1:14" x14ac:dyDescent="0.25">
      <c r="I27" s="1"/>
      <c r="N27"/>
    </row>
    <row r="28" spans="1:14" x14ac:dyDescent="0.25">
      <c r="I28" s="1"/>
      <c r="N28"/>
    </row>
    <row r="29" spans="1:14" x14ac:dyDescent="0.25">
      <c r="I29" s="1"/>
      <c r="N29"/>
    </row>
    <row r="30" spans="1:14" x14ac:dyDescent="0.25">
      <c r="I30" s="1"/>
      <c r="N30"/>
    </row>
  </sheetData>
  <autoFilter ref="A4:X23" xr:uid="{00000000-0009-0000-0000-000006000000}">
    <filterColumn colId="0" showButton="0"/>
    <sortState xmlns:xlrd2="http://schemas.microsoft.com/office/spreadsheetml/2017/richdata2" ref="A5:X23">
      <sortCondition descending="1" ref="D4:D23"/>
    </sortState>
  </autoFilter>
  <mergeCells count="13">
    <mergeCell ref="N1:N3"/>
    <mergeCell ref="F2:G2"/>
    <mergeCell ref="H2:I2"/>
    <mergeCell ref="J2:K2"/>
    <mergeCell ref="L2:M2"/>
    <mergeCell ref="F1:I1"/>
    <mergeCell ref="J1:M1"/>
    <mergeCell ref="A4:B4"/>
    <mergeCell ref="E1:E3"/>
    <mergeCell ref="A1:A3"/>
    <mergeCell ref="B1:B3"/>
    <mergeCell ref="C1:C3"/>
    <mergeCell ref="D1:D3"/>
  </mergeCells>
  <pageMargins left="0.7" right="0.7" top="0.75" bottom="0.75" header="0.3" footer="0.3"/>
  <pageSetup scale="31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2"/>
  <sheetViews>
    <sheetView zoomScaleNormal="100" workbookViewId="0">
      <selection activeCell="C10" sqref="C10"/>
    </sheetView>
  </sheetViews>
  <sheetFormatPr defaultRowHeight="13.2" x14ac:dyDescent="0.25"/>
  <cols>
    <col min="2" max="2" width="36.6640625" customWidth="1"/>
    <col min="3" max="3" width="10.44140625" customWidth="1"/>
    <col min="4" max="4" width="14.5546875" customWidth="1"/>
    <col min="5" max="5" width="11.6640625" customWidth="1"/>
    <col min="6" max="6" width="10.44140625" customWidth="1"/>
    <col min="7" max="7" width="13.6640625" customWidth="1"/>
    <col min="8" max="8" width="10.44140625" customWidth="1"/>
    <col min="9" max="9" width="11.6640625" customWidth="1"/>
    <col min="10" max="10" width="10.44140625" customWidth="1"/>
    <col min="11" max="11" width="13.6640625" customWidth="1"/>
    <col min="12" max="12" width="10.44140625" customWidth="1"/>
    <col min="13" max="13" width="11.6640625" customWidth="1"/>
    <col min="14" max="14" width="20.5546875" style="2" bestFit="1" customWidth="1"/>
  </cols>
  <sheetData>
    <row r="1" spans="1:14" s="13" customFormat="1" ht="19.5" customHeight="1" x14ac:dyDescent="0.25">
      <c r="A1" s="46" t="s">
        <v>292</v>
      </c>
      <c r="B1" s="46" t="s">
        <v>452</v>
      </c>
      <c r="C1" s="53" t="s">
        <v>288</v>
      </c>
      <c r="D1" s="53" t="s">
        <v>289</v>
      </c>
      <c r="E1" s="50" t="s">
        <v>512</v>
      </c>
      <c r="F1" s="46" t="s">
        <v>509</v>
      </c>
      <c r="G1" s="46"/>
      <c r="H1" s="46"/>
      <c r="I1" s="46"/>
      <c r="J1" s="46" t="s">
        <v>510</v>
      </c>
      <c r="K1" s="46"/>
      <c r="L1" s="46"/>
      <c r="M1" s="46"/>
      <c r="N1" s="46" t="s">
        <v>442</v>
      </c>
    </row>
    <row r="2" spans="1:14" s="13" customFormat="1" ht="19.5" customHeight="1" x14ac:dyDescent="0.25">
      <c r="A2" s="46"/>
      <c r="B2" s="46"/>
      <c r="C2" s="53"/>
      <c r="D2" s="53"/>
      <c r="E2" s="51"/>
      <c r="F2" s="46" t="s">
        <v>234</v>
      </c>
      <c r="G2" s="46"/>
      <c r="H2" s="46" t="s">
        <v>1</v>
      </c>
      <c r="I2" s="46"/>
      <c r="J2" s="46" t="s">
        <v>234</v>
      </c>
      <c r="K2" s="46"/>
      <c r="L2" s="46" t="s">
        <v>1</v>
      </c>
      <c r="M2" s="46"/>
      <c r="N2" s="46"/>
    </row>
    <row r="3" spans="1:14" s="13" customFormat="1" ht="19.5" customHeight="1" x14ac:dyDescent="0.25">
      <c r="A3" s="46"/>
      <c r="B3" s="46"/>
      <c r="C3" s="53"/>
      <c r="D3" s="53"/>
      <c r="E3" s="52"/>
      <c r="F3" s="10" t="s">
        <v>290</v>
      </c>
      <c r="G3" s="10" t="s">
        <v>287</v>
      </c>
      <c r="H3" s="10" t="s">
        <v>290</v>
      </c>
      <c r="I3" s="10" t="s">
        <v>287</v>
      </c>
      <c r="J3" s="10" t="s">
        <v>290</v>
      </c>
      <c r="K3" s="10" t="s">
        <v>287</v>
      </c>
      <c r="L3" s="10" t="s">
        <v>290</v>
      </c>
      <c r="M3" s="10" t="s">
        <v>287</v>
      </c>
      <c r="N3" s="46"/>
    </row>
    <row r="4" spans="1:14" s="13" customFormat="1" ht="27.75" customHeight="1" x14ac:dyDescent="0.25">
      <c r="A4" s="46" t="s">
        <v>293</v>
      </c>
      <c r="B4" s="46"/>
      <c r="C4" s="14">
        <v>748883</v>
      </c>
      <c r="D4" s="14">
        <v>547507013.20000196</v>
      </c>
      <c r="E4" s="12">
        <v>1</v>
      </c>
      <c r="F4" s="14">
        <v>344269</v>
      </c>
      <c r="G4" s="14">
        <v>210228544.23000547</v>
      </c>
      <c r="H4" s="14">
        <v>54084</v>
      </c>
      <c r="I4" s="14">
        <v>58430689.190000206</v>
      </c>
      <c r="J4" s="14">
        <v>301512</v>
      </c>
      <c r="K4" s="14">
        <v>223127150.23999971</v>
      </c>
      <c r="L4" s="14">
        <v>49018</v>
      </c>
      <c r="M4" s="14">
        <v>55720629.5400002</v>
      </c>
      <c r="N4" s="22">
        <v>10188546.359994233</v>
      </c>
    </row>
    <row r="5" spans="1:14" s="4" customFormat="1" ht="21" customHeight="1" x14ac:dyDescent="0.25">
      <c r="A5" s="8">
        <v>1</v>
      </c>
      <c r="B5" s="6" t="s">
        <v>534</v>
      </c>
      <c r="C5" s="7">
        <v>343993</v>
      </c>
      <c r="D5" s="7">
        <v>264296492.48000059</v>
      </c>
      <c r="E5" s="11">
        <v>0.49871589528064336</v>
      </c>
      <c r="F5" s="7">
        <v>165975</v>
      </c>
      <c r="G5" s="7">
        <v>111030533.61999969</v>
      </c>
      <c r="H5" s="7">
        <v>18902</v>
      </c>
      <c r="I5" s="7">
        <v>14200138.720000017</v>
      </c>
      <c r="J5" s="7">
        <v>169480</v>
      </c>
      <c r="K5" s="7">
        <v>154258428.58000112</v>
      </c>
      <c r="L5" s="7">
        <v>18543</v>
      </c>
      <c r="M5" s="7">
        <v>15249828.630000021</v>
      </c>
      <c r="N5" s="22">
        <v>44277584.870001435</v>
      </c>
    </row>
    <row r="6" spans="1:14" s="4" customFormat="1" ht="21" customHeight="1" x14ac:dyDescent="0.25">
      <c r="A6" s="8">
        <v>2</v>
      </c>
      <c r="B6" s="6" t="s">
        <v>457</v>
      </c>
      <c r="C6" s="7">
        <v>199479</v>
      </c>
      <c r="D6" s="7">
        <v>103447346.95000081</v>
      </c>
      <c r="E6" s="11">
        <v>0.201237251680012</v>
      </c>
      <c r="F6" s="7">
        <v>87593</v>
      </c>
      <c r="G6" s="7">
        <v>33552736.130000677</v>
      </c>
      <c r="H6" s="7">
        <v>12390</v>
      </c>
      <c r="I6" s="7">
        <v>13780049.980000012</v>
      </c>
      <c r="J6" s="7">
        <v>104023</v>
      </c>
      <c r="K6" s="7">
        <v>47629853.680000737</v>
      </c>
      <c r="L6" s="7">
        <v>12735</v>
      </c>
      <c r="M6" s="7">
        <v>17651675.580000009</v>
      </c>
      <c r="N6" s="22">
        <v>17948743.150000066</v>
      </c>
    </row>
    <row r="7" spans="1:14" s="4" customFormat="1" ht="21" customHeight="1" x14ac:dyDescent="0.25">
      <c r="A7" s="8">
        <v>3</v>
      </c>
      <c r="B7" s="6" t="s">
        <v>450</v>
      </c>
      <c r="C7" s="7">
        <v>38377</v>
      </c>
      <c r="D7" s="7">
        <v>40543208.370000325</v>
      </c>
      <c r="E7" s="11">
        <v>6.5964755697578828E-2</v>
      </c>
      <c r="F7" s="7">
        <v>19049</v>
      </c>
      <c r="G7" s="7">
        <v>15963070.649999997</v>
      </c>
      <c r="H7" s="7">
        <v>557</v>
      </c>
      <c r="I7" s="7">
        <v>6186012.0500000017</v>
      </c>
      <c r="J7" s="7">
        <v>21366</v>
      </c>
      <c r="K7" s="7">
        <v>20698684.419999953</v>
      </c>
      <c r="L7" s="7">
        <v>363</v>
      </c>
      <c r="M7" s="7">
        <v>944086.31000000041</v>
      </c>
      <c r="N7" s="22">
        <v>-506311.97000004724</v>
      </c>
    </row>
    <row r="8" spans="1:14" s="4" customFormat="1" ht="21" customHeight="1" x14ac:dyDescent="0.25">
      <c r="A8" s="8">
        <v>4</v>
      </c>
      <c r="B8" s="6" t="s">
        <v>508</v>
      </c>
      <c r="C8" s="7">
        <v>39844</v>
      </c>
      <c r="D8" s="7">
        <v>39238373.460000306</v>
      </c>
      <c r="E8" s="11">
        <v>6.2344919165990283E-2</v>
      </c>
      <c r="F8" s="7">
        <v>21618</v>
      </c>
      <c r="G8" s="7">
        <v>19811489.940000094</v>
      </c>
      <c r="H8" s="7">
        <v>1053</v>
      </c>
      <c r="I8" s="7">
        <v>2042141.2300000007</v>
      </c>
      <c r="J8" s="7">
        <v>18678</v>
      </c>
      <c r="K8" s="7">
        <v>18449819.409999933</v>
      </c>
      <c r="L8" s="7">
        <v>1394</v>
      </c>
      <c r="M8" s="7">
        <v>2394739.1300000018</v>
      </c>
      <c r="N8" s="22">
        <v>-1009072.6300001591</v>
      </c>
    </row>
    <row r="9" spans="1:14" s="4" customFormat="1" ht="21" customHeight="1" x14ac:dyDescent="0.25">
      <c r="A9" s="8">
        <v>5</v>
      </c>
      <c r="B9" s="6" t="s">
        <v>456</v>
      </c>
      <c r="C9" s="7">
        <v>48831</v>
      </c>
      <c r="D9" s="7">
        <v>32887282.670000035</v>
      </c>
      <c r="E9" s="11">
        <v>5.2940963387433135E-2</v>
      </c>
      <c r="F9" s="7">
        <v>20640</v>
      </c>
      <c r="G9" s="7">
        <v>11794412.460000023</v>
      </c>
      <c r="H9" s="7">
        <v>9650</v>
      </c>
      <c r="I9" s="7">
        <v>6330400.1100000022</v>
      </c>
      <c r="J9" s="7">
        <v>12769</v>
      </c>
      <c r="K9" s="7">
        <v>9358893.4099999797</v>
      </c>
      <c r="L9" s="7">
        <v>8182</v>
      </c>
      <c r="M9" s="7">
        <v>7321509.9100000029</v>
      </c>
      <c r="N9" s="22">
        <v>-1444409.2500000447</v>
      </c>
    </row>
    <row r="10" spans="1:14" s="4" customFormat="1" ht="21" customHeight="1" x14ac:dyDescent="0.25">
      <c r="A10" s="8">
        <v>6</v>
      </c>
      <c r="B10" s="6" t="s">
        <v>455</v>
      </c>
      <c r="C10" s="7">
        <v>3535</v>
      </c>
      <c r="D10" s="7">
        <v>13985915.120000022</v>
      </c>
      <c r="E10" s="11">
        <v>2.1300310315133481E-2</v>
      </c>
      <c r="F10" s="7">
        <v>83</v>
      </c>
      <c r="G10" s="7">
        <v>165783.09</v>
      </c>
      <c r="H10" s="7">
        <v>2011</v>
      </c>
      <c r="I10" s="7">
        <v>7880587.7900000028</v>
      </c>
      <c r="J10" s="7">
        <v>83</v>
      </c>
      <c r="K10" s="7">
        <v>163034.67000000001</v>
      </c>
      <c r="L10" s="7">
        <v>1373</v>
      </c>
      <c r="M10" s="7">
        <v>5829715.5800000019</v>
      </c>
      <c r="N10" s="22">
        <v>-2053620.6300000008</v>
      </c>
    </row>
    <row r="11" spans="1:14" s="4" customFormat="1" ht="21" customHeight="1" x14ac:dyDescent="0.25">
      <c r="A11" s="8">
        <v>7</v>
      </c>
      <c r="B11" s="6" t="s">
        <v>454</v>
      </c>
      <c r="C11" s="7">
        <v>17300</v>
      </c>
      <c r="D11" s="7">
        <v>13642451.030000035</v>
      </c>
      <c r="E11" s="11">
        <v>2.7236803161897492E-2</v>
      </c>
      <c r="F11" s="7">
        <v>3854</v>
      </c>
      <c r="G11" s="7">
        <v>2445452.6700000013</v>
      </c>
      <c r="H11" s="7">
        <v>4643</v>
      </c>
      <c r="I11" s="7">
        <v>3602076.2699999977</v>
      </c>
      <c r="J11" s="7">
        <v>4470</v>
      </c>
      <c r="K11" s="7">
        <v>3267811.87</v>
      </c>
      <c r="L11" s="7">
        <v>5303</v>
      </c>
      <c r="M11" s="7">
        <v>5038783.4800000014</v>
      </c>
      <c r="N11" s="22">
        <v>2259066.410000002</v>
      </c>
    </row>
    <row r="12" spans="1:14" s="4" customFormat="1" ht="21" customHeight="1" x14ac:dyDescent="0.25">
      <c r="A12" s="8"/>
      <c r="B12" s="6" t="s">
        <v>453</v>
      </c>
      <c r="C12" s="7">
        <v>57524</v>
      </c>
      <c r="D12" s="7">
        <v>39465943.119999997</v>
      </c>
      <c r="E12" s="11">
        <v>7.0259101311321195E-2</v>
      </c>
      <c r="F12" s="7">
        <v>25457</v>
      </c>
      <c r="G12" s="7">
        <v>15465065.670000006</v>
      </c>
      <c r="H12" s="7">
        <v>4878</v>
      </c>
      <c r="I12" s="7">
        <v>4409283.0399999991</v>
      </c>
      <c r="J12" s="7">
        <v>26314</v>
      </c>
      <c r="K12" s="7">
        <v>17729330.239999954</v>
      </c>
      <c r="L12" s="7">
        <v>4961</v>
      </c>
      <c r="M12" s="7">
        <v>4469821.9800000023</v>
      </c>
      <c r="N12" s="22">
        <v>2324803.5099999495</v>
      </c>
    </row>
  </sheetData>
  <autoFilter ref="A4:N12" xr:uid="{00000000-0009-0000-0000-000007000000}">
    <filterColumn colId="0" showButton="0"/>
    <sortState xmlns:xlrd2="http://schemas.microsoft.com/office/spreadsheetml/2017/richdata2" ref="A5:N13">
      <sortCondition descending="1" ref="D4:D12"/>
    </sortState>
  </autoFilter>
  <mergeCells count="13">
    <mergeCell ref="N1:N3"/>
    <mergeCell ref="F2:G2"/>
    <mergeCell ref="H2:I2"/>
    <mergeCell ref="J2:K2"/>
    <mergeCell ref="L2:M2"/>
    <mergeCell ref="F1:I1"/>
    <mergeCell ref="J1:M1"/>
    <mergeCell ref="A4:B4"/>
    <mergeCell ref="E1:E3"/>
    <mergeCell ref="A1:A3"/>
    <mergeCell ref="B1:B3"/>
    <mergeCell ref="C1:C3"/>
    <mergeCell ref="D1:D3"/>
  </mergeCells>
  <pageMargins left="0.7" right="0.7" top="0.75" bottom="0.75" header="0.3" footer="0.3"/>
  <pageSetup scale="47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6"/>
  <sheetViews>
    <sheetView zoomScaleNormal="100" workbookViewId="0">
      <selection activeCell="J21" sqref="J21"/>
    </sheetView>
  </sheetViews>
  <sheetFormatPr defaultRowHeight="13.2" x14ac:dyDescent="0.25"/>
  <cols>
    <col min="2" max="2" width="18.33203125" bestFit="1" customWidth="1"/>
    <col min="3" max="4" width="18.44140625" customWidth="1"/>
    <col min="5" max="6" width="9.6640625" customWidth="1"/>
    <col min="7" max="7" width="12.6640625" customWidth="1"/>
    <col min="8" max="8" width="9.5546875" customWidth="1"/>
    <col min="9" max="9" width="12.6640625" customWidth="1"/>
    <col min="10" max="10" width="9.5546875" customWidth="1"/>
    <col min="11" max="11" width="12.6640625" customWidth="1"/>
    <col min="12" max="12" width="9.6640625" customWidth="1"/>
    <col min="13" max="13" width="12.6640625" customWidth="1"/>
    <col min="14" max="14" width="13" customWidth="1"/>
  </cols>
  <sheetData>
    <row r="1" spans="1:14" ht="24" customHeight="1" x14ac:dyDescent="0.25">
      <c r="A1" s="54" t="s">
        <v>292</v>
      </c>
      <c r="B1" s="46" t="s">
        <v>452</v>
      </c>
      <c r="C1" s="53" t="s">
        <v>288</v>
      </c>
      <c r="D1" s="53" t="s">
        <v>289</v>
      </c>
      <c r="E1" s="50" t="s">
        <v>294</v>
      </c>
      <c r="F1" s="46" t="s">
        <v>509</v>
      </c>
      <c r="G1" s="46"/>
      <c r="H1" s="46"/>
      <c r="I1" s="46"/>
      <c r="J1" s="46" t="s">
        <v>510</v>
      </c>
      <c r="K1" s="46"/>
      <c r="L1" s="46"/>
      <c r="M1" s="46"/>
      <c r="N1" s="46" t="s">
        <v>442</v>
      </c>
    </row>
    <row r="2" spans="1:14" ht="24" customHeight="1" x14ac:dyDescent="0.25">
      <c r="A2" s="54"/>
      <c r="B2" s="46"/>
      <c r="C2" s="53"/>
      <c r="D2" s="53"/>
      <c r="E2" s="51"/>
      <c r="F2" s="46" t="s">
        <v>234</v>
      </c>
      <c r="G2" s="46"/>
      <c r="H2" s="46" t="s">
        <v>1</v>
      </c>
      <c r="I2" s="46"/>
      <c r="J2" s="46" t="s">
        <v>234</v>
      </c>
      <c r="K2" s="46"/>
      <c r="L2" s="46" t="s">
        <v>1</v>
      </c>
      <c r="M2" s="46"/>
      <c r="N2" s="46"/>
    </row>
    <row r="3" spans="1:14" ht="24" customHeight="1" x14ac:dyDescent="0.25">
      <c r="A3" s="54"/>
      <c r="B3" s="46"/>
      <c r="C3" s="53"/>
      <c r="D3" s="53"/>
      <c r="E3" s="52"/>
      <c r="F3" s="10" t="s">
        <v>290</v>
      </c>
      <c r="G3" s="10" t="s">
        <v>287</v>
      </c>
      <c r="H3" s="10" t="s">
        <v>290</v>
      </c>
      <c r="I3" s="10" t="s">
        <v>287</v>
      </c>
      <c r="J3" s="10" t="s">
        <v>290</v>
      </c>
      <c r="K3" s="10" t="s">
        <v>287</v>
      </c>
      <c r="L3" s="10" t="s">
        <v>290</v>
      </c>
      <c r="M3" s="10" t="s">
        <v>287</v>
      </c>
      <c r="N3" s="46"/>
    </row>
    <row r="4" spans="1:14" s="5" customFormat="1" ht="21" customHeight="1" x14ac:dyDescent="0.25">
      <c r="A4" s="47" t="s">
        <v>460</v>
      </c>
      <c r="B4" s="49"/>
      <c r="C4" s="14">
        <v>748883</v>
      </c>
      <c r="D4" s="14">
        <v>547507013.19996703</v>
      </c>
      <c r="E4" s="12">
        <v>1</v>
      </c>
      <c r="F4" s="14">
        <f t="shared" ref="F4:J4" si="0">SUM(F5:F6)</f>
        <v>344269</v>
      </c>
      <c r="G4" s="14">
        <f t="shared" si="0"/>
        <v>210228544.23000297</v>
      </c>
      <c r="H4" s="14">
        <f t="shared" si="0"/>
        <v>54084</v>
      </c>
      <c r="I4" s="14">
        <f t="shared" si="0"/>
        <v>58430689.190000072</v>
      </c>
      <c r="J4" s="14">
        <f t="shared" si="0"/>
        <v>357183</v>
      </c>
      <c r="K4" s="14">
        <f>SUM(K5:K6)</f>
        <v>271555856.27999949</v>
      </c>
      <c r="L4" s="14">
        <f t="shared" ref="L4:M4" si="1">SUM(L5:L6)</f>
        <v>52854</v>
      </c>
      <c r="M4" s="14">
        <f t="shared" si="1"/>
        <v>58900160.600000069</v>
      </c>
      <c r="N4" s="22">
        <v>54118370.010004655</v>
      </c>
    </row>
    <row r="5" spans="1:14" s="4" customFormat="1" ht="21" customHeight="1" x14ac:dyDescent="0.25">
      <c r="A5" s="8">
        <v>1</v>
      </c>
      <c r="B5" s="6" t="s">
        <v>461</v>
      </c>
      <c r="C5" s="7">
        <v>4356</v>
      </c>
      <c r="D5" s="7">
        <v>5525634.8499999978</v>
      </c>
      <c r="E5" s="11">
        <f>+D5/D4</f>
        <v>1.0092354466301348E-2</v>
      </c>
      <c r="F5" s="7">
        <v>1565</v>
      </c>
      <c r="G5" s="7">
        <v>974358.0199999999</v>
      </c>
      <c r="H5" s="7">
        <v>891</v>
      </c>
      <c r="I5" s="7">
        <v>1849892.5500000003</v>
      </c>
      <c r="J5" s="7">
        <v>1325</v>
      </c>
      <c r="K5" s="7">
        <v>959300.03999999992</v>
      </c>
      <c r="L5" s="7">
        <v>849</v>
      </c>
      <c r="M5" s="7">
        <v>2075670.3000000017</v>
      </c>
      <c r="N5" s="22">
        <v>65283.390000001993</v>
      </c>
    </row>
    <row r="6" spans="1:14" s="4" customFormat="1" ht="21" customHeight="1" x14ac:dyDescent="0.25">
      <c r="A6" s="8">
        <v>2</v>
      </c>
      <c r="B6" s="6" t="s">
        <v>459</v>
      </c>
      <c r="C6" s="7">
        <v>744527</v>
      </c>
      <c r="D6" s="7">
        <v>541981378.349967</v>
      </c>
      <c r="E6" s="11">
        <f>+D6/D4</f>
        <v>0.98990764553369859</v>
      </c>
      <c r="F6" s="7">
        <v>342704</v>
      </c>
      <c r="G6" s="7">
        <v>209254186.21000296</v>
      </c>
      <c r="H6" s="7">
        <v>53193</v>
      </c>
      <c r="I6" s="7">
        <v>56580796.640000075</v>
      </c>
      <c r="J6" s="7">
        <v>355858</v>
      </c>
      <c r="K6" s="7">
        <v>270596556.23999947</v>
      </c>
      <c r="L6" s="7">
        <v>52005</v>
      </c>
      <c r="M6" s="7">
        <v>56824490.300000064</v>
      </c>
      <c r="N6" s="22">
        <v>54053086.620004654</v>
      </c>
    </row>
  </sheetData>
  <mergeCells count="13">
    <mergeCell ref="E1:E3"/>
    <mergeCell ref="F1:I1"/>
    <mergeCell ref="J1:M1"/>
    <mergeCell ref="N1:N3"/>
    <mergeCell ref="F2:G2"/>
    <mergeCell ref="H2:I2"/>
    <mergeCell ref="J2:K2"/>
    <mergeCell ref="L2:M2"/>
    <mergeCell ref="A1:A3"/>
    <mergeCell ref="A4:B4"/>
    <mergeCell ref="B1:B3"/>
    <mergeCell ref="C1:C3"/>
    <mergeCell ref="D1:D3"/>
  </mergeCells>
  <pageMargins left="0.7" right="0.7" top="0.75" bottom="0.75" header="0.3" footer="0.3"/>
  <pageSetup scale="52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5"/>
  <sheetViews>
    <sheetView zoomScaleNormal="100" workbookViewId="0">
      <selection activeCell="B4" sqref="B4:I15"/>
    </sheetView>
  </sheetViews>
  <sheetFormatPr defaultRowHeight="13.2" x14ac:dyDescent="0.25"/>
  <cols>
    <col min="1" max="1" width="9.33203125" style="1"/>
    <col min="2" max="2" width="17.6640625" customWidth="1"/>
    <col min="3" max="4" width="16.44140625" customWidth="1"/>
    <col min="5" max="5" width="9.5546875" customWidth="1"/>
    <col min="6" max="9" width="16.44140625" customWidth="1"/>
  </cols>
  <sheetData>
    <row r="1" spans="1:9" s="5" customFormat="1" ht="21.75" customHeight="1" x14ac:dyDescent="0.25">
      <c r="A1" s="46" t="s">
        <v>292</v>
      </c>
      <c r="B1" s="46" t="s">
        <v>475</v>
      </c>
      <c r="C1" s="46" t="s">
        <v>460</v>
      </c>
      <c r="D1" s="46"/>
      <c r="E1" s="50" t="s">
        <v>294</v>
      </c>
      <c r="F1" s="46" t="s">
        <v>509</v>
      </c>
      <c r="G1" s="46"/>
      <c r="H1" s="46" t="s">
        <v>515</v>
      </c>
      <c r="I1" s="46"/>
    </row>
    <row r="2" spans="1:9" s="13" customFormat="1" ht="31.5" customHeight="1" x14ac:dyDescent="0.25">
      <c r="A2" s="46"/>
      <c r="B2" s="46"/>
      <c r="C2" s="23" t="s">
        <v>473</v>
      </c>
      <c r="D2" s="23" t="s">
        <v>474</v>
      </c>
      <c r="E2" s="52"/>
      <c r="F2" s="23" t="s">
        <v>473</v>
      </c>
      <c r="G2" s="23" t="s">
        <v>474</v>
      </c>
      <c r="H2" s="23" t="s">
        <v>473</v>
      </c>
      <c r="I2" s="23" t="s">
        <v>474</v>
      </c>
    </row>
    <row r="3" spans="1:9" s="5" customFormat="1" ht="25.5" customHeight="1" x14ac:dyDescent="0.25">
      <c r="A3" s="46"/>
      <c r="B3" s="9" t="s">
        <v>293</v>
      </c>
      <c r="C3" s="14">
        <v>433355694.47000086</v>
      </c>
      <c r="D3" s="14">
        <v>114151318.73000002</v>
      </c>
      <c r="E3" s="12">
        <v>1</v>
      </c>
      <c r="F3" s="14">
        <v>210228544.2300005</v>
      </c>
      <c r="G3" s="14">
        <v>58430689.190000013</v>
      </c>
      <c r="H3" s="14">
        <f>SUM(H4:H15)</f>
        <v>271555856.27999991</v>
      </c>
      <c r="I3" s="14">
        <v>55720629.540000007</v>
      </c>
    </row>
    <row r="4" spans="1:9" ht="15.75" customHeight="1" x14ac:dyDescent="0.25">
      <c r="A4" s="8">
        <v>1</v>
      </c>
      <c r="B4" s="6" t="s">
        <v>462</v>
      </c>
      <c r="C4" s="7">
        <f>+F4+H4</f>
        <v>34440096.870000005</v>
      </c>
      <c r="D4" s="7">
        <f>+G4+I4</f>
        <v>9699755.1000000089</v>
      </c>
      <c r="E4" s="15">
        <v>6.729788602419598E-2</v>
      </c>
      <c r="F4" s="7">
        <v>16753586.970000003</v>
      </c>
      <c r="G4" s="7">
        <v>5147273.6400000015</v>
      </c>
      <c r="H4" s="7">
        <v>17686509.900000006</v>
      </c>
      <c r="I4" s="7">
        <v>4552481.4600000065</v>
      </c>
    </row>
    <row r="5" spans="1:9" ht="15.75" customHeight="1" x14ac:dyDescent="0.25">
      <c r="A5" s="8">
        <v>2</v>
      </c>
      <c r="B5" s="6" t="s">
        <v>463</v>
      </c>
      <c r="C5" s="7">
        <f t="shared" ref="C5:C15" si="0">+F5+H5</f>
        <v>32535995.049999893</v>
      </c>
      <c r="D5" s="7">
        <f t="shared" ref="D5:D15" si="1">+G5+I5</f>
        <v>8746637.6500000004</v>
      </c>
      <c r="E5" s="15">
        <v>6.603971238303924E-2</v>
      </c>
      <c r="F5" s="7">
        <v>14610724.549999939</v>
      </c>
      <c r="G5" s="7">
        <v>4848687.8400000008</v>
      </c>
      <c r="H5" s="7">
        <v>17925270.499999955</v>
      </c>
      <c r="I5" s="7">
        <v>3897949.8099999991</v>
      </c>
    </row>
    <row r="6" spans="1:9" ht="15.75" customHeight="1" x14ac:dyDescent="0.25">
      <c r="A6" s="8">
        <v>3</v>
      </c>
      <c r="B6" s="6" t="s">
        <v>464</v>
      </c>
      <c r="C6" s="7">
        <f t="shared" si="0"/>
        <v>34119862.86999999</v>
      </c>
      <c r="D6" s="7">
        <f t="shared" si="1"/>
        <v>9711309.0899999849</v>
      </c>
      <c r="E6" s="15">
        <v>6.908608342359307E-2</v>
      </c>
      <c r="F6" s="7">
        <v>15631171.290000029</v>
      </c>
      <c r="G6" s="7">
        <v>5370088.7199999895</v>
      </c>
      <c r="H6" s="7">
        <v>18488691.579999957</v>
      </c>
      <c r="I6" s="7">
        <v>4341220.3699999945</v>
      </c>
    </row>
    <row r="7" spans="1:9" ht="15.75" customHeight="1" x14ac:dyDescent="0.25">
      <c r="A7" s="8">
        <v>4</v>
      </c>
      <c r="B7" s="6" t="s">
        <v>465</v>
      </c>
      <c r="C7" s="7">
        <f t="shared" si="0"/>
        <v>39670347.270000204</v>
      </c>
      <c r="D7" s="7">
        <f t="shared" si="1"/>
        <v>10139382.060000002</v>
      </c>
      <c r="E7" s="15">
        <v>7.9833752276873213E-2</v>
      </c>
      <c r="F7" s="7">
        <v>17855183.100000057</v>
      </c>
      <c r="G7" s="7">
        <v>5573002.4400000004</v>
      </c>
      <c r="H7" s="7">
        <v>21815164.170000143</v>
      </c>
      <c r="I7" s="7">
        <v>4566379.620000002</v>
      </c>
    </row>
    <row r="8" spans="1:9" ht="15.75" customHeight="1" x14ac:dyDescent="0.25">
      <c r="A8" s="8">
        <v>5</v>
      </c>
      <c r="B8" s="6" t="s">
        <v>466</v>
      </c>
      <c r="C8" s="7">
        <f t="shared" si="0"/>
        <v>42661164.55000028</v>
      </c>
      <c r="D8" s="7">
        <f t="shared" si="1"/>
        <v>10431605.950000003</v>
      </c>
      <c r="E8" s="15">
        <v>8.4018725493754415E-2</v>
      </c>
      <c r="F8" s="7">
        <v>19263889.840000093</v>
      </c>
      <c r="G8" s="7">
        <v>6064387.2900000047</v>
      </c>
      <c r="H8" s="7">
        <v>23397274.710000187</v>
      </c>
      <c r="I8" s="7">
        <v>4367218.6599999983</v>
      </c>
    </row>
    <row r="9" spans="1:9" ht="15.75" customHeight="1" x14ac:dyDescent="0.25">
      <c r="A9" s="8">
        <v>6</v>
      </c>
      <c r="B9" s="6" t="s">
        <v>467</v>
      </c>
      <c r="C9" s="7">
        <f t="shared" si="0"/>
        <v>42494647.040000066</v>
      </c>
      <c r="D9" s="7">
        <f t="shared" si="1"/>
        <v>10086618.790000014</v>
      </c>
      <c r="E9" s="15">
        <v>8.4899626446166124E-2</v>
      </c>
      <c r="F9" s="7">
        <v>18918414.110000111</v>
      </c>
      <c r="G9" s="7">
        <v>5607259.330000015</v>
      </c>
      <c r="H9" s="7">
        <v>23576232.929999955</v>
      </c>
      <c r="I9" s="7">
        <v>4479359.459999999</v>
      </c>
    </row>
    <row r="10" spans="1:9" ht="15.75" customHeight="1" x14ac:dyDescent="0.25">
      <c r="A10" s="8">
        <v>7</v>
      </c>
      <c r="B10" s="6" t="s">
        <v>468</v>
      </c>
      <c r="C10" s="7">
        <f t="shared" si="0"/>
        <v>49367162.310000166</v>
      </c>
      <c r="D10" s="7">
        <f t="shared" si="1"/>
        <v>10020003.460000005</v>
      </c>
      <c r="E10" s="15">
        <v>9.0272175104115268E-2</v>
      </c>
      <c r="F10" s="7">
        <v>23991872.790000353</v>
      </c>
      <c r="G10" s="7">
        <v>5564309.5599999996</v>
      </c>
      <c r="H10" s="7">
        <v>25375289.519999813</v>
      </c>
      <c r="I10" s="7">
        <v>4455693.900000005</v>
      </c>
    </row>
    <row r="11" spans="1:9" ht="15.75" customHeight="1" x14ac:dyDescent="0.25">
      <c r="A11" s="8">
        <v>8</v>
      </c>
      <c r="B11" s="6" t="s">
        <v>469</v>
      </c>
      <c r="C11" s="7">
        <f t="shared" si="0"/>
        <v>48388910.51000008</v>
      </c>
      <c r="D11" s="7">
        <f t="shared" si="1"/>
        <v>10722689.170000015</v>
      </c>
      <c r="E11" s="15">
        <v>9.3203110479856341E-2</v>
      </c>
      <c r="F11" s="7">
        <v>23246014.540000189</v>
      </c>
      <c r="G11" s="7">
        <v>5066056.4900000049</v>
      </c>
      <c r="H11" s="7">
        <v>25142895.969999891</v>
      </c>
      <c r="I11" s="7">
        <v>5656632.6800000099</v>
      </c>
    </row>
    <row r="12" spans="1:9" ht="15.75" customHeight="1" x14ac:dyDescent="0.25">
      <c r="A12" s="8">
        <v>9</v>
      </c>
      <c r="B12" s="6" t="s">
        <v>470</v>
      </c>
      <c r="C12" s="7">
        <f t="shared" si="0"/>
        <v>44140432.299999803</v>
      </c>
      <c r="D12" s="7">
        <f t="shared" si="1"/>
        <v>10815408.089999994</v>
      </c>
      <c r="E12" s="15">
        <v>8.9116652733528201E-2</v>
      </c>
      <c r="F12" s="7">
        <v>20692366.919999916</v>
      </c>
      <c r="G12" s="7">
        <v>4814339.37</v>
      </c>
      <c r="H12" s="7">
        <v>23448065.379999887</v>
      </c>
      <c r="I12" s="7">
        <v>6001068.7199999942</v>
      </c>
    </row>
    <row r="13" spans="1:9" ht="15.75" customHeight="1" x14ac:dyDescent="0.25">
      <c r="A13" s="8">
        <v>10</v>
      </c>
      <c r="B13" s="6" t="s">
        <v>471</v>
      </c>
      <c r="C13" s="7">
        <f t="shared" si="0"/>
        <v>47328125.869999856</v>
      </c>
      <c r="D13" s="7">
        <f t="shared" si="1"/>
        <v>11000605.099999996</v>
      </c>
      <c r="E13" s="15">
        <v>9.836913640402635E-2</v>
      </c>
      <c r="F13" s="7">
        <v>20740239.85999991</v>
      </c>
      <c r="G13" s="7">
        <v>5081818.1099999957</v>
      </c>
      <c r="H13" s="7">
        <v>26587886.009999942</v>
      </c>
      <c r="I13" s="7">
        <v>5918786.9900000002</v>
      </c>
    </row>
    <row r="14" spans="1:9" ht="15.75" customHeight="1" x14ac:dyDescent="0.25">
      <c r="A14" s="8">
        <v>11</v>
      </c>
      <c r="B14" s="6" t="s">
        <v>472</v>
      </c>
      <c r="C14" s="7">
        <f t="shared" si="0"/>
        <v>41072374.110000014</v>
      </c>
      <c r="D14" s="7">
        <f t="shared" si="1"/>
        <v>10476772.610000003</v>
      </c>
      <c r="E14" s="15">
        <v>8.3916160225553066E-2</v>
      </c>
      <c r="F14" s="7">
        <v>18525080.259999879</v>
      </c>
      <c r="G14" s="7">
        <v>5293466.4000000022</v>
      </c>
      <c r="H14" s="7">
        <v>22547293.850000139</v>
      </c>
      <c r="I14" s="7">
        <v>5183306.2100000018</v>
      </c>
    </row>
    <row r="15" spans="1:9" ht="15.75" customHeight="1" x14ac:dyDescent="0.25">
      <c r="A15" s="41">
        <v>12</v>
      </c>
      <c r="B15" s="6" t="s">
        <v>513</v>
      </c>
      <c r="C15" s="7">
        <f t="shared" si="0"/>
        <v>43070281.760000058</v>
      </c>
      <c r="D15" s="7">
        <f t="shared" si="1"/>
        <v>10157848.880000001</v>
      </c>
      <c r="E15" s="15">
        <v>9.3946979005298956E-2</v>
      </c>
      <c r="F15" s="7">
        <v>17505000</v>
      </c>
      <c r="G15" s="7">
        <v>4677786.1599999899</v>
      </c>
      <c r="H15" s="7">
        <v>25565281.760000058</v>
      </c>
      <c r="I15" s="7">
        <v>5480062.7200000109</v>
      </c>
    </row>
  </sheetData>
  <mergeCells count="6">
    <mergeCell ref="F1:G1"/>
    <mergeCell ref="H1:I1"/>
    <mergeCell ref="C1:D1"/>
    <mergeCell ref="A1:A3"/>
    <mergeCell ref="B1:B2"/>
    <mergeCell ref="E1:E2"/>
  </mergeCells>
  <pageMargins left="0.7" right="0.7" top="0.75" bottom="0.75" header="0.3" footer="0.3"/>
  <pageSetup scale="68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32"/>
  <sheetViews>
    <sheetView zoomScaleNormal="100" workbookViewId="0">
      <selection activeCell="A6" sqref="A6"/>
    </sheetView>
  </sheetViews>
  <sheetFormatPr defaultColWidth="9.33203125" defaultRowHeight="13.2" x14ac:dyDescent="0.25"/>
  <cols>
    <col min="1" max="1" width="29.5546875" style="4" customWidth="1"/>
    <col min="2" max="2" width="12.5546875" style="4" customWidth="1"/>
    <col min="3" max="3" width="19.6640625" style="4" customWidth="1"/>
    <col min="4" max="7" width="16" style="4" customWidth="1"/>
    <col min="8" max="8" width="17" style="4" customWidth="1"/>
    <col min="9" max="9" width="26.44140625" style="4" customWidth="1"/>
    <col min="10" max="10" width="23.6640625" style="1" customWidth="1"/>
    <col min="11" max="11" width="37.88671875" style="4" customWidth="1"/>
    <col min="12" max="12" width="18" style="4" customWidth="1"/>
    <col min="13" max="16384" width="9.33203125" style="4"/>
  </cols>
  <sheetData>
    <row r="1" spans="1:11" ht="22.5" customHeight="1" x14ac:dyDescent="0.25">
      <c r="A1" s="58" t="s">
        <v>477</v>
      </c>
      <c r="B1" s="59" t="s">
        <v>495</v>
      </c>
      <c r="C1" s="59" t="s">
        <v>496</v>
      </c>
      <c r="D1" s="58" t="s">
        <v>510</v>
      </c>
      <c r="E1" s="58"/>
      <c r="F1" s="58"/>
      <c r="G1" s="58"/>
      <c r="J1" s="4"/>
    </row>
    <row r="2" spans="1:11" s="28" customFormat="1" ht="22.5" customHeight="1" x14ac:dyDescent="0.25">
      <c r="A2" s="58"/>
      <c r="B2" s="59"/>
      <c r="C2" s="59"/>
      <c r="D2" s="59" t="s">
        <v>234</v>
      </c>
      <c r="E2" s="59"/>
      <c r="F2" s="59" t="s">
        <v>1</v>
      </c>
      <c r="G2" s="59"/>
      <c r="H2" s="57" t="s">
        <v>514</v>
      </c>
    </row>
    <row r="3" spans="1:11" ht="22.5" customHeight="1" x14ac:dyDescent="0.25">
      <c r="A3" s="58"/>
      <c r="B3" s="59"/>
      <c r="C3" s="59"/>
      <c r="D3" s="31" t="s">
        <v>290</v>
      </c>
      <c r="E3" s="31" t="s">
        <v>287</v>
      </c>
      <c r="F3" s="31" t="s">
        <v>290</v>
      </c>
      <c r="G3" s="31" t="s">
        <v>287</v>
      </c>
      <c r="H3" s="57"/>
      <c r="J3" s="4"/>
    </row>
    <row r="4" spans="1:11" s="27" customFormat="1" ht="24.75" customHeight="1" x14ac:dyDescent="0.25">
      <c r="A4" s="29" t="s">
        <v>460</v>
      </c>
      <c r="B4" s="29"/>
      <c r="C4" s="30"/>
      <c r="D4" s="30">
        <f>+D5+D13+D18+D25+D29+D35+D43+D48+D53+D65+D69+D79+D84+D88+D92+D97+D101+D103+D110+D120+D124+D128</f>
        <v>357183</v>
      </c>
      <c r="E4" s="30">
        <f>+E5+E13+E18+E25+E29+E35+E43+E48+E53+E65+E69+E79+E84+E88+E92+E97+E101+E103+E110+E120+E124+E128</f>
        <v>271555856.27999985</v>
      </c>
      <c r="F4" s="30">
        <f t="shared" ref="F4:G4" si="0">+F5+F13+F18+F25+F29+F35+F43+F48+F53+F65+F69+F79+F84+F88+F92+F97+F101+F103+F110+F120+F124+F128</f>
        <v>52854</v>
      </c>
      <c r="G4" s="30">
        <f t="shared" si="0"/>
        <v>58900160.599999994</v>
      </c>
      <c r="H4" s="57"/>
      <c r="I4" s="45">
        <v>410037</v>
      </c>
      <c r="J4" s="27" t="s">
        <v>517</v>
      </c>
    </row>
    <row r="5" spans="1:11" s="27" customFormat="1" ht="13.8" x14ac:dyDescent="0.25">
      <c r="A5" s="29" t="s">
        <v>26</v>
      </c>
      <c r="B5" s="29"/>
      <c r="C5" s="30"/>
      <c r="D5" s="30">
        <f>SUM(D6:D12)</f>
        <v>44157</v>
      </c>
      <c r="E5" s="30">
        <f t="shared" ref="E5:G5" si="1">SUM(E6:E12)</f>
        <v>43211585.669999987</v>
      </c>
      <c r="F5" s="30">
        <f t="shared" si="1"/>
        <v>4411</v>
      </c>
      <c r="G5" s="30">
        <f t="shared" si="1"/>
        <v>4327293.25</v>
      </c>
      <c r="I5" s="60">
        <f>+SUM(I6:I12)</f>
        <v>48568</v>
      </c>
      <c r="J5" s="63">
        <f>+I5/I4</f>
        <v>0.11844784738938194</v>
      </c>
    </row>
    <row r="6" spans="1:11" ht="13.8" x14ac:dyDescent="0.25">
      <c r="A6" s="6" t="s">
        <v>478</v>
      </c>
      <c r="B6" s="6" t="s">
        <v>28</v>
      </c>
      <c r="C6" s="7" t="s">
        <v>504</v>
      </c>
      <c r="D6" s="7">
        <v>11278</v>
      </c>
      <c r="E6" s="7">
        <v>8696366.4899999779</v>
      </c>
      <c r="F6" s="7">
        <v>1226</v>
      </c>
      <c r="G6" s="7">
        <v>995753.96000000101</v>
      </c>
      <c r="H6" s="42">
        <v>442223.48</v>
      </c>
      <c r="I6" s="44">
        <f>+D6+F6</f>
        <v>12504</v>
      </c>
      <c r="J6" s="64">
        <f>+I6/I5</f>
        <v>0.25745346730357438</v>
      </c>
      <c r="K6" s="45">
        <v>410037</v>
      </c>
    </row>
    <row r="7" spans="1:11" ht="13.8" x14ac:dyDescent="0.25">
      <c r="A7" s="6" t="s">
        <v>491</v>
      </c>
      <c r="B7" s="6" t="s">
        <v>271</v>
      </c>
      <c r="C7" s="7" t="s">
        <v>507</v>
      </c>
      <c r="D7" s="7">
        <v>1</v>
      </c>
      <c r="E7" s="7">
        <v>4500</v>
      </c>
      <c r="F7" s="7"/>
      <c r="G7" s="7"/>
      <c r="H7" s="42">
        <v>0</v>
      </c>
      <c r="I7" s="44">
        <f t="shared" ref="I7:I70" si="2">+D7+F7</f>
        <v>1</v>
      </c>
      <c r="J7" s="61">
        <f>+I7/I5</f>
        <v>2.0589688683907098E-5</v>
      </c>
      <c r="K7" s="45">
        <v>410037</v>
      </c>
    </row>
    <row r="8" spans="1:11" ht="13.8" x14ac:dyDescent="0.25">
      <c r="A8" s="6" t="s">
        <v>484</v>
      </c>
      <c r="B8" t="s">
        <v>200</v>
      </c>
      <c r="C8" s="7" t="s">
        <v>507</v>
      </c>
      <c r="D8" s="7">
        <v>64</v>
      </c>
      <c r="E8" s="7">
        <v>61377.100000000006</v>
      </c>
      <c r="F8" s="7">
        <v>19</v>
      </c>
      <c r="G8" s="7">
        <v>26662</v>
      </c>
      <c r="H8" s="42">
        <v>0</v>
      </c>
      <c r="I8" s="44">
        <f t="shared" si="2"/>
        <v>83</v>
      </c>
      <c r="J8" s="61">
        <f t="shared" ref="J8:J71" si="3">+I8/K8*100</f>
        <v>2.0242075715118393E-2</v>
      </c>
      <c r="K8" s="45">
        <v>410037</v>
      </c>
    </row>
    <row r="9" spans="1:11" ht="13.8" x14ac:dyDescent="0.25">
      <c r="A9" s="6" t="s">
        <v>479</v>
      </c>
      <c r="B9" s="6" t="s">
        <v>183</v>
      </c>
      <c r="C9" s="7" t="s">
        <v>506</v>
      </c>
      <c r="D9" s="7">
        <v>3594</v>
      </c>
      <c r="E9" s="7">
        <v>4323716.629999999</v>
      </c>
      <c r="F9" s="7">
        <v>214</v>
      </c>
      <c r="G9" s="7">
        <v>252846</v>
      </c>
      <c r="H9" s="42">
        <v>221006.8</v>
      </c>
      <c r="I9" s="44">
        <f t="shared" si="2"/>
        <v>3808</v>
      </c>
      <c r="J9" s="61">
        <f t="shared" si="3"/>
        <v>0.92869667859241978</v>
      </c>
      <c r="K9" s="45">
        <v>410037</v>
      </c>
    </row>
    <row r="10" spans="1:11" ht="13.8" x14ac:dyDescent="0.25">
      <c r="A10" s="6" t="s">
        <v>481</v>
      </c>
      <c r="B10" s="6" t="s">
        <v>139</v>
      </c>
      <c r="C10" s="7" t="s">
        <v>505</v>
      </c>
      <c r="D10" s="7">
        <v>10400</v>
      </c>
      <c r="E10" s="7">
        <v>9802316.5500000063</v>
      </c>
      <c r="F10" s="7">
        <v>1534</v>
      </c>
      <c r="G10" s="7">
        <v>1514716.8800000004</v>
      </c>
      <c r="H10" s="42">
        <v>600330</v>
      </c>
      <c r="I10" s="44">
        <f t="shared" si="2"/>
        <v>11934</v>
      </c>
      <c r="J10" s="64">
        <f>+I10/I5</f>
        <v>0.24571734475374732</v>
      </c>
      <c r="K10" s="45">
        <v>410037</v>
      </c>
    </row>
    <row r="11" spans="1:11" ht="13.8" x14ac:dyDescent="0.25">
      <c r="A11" s="6" t="s">
        <v>480</v>
      </c>
      <c r="B11" t="s">
        <v>244</v>
      </c>
      <c r="C11" s="7" t="s">
        <v>507</v>
      </c>
      <c r="D11" s="7">
        <v>280</v>
      </c>
      <c r="E11" s="7">
        <v>129293.70999999999</v>
      </c>
      <c r="F11" s="7"/>
      <c r="G11" s="7"/>
      <c r="H11" s="42">
        <v>2837.4374280000002</v>
      </c>
      <c r="I11" s="44">
        <f t="shared" si="2"/>
        <v>280</v>
      </c>
      <c r="J11" s="61">
        <f t="shared" si="3"/>
        <v>6.828652048473674E-2</v>
      </c>
      <c r="K11" s="45">
        <v>410037</v>
      </c>
    </row>
    <row r="12" spans="1:11" ht="13.8" x14ac:dyDescent="0.25">
      <c r="A12" s="6" t="s">
        <v>493</v>
      </c>
      <c r="B12" s="6" t="s">
        <v>95</v>
      </c>
      <c r="C12" s="7" t="s">
        <v>504</v>
      </c>
      <c r="D12" s="7">
        <v>18540</v>
      </c>
      <c r="E12" s="7">
        <v>20194015.190000001</v>
      </c>
      <c r="F12" s="7">
        <v>1418</v>
      </c>
      <c r="G12" s="7">
        <v>1537314.4099999992</v>
      </c>
      <c r="H12" s="42">
        <v>2008590.7</v>
      </c>
      <c r="I12" s="44">
        <f t="shared" si="2"/>
        <v>19958</v>
      </c>
      <c r="J12" s="61">
        <f t="shared" si="3"/>
        <v>4.8673656279799138</v>
      </c>
      <c r="K12" s="45">
        <v>410037</v>
      </c>
    </row>
    <row r="13" spans="1:11" s="27" customFormat="1" ht="13.8" x14ac:dyDescent="0.25">
      <c r="A13" s="29" t="s">
        <v>11</v>
      </c>
      <c r="B13" s="29"/>
      <c r="C13" s="30"/>
      <c r="D13" s="30">
        <f>SUM(D14:D17)</f>
        <v>8489</v>
      </c>
      <c r="E13" s="30">
        <f t="shared" ref="E13:G13" si="4">SUM(E14:E17)</f>
        <v>6935862.2300000014</v>
      </c>
      <c r="F13" s="30">
        <f t="shared" si="4"/>
        <v>289</v>
      </c>
      <c r="G13" s="30">
        <f t="shared" si="4"/>
        <v>347730.51</v>
      </c>
      <c r="I13" s="44"/>
      <c r="J13" s="62">
        <f>+SUM(J14:J17)</f>
        <v>2.1407824171964975</v>
      </c>
      <c r="K13" s="45">
        <v>410037</v>
      </c>
    </row>
    <row r="14" spans="1:11" ht="13.8" x14ac:dyDescent="0.25">
      <c r="A14" s="6" t="s">
        <v>483</v>
      </c>
      <c r="B14" s="6" t="s">
        <v>81</v>
      </c>
      <c r="C14" s="7" t="s">
        <v>504</v>
      </c>
      <c r="D14" s="7">
        <v>6328</v>
      </c>
      <c r="E14" s="7">
        <v>4980666.3400000008</v>
      </c>
      <c r="F14" s="7">
        <v>216</v>
      </c>
      <c r="G14" s="7">
        <v>211830</v>
      </c>
      <c r="H14" s="42">
        <v>425433.94500000001</v>
      </c>
      <c r="I14" s="44">
        <f t="shared" si="2"/>
        <v>6544</v>
      </c>
      <c r="J14" s="61">
        <f t="shared" si="3"/>
        <v>1.5959535359004189</v>
      </c>
      <c r="K14" s="45">
        <v>410037</v>
      </c>
    </row>
    <row r="15" spans="1:11" ht="13.8" x14ac:dyDescent="0.25">
      <c r="A15" s="6" t="s">
        <v>482</v>
      </c>
      <c r="B15" s="6" t="s">
        <v>109</v>
      </c>
      <c r="C15" s="7" t="s">
        <v>506</v>
      </c>
      <c r="D15" s="7">
        <v>1700</v>
      </c>
      <c r="E15" s="7">
        <v>1539940.5000000007</v>
      </c>
      <c r="F15" s="7">
        <v>68</v>
      </c>
      <c r="G15" s="7">
        <v>126584.51</v>
      </c>
      <c r="H15" s="42">
        <v>12939</v>
      </c>
      <c r="I15" s="44">
        <f t="shared" si="2"/>
        <v>1768</v>
      </c>
      <c r="J15" s="61">
        <f t="shared" si="3"/>
        <v>0.43118060077505205</v>
      </c>
      <c r="K15" s="45">
        <v>410037</v>
      </c>
    </row>
    <row r="16" spans="1:11" ht="13.8" x14ac:dyDescent="0.25">
      <c r="A16" s="6" t="s">
        <v>486</v>
      </c>
      <c r="B16" s="6" t="s">
        <v>13</v>
      </c>
      <c r="C16" s="7" t="s">
        <v>507</v>
      </c>
      <c r="D16" s="7">
        <v>102</v>
      </c>
      <c r="E16" s="7">
        <v>91834</v>
      </c>
      <c r="F16" s="7">
        <v>5</v>
      </c>
      <c r="G16" s="7">
        <v>9316</v>
      </c>
      <c r="H16" s="42">
        <v>41452</v>
      </c>
      <c r="I16" s="44">
        <f t="shared" si="2"/>
        <v>107</v>
      </c>
      <c r="J16" s="61">
        <f t="shared" si="3"/>
        <v>2.6095206042381542E-2</v>
      </c>
      <c r="K16" s="45">
        <v>410037</v>
      </c>
    </row>
    <row r="17" spans="1:11" ht="13.8" x14ac:dyDescent="0.25">
      <c r="A17" s="6" t="s">
        <v>480</v>
      </c>
      <c r="B17" s="6" t="s">
        <v>251</v>
      </c>
      <c r="C17" s="7" t="s">
        <v>507</v>
      </c>
      <c r="D17" s="7">
        <v>359</v>
      </c>
      <c r="E17" s="7">
        <v>323421.39</v>
      </c>
      <c r="F17" s="7"/>
      <c r="G17" s="7"/>
      <c r="H17" s="42">
        <v>2291</v>
      </c>
      <c r="I17" s="44">
        <f t="shared" si="2"/>
        <v>359</v>
      </c>
      <c r="J17" s="61">
        <f t="shared" si="3"/>
        <v>8.7553074478644605E-2</v>
      </c>
      <c r="K17" s="45">
        <v>410037</v>
      </c>
    </row>
    <row r="18" spans="1:11" s="27" customFormat="1" ht="13.8" x14ac:dyDescent="0.25">
      <c r="A18" s="29" t="s">
        <v>45</v>
      </c>
      <c r="B18" s="29"/>
      <c r="C18" s="30"/>
      <c r="D18" s="30">
        <f>SUM(D19:D24)</f>
        <v>38672</v>
      </c>
      <c r="E18" s="30">
        <f t="shared" ref="E18:G18" si="5">SUM(E19:E24)</f>
        <v>33007175.189999923</v>
      </c>
      <c r="F18" s="30">
        <f t="shared" si="5"/>
        <v>3096</v>
      </c>
      <c r="G18" s="30">
        <f t="shared" si="5"/>
        <v>3432290.08</v>
      </c>
      <c r="I18" s="44"/>
      <c r="J18" s="62">
        <f>+SUM(J19:J24)</f>
        <v>10.186397812880301</v>
      </c>
      <c r="K18" s="45">
        <v>410037</v>
      </c>
    </row>
    <row r="19" spans="1:11" ht="13.8" x14ac:dyDescent="0.25">
      <c r="A19" s="6" t="s">
        <v>478</v>
      </c>
      <c r="B19" s="6" t="s">
        <v>155</v>
      </c>
      <c r="C19" s="7" t="s">
        <v>504</v>
      </c>
      <c r="D19" s="7">
        <v>14967</v>
      </c>
      <c r="E19" s="7">
        <v>10946564.599999933</v>
      </c>
      <c r="F19" s="7">
        <v>1122</v>
      </c>
      <c r="G19" s="7">
        <v>796181.09999999986</v>
      </c>
      <c r="H19" s="42">
        <v>658536</v>
      </c>
      <c r="I19" s="44">
        <f t="shared" si="2"/>
        <v>16089</v>
      </c>
      <c r="J19" s="61">
        <f t="shared" si="3"/>
        <v>3.9237922431390335</v>
      </c>
      <c r="K19" s="45">
        <v>410037</v>
      </c>
    </row>
    <row r="20" spans="1:11" ht="13.8" x14ac:dyDescent="0.25">
      <c r="A20" s="6" t="s">
        <v>484</v>
      </c>
      <c r="B20" s="6" t="s">
        <v>216</v>
      </c>
      <c r="C20" s="7" t="s">
        <v>507</v>
      </c>
      <c r="D20" s="7">
        <v>45</v>
      </c>
      <c r="E20" s="7">
        <v>29562.6</v>
      </c>
      <c r="F20" s="7">
        <v>6</v>
      </c>
      <c r="G20" s="7">
        <v>9784</v>
      </c>
      <c r="H20" s="42"/>
      <c r="I20" s="44">
        <f t="shared" si="2"/>
        <v>51</v>
      </c>
      <c r="J20" s="61">
        <f t="shared" si="3"/>
        <v>1.2437901945434192E-2</v>
      </c>
      <c r="K20" s="45">
        <v>410037</v>
      </c>
    </row>
    <row r="21" spans="1:11" ht="13.8" x14ac:dyDescent="0.25">
      <c r="A21" s="6" t="s">
        <v>479</v>
      </c>
      <c r="B21" t="s">
        <v>65</v>
      </c>
      <c r="C21" s="7" t="s">
        <v>506</v>
      </c>
      <c r="D21" s="7">
        <v>8297</v>
      </c>
      <c r="E21" s="7">
        <v>8379084.1599999955</v>
      </c>
      <c r="F21" s="7">
        <v>617</v>
      </c>
      <c r="G21" s="7">
        <v>651958.11999999988</v>
      </c>
      <c r="H21" s="42">
        <v>631118</v>
      </c>
      <c r="I21" s="44">
        <f t="shared" si="2"/>
        <v>8914</v>
      </c>
      <c r="J21" s="61">
        <f t="shared" si="3"/>
        <v>2.1739501557176544</v>
      </c>
      <c r="K21" s="45">
        <v>410037</v>
      </c>
    </row>
    <row r="22" spans="1:11" ht="13.8" x14ac:dyDescent="0.25">
      <c r="A22" s="6" t="s">
        <v>481</v>
      </c>
      <c r="B22" t="s">
        <v>147</v>
      </c>
      <c r="C22" s="7" t="s">
        <v>505</v>
      </c>
      <c r="D22" s="7">
        <v>11835</v>
      </c>
      <c r="E22" s="7">
        <v>11342555.439999994</v>
      </c>
      <c r="F22" s="7">
        <v>705</v>
      </c>
      <c r="G22" s="7">
        <v>788869.99000000022</v>
      </c>
      <c r="H22" s="42">
        <v>673124.47</v>
      </c>
      <c r="I22" s="44">
        <f t="shared" si="2"/>
        <v>12540</v>
      </c>
      <c r="J22" s="61">
        <f t="shared" si="3"/>
        <v>3.0582605959949953</v>
      </c>
      <c r="K22" s="45">
        <v>410037</v>
      </c>
    </row>
    <row r="23" spans="1:11" ht="13.8" x14ac:dyDescent="0.25">
      <c r="A23" s="6" t="s">
        <v>485</v>
      </c>
      <c r="B23" s="6" t="s">
        <v>47</v>
      </c>
      <c r="C23" s="7" t="s">
        <v>506</v>
      </c>
      <c r="D23" s="7">
        <v>2612</v>
      </c>
      <c r="E23" s="7">
        <v>1686554.19</v>
      </c>
      <c r="F23" s="7">
        <v>646</v>
      </c>
      <c r="G23" s="7">
        <v>1185496.8699999999</v>
      </c>
      <c r="H23" s="42">
        <v>158974.6</v>
      </c>
      <c r="I23" s="44">
        <f t="shared" si="2"/>
        <v>3258</v>
      </c>
      <c r="J23" s="61">
        <f t="shared" si="3"/>
        <v>0.79456244192597258</v>
      </c>
      <c r="K23" s="45">
        <v>410037</v>
      </c>
    </row>
    <row r="24" spans="1:11" ht="13.8" x14ac:dyDescent="0.25">
      <c r="A24" s="6" t="s">
        <v>480</v>
      </c>
      <c r="B24" s="6" t="s">
        <v>242</v>
      </c>
      <c r="C24" s="7" t="s">
        <v>507</v>
      </c>
      <c r="D24" s="7">
        <v>916</v>
      </c>
      <c r="E24" s="7">
        <v>622854.19999999995</v>
      </c>
      <c r="F24" s="7"/>
      <c r="G24" s="7"/>
      <c r="H24" s="42">
        <v>3254</v>
      </c>
      <c r="I24" s="44">
        <f t="shared" si="2"/>
        <v>916</v>
      </c>
      <c r="J24" s="61">
        <f t="shared" si="3"/>
        <v>0.22339447415721023</v>
      </c>
      <c r="K24" s="45">
        <v>410037</v>
      </c>
    </row>
    <row r="25" spans="1:11" s="27" customFormat="1" ht="13.8" x14ac:dyDescent="0.25">
      <c r="A25" s="29" t="s">
        <v>132</v>
      </c>
      <c r="B25" s="29"/>
      <c r="C25" s="30"/>
      <c r="D25" s="30">
        <f>SUM(D26:D28)</f>
        <v>8295</v>
      </c>
      <c r="E25" s="30">
        <f t="shared" ref="E25:G25" si="6">SUM(E26:E28)</f>
        <v>5943156.5200000014</v>
      </c>
      <c r="F25" s="30">
        <f t="shared" si="6"/>
        <v>735</v>
      </c>
      <c r="G25" s="30">
        <f t="shared" si="6"/>
        <v>488582.83999999997</v>
      </c>
      <c r="I25" s="44"/>
      <c r="J25" s="62">
        <f>+SUM(J26:J28)</f>
        <v>2.2022402856327599</v>
      </c>
      <c r="K25" s="45">
        <v>410037</v>
      </c>
    </row>
    <row r="26" spans="1:11" ht="13.8" x14ac:dyDescent="0.25">
      <c r="A26" s="6" t="s">
        <v>483</v>
      </c>
      <c r="B26" s="6" t="s">
        <v>157</v>
      </c>
      <c r="C26" s="7" t="s">
        <v>505</v>
      </c>
      <c r="D26" s="7">
        <v>1934</v>
      </c>
      <c r="E26" s="7">
        <v>1417839.6700000002</v>
      </c>
      <c r="F26" s="7">
        <v>236</v>
      </c>
      <c r="G26" s="7">
        <v>120785.84</v>
      </c>
      <c r="H26" s="42">
        <v>122067.73699999999</v>
      </c>
      <c r="I26" s="44">
        <f t="shared" si="2"/>
        <v>2170</v>
      </c>
      <c r="J26" s="61">
        <f t="shared" si="3"/>
        <v>0.52922053375670974</v>
      </c>
      <c r="K26" s="45">
        <v>410037</v>
      </c>
    </row>
    <row r="27" spans="1:11" ht="13.8" x14ac:dyDescent="0.25">
      <c r="A27" s="6" t="s">
        <v>481</v>
      </c>
      <c r="B27" s="6" t="s">
        <v>134</v>
      </c>
      <c r="C27" s="7" t="s">
        <v>504</v>
      </c>
      <c r="D27" s="7">
        <v>5871</v>
      </c>
      <c r="E27" s="7">
        <v>4227640.8500000015</v>
      </c>
      <c r="F27" s="7">
        <v>496</v>
      </c>
      <c r="G27" s="7">
        <v>367200</v>
      </c>
      <c r="H27" s="42">
        <v>62868.6</v>
      </c>
      <c r="I27" s="44">
        <f t="shared" si="2"/>
        <v>6367</v>
      </c>
      <c r="J27" s="61">
        <f t="shared" si="3"/>
        <v>1.5527866997368529</v>
      </c>
      <c r="K27" s="45">
        <v>410037</v>
      </c>
    </row>
    <row r="28" spans="1:11" ht="13.8" x14ac:dyDescent="0.25">
      <c r="A28" s="6" t="s">
        <v>480</v>
      </c>
      <c r="B28" s="6" t="s">
        <v>222</v>
      </c>
      <c r="C28" s="7" t="s">
        <v>507</v>
      </c>
      <c r="D28" s="7">
        <v>490</v>
      </c>
      <c r="E28" s="7">
        <v>297676</v>
      </c>
      <c r="F28" s="7">
        <v>3</v>
      </c>
      <c r="G28" s="7">
        <v>597</v>
      </c>
      <c r="H28" s="42">
        <v>1015.0873799999999</v>
      </c>
      <c r="I28" s="44">
        <f t="shared" si="2"/>
        <v>493</v>
      </c>
      <c r="J28" s="61">
        <f t="shared" si="3"/>
        <v>0.12023305213919719</v>
      </c>
      <c r="K28" s="45">
        <v>410037</v>
      </c>
    </row>
    <row r="29" spans="1:11" s="27" customFormat="1" ht="13.8" x14ac:dyDescent="0.25">
      <c r="A29" s="29" t="s">
        <v>31</v>
      </c>
      <c r="B29" s="29"/>
      <c r="C29" s="30"/>
      <c r="D29" s="30">
        <f>SUM(D30:D34)</f>
        <v>18485</v>
      </c>
      <c r="E29" s="30">
        <f t="shared" ref="E29:G29" si="7">SUM(E30:E34)</f>
        <v>15005454.969999995</v>
      </c>
      <c r="F29" s="30">
        <f t="shared" si="7"/>
        <v>3150</v>
      </c>
      <c r="G29" s="30">
        <f t="shared" si="7"/>
        <v>3282352.17</v>
      </c>
      <c r="I29" s="44"/>
      <c r="J29" s="62">
        <f>+SUM(J30:J34)</f>
        <v>5.2763531095974265</v>
      </c>
      <c r="K29" s="45">
        <v>410037</v>
      </c>
    </row>
    <row r="30" spans="1:11" ht="13.8" x14ac:dyDescent="0.25">
      <c r="A30" s="6" t="s">
        <v>482</v>
      </c>
      <c r="B30" s="6" t="s">
        <v>111</v>
      </c>
      <c r="C30" s="7" t="s">
        <v>506</v>
      </c>
      <c r="D30" s="7">
        <v>1545</v>
      </c>
      <c r="E30" s="7">
        <v>1129585.3699999996</v>
      </c>
      <c r="F30" s="7">
        <v>329</v>
      </c>
      <c r="G30" s="7">
        <v>328052.49</v>
      </c>
      <c r="H30" s="42">
        <v>14789</v>
      </c>
      <c r="I30" s="44">
        <f t="shared" si="2"/>
        <v>1874</v>
      </c>
      <c r="J30" s="61">
        <f t="shared" si="3"/>
        <v>0.45703192638713092</v>
      </c>
      <c r="K30" s="45">
        <v>410037</v>
      </c>
    </row>
    <row r="31" spans="1:11" ht="13.8" x14ac:dyDescent="0.25">
      <c r="A31" s="6" t="s">
        <v>487</v>
      </c>
      <c r="B31" t="s">
        <v>33</v>
      </c>
      <c r="C31" s="7" t="s">
        <v>504</v>
      </c>
      <c r="D31" s="7">
        <v>13618</v>
      </c>
      <c r="E31" s="7">
        <v>11172346.919999994</v>
      </c>
      <c r="F31" s="7">
        <v>2305</v>
      </c>
      <c r="G31" s="7">
        <v>2296212.73</v>
      </c>
      <c r="H31" s="42">
        <v>767741</v>
      </c>
      <c r="I31" s="44">
        <f t="shared" si="2"/>
        <v>15923</v>
      </c>
      <c r="J31" s="61">
        <f t="shared" si="3"/>
        <v>3.8833080917087965</v>
      </c>
      <c r="K31" s="45">
        <v>410037</v>
      </c>
    </row>
    <row r="32" spans="1:11" ht="13.8" x14ac:dyDescent="0.25">
      <c r="A32" s="6" t="s">
        <v>488</v>
      </c>
      <c r="B32" s="6" t="s">
        <v>131</v>
      </c>
      <c r="C32" s="7" t="s">
        <v>506</v>
      </c>
      <c r="D32" s="7">
        <v>1507</v>
      </c>
      <c r="E32" s="7">
        <v>1040652.2900000003</v>
      </c>
      <c r="F32" s="7">
        <v>344</v>
      </c>
      <c r="G32" s="7">
        <v>338599.95000000007</v>
      </c>
      <c r="H32" s="42">
        <v>96210</v>
      </c>
      <c r="I32" s="44">
        <f t="shared" si="2"/>
        <v>1851</v>
      </c>
      <c r="J32" s="61">
        <f t="shared" si="3"/>
        <v>0.45142267649017043</v>
      </c>
      <c r="K32" s="45">
        <v>410037</v>
      </c>
    </row>
    <row r="33" spans="1:11" ht="13.8" x14ac:dyDescent="0.25">
      <c r="A33" s="6" t="s">
        <v>516</v>
      </c>
      <c r="B33" s="6" t="s">
        <v>56</v>
      </c>
      <c r="C33" s="7" t="s">
        <v>506</v>
      </c>
      <c r="D33" s="7">
        <v>1776</v>
      </c>
      <c r="E33" s="7">
        <v>1642310.3900000001</v>
      </c>
      <c r="F33" s="7">
        <v>172</v>
      </c>
      <c r="G33" s="7">
        <v>319487</v>
      </c>
      <c r="H33" s="42">
        <v>122571.2</v>
      </c>
      <c r="I33" s="44">
        <f t="shared" si="2"/>
        <v>1948</v>
      </c>
      <c r="J33" s="61">
        <f t="shared" si="3"/>
        <v>0.47507907822952561</v>
      </c>
      <c r="K33" s="45">
        <v>410037</v>
      </c>
    </row>
    <row r="34" spans="1:11" ht="13.8" x14ac:dyDescent="0.25">
      <c r="A34" s="6" t="s">
        <v>480</v>
      </c>
      <c r="B34" s="6" t="s">
        <v>257</v>
      </c>
      <c r="C34" s="7" t="s">
        <v>507</v>
      </c>
      <c r="D34" s="7">
        <v>39</v>
      </c>
      <c r="E34" s="7">
        <v>20560</v>
      </c>
      <c r="F34" s="7"/>
      <c r="G34" s="7"/>
      <c r="H34" s="42">
        <v>734.67283199999997</v>
      </c>
      <c r="I34" s="44">
        <f t="shared" si="2"/>
        <v>39</v>
      </c>
      <c r="J34" s="61">
        <f t="shared" si="3"/>
        <v>9.5113367818026179E-3</v>
      </c>
      <c r="K34" s="45">
        <v>410037</v>
      </c>
    </row>
    <row r="35" spans="1:11" s="27" customFormat="1" ht="13.8" x14ac:dyDescent="0.25">
      <c r="A35" s="29" t="s">
        <v>14</v>
      </c>
      <c r="B35" s="29"/>
      <c r="C35" s="30"/>
      <c r="D35" s="30">
        <f>SUM(D36:D42)</f>
        <v>10822</v>
      </c>
      <c r="E35" s="30">
        <f t="shared" ref="E35:G35" si="8">SUM(E36:E42)</f>
        <v>9525177.6100000069</v>
      </c>
      <c r="F35" s="30">
        <f t="shared" si="8"/>
        <v>5500</v>
      </c>
      <c r="G35" s="30">
        <f t="shared" si="8"/>
        <v>10868689.830000002</v>
      </c>
      <c r="I35" s="44"/>
      <c r="J35" s="62">
        <f>+SUM(J36:J42)</f>
        <v>3.9806163833995472</v>
      </c>
      <c r="K35" s="45">
        <v>410037</v>
      </c>
    </row>
    <row r="36" spans="1:11" ht="13.8" x14ac:dyDescent="0.25">
      <c r="A36" s="6" t="s">
        <v>487</v>
      </c>
      <c r="B36" t="s">
        <v>37</v>
      </c>
      <c r="C36" s="7" t="s">
        <v>504</v>
      </c>
      <c r="D36" s="7">
        <v>1801</v>
      </c>
      <c r="E36" s="7">
        <v>1684317.8199999998</v>
      </c>
      <c r="F36" s="7">
        <v>1984</v>
      </c>
      <c r="G36" s="7">
        <v>3744140.1</v>
      </c>
      <c r="H36" s="42">
        <v>208890.92499999999</v>
      </c>
      <c r="I36" s="44">
        <f t="shared" si="2"/>
        <v>3785</v>
      </c>
      <c r="J36" s="61">
        <f t="shared" si="3"/>
        <v>0.92308742869545923</v>
      </c>
      <c r="K36" s="45">
        <v>410037</v>
      </c>
    </row>
    <row r="37" spans="1:11" ht="13.8" x14ac:dyDescent="0.25">
      <c r="A37" s="6" t="s">
        <v>492</v>
      </c>
      <c r="B37" s="6" t="s">
        <v>85</v>
      </c>
      <c r="C37" s="7" t="s">
        <v>505</v>
      </c>
      <c r="D37" s="7">
        <v>2025</v>
      </c>
      <c r="E37" s="7">
        <v>1881467.64</v>
      </c>
      <c r="F37" s="7">
        <v>1192</v>
      </c>
      <c r="G37" s="7">
        <v>2427188.2700000005</v>
      </c>
      <c r="H37" s="42">
        <v>175305.68461</v>
      </c>
      <c r="I37" s="44">
        <f t="shared" si="2"/>
        <v>3217</v>
      </c>
      <c r="J37" s="61">
        <f t="shared" si="3"/>
        <v>0.78456334428356456</v>
      </c>
      <c r="K37" s="45">
        <v>410037</v>
      </c>
    </row>
    <row r="38" spans="1:11" ht="13.8" x14ac:dyDescent="0.25">
      <c r="A38" s="6" t="s">
        <v>478</v>
      </c>
      <c r="B38" s="6" t="s">
        <v>83</v>
      </c>
      <c r="C38" s="7" t="s">
        <v>504</v>
      </c>
      <c r="D38" s="7">
        <v>2893</v>
      </c>
      <c r="E38" s="7">
        <v>1819839.7500000063</v>
      </c>
      <c r="F38" s="7">
        <v>826</v>
      </c>
      <c r="G38" s="7">
        <v>1343611.100000001</v>
      </c>
      <c r="H38" s="42">
        <v>123554.99009000001</v>
      </c>
      <c r="I38" s="44">
        <f t="shared" si="2"/>
        <v>3719</v>
      </c>
      <c r="J38" s="61">
        <f t="shared" si="3"/>
        <v>0.90699132029548546</v>
      </c>
      <c r="K38" s="45">
        <v>410037</v>
      </c>
    </row>
    <row r="39" spans="1:11" ht="13.8" x14ac:dyDescent="0.25">
      <c r="A39" s="6" t="s">
        <v>486</v>
      </c>
      <c r="B39" t="s">
        <v>209</v>
      </c>
      <c r="C39" s="7" t="s">
        <v>505</v>
      </c>
      <c r="D39" s="7">
        <v>2313</v>
      </c>
      <c r="E39" s="7">
        <v>2343164.29</v>
      </c>
      <c r="F39" s="7">
        <v>1000</v>
      </c>
      <c r="G39" s="7">
        <v>2599594.3600000003</v>
      </c>
      <c r="H39" s="42">
        <v>349800</v>
      </c>
      <c r="I39" s="44">
        <f t="shared" si="2"/>
        <v>3313</v>
      </c>
      <c r="J39" s="61">
        <f t="shared" si="3"/>
        <v>0.80797586559261725</v>
      </c>
      <c r="K39" s="45">
        <v>410037</v>
      </c>
    </row>
    <row r="40" spans="1:11" ht="13.8" x14ac:dyDescent="0.25">
      <c r="A40" s="6" t="s">
        <v>479</v>
      </c>
      <c r="B40" s="6" t="s">
        <v>255</v>
      </c>
      <c r="C40" s="7" t="s">
        <v>507</v>
      </c>
      <c r="D40" s="7">
        <v>15</v>
      </c>
      <c r="E40" s="7">
        <v>22409</v>
      </c>
      <c r="F40" s="7"/>
      <c r="G40" s="7"/>
      <c r="H40" s="42">
        <v>0</v>
      </c>
      <c r="I40" s="44">
        <f t="shared" si="2"/>
        <v>15</v>
      </c>
      <c r="J40" s="61">
        <f t="shared" si="3"/>
        <v>3.6582064545394688E-3</v>
      </c>
      <c r="K40" s="45">
        <v>410037</v>
      </c>
    </row>
    <row r="41" spans="1:11" ht="13.8" x14ac:dyDescent="0.25">
      <c r="A41" s="6" t="s">
        <v>480</v>
      </c>
      <c r="B41" t="s">
        <v>218</v>
      </c>
      <c r="C41" s="7" t="s">
        <v>507</v>
      </c>
      <c r="D41" s="7">
        <v>123</v>
      </c>
      <c r="E41" s="7">
        <v>78869</v>
      </c>
      <c r="F41" s="7">
        <v>3</v>
      </c>
      <c r="G41" s="7">
        <v>6500</v>
      </c>
      <c r="H41" s="42">
        <v>1170.1361040000002</v>
      </c>
      <c r="I41" s="44">
        <f t="shared" si="2"/>
        <v>126</v>
      </c>
      <c r="J41" s="61">
        <f t="shared" si="3"/>
        <v>3.0728934218131533E-2</v>
      </c>
      <c r="K41" s="45">
        <v>410037</v>
      </c>
    </row>
    <row r="42" spans="1:11" ht="13.8" x14ac:dyDescent="0.25">
      <c r="A42" s="6" t="s">
        <v>490</v>
      </c>
      <c r="B42" t="s">
        <v>172</v>
      </c>
      <c r="C42" s="7" t="s">
        <v>505</v>
      </c>
      <c r="D42" s="7">
        <v>1652</v>
      </c>
      <c r="E42" s="7">
        <v>1695110.11</v>
      </c>
      <c r="F42" s="7">
        <v>495</v>
      </c>
      <c r="G42" s="7">
        <v>747656</v>
      </c>
      <c r="H42" s="42">
        <v>233077.69</v>
      </c>
      <c r="I42" s="44">
        <f t="shared" si="2"/>
        <v>2147</v>
      </c>
      <c r="J42" s="61">
        <f t="shared" si="3"/>
        <v>0.5236112838597492</v>
      </c>
      <c r="K42" s="45">
        <v>410037</v>
      </c>
    </row>
    <row r="43" spans="1:11" s="27" customFormat="1" ht="13.8" x14ac:dyDescent="0.25">
      <c r="A43" s="29" t="s">
        <v>16</v>
      </c>
      <c r="B43" s="29"/>
      <c r="C43" s="30"/>
      <c r="D43" s="30">
        <f>SUM(D44:D47)</f>
        <v>23003</v>
      </c>
      <c r="E43" s="30">
        <f t="shared" ref="E43:G43" si="9">SUM(E44:E47)</f>
        <v>15677554.23999998</v>
      </c>
      <c r="F43" s="30">
        <f t="shared" si="9"/>
        <v>5777</v>
      </c>
      <c r="G43" s="30">
        <f t="shared" si="9"/>
        <v>6119976.1699999999</v>
      </c>
      <c r="I43" s="44"/>
      <c r="J43" s="62">
        <f>+SUM(J44:J47)</f>
        <v>7.0188787841097273</v>
      </c>
      <c r="K43" s="45">
        <v>410037</v>
      </c>
    </row>
    <row r="44" spans="1:11" ht="13.8" x14ac:dyDescent="0.25">
      <c r="A44" s="6" t="s">
        <v>492</v>
      </c>
      <c r="B44" s="6" t="s">
        <v>18</v>
      </c>
      <c r="C44" s="7" t="s">
        <v>504</v>
      </c>
      <c r="D44" s="7">
        <v>18366</v>
      </c>
      <c r="E44" s="7">
        <v>11862441.389999978</v>
      </c>
      <c r="F44" s="7">
        <v>4691</v>
      </c>
      <c r="G44" s="7">
        <v>4887633.7699999996</v>
      </c>
      <c r="H44" s="42">
        <v>930080.8</v>
      </c>
      <c r="I44" s="44">
        <f t="shared" si="2"/>
        <v>23057</v>
      </c>
      <c r="J44" s="61">
        <f t="shared" si="3"/>
        <v>5.6231510814877685</v>
      </c>
      <c r="K44" s="45">
        <v>410037</v>
      </c>
    </row>
    <row r="45" spans="1:11" ht="13.8" x14ac:dyDescent="0.25">
      <c r="A45" s="6" t="s">
        <v>487</v>
      </c>
      <c r="B45" s="6" t="s">
        <v>40</v>
      </c>
      <c r="C45" s="7" t="s">
        <v>506</v>
      </c>
      <c r="D45" s="7">
        <v>1640</v>
      </c>
      <c r="E45" s="7">
        <v>1209348.3000000005</v>
      </c>
      <c r="F45" s="7">
        <v>276</v>
      </c>
      <c r="G45" s="7">
        <v>299400.75</v>
      </c>
      <c r="H45" s="42">
        <v>81483</v>
      </c>
      <c r="I45" s="44">
        <f t="shared" si="2"/>
        <v>1916</v>
      </c>
      <c r="J45" s="61">
        <f t="shared" si="3"/>
        <v>0.46727490445984149</v>
      </c>
      <c r="K45" s="45">
        <v>410037</v>
      </c>
    </row>
    <row r="46" spans="1:11" ht="13.8" x14ac:dyDescent="0.25">
      <c r="A46" s="6" t="s">
        <v>481</v>
      </c>
      <c r="B46" s="6" t="s">
        <v>145</v>
      </c>
      <c r="C46" s="7" t="s">
        <v>505</v>
      </c>
      <c r="D46" s="7">
        <v>2961</v>
      </c>
      <c r="E46" s="7">
        <v>2579665.5499999998</v>
      </c>
      <c r="F46" s="7">
        <v>808</v>
      </c>
      <c r="G46" s="7">
        <v>930441.64999999991</v>
      </c>
      <c r="H46" s="42">
        <v>153471</v>
      </c>
      <c r="I46" s="44">
        <f t="shared" si="2"/>
        <v>3769</v>
      </c>
      <c r="J46" s="61">
        <f t="shared" si="3"/>
        <v>0.91918534181061706</v>
      </c>
      <c r="K46" s="45">
        <v>410037</v>
      </c>
    </row>
    <row r="47" spans="1:11" ht="13.8" x14ac:dyDescent="0.25">
      <c r="A47" s="6" t="s">
        <v>480</v>
      </c>
      <c r="B47" s="6" t="s">
        <v>229</v>
      </c>
      <c r="C47" s="7" t="s">
        <v>507</v>
      </c>
      <c r="D47" s="7">
        <v>36</v>
      </c>
      <c r="E47" s="7">
        <v>26099</v>
      </c>
      <c r="F47" s="7">
        <v>2</v>
      </c>
      <c r="G47" s="7">
        <v>2500</v>
      </c>
      <c r="H47" s="42">
        <v>208.30860000000004</v>
      </c>
      <c r="I47" s="44">
        <f t="shared" si="2"/>
        <v>38</v>
      </c>
      <c r="J47" s="61">
        <f t="shared" si="3"/>
        <v>9.2674563514999874E-3</v>
      </c>
      <c r="K47" s="45">
        <v>410037</v>
      </c>
    </row>
    <row r="48" spans="1:11" s="27" customFormat="1" ht="13.8" x14ac:dyDescent="0.25">
      <c r="A48" s="29" t="s">
        <v>41</v>
      </c>
      <c r="B48" s="29"/>
      <c r="C48" s="30"/>
      <c r="D48" s="30">
        <f>SUM(D49:D52)</f>
        <v>16540</v>
      </c>
      <c r="E48" s="30">
        <f t="shared" ref="E48:G48" si="10">SUM(E49:E52)</f>
        <v>11938467.030000001</v>
      </c>
      <c r="F48" s="30">
        <f t="shared" si="10"/>
        <v>970</v>
      </c>
      <c r="G48" s="30">
        <f t="shared" si="10"/>
        <v>806177.23000000045</v>
      </c>
      <c r="I48" s="44"/>
      <c r="J48" s="62">
        <f>+SUM(J49:J52)</f>
        <v>4.2703463345990729</v>
      </c>
      <c r="K48" s="45">
        <v>410037</v>
      </c>
    </row>
    <row r="49" spans="1:11" ht="13.8" x14ac:dyDescent="0.25">
      <c r="A49" s="6" t="s">
        <v>483</v>
      </c>
      <c r="B49" s="6" t="s">
        <v>43</v>
      </c>
      <c r="C49" s="7" t="s">
        <v>505</v>
      </c>
      <c r="D49" s="7">
        <v>5919</v>
      </c>
      <c r="E49" s="7">
        <v>4402586.66</v>
      </c>
      <c r="F49" s="7">
        <v>451</v>
      </c>
      <c r="G49" s="7">
        <v>383464</v>
      </c>
      <c r="H49" s="42">
        <v>368555.52100000001</v>
      </c>
      <c r="I49" s="44">
        <f t="shared" si="2"/>
        <v>6370</v>
      </c>
      <c r="J49" s="61">
        <f t="shared" si="3"/>
        <v>1.5535183410277609</v>
      </c>
      <c r="K49" s="45">
        <v>410037</v>
      </c>
    </row>
    <row r="50" spans="1:11" ht="13.8" x14ac:dyDescent="0.25">
      <c r="A50" s="6" t="s">
        <v>478</v>
      </c>
      <c r="B50" s="6" t="s">
        <v>151</v>
      </c>
      <c r="C50" s="7" t="s">
        <v>504</v>
      </c>
      <c r="D50" s="7">
        <v>9594</v>
      </c>
      <c r="E50" s="7">
        <v>6954346.370000002</v>
      </c>
      <c r="F50" s="7">
        <v>512</v>
      </c>
      <c r="G50" s="7">
        <v>417780.23000000045</v>
      </c>
      <c r="H50" s="42">
        <v>309094.66021</v>
      </c>
      <c r="I50" s="44">
        <f t="shared" si="2"/>
        <v>10106</v>
      </c>
      <c r="J50" s="61">
        <f t="shared" si="3"/>
        <v>2.4646556286383912</v>
      </c>
      <c r="K50" s="45">
        <v>410037</v>
      </c>
    </row>
    <row r="51" spans="1:11" ht="13.8" x14ac:dyDescent="0.25">
      <c r="A51" s="6" t="s">
        <v>480</v>
      </c>
      <c r="B51" s="6" t="s">
        <v>273</v>
      </c>
      <c r="C51" s="7"/>
      <c r="D51" s="7"/>
      <c r="E51" s="7"/>
      <c r="F51" s="7"/>
      <c r="G51" s="7"/>
      <c r="I51" s="44">
        <f t="shared" si="2"/>
        <v>0</v>
      </c>
      <c r="J51" s="61">
        <f t="shared" si="3"/>
        <v>0</v>
      </c>
      <c r="K51" s="45">
        <v>410037</v>
      </c>
    </row>
    <row r="52" spans="1:11" ht="13.8" x14ac:dyDescent="0.25">
      <c r="A52" s="6" t="s">
        <v>480</v>
      </c>
      <c r="B52" s="6" t="s">
        <v>206</v>
      </c>
      <c r="C52" s="7" t="s">
        <v>507</v>
      </c>
      <c r="D52" s="7">
        <v>1027</v>
      </c>
      <c r="E52" s="7">
        <v>581534</v>
      </c>
      <c r="F52" s="7">
        <v>7</v>
      </c>
      <c r="G52" s="7">
        <v>4933</v>
      </c>
      <c r="H52" s="42">
        <v>3250</v>
      </c>
      <c r="I52" s="44">
        <f t="shared" si="2"/>
        <v>1034</v>
      </c>
      <c r="J52" s="61">
        <f t="shared" si="3"/>
        <v>0.25217236493292067</v>
      </c>
      <c r="K52" s="45">
        <v>410037</v>
      </c>
    </row>
    <row r="53" spans="1:11" s="27" customFormat="1" ht="13.8" x14ac:dyDescent="0.25">
      <c r="A53" s="29" t="s">
        <v>58</v>
      </c>
      <c r="B53" s="29"/>
      <c r="C53" s="30"/>
      <c r="D53" s="30">
        <f>SUM(D54:D64)</f>
        <v>20613</v>
      </c>
      <c r="E53" s="30">
        <f t="shared" ref="E53:G53" si="11">SUM(E54:E64)</f>
        <v>15172048.459999995</v>
      </c>
      <c r="F53" s="30">
        <f t="shared" si="11"/>
        <v>2562</v>
      </c>
      <c r="G53" s="30">
        <f t="shared" si="11"/>
        <v>2615471.33</v>
      </c>
      <c r="I53" s="44"/>
      <c r="J53" s="62">
        <f>+SUM(J54:J64)</f>
        <v>5.6519289722634776</v>
      </c>
      <c r="K53" s="45">
        <v>410037</v>
      </c>
    </row>
    <row r="54" spans="1:11" ht="13.8" x14ac:dyDescent="0.25">
      <c r="A54" s="6" t="s">
        <v>483</v>
      </c>
      <c r="B54" s="6" t="s">
        <v>76</v>
      </c>
      <c r="C54" s="7" t="s">
        <v>507</v>
      </c>
      <c r="D54" s="7">
        <v>946</v>
      </c>
      <c r="E54" s="7">
        <v>706303.57000000007</v>
      </c>
      <c r="F54" s="7">
        <v>112</v>
      </c>
      <c r="G54" s="7">
        <v>132808</v>
      </c>
      <c r="H54" s="42">
        <v>63141.226000000002</v>
      </c>
      <c r="I54" s="44">
        <f t="shared" si="2"/>
        <v>1058</v>
      </c>
      <c r="J54" s="61">
        <f t="shared" si="3"/>
        <v>0.25802549526018381</v>
      </c>
      <c r="K54" s="45">
        <v>410037</v>
      </c>
    </row>
    <row r="55" spans="1:11" ht="13.8" x14ac:dyDescent="0.25">
      <c r="A55" s="6" t="s">
        <v>482</v>
      </c>
      <c r="B55" s="6" t="s">
        <v>104</v>
      </c>
      <c r="C55" s="7" t="s">
        <v>505</v>
      </c>
      <c r="D55" s="7">
        <v>4896</v>
      </c>
      <c r="E55" s="7">
        <v>3232478.0300000012</v>
      </c>
      <c r="F55" s="7">
        <v>484</v>
      </c>
      <c r="G55" s="7">
        <v>301779.84999999998</v>
      </c>
      <c r="H55" s="42">
        <v>8603</v>
      </c>
      <c r="I55" s="44">
        <f t="shared" si="2"/>
        <v>5380</v>
      </c>
      <c r="J55" s="61">
        <f t="shared" si="3"/>
        <v>1.312076715028156</v>
      </c>
      <c r="K55" s="45">
        <v>410037</v>
      </c>
    </row>
    <row r="56" spans="1:11" ht="13.8" x14ac:dyDescent="0.25">
      <c r="A56" s="6" t="s">
        <v>494</v>
      </c>
      <c r="B56" s="6" t="s">
        <v>187</v>
      </c>
      <c r="C56" s="7" t="s">
        <v>507</v>
      </c>
      <c r="D56" s="7">
        <v>623</v>
      </c>
      <c r="E56" s="7">
        <v>569670.23</v>
      </c>
      <c r="F56" s="7">
        <v>135</v>
      </c>
      <c r="G56" s="7">
        <v>214603.59</v>
      </c>
      <c r="H56" s="42">
        <v>48020</v>
      </c>
      <c r="I56" s="44">
        <f t="shared" si="2"/>
        <v>758</v>
      </c>
      <c r="J56" s="61">
        <f t="shared" si="3"/>
        <v>0.18486136616939447</v>
      </c>
      <c r="K56" s="45">
        <v>410037</v>
      </c>
    </row>
    <row r="57" spans="1:11" ht="13.8" x14ac:dyDescent="0.25">
      <c r="A57" s="6" t="s">
        <v>484</v>
      </c>
      <c r="B57" s="6" t="s">
        <v>233</v>
      </c>
      <c r="C57" s="7" t="s">
        <v>507</v>
      </c>
      <c r="D57" s="7">
        <v>3</v>
      </c>
      <c r="E57" s="7">
        <v>1100</v>
      </c>
      <c r="F57" s="7">
        <v>1</v>
      </c>
      <c r="G57" s="7">
        <v>1000</v>
      </c>
      <c r="H57" s="42"/>
      <c r="I57" s="44">
        <f t="shared" si="2"/>
        <v>4</v>
      </c>
      <c r="J57" s="61">
        <f t="shared" si="3"/>
        <v>9.7552172121052481E-4</v>
      </c>
      <c r="K57" s="45">
        <v>410037</v>
      </c>
    </row>
    <row r="58" spans="1:11" ht="13.8" x14ac:dyDescent="0.25">
      <c r="A58" s="6" t="s">
        <v>488</v>
      </c>
      <c r="B58" s="6" t="s">
        <v>117</v>
      </c>
      <c r="C58" s="7" t="s">
        <v>507</v>
      </c>
      <c r="D58" s="7">
        <v>581</v>
      </c>
      <c r="E58" s="7">
        <v>541968.67000000004</v>
      </c>
      <c r="F58" s="7">
        <v>63</v>
      </c>
      <c r="G58" s="7">
        <v>78957</v>
      </c>
      <c r="H58" s="42">
        <v>47740</v>
      </c>
      <c r="I58" s="44">
        <f t="shared" si="2"/>
        <v>644</v>
      </c>
      <c r="J58" s="61">
        <f t="shared" si="3"/>
        <v>0.15705899711489452</v>
      </c>
      <c r="K58" s="45">
        <v>410037</v>
      </c>
    </row>
    <row r="59" spans="1:11" ht="13.8" x14ac:dyDescent="0.25">
      <c r="A59" s="6" t="s">
        <v>479</v>
      </c>
      <c r="B59" s="6" t="s">
        <v>60</v>
      </c>
      <c r="C59" s="7" t="s">
        <v>504</v>
      </c>
      <c r="D59" s="7">
        <v>6373</v>
      </c>
      <c r="E59" s="7">
        <v>4894805.8199999956</v>
      </c>
      <c r="F59" s="7">
        <v>1058</v>
      </c>
      <c r="G59" s="7">
        <v>1236162.6800000002</v>
      </c>
      <c r="H59" s="42">
        <v>294159.8</v>
      </c>
      <c r="I59" s="44">
        <f t="shared" si="2"/>
        <v>7431</v>
      </c>
      <c r="J59" s="61">
        <f t="shared" si="3"/>
        <v>1.8122754775788525</v>
      </c>
      <c r="K59" s="45">
        <v>410037</v>
      </c>
    </row>
    <row r="60" spans="1:11" ht="13.8" x14ac:dyDescent="0.25">
      <c r="A60" s="6" t="s">
        <v>486</v>
      </c>
      <c r="B60" s="6" t="s">
        <v>227</v>
      </c>
      <c r="C60" s="7" t="s">
        <v>507</v>
      </c>
      <c r="D60" s="7">
        <v>33</v>
      </c>
      <c r="E60" s="7">
        <v>22612</v>
      </c>
      <c r="F60" s="7">
        <v>2</v>
      </c>
      <c r="G60" s="7">
        <v>104</v>
      </c>
      <c r="H60" s="42">
        <v>4586</v>
      </c>
      <c r="I60" s="44">
        <f t="shared" si="2"/>
        <v>35</v>
      </c>
      <c r="J60" s="61">
        <f t="shared" si="3"/>
        <v>8.5358150605920925E-3</v>
      </c>
      <c r="K60" s="45">
        <v>410037</v>
      </c>
    </row>
    <row r="61" spans="1:11" ht="13.8" x14ac:dyDescent="0.25">
      <c r="A61" s="6" t="s">
        <v>481</v>
      </c>
      <c r="B61" s="6" t="s">
        <v>149</v>
      </c>
      <c r="C61" s="7" t="s">
        <v>506</v>
      </c>
      <c r="D61" s="7">
        <v>1738</v>
      </c>
      <c r="E61" s="7">
        <v>1246513.6900000002</v>
      </c>
      <c r="F61" s="7">
        <v>191</v>
      </c>
      <c r="G61" s="7">
        <v>190253</v>
      </c>
      <c r="H61" s="42">
        <v>68039</v>
      </c>
      <c r="I61" s="44">
        <f t="shared" si="2"/>
        <v>1929</v>
      </c>
      <c r="J61" s="61">
        <f t="shared" si="3"/>
        <v>0.47044535005377563</v>
      </c>
      <c r="K61" s="45">
        <v>410037</v>
      </c>
    </row>
    <row r="62" spans="1:11" ht="13.8" x14ac:dyDescent="0.25">
      <c r="A62" s="6" t="s">
        <v>485</v>
      </c>
      <c r="B62" s="6" t="s">
        <v>191</v>
      </c>
      <c r="C62" s="7" t="s">
        <v>506</v>
      </c>
      <c r="D62" s="7">
        <v>1718</v>
      </c>
      <c r="E62" s="7">
        <v>969123.57000000007</v>
      </c>
      <c r="F62" s="7">
        <v>58</v>
      </c>
      <c r="G62" s="7">
        <v>27206.67</v>
      </c>
      <c r="H62" s="42">
        <v>71482.7</v>
      </c>
      <c r="I62" s="44">
        <f t="shared" si="2"/>
        <v>1776</v>
      </c>
      <c r="J62" s="61">
        <f t="shared" si="3"/>
        <v>0.43313164421747308</v>
      </c>
      <c r="K62" s="45">
        <v>410037</v>
      </c>
    </row>
    <row r="63" spans="1:11" ht="13.8" x14ac:dyDescent="0.25">
      <c r="A63" s="6" t="s">
        <v>480</v>
      </c>
      <c r="B63" s="6" t="s">
        <v>231</v>
      </c>
      <c r="C63" s="7" t="s">
        <v>507</v>
      </c>
      <c r="D63" s="7">
        <v>290</v>
      </c>
      <c r="E63" s="7">
        <v>163329</v>
      </c>
      <c r="F63" s="7">
        <v>1</v>
      </c>
      <c r="G63" s="7">
        <v>42500</v>
      </c>
      <c r="H63" s="42">
        <v>3594.6394679999994</v>
      </c>
      <c r="I63" s="44">
        <f t="shared" si="2"/>
        <v>291</v>
      </c>
      <c r="J63" s="61">
        <f t="shared" si="3"/>
        <v>7.0969205218065684E-2</v>
      </c>
      <c r="K63" s="45">
        <v>410037</v>
      </c>
    </row>
    <row r="64" spans="1:11" ht="13.8" x14ac:dyDescent="0.25">
      <c r="A64" s="6" t="s">
        <v>493</v>
      </c>
      <c r="B64" s="6" t="s">
        <v>99</v>
      </c>
      <c r="C64" s="7" t="s">
        <v>505</v>
      </c>
      <c r="D64" s="7">
        <v>3412</v>
      </c>
      <c r="E64" s="7">
        <v>2824143.8799999994</v>
      </c>
      <c r="F64" s="7">
        <v>457</v>
      </c>
      <c r="G64" s="7">
        <v>390096.54000000027</v>
      </c>
      <c r="H64" s="42">
        <v>206535</v>
      </c>
      <c r="I64" s="44">
        <f t="shared" si="2"/>
        <v>3869</v>
      </c>
      <c r="J64" s="61">
        <f t="shared" si="3"/>
        <v>0.94357338484088016</v>
      </c>
      <c r="K64" s="45">
        <v>410037</v>
      </c>
    </row>
    <row r="65" spans="1:11" s="27" customFormat="1" ht="13.8" x14ac:dyDescent="0.25">
      <c r="A65" s="29" t="s">
        <v>127</v>
      </c>
      <c r="B65" s="29"/>
      <c r="C65" s="30"/>
      <c r="D65" s="30">
        <f>SUM(D66:D68)</f>
        <v>21100</v>
      </c>
      <c r="E65" s="30">
        <f t="shared" ref="E65:G65" si="12">SUM(E66:E68)</f>
        <v>12908073.909999996</v>
      </c>
      <c r="F65" s="30">
        <f t="shared" si="12"/>
        <v>791</v>
      </c>
      <c r="G65" s="30">
        <f t="shared" si="12"/>
        <v>655957.1</v>
      </c>
      <c r="I65" s="44"/>
      <c r="J65" s="62">
        <f>+SUM(J66:J68)</f>
        <v>5.3387864997549004</v>
      </c>
      <c r="K65" s="45">
        <v>410037</v>
      </c>
    </row>
    <row r="66" spans="1:11" ht="13.8" x14ac:dyDescent="0.25">
      <c r="A66" s="6" t="s">
        <v>483</v>
      </c>
      <c r="B66" s="6" t="s">
        <v>159</v>
      </c>
      <c r="C66" s="7" t="s">
        <v>504</v>
      </c>
      <c r="D66" s="7">
        <v>10157</v>
      </c>
      <c r="E66" s="7">
        <v>6722889.3600000003</v>
      </c>
      <c r="F66" s="7">
        <v>550</v>
      </c>
      <c r="G66" s="7">
        <v>454218</v>
      </c>
      <c r="H66" s="42">
        <v>518929.51899999997</v>
      </c>
      <c r="I66" s="44">
        <f t="shared" si="2"/>
        <v>10707</v>
      </c>
      <c r="J66" s="61">
        <f t="shared" si="3"/>
        <v>2.6112277672502726</v>
      </c>
      <c r="K66" s="45">
        <v>410037</v>
      </c>
    </row>
    <row r="67" spans="1:11" ht="13.8" x14ac:dyDescent="0.25">
      <c r="A67" s="6" t="s">
        <v>488</v>
      </c>
      <c r="B67" s="6" t="s">
        <v>225</v>
      </c>
      <c r="C67" s="7" t="s">
        <v>505</v>
      </c>
      <c r="D67" s="7">
        <v>9212</v>
      </c>
      <c r="E67" s="7">
        <v>5311085.0099999961</v>
      </c>
      <c r="F67" s="7">
        <v>240</v>
      </c>
      <c r="G67" s="7">
        <v>201039.09999999998</v>
      </c>
      <c r="H67" s="42">
        <v>406310</v>
      </c>
      <c r="I67" s="44">
        <f t="shared" si="2"/>
        <v>9452</v>
      </c>
      <c r="J67" s="61">
        <f t="shared" si="3"/>
        <v>2.3051578272204702</v>
      </c>
      <c r="K67" s="45">
        <v>410037</v>
      </c>
    </row>
    <row r="68" spans="1:11" ht="13.8" x14ac:dyDescent="0.25">
      <c r="A68" s="6" t="s">
        <v>480</v>
      </c>
      <c r="B68" s="6" t="s">
        <v>129</v>
      </c>
      <c r="C68" s="7" t="s">
        <v>507</v>
      </c>
      <c r="D68" s="7">
        <v>1731</v>
      </c>
      <c r="E68" s="7">
        <v>874099.53999999992</v>
      </c>
      <c r="F68" s="7">
        <v>1</v>
      </c>
      <c r="G68" s="7">
        <v>700</v>
      </c>
      <c r="H68" s="42">
        <v>8641</v>
      </c>
      <c r="I68" s="44">
        <f t="shared" si="2"/>
        <v>1732</v>
      </c>
      <c r="J68" s="61">
        <f t="shared" si="3"/>
        <v>0.4224009052841573</v>
      </c>
      <c r="K68" s="45">
        <v>410037</v>
      </c>
    </row>
    <row r="69" spans="1:11" s="27" customFormat="1" ht="13.8" x14ac:dyDescent="0.25">
      <c r="A69" s="29" t="s">
        <v>68</v>
      </c>
      <c r="B69" s="29"/>
      <c r="C69" s="30"/>
      <c r="D69" s="30">
        <f>SUM(D70:D78)</f>
        <v>25860</v>
      </c>
      <c r="E69" s="30">
        <f t="shared" ref="E69:G69" si="13">SUM(E70:E78)</f>
        <v>17131624.500000011</v>
      </c>
      <c r="F69" s="30">
        <f t="shared" si="13"/>
        <v>8103</v>
      </c>
      <c r="G69" s="30">
        <f t="shared" si="13"/>
        <v>8509410.0399999898</v>
      </c>
      <c r="I69" s="44"/>
      <c r="J69" s="62">
        <f>+SUM(J70:J78)</f>
        <v>8.2829110543682649</v>
      </c>
      <c r="K69" s="45">
        <v>410037</v>
      </c>
    </row>
    <row r="70" spans="1:11" ht="13.8" x14ac:dyDescent="0.25">
      <c r="A70" s="6" t="s">
        <v>484</v>
      </c>
      <c r="B70" s="6" t="s">
        <v>163</v>
      </c>
      <c r="C70" s="7" t="s">
        <v>507</v>
      </c>
      <c r="D70" s="7">
        <v>39</v>
      </c>
      <c r="E70" s="7">
        <v>26536.12</v>
      </c>
      <c r="F70" s="7">
        <v>111</v>
      </c>
      <c r="G70" s="7">
        <v>422736</v>
      </c>
      <c r="H70" s="42"/>
      <c r="I70" s="44">
        <f t="shared" si="2"/>
        <v>150</v>
      </c>
      <c r="J70" s="61">
        <f t="shared" si="3"/>
        <v>3.6582064545394685E-2</v>
      </c>
      <c r="K70" s="45">
        <v>410037</v>
      </c>
    </row>
    <row r="71" spans="1:11" ht="13.8" x14ac:dyDescent="0.25">
      <c r="A71" s="6" t="s">
        <v>478</v>
      </c>
      <c r="B71" t="s">
        <v>179</v>
      </c>
      <c r="C71" s="7" t="s">
        <v>504</v>
      </c>
      <c r="D71" s="7">
        <v>12197</v>
      </c>
      <c r="E71" s="7">
        <v>7162707.4700000091</v>
      </c>
      <c r="F71" s="7">
        <v>4315</v>
      </c>
      <c r="G71" s="7">
        <v>4608706.7599999895</v>
      </c>
      <c r="H71" s="42">
        <v>1612839.0670400001</v>
      </c>
      <c r="I71" s="44">
        <f t="shared" ref="I71:I132" si="14">+D71+F71</f>
        <v>16512</v>
      </c>
      <c r="J71" s="61">
        <f t="shared" si="3"/>
        <v>4.0269536651570466</v>
      </c>
      <c r="K71" s="45">
        <v>410037</v>
      </c>
    </row>
    <row r="72" spans="1:11" ht="13.8" x14ac:dyDescent="0.25">
      <c r="A72" s="6" t="s">
        <v>488</v>
      </c>
      <c r="B72" s="6" t="s">
        <v>212</v>
      </c>
      <c r="C72" s="7" t="s">
        <v>507</v>
      </c>
      <c r="D72" s="7">
        <v>275</v>
      </c>
      <c r="E72" s="7">
        <v>219794.12</v>
      </c>
      <c r="F72" s="7">
        <v>7</v>
      </c>
      <c r="G72" s="7">
        <v>7760</v>
      </c>
      <c r="H72" s="42">
        <v>10930</v>
      </c>
      <c r="I72" s="44">
        <f t="shared" si="14"/>
        <v>282</v>
      </c>
      <c r="J72" s="61">
        <f t="shared" ref="J72:J132" si="15">+I72/K72*100</f>
        <v>6.8774281345342012E-2</v>
      </c>
      <c r="K72" s="45">
        <v>410037</v>
      </c>
    </row>
    <row r="73" spans="1:11" ht="13.8" x14ac:dyDescent="0.25">
      <c r="A73" s="6" t="s">
        <v>479</v>
      </c>
      <c r="B73" s="6" t="s">
        <v>70</v>
      </c>
      <c r="C73" s="7" t="s">
        <v>507</v>
      </c>
      <c r="D73" s="7">
        <v>508</v>
      </c>
      <c r="E73" s="7">
        <v>481981.21</v>
      </c>
      <c r="F73" s="7">
        <v>169</v>
      </c>
      <c r="G73" s="7">
        <v>243022.46999999997</v>
      </c>
      <c r="H73" s="42">
        <v>30139</v>
      </c>
      <c r="I73" s="44">
        <f t="shared" si="14"/>
        <v>677</v>
      </c>
      <c r="J73" s="61">
        <f t="shared" si="15"/>
        <v>0.16510705131488132</v>
      </c>
      <c r="K73" s="45">
        <v>410037</v>
      </c>
    </row>
    <row r="74" spans="1:11" ht="13.8" x14ac:dyDescent="0.25">
      <c r="A74" s="6" t="s">
        <v>479</v>
      </c>
      <c r="B74" s="6" t="s">
        <v>185</v>
      </c>
      <c r="C74" s="7" t="s">
        <v>507</v>
      </c>
      <c r="D74" s="7">
        <v>216</v>
      </c>
      <c r="E74" s="7">
        <v>161745.75</v>
      </c>
      <c r="F74" s="7">
        <v>239</v>
      </c>
      <c r="G74" s="7">
        <v>586746</v>
      </c>
      <c r="H74" s="42">
        <v>18999</v>
      </c>
      <c r="I74" s="44">
        <f t="shared" si="14"/>
        <v>455</v>
      </c>
      <c r="J74" s="61">
        <f t="shared" si="15"/>
        <v>0.11096559578769721</v>
      </c>
      <c r="K74" s="45">
        <v>410037</v>
      </c>
    </row>
    <row r="75" spans="1:11" ht="13.8" x14ac:dyDescent="0.25">
      <c r="A75" s="6" t="s">
        <v>479</v>
      </c>
      <c r="B75" t="s">
        <v>74</v>
      </c>
      <c r="C75" s="7" t="s">
        <v>507</v>
      </c>
      <c r="D75" s="7">
        <v>830</v>
      </c>
      <c r="E75" s="7">
        <v>813828.69000000018</v>
      </c>
      <c r="F75" s="7">
        <v>336</v>
      </c>
      <c r="G75" s="7">
        <v>351799.01</v>
      </c>
      <c r="H75" s="42">
        <v>55348</v>
      </c>
      <c r="I75" s="44">
        <f t="shared" si="14"/>
        <v>1166</v>
      </c>
      <c r="J75" s="61">
        <f t="shared" si="15"/>
        <v>0.28436458173286799</v>
      </c>
      <c r="K75" s="45">
        <v>410037</v>
      </c>
    </row>
    <row r="76" spans="1:11" ht="13.8" x14ac:dyDescent="0.25">
      <c r="A76" s="6" t="s">
        <v>481</v>
      </c>
      <c r="B76" s="6" t="s">
        <v>141</v>
      </c>
      <c r="C76" s="7" t="s">
        <v>505</v>
      </c>
      <c r="D76" s="7">
        <v>5924</v>
      </c>
      <c r="E76" s="7">
        <v>3736434.2600000012</v>
      </c>
      <c r="F76" s="7">
        <v>1578</v>
      </c>
      <c r="G76" s="7">
        <v>1064065.7500000002</v>
      </c>
      <c r="H76" s="42">
        <v>336218</v>
      </c>
      <c r="I76" s="44">
        <f t="shared" si="14"/>
        <v>7502</v>
      </c>
      <c r="J76" s="61">
        <f t="shared" si="15"/>
        <v>1.8295909881303394</v>
      </c>
      <c r="K76" s="45">
        <v>410037</v>
      </c>
    </row>
    <row r="77" spans="1:11" ht="13.8" x14ac:dyDescent="0.25">
      <c r="A77" s="6" t="s">
        <v>480</v>
      </c>
      <c r="B77" s="6" t="s">
        <v>253</v>
      </c>
      <c r="C77" s="7" t="s">
        <v>507</v>
      </c>
      <c r="D77" s="7">
        <v>214</v>
      </c>
      <c r="E77" s="7">
        <v>94158.64</v>
      </c>
      <c r="F77" s="7"/>
      <c r="G77" s="7"/>
      <c r="H77" s="42">
        <v>1060.7919360000003</v>
      </c>
      <c r="I77" s="44">
        <f t="shared" si="14"/>
        <v>214</v>
      </c>
      <c r="J77" s="61">
        <f t="shared" si="15"/>
        <v>5.2190412084763084E-2</v>
      </c>
      <c r="K77" s="45">
        <v>410037</v>
      </c>
    </row>
    <row r="78" spans="1:11" ht="13.8" x14ac:dyDescent="0.25">
      <c r="A78" s="6" t="s">
        <v>493</v>
      </c>
      <c r="B78" s="6" t="s">
        <v>93</v>
      </c>
      <c r="C78" s="7" t="s">
        <v>505</v>
      </c>
      <c r="D78" s="7">
        <v>5657</v>
      </c>
      <c r="E78" s="7">
        <v>4434438.24</v>
      </c>
      <c r="F78" s="7">
        <v>1348</v>
      </c>
      <c r="G78" s="7">
        <v>1224574.05</v>
      </c>
      <c r="H78" s="42">
        <v>2945635</v>
      </c>
      <c r="I78" s="44">
        <f t="shared" si="14"/>
        <v>7005</v>
      </c>
      <c r="J78" s="61">
        <f t="shared" si="15"/>
        <v>1.7083824142699318</v>
      </c>
      <c r="K78" s="45">
        <v>410037</v>
      </c>
    </row>
    <row r="79" spans="1:11" s="27" customFormat="1" ht="13.8" x14ac:dyDescent="0.25">
      <c r="A79" s="29" t="s">
        <v>7</v>
      </c>
      <c r="B79" s="29"/>
      <c r="C79" s="30"/>
      <c r="D79" s="30">
        <f>SUM(D80:D83)</f>
        <v>6327</v>
      </c>
      <c r="E79" s="30">
        <f t="shared" ref="E79:G79" si="16">SUM(E80:E83)</f>
        <v>3527342.5700000045</v>
      </c>
      <c r="F79" s="30">
        <f t="shared" si="16"/>
        <v>1149</v>
      </c>
      <c r="G79" s="30">
        <f t="shared" si="16"/>
        <v>895934.56000000052</v>
      </c>
      <c r="I79" s="44"/>
      <c r="J79" s="62">
        <f>+SUM(J80:J83)</f>
        <v>1.8232500969424712</v>
      </c>
      <c r="K79" s="45">
        <v>410037</v>
      </c>
    </row>
    <row r="80" spans="1:11" ht="13.8" x14ac:dyDescent="0.25">
      <c r="A80" s="6" t="s">
        <v>483</v>
      </c>
      <c r="B80" s="6" t="s">
        <v>161</v>
      </c>
      <c r="C80" s="7" t="s">
        <v>507</v>
      </c>
      <c r="D80" s="7">
        <v>432</v>
      </c>
      <c r="E80" s="7">
        <v>313724</v>
      </c>
      <c r="F80" s="7">
        <v>47</v>
      </c>
      <c r="G80" s="7">
        <v>19969</v>
      </c>
      <c r="H80" s="42">
        <v>26204.187999999998</v>
      </c>
      <c r="I80" s="44">
        <f t="shared" si="14"/>
        <v>479</v>
      </c>
      <c r="J80" s="61">
        <f t="shared" si="15"/>
        <v>0.11681872611496037</v>
      </c>
      <c r="K80" s="45">
        <v>410037</v>
      </c>
    </row>
    <row r="81" spans="1:11" ht="13.8" x14ac:dyDescent="0.25">
      <c r="A81" s="6" t="s">
        <v>478</v>
      </c>
      <c r="B81" s="6" t="s">
        <v>30</v>
      </c>
      <c r="C81" s="7" t="s">
        <v>504</v>
      </c>
      <c r="D81" s="7">
        <v>4634</v>
      </c>
      <c r="E81" s="7">
        <v>2319098.4400000046</v>
      </c>
      <c r="F81" s="7">
        <v>885</v>
      </c>
      <c r="G81" s="7">
        <v>669233.46000000054</v>
      </c>
      <c r="H81" s="42">
        <v>332000</v>
      </c>
      <c r="I81" s="44">
        <f t="shared" si="14"/>
        <v>5519</v>
      </c>
      <c r="J81" s="61">
        <f t="shared" si="15"/>
        <v>1.3459760948402217</v>
      </c>
      <c r="K81" s="45">
        <v>410037</v>
      </c>
    </row>
    <row r="82" spans="1:11" ht="13.8" x14ac:dyDescent="0.25">
      <c r="A82" s="6" t="s">
        <v>488</v>
      </c>
      <c r="B82" s="6" t="s">
        <v>202</v>
      </c>
      <c r="C82" s="7" t="s">
        <v>507</v>
      </c>
      <c r="D82" s="7">
        <v>229</v>
      </c>
      <c r="E82" s="7">
        <v>220373.66999999998</v>
      </c>
      <c r="F82" s="7">
        <v>12</v>
      </c>
      <c r="G82" s="7">
        <v>1648.1</v>
      </c>
      <c r="H82" s="42">
        <v>11820</v>
      </c>
      <c r="I82" s="44">
        <f t="shared" si="14"/>
        <v>241</v>
      </c>
      <c r="J82" s="61">
        <f t="shared" si="15"/>
        <v>5.8775183702934122E-2</v>
      </c>
      <c r="K82" s="45">
        <v>410037</v>
      </c>
    </row>
    <row r="83" spans="1:11" ht="13.8" x14ac:dyDescent="0.25">
      <c r="A83" s="6" t="s">
        <v>486</v>
      </c>
      <c r="B83" s="6" t="s">
        <v>10</v>
      </c>
      <c r="C83" s="7" t="s">
        <v>506</v>
      </c>
      <c r="D83" s="7">
        <v>1032</v>
      </c>
      <c r="E83" s="7">
        <v>674146.46000000008</v>
      </c>
      <c r="F83" s="7">
        <v>205</v>
      </c>
      <c r="G83" s="7">
        <v>205084</v>
      </c>
      <c r="H83" s="42">
        <v>145750</v>
      </c>
      <c r="I83" s="44">
        <f t="shared" si="14"/>
        <v>1237</v>
      </c>
      <c r="J83" s="61">
        <f t="shared" si="15"/>
        <v>0.30168009228435483</v>
      </c>
      <c r="K83" s="45">
        <v>410037</v>
      </c>
    </row>
    <row r="84" spans="1:11" s="27" customFormat="1" ht="13.8" x14ac:dyDescent="0.25">
      <c r="A84" s="29" t="s">
        <v>105</v>
      </c>
      <c r="B84" s="29"/>
      <c r="C84" s="30"/>
      <c r="D84" s="30">
        <f>SUM(D85:D87)</f>
        <v>3201</v>
      </c>
      <c r="E84" s="30">
        <f t="shared" ref="E84:G84" si="17">SUM(E85:E87)</f>
        <v>2235496.7200000002</v>
      </c>
      <c r="F84" s="30">
        <f t="shared" si="17"/>
        <v>725</v>
      </c>
      <c r="G84" s="30">
        <f t="shared" si="17"/>
        <v>479238.23</v>
      </c>
      <c r="I84" s="44"/>
      <c r="J84" s="62">
        <f>+SUM(J85:J87)</f>
        <v>0.95747456936813014</v>
      </c>
      <c r="K84" s="45">
        <v>410037</v>
      </c>
    </row>
    <row r="85" spans="1:11" ht="13.8" x14ac:dyDescent="0.25">
      <c r="A85" s="6" t="s">
        <v>482</v>
      </c>
      <c r="B85" s="6" t="s">
        <v>107</v>
      </c>
      <c r="C85" s="7" t="s">
        <v>504</v>
      </c>
      <c r="D85" s="7">
        <v>3081</v>
      </c>
      <c r="E85" s="7">
        <v>2129251.7200000002</v>
      </c>
      <c r="F85" s="7">
        <v>723</v>
      </c>
      <c r="G85" s="7">
        <v>478238.23</v>
      </c>
      <c r="H85" s="42">
        <v>31308</v>
      </c>
      <c r="I85" s="44">
        <f t="shared" si="14"/>
        <v>3804</v>
      </c>
      <c r="J85" s="61">
        <f t="shared" si="15"/>
        <v>0.92772115687120915</v>
      </c>
      <c r="K85" s="45">
        <v>410037</v>
      </c>
    </row>
    <row r="86" spans="1:11" ht="13.8" x14ac:dyDescent="0.25">
      <c r="A86" s="6" t="s">
        <v>483</v>
      </c>
      <c r="B86" s="6" t="s">
        <v>269</v>
      </c>
      <c r="C86" s="7" t="s">
        <v>507</v>
      </c>
      <c r="D86" s="7">
        <v>1</v>
      </c>
      <c r="E86" s="7">
        <v>300</v>
      </c>
      <c r="F86" s="7"/>
      <c r="G86" s="7"/>
      <c r="H86" s="42">
        <v>0</v>
      </c>
      <c r="I86" s="44">
        <f t="shared" si="14"/>
        <v>1</v>
      </c>
      <c r="J86" s="61">
        <f t="shared" si="15"/>
        <v>2.438804303026312E-4</v>
      </c>
      <c r="K86" s="45">
        <v>410037</v>
      </c>
    </row>
    <row r="87" spans="1:11" ht="13.8" x14ac:dyDescent="0.25">
      <c r="A87" s="6" t="s">
        <v>480</v>
      </c>
      <c r="B87" s="6" t="s">
        <v>220</v>
      </c>
      <c r="C87" s="7" t="s">
        <v>507</v>
      </c>
      <c r="D87" s="7">
        <v>119</v>
      </c>
      <c r="E87" s="7">
        <v>105945</v>
      </c>
      <c r="F87" s="7">
        <v>2</v>
      </c>
      <c r="G87" s="7">
        <v>1000</v>
      </c>
      <c r="H87" s="42">
        <v>2808.833556</v>
      </c>
      <c r="I87" s="44">
        <f t="shared" si="14"/>
        <v>121</v>
      </c>
      <c r="J87" s="61">
        <f t="shared" si="15"/>
        <v>2.9509532066618376E-2</v>
      </c>
      <c r="K87" s="45">
        <v>410037</v>
      </c>
    </row>
    <row r="88" spans="1:11" s="27" customFormat="1" ht="13.8" x14ac:dyDescent="0.25">
      <c r="A88" s="29" t="s">
        <v>112</v>
      </c>
      <c r="B88" s="29"/>
      <c r="C88" s="30"/>
      <c r="D88" s="30">
        <f>SUM(D89:D91)</f>
        <v>2117</v>
      </c>
      <c r="E88" s="30">
        <f t="shared" ref="E88:G88" si="18">SUM(E89:E91)</f>
        <v>1385648.9400000002</v>
      </c>
      <c r="F88" s="30">
        <f t="shared" si="18"/>
        <v>272</v>
      </c>
      <c r="G88" s="30">
        <f t="shared" si="18"/>
        <v>279664.26</v>
      </c>
      <c r="I88" s="44"/>
      <c r="J88" s="62">
        <f>+SUM(J89:J91)</f>
        <v>0.58263034799298596</v>
      </c>
      <c r="K88" s="45">
        <v>410037</v>
      </c>
    </row>
    <row r="89" spans="1:11" ht="13.8" x14ac:dyDescent="0.25">
      <c r="A89" s="6" t="s">
        <v>483</v>
      </c>
      <c r="B89" s="6" t="s">
        <v>196</v>
      </c>
      <c r="C89" s="7" t="s">
        <v>507</v>
      </c>
      <c r="D89" s="7">
        <v>377</v>
      </c>
      <c r="E89" s="7">
        <v>328293</v>
      </c>
      <c r="F89" s="7">
        <v>58</v>
      </c>
      <c r="G89" s="7">
        <v>73566</v>
      </c>
      <c r="H89" s="42">
        <v>30386.782999999999</v>
      </c>
      <c r="I89" s="44">
        <f t="shared" si="14"/>
        <v>435</v>
      </c>
      <c r="J89" s="61">
        <f t="shared" si="15"/>
        <v>0.10608798718164458</v>
      </c>
      <c r="K89" s="45">
        <v>410037</v>
      </c>
    </row>
    <row r="90" spans="1:11" ht="13.8" x14ac:dyDescent="0.25">
      <c r="A90" s="6" t="s">
        <v>488</v>
      </c>
      <c r="B90" s="6" t="s">
        <v>114</v>
      </c>
      <c r="C90" s="7" t="s">
        <v>505</v>
      </c>
      <c r="D90" s="7">
        <v>1688</v>
      </c>
      <c r="E90" s="7">
        <v>1031216.9400000002</v>
      </c>
      <c r="F90" s="7">
        <v>214</v>
      </c>
      <c r="G90" s="7">
        <v>206098.26</v>
      </c>
      <c r="H90" s="42">
        <v>80210</v>
      </c>
      <c r="I90" s="44">
        <f t="shared" si="14"/>
        <v>1902</v>
      </c>
      <c r="J90" s="61">
        <f t="shared" si="15"/>
        <v>0.46386057843560458</v>
      </c>
      <c r="K90" s="45">
        <v>410037</v>
      </c>
    </row>
    <row r="91" spans="1:11" ht="13.8" x14ac:dyDescent="0.25">
      <c r="A91" s="6" t="s">
        <v>480</v>
      </c>
      <c r="B91" s="6" t="s">
        <v>261</v>
      </c>
      <c r="C91" s="7" t="s">
        <v>507</v>
      </c>
      <c r="D91" s="7">
        <v>52</v>
      </c>
      <c r="E91" s="7">
        <v>26139</v>
      </c>
      <c r="F91" s="7"/>
      <c r="G91" s="7"/>
      <c r="H91" s="42">
        <v>588.59582399999999</v>
      </c>
      <c r="I91" s="44">
        <f t="shared" si="14"/>
        <v>52</v>
      </c>
      <c r="J91" s="61">
        <f t="shared" si="15"/>
        <v>1.2681782375736824E-2</v>
      </c>
      <c r="K91" s="45">
        <v>410037</v>
      </c>
    </row>
    <row r="92" spans="1:11" s="27" customFormat="1" ht="13.8" x14ac:dyDescent="0.25">
      <c r="A92" s="29" t="s">
        <v>77</v>
      </c>
      <c r="B92" s="29"/>
      <c r="C92" s="30"/>
      <c r="D92" s="30">
        <f>SUM(D93:D96)</f>
        <v>2936</v>
      </c>
      <c r="E92" s="30">
        <f t="shared" ref="E92:G92" si="19">SUM(E93:E96)</f>
        <v>2023142.8100000003</v>
      </c>
      <c r="F92" s="30">
        <f t="shared" si="19"/>
        <v>344</v>
      </c>
      <c r="G92" s="30">
        <f t="shared" si="19"/>
        <v>170926</v>
      </c>
      <c r="I92" s="44"/>
      <c r="J92" s="62">
        <f>+SUM(J93:J96)</f>
        <v>0.79992781139263047</v>
      </c>
      <c r="K92" s="45">
        <v>410037</v>
      </c>
    </row>
    <row r="93" spans="1:11" ht="13.8" x14ac:dyDescent="0.25">
      <c r="A93" s="6" t="s">
        <v>483</v>
      </c>
      <c r="B93" s="6" t="s">
        <v>79</v>
      </c>
      <c r="C93" s="7" t="s">
        <v>505</v>
      </c>
      <c r="D93" s="7">
        <v>1513</v>
      </c>
      <c r="E93" s="7">
        <v>1023259</v>
      </c>
      <c r="F93" s="7">
        <v>179</v>
      </c>
      <c r="G93" s="7">
        <v>63512</v>
      </c>
      <c r="H93" s="42">
        <v>85822.672000000006</v>
      </c>
      <c r="I93" s="44">
        <f t="shared" si="14"/>
        <v>1692</v>
      </c>
      <c r="J93" s="61">
        <f t="shared" si="15"/>
        <v>0.41264568807205204</v>
      </c>
      <c r="K93" s="45">
        <v>410037</v>
      </c>
    </row>
    <row r="94" spans="1:11" ht="13.8" x14ac:dyDescent="0.25">
      <c r="A94" s="6" t="s">
        <v>488</v>
      </c>
      <c r="B94" s="6" t="s">
        <v>119</v>
      </c>
      <c r="C94" s="7" t="s">
        <v>506</v>
      </c>
      <c r="D94" s="7">
        <v>680</v>
      </c>
      <c r="E94" s="7">
        <v>536013.24000000011</v>
      </c>
      <c r="F94" s="7">
        <v>67</v>
      </c>
      <c r="G94" s="7">
        <v>49290</v>
      </c>
      <c r="H94" s="42">
        <v>37670</v>
      </c>
      <c r="I94" s="44">
        <f t="shared" si="14"/>
        <v>747</v>
      </c>
      <c r="J94" s="61">
        <f t="shared" si="15"/>
        <v>0.18217868143606553</v>
      </c>
      <c r="K94" s="45">
        <v>410037</v>
      </c>
    </row>
    <row r="95" spans="1:11" ht="13.8" x14ac:dyDescent="0.25">
      <c r="A95" s="6" t="s">
        <v>481</v>
      </c>
      <c r="B95" s="6" t="s">
        <v>137</v>
      </c>
      <c r="C95" s="7" t="s">
        <v>506</v>
      </c>
      <c r="D95" s="7">
        <v>697</v>
      </c>
      <c r="E95" s="7">
        <v>441163.57000000007</v>
      </c>
      <c r="F95" s="7">
        <v>98</v>
      </c>
      <c r="G95" s="7">
        <v>58124</v>
      </c>
      <c r="H95" s="42">
        <v>6156.6872400000002</v>
      </c>
      <c r="I95" s="44">
        <f t="shared" si="14"/>
        <v>795</v>
      </c>
      <c r="J95" s="61">
        <f t="shared" si="15"/>
        <v>0.19388494209059182</v>
      </c>
      <c r="K95" s="45">
        <v>410037</v>
      </c>
    </row>
    <row r="96" spans="1:11" ht="13.8" x14ac:dyDescent="0.25">
      <c r="A96" s="6" t="s">
        <v>480</v>
      </c>
      <c r="B96" t="s">
        <v>236</v>
      </c>
      <c r="C96" s="7" t="s">
        <v>507</v>
      </c>
      <c r="D96" s="7">
        <v>46</v>
      </c>
      <c r="E96" s="7">
        <v>22707</v>
      </c>
      <c r="F96" s="7"/>
      <c r="G96" s="7"/>
      <c r="H96" s="42">
        <v>770.0470439999998</v>
      </c>
      <c r="I96" s="44">
        <f t="shared" si="14"/>
        <v>46</v>
      </c>
      <c r="J96" s="61">
        <f t="shared" si="15"/>
        <v>1.1218499793921036E-2</v>
      </c>
      <c r="K96" s="45">
        <v>410037</v>
      </c>
    </row>
    <row r="97" spans="1:11" s="27" customFormat="1" ht="13.8" x14ac:dyDescent="0.25">
      <c r="A97" s="29" t="s">
        <v>52</v>
      </c>
      <c r="B97" s="29"/>
      <c r="C97" s="30"/>
      <c r="D97" s="30">
        <f>SUM(D98:D100)</f>
        <v>2893</v>
      </c>
      <c r="E97" s="30">
        <f t="shared" ref="E97:G97" si="20">SUM(E98:E100)</f>
        <v>2440062.5599999996</v>
      </c>
      <c r="F97" s="30">
        <f t="shared" si="20"/>
        <v>454</v>
      </c>
      <c r="G97" s="30">
        <f t="shared" si="20"/>
        <v>607891.37</v>
      </c>
      <c r="I97" s="44"/>
      <c r="J97" s="62">
        <f>+SUM(J98:J100)</f>
        <v>0.81626780022290668</v>
      </c>
      <c r="K97" s="45">
        <v>410037</v>
      </c>
    </row>
    <row r="98" spans="1:11" ht="13.8" x14ac:dyDescent="0.25">
      <c r="A98" s="6" t="s">
        <v>488</v>
      </c>
      <c r="B98" s="6" t="s">
        <v>121</v>
      </c>
      <c r="C98" s="7" t="s">
        <v>506</v>
      </c>
      <c r="D98" s="7">
        <v>974</v>
      </c>
      <c r="E98" s="7">
        <v>956750.01000000013</v>
      </c>
      <c r="F98" s="7">
        <v>173</v>
      </c>
      <c r="G98" s="7">
        <v>356896.58</v>
      </c>
      <c r="H98" s="42">
        <v>28010</v>
      </c>
      <c r="I98" s="44">
        <f t="shared" si="14"/>
        <v>1147</v>
      </c>
      <c r="J98" s="61">
        <f t="shared" si="15"/>
        <v>0.27973085355711802</v>
      </c>
      <c r="K98" s="45">
        <v>410037</v>
      </c>
    </row>
    <row r="99" spans="1:11" ht="13.8" x14ac:dyDescent="0.25">
      <c r="A99" s="6" t="s">
        <v>485</v>
      </c>
      <c r="B99" s="6" t="s">
        <v>54</v>
      </c>
      <c r="C99" s="7" t="s">
        <v>505</v>
      </c>
      <c r="D99" s="7">
        <v>1877</v>
      </c>
      <c r="E99" s="7">
        <v>1467733.5499999996</v>
      </c>
      <c r="F99" s="7">
        <v>281</v>
      </c>
      <c r="G99" s="7">
        <v>250994.79</v>
      </c>
      <c r="H99" s="42">
        <v>91246.5</v>
      </c>
      <c r="I99" s="44">
        <f t="shared" si="14"/>
        <v>2158</v>
      </c>
      <c r="J99" s="61">
        <f t="shared" si="15"/>
        <v>0.5262939685930782</v>
      </c>
      <c r="K99" s="45">
        <v>410037</v>
      </c>
    </row>
    <row r="100" spans="1:11" ht="13.8" x14ac:dyDescent="0.25">
      <c r="A100" s="6" t="s">
        <v>480</v>
      </c>
      <c r="B100" s="6" t="s">
        <v>259</v>
      </c>
      <c r="C100" s="7" t="s">
        <v>507</v>
      </c>
      <c r="D100" s="7">
        <v>42</v>
      </c>
      <c r="E100" s="7">
        <v>15579</v>
      </c>
      <c r="F100" s="7"/>
      <c r="G100" s="7"/>
      <c r="H100" s="42">
        <v>50.572991999999999</v>
      </c>
      <c r="I100" s="44">
        <f t="shared" si="14"/>
        <v>42</v>
      </c>
      <c r="J100" s="61">
        <f t="shared" si="15"/>
        <v>1.0242978072710513E-2</v>
      </c>
      <c r="K100" s="45">
        <v>410037</v>
      </c>
    </row>
    <row r="101" spans="1:11" s="27" customFormat="1" ht="13.8" x14ac:dyDescent="0.25">
      <c r="A101" s="29" t="s">
        <v>49</v>
      </c>
      <c r="B101" s="29"/>
      <c r="C101" s="30"/>
      <c r="D101" s="30">
        <f>SUM(D102)</f>
        <v>1641</v>
      </c>
      <c r="E101" s="30">
        <f t="shared" ref="E101:G101" si="21">SUM(E102)</f>
        <v>1191859.7800000007</v>
      </c>
      <c r="F101" s="30">
        <f t="shared" si="21"/>
        <v>387</v>
      </c>
      <c r="G101" s="30">
        <f t="shared" si="21"/>
        <v>368633.06</v>
      </c>
      <c r="I101" s="44"/>
      <c r="J101" s="62">
        <f>+SUM(J102)</f>
        <v>0.49458951265373607</v>
      </c>
      <c r="K101" s="45">
        <v>410037</v>
      </c>
    </row>
    <row r="102" spans="1:11" ht="13.8" x14ac:dyDescent="0.25">
      <c r="A102" s="6" t="s">
        <v>485</v>
      </c>
      <c r="B102" s="6" t="s">
        <v>51</v>
      </c>
      <c r="C102" s="7" t="s">
        <v>505</v>
      </c>
      <c r="D102" s="7">
        <v>1641</v>
      </c>
      <c r="E102" s="7">
        <v>1191859.7800000007</v>
      </c>
      <c r="F102" s="7">
        <v>387</v>
      </c>
      <c r="G102" s="7">
        <v>368633.06</v>
      </c>
      <c r="H102" s="42">
        <v>84690.7</v>
      </c>
      <c r="I102" s="44">
        <f t="shared" si="14"/>
        <v>2028</v>
      </c>
      <c r="J102" s="61">
        <f t="shared" si="15"/>
        <v>0.49458951265373607</v>
      </c>
      <c r="K102" s="45">
        <v>410037</v>
      </c>
    </row>
    <row r="103" spans="1:11" s="27" customFormat="1" ht="13.8" x14ac:dyDescent="0.25">
      <c r="A103" s="29" t="s">
        <v>0</v>
      </c>
      <c r="B103" s="29"/>
      <c r="C103" s="30"/>
      <c r="D103" s="30">
        <f>SUM(D104:D109)</f>
        <v>19298</v>
      </c>
      <c r="E103" s="30">
        <f t="shared" ref="E103:G103" si="22">SUM(E104:E109)</f>
        <v>13718130.019999985</v>
      </c>
      <c r="F103" s="30">
        <f t="shared" si="22"/>
        <v>1418</v>
      </c>
      <c r="G103" s="30">
        <f t="shared" si="22"/>
        <v>1086245.02</v>
      </c>
      <c r="I103" s="44"/>
      <c r="J103" s="62">
        <f>+SUM(J104:J109)</f>
        <v>5.0522269941493088</v>
      </c>
      <c r="K103" s="45">
        <v>410037</v>
      </c>
    </row>
    <row r="104" spans="1:11" ht="13.8" x14ac:dyDescent="0.25">
      <c r="A104" s="6" t="s">
        <v>483</v>
      </c>
      <c r="B104" s="6" t="s">
        <v>194</v>
      </c>
      <c r="C104" s="7" t="s">
        <v>507</v>
      </c>
      <c r="D104" s="7">
        <v>833</v>
      </c>
      <c r="E104" s="7">
        <v>628129.01</v>
      </c>
      <c r="F104" s="7">
        <v>81</v>
      </c>
      <c r="G104" s="7">
        <v>41716</v>
      </c>
      <c r="H104" s="42">
        <v>52129.883000000002</v>
      </c>
      <c r="I104" s="44">
        <f t="shared" si="14"/>
        <v>914</v>
      </c>
      <c r="J104" s="61">
        <f t="shared" si="15"/>
        <v>0.22290671329660497</v>
      </c>
      <c r="K104" s="45">
        <v>410037</v>
      </c>
    </row>
    <row r="105" spans="1:11" ht="13.8" x14ac:dyDescent="0.25">
      <c r="A105" s="6" t="s">
        <v>478</v>
      </c>
      <c r="B105" s="6" t="s">
        <v>153</v>
      </c>
      <c r="C105" s="7" t="s">
        <v>504</v>
      </c>
      <c r="D105" s="7">
        <v>8867</v>
      </c>
      <c r="E105" s="7">
        <v>5132457.919999986</v>
      </c>
      <c r="F105" s="7">
        <v>565</v>
      </c>
      <c r="G105" s="7">
        <v>433298.94000000006</v>
      </c>
      <c r="H105" s="42">
        <v>276924.79999999999</v>
      </c>
      <c r="I105" s="44">
        <f t="shared" si="14"/>
        <v>9432</v>
      </c>
      <c r="J105" s="61">
        <f t="shared" si="15"/>
        <v>2.3002802186144176</v>
      </c>
      <c r="K105" s="45">
        <v>410037</v>
      </c>
    </row>
    <row r="106" spans="1:11" ht="13.8" x14ac:dyDescent="0.25">
      <c r="A106" s="6" t="s">
        <v>486</v>
      </c>
      <c r="B106" s="6" t="s">
        <v>4</v>
      </c>
      <c r="C106" s="7" t="s">
        <v>506</v>
      </c>
      <c r="D106" s="7">
        <v>1620</v>
      </c>
      <c r="E106" s="7">
        <v>797042.12</v>
      </c>
      <c r="F106" s="7">
        <v>183</v>
      </c>
      <c r="G106" s="7">
        <v>73575</v>
      </c>
      <c r="H106" s="42">
        <v>87450</v>
      </c>
      <c r="I106" s="44">
        <f t="shared" si="14"/>
        <v>1803</v>
      </c>
      <c r="J106" s="61">
        <f t="shared" si="15"/>
        <v>0.43971641583564414</v>
      </c>
      <c r="K106" s="45">
        <v>410037</v>
      </c>
    </row>
    <row r="107" spans="1:11" ht="13.8" x14ac:dyDescent="0.25">
      <c r="A107" s="6" t="s">
        <v>480</v>
      </c>
      <c r="B107" t="s">
        <v>264</v>
      </c>
      <c r="C107" s="7"/>
      <c r="D107" s="7"/>
      <c r="E107" s="7"/>
      <c r="F107" s="7"/>
      <c r="G107" s="7"/>
      <c r="I107" s="44">
        <f t="shared" si="14"/>
        <v>0</v>
      </c>
      <c r="J107" s="61">
        <f t="shared" si="15"/>
        <v>0</v>
      </c>
      <c r="K107" s="45">
        <v>410037</v>
      </c>
    </row>
    <row r="108" spans="1:11" ht="13.8" x14ac:dyDescent="0.25">
      <c r="A108" s="6" t="s">
        <v>480</v>
      </c>
      <c r="B108" t="s">
        <v>264</v>
      </c>
      <c r="C108" s="7" t="s">
        <v>507</v>
      </c>
      <c r="D108" s="7">
        <v>658</v>
      </c>
      <c r="E108" s="7">
        <v>311661</v>
      </c>
      <c r="F108" s="7"/>
      <c r="G108" s="7"/>
      <c r="H108" s="42">
        <v>6342.8138640000006</v>
      </c>
      <c r="I108" s="44">
        <f t="shared" si="14"/>
        <v>658</v>
      </c>
      <c r="J108" s="61">
        <f t="shared" si="15"/>
        <v>0.16047332313913135</v>
      </c>
      <c r="K108" s="45">
        <v>410037</v>
      </c>
    </row>
    <row r="109" spans="1:11" ht="13.8" x14ac:dyDescent="0.25">
      <c r="A109" s="6" t="s">
        <v>493</v>
      </c>
      <c r="B109" t="s">
        <v>87</v>
      </c>
      <c r="C109" s="7" t="s">
        <v>505</v>
      </c>
      <c r="D109" s="7">
        <v>7320</v>
      </c>
      <c r="E109" s="7">
        <v>6848839.9699999988</v>
      </c>
      <c r="F109" s="7">
        <v>589</v>
      </c>
      <c r="G109" s="7">
        <v>537655.08000000007</v>
      </c>
      <c r="H109" s="42">
        <v>693891</v>
      </c>
      <c r="I109" s="44">
        <f t="shared" si="14"/>
        <v>7909</v>
      </c>
      <c r="J109" s="61">
        <f t="shared" si="15"/>
        <v>1.9288503232635104</v>
      </c>
      <c r="K109" s="45">
        <v>410037</v>
      </c>
    </row>
    <row r="110" spans="1:11" s="27" customFormat="1" ht="13.8" x14ac:dyDescent="0.25">
      <c r="A110" s="29" t="s">
        <v>21</v>
      </c>
      <c r="B110" s="29"/>
      <c r="C110" s="30"/>
      <c r="D110" s="30">
        <f>SUM(D111:D119)</f>
        <v>21825</v>
      </c>
      <c r="E110" s="30">
        <f t="shared" ref="E110:G110" si="23">SUM(E111:E119)</f>
        <v>16852748.840000007</v>
      </c>
      <c r="F110" s="30">
        <f t="shared" si="23"/>
        <v>4974</v>
      </c>
      <c r="G110" s="30">
        <f t="shared" si="23"/>
        <v>5436131.4099999992</v>
      </c>
      <c r="I110" s="44"/>
      <c r="J110" s="62">
        <f>+SUM(J111:J119)</f>
        <v>6.535751651680215</v>
      </c>
      <c r="K110" s="45">
        <v>410037</v>
      </c>
    </row>
    <row r="111" spans="1:11" ht="13.8" x14ac:dyDescent="0.25">
      <c r="A111" s="6" t="s">
        <v>478</v>
      </c>
      <c r="B111" s="6" t="s">
        <v>23</v>
      </c>
      <c r="C111" s="7" t="s">
        <v>505</v>
      </c>
      <c r="D111" s="7">
        <v>2749</v>
      </c>
      <c r="E111" s="7">
        <v>2185020.400000005</v>
      </c>
      <c r="F111" s="7">
        <v>872</v>
      </c>
      <c r="G111" s="7">
        <v>1352034.1599999985</v>
      </c>
      <c r="H111" s="42">
        <v>165772.1</v>
      </c>
      <c r="I111" s="44">
        <f t="shared" si="14"/>
        <v>3621</v>
      </c>
      <c r="J111" s="61">
        <f t="shared" si="15"/>
        <v>0.88309103812582779</v>
      </c>
      <c r="K111" s="45">
        <v>410037</v>
      </c>
    </row>
    <row r="112" spans="1:11" ht="13.8" x14ac:dyDescent="0.25">
      <c r="A112" s="6" t="s">
        <v>491</v>
      </c>
      <c r="B112" s="6" t="s">
        <v>266</v>
      </c>
      <c r="C112" s="7" t="s">
        <v>507</v>
      </c>
      <c r="D112" s="7">
        <v>5</v>
      </c>
      <c r="E112" s="7">
        <v>4122.82</v>
      </c>
      <c r="F112" s="7"/>
      <c r="G112" s="7"/>
      <c r="H112" s="42"/>
      <c r="I112" s="44">
        <f t="shared" si="14"/>
        <v>5</v>
      </c>
      <c r="J112" s="61">
        <f t="shared" si="15"/>
        <v>1.2194021515131563E-3</v>
      </c>
      <c r="K112" s="45">
        <v>410037</v>
      </c>
    </row>
    <row r="113" spans="1:11" ht="13.8" x14ac:dyDescent="0.25">
      <c r="A113" s="6" t="s">
        <v>484</v>
      </c>
      <c r="B113" t="s">
        <v>166</v>
      </c>
      <c r="C113" s="7" t="s">
        <v>507</v>
      </c>
      <c r="D113" s="7">
        <v>244</v>
      </c>
      <c r="E113" s="7">
        <v>159910.19</v>
      </c>
      <c r="F113" s="7">
        <v>108</v>
      </c>
      <c r="G113" s="7">
        <v>295318.52</v>
      </c>
      <c r="H113" s="42"/>
      <c r="I113" s="44">
        <f t="shared" si="14"/>
        <v>352</v>
      </c>
      <c r="J113" s="61">
        <f t="shared" si="15"/>
        <v>8.584591146652619E-2</v>
      </c>
      <c r="K113" s="45">
        <v>410037</v>
      </c>
    </row>
    <row r="114" spans="1:11" ht="13.8" x14ac:dyDescent="0.25">
      <c r="A114" s="6" t="s">
        <v>488</v>
      </c>
      <c r="B114" s="6" t="s">
        <v>123</v>
      </c>
      <c r="C114" s="7" t="s">
        <v>505</v>
      </c>
      <c r="D114" s="7">
        <v>2706</v>
      </c>
      <c r="E114" s="7">
        <v>1780155.2899999998</v>
      </c>
      <c r="F114" s="7">
        <v>837</v>
      </c>
      <c r="G114" s="7">
        <v>796362.92</v>
      </c>
      <c r="H114" s="42">
        <v>162200</v>
      </c>
      <c r="I114" s="44">
        <f t="shared" si="14"/>
        <v>3543</v>
      </c>
      <c r="J114" s="61">
        <f t="shared" si="15"/>
        <v>0.86406836456222236</v>
      </c>
      <c r="K114" s="45">
        <v>410037</v>
      </c>
    </row>
    <row r="115" spans="1:11" ht="13.8" x14ac:dyDescent="0.25">
      <c r="A115" s="6" t="s">
        <v>479</v>
      </c>
      <c r="B115" s="6" t="s">
        <v>72</v>
      </c>
      <c r="C115" s="7" t="s">
        <v>506</v>
      </c>
      <c r="D115" s="7">
        <v>1616</v>
      </c>
      <c r="E115" s="7">
        <v>1312671.2000000004</v>
      </c>
      <c r="F115" s="7">
        <v>511</v>
      </c>
      <c r="G115" s="7">
        <v>531469.76</v>
      </c>
      <c r="H115" s="42">
        <v>108509</v>
      </c>
      <c r="I115" s="44">
        <f t="shared" si="14"/>
        <v>2127</v>
      </c>
      <c r="J115" s="61">
        <f t="shared" si="15"/>
        <v>0.51873367525369662</v>
      </c>
      <c r="K115" s="45">
        <v>410037</v>
      </c>
    </row>
    <row r="116" spans="1:11" ht="13.8" x14ac:dyDescent="0.25">
      <c r="A116" s="6" t="s">
        <v>486</v>
      </c>
      <c r="B116" s="6" t="s">
        <v>214</v>
      </c>
      <c r="C116" s="7" t="s">
        <v>507</v>
      </c>
      <c r="D116" s="7">
        <v>21</v>
      </c>
      <c r="E116" s="7">
        <v>10475</v>
      </c>
      <c r="F116" s="7">
        <v>7</v>
      </c>
      <c r="G116" s="7">
        <v>3157</v>
      </c>
      <c r="H116" s="42">
        <v>593</v>
      </c>
      <c r="I116" s="44">
        <f t="shared" si="14"/>
        <v>28</v>
      </c>
      <c r="J116" s="61">
        <f t="shared" si="15"/>
        <v>6.8286520484736749E-3</v>
      </c>
      <c r="K116" s="45">
        <v>410037</v>
      </c>
    </row>
    <row r="117" spans="1:11" ht="13.8" x14ac:dyDescent="0.25">
      <c r="A117" s="6" t="s">
        <v>481</v>
      </c>
      <c r="B117" s="6" t="s">
        <v>143</v>
      </c>
      <c r="C117" s="7" t="s">
        <v>504</v>
      </c>
      <c r="D117" s="7">
        <v>8452</v>
      </c>
      <c r="E117" s="7">
        <v>6421905.4600000046</v>
      </c>
      <c r="F117" s="7">
        <v>1750</v>
      </c>
      <c r="G117" s="7">
        <v>1546159.0100000002</v>
      </c>
      <c r="H117" s="42">
        <v>481721</v>
      </c>
      <c r="I117" s="44">
        <f t="shared" si="14"/>
        <v>10202</v>
      </c>
      <c r="J117" s="61">
        <f t="shared" si="15"/>
        <v>2.488068149947444</v>
      </c>
      <c r="K117" s="45">
        <v>410037</v>
      </c>
    </row>
    <row r="118" spans="1:11" ht="13.8" x14ac:dyDescent="0.25">
      <c r="A118" s="6" t="s">
        <v>485</v>
      </c>
      <c r="B118" s="6" t="s">
        <v>204</v>
      </c>
      <c r="C118" s="7" t="s">
        <v>507</v>
      </c>
      <c r="D118" s="7">
        <v>127</v>
      </c>
      <c r="E118" s="7">
        <v>73476.25</v>
      </c>
      <c r="F118" s="7">
        <v>29</v>
      </c>
      <c r="G118" s="7">
        <v>18592.05</v>
      </c>
      <c r="H118" s="42">
        <v>0</v>
      </c>
      <c r="I118" s="44">
        <f t="shared" si="14"/>
        <v>156</v>
      </c>
      <c r="J118" s="61">
        <f t="shared" si="15"/>
        <v>3.8045347127210472E-2</v>
      </c>
      <c r="K118" s="45">
        <v>410037</v>
      </c>
    </row>
    <row r="119" spans="1:11" ht="13.8" x14ac:dyDescent="0.25">
      <c r="A119" s="6" t="s">
        <v>493</v>
      </c>
      <c r="B119" t="s">
        <v>97</v>
      </c>
      <c r="C119" s="7" t="s">
        <v>505</v>
      </c>
      <c r="D119" s="7">
        <v>5905</v>
      </c>
      <c r="E119" s="7">
        <v>4905012.2299999958</v>
      </c>
      <c r="F119" s="7">
        <v>860</v>
      </c>
      <c r="G119" s="7">
        <v>893037.98999999987</v>
      </c>
      <c r="H119" s="42">
        <v>489348</v>
      </c>
      <c r="I119" s="44">
        <f t="shared" si="14"/>
        <v>6765</v>
      </c>
      <c r="J119" s="61">
        <f t="shared" si="15"/>
        <v>1.6498511109973004</v>
      </c>
      <c r="K119" s="45">
        <v>410037</v>
      </c>
    </row>
    <row r="120" spans="1:11" s="27" customFormat="1" ht="13.8" x14ac:dyDescent="0.25">
      <c r="A120" s="29" t="s">
        <v>124</v>
      </c>
      <c r="B120" s="29"/>
      <c r="C120" s="30"/>
      <c r="D120" s="30">
        <f>SUM(D121:D123)</f>
        <v>5913</v>
      </c>
      <c r="E120" s="30">
        <f t="shared" ref="E120:G120" si="24">SUM(E121:E123)</f>
        <v>4387604.99</v>
      </c>
      <c r="F120" s="30">
        <f t="shared" si="24"/>
        <v>1399</v>
      </c>
      <c r="G120" s="30">
        <f t="shared" si="24"/>
        <v>1254402</v>
      </c>
      <c r="I120" s="44"/>
      <c r="J120" s="62">
        <f>+SUM(J121:J123)</f>
        <v>1.7832537063728393</v>
      </c>
      <c r="K120" s="45">
        <v>410037</v>
      </c>
    </row>
    <row r="121" spans="1:11" ht="13.8" x14ac:dyDescent="0.25">
      <c r="A121" s="6" t="s">
        <v>483</v>
      </c>
      <c r="B121" s="6" t="s">
        <v>177</v>
      </c>
      <c r="C121" s="7" t="s">
        <v>504</v>
      </c>
      <c r="D121" s="7">
        <v>3831</v>
      </c>
      <c r="E121" s="7">
        <v>2815726.0300000003</v>
      </c>
      <c r="F121" s="7">
        <v>1200</v>
      </c>
      <c r="G121" s="7">
        <v>960477</v>
      </c>
      <c r="H121" s="42">
        <v>277402.16800000001</v>
      </c>
      <c r="I121" s="44">
        <f t="shared" si="14"/>
        <v>5031</v>
      </c>
      <c r="J121" s="61">
        <f t="shared" si="15"/>
        <v>1.2269624448525376</v>
      </c>
      <c r="K121" s="45">
        <v>410037</v>
      </c>
    </row>
    <row r="122" spans="1:11" ht="13.8" x14ac:dyDescent="0.25">
      <c r="A122" s="6" t="s">
        <v>488</v>
      </c>
      <c r="B122" s="6" t="s">
        <v>126</v>
      </c>
      <c r="C122" s="7" t="s">
        <v>506</v>
      </c>
      <c r="D122" s="7">
        <v>1961</v>
      </c>
      <c r="E122" s="7">
        <v>1496430.9599999997</v>
      </c>
      <c r="F122" s="7">
        <v>199</v>
      </c>
      <c r="G122" s="7">
        <v>293925</v>
      </c>
      <c r="H122" s="42">
        <v>73870</v>
      </c>
      <c r="I122" s="44">
        <f t="shared" si="14"/>
        <v>2160</v>
      </c>
      <c r="J122" s="61">
        <f t="shared" si="15"/>
        <v>0.5267817294536834</v>
      </c>
      <c r="K122" s="45">
        <v>410037</v>
      </c>
    </row>
    <row r="123" spans="1:11" ht="13.8" x14ac:dyDescent="0.25">
      <c r="A123" s="6" t="s">
        <v>480</v>
      </c>
      <c r="B123" s="6" t="s">
        <v>240</v>
      </c>
      <c r="C123" s="7" t="s">
        <v>507</v>
      </c>
      <c r="D123" s="7">
        <v>121</v>
      </c>
      <c r="E123" s="7">
        <v>75448</v>
      </c>
      <c r="F123" s="7"/>
      <c r="G123" s="7"/>
      <c r="H123" s="42">
        <v>2983.341312</v>
      </c>
      <c r="I123" s="44">
        <f t="shared" si="14"/>
        <v>121</v>
      </c>
      <c r="J123" s="61">
        <f t="shared" si="15"/>
        <v>2.9509532066618376E-2</v>
      </c>
      <c r="K123" s="45">
        <v>410037</v>
      </c>
    </row>
    <row r="124" spans="1:11" s="27" customFormat="1" ht="13.8" x14ac:dyDescent="0.25">
      <c r="A124" s="29" t="s">
        <v>167</v>
      </c>
      <c r="B124" s="29"/>
      <c r="C124" s="30"/>
      <c r="D124" s="30">
        <f>SUM(D125:D127)</f>
        <v>21364</v>
      </c>
      <c r="E124" s="30">
        <f t="shared" ref="E124:G124" si="25">SUM(E125:E127)</f>
        <v>13493655.829999987</v>
      </c>
      <c r="F124" s="30">
        <f t="shared" si="25"/>
        <v>2286</v>
      </c>
      <c r="G124" s="30">
        <f t="shared" si="25"/>
        <v>2334101.9900000002</v>
      </c>
      <c r="I124" s="44"/>
      <c r="J124" s="62">
        <f>+SUM(J125:J127)</f>
        <v>5.7677721766572283</v>
      </c>
      <c r="K124" s="45">
        <v>410037</v>
      </c>
    </row>
    <row r="125" spans="1:11" ht="13.8" x14ac:dyDescent="0.25">
      <c r="A125" s="6" t="s">
        <v>483</v>
      </c>
      <c r="B125" s="6" t="s">
        <v>181</v>
      </c>
      <c r="C125" s="7" t="s">
        <v>505</v>
      </c>
      <c r="D125" s="7">
        <v>3176</v>
      </c>
      <c r="E125" s="7">
        <v>2137081.5100000007</v>
      </c>
      <c r="F125" s="7">
        <v>251</v>
      </c>
      <c r="G125" s="7">
        <v>185236</v>
      </c>
      <c r="H125" s="42">
        <v>180560.677</v>
      </c>
      <c r="I125" s="44">
        <f t="shared" si="14"/>
        <v>3427</v>
      </c>
      <c r="J125" s="61">
        <f t="shared" si="15"/>
        <v>0.8357782346471172</v>
      </c>
      <c r="K125" s="45">
        <v>410037</v>
      </c>
    </row>
    <row r="126" spans="1:11" ht="13.8" x14ac:dyDescent="0.25">
      <c r="A126" s="6" t="s">
        <v>479</v>
      </c>
      <c r="B126" t="s">
        <v>63</v>
      </c>
      <c r="C126" s="7" t="s">
        <v>504</v>
      </c>
      <c r="D126" s="7">
        <v>17322</v>
      </c>
      <c r="E126" s="7">
        <v>10889278.269999985</v>
      </c>
      <c r="F126" s="7">
        <v>2035</v>
      </c>
      <c r="G126" s="7">
        <v>2148865.9900000002</v>
      </c>
      <c r="H126" s="42">
        <v>698038.3</v>
      </c>
      <c r="I126" s="44">
        <f t="shared" si="14"/>
        <v>19357</v>
      </c>
      <c r="J126" s="61">
        <f t="shared" si="15"/>
        <v>4.7207934893680328</v>
      </c>
      <c r="K126" s="45">
        <v>410037</v>
      </c>
    </row>
    <row r="127" spans="1:11" ht="13.8" x14ac:dyDescent="0.25">
      <c r="A127" s="6" t="s">
        <v>480</v>
      </c>
      <c r="B127" s="6" t="s">
        <v>238</v>
      </c>
      <c r="C127" s="7" t="s">
        <v>507</v>
      </c>
      <c r="D127" s="7">
        <v>866</v>
      </c>
      <c r="E127" s="7">
        <v>467296.05000000005</v>
      </c>
      <c r="F127" s="7"/>
      <c r="G127" s="7"/>
      <c r="H127" s="42">
        <v>3938.2622040000001</v>
      </c>
      <c r="I127" s="44">
        <f t="shared" si="14"/>
        <v>866</v>
      </c>
      <c r="J127" s="61">
        <f t="shared" si="15"/>
        <v>0.21120045264207865</v>
      </c>
      <c r="K127" s="45">
        <v>410037</v>
      </c>
    </row>
    <row r="128" spans="1:11" s="27" customFormat="1" ht="13.8" x14ac:dyDescent="0.25">
      <c r="A128" s="29" t="s">
        <v>61</v>
      </c>
      <c r="B128" s="29"/>
      <c r="C128" s="30"/>
      <c r="D128" s="30">
        <f>SUM(D129:D132)</f>
        <v>33632</v>
      </c>
      <c r="E128" s="30">
        <f t="shared" ref="E128:G128" si="26">SUM(E129:E132)</f>
        <v>23843982.889999993</v>
      </c>
      <c r="F128" s="30">
        <f t="shared" si="26"/>
        <v>4062</v>
      </c>
      <c r="G128" s="30">
        <f t="shared" si="26"/>
        <v>4533062.1500000004</v>
      </c>
      <c r="I128" s="44"/>
      <c r="J128" s="62">
        <f>+SUM(J129:J132)</f>
        <v>9.1928289398273808</v>
      </c>
      <c r="K128" s="45">
        <v>410037</v>
      </c>
    </row>
    <row r="129" spans="1:11" ht="13.8" x14ac:dyDescent="0.25">
      <c r="A129" s="6" t="s">
        <v>482</v>
      </c>
      <c r="B129" s="6" t="s">
        <v>101</v>
      </c>
      <c r="C129" s="7" t="s">
        <v>506</v>
      </c>
      <c r="D129" s="7">
        <v>8836</v>
      </c>
      <c r="E129" s="7">
        <v>5798722.1100000059</v>
      </c>
      <c r="F129" s="7">
        <v>963</v>
      </c>
      <c r="G129" s="7">
        <v>1020881.3500000001</v>
      </c>
      <c r="H129" s="42">
        <v>11207</v>
      </c>
      <c r="I129" s="44">
        <f t="shared" si="14"/>
        <v>9799</v>
      </c>
      <c r="J129" s="61">
        <f t="shared" si="15"/>
        <v>2.3897843365354836</v>
      </c>
      <c r="K129" s="45">
        <v>410037</v>
      </c>
    </row>
    <row r="130" spans="1:11" ht="13.8" x14ac:dyDescent="0.25">
      <c r="A130" s="6" t="s">
        <v>489</v>
      </c>
      <c r="B130" s="6" t="s">
        <v>169</v>
      </c>
      <c r="C130" s="7" t="s">
        <v>504</v>
      </c>
      <c r="D130" s="7">
        <v>12259</v>
      </c>
      <c r="E130" s="7">
        <v>7693250.2899999954</v>
      </c>
      <c r="F130" s="7">
        <v>1851</v>
      </c>
      <c r="G130" s="7">
        <v>2299714.77</v>
      </c>
      <c r="H130" s="42">
        <v>1265141.93</v>
      </c>
      <c r="I130" s="44">
        <f t="shared" si="14"/>
        <v>14110</v>
      </c>
      <c r="J130" s="61">
        <f t="shared" si="15"/>
        <v>3.4411528715701265</v>
      </c>
      <c r="K130" s="45">
        <v>410037</v>
      </c>
    </row>
    <row r="131" spans="1:11" ht="13.8" x14ac:dyDescent="0.25">
      <c r="A131" s="6" t="s">
        <v>486</v>
      </c>
      <c r="B131" s="6" t="s">
        <v>275</v>
      </c>
      <c r="C131" s="7"/>
      <c r="D131" s="7"/>
      <c r="E131" s="7"/>
      <c r="F131" s="7"/>
      <c r="G131" s="7"/>
      <c r="H131" s="43">
        <v>0</v>
      </c>
      <c r="I131" s="44">
        <f t="shared" si="14"/>
        <v>0</v>
      </c>
      <c r="J131" s="61"/>
      <c r="K131" s="45">
        <v>410037</v>
      </c>
    </row>
    <row r="132" spans="1:11" ht="13.8" x14ac:dyDescent="0.25">
      <c r="A132" s="6" t="s">
        <v>493</v>
      </c>
      <c r="B132" s="6" t="s">
        <v>90</v>
      </c>
      <c r="C132" s="7" t="s">
        <v>505</v>
      </c>
      <c r="D132" s="7">
        <v>12537</v>
      </c>
      <c r="E132" s="7">
        <v>10352010.489999993</v>
      </c>
      <c r="F132" s="7">
        <v>1248</v>
      </c>
      <c r="G132" s="7">
        <v>1212466.0300000003</v>
      </c>
      <c r="H132" s="42">
        <v>3334302</v>
      </c>
      <c r="I132" s="44">
        <f t="shared" si="14"/>
        <v>13785</v>
      </c>
      <c r="J132" s="61">
        <f t="shared" si="15"/>
        <v>3.3618917317217716</v>
      </c>
      <c r="K132" s="45">
        <v>410037</v>
      </c>
    </row>
  </sheetData>
  <autoFilter ref="A5:K132" xr:uid="{00000000-0009-0000-0000-00000A000000}"/>
  <mergeCells count="7">
    <mergeCell ref="H2:H4"/>
    <mergeCell ref="D1:G1"/>
    <mergeCell ref="D2:E2"/>
    <mergeCell ref="F2:G2"/>
    <mergeCell ref="A1:A3"/>
    <mergeCell ref="B1:B3"/>
    <mergeCell ref="C1:C3"/>
  </mergeCells>
  <pageMargins left="0.7" right="0.7" top="0.75" bottom="0.75" header="0.3" footer="0.3"/>
  <pageSetup scale="42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29"/>
  <sheetViews>
    <sheetView topLeftCell="A82" zoomScaleNormal="100" workbookViewId="0">
      <selection activeCell="D134" sqref="D134"/>
    </sheetView>
  </sheetViews>
  <sheetFormatPr defaultRowHeight="13.2" x14ac:dyDescent="0.25"/>
  <cols>
    <col min="1" max="1" width="46.6640625" style="34" bestFit="1" customWidth="1"/>
    <col min="2" max="2" width="22" style="1" bestFit="1" customWidth="1"/>
    <col min="3" max="8" width="14.33203125" style="36" customWidth="1"/>
  </cols>
  <sheetData>
    <row r="1" spans="1:8" s="13" customFormat="1" ht="37.5" customHeight="1" x14ac:dyDescent="0.25">
      <c r="A1" s="26" t="s">
        <v>503</v>
      </c>
      <c r="B1" s="23" t="s">
        <v>502</v>
      </c>
      <c r="C1" s="23" t="s">
        <v>498</v>
      </c>
      <c r="D1" s="23" t="s">
        <v>500</v>
      </c>
      <c r="E1" s="23" t="s">
        <v>501</v>
      </c>
      <c r="F1" s="23" t="s">
        <v>497</v>
      </c>
      <c r="G1" s="23" t="s">
        <v>499</v>
      </c>
      <c r="H1" s="23" t="s">
        <v>460</v>
      </c>
    </row>
    <row r="2" spans="1:8" s="35" customFormat="1" x14ac:dyDescent="0.25">
      <c r="A2" s="26" t="s">
        <v>26</v>
      </c>
      <c r="B2" s="10">
        <v>8873</v>
      </c>
      <c r="C2" s="23">
        <v>34</v>
      </c>
      <c r="D2" s="23">
        <v>18927</v>
      </c>
      <c r="E2" s="23">
        <v>54002</v>
      </c>
      <c r="F2" s="23">
        <v>1</v>
      </c>
      <c r="G2" s="23">
        <v>595</v>
      </c>
      <c r="H2" s="23">
        <v>82432</v>
      </c>
    </row>
    <row r="3" spans="1:8" x14ac:dyDescent="0.25">
      <c r="A3" s="18" t="s">
        <v>267</v>
      </c>
      <c r="B3" s="8"/>
      <c r="C3" s="32"/>
      <c r="D3" s="32">
        <v>1</v>
      </c>
      <c r="E3" s="32"/>
      <c r="F3" s="32"/>
      <c r="G3" s="32"/>
      <c r="H3" s="32">
        <v>1</v>
      </c>
    </row>
    <row r="4" spans="1:8" x14ac:dyDescent="0.25">
      <c r="A4" s="18" t="s">
        <v>24</v>
      </c>
      <c r="B4" s="8">
        <v>5095</v>
      </c>
      <c r="C4" s="32">
        <v>2</v>
      </c>
      <c r="D4" s="32">
        <v>3830</v>
      </c>
      <c r="E4" s="32">
        <v>13841</v>
      </c>
      <c r="F4" s="32"/>
      <c r="G4" s="32">
        <v>148</v>
      </c>
      <c r="H4" s="32">
        <v>22916</v>
      </c>
    </row>
    <row r="5" spans="1:8" x14ac:dyDescent="0.25">
      <c r="A5" s="18" t="s">
        <v>164</v>
      </c>
      <c r="B5" s="8">
        <v>11</v>
      </c>
      <c r="C5" s="32"/>
      <c r="D5" s="32">
        <v>18</v>
      </c>
      <c r="E5" s="32">
        <v>29</v>
      </c>
      <c r="F5" s="32"/>
      <c r="G5" s="32"/>
      <c r="H5" s="32">
        <v>58</v>
      </c>
    </row>
    <row r="6" spans="1:8" x14ac:dyDescent="0.25">
      <c r="A6" s="18" t="s">
        <v>57</v>
      </c>
      <c r="B6" s="8">
        <v>374</v>
      </c>
      <c r="C6" s="32">
        <v>1</v>
      </c>
      <c r="D6" s="32">
        <v>2330</v>
      </c>
      <c r="E6" s="32">
        <v>5614</v>
      </c>
      <c r="F6" s="32"/>
      <c r="G6" s="32">
        <v>53</v>
      </c>
      <c r="H6" s="32">
        <v>8372</v>
      </c>
    </row>
    <row r="7" spans="1:8" x14ac:dyDescent="0.25">
      <c r="A7" s="18" t="s">
        <v>135</v>
      </c>
      <c r="B7" s="8">
        <v>1940</v>
      </c>
      <c r="C7" s="32">
        <v>6</v>
      </c>
      <c r="D7" s="32">
        <v>5401</v>
      </c>
      <c r="E7" s="32">
        <v>16247</v>
      </c>
      <c r="F7" s="32"/>
      <c r="G7" s="32">
        <v>169</v>
      </c>
      <c r="H7" s="32">
        <v>23763</v>
      </c>
    </row>
    <row r="8" spans="1:8" x14ac:dyDescent="0.25">
      <c r="A8" s="18" t="s">
        <v>207</v>
      </c>
      <c r="B8" s="8">
        <v>63</v>
      </c>
      <c r="C8" s="32"/>
      <c r="D8" s="32">
        <v>111</v>
      </c>
      <c r="E8" s="32">
        <v>663</v>
      </c>
      <c r="F8" s="32"/>
      <c r="G8" s="32">
        <v>3</v>
      </c>
      <c r="H8" s="32">
        <v>840</v>
      </c>
    </row>
    <row r="9" spans="1:8" x14ac:dyDescent="0.25">
      <c r="A9" s="18" t="s">
        <v>88</v>
      </c>
      <c r="B9" s="8">
        <v>1390</v>
      </c>
      <c r="C9" s="32">
        <v>25</v>
      </c>
      <c r="D9" s="32">
        <v>7236</v>
      </c>
      <c r="E9" s="32">
        <v>17608</v>
      </c>
      <c r="F9" s="32">
        <v>1</v>
      </c>
      <c r="G9" s="32">
        <v>222</v>
      </c>
      <c r="H9" s="32">
        <v>26482</v>
      </c>
    </row>
    <row r="10" spans="1:8" s="35" customFormat="1" x14ac:dyDescent="0.25">
      <c r="A10" s="26" t="s">
        <v>11</v>
      </c>
      <c r="B10" s="10">
        <v>477</v>
      </c>
      <c r="C10" s="23">
        <v>2</v>
      </c>
      <c r="D10" s="23">
        <v>2475</v>
      </c>
      <c r="E10" s="23">
        <v>11862</v>
      </c>
      <c r="F10" s="23"/>
      <c r="G10" s="23">
        <v>30</v>
      </c>
      <c r="H10" s="23">
        <v>14846</v>
      </c>
    </row>
    <row r="11" spans="1:8" x14ac:dyDescent="0.25">
      <c r="A11" s="18" t="s">
        <v>44</v>
      </c>
      <c r="B11" s="8">
        <v>431</v>
      </c>
      <c r="C11" s="32">
        <v>2</v>
      </c>
      <c r="D11" s="32">
        <v>2048</v>
      </c>
      <c r="E11" s="32">
        <v>10398</v>
      </c>
      <c r="F11" s="32"/>
      <c r="G11" s="32">
        <v>15</v>
      </c>
      <c r="H11" s="32">
        <v>12894</v>
      </c>
    </row>
    <row r="12" spans="1:8" x14ac:dyDescent="0.25">
      <c r="A12" s="18" t="s">
        <v>102</v>
      </c>
      <c r="B12" s="8">
        <v>24</v>
      </c>
      <c r="C12" s="32"/>
      <c r="D12" s="32">
        <v>235</v>
      </c>
      <c r="E12" s="32">
        <v>701</v>
      </c>
      <c r="F12" s="32"/>
      <c r="G12" s="32">
        <v>12</v>
      </c>
      <c r="H12" s="32">
        <v>972</v>
      </c>
    </row>
    <row r="13" spans="1:8" x14ac:dyDescent="0.25">
      <c r="A13" s="18" t="s">
        <v>5</v>
      </c>
      <c r="B13" s="8">
        <v>2</v>
      </c>
      <c r="C13" s="32"/>
      <c r="D13" s="32">
        <v>12</v>
      </c>
      <c r="E13" s="32">
        <v>24</v>
      </c>
      <c r="F13" s="32"/>
      <c r="G13" s="32">
        <v>1</v>
      </c>
      <c r="H13" s="32">
        <v>39</v>
      </c>
    </row>
    <row r="14" spans="1:8" x14ac:dyDescent="0.25">
      <c r="A14" s="18" t="s">
        <v>207</v>
      </c>
      <c r="B14" s="8">
        <v>20</v>
      </c>
      <c r="C14" s="32"/>
      <c r="D14" s="32">
        <v>180</v>
      </c>
      <c r="E14" s="32">
        <v>739</v>
      </c>
      <c r="F14" s="32"/>
      <c r="G14" s="32">
        <v>2</v>
      </c>
      <c r="H14" s="32">
        <v>941</v>
      </c>
    </row>
    <row r="15" spans="1:8" s="35" customFormat="1" x14ac:dyDescent="0.25">
      <c r="A15" s="26" t="s">
        <v>45</v>
      </c>
      <c r="B15" s="10">
        <v>6418</v>
      </c>
      <c r="C15" s="23">
        <v>8</v>
      </c>
      <c r="D15" s="23">
        <v>14249</v>
      </c>
      <c r="E15" s="23">
        <v>53723</v>
      </c>
      <c r="F15" s="23"/>
      <c r="G15" s="23">
        <v>334</v>
      </c>
      <c r="H15" s="23">
        <v>74732</v>
      </c>
    </row>
    <row r="16" spans="1:8" x14ac:dyDescent="0.25">
      <c r="A16" s="18" t="s">
        <v>24</v>
      </c>
      <c r="B16" s="8">
        <v>4496</v>
      </c>
      <c r="C16" s="32"/>
      <c r="D16" s="32">
        <v>3987</v>
      </c>
      <c r="E16" s="32">
        <v>20029</v>
      </c>
      <c r="F16" s="32"/>
      <c r="G16" s="32">
        <v>109</v>
      </c>
      <c r="H16" s="32">
        <v>28621</v>
      </c>
    </row>
    <row r="17" spans="1:8" x14ac:dyDescent="0.25">
      <c r="A17" s="18" t="s">
        <v>164</v>
      </c>
      <c r="B17" s="8">
        <v>1</v>
      </c>
      <c r="C17" s="32"/>
      <c r="D17" s="32">
        <v>7</v>
      </c>
      <c r="E17" s="32">
        <v>42</v>
      </c>
      <c r="F17" s="32"/>
      <c r="G17" s="32">
        <v>1</v>
      </c>
      <c r="H17" s="32">
        <v>51</v>
      </c>
    </row>
    <row r="18" spans="1:8" x14ac:dyDescent="0.25">
      <c r="A18" s="18" t="s">
        <v>57</v>
      </c>
      <c r="B18" s="8">
        <v>483</v>
      </c>
      <c r="C18" s="32">
        <v>5</v>
      </c>
      <c r="D18" s="32">
        <v>3559</v>
      </c>
      <c r="E18" s="32">
        <v>11258</v>
      </c>
      <c r="F18" s="32"/>
      <c r="G18" s="32">
        <v>91</v>
      </c>
      <c r="H18" s="32">
        <v>15396</v>
      </c>
    </row>
    <row r="19" spans="1:8" x14ac:dyDescent="0.25">
      <c r="A19" s="18" t="s">
        <v>135</v>
      </c>
      <c r="B19" s="8">
        <v>859</v>
      </c>
      <c r="C19" s="32">
        <v>3</v>
      </c>
      <c r="D19" s="32">
        <v>4934</v>
      </c>
      <c r="E19" s="32">
        <v>16015</v>
      </c>
      <c r="F19" s="32"/>
      <c r="G19" s="32">
        <v>111</v>
      </c>
      <c r="H19" s="32">
        <v>21922</v>
      </c>
    </row>
    <row r="20" spans="1:8" x14ac:dyDescent="0.25">
      <c r="A20" s="18" t="s">
        <v>207</v>
      </c>
      <c r="B20" s="8">
        <v>73</v>
      </c>
      <c r="C20" s="32"/>
      <c r="D20" s="32">
        <v>312</v>
      </c>
      <c r="E20" s="32">
        <v>2092</v>
      </c>
      <c r="F20" s="32"/>
      <c r="G20" s="32">
        <v>8</v>
      </c>
      <c r="H20" s="32">
        <v>2485</v>
      </c>
    </row>
    <row r="21" spans="1:8" x14ac:dyDescent="0.25">
      <c r="A21" s="18" t="s">
        <v>48</v>
      </c>
      <c r="B21" s="8">
        <v>506</v>
      </c>
      <c r="C21" s="32"/>
      <c r="D21" s="32">
        <v>1450</v>
      </c>
      <c r="E21" s="32">
        <v>4287</v>
      </c>
      <c r="F21" s="32"/>
      <c r="G21" s="32">
        <v>14</v>
      </c>
      <c r="H21" s="32">
        <v>6257</v>
      </c>
    </row>
    <row r="22" spans="1:8" s="35" customFormat="1" x14ac:dyDescent="0.25">
      <c r="A22" s="26" t="s">
        <v>132</v>
      </c>
      <c r="B22" s="10">
        <v>932</v>
      </c>
      <c r="C22" s="23">
        <v>1</v>
      </c>
      <c r="D22" s="23">
        <v>1755</v>
      </c>
      <c r="E22" s="23">
        <v>8768</v>
      </c>
      <c r="F22" s="23"/>
      <c r="G22" s="23">
        <v>44</v>
      </c>
      <c r="H22" s="23">
        <v>11500</v>
      </c>
    </row>
    <row r="23" spans="1:8" x14ac:dyDescent="0.25">
      <c r="A23" s="18" t="s">
        <v>44</v>
      </c>
      <c r="B23" s="8">
        <v>380</v>
      </c>
      <c r="C23" s="32">
        <v>1</v>
      </c>
      <c r="D23" s="32">
        <v>673</v>
      </c>
      <c r="E23" s="32">
        <v>3329</v>
      </c>
      <c r="F23" s="32"/>
      <c r="G23" s="32">
        <v>20</v>
      </c>
      <c r="H23" s="32">
        <v>4403</v>
      </c>
    </row>
    <row r="24" spans="1:8" x14ac:dyDescent="0.25">
      <c r="A24" s="18" t="s">
        <v>135</v>
      </c>
      <c r="B24" s="8">
        <v>487</v>
      </c>
      <c r="C24" s="32"/>
      <c r="D24" s="32">
        <v>1009</v>
      </c>
      <c r="E24" s="32">
        <v>4809</v>
      </c>
      <c r="F24" s="32"/>
      <c r="G24" s="32">
        <v>23</v>
      </c>
      <c r="H24" s="32">
        <v>6328</v>
      </c>
    </row>
    <row r="25" spans="1:8" x14ac:dyDescent="0.25">
      <c r="A25" s="18" t="s">
        <v>207</v>
      </c>
      <c r="B25" s="8">
        <v>65</v>
      </c>
      <c r="C25" s="32"/>
      <c r="D25" s="32">
        <v>73</v>
      </c>
      <c r="E25" s="32">
        <v>630</v>
      </c>
      <c r="F25" s="32"/>
      <c r="G25" s="32">
        <v>1</v>
      </c>
      <c r="H25" s="32">
        <v>769</v>
      </c>
    </row>
    <row r="26" spans="1:8" s="35" customFormat="1" x14ac:dyDescent="0.25">
      <c r="A26" s="26" t="s">
        <v>31</v>
      </c>
      <c r="B26" s="10">
        <v>3035</v>
      </c>
      <c r="C26" s="23">
        <v>3</v>
      </c>
      <c r="D26" s="23">
        <v>6168</v>
      </c>
      <c r="E26" s="23">
        <v>25600</v>
      </c>
      <c r="F26" s="23"/>
      <c r="G26" s="23">
        <v>344</v>
      </c>
      <c r="H26" s="23">
        <v>35150</v>
      </c>
    </row>
    <row r="27" spans="1:8" x14ac:dyDescent="0.25">
      <c r="A27" s="18" t="s">
        <v>102</v>
      </c>
      <c r="B27" s="8">
        <v>590</v>
      </c>
      <c r="C27" s="32"/>
      <c r="D27" s="32">
        <v>811</v>
      </c>
      <c r="E27" s="32">
        <v>4071</v>
      </c>
      <c r="F27" s="32"/>
      <c r="G27" s="32">
        <v>22</v>
      </c>
      <c r="H27" s="32">
        <v>5494</v>
      </c>
    </row>
    <row r="28" spans="1:8" x14ac:dyDescent="0.25">
      <c r="A28" s="18" t="s">
        <v>34</v>
      </c>
      <c r="B28" s="8">
        <v>1831</v>
      </c>
      <c r="C28" s="32">
        <v>1</v>
      </c>
      <c r="D28" s="32">
        <v>4113</v>
      </c>
      <c r="E28" s="32">
        <v>16029</v>
      </c>
      <c r="F28" s="32"/>
      <c r="G28" s="32">
        <v>252</v>
      </c>
      <c r="H28" s="32">
        <v>22226</v>
      </c>
    </row>
    <row r="29" spans="1:8" x14ac:dyDescent="0.25">
      <c r="A29" s="18" t="s">
        <v>115</v>
      </c>
      <c r="B29" s="8">
        <v>438</v>
      </c>
      <c r="C29" s="32"/>
      <c r="D29" s="32">
        <v>513</v>
      </c>
      <c r="E29" s="32">
        <v>2760</v>
      </c>
      <c r="F29" s="32"/>
      <c r="G29" s="32">
        <v>30</v>
      </c>
      <c r="H29" s="32">
        <v>3741</v>
      </c>
    </row>
    <row r="30" spans="1:8" x14ac:dyDescent="0.25">
      <c r="A30" s="18" t="s">
        <v>57</v>
      </c>
      <c r="B30" s="8">
        <v>170</v>
      </c>
      <c r="C30" s="32">
        <v>2</v>
      </c>
      <c r="D30" s="32">
        <v>718</v>
      </c>
      <c r="E30" s="32">
        <v>2618</v>
      </c>
      <c r="F30" s="32"/>
      <c r="G30" s="32">
        <v>40</v>
      </c>
      <c r="H30" s="32">
        <v>3548</v>
      </c>
    </row>
    <row r="31" spans="1:8" x14ac:dyDescent="0.25">
      <c r="A31" s="18" t="s">
        <v>207</v>
      </c>
      <c r="B31" s="8">
        <v>6</v>
      </c>
      <c r="C31" s="32"/>
      <c r="D31" s="32">
        <v>13</v>
      </c>
      <c r="E31" s="32">
        <v>122</v>
      </c>
      <c r="F31" s="32"/>
      <c r="G31" s="32"/>
      <c r="H31" s="32">
        <v>141</v>
      </c>
    </row>
    <row r="32" spans="1:8" x14ac:dyDescent="0.25">
      <c r="A32" s="18" t="s">
        <v>14</v>
      </c>
      <c r="B32" s="8">
        <v>2367</v>
      </c>
      <c r="C32" s="32">
        <v>16</v>
      </c>
      <c r="D32" s="32">
        <v>8208</v>
      </c>
      <c r="E32" s="32">
        <v>17107</v>
      </c>
      <c r="F32" s="32">
        <v>1</v>
      </c>
      <c r="G32" s="32">
        <v>553</v>
      </c>
      <c r="H32" s="32">
        <v>28252</v>
      </c>
    </row>
    <row r="33" spans="1:8" x14ac:dyDescent="0.25">
      <c r="A33" s="18" t="s">
        <v>19</v>
      </c>
      <c r="B33" s="8">
        <v>370</v>
      </c>
      <c r="C33" s="32">
        <v>8</v>
      </c>
      <c r="D33" s="32">
        <v>2302</v>
      </c>
      <c r="E33" s="32">
        <v>4354</v>
      </c>
      <c r="F33" s="32"/>
      <c r="G33" s="32">
        <v>153</v>
      </c>
      <c r="H33" s="32">
        <v>7187</v>
      </c>
    </row>
    <row r="34" spans="1:8" x14ac:dyDescent="0.25">
      <c r="A34" s="18" t="s">
        <v>34</v>
      </c>
      <c r="B34" s="8">
        <v>148</v>
      </c>
      <c r="C34" s="32">
        <v>1</v>
      </c>
      <c r="D34" s="32">
        <v>1919</v>
      </c>
      <c r="E34" s="32">
        <v>3032</v>
      </c>
      <c r="F34" s="32"/>
      <c r="G34" s="32">
        <v>155</v>
      </c>
      <c r="H34" s="32">
        <v>5255</v>
      </c>
    </row>
    <row r="35" spans="1:8" x14ac:dyDescent="0.25">
      <c r="A35" s="18" t="s">
        <v>24</v>
      </c>
      <c r="B35" s="8">
        <v>1420</v>
      </c>
      <c r="C35" s="32">
        <v>4</v>
      </c>
      <c r="D35" s="32">
        <v>1412</v>
      </c>
      <c r="E35" s="32">
        <v>3859</v>
      </c>
      <c r="F35" s="32">
        <v>1</v>
      </c>
      <c r="G35" s="32">
        <v>162</v>
      </c>
      <c r="H35" s="32">
        <v>6858</v>
      </c>
    </row>
    <row r="36" spans="1:8" x14ac:dyDescent="0.25">
      <c r="A36" s="18" t="s">
        <v>57</v>
      </c>
      <c r="B36" s="8">
        <v>1</v>
      </c>
      <c r="C36" s="32"/>
      <c r="D36" s="32">
        <v>1</v>
      </c>
      <c r="E36" s="32">
        <v>3</v>
      </c>
      <c r="F36" s="32"/>
      <c r="G36" s="32"/>
      <c r="H36" s="32">
        <v>5</v>
      </c>
    </row>
    <row r="37" spans="1:8" x14ac:dyDescent="0.25">
      <c r="A37" s="18" t="s">
        <v>5</v>
      </c>
      <c r="B37" s="8">
        <v>185</v>
      </c>
      <c r="C37" s="32"/>
      <c r="D37" s="32">
        <v>1580</v>
      </c>
      <c r="E37" s="32">
        <v>3122</v>
      </c>
      <c r="F37" s="32"/>
      <c r="G37" s="32">
        <v>48</v>
      </c>
      <c r="H37" s="32">
        <v>4935</v>
      </c>
    </row>
    <row r="38" spans="1:8" x14ac:dyDescent="0.25">
      <c r="A38" s="18" t="s">
        <v>207</v>
      </c>
      <c r="B38" s="8">
        <v>11</v>
      </c>
      <c r="C38" s="32"/>
      <c r="D38" s="32">
        <v>75</v>
      </c>
      <c r="E38" s="32">
        <v>312</v>
      </c>
      <c r="F38" s="32"/>
      <c r="G38" s="32">
        <v>3</v>
      </c>
      <c r="H38" s="32">
        <v>401</v>
      </c>
    </row>
    <row r="39" spans="1:8" x14ac:dyDescent="0.25">
      <c r="A39" s="18" t="s">
        <v>173</v>
      </c>
      <c r="B39" s="8">
        <v>232</v>
      </c>
      <c r="C39" s="32">
        <v>3</v>
      </c>
      <c r="D39" s="32">
        <v>919</v>
      </c>
      <c r="E39" s="32">
        <v>2425</v>
      </c>
      <c r="F39" s="32"/>
      <c r="G39" s="32">
        <v>32</v>
      </c>
      <c r="H39" s="32">
        <v>3611</v>
      </c>
    </row>
    <row r="40" spans="1:8" s="35" customFormat="1" x14ac:dyDescent="0.25">
      <c r="A40" s="26" t="s">
        <v>16</v>
      </c>
      <c r="B40" s="10">
        <v>6003</v>
      </c>
      <c r="C40" s="23">
        <v>11</v>
      </c>
      <c r="D40" s="23">
        <v>8060</v>
      </c>
      <c r="E40" s="23">
        <v>40531</v>
      </c>
      <c r="F40" s="23">
        <v>1</v>
      </c>
      <c r="G40" s="23">
        <v>561</v>
      </c>
      <c r="H40" s="23">
        <v>55167</v>
      </c>
    </row>
    <row r="41" spans="1:8" x14ac:dyDescent="0.25">
      <c r="A41" s="18" t="s">
        <v>19</v>
      </c>
      <c r="B41" s="8">
        <v>5167</v>
      </c>
      <c r="C41" s="32">
        <v>10</v>
      </c>
      <c r="D41" s="32">
        <v>6092</v>
      </c>
      <c r="E41" s="32">
        <v>32954</v>
      </c>
      <c r="F41" s="32">
        <v>1</v>
      </c>
      <c r="G41" s="32">
        <v>472</v>
      </c>
      <c r="H41" s="32">
        <v>44696</v>
      </c>
    </row>
    <row r="42" spans="1:8" x14ac:dyDescent="0.25">
      <c r="A42" s="18" t="s">
        <v>34</v>
      </c>
      <c r="B42" s="8">
        <v>257</v>
      </c>
      <c r="C42" s="32"/>
      <c r="D42" s="32">
        <v>405</v>
      </c>
      <c r="E42" s="32">
        <v>1913</v>
      </c>
      <c r="F42" s="32"/>
      <c r="G42" s="32">
        <v>34</v>
      </c>
      <c r="H42" s="32">
        <v>2609</v>
      </c>
    </row>
    <row r="43" spans="1:8" x14ac:dyDescent="0.25">
      <c r="A43" s="18" t="s">
        <v>135</v>
      </c>
      <c r="B43" s="8">
        <v>566</v>
      </c>
      <c r="C43" s="32">
        <v>1</v>
      </c>
      <c r="D43" s="32">
        <v>1534</v>
      </c>
      <c r="E43" s="32">
        <v>5542</v>
      </c>
      <c r="F43" s="32"/>
      <c r="G43" s="32">
        <v>55</v>
      </c>
      <c r="H43" s="32">
        <v>7698</v>
      </c>
    </row>
    <row r="44" spans="1:8" x14ac:dyDescent="0.25">
      <c r="A44" s="18" t="s">
        <v>207</v>
      </c>
      <c r="B44" s="8">
        <v>13</v>
      </c>
      <c r="C44" s="32"/>
      <c r="D44" s="32">
        <v>29</v>
      </c>
      <c r="E44" s="32">
        <v>122</v>
      </c>
      <c r="F44" s="32"/>
      <c r="G44" s="32"/>
      <c r="H44" s="32">
        <v>164</v>
      </c>
    </row>
    <row r="45" spans="1:8" s="35" customFormat="1" x14ac:dyDescent="0.25">
      <c r="A45" s="26" t="s">
        <v>41</v>
      </c>
      <c r="B45" s="10">
        <v>4862</v>
      </c>
      <c r="C45" s="23">
        <v>8</v>
      </c>
      <c r="D45" s="23">
        <v>5212</v>
      </c>
      <c r="E45" s="23">
        <v>24232</v>
      </c>
      <c r="F45" s="23"/>
      <c r="G45" s="23">
        <v>149</v>
      </c>
      <c r="H45" s="23">
        <v>34463</v>
      </c>
    </row>
    <row r="46" spans="1:8" x14ac:dyDescent="0.25">
      <c r="A46" s="18" t="s">
        <v>44</v>
      </c>
      <c r="B46" s="8">
        <v>816</v>
      </c>
      <c r="C46" s="32">
        <v>6</v>
      </c>
      <c r="D46" s="32">
        <v>2005</v>
      </c>
      <c r="E46" s="32">
        <v>9706</v>
      </c>
      <c r="F46" s="32"/>
      <c r="G46" s="32">
        <v>45</v>
      </c>
      <c r="H46" s="32">
        <v>12578</v>
      </c>
    </row>
    <row r="47" spans="1:8" x14ac:dyDescent="0.25">
      <c r="A47" s="18" t="s">
        <v>24</v>
      </c>
      <c r="B47" s="8">
        <v>3908</v>
      </c>
      <c r="C47" s="32">
        <v>2</v>
      </c>
      <c r="D47" s="32">
        <v>2944</v>
      </c>
      <c r="E47" s="32">
        <v>12517</v>
      </c>
      <c r="F47" s="32"/>
      <c r="G47" s="32">
        <v>96</v>
      </c>
      <c r="H47" s="32">
        <v>19467</v>
      </c>
    </row>
    <row r="48" spans="1:8" x14ac:dyDescent="0.25">
      <c r="A48" s="18" t="s">
        <v>207</v>
      </c>
      <c r="B48" s="8">
        <v>138</v>
      </c>
      <c r="C48" s="32"/>
      <c r="D48" s="32">
        <v>263</v>
      </c>
      <c r="E48" s="32">
        <v>2009</v>
      </c>
      <c r="F48" s="32"/>
      <c r="G48" s="32">
        <v>8</v>
      </c>
      <c r="H48" s="32">
        <v>2418</v>
      </c>
    </row>
    <row r="49" spans="1:8" s="35" customFormat="1" x14ac:dyDescent="0.25">
      <c r="A49" s="26" t="s">
        <v>58</v>
      </c>
      <c r="B49" s="10">
        <v>3812</v>
      </c>
      <c r="C49" s="23">
        <v>19</v>
      </c>
      <c r="D49" s="23">
        <v>5699</v>
      </c>
      <c r="E49" s="23">
        <v>29590</v>
      </c>
      <c r="F49" s="23"/>
      <c r="G49" s="23">
        <v>271</v>
      </c>
      <c r="H49" s="23">
        <v>39391</v>
      </c>
    </row>
    <row r="50" spans="1:8" x14ac:dyDescent="0.25">
      <c r="A50" s="18" t="s">
        <v>44</v>
      </c>
      <c r="B50" s="8">
        <v>121</v>
      </c>
      <c r="C50" s="32"/>
      <c r="D50" s="32">
        <v>254</v>
      </c>
      <c r="E50" s="32">
        <v>1116</v>
      </c>
      <c r="F50" s="32"/>
      <c r="G50" s="32">
        <v>14</v>
      </c>
      <c r="H50" s="32">
        <v>1505</v>
      </c>
    </row>
    <row r="51" spans="1:8" x14ac:dyDescent="0.25">
      <c r="A51" s="18" t="s">
        <v>188</v>
      </c>
      <c r="B51" s="8">
        <v>47</v>
      </c>
      <c r="C51" s="32"/>
      <c r="D51" s="32">
        <v>128</v>
      </c>
      <c r="E51" s="32">
        <v>425</v>
      </c>
      <c r="F51" s="32"/>
      <c r="G51" s="32">
        <v>15</v>
      </c>
      <c r="H51" s="32">
        <v>615</v>
      </c>
    </row>
    <row r="52" spans="1:8" x14ac:dyDescent="0.25">
      <c r="A52" s="18" t="s">
        <v>102</v>
      </c>
      <c r="B52" s="8">
        <v>878</v>
      </c>
      <c r="C52" s="32">
        <v>2</v>
      </c>
      <c r="D52" s="32">
        <v>1284</v>
      </c>
      <c r="E52" s="32">
        <v>7356</v>
      </c>
      <c r="F52" s="32"/>
      <c r="G52" s="32">
        <v>32</v>
      </c>
      <c r="H52" s="32">
        <v>9552</v>
      </c>
    </row>
    <row r="53" spans="1:8" x14ac:dyDescent="0.25">
      <c r="A53" s="18" t="s">
        <v>164</v>
      </c>
      <c r="B53" s="8"/>
      <c r="C53" s="32"/>
      <c r="D53" s="32"/>
      <c r="E53" s="32">
        <v>4</v>
      </c>
      <c r="F53" s="32"/>
      <c r="G53" s="32"/>
      <c r="H53" s="32">
        <v>4</v>
      </c>
    </row>
    <row r="54" spans="1:8" x14ac:dyDescent="0.25">
      <c r="A54" s="18" t="s">
        <v>115</v>
      </c>
      <c r="B54" s="8">
        <v>70</v>
      </c>
      <c r="C54" s="32">
        <v>1</v>
      </c>
      <c r="D54" s="32">
        <v>140</v>
      </c>
      <c r="E54" s="32">
        <v>584</v>
      </c>
      <c r="F54" s="32"/>
      <c r="G54" s="32">
        <v>10</v>
      </c>
      <c r="H54" s="32">
        <v>805</v>
      </c>
    </row>
    <row r="55" spans="1:8" x14ac:dyDescent="0.25">
      <c r="A55" s="18" t="s">
        <v>57</v>
      </c>
      <c r="B55" s="8">
        <v>1361</v>
      </c>
      <c r="C55" s="32">
        <v>12</v>
      </c>
      <c r="D55" s="32">
        <v>1810</v>
      </c>
      <c r="E55" s="32">
        <v>9834</v>
      </c>
      <c r="F55" s="32"/>
      <c r="G55" s="32">
        <v>124</v>
      </c>
      <c r="H55" s="32">
        <v>13141</v>
      </c>
    </row>
    <row r="56" spans="1:8" x14ac:dyDescent="0.25">
      <c r="A56" s="18" t="s">
        <v>5</v>
      </c>
      <c r="B56" s="8">
        <v>3</v>
      </c>
      <c r="C56" s="32"/>
      <c r="D56" s="32">
        <v>7</v>
      </c>
      <c r="E56" s="32">
        <v>25</v>
      </c>
      <c r="F56" s="32"/>
      <c r="G56" s="32"/>
      <c r="H56" s="32">
        <v>35</v>
      </c>
    </row>
    <row r="57" spans="1:8" x14ac:dyDescent="0.25">
      <c r="A57" s="18" t="s">
        <v>135</v>
      </c>
      <c r="B57" s="8">
        <v>350</v>
      </c>
      <c r="C57" s="32">
        <v>2</v>
      </c>
      <c r="D57" s="32">
        <v>679</v>
      </c>
      <c r="E57" s="32">
        <v>2775</v>
      </c>
      <c r="F57" s="32"/>
      <c r="G57" s="32">
        <v>21</v>
      </c>
      <c r="H57" s="32">
        <v>3827</v>
      </c>
    </row>
    <row r="58" spans="1:8" x14ac:dyDescent="0.25">
      <c r="A58" s="18" t="s">
        <v>207</v>
      </c>
      <c r="B58" s="8">
        <v>72</v>
      </c>
      <c r="C58" s="32">
        <v>1</v>
      </c>
      <c r="D58" s="32">
        <v>62</v>
      </c>
      <c r="E58" s="32">
        <v>494</v>
      </c>
      <c r="F58" s="32"/>
      <c r="G58" s="32">
        <v>3</v>
      </c>
      <c r="H58" s="32">
        <v>632</v>
      </c>
    </row>
    <row r="59" spans="1:8" x14ac:dyDescent="0.25">
      <c r="A59" s="18" t="s">
        <v>48</v>
      </c>
      <c r="B59" s="8">
        <v>354</v>
      </c>
      <c r="C59" s="32"/>
      <c r="D59" s="32">
        <v>342</v>
      </c>
      <c r="E59" s="32">
        <v>2637</v>
      </c>
      <c r="F59" s="32"/>
      <c r="G59" s="32">
        <v>7</v>
      </c>
      <c r="H59" s="32">
        <v>3340</v>
      </c>
    </row>
    <row r="60" spans="1:8" x14ac:dyDescent="0.25">
      <c r="A60" s="18" t="s">
        <v>88</v>
      </c>
      <c r="B60" s="8">
        <v>556</v>
      </c>
      <c r="C60" s="32">
        <v>1</v>
      </c>
      <c r="D60" s="32">
        <v>993</v>
      </c>
      <c r="E60" s="32">
        <v>4340</v>
      </c>
      <c r="F60" s="32"/>
      <c r="G60" s="32">
        <v>45</v>
      </c>
      <c r="H60" s="32">
        <v>5935</v>
      </c>
    </row>
    <row r="61" spans="1:8" s="35" customFormat="1" x14ac:dyDescent="0.25">
      <c r="A61" s="26" t="s">
        <v>127</v>
      </c>
      <c r="B61" s="10">
        <v>3009</v>
      </c>
      <c r="C61" s="23"/>
      <c r="D61" s="23">
        <v>5385</v>
      </c>
      <c r="E61" s="23">
        <v>31808</v>
      </c>
      <c r="F61" s="23"/>
      <c r="G61" s="23">
        <v>83</v>
      </c>
      <c r="H61" s="23">
        <v>40285</v>
      </c>
    </row>
    <row r="62" spans="1:8" x14ac:dyDescent="0.25">
      <c r="A62" s="18" t="s">
        <v>44</v>
      </c>
      <c r="B62" s="8">
        <v>1400</v>
      </c>
      <c r="C62" s="32"/>
      <c r="D62" s="32">
        <v>3009</v>
      </c>
      <c r="E62" s="32">
        <v>16105</v>
      </c>
      <c r="F62" s="32"/>
      <c r="G62" s="32">
        <v>45</v>
      </c>
      <c r="H62" s="32">
        <v>20559</v>
      </c>
    </row>
    <row r="63" spans="1:8" x14ac:dyDescent="0.25">
      <c r="A63" s="18" t="s">
        <v>115</v>
      </c>
      <c r="B63" s="8">
        <v>1314</v>
      </c>
      <c r="C63" s="32"/>
      <c r="D63" s="32">
        <v>2034</v>
      </c>
      <c r="E63" s="32">
        <v>12567</v>
      </c>
      <c r="F63" s="32"/>
      <c r="G63" s="32">
        <v>36</v>
      </c>
      <c r="H63" s="32">
        <v>15951</v>
      </c>
    </row>
    <row r="64" spans="1:8" x14ac:dyDescent="0.25">
      <c r="A64" s="18" t="s">
        <v>207</v>
      </c>
      <c r="B64" s="8">
        <v>295</v>
      </c>
      <c r="C64" s="32"/>
      <c r="D64" s="32">
        <v>342</v>
      </c>
      <c r="E64" s="32">
        <v>3136</v>
      </c>
      <c r="F64" s="32"/>
      <c r="G64" s="32">
        <v>2</v>
      </c>
      <c r="H64" s="32">
        <v>3775</v>
      </c>
    </row>
    <row r="65" spans="1:8" s="35" customFormat="1" x14ac:dyDescent="0.25">
      <c r="A65" s="26" t="s">
        <v>68</v>
      </c>
      <c r="B65" s="10">
        <v>11219</v>
      </c>
      <c r="C65" s="23">
        <v>27</v>
      </c>
      <c r="D65" s="23">
        <v>9136</v>
      </c>
      <c r="E65" s="23">
        <v>45200</v>
      </c>
      <c r="F65" s="23"/>
      <c r="G65" s="23">
        <v>918</v>
      </c>
      <c r="H65" s="23">
        <v>66500</v>
      </c>
    </row>
    <row r="66" spans="1:8" x14ac:dyDescent="0.25">
      <c r="A66" s="18" t="s">
        <v>24</v>
      </c>
      <c r="B66" s="8">
        <v>7045</v>
      </c>
      <c r="C66" s="32">
        <v>11</v>
      </c>
      <c r="D66" s="32">
        <v>3784</v>
      </c>
      <c r="E66" s="32">
        <v>17914</v>
      </c>
      <c r="F66" s="32"/>
      <c r="G66" s="32">
        <v>616</v>
      </c>
      <c r="H66" s="32">
        <v>29370</v>
      </c>
    </row>
    <row r="67" spans="1:8" x14ac:dyDescent="0.25">
      <c r="A67" s="18" t="s">
        <v>164</v>
      </c>
      <c r="B67" s="8">
        <v>2</v>
      </c>
      <c r="C67" s="32">
        <v>3</v>
      </c>
      <c r="D67" s="32">
        <v>78</v>
      </c>
      <c r="E67" s="32">
        <v>40</v>
      </c>
      <c r="F67" s="32"/>
      <c r="G67" s="32">
        <v>9</v>
      </c>
      <c r="H67" s="32">
        <v>132</v>
      </c>
    </row>
    <row r="68" spans="1:8" x14ac:dyDescent="0.25">
      <c r="A68" s="18" t="s">
        <v>115</v>
      </c>
      <c r="B68" s="8">
        <v>19</v>
      </c>
      <c r="C68" s="32"/>
      <c r="D68" s="32">
        <v>53</v>
      </c>
      <c r="E68" s="32">
        <v>176</v>
      </c>
      <c r="F68" s="32"/>
      <c r="G68" s="32">
        <v>2</v>
      </c>
      <c r="H68" s="32">
        <v>250</v>
      </c>
    </row>
    <row r="69" spans="1:8" x14ac:dyDescent="0.25">
      <c r="A69" s="18" t="s">
        <v>57</v>
      </c>
      <c r="B69" s="8">
        <v>229</v>
      </c>
      <c r="C69" s="32">
        <v>1</v>
      </c>
      <c r="D69" s="32">
        <v>667</v>
      </c>
      <c r="E69" s="32">
        <v>1943</v>
      </c>
      <c r="F69" s="32"/>
      <c r="G69" s="32">
        <v>76</v>
      </c>
      <c r="H69" s="32">
        <v>2916</v>
      </c>
    </row>
    <row r="70" spans="1:8" x14ac:dyDescent="0.25">
      <c r="A70" s="18" t="s">
        <v>135</v>
      </c>
      <c r="B70" s="8">
        <v>2832</v>
      </c>
      <c r="C70" s="32">
        <v>8</v>
      </c>
      <c r="D70" s="32">
        <v>2738</v>
      </c>
      <c r="E70" s="32">
        <v>17443</v>
      </c>
      <c r="F70" s="32"/>
      <c r="G70" s="32">
        <v>94</v>
      </c>
      <c r="H70" s="32">
        <v>23115</v>
      </c>
    </row>
    <row r="71" spans="1:8" x14ac:dyDescent="0.25">
      <c r="A71" s="18" t="s">
        <v>207</v>
      </c>
      <c r="B71" s="8">
        <v>51</v>
      </c>
      <c r="C71" s="32"/>
      <c r="D71" s="32">
        <v>52</v>
      </c>
      <c r="E71" s="32">
        <v>486</v>
      </c>
      <c r="F71" s="32"/>
      <c r="G71" s="32">
        <v>4</v>
      </c>
      <c r="H71" s="32">
        <v>593</v>
      </c>
    </row>
    <row r="72" spans="1:8" x14ac:dyDescent="0.25">
      <c r="A72" s="18" t="s">
        <v>88</v>
      </c>
      <c r="B72" s="8">
        <v>1041</v>
      </c>
      <c r="C72" s="32">
        <v>4</v>
      </c>
      <c r="D72" s="32">
        <v>1764</v>
      </c>
      <c r="E72" s="32">
        <v>7198</v>
      </c>
      <c r="F72" s="32"/>
      <c r="G72" s="32">
        <v>117</v>
      </c>
      <c r="H72" s="32">
        <v>10124</v>
      </c>
    </row>
    <row r="73" spans="1:8" s="35" customFormat="1" x14ac:dyDescent="0.25">
      <c r="A73" s="26" t="s">
        <v>7</v>
      </c>
      <c r="B73" s="10">
        <v>3381</v>
      </c>
      <c r="C73" s="23">
        <v>2</v>
      </c>
      <c r="D73" s="23">
        <v>1629</v>
      </c>
      <c r="E73" s="23">
        <v>9811</v>
      </c>
      <c r="F73" s="23"/>
      <c r="G73" s="23">
        <v>100</v>
      </c>
      <c r="H73" s="23">
        <v>14923</v>
      </c>
    </row>
    <row r="74" spans="1:8" x14ac:dyDescent="0.25">
      <c r="A74" s="18" t="s">
        <v>44</v>
      </c>
      <c r="B74" s="8">
        <v>84</v>
      </c>
      <c r="C74" s="32"/>
      <c r="D74" s="32">
        <v>140</v>
      </c>
      <c r="E74" s="32">
        <v>814</v>
      </c>
      <c r="F74" s="32"/>
      <c r="G74" s="32">
        <v>3</v>
      </c>
      <c r="H74" s="32">
        <v>1041</v>
      </c>
    </row>
    <row r="75" spans="1:8" x14ac:dyDescent="0.25">
      <c r="A75" s="18" t="s">
        <v>24</v>
      </c>
      <c r="B75" s="8">
        <v>3103</v>
      </c>
      <c r="C75" s="32">
        <v>2</v>
      </c>
      <c r="D75" s="32">
        <v>1129</v>
      </c>
      <c r="E75" s="32">
        <v>7048</v>
      </c>
      <c r="F75" s="32"/>
      <c r="G75" s="32">
        <v>84</v>
      </c>
      <c r="H75" s="32">
        <v>11366</v>
      </c>
    </row>
    <row r="76" spans="1:8" x14ac:dyDescent="0.25">
      <c r="A76" s="18" t="s">
        <v>115</v>
      </c>
      <c r="B76" s="8">
        <v>16</v>
      </c>
      <c r="C76" s="32"/>
      <c r="D76" s="32">
        <v>52</v>
      </c>
      <c r="E76" s="32">
        <v>188</v>
      </c>
      <c r="F76" s="32"/>
      <c r="G76" s="32"/>
      <c r="H76" s="32">
        <v>256</v>
      </c>
    </row>
    <row r="77" spans="1:8" x14ac:dyDescent="0.25">
      <c r="A77" s="18" t="s">
        <v>5</v>
      </c>
      <c r="B77" s="8">
        <v>178</v>
      </c>
      <c r="C77" s="32"/>
      <c r="D77" s="32">
        <v>308</v>
      </c>
      <c r="E77" s="32">
        <v>1761</v>
      </c>
      <c r="F77" s="32"/>
      <c r="G77" s="32">
        <v>13</v>
      </c>
      <c r="H77" s="32">
        <v>2260</v>
      </c>
    </row>
    <row r="78" spans="1:8" s="35" customFormat="1" x14ac:dyDescent="0.25">
      <c r="A78" s="26" t="s">
        <v>105</v>
      </c>
      <c r="B78" s="10">
        <v>693</v>
      </c>
      <c r="C78" s="23">
        <v>6</v>
      </c>
      <c r="D78" s="23">
        <v>824</v>
      </c>
      <c r="E78" s="23">
        <v>5097</v>
      </c>
      <c r="F78" s="23"/>
      <c r="G78" s="23">
        <v>29</v>
      </c>
      <c r="H78" s="23">
        <v>6649</v>
      </c>
    </row>
    <row r="79" spans="1:8" x14ac:dyDescent="0.25">
      <c r="A79" s="18" t="s">
        <v>44</v>
      </c>
      <c r="B79" s="8"/>
      <c r="C79" s="32"/>
      <c r="D79" s="32"/>
      <c r="E79" s="32">
        <v>1</v>
      </c>
      <c r="F79" s="32"/>
      <c r="G79" s="32"/>
      <c r="H79" s="32">
        <v>1</v>
      </c>
    </row>
    <row r="80" spans="1:8" x14ac:dyDescent="0.25">
      <c r="A80" s="18" t="s">
        <v>102</v>
      </c>
      <c r="B80" s="8">
        <v>679</v>
      </c>
      <c r="C80" s="32">
        <v>6</v>
      </c>
      <c r="D80" s="32">
        <v>785</v>
      </c>
      <c r="E80" s="32">
        <v>4951</v>
      </c>
      <c r="F80" s="32"/>
      <c r="G80" s="32">
        <v>28</v>
      </c>
      <c r="H80" s="32">
        <v>6449</v>
      </c>
    </row>
    <row r="81" spans="1:8" x14ac:dyDescent="0.25">
      <c r="A81" s="18" t="s">
        <v>207</v>
      </c>
      <c r="B81" s="8">
        <v>14</v>
      </c>
      <c r="C81" s="32"/>
      <c r="D81" s="32">
        <v>39</v>
      </c>
      <c r="E81" s="32">
        <v>145</v>
      </c>
      <c r="F81" s="32"/>
      <c r="G81" s="32">
        <v>1</v>
      </c>
      <c r="H81" s="32">
        <v>199</v>
      </c>
    </row>
    <row r="82" spans="1:8" s="35" customFormat="1" x14ac:dyDescent="0.25">
      <c r="A82" s="26" t="s">
        <v>112</v>
      </c>
      <c r="B82" s="10">
        <v>447</v>
      </c>
      <c r="C82" s="23"/>
      <c r="D82" s="23">
        <v>530</v>
      </c>
      <c r="E82" s="23">
        <v>3603</v>
      </c>
      <c r="F82" s="23"/>
      <c r="G82" s="23">
        <v>33</v>
      </c>
      <c r="H82" s="23">
        <v>4613</v>
      </c>
    </row>
    <row r="83" spans="1:8" x14ac:dyDescent="0.25">
      <c r="A83" s="18" t="s">
        <v>44</v>
      </c>
      <c r="B83" s="8">
        <v>62</v>
      </c>
      <c r="C83" s="32"/>
      <c r="D83" s="32">
        <v>136</v>
      </c>
      <c r="E83" s="32">
        <v>691</v>
      </c>
      <c r="F83" s="32"/>
      <c r="G83" s="32">
        <v>9</v>
      </c>
      <c r="H83" s="32">
        <v>898</v>
      </c>
    </row>
    <row r="84" spans="1:8" x14ac:dyDescent="0.25">
      <c r="A84" s="18" t="s">
        <v>115</v>
      </c>
      <c r="B84" s="8">
        <v>371</v>
      </c>
      <c r="C84" s="32"/>
      <c r="D84" s="32">
        <v>382</v>
      </c>
      <c r="E84" s="32">
        <v>2835</v>
      </c>
      <c r="F84" s="32"/>
      <c r="G84" s="32">
        <v>23</v>
      </c>
      <c r="H84" s="32">
        <v>3611</v>
      </c>
    </row>
    <row r="85" spans="1:8" x14ac:dyDescent="0.25">
      <c r="A85" s="18" t="s">
        <v>207</v>
      </c>
      <c r="B85" s="8">
        <v>14</v>
      </c>
      <c r="C85" s="32"/>
      <c r="D85" s="32">
        <v>12</v>
      </c>
      <c r="E85" s="32">
        <v>77</v>
      </c>
      <c r="F85" s="32"/>
      <c r="G85" s="32">
        <v>1</v>
      </c>
      <c r="H85" s="32">
        <v>104</v>
      </c>
    </row>
    <row r="86" spans="1:8" s="35" customFormat="1" x14ac:dyDescent="0.25">
      <c r="A86" s="26" t="s">
        <v>77</v>
      </c>
      <c r="B86" s="10">
        <v>400</v>
      </c>
      <c r="C86" s="23">
        <v>1</v>
      </c>
      <c r="D86" s="23">
        <v>682</v>
      </c>
      <c r="E86" s="23">
        <v>3687</v>
      </c>
      <c r="F86" s="23"/>
      <c r="G86" s="23">
        <v>3</v>
      </c>
      <c r="H86" s="23">
        <v>4773</v>
      </c>
    </row>
    <row r="87" spans="1:8" x14ac:dyDescent="0.25">
      <c r="A87" s="18" t="s">
        <v>44</v>
      </c>
      <c r="B87" s="8">
        <v>197</v>
      </c>
      <c r="C87" s="32">
        <v>1</v>
      </c>
      <c r="D87" s="32">
        <v>326</v>
      </c>
      <c r="E87" s="32">
        <v>1854</v>
      </c>
      <c r="F87" s="32"/>
      <c r="G87" s="32">
        <v>1</v>
      </c>
      <c r="H87" s="32">
        <v>2379</v>
      </c>
    </row>
    <row r="88" spans="1:8" x14ac:dyDescent="0.25">
      <c r="A88" s="18" t="s">
        <v>115</v>
      </c>
      <c r="B88" s="8">
        <v>84</v>
      </c>
      <c r="C88" s="32"/>
      <c r="D88" s="32">
        <v>216</v>
      </c>
      <c r="E88" s="32">
        <v>1071</v>
      </c>
      <c r="F88" s="32"/>
      <c r="G88" s="32">
        <v>2</v>
      </c>
      <c r="H88" s="32">
        <v>1373</v>
      </c>
    </row>
    <row r="89" spans="1:8" x14ac:dyDescent="0.25">
      <c r="A89" s="18" t="s">
        <v>135</v>
      </c>
      <c r="B89" s="8">
        <v>96</v>
      </c>
      <c r="C89" s="32"/>
      <c r="D89" s="32">
        <v>131</v>
      </c>
      <c r="E89" s="32">
        <v>663</v>
      </c>
      <c r="F89" s="32"/>
      <c r="G89" s="32"/>
      <c r="H89" s="32">
        <v>890</v>
      </c>
    </row>
    <row r="90" spans="1:8" x14ac:dyDescent="0.25">
      <c r="A90" s="18" t="s">
        <v>207</v>
      </c>
      <c r="B90" s="8">
        <v>23</v>
      </c>
      <c r="C90" s="32"/>
      <c r="D90" s="32">
        <v>9</v>
      </c>
      <c r="E90" s="32">
        <v>99</v>
      </c>
      <c r="F90" s="32"/>
      <c r="G90" s="32"/>
      <c r="H90" s="32">
        <v>131</v>
      </c>
    </row>
    <row r="91" spans="1:8" s="35" customFormat="1" x14ac:dyDescent="0.25">
      <c r="A91" s="26" t="s">
        <v>52</v>
      </c>
      <c r="B91" s="10">
        <v>392</v>
      </c>
      <c r="C91" s="23"/>
      <c r="D91" s="23">
        <v>1133</v>
      </c>
      <c r="E91" s="23">
        <v>3777</v>
      </c>
      <c r="F91" s="23"/>
      <c r="G91" s="23">
        <v>37</v>
      </c>
      <c r="H91" s="23">
        <v>5339</v>
      </c>
    </row>
    <row r="92" spans="1:8" x14ac:dyDescent="0.25">
      <c r="A92" s="18" t="s">
        <v>115</v>
      </c>
      <c r="B92" s="8">
        <v>40</v>
      </c>
      <c r="C92" s="32"/>
      <c r="D92" s="32">
        <v>303</v>
      </c>
      <c r="E92" s="32">
        <v>587</v>
      </c>
      <c r="F92" s="32"/>
      <c r="G92" s="32">
        <v>18</v>
      </c>
      <c r="H92" s="32">
        <v>948</v>
      </c>
    </row>
    <row r="93" spans="1:8" x14ac:dyDescent="0.25">
      <c r="A93" s="18" t="s">
        <v>207</v>
      </c>
      <c r="B93" s="8">
        <v>3</v>
      </c>
      <c r="C93" s="32"/>
      <c r="D93" s="32">
        <v>3</v>
      </c>
      <c r="E93" s="32">
        <v>32</v>
      </c>
      <c r="F93" s="32"/>
      <c r="G93" s="32"/>
      <c r="H93" s="32">
        <v>38</v>
      </c>
    </row>
    <row r="94" spans="1:8" x14ac:dyDescent="0.25">
      <c r="A94" s="18" t="s">
        <v>48</v>
      </c>
      <c r="B94" s="8">
        <v>349</v>
      </c>
      <c r="C94" s="32"/>
      <c r="D94" s="32">
        <v>827</v>
      </c>
      <c r="E94" s="32">
        <v>3158</v>
      </c>
      <c r="F94" s="32"/>
      <c r="G94" s="32">
        <v>19</v>
      </c>
      <c r="H94" s="32">
        <v>4353</v>
      </c>
    </row>
    <row r="95" spans="1:8" s="35" customFormat="1" x14ac:dyDescent="0.25">
      <c r="A95" s="26" t="s">
        <v>174</v>
      </c>
      <c r="B95" s="10">
        <v>1964</v>
      </c>
      <c r="C95" s="23">
        <v>36</v>
      </c>
      <c r="D95" s="23">
        <v>2923</v>
      </c>
      <c r="E95" s="23">
        <v>7430</v>
      </c>
      <c r="F95" s="23">
        <v>45</v>
      </c>
      <c r="G95" s="23">
        <v>504</v>
      </c>
      <c r="H95" s="23">
        <v>12902</v>
      </c>
    </row>
    <row r="96" spans="1:8" x14ac:dyDescent="0.25">
      <c r="A96" s="18" t="s">
        <v>24</v>
      </c>
      <c r="B96" s="8">
        <v>1964</v>
      </c>
      <c r="C96" s="32">
        <v>36</v>
      </c>
      <c r="D96" s="32">
        <v>2923</v>
      </c>
      <c r="E96" s="32">
        <v>7430</v>
      </c>
      <c r="F96" s="32">
        <v>45</v>
      </c>
      <c r="G96" s="32">
        <v>504</v>
      </c>
      <c r="H96" s="32">
        <v>12902</v>
      </c>
    </row>
    <row r="97" spans="1:8" s="35" customFormat="1" x14ac:dyDescent="0.25">
      <c r="A97" s="26" t="s">
        <v>49</v>
      </c>
      <c r="B97" s="10">
        <v>418</v>
      </c>
      <c r="C97" s="23"/>
      <c r="D97" s="23">
        <v>704</v>
      </c>
      <c r="E97" s="23">
        <v>2858</v>
      </c>
      <c r="F97" s="23"/>
      <c r="G97" s="23">
        <v>37</v>
      </c>
      <c r="H97" s="23">
        <v>4017</v>
      </c>
    </row>
    <row r="98" spans="1:8" x14ac:dyDescent="0.25">
      <c r="A98" s="18" t="s">
        <v>115</v>
      </c>
      <c r="B98" s="8"/>
      <c r="C98" s="32"/>
      <c r="D98" s="32">
        <v>4</v>
      </c>
      <c r="E98" s="32">
        <v>19</v>
      </c>
      <c r="F98" s="32"/>
      <c r="G98" s="32"/>
      <c r="H98" s="32">
        <v>23</v>
      </c>
    </row>
    <row r="99" spans="1:8" x14ac:dyDescent="0.25">
      <c r="A99" s="18" t="s">
        <v>48</v>
      </c>
      <c r="B99" s="8">
        <v>418</v>
      </c>
      <c r="C99" s="32"/>
      <c r="D99" s="32">
        <v>700</v>
      </c>
      <c r="E99" s="32">
        <v>2839</v>
      </c>
      <c r="F99" s="32"/>
      <c r="G99" s="32">
        <v>37</v>
      </c>
      <c r="H99" s="32">
        <v>3994</v>
      </c>
    </row>
    <row r="100" spans="1:8" s="35" customFormat="1" x14ac:dyDescent="0.25">
      <c r="A100" s="26" t="s">
        <v>0</v>
      </c>
      <c r="B100" s="10">
        <v>5771</v>
      </c>
      <c r="C100" s="23">
        <v>20</v>
      </c>
      <c r="D100" s="23">
        <v>5118</v>
      </c>
      <c r="E100" s="23">
        <v>25552</v>
      </c>
      <c r="F100" s="23"/>
      <c r="G100" s="23">
        <v>225</v>
      </c>
      <c r="H100" s="23">
        <v>36686</v>
      </c>
    </row>
    <row r="101" spans="1:8" x14ac:dyDescent="0.25">
      <c r="A101" s="18" t="s">
        <v>44</v>
      </c>
      <c r="B101" s="8">
        <v>217</v>
      </c>
      <c r="C101" s="32"/>
      <c r="D101" s="32">
        <v>383</v>
      </c>
      <c r="E101" s="32">
        <v>1814</v>
      </c>
      <c r="F101" s="32"/>
      <c r="G101" s="32">
        <v>16</v>
      </c>
      <c r="H101" s="32">
        <v>2430</v>
      </c>
    </row>
    <row r="102" spans="1:8" x14ac:dyDescent="0.25">
      <c r="A102" s="18" t="s">
        <v>24</v>
      </c>
      <c r="B102" s="8">
        <v>4293</v>
      </c>
      <c r="C102" s="32"/>
      <c r="D102" s="32">
        <v>2119</v>
      </c>
      <c r="E102" s="32">
        <v>11373</v>
      </c>
      <c r="F102" s="32"/>
      <c r="G102" s="32">
        <v>77</v>
      </c>
      <c r="H102" s="32">
        <v>17862</v>
      </c>
    </row>
    <row r="103" spans="1:8" x14ac:dyDescent="0.25">
      <c r="A103" s="18" t="s">
        <v>5</v>
      </c>
      <c r="B103" s="8">
        <v>459</v>
      </c>
      <c r="C103" s="32"/>
      <c r="D103" s="32">
        <v>280</v>
      </c>
      <c r="E103" s="32">
        <v>2773</v>
      </c>
      <c r="F103" s="32"/>
      <c r="G103" s="32">
        <v>10</v>
      </c>
      <c r="H103" s="32">
        <v>3522</v>
      </c>
    </row>
    <row r="104" spans="1:8" x14ac:dyDescent="0.25">
      <c r="A104" s="18" t="s">
        <v>207</v>
      </c>
      <c r="B104" s="8">
        <v>88</v>
      </c>
      <c r="C104" s="32"/>
      <c r="D104" s="32">
        <v>113</v>
      </c>
      <c r="E104" s="32">
        <v>1164</v>
      </c>
      <c r="F104" s="32"/>
      <c r="G104" s="32">
        <v>1</v>
      </c>
      <c r="H104" s="32">
        <v>1366</v>
      </c>
    </row>
    <row r="105" spans="1:8" x14ac:dyDescent="0.25">
      <c r="A105" s="18" t="s">
        <v>88</v>
      </c>
      <c r="B105" s="8">
        <v>714</v>
      </c>
      <c r="C105" s="32">
        <v>20</v>
      </c>
      <c r="D105" s="32">
        <v>2223</v>
      </c>
      <c r="E105" s="32">
        <v>8428</v>
      </c>
      <c r="F105" s="32"/>
      <c r="G105" s="32">
        <v>121</v>
      </c>
      <c r="H105" s="32">
        <v>11506</v>
      </c>
    </row>
    <row r="106" spans="1:8" s="35" customFormat="1" x14ac:dyDescent="0.25">
      <c r="A106" s="26" t="s">
        <v>21</v>
      </c>
      <c r="B106" s="10">
        <v>5685</v>
      </c>
      <c r="C106" s="23">
        <v>14</v>
      </c>
      <c r="D106" s="23">
        <v>8751</v>
      </c>
      <c r="E106" s="23">
        <v>38234</v>
      </c>
      <c r="F106" s="23"/>
      <c r="G106" s="23">
        <v>603</v>
      </c>
      <c r="H106" s="23">
        <v>53287</v>
      </c>
    </row>
    <row r="107" spans="1:8" x14ac:dyDescent="0.25">
      <c r="A107" s="18" t="s">
        <v>267</v>
      </c>
      <c r="B107" s="8"/>
      <c r="C107" s="32"/>
      <c r="D107" s="32">
        <v>3</v>
      </c>
      <c r="E107" s="32">
        <v>3</v>
      </c>
      <c r="F107" s="32"/>
      <c r="G107" s="32"/>
      <c r="H107" s="32">
        <v>6</v>
      </c>
    </row>
    <row r="108" spans="1:8" x14ac:dyDescent="0.25">
      <c r="A108" s="18" t="s">
        <v>24</v>
      </c>
      <c r="B108" s="8">
        <v>1298</v>
      </c>
      <c r="C108" s="32">
        <v>4</v>
      </c>
      <c r="D108" s="32">
        <v>1414</v>
      </c>
      <c r="E108" s="32">
        <v>4490</v>
      </c>
      <c r="F108" s="32"/>
      <c r="G108" s="32">
        <v>215</v>
      </c>
      <c r="H108" s="32">
        <v>7421</v>
      </c>
    </row>
    <row r="109" spans="1:8" x14ac:dyDescent="0.25">
      <c r="A109" s="18" t="s">
        <v>164</v>
      </c>
      <c r="B109" s="8">
        <v>23</v>
      </c>
      <c r="C109" s="32"/>
      <c r="D109" s="32">
        <v>53</v>
      </c>
      <c r="E109" s="32">
        <v>166</v>
      </c>
      <c r="F109" s="32"/>
      <c r="G109" s="32">
        <v>20</v>
      </c>
      <c r="H109" s="32">
        <v>262</v>
      </c>
    </row>
    <row r="110" spans="1:8" x14ac:dyDescent="0.25">
      <c r="A110" s="18" t="s">
        <v>115</v>
      </c>
      <c r="B110" s="8">
        <v>777</v>
      </c>
      <c r="C110" s="32"/>
      <c r="D110" s="32">
        <v>823</v>
      </c>
      <c r="E110" s="32">
        <v>4945</v>
      </c>
      <c r="F110" s="32"/>
      <c r="G110" s="32">
        <v>88</v>
      </c>
      <c r="H110" s="32">
        <v>6633</v>
      </c>
    </row>
    <row r="111" spans="1:8" x14ac:dyDescent="0.25">
      <c r="A111" s="18" t="s">
        <v>57</v>
      </c>
      <c r="B111" s="8">
        <v>304</v>
      </c>
      <c r="C111" s="32">
        <v>3</v>
      </c>
      <c r="D111" s="32">
        <v>760</v>
      </c>
      <c r="E111" s="32">
        <v>2864</v>
      </c>
      <c r="F111" s="32"/>
      <c r="G111" s="32">
        <v>33</v>
      </c>
      <c r="H111" s="32">
        <v>3964</v>
      </c>
    </row>
    <row r="112" spans="1:8" x14ac:dyDescent="0.25">
      <c r="A112" s="18" t="s">
        <v>5</v>
      </c>
      <c r="B112" s="8">
        <v>240</v>
      </c>
      <c r="C112" s="32"/>
      <c r="D112" s="32">
        <v>244</v>
      </c>
      <c r="E112" s="32">
        <v>1706</v>
      </c>
      <c r="F112" s="32"/>
      <c r="G112" s="32">
        <v>18</v>
      </c>
      <c r="H112" s="32">
        <v>2208</v>
      </c>
    </row>
    <row r="113" spans="1:8" x14ac:dyDescent="0.25">
      <c r="A113" s="18" t="s">
        <v>135</v>
      </c>
      <c r="B113" s="8">
        <v>1960</v>
      </c>
      <c r="C113" s="32">
        <v>3</v>
      </c>
      <c r="D113" s="32">
        <v>3239</v>
      </c>
      <c r="E113" s="32">
        <v>15051</v>
      </c>
      <c r="F113" s="32"/>
      <c r="G113" s="32">
        <v>137</v>
      </c>
      <c r="H113" s="32">
        <v>20390</v>
      </c>
    </row>
    <row r="114" spans="1:8" x14ac:dyDescent="0.25">
      <c r="A114" s="18" t="s">
        <v>48</v>
      </c>
      <c r="B114" s="8">
        <v>18</v>
      </c>
      <c r="C114" s="32"/>
      <c r="D114" s="32">
        <v>20</v>
      </c>
      <c r="E114" s="32">
        <v>111</v>
      </c>
      <c r="F114" s="32"/>
      <c r="G114" s="32"/>
      <c r="H114" s="32">
        <v>149</v>
      </c>
    </row>
    <row r="115" spans="1:8" x14ac:dyDescent="0.25">
      <c r="A115" s="18" t="s">
        <v>88</v>
      </c>
      <c r="B115" s="8">
        <v>1065</v>
      </c>
      <c r="C115" s="32">
        <v>4</v>
      </c>
      <c r="D115" s="32">
        <v>2195</v>
      </c>
      <c r="E115" s="32">
        <v>8898</v>
      </c>
      <c r="F115" s="32"/>
      <c r="G115" s="32">
        <v>92</v>
      </c>
      <c r="H115" s="32">
        <v>12254</v>
      </c>
    </row>
    <row r="116" spans="1:8" s="35" customFormat="1" x14ac:dyDescent="0.25">
      <c r="A116" s="26" t="s">
        <v>124</v>
      </c>
      <c r="B116" s="10">
        <v>1177</v>
      </c>
      <c r="C116" s="23"/>
      <c r="D116" s="23">
        <v>1913</v>
      </c>
      <c r="E116" s="23">
        <v>9407</v>
      </c>
      <c r="F116" s="23"/>
      <c r="G116" s="23">
        <v>119</v>
      </c>
      <c r="H116" s="23">
        <v>12616</v>
      </c>
    </row>
    <row r="117" spans="1:8" x14ac:dyDescent="0.25">
      <c r="A117" s="18" t="s">
        <v>44</v>
      </c>
      <c r="B117" s="8">
        <v>1003</v>
      </c>
      <c r="C117" s="32"/>
      <c r="D117" s="32">
        <v>1437</v>
      </c>
      <c r="E117" s="32">
        <v>7240</v>
      </c>
      <c r="F117" s="32"/>
      <c r="G117" s="32">
        <v>91</v>
      </c>
      <c r="H117" s="32">
        <v>9771</v>
      </c>
    </row>
    <row r="118" spans="1:8" x14ac:dyDescent="0.25">
      <c r="A118" s="18" t="s">
        <v>115</v>
      </c>
      <c r="B118" s="8">
        <v>164</v>
      </c>
      <c r="C118" s="32"/>
      <c r="D118" s="32">
        <v>427</v>
      </c>
      <c r="E118" s="32">
        <v>1956</v>
      </c>
      <c r="F118" s="32"/>
      <c r="G118" s="32">
        <v>27</v>
      </c>
      <c r="H118" s="32">
        <v>2574</v>
      </c>
    </row>
    <row r="119" spans="1:8" x14ac:dyDescent="0.25">
      <c r="A119" s="18" t="s">
        <v>207</v>
      </c>
      <c r="B119" s="8">
        <v>10</v>
      </c>
      <c r="C119" s="32"/>
      <c r="D119" s="32">
        <v>49</v>
      </c>
      <c r="E119" s="32">
        <v>211</v>
      </c>
      <c r="F119" s="32"/>
      <c r="G119" s="32">
        <v>1</v>
      </c>
      <c r="H119" s="32">
        <v>271</v>
      </c>
    </row>
    <row r="120" spans="1:8" s="35" customFormat="1" x14ac:dyDescent="0.25">
      <c r="A120" s="26" t="s">
        <v>167</v>
      </c>
      <c r="B120" s="10">
        <v>3713</v>
      </c>
      <c r="C120" s="23">
        <v>53</v>
      </c>
      <c r="D120" s="23">
        <v>4304</v>
      </c>
      <c r="E120" s="23">
        <v>27013</v>
      </c>
      <c r="F120" s="23"/>
      <c r="G120" s="23">
        <v>206</v>
      </c>
      <c r="H120" s="23">
        <v>35289</v>
      </c>
    </row>
    <row r="121" spans="1:8" x14ac:dyDescent="0.25">
      <c r="A121" s="18" t="s">
        <v>44</v>
      </c>
      <c r="B121" s="8">
        <v>520</v>
      </c>
      <c r="C121" s="32"/>
      <c r="D121" s="32">
        <v>766</v>
      </c>
      <c r="E121" s="32">
        <v>4383</v>
      </c>
      <c r="F121" s="32"/>
      <c r="G121" s="32">
        <v>12</v>
      </c>
      <c r="H121" s="32">
        <v>5681</v>
      </c>
    </row>
    <row r="122" spans="1:8" x14ac:dyDescent="0.25">
      <c r="A122" s="18" t="s">
        <v>170</v>
      </c>
      <c r="B122" s="8">
        <v>3046</v>
      </c>
      <c r="C122" s="32">
        <v>53</v>
      </c>
      <c r="D122" s="32">
        <v>3350</v>
      </c>
      <c r="E122" s="32">
        <v>21100</v>
      </c>
      <c r="F122" s="32"/>
      <c r="G122" s="32">
        <v>190</v>
      </c>
      <c r="H122" s="32">
        <v>27739</v>
      </c>
    </row>
    <row r="123" spans="1:8" x14ac:dyDescent="0.25">
      <c r="A123" s="18" t="s">
        <v>207</v>
      </c>
      <c r="B123" s="8">
        <v>147</v>
      </c>
      <c r="C123" s="32"/>
      <c r="D123" s="32">
        <v>188</v>
      </c>
      <c r="E123" s="32">
        <v>1530</v>
      </c>
      <c r="F123" s="32"/>
      <c r="G123" s="32">
        <v>4</v>
      </c>
      <c r="H123" s="32">
        <v>1869</v>
      </c>
    </row>
    <row r="124" spans="1:8" s="35" customFormat="1" x14ac:dyDescent="0.25">
      <c r="A124" s="26" t="s">
        <v>61</v>
      </c>
      <c r="B124" s="10">
        <v>6889</v>
      </c>
      <c r="C124" s="23">
        <v>36</v>
      </c>
      <c r="D124" s="23">
        <v>10883</v>
      </c>
      <c r="E124" s="23">
        <v>56820</v>
      </c>
      <c r="F124" s="23"/>
      <c r="G124" s="23">
        <v>443</v>
      </c>
      <c r="H124" s="23">
        <v>75071</v>
      </c>
    </row>
    <row r="125" spans="1:8" x14ac:dyDescent="0.25">
      <c r="A125" s="18" t="s">
        <v>102</v>
      </c>
      <c r="B125" s="8">
        <v>1202</v>
      </c>
      <c r="C125" s="32">
        <v>4</v>
      </c>
      <c r="D125" s="32">
        <v>1961</v>
      </c>
      <c r="E125" s="32">
        <v>11236</v>
      </c>
      <c r="F125" s="32"/>
      <c r="G125" s="32">
        <v>63</v>
      </c>
      <c r="H125" s="32">
        <v>14466</v>
      </c>
    </row>
    <row r="126" spans="1:8" x14ac:dyDescent="0.25">
      <c r="A126" s="18" t="s">
        <v>57</v>
      </c>
      <c r="B126" s="8">
        <v>3759</v>
      </c>
      <c r="C126" s="32">
        <v>16</v>
      </c>
      <c r="D126" s="32">
        <v>4847</v>
      </c>
      <c r="E126" s="32">
        <v>27461</v>
      </c>
      <c r="F126" s="32"/>
      <c r="G126" s="32">
        <v>238</v>
      </c>
      <c r="H126" s="32">
        <v>36321</v>
      </c>
    </row>
    <row r="127" spans="1:8" x14ac:dyDescent="0.25">
      <c r="A127" s="18" t="s">
        <v>5</v>
      </c>
      <c r="B127" s="8">
        <v>323</v>
      </c>
      <c r="C127" s="32"/>
      <c r="D127" s="32">
        <v>320</v>
      </c>
      <c r="E127" s="32">
        <v>2193</v>
      </c>
      <c r="F127" s="32"/>
      <c r="G127" s="32">
        <v>6</v>
      </c>
      <c r="H127" s="32">
        <v>2842</v>
      </c>
    </row>
    <row r="128" spans="1:8" x14ac:dyDescent="0.25">
      <c r="A128" s="18" t="s">
        <v>88</v>
      </c>
      <c r="B128" s="8">
        <v>1605</v>
      </c>
      <c r="C128" s="32">
        <v>16</v>
      </c>
      <c r="D128" s="32">
        <v>3755</v>
      </c>
      <c r="E128" s="32">
        <v>15930</v>
      </c>
      <c r="F128" s="32"/>
      <c r="G128" s="32">
        <v>136</v>
      </c>
      <c r="H128" s="32">
        <v>21442</v>
      </c>
    </row>
    <row r="129" spans="1:8" x14ac:dyDescent="0.25">
      <c r="A129" s="18" t="s">
        <v>286</v>
      </c>
      <c r="B129" s="8">
        <v>81937</v>
      </c>
      <c r="C129" s="32">
        <v>297</v>
      </c>
      <c r="D129" s="32">
        <v>124668</v>
      </c>
      <c r="E129" s="32">
        <v>535712</v>
      </c>
      <c r="F129" s="32">
        <v>48</v>
      </c>
      <c r="G129" s="32">
        <v>6221</v>
      </c>
      <c r="H129" s="32">
        <v>748883</v>
      </c>
    </row>
  </sheetData>
  <pageMargins left="0.7" right="0.7" top="0.75" bottom="0.75" header="0.3" footer="0.3"/>
  <pageSetup scale="6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ХПУ тури</vt:lpstr>
      <vt:lpstr>Банк кесими</vt:lpstr>
      <vt:lpstr>ҳудуд кесими</vt:lpstr>
      <vt:lpstr>филиал кес.</vt:lpstr>
      <vt:lpstr>валюта кес.</vt:lpstr>
      <vt:lpstr>давлатлар кес.</vt:lpstr>
      <vt:lpstr>топ банк филиал</vt:lpstr>
      <vt:lpstr>топ давлатлар</vt:lpstr>
      <vt:lpstr>норезидент</vt:lpstr>
      <vt:lpstr>ойлар кес.</vt:lpstr>
      <vt:lpstr>тоифа </vt:lpstr>
      <vt:lpstr>Валюта градация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CBUser</dc:creator>
  <cp:lastModifiedBy>Ortikov Makhammadjon</cp:lastModifiedBy>
  <dcterms:created xsi:type="dcterms:W3CDTF">2025-12-23T04:40:56Z</dcterms:created>
  <dcterms:modified xsi:type="dcterms:W3CDTF">2026-02-09T11:06:01Z</dcterms:modified>
</cp:coreProperties>
</file>