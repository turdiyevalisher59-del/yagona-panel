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.davronbekov\Desktop\"/>
    </mc:Choice>
  </mc:AlternateContent>
  <bookViews>
    <workbookView xWindow="-105" yWindow="-105" windowWidth="23250" windowHeight="12450"/>
  </bookViews>
  <sheets>
    <sheet name="XPO" sheetId="2" r:id="rId1"/>
    <sheet name="Bank kesim" sheetId="3" r:id="rId2"/>
    <sheet name="ҳудуд кесими" sheetId="5" r:id="rId3"/>
    <sheet name="филиал кес." sheetId="6" r:id="rId4"/>
    <sheet name="валюта кес." sheetId="7" r:id="rId5"/>
    <sheet name="давлатлар кес." sheetId="9" r:id="rId6"/>
    <sheet name="топ банк филиал" sheetId="11" r:id="rId7"/>
    <sheet name="топ давлатлар" sheetId="10" r:id="rId8"/>
    <sheet name="норезидент" sheetId="13" r:id="rId9"/>
    <sheet name="ойлар кес." sheetId="16" r:id="rId10"/>
    <sheet name="Banklar daromadi" sheetId="23" r:id="rId11"/>
    <sheet name="Toifa" sheetId="24" r:id="rId12"/>
  </sheets>
  <externalReferences>
    <externalReference r:id="rId13"/>
  </externalReferences>
  <definedNames>
    <definedName name="_xlnm._FilterDatabase" localSheetId="1" hidden="1">'Bank kesim'!$B$4:$N$22</definedName>
    <definedName name="_xlnm._FilterDatabase" localSheetId="11" hidden="1">Toifa!$A$1:$J$123</definedName>
    <definedName name="_xlnm._FilterDatabase" localSheetId="0" hidden="1">XPO!$A$4:$W$4</definedName>
    <definedName name="_xlnm._FilterDatabase" localSheetId="5" hidden="1">'давлатлар кес.'!$A$4:$M$84</definedName>
    <definedName name="_xlnm._FilterDatabase" localSheetId="6" hidden="1">'топ банк филиал'!$A$4:$X$23</definedName>
    <definedName name="_xlnm._FilterDatabase" localSheetId="7" hidden="1">'топ давлатлар'!$A$4:$N$12</definedName>
    <definedName name="_xlnm._FilterDatabase" localSheetId="3" hidden="1">'филиал кес.'!$A$4:$W$111</definedName>
    <definedName name="_xlnm._FilterDatabase" localSheetId="2" hidden="1">'ҳудуд кесими'!$A$4:$O$26</definedName>
    <definedName name="Recover">[1]Macro1!$A$138</definedName>
    <definedName name="TableName">"Dummy"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3" l="1"/>
  <c r="D26" i="23"/>
  <c r="D38" i="23"/>
  <c r="D50" i="23"/>
  <c r="D70" i="23"/>
  <c r="D76" i="23"/>
  <c r="D83" i="23"/>
  <c r="D85" i="23"/>
  <c r="D91" i="23"/>
  <c r="D95" i="23"/>
  <c r="D102" i="23"/>
  <c r="D104" i="23"/>
  <c r="D114" i="23"/>
  <c r="D116" i="23"/>
  <c r="I50" i="24" l="1"/>
  <c r="F3" i="16"/>
  <c r="G3" i="16"/>
  <c r="I3" i="16"/>
  <c r="H3" i="16"/>
  <c r="D7" i="16"/>
  <c r="E7" i="16" s="1"/>
  <c r="C7" i="16"/>
  <c r="E5" i="2"/>
  <c r="C8" i="2"/>
  <c r="J4" i="2"/>
  <c r="K4" i="2"/>
  <c r="I16" i="24"/>
  <c r="D5" i="24"/>
  <c r="M84" i="9" l="1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D17" i="6"/>
  <c r="C17" i="6"/>
  <c r="M18" i="6"/>
  <c r="M17" i="6"/>
  <c r="M16" i="6"/>
  <c r="M15" i="6"/>
  <c r="C15" i="6"/>
  <c r="D15" i="6"/>
  <c r="A15" i="6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I117" i="24" l="1"/>
  <c r="I103" i="24"/>
  <c r="I85" i="24"/>
  <c r="I57" i="24"/>
  <c r="I123" i="24"/>
  <c r="I122" i="24"/>
  <c r="I121" i="24"/>
  <c r="G120" i="24"/>
  <c r="F120" i="24"/>
  <c r="E120" i="24"/>
  <c r="D120" i="24"/>
  <c r="I119" i="24"/>
  <c r="I118" i="24"/>
  <c r="I116" i="24"/>
  <c r="G115" i="24"/>
  <c r="F115" i="24"/>
  <c r="E115" i="24"/>
  <c r="D115" i="24"/>
  <c r="I114" i="24"/>
  <c r="I113" i="24"/>
  <c r="I112" i="24"/>
  <c r="G111" i="24"/>
  <c r="F111" i="24"/>
  <c r="E111" i="24"/>
  <c r="D111" i="24"/>
  <c r="I110" i="24"/>
  <c r="I109" i="24"/>
  <c r="I108" i="24"/>
  <c r="I107" i="24"/>
  <c r="I106" i="24"/>
  <c r="G105" i="24"/>
  <c r="F105" i="24"/>
  <c r="E105" i="24"/>
  <c r="D105" i="24"/>
  <c r="I104" i="24"/>
  <c r="I102" i="24"/>
  <c r="I101" i="24"/>
  <c r="I100" i="24"/>
  <c r="G99" i="24"/>
  <c r="F99" i="24"/>
  <c r="E99" i="24"/>
  <c r="D99" i="24"/>
  <c r="I98" i="24"/>
  <c r="G97" i="24"/>
  <c r="F97" i="24"/>
  <c r="E97" i="24"/>
  <c r="D97" i="24"/>
  <c r="I96" i="24"/>
  <c r="I95" i="24"/>
  <c r="I94" i="24"/>
  <c r="G93" i="24"/>
  <c r="F93" i="24"/>
  <c r="E93" i="24"/>
  <c r="D93" i="24"/>
  <c r="I92" i="24"/>
  <c r="I91" i="24"/>
  <c r="I90" i="24"/>
  <c r="I89" i="24"/>
  <c r="G88" i="24"/>
  <c r="F88" i="24"/>
  <c r="E88" i="24"/>
  <c r="D88" i="24"/>
  <c r="I87" i="24"/>
  <c r="I86" i="24"/>
  <c r="I84" i="24"/>
  <c r="G83" i="24"/>
  <c r="F83" i="24"/>
  <c r="E83" i="24"/>
  <c r="D83" i="24"/>
  <c r="I82" i="24"/>
  <c r="I81" i="24"/>
  <c r="G80" i="24"/>
  <c r="F80" i="24"/>
  <c r="E80" i="24"/>
  <c r="D80" i="24"/>
  <c r="I79" i="24"/>
  <c r="I78" i="24"/>
  <c r="I77" i="24"/>
  <c r="I76" i="24"/>
  <c r="G75" i="24"/>
  <c r="F75" i="24"/>
  <c r="E75" i="24"/>
  <c r="D75" i="24"/>
  <c r="I74" i="24"/>
  <c r="I73" i="24"/>
  <c r="I72" i="24"/>
  <c r="I71" i="24"/>
  <c r="I70" i="24"/>
  <c r="I69" i="24"/>
  <c r="I68" i="24"/>
  <c r="I67" i="24"/>
  <c r="G66" i="24"/>
  <c r="F66" i="24"/>
  <c r="E66" i="24"/>
  <c r="D66" i="24"/>
  <c r="I65" i="24"/>
  <c r="I64" i="24"/>
  <c r="I63" i="24"/>
  <c r="G62" i="24"/>
  <c r="F62" i="24"/>
  <c r="E62" i="24"/>
  <c r="D62" i="24"/>
  <c r="I61" i="24"/>
  <c r="I60" i="24"/>
  <c r="I59" i="24"/>
  <c r="I58" i="24"/>
  <c r="I56" i="24"/>
  <c r="I55" i="24"/>
  <c r="I54" i="24"/>
  <c r="I53" i="24"/>
  <c r="I52" i="24"/>
  <c r="G51" i="24"/>
  <c r="F51" i="24"/>
  <c r="E51" i="24"/>
  <c r="D51" i="24"/>
  <c r="I49" i="24"/>
  <c r="G48" i="24"/>
  <c r="F48" i="24"/>
  <c r="E48" i="24"/>
  <c r="D48" i="24"/>
  <c r="I47" i="24"/>
  <c r="I46" i="24"/>
  <c r="I45" i="24"/>
  <c r="I44" i="24"/>
  <c r="G43" i="24"/>
  <c r="F43" i="24"/>
  <c r="E43" i="24"/>
  <c r="D43" i="24"/>
  <c r="I42" i="24"/>
  <c r="I41" i="24"/>
  <c r="I40" i="24"/>
  <c r="I39" i="24"/>
  <c r="I38" i="24"/>
  <c r="I37" i="24"/>
  <c r="I36" i="24"/>
  <c r="G35" i="24"/>
  <c r="F35" i="24"/>
  <c r="E35" i="24"/>
  <c r="D35" i="24"/>
  <c r="I34" i="24"/>
  <c r="I33" i="24"/>
  <c r="I32" i="24"/>
  <c r="I31" i="24"/>
  <c r="I30" i="24"/>
  <c r="G29" i="24"/>
  <c r="F29" i="24"/>
  <c r="E29" i="24"/>
  <c r="D29" i="24"/>
  <c r="I28" i="24"/>
  <c r="I27" i="24"/>
  <c r="I26" i="24"/>
  <c r="G25" i="24"/>
  <c r="F25" i="24"/>
  <c r="E25" i="24"/>
  <c r="D25" i="24"/>
  <c r="I24" i="24"/>
  <c r="I23" i="24"/>
  <c r="I22" i="24"/>
  <c r="I21" i="24"/>
  <c r="I20" i="24"/>
  <c r="G19" i="24"/>
  <c r="F19" i="24"/>
  <c r="E19" i="24"/>
  <c r="D19" i="24"/>
  <c r="I18" i="24"/>
  <c r="I17" i="24"/>
  <c r="I15" i="24"/>
  <c r="I14" i="24"/>
  <c r="G13" i="24"/>
  <c r="F13" i="24"/>
  <c r="E13" i="24"/>
  <c r="D13" i="24"/>
  <c r="I12" i="24"/>
  <c r="I11" i="24"/>
  <c r="I10" i="24"/>
  <c r="I9" i="24"/>
  <c r="I8" i="24"/>
  <c r="I7" i="24"/>
  <c r="I6" i="24"/>
  <c r="G5" i="24"/>
  <c r="F5" i="24"/>
  <c r="E5" i="24"/>
  <c r="I5" i="24" l="1"/>
  <c r="J11" i="24" s="1"/>
  <c r="I97" i="24"/>
  <c r="J98" i="24" s="1"/>
  <c r="I62" i="24"/>
  <c r="J64" i="24" s="1"/>
  <c r="I48" i="24"/>
  <c r="I35" i="24"/>
  <c r="J36" i="24" s="1"/>
  <c r="I51" i="24"/>
  <c r="J57" i="24" s="1"/>
  <c r="I120" i="24"/>
  <c r="I13" i="24"/>
  <c r="I75" i="24"/>
  <c r="J76" i="24" s="1"/>
  <c r="I99" i="24"/>
  <c r="J103" i="24" s="1"/>
  <c r="I80" i="24"/>
  <c r="J82" i="24" s="1"/>
  <c r="I19" i="24"/>
  <c r="J22" i="24" s="1"/>
  <c r="I66" i="24"/>
  <c r="J71" i="24" s="1"/>
  <c r="I88" i="24"/>
  <c r="J89" i="24" s="1"/>
  <c r="I93" i="24"/>
  <c r="I105" i="24"/>
  <c r="I111" i="24"/>
  <c r="I115" i="24"/>
  <c r="J118" i="24" s="1"/>
  <c r="I83" i="24"/>
  <c r="J84" i="24" s="1"/>
  <c r="I25" i="24"/>
  <c r="J28" i="24" s="1"/>
  <c r="I29" i="24"/>
  <c r="J33" i="24" s="1"/>
  <c r="I43" i="24"/>
  <c r="J47" i="24" s="1"/>
  <c r="J49" i="24" l="1"/>
  <c r="J50" i="24"/>
  <c r="J117" i="24"/>
  <c r="J85" i="24"/>
  <c r="J14" i="24"/>
  <c r="J16" i="24"/>
  <c r="I2" i="24"/>
  <c r="J19" i="24" s="1"/>
  <c r="J60" i="24"/>
  <c r="J63" i="24"/>
  <c r="J121" i="24"/>
  <c r="J65" i="24"/>
  <c r="J101" i="24"/>
  <c r="J18" i="24"/>
  <c r="J123" i="24"/>
  <c r="J122" i="24"/>
  <c r="J42" i="24"/>
  <c r="J38" i="24"/>
  <c r="J37" i="24"/>
  <c r="J40" i="24"/>
  <c r="J39" i="24"/>
  <c r="J41" i="24"/>
  <c r="J69" i="24"/>
  <c r="J61" i="24"/>
  <c r="J59" i="24"/>
  <c r="J53" i="24"/>
  <c r="J58" i="24"/>
  <c r="J100" i="24"/>
  <c r="J54" i="24"/>
  <c r="J52" i="24"/>
  <c r="J32" i="24"/>
  <c r="J56" i="24"/>
  <c r="J55" i="24"/>
  <c r="J15" i="24"/>
  <c r="J17" i="24"/>
  <c r="J24" i="24"/>
  <c r="J20" i="24"/>
  <c r="J10" i="24"/>
  <c r="J8" i="24"/>
  <c r="J114" i="24"/>
  <c r="J112" i="24"/>
  <c r="J110" i="24"/>
  <c r="J107" i="24"/>
  <c r="J109" i="24"/>
  <c r="J106" i="24"/>
  <c r="J92" i="24"/>
  <c r="J90" i="24"/>
  <c r="J70" i="24"/>
  <c r="J74" i="24"/>
  <c r="J73" i="24"/>
  <c r="J68" i="24"/>
  <c r="J23" i="24"/>
  <c r="J21" i="24"/>
  <c r="J91" i="24"/>
  <c r="J113" i="24"/>
  <c r="J119" i="24"/>
  <c r="J116" i="24"/>
  <c r="J79" i="24"/>
  <c r="J96" i="24"/>
  <c r="J94" i="24"/>
  <c r="J45" i="24"/>
  <c r="J72" i="24"/>
  <c r="J31" i="24"/>
  <c r="J34" i="24"/>
  <c r="J108" i="24"/>
  <c r="J78" i="24"/>
  <c r="J77" i="24"/>
  <c r="J27" i="24"/>
  <c r="J95" i="24"/>
  <c r="J46" i="24"/>
  <c r="J86" i="24"/>
  <c r="J67" i="24"/>
  <c r="J44" i="24"/>
  <c r="J26" i="24"/>
  <c r="J81" i="24"/>
  <c r="J9" i="24"/>
  <c r="J7" i="24"/>
  <c r="J12" i="24"/>
  <c r="J6" i="24"/>
  <c r="J104" i="24"/>
  <c r="J102" i="24"/>
  <c r="J87" i="24"/>
  <c r="J30" i="24"/>
  <c r="J35" i="24" l="1"/>
  <c r="J51" i="24"/>
  <c r="J62" i="24"/>
  <c r="J120" i="24"/>
  <c r="J29" i="24"/>
  <c r="J83" i="24"/>
  <c r="J105" i="24"/>
  <c r="J97" i="24"/>
  <c r="J115" i="24"/>
  <c r="J88" i="24"/>
  <c r="J13" i="24"/>
  <c r="J80" i="24"/>
  <c r="J5" i="24"/>
  <c r="J43" i="24"/>
  <c r="J48" i="24"/>
  <c r="J25" i="24"/>
  <c r="J99" i="24"/>
  <c r="J93" i="24"/>
  <c r="J66" i="24"/>
  <c r="J75" i="24"/>
  <c r="J111" i="24"/>
  <c r="N26" i="5" l="1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M20" i="6"/>
  <c r="M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19" i="6"/>
  <c r="M14" i="6"/>
  <c r="M13" i="6"/>
  <c r="M12" i="6"/>
  <c r="M11" i="6"/>
  <c r="M9" i="6"/>
  <c r="M8" i="6"/>
  <c r="M7" i="6"/>
  <c r="M6" i="6"/>
  <c r="M5" i="6"/>
  <c r="M9" i="7"/>
  <c r="M8" i="7"/>
  <c r="M7" i="7"/>
  <c r="M6" i="7"/>
  <c r="M5" i="7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12" i="10"/>
  <c r="N11" i="10"/>
  <c r="N10" i="10"/>
  <c r="N9" i="10"/>
  <c r="N8" i="10"/>
  <c r="N7" i="10"/>
  <c r="N6" i="10"/>
  <c r="N5" i="10"/>
  <c r="N6" i="13"/>
  <c r="N5" i="13"/>
  <c r="P4" i="5"/>
  <c r="E116" i="23"/>
  <c r="E114" i="23"/>
  <c r="E104" i="23"/>
  <c r="E102" i="23"/>
  <c r="E95" i="23"/>
  <c r="E91" i="23"/>
  <c r="E85" i="23"/>
  <c r="E83" i="23"/>
  <c r="E76" i="23"/>
  <c r="E70" i="23"/>
  <c r="E50" i="23"/>
  <c r="E38" i="23"/>
  <c r="E26" i="23"/>
  <c r="E18" i="23"/>
  <c r="E7" i="23"/>
  <c r="D7" i="23"/>
  <c r="E4" i="9"/>
  <c r="A6" i="7"/>
  <c r="A7" i="7" s="1"/>
  <c r="A8" i="7" s="1"/>
  <c r="A9" i="7" s="1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6" i="6"/>
  <c r="C14" i="6"/>
  <c r="C13" i="6"/>
  <c r="C12" i="6"/>
  <c r="C11" i="6"/>
  <c r="C10" i="6"/>
  <c r="C9" i="6"/>
  <c r="C8" i="6"/>
  <c r="C7" i="6"/>
  <c r="C6" i="6"/>
  <c r="C5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6" i="6"/>
  <c r="D14" i="6"/>
  <c r="D13" i="6"/>
  <c r="D12" i="6"/>
  <c r="D11" i="6"/>
  <c r="D10" i="6"/>
  <c r="D9" i="6"/>
  <c r="D8" i="6"/>
  <c r="D7" i="6"/>
  <c r="D6" i="6"/>
  <c r="D5" i="6"/>
  <c r="L4" i="6"/>
  <c r="K4" i="6"/>
  <c r="J4" i="6"/>
  <c r="I4" i="6"/>
  <c r="H4" i="6"/>
  <c r="G4" i="6"/>
  <c r="F4" i="6"/>
  <c r="M4" i="7" l="1"/>
  <c r="N4" i="11"/>
  <c r="M4" i="9"/>
  <c r="D4" i="6"/>
  <c r="M4" i="6"/>
  <c r="D6" i="23"/>
  <c r="E6" i="23"/>
  <c r="N4" i="5"/>
  <c r="C12" i="10"/>
  <c r="D12" i="10"/>
  <c r="D11" i="10"/>
  <c r="D10" i="10"/>
  <c r="D9" i="10"/>
  <c r="D8" i="10"/>
  <c r="D7" i="10"/>
  <c r="D6" i="10"/>
  <c r="D5" i="10"/>
  <c r="C11" i="10"/>
  <c r="C10" i="10"/>
  <c r="C9" i="10"/>
  <c r="C8" i="10"/>
  <c r="C7" i="10"/>
  <c r="C6" i="10"/>
  <c r="C5" i="10"/>
  <c r="M4" i="10"/>
  <c r="L4" i="10"/>
  <c r="K4" i="10"/>
  <c r="J4" i="10"/>
  <c r="I4" i="10"/>
  <c r="H4" i="10"/>
  <c r="G4" i="10"/>
  <c r="F4" i="10"/>
  <c r="D5" i="11"/>
  <c r="C13" i="11"/>
  <c r="C6" i="11"/>
  <c r="D13" i="11"/>
  <c r="D6" i="11"/>
  <c r="G4" i="11"/>
  <c r="D11" i="11"/>
  <c r="C9" i="7"/>
  <c r="D9" i="7"/>
  <c r="C4" i="16"/>
  <c r="D4" i="10" l="1"/>
  <c r="E12" i="10" s="1"/>
  <c r="C4" i="10"/>
  <c r="D6" i="13"/>
  <c r="D5" i="13"/>
  <c r="C6" i="13"/>
  <c r="C5" i="13"/>
  <c r="M4" i="13"/>
  <c r="C73" i="9"/>
  <c r="C61" i="9"/>
  <c r="C60" i="9"/>
  <c r="C59" i="9"/>
  <c r="C54" i="9"/>
  <c r="C49" i="9"/>
  <c r="C48" i="9"/>
  <c r="C47" i="9"/>
  <c r="C43" i="9"/>
  <c r="C42" i="9"/>
  <c r="C37" i="9"/>
  <c r="C36" i="9"/>
  <c r="C35" i="9"/>
  <c r="C31" i="9"/>
  <c r="C30" i="9"/>
  <c r="C27" i="9"/>
  <c r="C24" i="9"/>
  <c r="C23" i="9"/>
  <c r="C21" i="9"/>
  <c r="C18" i="9"/>
  <c r="C16" i="9"/>
  <c r="C12" i="9"/>
  <c r="C11" i="9"/>
  <c r="C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80" i="9"/>
  <c r="C74" i="9"/>
  <c r="L4" i="9"/>
  <c r="K4" i="9"/>
  <c r="J4" i="9"/>
  <c r="H4" i="9"/>
  <c r="G4" i="9"/>
  <c r="F4" i="9"/>
  <c r="C84" i="9"/>
  <c r="C83" i="9"/>
  <c r="C82" i="9"/>
  <c r="C81" i="9"/>
  <c r="C79" i="9"/>
  <c r="C78" i="9"/>
  <c r="C77" i="9"/>
  <c r="C76" i="9"/>
  <c r="C75" i="9"/>
  <c r="C72" i="9"/>
  <c r="C71" i="9"/>
  <c r="C70" i="9"/>
  <c r="C69" i="9"/>
  <c r="C68" i="9"/>
  <c r="C67" i="9"/>
  <c r="C66" i="9"/>
  <c r="C65" i="9"/>
  <c r="C64" i="9"/>
  <c r="C63" i="9"/>
  <c r="C62" i="9"/>
  <c r="C58" i="9"/>
  <c r="C57" i="9"/>
  <c r="C56" i="9"/>
  <c r="C55" i="9"/>
  <c r="C53" i="9"/>
  <c r="C52" i="9"/>
  <c r="C51" i="9"/>
  <c r="C50" i="9"/>
  <c r="C46" i="9"/>
  <c r="C45" i="9"/>
  <c r="C44" i="9"/>
  <c r="C41" i="9"/>
  <c r="C40" i="9"/>
  <c r="C39" i="9"/>
  <c r="C38" i="9"/>
  <c r="C34" i="9"/>
  <c r="C33" i="9"/>
  <c r="C32" i="9"/>
  <c r="C29" i="9"/>
  <c r="C28" i="9"/>
  <c r="C26" i="9"/>
  <c r="C25" i="9"/>
  <c r="C22" i="9"/>
  <c r="C20" i="9"/>
  <c r="C19" i="9"/>
  <c r="C17" i="9"/>
  <c r="C15" i="9"/>
  <c r="C14" i="9"/>
  <c r="C13" i="9"/>
  <c r="C10" i="9"/>
  <c r="C9" i="9"/>
  <c r="C8" i="9"/>
  <c r="C7" i="9"/>
  <c r="C6" i="9"/>
  <c r="C4" i="13" l="1"/>
  <c r="D4" i="13"/>
  <c r="E8" i="10"/>
  <c r="E6" i="10"/>
  <c r="E5" i="10"/>
  <c r="E7" i="10"/>
  <c r="E11" i="10"/>
  <c r="E10" i="10"/>
  <c r="E9" i="10"/>
  <c r="D4" i="9"/>
  <c r="I4" i="9"/>
  <c r="J4" i="7"/>
  <c r="K4" i="7"/>
  <c r="I4" i="7"/>
  <c r="G4" i="7"/>
  <c r="I4" i="5"/>
  <c r="H4" i="5"/>
  <c r="G4" i="5"/>
  <c r="F4" i="5"/>
  <c r="M4" i="5"/>
  <c r="L4" i="5"/>
  <c r="K4" i="5"/>
  <c r="J4" i="5"/>
  <c r="J4" i="3"/>
  <c r="I4" i="3"/>
  <c r="H4" i="3"/>
  <c r="G4" i="3"/>
  <c r="N4" i="3"/>
  <c r="M4" i="3"/>
  <c r="L4" i="3"/>
  <c r="K4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C5" i="2"/>
  <c r="D5" i="2"/>
  <c r="F4" i="2"/>
  <c r="I4" i="2"/>
  <c r="H4" i="2"/>
  <c r="G4" i="2"/>
  <c r="C4" i="9" l="1"/>
  <c r="L4" i="7"/>
  <c r="M4" i="2" l="1"/>
  <c r="L4" i="2"/>
  <c r="D6" i="16" l="1"/>
  <c r="C6" i="16"/>
  <c r="D5" i="16"/>
  <c r="C5" i="16"/>
  <c r="D4" i="16"/>
  <c r="L4" i="13"/>
  <c r="J4" i="13"/>
  <c r="I4" i="13"/>
  <c r="H4" i="13"/>
  <c r="G4" i="13"/>
  <c r="F4" i="13"/>
  <c r="K4" i="13"/>
  <c r="N4" i="13" s="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2" i="11"/>
  <c r="C12" i="11"/>
  <c r="C11" i="11"/>
  <c r="D10" i="11"/>
  <c r="C10" i="11"/>
  <c r="D9" i="11"/>
  <c r="C9" i="11"/>
  <c r="D8" i="11"/>
  <c r="C8" i="11"/>
  <c r="D7" i="11"/>
  <c r="C7" i="11"/>
  <c r="C5" i="11"/>
  <c r="H4" i="11"/>
  <c r="I4" i="11"/>
  <c r="E4" i="6"/>
  <c r="C4" i="6" s="1"/>
  <c r="F4" i="11"/>
  <c r="M4" i="11"/>
  <c r="L4" i="11"/>
  <c r="J4" i="11"/>
  <c r="K4" i="11"/>
  <c r="D8" i="7"/>
  <c r="C8" i="7"/>
  <c r="D7" i="7"/>
  <c r="C7" i="7"/>
  <c r="D6" i="7"/>
  <c r="C6" i="7"/>
  <c r="D5" i="7"/>
  <c r="C5" i="7"/>
  <c r="H4" i="7"/>
  <c r="F4" i="7"/>
  <c r="E4" i="7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E4" i="3"/>
  <c r="D4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C4" i="2"/>
  <c r="D4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D7" i="2"/>
  <c r="C7" i="2"/>
  <c r="D6" i="2"/>
  <c r="C6" i="2"/>
  <c r="F16" i="3" l="1"/>
  <c r="F10" i="3"/>
  <c r="E6" i="2"/>
  <c r="C3" i="16"/>
  <c r="D3" i="16"/>
  <c r="E5" i="16" s="1"/>
  <c r="F8" i="3"/>
  <c r="F14" i="3"/>
  <c r="F20" i="3"/>
  <c r="F9" i="3"/>
  <c r="F15" i="3"/>
  <c r="F21" i="3"/>
  <c r="F5" i="3"/>
  <c r="F11" i="3"/>
  <c r="F17" i="3"/>
  <c r="F12" i="3"/>
  <c r="F18" i="3"/>
  <c r="F6" i="3"/>
  <c r="F7" i="3"/>
  <c r="F13" i="3"/>
  <c r="F19" i="3"/>
  <c r="D4" i="5"/>
  <c r="E10" i="5" s="1"/>
  <c r="C4" i="5"/>
  <c r="C4" i="11"/>
  <c r="D4" i="11"/>
  <c r="E19" i="11" s="1"/>
  <c r="D4" i="7"/>
  <c r="C4" i="7"/>
  <c r="O4" i="5"/>
  <c r="E6" i="13"/>
  <c r="E5" i="13"/>
  <c r="E18" i="2"/>
  <c r="E17" i="2"/>
  <c r="E16" i="2"/>
  <c r="E15" i="2"/>
  <c r="E14" i="2"/>
  <c r="E13" i="2"/>
  <c r="E12" i="2"/>
  <c r="E11" i="2"/>
  <c r="E10" i="2"/>
  <c r="E9" i="2"/>
  <c r="E8" i="2"/>
  <c r="E7" i="2"/>
  <c r="E7" i="5" l="1"/>
  <c r="E23" i="5"/>
  <c r="E8" i="5"/>
  <c r="E17" i="5"/>
  <c r="E6" i="11"/>
  <c r="E13" i="11"/>
  <c r="E11" i="11"/>
  <c r="E5" i="11"/>
  <c r="E20" i="11"/>
  <c r="E11" i="5"/>
  <c r="E9" i="11"/>
  <c r="E5" i="5"/>
  <c r="E14" i="11"/>
  <c r="E22" i="11"/>
  <c r="E15" i="11"/>
  <c r="E17" i="11"/>
  <c r="E18" i="11"/>
  <c r="E21" i="11"/>
  <c r="E16" i="11"/>
  <c r="E15" i="5"/>
  <c r="E24" i="5"/>
  <c r="E21" i="5"/>
  <c r="E8" i="11"/>
  <c r="E7" i="11"/>
  <c r="E18" i="5"/>
  <c r="E10" i="11"/>
  <c r="E12" i="11"/>
  <c r="E4" i="16"/>
  <c r="E6" i="16"/>
  <c r="E26" i="5"/>
  <c r="E25" i="5"/>
  <c r="E12" i="5"/>
  <c r="E22" i="5"/>
  <c r="E20" i="5"/>
  <c r="E19" i="5"/>
  <c r="E6" i="5"/>
  <c r="E16" i="5"/>
  <c r="E14" i="5"/>
  <c r="E13" i="5"/>
  <c r="E9" i="5"/>
</calcChain>
</file>

<file path=xl/sharedStrings.xml><?xml version="1.0" encoding="utf-8"?>
<sst xmlns="http://schemas.openxmlformats.org/spreadsheetml/2006/main" count="877" uniqueCount="436">
  <si>
    <t>ЧИНОЗ ТУМАНИ</t>
  </si>
  <si>
    <t>Юборилган</t>
  </si>
  <si>
    <t>Золотая Корона</t>
  </si>
  <si>
    <t>ЧИНОЗ Т., `ТУРОНБАНК` АТБ ЧИНОЗ БХО</t>
  </si>
  <si>
    <t>"ТУРОНБАНК" АТ БАНКИ</t>
  </si>
  <si>
    <t>Доллар США</t>
  </si>
  <si>
    <t>Western Union</t>
  </si>
  <si>
    <t>ОХАНГАРОН Т., `ТУРОНБАНК` АТБ ОХАНГАРОН БХО</t>
  </si>
  <si>
    <t>БЕКОБОД ТУМАНИ</t>
  </si>
  <si>
    <t>БЕКОБОД Т., `ТУРОНБАНК` АТБ `BEKOBOD` БХО</t>
  </si>
  <si>
    <t>ЗАНГИОТА ТУМАНИ</t>
  </si>
  <si>
    <t>ЗАНГИОТА Т., `ТУРОНБАНК` АТБ ЗАНГИОТА БХМ</t>
  </si>
  <si>
    <t>КИБРАЙ Т., "INVEST FINANCE BANK" АЖ ТОШКЕНТ ВИЛОЯТ ФИЛИАЛИ</t>
  </si>
  <si>
    <t>01056</t>
  </si>
  <si>
    <t>"INVEST FINANCE BANK" АЖ</t>
  </si>
  <si>
    <t>MoneyGram</t>
  </si>
  <si>
    <t>ЧИРЧИК Ш., "ИПОТЕКА-БАНК" АТИБ ЧИРЧИК ФИЛИАЛИ</t>
  </si>
  <si>
    <t>00478</t>
  </si>
  <si>
    <t>"ИПОТЕКА-БАНК" АТИ БАНКИ</t>
  </si>
  <si>
    <t>Сум (для междунар.расчетов код 860)</t>
  </si>
  <si>
    <t>АНГРЕН ШАХРИ</t>
  </si>
  <si>
    <t>АНГРЕН Ш., "ИПОТЕКА-БАНК" АТИБ АНГРЕН ФИЛИАЛИ</t>
  </si>
  <si>
    <t>00461</t>
  </si>
  <si>
    <t>ОХАНГАРОН Т., "ИПОТЕКА-БАНК" АТИБ ОХАНГАРОН ФИЛИАЛИ</t>
  </si>
  <si>
    <t>00487</t>
  </si>
  <si>
    <t>БУСТОНЛИК Т., `ГАРАНТ БАНК` АЖ ГАЗАЛКЕНТ БХО</t>
  </si>
  <si>
    <t>"ГАРАНТ БАНК" АЖ</t>
  </si>
  <si>
    <t>KwikPAY</t>
  </si>
  <si>
    <t>ЗАГИОТА Т., `ГАРАНТ БАНК` АЖ ЗАНГИОТА БХО</t>
  </si>
  <si>
    <t>UPT</t>
  </si>
  <si>
    <t>КИБРАЙ Т., `ГАРАНТ БАНК` АЖ КИБРАЙ БХО</t>
  </si>
  <si>
    <t>КУЙИЧИРЧИК Т., "АГРОБАНК" АТБ КУЙИЧИРЧИК ФИЛИАЛИ</t>
  </si>
  <si>
    <t>00474</t>
  </si>
  <si>
    <t>"АГРОБАНК" АТБ</t>
  </si>
  <si>
    <t>БЕКОБОД ШАХРИ</t>
  </si>
  <si>
    <t>БЕКОБОД Ш., АТ `АЛОКАБАНК` БЕКОБОД КХКМ</t>
  </si>
  <si>
    <t>АТ "АЛОКАБАНК"</t>
  </si>
  <si>
    <t>УРТАЧИРЧИК Т., АТ `АЛОКАБАНК` УРТАЧИРЧИК КХКМ</t>
  </si>
  <si>
    <t>ТОШКЕНТ ТУМАНИ</t>
  </si>
  <si>
    <t>ТОШКЕНТ Т., АТ `АЛОКАБАНК` КЕЛЕС КХКМ</t>
  </si>
  <si>
    <t>БУСТОНЛИК Т., `ТИФ МИЛЛИЙ БАНКИ` АЖ ГАЗАЛКЕНТ БХМ</t>
  </si>
  <si>
    <t>"ТИФ МИЛЛИЙ БАНКИ" АЖ</t>
  </si>
  <si>
    <t>НУРАФШОН Ш., `ТИФ МИЛЛИЙ БАНКИ` АЖ НУРАФШОН АМАЛИЁТ БХМ</t>
  </si>
  <si>
    <t>ЯНГИЙУЛ Ш., `ТИФ МИЛЛИЙ БАНКИ` АЖ ЯНГИЙУЛ БХМ</t>
  </si>
  <si>
    <t>БЕКОБОД Ш., `ТИФ МИЛЛИЙ БАНКИ` АЖ БЕКОБОД БХМ</t>
  </si>
  <si>
    <t>Банковские переводы</t>
  </si>
  <si>
    <t>Российский рубль</t>
  </si>
  <si>
    <t>ОЛМАЛИК Ш., `ТИФ МИЛЛИЙ БАНКИ` АЖ `OYDIN` БХО</t>
  </si>
  <si>
    <t>ЧИРЧИК Ш., `ТИФ МИЛЛИЙ БАНКИ` АЖ ЧИРЧИК БХМ</t>
  </si>
  <si>
    <t>ОЛМАЛИК Ш., `ТИФ МИЛЛИЙ БАНКИ` АЖ ОЛМАЛИК БХМ</t>
  </si>
  <si>
    <t>НУРАФШОН Ш., "АГРОБАНК" АТБ ТОШКЕНТ ВИЛОЯТ ХУДУДИЙ ФИЛИАЛИ</t>
  </si>
  <si>
    <t>00475</t>
  </si>
  <si>
    <t>ПСКЕНТ Т., "АГРОБАНК" АТБ ПСКЕНТ ФИЛИАЛИ</t>
  </si>
  <si>
    <t>00472</t>
  </si>
  <si>
    <t>БЕКОБОД Т., "АГРОБАНК" АТБ БЕКОБОД ФИЛИАЛИ</t>
  </si>
  <si>
    <t>00468</t>
  </si>
  <si>
    <t>ЗАНГИОТА Т., "ИПОТЕКА-БАНК" АТИБ ЗАНГИОТА ФИЛИАЛИ</t>
  </si>
  <si>
    <t>01130</t>
  </si>
  <si>
    <t>ЗАНГИОТА Т., "INVEST FINANCE BANK" АЖ ЗАНГИОТА ФИЛИАЛИ</t>
  </si>
  <si>
    <t>01080</t>
  </si>
  <si>
    <t>ЧИНОЗ Т., ЧЕТ ЭЛ КАП ИШТИРОК `HAMKORBANK` АТБ ЧИНОЗ УНИВЕРСАЛ БХО</t>
  </si>
  <si>
    <t>ЧЭКИ "HAMKORBANK" АТ БАНКИ</t>
  </si>
  <si>
    <t>ЯНГИЙУЛ Ш., ЧЕТ ЭЛ КАП ИШТИРОК `HAMKORBANK` АТБ ЯНГИЙУЛ УНИВЕРСАЛ БХО</t>
  </si>
  <si>
    <t>Евро</t>
  </si>
  <si>
    <t>ОЛМАЛИК Ш., ЧЕТ ЭЛ КАП ИШТИРОК `HAMKORBANK` АТБ ОЛМАЛИК УНИВЕРСАЛ БХО</t>
  </si>
  <si>
    <t>АНГРЕН Ш., ЧЕТ ЭЛ КАП ИШТИРОК `HAMKORBANK` АТБ АНГРЕН УНИВЕРСАЛ БХО</t>
  </si>
  <si>
    <t>ЧИРЧИК Ш., ЧЕТ ЭЛ КАП ИШТИРОК `HAMKORBANK` АТБ ЧИРЧИК УНИВЕРСАЛ БХО</t>
  </si>
  <si>
    <t>НУРАФШОН Ш., ЧЕТ ЭЛ КАП ИШТИРОК `HAMKORBANK` АТБ НУРАФШОН УНИВЕРСАЛ БХО</t>
  </si>
  <si>
    <t>ЯНГИЙУЛ Ш., "БИЗНЕСНИ РИВОЖЛАНТИРИШ БАНКИ" АТБ ЯНГИЙУЛ БХМ</t>
  </si>
  <si>
    <t>"БИЗНЕСНИ РИВОЖЛАНТИРИШ БАНКИ" АТБ</t>
  </si>
  <si>
    <t>НУРАФШОН Ш., "БИЗНЕСНИ РИВОЖЛАНТИРИШ БАНКИ" АТБ НУРАФШОН БХО</t>
  </si>
  <si>
    <t>ОХАНГАРОН Ш., "БИЗНЕСНИ РИВОЖЛАНТИРИШ БАНКИ" АТБ ОХАНГАРОН БХМ</t>
  </si>
  <si>
    <t>БЕКОБОД Т., `БИЗНЕСНИ РИВОЖЛАНТИРИШ БАНКИ` АТБ `ZAFAR` 2-ТОИФАЛИ БХМ</t>
  </si>
  <si>
    <t>БУСТОНЛИК Т., "БИЗНЕСНИ РИВОЖЛАНТИРИШ БАНКИ" АТБ "ГАЗАЛКЕНТ" 2-ТОИФАЛИ БХМ</t>
  </si>
  <si>
    <t>ПАРКЕНТ ТУМАНИ</t>
  </si>
  <si>
    <t>ПАРКЕНТ Т., `МИКРОКРЕДИТБАНК` АТБ ПАРКЕНТ БХО</t>
  </si>
  <si>
    <t>"МИКРОКРЕДИТБАНК" АТ БАНКИ</t>
  </si>
  <si>
    <t>НУРАФШОН Ш., `МИКРОКРЕДИТБАНК` АТБ НУРАФШОН БХО</t>
  </si>
  <si>
    <t>ПСКЕНТ Т., `МИКРОКРЕДИТБАНК` АТБ ПИСКЕНТ БХО</t>
  </si>
  <si>
    <t>ТОШКЕНТ Т., "МИКРОКРЕДИТБАНК" АТБ КЕЛЕС БХО</t>
  </si>
  <si>
    <t>ЧИРЧИК Ш., `МИКРОКРЕДИТБАНК` АТБ ЧИРЧИК БХМ</t>
  </si>
  <si>
    <t>ЮКОРИЧИРЧИК Т., `МИКРОКРЕДИТБАНК` АТБ ЮКОРИ ЧИРЧИК БХМ</t>
  </si>
  <si>
    <t>ОККУРГОН Т., `МИКРОКРЕДИТБАНК` АТБ ОККУРГОН БХО</t>
  </si>
  <si>
    <t>БУСТОНЛИК Т., `МИКРОКРЕДИТБАНК` АТБ ГАЗАЛКЕНТ БХО</t>
  </si>
  <si>
    <t>БУКА Т., `УЗСАНОАТКУРИЛИШБАНКИ` АТБ БУКА БХМ</t>
  </si>
  <si>
    <t>"УЗСАНОАТКУРИЛИШБАНКИ" АТ БАНКИ</t>
  </si>
  <si>
    <t>ПСКЕНТ Т., `УЗСАНОАТКУРИЛИШБАНКИ` АТБ ПИСКЕНТ БХМ</t>
  </si>
  <si>
    <t>АНГРЕН Ш., `УЗСАНОАТКУРИЛИШБАНКИ` АТБ АНГРЕН БХМ</t>
  </si>
  <si>
    <t>ОЛМАЛИК Ш., `УЗСАНОАТКУРИЛИШБАНКИ` АТБ ОЛМАЛИК БХМ</t>
  </si>
  <si>
    <t>ЧИРЧИК Ш., `УЗСАНОАТКУРИЛИШБАНКИ` АТБ ЧИРЧИК БХМ</t>
  </si>
  <si>
    <t>КИБРАЙ Т., `УЗСАНОАТКУРИЛИШБАНКИ` АТБ КИБРАЙ БХМ</t>
  </si>
  <si>
    <t>БЕКОБОД Ш., `УЗСАНОАТКУРИЛИШБАНКИ` АТБ БЕКОБОД БХМ</t>
  </si>
  <si>
    <t>НУРАФШОН Ш., `УЗСАНОАТКУРИЛИШБАНКИ` АТБ ТОШКЕНТ ВИЛОЯТИ БХО</t>
  </si>
  <si>
    <t>КУЙИЧИРЧИК Т., "ИПОТЕКА-БАНК" АТИБ ДУСТОБОД ФИЛИАЛИ</t>
  </si>
  <si>
    <t>01170</t>
  </si>
  <si>
    <t>ЧИНОЗ Т., "ИПОТЕКА-БАНК" АТИБ ЧИНОЗ ФИЛИАЛИ</t>
  </si>
  <si>
    <t>01039</t>
  </si>
  <si>
    <t>БЕКОБОД Ш., "ИПОТЕКА-БАНК" АТИБ БЕКОБОД ФИЛИАЛИ</t>
  </si>
  <si>
    <t>00489</t>
  </si>
  <si>
    <t>БУКА Т., "АГРОБАНК" АТБ БУКА ФИЛИАЛИ</t>
  </si>
  <si>
    <t>00463</t>
  </si>
  <si>
    <t>ОККУРГОН Т., "АГРОБАНК" АТБ ОККУРГОН ФИЛИАЛИ</t>
  </si>
  <si>
    <t>00457</t>
  </si>
  <si>
    <t>ОХАНГАРОН Т., "АГРОБАНК" АТБ ОХАНГАРОН ФИЛИАЛИ</t>
  </si>
  <si>
    <t>00413</t>
  </si>
  <si>
    <t>ОЛМАЛИК Т., `КАПИТАЛБАНК` АТБ ОЛМАЛИК БХО</t>
  </si>
  <si>
    <t>"КАПИТАЛБАНК" АТ БАНКИ</t>
  </si>
  <si>
    <t>ЧИРЧИК Ш., `КАПИТАЛБАНК` АТБ ЧИРЧИК БХО</t>
  </si>
  <si>
    <t>ЯНГИЙУЛ Т., "ИПАК ЙУЛИ" АИТ БАНКИНИНГ ЯНГИЙУЛ ФИЛИАЛИ</t>
  </si>
  <si>
    <t>01081</t>
  </si>
  <si>
    <t>"ИПАК ЙУЛИ" АИТ БАНКИ</t>
  </si>
  <si>
    <t>ЗАНГИОТА Т., АТБ `УНИВЕРСАЛ БАНК` ЗАНГИОТА БХМ</t>
  </si>
  <si>
    <t>АТ БАНКИ "УНИВЕРСАЛ БАНК"</t>
  </si>
  <si>
    <t>ЮКОРИЧИРЧИК Т., "АГРОБАНК" АТБ ЮКОРИЧИРЧИК ФИЛИАЛИ</t>
  </si>
  <si>
    <t>00480</t>
  </si>
  <si>
    <t>ОЛМАЛИК Ш., "ИПОТЕКА-БАНК" АТИБ ОЛМАЛИК ФИЛИАЛИ</t>
  </si>
  <si>
    <t>00459</t>
  </si>
  <si>
    <t>ЯНГИЙУЛ Т., "АГРОБАНК" АТБ ЯНГИЙУЛ ФИЛИАЛИ</t>
  </si>
  <si>
    <t>00485</t>
  </si>
  <si>
    <t>АНГРЕН Ш., `ТИФ МИЛЛИЙ БАНКИ` АЖ АНГРЕН БХМ</t>
  </si>
  <si>
    <t>ОЛМАЛИК Ш., `ТИФ МИЛЛИЙ БАНКИ` АЖ `ZARHAL` БХО</t>
  </si>
  <si>
    <t>НУРАФШОН Ш., `АСАКАБАНК` АЖ НУРАФШОН БХМ</t>
  </si>
  <si>
    <t>"АСАКАБАНК" АЖ</t>
  </si>
  <si>
    <t>RIA Money Transfer</t>
  </si>
  <si>
    <t>НУРАФШОН Ш., АТ `АЛОКАБАНК` ТОШКЕНТ ВИЛОЯТИ БХМ</t>
  </si>
  <si>
    <t>Фунт стерлингов</t>
  </si>
  <si>
    <t>ЧИНОЗ Т., "АГРОБАНК" АТБ ЧИНОЗ ФИЛИАЛИ</t>
  </si>
  <si>
    <t>00476</t>
  </si>
  <si>
    <t>ПАРКЕНТ Т., "АГРОБАНК" АТБ ПАРКЕНТ ФИЛИАЛИ</t>
  </si>
  <si>
    <t>00482</t>
  </si>
  <si>
    <t>ПАРКЕНТ Т., `МИКРОКРЕДИТБАНК` АТБ КИЗИЛТОГ БХМ</t>
  </si>
  <si>
    <t>Астрасенд</t>
  </si>
  <si>
    <t>АНГРЕН Ш., `КАПИТАЛБАНК` АТБ АНГРЕН БХО</t>
  </si>
  <si>
    <t>ОХАНГАРОН Т., `МИКРОКРЕДИТБАНК` АТБ ОХАНГАРОН БХО</t>
  </si>
  <si>
    <t>ЧИРЧИК Ш., АТ `АЛОКАБАНК` ЧИРЧИК КХКМ</t>
  </si>
  <si>
    <t>КУЙИЧИРЧИК Т., АТ ХАЛК БАНКИ ДУСТОБОД БХМ</t>
  </si>
  <si>
    <t>АКЦИЯДОРЛИК ТИЖОРАТ ХАЛК БАНКИ</t>
  </si>
  <si>
    <t>ЗАНГИОТА Т., "ТУРОНБАНК" АТ БАНКИНИНГ ЗАНГИОТА ФИЛИАЛИ</t>
  </si>
  <si>
    <t>КИБРАЙ Т., `УЗСАНОАТКУРИЛИШБАНКИ` АТБ САЛАР БХМ</t>
  </si>
  <si>
    <t>ОЛМАЛИК Ш., `МИКРОКРЕДИТБАНК` АТБ ОЛМАЛИК БХМ</t>
  </si>
  <si>
    <t>ЧИРЧИК Ш., `ТУРОНБАНК` АТБ ЧИРЧИК БХО</t>
  </si>
  <si>
    <t>ЗАНГИОТА Т., АТ ХАЛК БАНКИ ЗАНГИОТА БХМ</t>
  </si>
  <si>
    <t>ОХАНГАРОН Ш., АТ ХАЛК БАНКИ ОХАНГАРОН БХМ</t>
  </si>
  <si>
    <t>БУКА Т., АТ ХАЛК БАНКИ БУКА БХМ</t>
  </si>
  <si>
    <t>БЭСТ</t>
  </si>
  <si>
    <t>ОККУРГОН Т., АТ ХАЛК БАНКИ ОККУРГОН БХМ</t>
  </si>
  <si>
    <t>КИБРАЙ Т., АТ ХАЛК БАНКИ КИБРАЙ БХМ</t>
  </si>
  <si>
    <t>НУРАФШОН Ш., АТ ХАЛК БАНКИ НУРАФШОН БХМ</t>
  </si>
  <si>
    <t>Қабул қилинган</t>
  </si>
  <si>
    <t>ПСКЕНТ Т., АТ ХАЛК БАНКИ ПИСКЕНТ БХМ</t>
  </si>
  <si>
    <t>ЯНГИЙУЛ Т., АТ ХАЛК БАНКИ ЯНГИЙУЛ БХМ</t>
  </si>
  <si>
    <t>ЮКОРИЧИРЧИК Т., АТ ХАЛК БАНКИ ЮКОРИ ЧИРЧИК БХМ</t>
  </si>
  <si>
    <t>БЕКОБОД Ш., АТ ХАЛК БАНКИ БЕКОБОД БХМ</t>
  </si>
  <si>
    <t>АНГРЕН Ш., АТ ХАЛК БАНКИ АНГРЕН БХМ</t>
  </si>
  <si>
    <t>ЧИНОЗ Т., АТ ХАЛК БАНКИ ЧИНОЗ БХМ</t>
  </si>
  <si>
    <t>Азия-Экспресс</t>
  </si>
  <si>
    <t>Intel Express</t>
  </si>
  <si>
    <t>Express Money</t>
  </si>
  <si>
    <t>U-CASH</t>
  </si>
  <si>
    <t>БЕКОБОД Т., АТ ХАЛК БАНКИ ЗАФАР БХМ</t>
  </si>
  <si>
    <t>ОЛМАЛИК Ш., АТ ХАЛК БАНКИ ОЛМАЛИК БХМ</t>
  </si>
  <si>
    <t>ЗАНГИОТА Т., `ТИФ МИЛЛИЙ БАНКИ` АЖ `ZANGIOTA` БХО</t>
  </si>
  <si>
    <t>БУСТОНЛИК Т., АТ ХАЛК БАНКИ БУСТОНЛИК БХМ</t>
  </si>
  <si>
    <t>ТОШКЕНТ Т., АТ ХАЛК БАНКИ КЕЛЕС БХМ</t>
  </si>
  <si>
    <t>ПАРКЕНТ Т., АТ ХАЛК БАНКИ ПАРКЕНТ БХМ</t>
  </si>
  <si>
    <t>"ANOR BANK" АЖ</t>
  </si>
  <si>
    <t>АНГРЕН Ш., `ANOR BANK` АЖ АНГРЕН СОТУВ БУЛИМИ</t>
  </si>
  <si>
    <t>НУРАФШОН Ш., АТ `АЛОКАБАНК` "ТОШКЕНТ ВИЛОЯТИ" ХКХКМ</t>
  </si>
  <si>
    <t>НУРАФШОН Ш., "ИПОТЕКА-БАНК" АТИБ НУРАФШОН ФИЛИАЛИ</t>
  </si>
  <si>
    <t>Contact</t>
  </si>
  <si>
    <t>Суммаси</t>
  </si>
  <si>
    <t>Операциялар сони</t>
  </si>
  <si>
    <t>Операциялар суммаси</t>
  </si>
  <si>
    <t>Сони</t>
  </si>
  <si>
    <t>ХПУ номлари</t>
  </si>
  <si>
    <t>№</t>
  </si>
  <si>
    <t>Жами:</t>
  </si>
  <si>
    <r>
      <t xml:space="preserve">Улиши </t>
    </r>
    <r>
      <rPr>
        <b/>
        <i/>
        <sz val="10"/>
        <rFont val="Arial"/>
        <family val="2"/>
        <charset val="204"/>
      </rPr>
      <t>(фоизда)</t>
    </r>
  </si>
  <si>
    <t>Швеция</t>
  </si>
  <si>
    <t>Нидерланды</t>
  </si>
  <si>
    <t>Канада</t>
  </si>
  <si>
    <t>Болгария</t>
  </si>
  <si>
    <t>Германия</t>
  </si>
  <si>
    <t>Швейцария</t>
  </si>
  <si>
    <t>Мальдивы</t>
  </si>
  <si>
    <t>Малайзия</t>
  </si>
  <si>
    <t>Беларусь</t>
  </si>
  <si>
    <t>Азербайджан</t>
  </si>
  <si>
    <t>Грузия</t>
  </si>
  <si>
    <t>Катар</t>
  </si>
  <si>
    <t>Австралия</t>
  </si>
  <si>
    <t>Саудовская Аравия</t>
  </si>
  <si>
    <t>Греция</t>
  </si>
  <si>
    <t>Франция</t>
  </si>
  <si>
    <t>Япония</t>
  </si>
  <si>
    <t>Кипр</t>
  </si>
  <si>
    <t>Финляндия</t>
  </si>
  <si>
    <t>Чешская Республика</t>
  </si>
  <si>
    <t>Словакия</t>
  </si>
  <si>
    <t>Италия</t>
  </si>
  <si>
    <t>Литва</t>
  </si>
  <si>
    <t>Ливан</t>
  </si>
  <si>
    <t>Латвия</t>
  </si>
  <si>
    <t>Оман</t>
  </si>
  <si>
    <t>Замбия</t>
  </si>
  <si>
    <t>Эстония</t>
  </si>
  <si>
    <t>Сербия</t>
  </si>
  <si>
    <t>Армения</t>
  </si>
  <si>
    <t>Республика Молдова</t>
  </si>
  <si>
    <t>Йемен</t>
  </si>
  <si>
    <t>Индонезия</t>
  </si>
  <si>
    <t>Дания</t>
  </si>
  <si>
    <t>Бельгия</t>
  </si>
  <si>
    <t>Австрия</t>
  </si>
  <si>
    <t>Венгрия</t>
  </si>
  <si>
    <t>Новая Зеландия</t>
  </si>
  <si>
    <t>Таиланд</t>
  </si>
  <si>
    <t>Испания</t>
  </si>
  <si>
    <t>Словения</t>
  </si>
  <si>
    <t>Ирак</t>
  </si>
  <si>
    <t>Сингапур</t>
  </si>
  <si>
    <t>Гвинея</t>
  </si>
  <si>
    <t>Эквадор</t>
  </si>
  <si>
    <t>Черногория</t>
  </si>
  <si>
    <t>Румыния</t>
  </si>
  <si>
    <t>Бахрейн</t>
  </si>
  <si>
    <t>Ангилья (Великобрит.)</t>
  </si>
  <si>
    <t>Кувейт</t>
  </si>
  <si>
    <t>Ирландия</t>
  </si>
  <si>
    <t>Иордания</t>
  </si>
  <si>
    <t>Мексика</t>
  </si>
  <si>
    <t>Норвегия</t>
  </si>
  <si>
    <t>Македония, бывшая Югославская республика</t>
  </si>
  <si>
    <t>Бразилия</t>
  </si>
  <si>
    <t>Афганистан</t>
  </si>
  <si>
    <t>Пакистан</t>
  </si>
  <si>
    <t>Южная Африка</t>
  </si>
  <si>
    <t>Кения</t>
  </si>
  <si>
    <t>Албания</t>
  </si>
  <si>
    <t>Туркменистан</t>
  </si>
  <si>
    <t>Сирийская Арабская Республика</t>
  </si>
  <si>
    <t>Индия</t>
  </si>
  <si>
    <t>Бангладеш</t>
  </si>
  <si>
    <t>Французские Южные Территории</t>
  </si>
  <si>
    <t>Фарқи +/-</t>
  </si>
  <si>
    <t>Валюта номлари</t>
  </si>
  <si>
    <t>АҚШ</t>
  </si>
  <si>
    <t>Давлат номлари</t>
  </si>
  <si>
    <t>Бошқа давлатлар</t>
  </si>
  <si>
    <t>Қирқизистон</t>
  </si>
  <si>
    <t>Хитой</t>
  </si>
  <si>
    <t>Қозоғистон</t>
  </si>
  <si>
    <t>Туркия</t>
  </si>
  <si>
    <t>Бошқа филиаллар</t>
  </si>
  <si>
    <t>Резидент</t>
  </si>
  <si>
    <t>Жами</t>
  </si>
  <si>
    <t>Hо резидент</t>
  </si>
  <si>
    <t>Январь</t>
  </si>
  <si>
    <t>Февраль</t>
  </si>
  <si>
    <t>Март</t>
  </si>
  <si>
    <t>Қабул қилинган сумма</t>
  </si>
  <si>
    <t>Юборилган сумма</t>
  </si>
  <si>
    <t>Ойлар номи</t>
  </si>
  <si>
    <t>Ипотека банк</t>
  </si>
  <si>
    <t>Миллий банк</t>
  </si>
  <si>
    <t>Халқ банки</t>
  </si>
  <si>
    <t>Агро банк</t>
  </si>
  <si>
    <t>Гарант банк</t>
  </si>
  <si>
    <t>Ипак йўли банк</t>
  </si>
  <si>
    <t>Универсал банк</t>
  </si>
  <si>
    <t>Инфин банк</t>
  </si>
  <si>
    <t>Асака банк</t>
  </si>
  <si>
    <t>Корея</t>
  </si>
  <si>
    <t xml:space="preserve"> </t>
  </si>
  <si>
    <t>ҚИБРАЙ ТУМАНИ</t>
  </si>
  <si>
    <t>ҚУЙИЧИРЧИК ТУМАНИ</t>
  </si>
  <si>
    <t>НУРАФШОН ШАҲРИ</t>
  </si>
  <si>
    <t>ОҚҚЎРҒОН ТУМАНИ</t>
  </si>
  <si>
    <t>ОЛМАЛИК ШАҲРИ</t>
  </si>
  <si>
    <t>ОҲАНГАРОН ТУМАНИ</t>
  </si>
  <si>
    <t>ОҲАНГАРОН ШАҲРИ</t>
  </si>
  <si>
    <t>ПИСКЕНТ ТУМАНИ</t>
  </si>
  <si>
    <t>ЎРТАЧИРЧИК ТУМАНИ</t>
  </si>
  <si>
    <t>ЧИРЧИК ШАҲРИ</t>
  </si>
  <si>
    <t>ЮҚОРИЧИРЧИК ТУМАНИ</t>
  </si>
  <si>
    <t>ЯНГИЙЎЛ ТУМАНИ</t>
  </si>
  <si>
    <t>ЯНГИЙЎЛ ШАҲРИ</t>
  </si>
  <si>
    <t>Olmapay</t>
  </si>
  <si>
    <t>Jami:</t>
  </si>
  <si>
    <t>БЎКА ТУМАНИ</t>
  </si>
  <si>
    <t>БЎСТОНЛИК ТУМАНИ</t>
  </si>
  <si>
    <t>Ulushi (foizda)</t>
  </si>
  <si>
    <t>Российская Федерация</t>
  </si>
  <si>
    <t>Китай</t>
  </si>
  <si>
    <t>Гонконг, спец.админ.район Китая</t>
  </si>
  <si>
    <t>Израиль</t>
  </si>
  <si>
    <t>Казахстан</t>
  </si>
  <si>
    <t>Корея, республика</t>
  </si>
  <si>
    <t>Кыргызстан</t>
  </si>
  <si>
    <t>Польша</t>
  </si>
  <si>
    <t>Таджикистан</t>
  </si>
  <si>
    <t>Объединенные Арабские Эмираты (ОАЭ)</t>
  </si>
  <si>
    <t>Турция</t>
  </si>
  <si>
    <t>Великобритания</t>
  </si>
  <si>
    <t>Соединенные Штаты Америки (США)</t>
  </si>
  <si>
    <t>Американское Самоа</t>
  </si>
  <si>
    <r>
      <t xml:space="preserve">2026 yil I chorak банклар улиши </t>
    </r>
    <r>
      <rPr>
        <b/>
        <i/>
        <sz val="10"/>
        <rFont val="Arial"/>
        <family val="2"/>
        <charset val="204"/>
      </rPr>
      <t>(фоизда)</t>
    </r>
  </si>
  <si>
    <t>Bank nomlari:</t>
  </si>
  <si>
    <t xml:space="preserve"> Banklar ulushi jami operatsiyalar (foizda)</t>
  </si>
  <si>
    <r>
      <t xml:space="preserve">давлатлар улиши </t>
    </r>
    <r>
      <rPr>
        <b/>
        <i/>
        <sz val="10"/>
        <rFont val="Arial"/>
        <family val="2"/>
        <charset val="204"/>
      </rPr>
      <t>(фоизда)</t>
    </r>
  </si>
  <si>
    <t>ЯНГИЙУЛ Т., "БИЗНЕСНИ РИВОЖЛАНТИРИШ БАНКИ" АТБ "ГАЛАБА 2-ТОИФАЛИ" БХМ</t>
  </si>
  <si>
    <t>Банк филиали (БХМ/БХО) номи</t>
  </si>
  <si>
    <t>МФО</t>
  </si>
  <si>
    <t>Амалиёт БХМ</t>
  </si>
  <si>
    <t>Ангрен БХМ</t>
  </si>
  <si>
    <t>Янгийўл БХМ</t>
  </si>
  <si>
    <t>Бекобод БХМ</t>
  </si>
  <si>
    <t>Ғазалкент БХМ</t>
  </si>
  <si>
    <t>Тошкент шаҳар БХО</t>
  </si>
  <si>
    <t>-</t>
  </si>
  <si>
    <t>Чирчиқ БХМ</t>
  </si>
  <si>
    <t>Олмалиқ БХМ</t>
  </si>
  <si>
    <t>Ойдин БХО</t>
  </si>
  <si>
    <t>Зарҳал БХО</t>
  </si>
  <si>
    <t>Ўзсаноатқурилишбанк</t>
  </si>
  <si>
    <t>Амалиёт БХО</t>
  </si>
  <si>
    <t>Қибрай БХМ</t>
  </si>
  <si>
    <t>Пискент БХМ</t>
  </si>
  <si>
    <t>Бўка БХМ</t>
  </si>
  <si>
    <t>Оҳангарон филиали</t>
  </si>
  <si>
    <t>Оққўрғон филиали</t>
  </si>
  <si>
    <t>Бўка филиали</t>
  </si>
  <si>
    <t>Бекобод филиали</t>
  </si>
  <si>
    <t>Пискент филиали</t>
  </si>
  <si>
    <t>Қуйичирчиқ филиали</t>
  </si>
  <si>
    <t>Ҳудудий филиали</t>
  </si>
  <si>
    <t>Чиноз филиали</t>
  </si>
  <si>
    <t>Юқоричирчиқ филиали</t>
  </si>
  <si>
    <t>Паркент филиали</t>
  </si>
  <si>
    <t>Янгийўл филиали</t>
  </si>
  <si>
    <t>Микрокредитбанк</t>
  </si>
  <si>
    <t>Нурафшон БХО</t>
  </si>
  <si>
    <t>Оққўрғон БХО</t>
  </si>
  <si>
    <t>Ғазалкент БХО</t>
  </si>
  <si>
    <t>Пискент БХО</t>
  </si>
  <si>
    <t>Паркент БХО</t>
  </si>
  <si>
    <t>Келес БХО</t>
  </si>
  <si>
    <t>Юқоричирчиқ БХМ</t>
  </si>
  <si>
    <t>Қизилтоғ БХМ</t>
  </si>
  <si>
    <t>Оҳангарон БХО</t>
  </si>
  <si>
    <t>Бўстонлиқ БХМ</t>
  </si>
  <si>
    <t>Дўстобод БХМ</t>
  </si>
  <si>
    <t>Оққўрғон БХМ</t>
  </si>
  <si>
    <t>Паркент БХМ</t>
  </si>
  <si>
    <t>Зафар БХМ</t>
  </si>
  <si>
    <t>Зангиота БХМ</t>
  </si>
  <si>
    <t>Оҳангарон БХМ</t>
  </si>
  <si>
    <t>Келес БХМ</t>
  </si>
  <si>
    <t>Нурафшон БХМ</t>
  </si>
  <si>
    <t>Чиноз БХМ</t>
  </si>
  <si>
    <t>Бизнесни рив-ш банки</t>
  </si>
  <si>
    <t>Турон банк</t>
  </si>
  <si>
    <t>yopilgan</t>
  </si>
  <si>
    <t>Охангарон БХМ</t>
  </si>
  <si>
    <t xml:space="preserve">yopilgan </t>
  </si>
  <si>
    <t>Алоқа банк</t>
  </si>
  <si>
    <t>Бекобод БХО</t>
  </si>
  <si>
    <t>Ўртачирчиқ БХО</t>
  </si>
  <si>
    <t>Тошкент вилояти БХМ</t>
  </si>
  <si>
    <t>Қибрай БХО</t>
  </si>
  <si>
    <t>Зангиота БХО</t>
  </si>
  <si>
    <t>Ҳамкор банк</t>
  </si>
  <si>
    <t>Чиноз БХО</t>
  </si>
  <si>
    <t>Янгийўл БХО</t>
  </si>
  <si>
    <t>Олмалиқ БХО</t>
  </si>
  <si>
    <t>Ангрен БХО</t>
  </si>
  <si>
    <t>Чирчиқ БХО</t>
  </si>
  <si>
    <t>Амалиёт бўлими</t>
  </si>
  <si>
    <t>00408</t>
  </si>
  <si>
    <t>Олмалиқ филиали</t>
  </si>
  <si>
    <t>Ангрен филиали</t>
  </si>
  <si>
    <t>Чирчиқ филиали</t>
  </si>
  <si>
    <t>Зангиота филиали</t>
  </si>
  <si>
    <t>Дўстобод филиали</t>
  </si>
  <si>
    <t>Тошкент вилоят филиали</t>
  </si>
  <si>
    <t>Суммаси (USD)</t>
  </si>
  <si>
    <t>Банк номлари</t>
  </si>
  <si>
    <t>ХПЎ тури сони</t>
  </si>
  <si>
    <t>Ҳудуд номлари</t>
  </si>
  <si>
    <t>Мигрантлар сони (ишлаш учун кетганлар)</t>
  </si>
  <si>
    <t>Аҳоли сони</t>
  </si>
  <si>
    <t>Банк номи</t>
  </si>
  <si>
    <t>Белгиланган тоифа</t>
  </si>
  <si>
    <t>Самарадор</t>
  </si>
  <si>
    <t>Анор банк</t>
  </si>
  <si>
    <t>Самарадорлиги паст</t>
  </si>
  <si>
    <t>Капиталбанк</t>
  </si>
  <si>
    <t>Ўртача</t>
  </si>
  <si>
    <t>СҚБ</t>
  </si>
  <si>
    <t>Барқарор</t>
  </si>
  <si>
    <t>Ҳамкорбанк</t>
  </si>
  <si>
    <t>БРБ</t>
  </si>
  <si>
    <t>Туронбанк</t>
  </si>
  <si>
    <t>Алоқабанк</t>
  </si>
  <si>
    <t>БУКА ТУМАНИ</t>
  </si>
  <si>
    <t>БУСТОНЛИК ТУМАНИ</t>
  </si>
  <si>
    <t>МКБ</t>
  </si>
  <si>
    <t>КИБРАЙ ТУМАНИ</t>
  </si>
  <si>
    <t>КУЙИЧИРЧИК ТУМАНИ</t>
  </si>
  <si>
    <t>НУРАФШОН ШАХРИ</t>
  </si>
  <si>
    <t>ОККУРГОН ТУМАНИ</t>
  </si>
  <si>
    <t>ОЛМАЛИК ШАХРИ</t>
  </si>
  <si>
    <t>ОХАНГАРОН ТУМАНИ</t>
  </si>
  <si>
    <t>ОХАНГАРОН ШАХРИ</t>
  </si>
  <si>
    <t>УРТАЧИРЧИК ТУМАНИ</t>
  </si>
  <si>
    <t>ЧИРЧИК ШАХРИ</t>
  </si>
  <si>
    <t>ЮКОРИЧИРЧИК ТУМАНИ</t>
  </si>
  <si>
    <t>ЯНГИЙУЛ ТУМАНИ</t>
  </si>
  <si>
    <t>ЯНГИЙУЛ ШАХРИ</t>
  </si>
  <si>
    <t>Банк МФО</t>
  </si>
  <si>
    <t xml:space="preserve">БЕКОБОД Т., "ИПОТЕКА-БАНК" </t>
  </si>
  <si>
    <t>ХПУда ишладиган ходимлар сони</t>
  </si>
  <si>
    <t>Ҳудуддаги улуши % да</t>
  </si>
  <si>
    <t>2026 йил (4 ойлик)</t>
  </si>
  <si>
    <t>2025 йил (4 ойлик)</t>
  </si>
  <si>
    <t>2025 йил 4 ойлик</t>
  </si>
  <si>
    <t>2026 йил 4 ойлик</t>
  </si>
  <si>
    <t>2025 yil 4 ойлик</t>
  </si>
  <si>
    <t>2026 yil 4 ойлик</t>
  </si>
  <si>
    <t>Апрелъ</t>
  </si>
  <si>
    <t>Халқаро пул ўтказмалари тизимидан 2025  4 ойликда</t>
  </si>
  <si>
    <t>Халқаро пул ўтказмалари тизимидан 2026  4 ойликда</t>
  </si>
  <si>
    <t>2026 4 ойлик</t>
  </si>
  <si>
    <t>Халқаро пул ўтказмалари тизимидан 2026 4 ойлик банк даромад</t>
  </si>
  <si>
    <t>Банклари томонидан 2025 ҳамда 2026 йил 4 ойлик валюта операциялари бўйича олинган даромади тўғрисида маълумот</t>
  </si>
  <si>
    <t>(Млн сўмда)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</si>
</sst>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0.0%"/>
    <numFmt numFmtId="166" formatCode="#,##0\ _₽;[Red]#,##0\ _₽"/>
    <numFmt numFmtId="167" formatCode="#,##0.0\ _₽;[Red]\-#,##0.0\ _₽"/>
    <numFmt numFmtId="168" formatCode="#,##0_ ;[Red]\-#,##0\ "/>
    <numFmt numFmtId="169" formatCode="0.000%"/>
  </numFmts>
  <fonts count="16">
    <font>
      <sz val="10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1"/>
      <color rgb="FF9C0006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2"/>
      <name val="Aptos Narrow"/>
      <family val="2"/>
      <charset val="204"/>
      <scheme val="minor"/>
    </font>
    <font>
      <b/>
      <sz val="12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name val="Arial"/>
      <family val="2"/>
      <charset val="204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2" borderId="0" applyNumberFormat="0" applyBorder="0" applyAlignment="0" applyProtection="0"/>
    <xf numFmtId="0" fontId="2" fillId="0" borderId="0"/>
    <xf numFmtId="0" fontId="9" fillId="0" borderId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3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4" fillId="0" borderId="0" xfId="0" applyFont="1"/>
    <xf numFmtId="37" fontId="4" fillId="0" borderId="1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7" fontId="0" fillId="0" borderId="0" xfId="0" applyNumberFormat="1"/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9" fontId="6" fillId="2" borderId="1" xfId="3" applyNumberFormat="1" applyBorder="1" applyAlignment="1">
      <alignment horizontal="center" vertical="center"/>
    </xf>
    <xf numFmtId="1" fontId="0" fillId="0" borderId="0" xfId="0" applyNumberFormat="1"/>
    <xf numFmtId="16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Fill="1" applyBorder="1"/>
    <xf numFmtId="166" fontId="0" fillId="0" borderId="0" xfId="0" applyNumberFormat="1"/>
    <xf numFmtId="166" fontId="0" fillId="0" borderId="6" xfId="1" applyNumberFormat="1" applyFont="1" applyFill="1" applyBorder="1" applyAlignment="1">
      <alignment horizontal="center" vertical="center"/>
    </xf>
    <xf numFmtId="0" fontId="7" fillId="0" borderId="0" xfId="4" applyFont="1" applyAlignment="1">
      <alignment horizontal="center" vertical="center" wrapText="1"/>
    </xf>
    <xf numFmtId="0" fontId="10" fillId="3" borderId="1" xfId="5" applyFont="1" applyFill="1" applyBorder="1" applyAlignment="1">
      <alignment horizontal="center" vertical="center" wrapText="1"/>
    </xf>
    <xf numFmtId="0" fontId="11" fillId="3" borderId="1" xfId="5" applyFont="1" applyFill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left" vertical="center"/>
    </xf>
    <xf numFmtId="1" fontId="10" fillId="0" borderId="1" xfId="4" applyNumberFormat="1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1" fontId="11" fillId="3" borderId="1" xfId="4" applyNumberFormat="1" applyFont="1" applyFill="1" applyBorder="1" applyAlignment="1">
      <alignment horizontal="center" vertical="center"/>
    </xf>
    <xf numFmtId="49" fontId="10" fillId="0" borderId="1" xfId="5" applyNumberFormat="1" applyFont="1" applyBorder="1" applyAlignment="1">
      <alignment horizontal="center" vertical="center" wrapText="1"/>
    </xf>
    <xf numFmtId="3" fontId="8" fillId="0" borderId="1" xfId="4" applyNumberFormat="1" applyFont="1" applyBorder="1" applyAlignment="1">
      <alignment horizontal="center" vertical="center"/>
    </xf>
    <xf numFmtId="3" fontId="2" fillId="0" borderId="1" xfId="4" applyNumberFormat="1" applyBorder="1" applyAlignment="1">
      <alignment horizontal="center" vertical="center"/>
    </xf>
    <xf numFmtId="3" fontId="11" fillId="3" borderId="1" xfId="5" applyNumberFormat="1" applyFont="1" applyFill="1" applyBorder="1" applyAlignment="1">
      <alignment horizontal="center" vertical="center" wrapText="1"/>
    </xf>
    <xf numFmtId="3" fontId="2" fillId="0" borderId="1" xfId="4" applyNumberFormat="1" applyBorder="1" applyAlignment="1">
      <alignment horizontal="center"/>
    </xf>
    <xf numFmtId="3" fontId="2" fillId="4" borderId="1" xfId="4" applyNumberFormat="1" applyFill="1" applyBorder="1" applyAlignment="1">
      <alignment horizontal="center"/>
    </xf>
    <xf numFmtId="3" fontId="13" fillId="0" borderId="1" xfId="4" applyNumberFormat="1" applyFont="1" applyBorder="1" applyAlignment="1">
      <alignment horizontal="center"/>
    </xf>
    <xf numFmtId="0" fontId="8" fillId="0" borderId="0" xfId="4" applyFont="1" applyBorder="1" applyAlignment="1">
      <alignment horizontal="center"/>
    </xf>
    <xf numFmtId="166" fontId="0" fillId="0" borderId="5" xfId="1" applyNumberFormat="1" applyFont="1" applyFill="1" applyBorder="1" applyAlignment="1">
      <alignment horizontal="center" vertical="center"/>
    </xf>
    <xf numFmtId="166" fontId="0" fillId="0" borderId="7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37" fontId="14" fillId="0" borderId="1" xfId="1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9" fontId="14" fillId="0" borderId="0" xfId="2" applyFon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7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4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5" xfId="3" applyBorder="1" applyAlignment="1">
      <alignment horizontal="center" vertical="center" wrapText="1"/>
    </xf>
    <xf numFmtId="0" fontId="6" fillId="2" borderId="6" xfId="3" applyBorder="1" applyAlignment="1">
      <alignment horizontal="center" vertical="center" wrapText="1"/>
    </xf>
    <xf numFmtId="0" fontId="6" fillId="2" borderId="7" xfId="3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7" fillId="0" borderId="7" xfId="4" applyFont="1" applyBorder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0" fontId="9" fillId="0" borderId="0" xfId="5"/>
    <xf numFmtId="0" fontId="7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5" xfId="4" applyNumberFormat="1" applyFont="1" applyBorder="1" applyAlignment="1">
      <alignment horizontal="center" vertical="center" wrapText="1"/>
    </xf>
    <xf numFmtId="3" fontId="7" fillId="0" borderId="6" xfId="4" applyNumberFormat="1" applyFont="1" applyBorder="1" applyAlignment="1">
      <alignment horizontal="center" vertical="center" wrapText="1"/>
    </xf>
    <xf numFmtId="3" fontId="7" fillId="0" borderId="7" xfId="4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6">
    <cellStyle name="Обычный" xfId="0" builtinId="0"/>
    <cellStyle name="Обычный 2" xfId="5"/>
    <cellStyle name="Обычный 3" xfId="4"/>
    <cellStyle name="Плохой" xfId="3" builtinId="27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chta\&#1058;&#1072;&#1093;&#1083;&#1080;&#1083;\&#1042;&#1072;&#1083;&#1102;&#1090;&#1072;\2024\&#1055;&#1086;&#1089;&#1090;&#1091;&#1087;&#1083;&#1077;&#1085;&#1080;&#1103;%20&#1044;&#1077;&#1085;&#1055;&#1077;&#10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¿¿¿¿¿¿¿¿¿¿¿"/>
      <sheetName val="¿¿¿¿¿¿¿¿¿¿¿_1"/>
      <sheetName val="¿¿¿¿¿¿¿¿¿¿¿_2"/>
      <sheetName val="¿¿¿¿¿¿¿¿¿¿¿_3"/>
      <sheetName val="¿¿¿¿¿¿¿¿¿¿¿_4"/>
      <sheetName val="¿¿¿¿¿¿¿¿¿¿¿_5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38">
          <cell r="A13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M22"/>
  <sheetViews>
    <sheetView tabSelected="1" zoomScale="70" zoomScaleNormal="70" workbookViewId="0">
      <selection activeCell="C29" sqref="C29"/>
    </sheetView>
  </sheetViews>
  <sheetFormatPr defaultRowHeight="12.75"/>
  <cols>
    <col min="1" max="1" width="7.28515625" customWidth="1"/>
    <col min="2" max="2" width="20.28515625" bestFit="1" customWidth="1"/>
    <col min="3" max="12" width="15.28515625" customWidth="1"/>
    <col min="13" max="13" width="15.28515625" style="24" customWidth="1"/>
  </cols>
  <sheetData>
    <row r="1" spans="1:13" s="3" customFormat="1" ht="23.25" customHeight="1">
      <c r="A1" s="73" t="s">
        <v>175</v>
      </c>
      <c r="B1" s="73" t="s">
        <v>174</v>
      </c>
      <c r="C1" s="83" t="s">
        <v>171</v>
      </c>
      <c r="D1" s="83" t="s">
        <v>172</v>
      </c>
      <c r="E1" s="80" t="s">
        <v>177</v>
      </c>
      <c r="F1" s="74" t="s">
        <v>424</v>
      </c>
      <c r="G1" s="75"/>
      <c r="H1" s="75"/>
      <c r="I1" s="76"/>
      <c r="J1" s="77" t="s">
        <v>423</v>
      </c>
      <c r="K1" s="78"/>
      <c r="L1" s="78"/>
      <c r="M1" s="79"/>
    </row>
    <row r="2" spans="1:13" s="3" customFormat="1" ht="23.25" customHeight="1">
      <c r="A2" s="73"/>
      <c r="B2" s="73"/>
      <c r="C2" s="83"/>
      <c r="D2" s="83"/>
      <c r="E2" s="81"/>
      <c r="F2" s="73" t="s">
        <v>148</v>
      </c>
      <c r="G2" s="73"/>
      <c r="H2" s="73" t="s">
        <v>1</v>
      </c>
      <c r="I2" s="73"/>
      <c r="J2" s="73" t="s">
        <v>148</v>
      </c>
      <c r="K2" s="73"/>
      <c r="L2" s="73" t="s">
        <v>1</v>
      </c>
      <c r="M2" s="73"/>
    </row>
    <row r="3" spans="1:13" s="3" customFormat="1" ht="23.25" customHeight="1">
      <c r="A3" s="73"/>
      <c r="B3" s="73"/>
      <c r="C3" s="83"/>
      <c r="D3" s="83"/>
      <c r="E3" s="82"/>
      <c r="F3" s="25" t="s">
        <v>173</v>
      </c>
      <c r="G3" s="25" t="s">
        <v>385</v>
      </c>
      <c r="H3" s="32" t="s">
        <v>173</v>
      </c>
      <c r="I3" s="32" t="s">
        <v>385</v>
      </c>
      <c r="J3" s="32" t="s">
        <v>173</v>
      </c>
      <c r="K3" s="32" t="s">
        <v>385</v>
      </c>
      <c r="L3" s="32" t="s">
        <v>173</v>
      </c>
      <c r="M3" s="32" t="s">
        <v>385</v>
      </c>
    </row>
    <row r="4" spans="1:13" s="4" customFormat="1" ht="23.25" customHeight="1">
      <c r="A4" s="23"/>
      <c r="B4" s="23" t="s">
        <v>176</v>
      </c>
      <c r="C4" s="13">
        <f>+F4+H4+J4+L4</f>
        <v>163110</v>
      </c>
      <c r="D4" s="13">
        <f>+G4+I4+K4+M4</f>
        <v>133464248.8</v>
      </c>
      <c r="E4" s="11">
        <v>1</v>
      </c>
      <c r="F4" s="13">
        <f>+SUM(F5:F19)</f>
        <v>37754</v>
      </c>
      <c r="G4" s="13">
        <f t="shared" ref="G4:I4" si="0">+SUM(G5:G19)</f>
        <v>26805688</v>
      </c>
      <c r="H4" s="13">
        <f t="shared" si="0"/>
        <v>16464</v>
      </c>
      <c r="I4" s="13">
        <f t="shared" si="0"/>
        <v>16090038</v>
      </c>
      <c r="J4" s="13">
        <f>+SUM(J5:J19)</f>
        <v>90987</v>
      </c>
      <c r="K4" s="13">
        <f>+SUM(K5:K19)</f>
        <v>72253274.799999997</v>
      </c>
      <c r="L4" s="13">
        <f>+SUM(L5:L19)</f>
        <v>17905</v>
      </c>
      <c r="M4" s="13">
        <f>+SUM(M5:M19)</f>
        <v>18315248</v>
      </c>
    </row>
    <row r="5" spans="1:13" s="3" customFormat="1" ht="24.75" customHeight="1">
      <c r="A5" s="7">
        <v>1</v>
      </c>
      <c r="B5" s="5" t="s">
        <v>2</v>
      </c>
      <c r="C5" s="6">
        <f>+F5+H5+J5+L5</f>
        <v>91534</v>
      </c>
      <c r="D5" s="6">
        <f>+G5+I5+K5+M5</f>
        <v>76733546</v>
      </c>
      <c r="E5" s="10">
        <f>+D5/D4</f>
        <v>0.57493708382525288</v>
      </c>
      <c r="F5" s="6">
        <v>20566</v>
      </c>
      <c r="G5" s="6">
        <v>15731002</v>
      </c>
      <c r="H5" s="6">
        <v>12421</v>
      </c>
      <c r="I5" s="6">
        <v>10679500</v>
      </c>
      <c r="J5" s="6">
        <v>45721</v>
      </c>
      <c r="K5" s="6">
        <v>37796612</v>
      </c>
      <c r="L5" s="6">
        <v>12826</v>
      </c>
      <c r="M5" s="6">
        <v>12526432</v>
      </c>
    </row>
    <row r="6" spans="1:13" s="3" customFormat="1" ht="24.75" customHeight="1">
      <c r="A6" s="7">
        <f>+A5+1</f>
        <v>2</v>
      </c>
      <c r="B6" s="5" t="s">
        <v>6</v>
      </c>
      <c r="C6" s="6">
        <f t="shared" ref="C6:C18" si="1">+F6+H6+J6+L6</f>
        <v>35036</v>
      </c>
      <c r="D6" s="6">
        <f t="shared" ref="D6:D18" si="2">+G6+I6+K6+M6</f>
        <v>23035572</v>
      </c>
      <c r="E6" s="10">
        <f>+D6/D4</f>
        <v>0.17259732255728996</v>
      </c>
      <c r="F6" s="6">
        <v>7956</v>
      </c>
      <c r="G6" s="6">
        <v>3456216</v>
      </c>
      <c r="H6" s="6">
        <v>3108</v>
      </c>
      <c r="I6" s="6">
        <v>4215321</v>
      </c>
      <c r="J6" s="6">
        <v>20486</v>
      </c>
      <c r="K6" s="6">
        <v>11238670</v>
      </c>
      <c r="L6" s="6">
        <v>3486</v>
      </c>
      <c r="M6" s="6">
        <v>4125365</v>
      </c>
    </row>
    <row r="7" spans="1:13" s="3" customFormat="1" ht="24.75" customHeight="1">
      <c r="A7" s="26">
        <f t="shared" ref="A7:A19" si="3">+A6+1</f>
        <v>3</v>
      </c>
      <c r="B7" s="5" t="s">
        <v>15</v>
      </c>
      <c r="C7" s="6">
        <f t="shared" si="1"/>
        <v>10193</v>
      </c>
      <c r="D7" s="6">
        <f t="shared" si="2"/>
        <v>11875434</v>
      </c>
      <c r="E7" s="10">
        <f>+D7/D4</f>
        <v>8.8978390143982886E-2</v>
      </c>
      <c r="F7" s="6">
        <v>2172</v>
      </c>
      <c r="G7" s="6">
        <v>2045623</v>
      </c>
      <c r="H7" s="6">
        <v>156</v>
      </c>
      <c r="I7" s="6">
        <v>200624</v>
      </c>
      <c r="J7" s="6">
        <v>7620</v>
      </c>
      <c r="K7" s="6">
        <v>9327931</v>
      </c>
      <c r="L7" s="6">
        <v>245</v>
      </c>
      <c r="M7" s="6">
        <v>301256</v>
      </c>
    </row>
    <row r="8" spans="1:13" s="3" customFormat="1" ht="24.75" customHeight="1">
      <c r="A8" s="26">
        <f t="shared" si="3"/>
        <v>4</v>
      </c>
      <c r="B8" s="5" t="s">
        <v>155</v>
      </c>
      <c r="C8" s="6">
        <f>+F8+H8+J8+L8</f>
        <v>2351</v>
      </c>
      <c r="D8" s="6">
        <f t="shared" si="2"/>
        <v>1784859</v>
      </c>
      <c r="E8" s="10">
        <f>+D8/D4</f>
        <v>1.3373311699934432E-2</v>
      </c>
      <c r="F8" s="6">
        <v>2100</v>
      </c>
      <c r="G8" s="6">
        <v>1633215</v>
      </c>
      <c r="H8" s="6"/>
      <c r="I8" s="6"/>
      <c r="J8" s="6">
        <v>251</v>
      </c>
      <c r="K8" s="6">
        <v>151644</v>
      </c>
      <c r="L8" s="6"/>
      <c r="M8" s="6"/>
    </row>
    <row r="9" spans="1:13" s="3" customFormat="1" ht="24.75" customHeight="1">
      <c r="A9" s="26">
        <f t="shared" si="3"/>
        <v>5</v>
      </c>
      <c r="B9" s="5" t="s">
        <v>131</v>
      </c>
      <c r="C9" s="6">
        <f t="shared" si="1"/>
        <v>4264</v>
      </c>
      <c r="D9" s="6">
        <f t="shared" si="2"/>
        <v>3347422</v>
      </c>
      <c r="E9" s="10">
        <f>+D9/D4</f>
        <v>2.5081038780776475E-2</v>
      </c>
      <c r="F9" s="6">
        <v>1527</v>
      </c>
      <c r="G9" s="6">
        <v>1284028</v>
      </c>
      <c r="H9" s="6">
        <v>26</v>
      </c>
      <c r="I9" s="6">
        <v>3263</v>
      </c>
      <c r="J9" s="6">
        <v>2675</v>
      </c>
      <c r="K9" s="6">
        <v>2056600</v>
      </c>
      <c r="L9" s="6">
        <v>36</v>
      </c>
      <c r="M9" s="6">
        <v>3531</v>
      </c>
    </row>
    <row r="10" spans="1:13" s="3" customFormat="1" ht="24.75" customHeight="1">
      <c r="A10" s="26">
        <f t="shared" si="3"/>
        <v>6</v>
      </c>
      <c r="B10" s="5" t="s">
        <v>27</v>
      </c>
      <c r="C10" s="6">
        <f t="shared" si="1"/>
        <v>6701</v>
      </c>
      <c r="D10" s="6">
        <f t="shared" si="2"/>
        <v>6120913</v>
      </c>
      <c r="E10" s="10">
        <f>+D10/D4</f>
        <v>4.5861817340854802E-2</v>
      </c>
      <c r="F10" s="6">
        <v>1078</v>
      </c>
      <c r="G10" s="6">
        <v>1156214</v>
      </c>
      <c r="H10" s="6">
        <v>145</v>
      </c>
      <c r="I10" s="6">
        <v>121362</v>
      </c>
      <c r="J10" s="6">
        <v>4619</v>
      </c>
      <c r="K10" s="6">
        <v>4098124</v>
      </c>
      <c r="L10" s="6">
        <v>859</v>
      </c>
      <c r="M10" s="6">
        <v>745213</v>
      </c>
    </row>
    <row r="11" spans="1:13" s="3" customFormat="1" ht="24.75" customHeight="1">
      <c r="A11" s="26">
        <f t="shared" si="3"/>
        <v>7</v>
      </c>
      <c r="B11" s="5" t="s">
        <v>29</v>
      </c>
      <c r="C11" s="6">
        <f t="shared" si="1"/>
        <v>7327</v>
      </c>
      <c r="D11" s="6">
        <f t="shared" si="2"/>
        <v>5176118</v>
      </c>
      <c r="E11" s="10">
        <f>+D11/D4</f>
        <v>3.8782805481912694E-2</v>
      </c>
      <c r="F11" s="6">
        <v>1680</v>
      </c>
      <c r="G11" s="6">
        <v>845975</v>
      </c>
      <c r="H11" s="6">
        <v>196</v>
      </c>
      <c r="I11" s="6">
        <v>298451</v>
      </c>
      <c r="J11" s="6">
        <v>5425</v>
      </c>
      <c r="K11" s="6">
        <v>4025944</v>
      </c>
      <c r="L11" s="6">
        <v>26</v>
      </c>
      <c r="M11" s="6">
        <v>5748</v>
      </c>
    </row>
    <row r="12" spans="1:13" s="3" customFormat="1" ht="24.75" customHeight="1">
      <c r="A12" s="26">
        <f t="shared" si="3"/>
        <v>8</v>
      </c>
      <c r="B12" s="5" t="s">
        <v>45</v>
      </c>
      <c r="C12" s="6">
        <f t="shared" si="1"/>
        <v>1017</v>
      </c>
      <c r="D12" s="6">
        <f t="shared" si="2"/>
        <v>1640299</v>
      </c>
      <c r="E12" s="10">
        <f>+D12/D4</f>
        <v>1.2290175194842141E-2</v>
      </c>
      <c r="F12" s="6">
        <v>75</v>
      </c>
      <c r="G12" s="6">
        <v>98456</v>
      </c>
      <c r="H12" s="6">
        <v>345</v>
      </c>
      <c r="I12" s="6">
        <v>540263</v>
      </c>
      <c r="J12" s="6">
        <v>201</v>
      </c>
      <c r="K12" s="6">
        <v>421000</v>
      </c>
      <c r="L12" s="6">
        <v>396</v>
      </c>
      <c r="M12" s="6">
        <v>580580</v>
      </c>
    </row>
    <row r="13" spans="1:13" s="3" customFormat="1" ht="24.75" customHeight="1">
      <c r="A13" s="26">
        <f t="shared" si="3"/>
        <v>9</v>
      </c>
      <c r="B13" s="5" t="s">
        <v>123</v>
      </c>
      <c r="C13" s="6">
        <f t="shared" si="1"/>
        <v>3205</v>
      </c>
      <c r="D13" s="6">
        <f t="shared" si="2"/>
        <v>2382553</v>
      </c>
      <c r="E13" s="10">
        <f>+D13/D4</f>
        <v>1.785161960166819E-2</v>
      </c>
      <c r="F13" s="6">
        <v>502</v>
      </c>
      <c r="G13" s="6">
        <v>478855</v>
      </c>
      <c r="H13" s="6">
        <v>67</v>
      </c>
      <c r="I13" s="6">
        <v>31254</v>
      </c>
      <c r="J13" s="6">
        <v>2605</v>
      </c>
      <c r="K13" s="6">
        <v>1845321</v>
      </c>
      <c r="L13" s="6">
        <v>31</v>
      </c>
      <c r="M13" s="6">
        <v>27123</v>
      </c>
    </row>
    <row r="14" spans="1:13" s="3" customFormat="1" ht="24.75" customHeight="1">
      <c r="A14" s="26">
        <f t="shared" si="3"/>
        <v>10</v>
      </c>
      <c r="B14" s="5" t="s">
        <v>169</v>
      </c>
      <c r="C14" s="6">
        <f t="shared" si="1"/>
        <v>25</v>
      </c>
      <c r="D14" s="6">
        <f t="shared" si="2"/>
        <v>14345.8</v>
      </c>
      <c r="E14" s="10">
        <f>+D14/D4</f>
        <v>1.074879612254634E-4</v>
      </c>
      <c r="F14" s="6"/>
      <c r="G14" s="6"/>
      <c r="H14" s="6"/>
      <c r="I14" s="6"/>
      <c r="J14" s="6">
        <v>25</v>
      </c>
      <c r="K14" s="6">
        <v>14345.8</v>
      </c>
      <c r="L14" s="6"/>
      <c r="M14" s="6"/>
    </row>
    <row r="15" spans="1:13" s="3" customFormat="1" ht="24.75" customHeight="1">
      <c r="A15" s="26">
        <f t="shared" si="3"/>
        <v>11</v>
      </c>
      <c r="B15" s="5" t="s">
        <v>157</v>
      </c>
      <c r="C15" s="6">
        <f t="shared" si="1"/>
        <v>1048</v>
      </c>
      <c r="D15" s="6">
        <f t="shared" si="2"/>
        <v>803749</v>
      </c>
      <c r="E15" s="14">
        <f>+D15/D4</f>
        <v>6.0222045021542875E-3</v>
      </c>
      <c r="F15" s="6">
        <v>98</v>
      </c>
      <c r="G15" s="6">
        <v>76104</v>
      </c>
      <c r="H15" s="6"/>
      <c r="I15" s="6"/>
      <c r="J15" s="6">
        <v>950</v>
      </c>
      <c r="K15" s="6">
        <v>727645</v>
      </c>
      <c r="L15" s="6"/>
      <c r="M15" s="6"/>
    </row>
    <row r="16" spans="1:13" s="3" customFormat="1" ht="24.75" customHeight="1">
      <c r="A16" s="26">
        <f t="shared" si="3"/>
        <v>12</v>
      </c>
      <c r="B16" s="5" t="s">
        <v>156</v>
      </c>
      <c r="C16" s="6">
        <f t="shared" si="1"/>
        <v>25</v>
      </c>
      <c r="D16" s="6">
        <f t="shared" si="2"/>
        <v>3412</v>
      </c>
      <c r="E16" s="14">
        <f>+D16/D4</f>
        <v>2.5564898695177762E-5</v>
      </c>
      <c r="F16" s="6"/>
      <c r="G16" s="6"/>
      <c r="H16" s="6"/>
      <c r="I16" s="6"/>
      <c r="J16" s="6">
        <v>25</v>
      </c>
      <c r="K16" s="6">
        <v>3412</v>
      </c>
      <c r="L16" s="6"/>
      <c r="M16" s="6"/>
    </row>
    <row r="17" spans="1:13" s="3" customFormat="1" ht="24.75" customHeight="1">
      <c r="A17" s="26">
        <f t="shared" si="3"/>
        <v>13</v>
      </c>
      <c r="B17" s="5" t="s">
        <v>158</v>
      </c>
      <c r="C17" s="6">
        <f t="shared" si="1"/>
        <v>312</v>
      </c>
      <c r="D17" s="6">
        <f t="shared" si="2"/>
        <v>498490</v>
      </c>
      <c r="E17" s="14">
        <f>+D17/D4</f>
        <v>3.7350077229071402E-3</v>
      </c>
      <c r="F17" s="6"/>
      <c r="G17" s="6"/>
      <c r="H17" s="6"/>
      <c r="I17" s="6"/>
      <c r="J17" s="6">
        <v>312</v>
      </c>
      <c r="K17" s="6">
        <v>498490</v>
      </c>
      <c r="L17" s="6"/>
      <c r="M17" s="6"/>
    </row>
    <row r="18" spans="1:13" s="3" customFormat="1" ht="24.75" customHeight="1">
      <c r="A18" s="26">
        <f t="shared" si="3"/>
        <v>14</v>
      </c>
      <c r="B18" s="5" t="s">
        <v>144</v>
      </c>
      <c r="C18" s="6">
        <f t="shared" si="1"/>
        <v>36</v>
      </c>
      <c r="D18" s="6">
        <f t="shared" si="2"/>
        <v>21346</v>
      </c>
      <c r="E18" s="14">
        <f>+D18/D4</f>
        <v>1.5993796235265665E-4</v>
      </c>
      <c r="F18" s="6"/>
      <c r="G18" s="6"/>
      <c r="H18" s="6"/>
      <c r="I18" s="6"/>
      <c r="J18" s="6">
        <v>36</v>
      </c>
      <c r="K18" s="6">
        <v>21346</v>
      </c>
      <c r="L18" s="6"/>
      <c r="M18" s="6"/>
    </row>
    <row r="19" spans="1:13" ht="24" customHeight="1">
      <c r="A19" s="26">
        <f t="shared" si="3"/>
        <v>15</v>
      </c>
      <c r="B19" s="5" t="s">
        <v>287</v>
      </c>
      <c r="C19" s="6"/>
      <c r="D19" s="6"/>
      <c r="E19" s="6"/>
      <c r="F19" s="6"/>
      <c r="G19" s="6"/>
      <c r="H19" s="6"/>
      <c r="I19" s="6"/>
      <c r="J19" s="6">
        <v>36</v>
      </c>
      <c r="K19" s="6">
        <v>26190</v>
      </c>
      <c r="L19" s="6"/>
      <c r="M19" s="6"/>
    </row>
    <row r="22" spans="1:13">
      <c r="J22" s="20"/>
      <c r="K22" s="20"/>
    </row>
  </sheetData>
  <autoFilter ref="A4:W4">
    <sortState ref="A5:W20">
      <sortCondition descending="1" ref="D4"/>
    </sortState>
  </autoFilter>
  <mergeCells count="11">
    <mergeCell ref="J2:K2"/>
    <mergeCell ref="L2:M2"/>
    <mergeCell ref="B1:B3"/>
    <mergeCell ref="A1:A3"/>
    <mergeCell ref="F1:I1"/>
    <mergeCell ref="J1:M1"/>
    <mergeCell ref="E1:E3"/>
    <mergeCell ref="C1:C3"/>
    <mergeCell ref="D1:D3"/>
    <mergeCell ref="F2:G2"/>
    <mergeCell ref="H2:I2"/>
  </mergeCells>
  <pageMargins left="0.7" right="0.7" top="0.75" bottom="0.75" header="0.3" footer="0.3"/>
  <pageSetup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N21"/>
  <sheetViews>
    <sheetView zoomScale="85" zoomScaleNormal="85" workbookViewId="0">
      <selection activeCell="F9" sqref="F9"/>
    </sheetView>
  </sheetViews>
  <sheetFormatPr defaultRowHeight="12.75"/>
  <cols>
    <col min="2" max="2" width="42.42578125" bestFit="1" customWidth="1"/>
    <col min="3" max="3" width="14.42578125" customWidth="1"/>
    <col min="4" max="4" width="14.5703125" customWidth="1"/>
    <col min="5" max="6" width="15" customWidth="1"/>
    <col min="7" max="14" width="15.5703125" customWidth="1"/>
  </cols>
  <sheetData>
    <row r="1" spans="1:14" s="12" customFormat="1" ht="20.25" customHeight="1">
      <c r="A1" s="73" t="s">
        <v>175</v>
      </c>
      <c r="B1" s="73" t="s">
        <v>386</v>
      </c>
      <c r="C1" s="83" t="s">
        <v>387</v>
      </c>
      <c r="D1" s="83" t="s">
        <v>171</v>
      </c>
      <c r="E1" s="83" t="s">
        <v>172</v>
      </c>
      <c r="F1" s="84" t="s">
        <v>308</v>
      </c>
      <c r="G1" s="77" t="s">
        <v>425</v>
      </c>
      <c r="H1" s="78"/>
      <c r="I1" s="78"/>
      <c r="J1" s="79"/>
      <c r="K1" s="77" t="s">
        <v>426</v>
      </c>
      <c r="L1" s="78"/>
      <c r="M1" s="78"/>
      <c r="N1" s="79"/>
    </row>
    <row r="2" spans="1:14" s="12" customFormat="1" ht="20.25" customHeight="1">
      <c r="A2" s="73"/>
      <c r="B2" s="73"/>
      <c r="C2" s="83"/>
      <c r="D2" s="83"/>
      <c r="E2" s="83"/>
      <c r="F2" s="85"/>
      <c r="G2" s="73" t="s">
        <v>148</v>
      </c>
      <c r="H2" s="73"/>
      <c r="I2" s="73" t="s">
        <v>1</v>
      </c>
      <c r="J2" s="73"/>
      <c r="K2" s="73" t="s">
        <v>148</v>
      </c>
      <c r="L2" s="73"/>
      <c r="M2" s="73" t="s">
        <v>1</v>
      </c>
      <c r="N2" s="73"/>
    </row>
    <row r="3" spans="1:14" s="12" customFormat="1" ht="20.25" customHeight="1">
      <c r="A3" s="73"/>
      <c r="B3" s="73"/>
      <c r="C3" s="83"/>
      <c r="D3" s="83"/>
      <c r="E3" s="83"/>
      <c r="F3" s="86"/>
      <c r="G3" s="32" t="s">
        <v>173</v>
      </c>
      <c r="H3" s="32" t="s">
        <v>385</v>
      </c>
      <c r="I3" s="32" t="s">
        <v>173</v>
      </c>
      <c r="J3" s="32" t="s">
        <v>385</v>
      </c>
      <c r="K3" s="32" t="s">
        <v>173</v>
      </c>
      <c r="L3" s="32" t="s">
        <v>385</v>
      </c>
      <c r="M3" s="32" t="s">
        <v>173</v>
      </c>
      <c r="N3" s="32" t="s">
        <v>385</v>
      </c>
    </row>
    <row r="4" spans="1:14" s="12" customFormat="1" ht="19.5" customHeight="1">
      <c r="A4" s="8"/>
      <c r="B4" s="8" t="s">
        <v>176</v>
      </c>
      <c r="C4" s="8"/>
      <c r="D4" s="13">
        <f>+G4+I4+K4+M4</f>
        <v>163110</v>
      </c>
      <c r="E4" s="13">
        <f>+H4+J4+L4+N4</f>
        <v>133464249</v>
      </c>
      <c r="F4" s="28">
        <v>1</v>
      </c>
      <c r="G4" s="13">
        <f t="shared" ref="G4:J4" si="0">+SUM(G5:G21)</f>
        <v>37754</v>
      </c>
      <c r="H4" s="13">
        <f t="shared" si="0"/>
        <v>26805688</v>
      </c>
      <c r="I4" s="13">
        <f t="shared" si="0"/>
        <v>16464</v>
      </c>
      <c r="J4" s="13">
        <f t="shared" si="0"/>
        <v>16090038</v>
      </c>
      <c r="K4" s="13">
        <f>+SUM(K5:K21)</f>
        <v>90987</v>
      </c>
      <c r="L4" s="13">
        <f>+SUM(L5:L21)</f>
        <v>72253275</v>
      </c>
      <c r="M4" s="13">
        <f>+SUM(M5:M21)</f>
        <v>17905</v>
      </c>
      <c r="N4" s="13">
        <f>+SUM(N5:N21)</f>
        <v>18315248</v>
      </c>
    </row>
    <row r="5" spans="1:14" s="3" customFormat="1" ht="19.5" customHeight="1">
      <c r="A5" s="7">
        <v>1</v>
      </c>
      <c r="B5" s="5" t="s">
        <v>18</v>
      </c>
      <c r="C5" s="7">
        <v>7</v>
      </c>
      <c r="D5" s="6">
        <f>+G5+I5+K5+M5</f>
        <v>32253</v>
      </c>
      <c r="E5" s="6">
        <f>+H5+J5+L5+N5</f>
        <v>23965500</v>
      </c>
      <c r="F5" s="28">
        <f>+E5/$E$4</f>
        <v>0.17956494102027279</v>
      </c>
      <c r="G5" s="6">
        <v>7100</v>
      </c>
      <c r="H5" s="6">
        <v>4218000</v>
      </c>
      <c r="I5" s="6">
        <v>3480</v>
      </c>
      <c r="J5" s="6">
        <v>3534000</v>
      </c>
      <c r="K5" s="6">
        <v>18220</v>
      </c>
      <c r="L5" s="6">
        <v>13172000</v>
      </c>
      <c r="M5" s="6">
        <v>3453</v>
      </c>
      <c r="N5" s="6">
        <v>3041500</v>
      </c>
    </row>
    <row r="6" spans="1:14" s="3" customFormat="1" ht="19.5" customHeight="1">
      <c r="A6" s="7">
        <v>2</v>
      </c>
      <c r="B6" s="5" t="s">
        <v>85</v>
      </c>
      <c r="C6" s="7">
        <v>6</v>
      </c>
      <c r="D6" s="6">
        <f t="shared" ref="D6:D21" si="1">+G6+I6+K6+M6</f>
        <v>21469</v>
      </c>
      <c r="E6" s="6">
        <f t="shared" ref="E6:E21" si="2">+H6+J6+L6+N6</f>
        <v>17950200</v>
      </c>
      <c r="F6" s="28">
        <f>+E6/$E$4</f>
        <v>0.13449444427623461</v>
      </c>
      <c r="G6" s="6">
        <v>5260</v>
      </c>
      <c r="H6" s="6">
        <v>4460000</v>
      </c>
      <c r="I6" s="6">
        <v>2460</v>
      </c>
      <c r="J6" s="6">
        <v>1850000</v>
      </c>
      <c r="K6" s="6">
        <v>11540</v>
      </c>
      <c r="L6" s="6">
        <v>9510000</v>
      </c>
      <c r="M6" s="6">
        <v>2209</v>
      </c>
      <c r="N6" s="6">
        <v>2130200</v>
      </c>
    </row>
    <row r="7" spans="1:14" s="3" customFormat="1" ht="19.5" customHeight="1">
      <c r="A7" s="7">
        <v>3</v>
      </c>
      <c r="B7" s="5" t="s">
        <v>61</v>
      </c>
      <c r="C7" s="7">
        <v>9</v>
      </c>
      <c r="D7" s="6">
        <f t="shared" si="1"/>
        <v>19910</v>
      </c>
      <c r="E7" s="6">
        <f t="shared" si="2"/>
        <v>18150442</v>
      </c>
      <c r="F7" s="28">
        <f>+E7/$E$4</f>
        <v>0.13599478613932034</v>
      </c>
      <c r="G7" s="6">
        <v>4924</v>
      </c>
      <c r="H7" s="6">
        <v>4120688</v>
      </c>
      <c r="I7" s="6">
        <v>1670</v>
      </c>
      <c r="J7" s="6">
        <v>1540038</v>
      </c>
      <c r="K7" s="6">
        <v>10660</v>
      </c>
      <c r="L7" s="6">
        <v>10210275</v>
      </c>
      <c r="M7" s="6">
        <v>2656</v>
      </c>
      <c r="N7" s="6">
        <v>2279441</v>
      </c>
    </row>
    <row r="8" spans="1:14" s="3" customFormat="1" ht="19.5" customHeight="1">
      <c r="A8" s="7">
        <v>4</v>
      </c>
      <c r="B8" s="5" t="s">
        <v>41</v>
      </c>
      <c r="C8" s="7">
        <v>8</v>
      </c>
      <c r="D8" s="6">
        <f t="shared" si="1"/>
        <v>19300</v>
      </c>
      <c r="E8" s="6">
        <f t="shared" si="2"/>
        <v>16845000</v>
      </c>
      <c r="F8" s="28">
        <f t="shared" ref="F8:F21" si="3">+E8/$E$4</f>
        <v>0.1262135749926559</v>
      </c>
      <c r="G8" s="6">
        <v>4500</v>
      </c>
      <c r="H8" s="6">
        <v>3440000</v>
      </c>
      <c r="I8" s="6">
        <v>1480</v>
      </c>
      <c r="J8" s="6">
        <v>1516000</v>
      </c>
      <c r="K8" s="6">
        <v>11300</v>
      </c>
      <c r="L8" s="6">
        <v>9795000</v>
      </c>
      <c r="M8" s="6">
        <v>2020</v>
      </c>
      <c r="N8" s="6">
        <v>2094000</v>
      </c>
    </row>
    <row r="9" spans="1:14" s="3" customFormat="1" ht="19.5" customHeight="1">
      <c r="A9" s="7">
        <v>5</v>
      </c>
      <c r="B9" s="5" t="s">
        <v>33</v>
      </c>
      <c r="C9" s="7">
        <v>6</v>
      </c>
      <c r="D9" s="6">
        <f t="shared" si="1"/>
        <v>14050</v>
      </c>
      <c r="E9" s="6">
        <f t="shared" si="2"/>
        <v>10540100</v>
      </c>
      <c r="F9" s="28">
        <f t="shared" si="3"/>
        <v>7.8973208772935136E-2</v>
      </c>
      <c r="G9" s="6">
        <v>4050</v>
      </c>
      <c r="H9" s="6">
        <v>2780000</v>
      </c>
      <c r="I9" s="6">
        <v>1120</v>
      </c>
      <c r="J9" s="6">
        <v>770000</v>
      </c>
      <c r="K9" s="6">
        <v>7920</v>
      </c>
      <c r="L9" s="6">
        <v>6275100</v>
      </c>
      <c r="M9" s="6">
        <v>960</v>
      </c>
      <c r="N9" s="6">
        <v>715000</v>
      </c>
    </row>
    <row r="10" spans="1:14" s="3" customFormat="1" ht="19.5" customHeight="1">
      <c r="A10" s="7">
        <v>6</v>
      </c>
      <c r="B10" s="5" t="s">
        <v>14</v>
      </c>
      <c r="C10" s="7">
        <v>8</v>
      </c>
      <c r="D10" s="6">
        <f t="shared" si="1"/>
        <v>11550</v>
      </c>
      <c r="E10" s="6">
        <f t="shared" si="2"/>
        <v>9910000</v>
      </c>
      <c r="F10" s="28">
        <f t="shared" si="3"/>
        <v>7.425209428181774E-2</v>
      </c>
      <c r="G10" s="6">
        <v>2350</v>
      </c>
      <c r="H10" s="6">
        <v>1500000</v>
      </c>
      <c r="I10" s="6">
        <v>1890</v>
      </c>
      <c r="J10" s="6">
        <v>2050000</v>
      </c>
      <c r="K10" s="6">
        <v>5450</v>
      </c>
      <c r="L10" s="6">
        <v>3910000</v>
      </c>
      <c r="M10" s="6">
        <v>1860</v>
      </c>
      <c r="N10" s="6">
        <v>2450000</v>
      </c>
    </row>
    <row r="11" spans="1:14" s="3" customFormat="1" ht="19.5" customHeight="1">
      <c r="A11" s="7">
        <v>7</v>
      </c>
      <c r="B11" s="5" t="s">
        <v>26</v>
      </c>
      <c r="C11" s="7">
        <v>10</v>
      </c>
      <c r="D11" s="6">
        <f t="shared" si="1"/>
        <v>8200</v>
      </c>
      <c r="E11" s="6">
        <f t="shared" si="2"/>
        <v>7380000</v>
      </c>
      <c r="F11" s="28">
        <f t="shared" si="3"/>
        <v>5.529570694246367E-2</v>
      </c>
      <c r="G11" s="6">
        <v>1580</v>
      </c>
      <c r="H11" s="6">
        <v>1160000</v>
      </c>
      <c r="I11" s="6">
        <v>1120</v>
      </c>
      <c r="J11" s="6">
        <v>1495000</v>
      </c>
      <c r="K11" s="6">
        <v>4280</v>
      </c>
      <c r="L11" s="6">
        <v>3445000</v>
      </c>
      <c r="M11" s="6">
        <v>1220</v>
      </c>
      <c r="N11" s="6">
        <v>1280000</v>
      </c>
    </row>
    <row r="12" spans="1:14" s="3" customFormat="1" ht="19.5" customHeight="1">
      <c r="A12" s="7">
        <v>8</v>
      </c>
      <c r="B12" s="5" t="s">
        <v>69</v>
      </c>
      <c r="C12" s="7">
        <v>10</v>
      </c>
      <c r="D12" s="6">
        <f t="shared" si="1"/>
        <v>10400</v>
      </c>
      <c r="E12" s="6">
        <f t="shared" si="2"/>
        <v>7665000</v>
      </c>
      <c r="F12" s="28">
        <f t="shared" si="3"/>
        <v>5.7431110259347433E-2</v>
      </c>
      <c r="G12" s="6">
        <v>1850</v>
      </c>
      <c r="H12" s="6">
        <v>1265000</v>
      </c>
      <c r="I12" s="6">
        <v>774</v>
      </c>
      <c r="J12" s="6">
        <v>547000</v>
      </c>
      <c r="K12" s="6">
        <v>6950</v>
      </c>
      <c r="L12" s="6">
        <v>5235000</v>
      </c>
      <c r="M12" s="6">
        <v>826</v>
      </c>
      <c r="N12" s="6">
        <v>618000</v>
      </c>
    </row>
    <row r="13" spans="1:14" s="3" customFormat="1" ht="19.5" customHeight="1">
      <c r="A13" s="7">
        <v>9</v>
      </c>
      <c r="B13" s="5" t="s">
        <v>76</v>
      </c>
      <c r="C13" s="7">
        <v>9</v>
      </c>
      <c r="D13" s="6">
        <f t="shared" si="1"/>
        <v>8550</v>
      </c>
      <c r="E13" s="6">
        <f t="shared" si="2"/>
        <v>6100000</v>
      </c>
      <c r="F13" s="28">
        <f t="shared" si="3"/>
        <v>4.5705123624529595E-2</v>
      </c>
      <c r="G13" s="6">
        <v>1910</v>
      </c>
      <c r="H13" s="6">
        <v>1135000</v>
      </c>
      <c r="I13" s="6">
        <v>650</v>
      </c>
      <c r="J13" s="6">
        <v>508000</v>
      </c>
      <c r="K13" s="6">
        <v>5430</v>
      </c>
      <c r="L13" s="6">
        <v>3755000</v>
      </c>
      <c r="M13" s="6">
        <v>560</v>
      </c>
      <c r="N13" s="6">
        <v>702000</v>
      </c>
    </row>
    <row r="14" spans="1:14" s="3" customFormat="1" ht="19.5" customHeight="1">
      <c r="A14" s="7">
        <v>10</v>
      </c>
      <c r="B14" s="5" t="s">
        <v>110</v>
      </c>
      <c r="C14" s="7">
        <v>5</v>
      </c>
      <c r="D14" s="6">
        <f t="shared" si="1"/>
        <v>6230</v>
      </c>
      <c r="E14" s="6">
        <f t="shared" si="2"/>
        <v>4750000</v>
      </c>
      <c r="F14" s="28">
        <f t="shared" si="3"/>
        <v>3.5590055281395992E-2</v>
      </c>
      <c r="G14" s="6">
        <v>1410</v>
      </c>
      <c r="H14" s="6">
        <v>850000</v>
      </c>
      <c r="I14" s="6">
        <v>560</v>
      </c>
      <c r="J14" s="6">
        <v>581000</v>
      </c>
      <c r="K14" s="6">
        <v>3577</v>
      </c>
      <c r="L14" s="6">
        <v>2650000</v>
      </c>
      <c r="M14" s="6">
        <v>683</v>
      </c>
      <c r="N14" s="6">
        <v>669000</v>
      </c>
    </row>
    <row r="15" spans="1:14" s="3" customFormat="1" ht="19.5" customHeight="1">
      <c r="A15" s="7">
        <v>11</v>
      </c>
      <c r="B15" s="5" t="s">
        <v>36</v>
      </c>
      <c r="C15" s="7">
        <v>7</v>
      </c>
      <c r="D15" s="6">
        <f t="shared" si="1"/>
        <v>3850</v>
      </c>
      <c r="E15" s="6">
        <f t="shared" si="2"/>
        <v>3160000</v>
      </c>
      <c r="F15" s="28">
        <f t="shared" si="3"/>
        <v>2.3676752566149754E-2</v>
      </c>
      <c r="G15" s="6">
        <v>1000</v>
      </c>
      <c r="H15" s="6">
        <v>711000</v>
      </c>
      <c r="I15" s="6">
        <v>570</v>
      </c>
      <c r="J15" s="6">
        <v>767000</v>
      </c>
      <c r="K15" s="6">
        <v>1770</v>
      </c>
      <c r="L15" s="6">
        <v>1270000</v>
      </c>
      <c r="M15" s="6">
        <v>510</v>
      </c>
      <c r="N15" s="6">
        <v>412000</v>
      </c>
    </row>
    <row r="16" spans="1:14" s="3" customFormat="1" ht="19.5" customHeight="1">
      <c r="A16" s="7">
        <v>12</v>
      </c>
      <c r="B16" s="5" t="s">
        <v>4</v>
      </c>
      <c r="C16" s="7">
        <v>7</v>
      </c>
      <c r="D16" s="6">
        <f t="shared" si="1"/>
        <v>3070</v>
      </c>
      <c r="E16" s="6">
        <f t="shared" si="2"/>
        <v>3600000</v>
      </c>
      <c r="F16" s="28">
        <f t="shared" si="3"/>
        <v>2.6973515581689596E-2</v>
      </c>
      <c r="G16" s="6">
        <v>530</v>
      </c>
      <c r="H16" s="6">
        <v>373000</v>
      </c>
      <c r="I16" s="6">
        <v>390</v>
      </c>
      <c r="J16" s="6">
        <v>570000</v>
      </c>
      <c r="K16" s="6">
        <v>1490</v>
      </c>
      <c r="L16" s="6">
        <v>1186000</v>
      </c>
      <c r="M16" s="6">
        <v>660</v>
      </c>
      <c r="N16" s="6">
        <v>1471000</v>
      </c>
    </row>
    <row r="17" spans="1:14" s="3" customFormat="1" ht="19.5" customHeight="1">
      <c r="A17" s="7">
        <v>13</v>
      </c>
      <c r="B17" s="5" t="s">
        <v>136</v>
      </c>
      <c r="C17" s="7">
        <v>4</v>
      </c>
      <c r="D17" s="6">
        <f t="shared" si="1"/>
        <v>2370</v>
      </c>
      <c r="E17" s="6">
        <f t="shared" si="2"/>
        <v>1310000</v>
      </c>
      <c r="F17" s="28">
        <f t="shared" si="3"/>
        <v>9.8153626144481584E-3</v>
      </c>
      <c r="G17" s="6">
        <v>1040</v>
      </c>
      <c r="H17" s="6">
        <v>556000</v>
      </c>
      <c r="I17" s="6">
        <v>8</v>
      </c>
      <c r="J17" s="6">
        <v>8300</v>
      </c>
      <c r="K17" s="6">
        <v>1316</v>
      </c>
      <c r="L17" s="6">
        <v>741000</v>
      </c>
      <c r="M17" s="6">
        <v>6</v>
      </c>
      <c r="N17" s="6">
        <v>4700</v>
      </c>
    </row>
    <row r="18" spans="1:14" s="3" customFormat="1" ht="19.5" customHeight="1">
      <c r="A18" s="7">
        <v>14</v>
      </c>
      <c r="B18" s="5" t="s">
        <v>112</v>
      </c>
      <c r="C18" s="7">
        <v>10</v>
      </c>
      <c r="D18" s="6">
        <f t="shared" si="1"/>
        <v>1200</v>
      </c>
      <c r="E18" s="6">
        <f t="shared" si="2"/>
        <v>1320000</v>
      </c>
      <c r="F18" s="28">
        <f t="shared" si="3"/>
        <v>9.890289046619519E-3</v>
      </c>
      <c r="G18" s="6">
        <v>210</v>
      </c>
      <c r="H18" s="6">
        <v>201000</v>
      </c>
      <c r="I18" s="6">
        <v>270</v>
      </c>
      <c r="J18" s="6">
        <v>335000</v>
      </c>
      <c r="K18" s="6">
        <v>600</v>
      </c>
      <c r="L18" s="6">
        <v>632000</v>
      </c>
      <c r="M18" s="6">
        <v>120</v>
      </c>
      <c r="N18" s="6">
        <v>152000</v>
      </c>
    </row>
    <row r="19" spans="1:14" s="3" customFormat="1" ht="19.5" customHeight="1">
      <c r="A19" s="7">
        <v>15</v>
      </c>
      <c r="B19" s="5" t="s">
        <v>106</v>
      </c>
      <c r="C19" s="7">
        <v>5</v>
      </c>
      <c r="D19" s="6">
        <f t="shared" si="1"/>
        <v>360</v>
      </c>
      <c r="E19" s="6">
        <f t="shared" si="2"/>
        <v>425000</v>
      </c>
      <c r="F19" s="28">
        <f t="shared" si="3"/>
        <v>3.1843733672827996E-3</v>
      </c>
      <c r="G19" s="6"/>
      <c r="H19" s="6"/>
      <c r="I19" s="6"/>
      <c r="J19" s="6"/>
      <c r="K19" s="6">
        <v>250</v>
      </c>
      <c r="L19" s="6">
        <v>212000</v>
      </c>
      <c r="M19" s="6">
        <v>110</v>
      </c>
      <c r="N19" s="6">
        <v>213000</v>
      </c>
    </row>
    <row r="20" spans="1:14" s="3" customFormat="1" ht="19.5" customHeight="1">
      <c r="A20" s="7">
        <v>16</v>
      </c>
      <c r="B20" s="5" t="s">
        <v>122</v>
      </c>
      <c r="C20" s="7">
        <v>5</v>
      </c>
      <c r="D20" s="6">
        <f t="shared" si="1"/>
        <v>345</v>
      </c>
      <c r="E20" s="6">
        <f t="shared" si="2"/>
        <v>390007</v>
      </c>
      <c r="F20" s="28">
        <f t="shared" si="3"/>
        <v>2.9221833031855596E-3</v>
      </c>
      <c r="G20" s="6">
        <v>40</v>
      </c>
      <c r="H20" s="6">
        <v>36000</v>
      </c>
      <c r="I20" s="6">
        <v>22</v>
      </c>
      <c r="J20" s="6">
        <v>18700</v>
      </c>
      <c r="K20" s="6">
        <v>231</v>
      </c>
      <c r="L20" s="6">
        <v>251900</v>
      </c>
      <c r="M20" s="6">
        <v>52</v>
      </c>
      <c r="N20" s="6">
        <v>83407</v>
      </c>
    </row>
    <row r="21" spans="1:14" s="3" customFormat="1" ht="19.5" customHeight="1">
      <c r="A21" s="7">
        <v>17</v>
      </c>
      <c r="B21" s="5" t="s">
        <v>165</v>
      </c>
      <c r="C21" s="7">
        <v>1</v>
      </c>
      <c r="D21" s="6">
        <f t="shared" si="1"/>
        <v>3</v>
      </c>
      <c r="E21" s="6">
        <f t="shared" si="2"/>
        <v>3000</v>
      </c>
      <c r="F21" s="28">
        <f t="shared" si="3"/>
        <v>2.2477929651407998E-5</v>
      </c>
      <c r="G21" s="6"/>
      <c r="H21" s="6"/>
      <c r="I21" s="6"/>
      <c r="J21" s="6"/>
      <c r="K21" s="6">
        <v>3</v>
      </c>
      <c r="L21" s="6">
        <v>3000</v>
      </c>
      <c r="M21" s="6"/>
      <c r="N21" s="6"/>
    </row>
  </sheetData>
  <autoFilter ref="B4:N22">
    <sortState ref="B5:X22">
      <sortCondition descending="1" ref="E4:E22"/>
    </sortState>
  </autoFilter>
  <mergeCells count="12">
    <mergeCell ref="G1:J1"/>
    <mergeCell ref="G2:H2"/>
    <mergeCell ref="I2:J2"/>
    <mergeCell ref="K1:N1"/>
    <mergeCell ref="K2:L2"/>
    <mergeCell ref="M2:N2"/>
    <mergeCell ref="D1:D3"/>
    <mergeCell ref="E1:E3"/>
    <mergeCell ref="B1:B3"/>
    <mergeCell ref="A1:A3"/>
    <mergeCell ref="F1:F3"/>
    <mergeCell ref="C1:C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P26"/>
  <sheetViews>
    <sheetView zoomScale="70" zoomScaleNormal="70" workbookViewId="0">
      <selection activeCell="I45" sqref="I45"/>
    </sheetView>
  </sheetViews>
  <sheetFormatPr defaultRowHeight="12.75"/>
  <cols>
    <col min="2" max="2" width="25.7109375" customWidth="1"/>
    <col min="3" max="4" width="14" customWidth="1"/>
    <col min="5" max="6" width="13.28515625" customWidth="1"/>
    <col min="7" max="7" width="14.85546875" bestFit="1" customWidth="1"/>
    <col min="8" max="8" width="13.5703125" customWidth="1"/>
    <col min="9" max="9" width="14.85546875" bestFit="1" customWidth="1"/>
    <col min="10" max="10" width="13.28515625" customWidth="1"/>
    <col min="11" max="11" width="14.85546875" bestFit="1" customWidth="1"/>
    <col min="12" max="12" width="13.28515625" customWidth="1"/>
    <col min="13" max="13" width="14.85546875" bestFit="1" customWidth="1"/>
    <col min="14" max="14" width="17" customWidth="1"/>
    <col min="15" max="15" width="18.5703125" customWidth="1"/>
    <col min="16" max="16" width="11.28515625" bestFit="1" customWidth="1"/>
  </cols>
  <sheetData>
    <row r="1" spans="1:16" ht="24" customHeight="1">
      <c r="A1" s="73" t="s">
        <v>175</v>
      </c>
      <c r="B1" s="73" t="s">
        <v>388</v>
      </c>
      <c r="C1" s="83" t="s">
        <v>171</v>
      </c>
      <c r="D1" s="83" t="s">
        <v>172</v>
      </c>
      <c r="E1" s="83" t="s">
        <v>291</v>
      </c>
      <c r="F1" s="77" t="s">
        <v>425</v>
      </c>
      <c r="G1" s="78"/>
      <c r="H1" s="78"/>
      <c r="I1" s="79"/>
      <c r="J1" s="77" t="s">
        <v>426</v>
      </c>
      <c r="K1" s="78"/>
      <c r="L1" s="78"/>
      <c r="M1" s="79"/>
      <c r="N1" s="87" t="s">
        <v>244</v>
      </c>
      <c r="O1" s="83" t="s">
        <v>389</v>
      </c>
      <c r="P1" s="83" t="s">
        <v>390</v>
      </c>
    </row>
    <row r="2" spans="1:16" ht="24" customHeight="1">
      <c r="A2" s="73"/>
      <c r="B2" s="73"/>
      <c r="C2" s="83"/>
      <c r="D2" s="83"/>
      <c r="E2" s="83"/>
      <c r="F2" s="73" t="s">
        <v>148</v>
      </c>
      <c r="G2" s="73"/>
      <c r="H2" s="73" t="s">
        <v>1</v>
      </c>
      <c r="I2" s="73"/>
      <c r="J2" s="73" t="s">
        <v>148</v>
      </c>
      <c r="K2" s="73"/>
      <c r="L2" s="73" t="s">
        <v>1</v>
      </c>
      <c r="M2" s="73"/>
      <c r="N2" s="88"/>
      <c r="O2" s="83"/>
      <c r="P2" s="83"/>
    </row>
    <row r="3" spans="1:16" ht="24" customHeight="1">
      <c r="A3" s="73"/>
      <c r="B3" s="73"/>
      <c r="C3" s="83"/>
      <c r="D3" s="83"/>
      <c r="E3" s="83"/>
      <c r="F3" s="32" t="s">
        <v>173</v>
      </c>
      <c r="G3" s="32" t="s">
        <v>385</v>
      </c>
      <c r="H3" s="32" t="s">
        <v>173</v>
      </c>
      <c r="I3" s="32" t="s">
        <v>385</v>
      </c>
      <c r="J3" s="32" t="s">
        <v>173</v>
      </c>
      <c r="K3" s="32" t="s">
        <v>385</v>
      </c>
      <c r="L3" s="32" t="s">
        <v>173</v>
      </c>
      <c r="M3" s="32" t="s">
        <v>385</v>
      </c>
      <c r="N3" s="89"/>
      <c r="O3" s="83"/>
      <c r="P3" s="83"/>
    </row>
    <row r="4" spans="1:16" s="12" customFormat="1" ht="20.25" customHeight="1">
      <c r="A4" s="77" t="s">
        <v>176</v>
      </c>
      <c r="B4" s="79"/>
      <c r="C4" s="16">
        <f>SUM(C5:C26)</f>
        <v>163110</v>
      </c>
      <c r="D4" s="16">
        <f>SUM(D5:D26)</f>
        <v>133464249</v>
      </c>
      <c r="E4" s="28">
        <v>1</v>
      </c>
      <c r="F4" s="16">
        <f t="shared" ref="F4:P4" si="0">SUM(F5:F26)</f>
        <v>37754</v>
      </c>
      <c r="G4" s="16">
        <f t="shared" si="0"/>
        <v>26805688</v>
      </c>
      <c r="H4" s="16">
        <f t="shared" si="0"/>
        <v>16464</v>
      </c>
      <c r="I4" s="16">
        <f t="shared" si="0"/>
        <v>16090038</v>
      </c>
      <c r="J4" s="16">
        <f t="shared" si="0"/>
        <v>90987</v>
      </c>
      <c r="K4" s="16">
        <f t="shared" si="0"/>
        <v>72253275</v>
      </c>
      <c r="L4" s="16">
        <f t="shared" si="0"/>
        <v>17905</v>
      </c>
      <c r="M4" s="16">
        <f t="shared" si="0"/>
        <v>18315248</v>
      </c>
      <c r="N4" s="16">
        <f t="shared" si="0"/>
        <v>47672797</v>
      </c>
      <c r="O4" s="21">
        <f t="shared" si="0"/>
        <v>110420</v>
      </c>
      <c r="P4" s="21">
        <f t="shared" si="0"/>
        <v>3160700</v>
      </c>
    </row>
    <row r="5" spans="1:16" ht="21.75" customHeight="1">
      <c r="A5" s="9">
        <v>1</v>
      </c>
      <c r="B5" s="22" t="s">
        <v>20</v>
      </c>
      <c r="C5" s="15">
        <f>+F5+H5+J5+L5</f>
        <v>16638</v>
      </c>
      <c r="D5" s="15">
        <f>+G5+I5+K5+M5</f>
        <v>16540179</v>
      </c>
      <c r="E5" s="28">
        <f>+D5/$D$4</f>
        <v>0.12392965999456529</v>
      </c>
      <c r="F5" s="15">
        <v>4207</v>
      </c>
      <c r="G5" s="15">
        <v>3962615</v>
      </c>
      <c r="H5" s="15">
        <v>1413</v>
      </c>
      <c r="I5" s="15">
        <v>1348783</v>
      </c>
      <c r="J5" s="15">
        <v>9492</v>
      </c>
      <c r="K5" s="15">
        <v>9811289</v>
      </c>
      <c r="L5" s="15">
        <v>1526</v>
      </c>
      <c r="M5" s="15">
        <v>1417492</v>
      </c>
      <c r="N5" s="30">
        <f>+M5+K5-I5-G5</f>
        <v>5917383</v>
      </c>
      <c r="O5" s="15">
        <v>7921</v>
      </c>
      <c r="P5" s="54">
        <v>188300</v>
      </c>
    </row>
    <row r="6" spans="1:16" ht="21.75" customHeight="1">
      <c r="A6" s="9">
        <v>2</v>
      </c>
      <c r="B6" s="22" t="s">
        <v>8</v>
      </c>
      <c r="C6" s="15">
        <f t="shared" ref="C6:C26" si="1">+F6+H6+J6+L6</f>
        <v>6016</v>
      </c>
      <c r="D6" s="15">
        <f t="shared" ref="D6:D26" si="2">+G6+I6+K6+M6</f>
        <v>5103560</v>
      </c>
      <c r="E6" s="28">
        <f t="shared" ref="E6:E26" si="3">+D6/$D$4</f>
        <v>3.82391542172466E-2</v>
      </c>
      <c r="F6" s="15">
        <v>1163</v>
      </c>
      <c r="G6" s="15">
        <v>812278</v>
      </c>
      <c r="H6" s="15">
        <v>215</v>
      </c>
      <c r="I6" s="15">
        <v>154925</v>
      </c>
      <c r="J6" s="15">
        <v>4434</v>
      </c>
      <c r="K6" s="15">
        <v>3982915</v>
      </c>
      <c r="L6" s="15">
        <v>204</v>
      </c>
      <c r="M6" s="15">
        <v>153442</v>
      </c>
      <c r="N6" s="30">
        <f t="shared" ref="N6:N26" si="4">+M6+K6-I6-G6</f>
        <v>3169154</v>
      </c>
      <c r="O6" s="15">
        <v>5006</v>
      </c>
      <c r="P6" s="37">
        <v>170900</v>
      </c>
    </row>
    <row r="7" spans="1:16" ht="21.75" customHeight="1">
      <c r="A7" s="9">
        <v>3</v>
      </c>
      <c r="B7" s="22" t="s">
        <v>34</v>
      </c>
      <c r="C7" s="15">
        <f t="shared" si="1"/>
        <v>12965</v>
      </c>
      <c r="D7" s="15">
        <f t="shared" si="2"/>
        <v>11603794</v>
      </c>
      <c r="E7" s="28">
        <f t="shared" si="3"/>
        <v>8.6943088407143404E-2</v>
      </c>
      <c r="F7" s="15">
        <v>3553</v>
      </c>
      <c r="G7" s="15">
        <v>2863292</v>
      </c>
      <c r="H7" s="15">
        <v>921</v>
      </c>
      <c r="I7" s="15">
        <v>1086583</v>
      </c>
      <c r="J7" s="15">
        <v>7549</v>
      </c>
      <c r="K7" s="15">
        <v>6945499</v>
      </c>
      <c r="L7" s="15">
        <v>942</v>
      </c>
      <c r="M7" s="15">
        <v>708420</v>
      </c>
      <c r="N7" s="30">
        <f t="shared" si="4"/>
        <v>3704044</v>
      </c>
      <c r="O7" s="15">
        <v>6229</v>
      </c>
      <c r="P7" s="37">
        <v>107300</v>
      </c>
    </row>
    <row r="8" spans="1:16" ht="21.75" customHeight="1">
      <c r="A8" s="9">
        <v>4</v>
      </c>
      <c r="B8" s="22" t="s">
        <v>289</v>
      </c>
      <c r="C8" s="15">
        <f t="shared" si="1"/>
        <v>3268</v>
      </c>
      <c r="D8" s="15">
        <f t="shared" si="2"/>
        <v>2311330</v>
      </c>
      <c r="E8" s="28">
        <f t="shared" si="3"/>
        <v>1.7317971047062949E-2</v>
      </c>
      <c r="F8" s="15">
        <v>838</v>
      </c>
      <c r="G8" s="15">
        <v>479346</v>
      </c>
      <c r="H8" s="15">
        <v>231</v>
      </c>
      <c r="I8" s="15">
        <v>138338</v>
      </c>
      <c r="J8" s="15">
        <v>1969</v>
      </c>
      <c r="K8" s="15">
        <v>1452279</v>
      </c>
      <c r="L8" s="15">
        <v>230</v>
      </c>
      <c r="M8" s="15">
        <v>241367</v>
      </c>
      <c r="N8" s="30">
        <f t="shared" si="4"/>
        <v>1075962</v>
      </c>
      <c r="O8" s="15">
        <v>2994</v>
      </c>
      <c r="P8" s="37">
        <v>138700</v>
      </c>
    </row>
    <row r="9" spans="1:16" ht="21.75" customHeight="1">
      <c r="A9" s="9">
        <v>5</v>
      </c>
      <c r="B9" s="22" t="s">
        <v>290</v>
      </c>
      <c r="C9" s="15">
        <f t="shared" si="1"/>
        <v>8496</v>
      </c>
      <c r="D9" s="15">
        <f t="shared" si="2"/>
        <v>6772708</v>
      </c>
      <c r="E9" s="28">
        <f t="shared" si="3"/>
        <v>5.0745484657842718E-2</v>
      </c>
      <c r="F9" s="15">
        <v>1723</v>
      </c>
      <c r="G9" s="15">
        <v>1255457</v>
      </c>
      <c r="H9" s="15">
        <v>872</v>
      </c>
      <c r="I9" s="15">
        <v>583140</v>
      </c>
      <c r="J9" s="15">
        <v>4862</v>
      </c>
      <c r="K9" s="15">
        <v>3835382</v>
      </c>
      <c r="L9" s="15">
        <v>1039</v>
      </c>
      <c r="M9" s="15">
        <v>1098729</v>
      </c>
      <c r="N9" s="30">
        <f t="shared" si="4"/>
        <v>3095514</v>
      </c>
      <c r="O9" s="15">
        <v>7958</v>
      </c>
      <c r="P9" s="37">
        <v>179100</v>
      </c>
    </row>
    <row r="10" spans="1:16" ht="21.75" customHeight="1">
      <c r="A10" s="9">
        <v>6</v>
      </c>
      <c r="B10" s="22" t="s">
        <v>10</v>
      </c>
      <c r="C10" s="15">
        <f t="shared" si="1"/>
        <v>7768</v>
      </c>
      <c r="D10" s="15">
        <f t="shared" si="2"/>
        <v>10073824</v>
      </c>
      <c r="E10" s="28">
        <f t="shared" si="3"/>
        <v>7.5479569064221833E-2</v>
      </c>
      <c r="F10" s="15">
        <v>1168</v>
      </c>
      <c r="G10" s="15">
        <v>955668</v>
      </c>
      <c r="H10" s="15">
        <v>1658</v>
      </c>
      <c r="I10" s="15">
        <v>3148443</v>
      </c>
      <c r="J10" s="15">
        <v>3196</v>
      </c>
      <c r="K10" s="15">
        <v>2992023</v>
      </c>
      <c r="L10" s="15">
        <v>1746</v>
      </c>
      <c r="M10" s="15">
        <v>2977690</v>
      </c>
      <c r="N10" s="30">
        <f t="shared" si="4"/>
        <v>1865602</v>
      </c>
      <c r="O10" s="15">
        <v>2383</v>
      </c>
      <c r="P10" s="37">
        <v>180500</v>
      </c>
    </row>
    <row r="11" spans="1:16" ht="21.75" customHeight="1">
      <c r="A11" s="9">
        <v>7</v>
      </c>
      <c r="B11" s="22" t="s">
        <v>274</v>
      </c>
      <c r="C11" s="15">
        <f t="shared" si="1"/>
        <v>12193</v>
      </c>
      <c r="D11" s="15">
        <f t="shared" si="2"/>
        <v>9216081</v>
      </c>
      <c r="E11" s="28">
        <f t="shared" si="3"/>
        <v>6.9052806793225951E-2</v>
      </c>
      <c r="F11" s="15">
        <v>2616</v>
      </c>
      <c r="G11" s="15">
        <v>1779687</v>
      </c>
      <c r="H11" s="15">
        <v>1830</v>
      </c>
      <c r="I11" s="15">
        <v>1571139</v>
      </c>
      <c r="J11" s="15">
        <v>5890</v>
      </c>
      <c r="K11" s="15">
        <v>3918773</v>
      </c>
      <c r="L11" s="15">
        <v>1857</v>
      </c>
      <c r="M11" s="15">
        <v>1946482</v>
      </c>
      <c r="N11" s="30">
        <f t="shared" si="4"/>
        <v>2514429</v>
      </c>
      <c r="O11" s="15">
        <v>3865</v>
      </c>
      <c r="P11" s="37">
        <v>181700</v>
      </c>
    </row>
    <row r="12" spans="1:16" ht="21.75" customHeight="1">
      <c r="A12" s="9">
        <v>8</v>
      </c>
      <c r="B12" s="22" t="s">
        <v>275</v>
      </c>
      <c r="C12" s="15">
        <f t="shared" si="1"/>
        <v>3725</v>
      </c>
      <c r="D12" s="15">
        <f t="shared" si="2"/>
        <v>2668426</v>
      </c>
      <c r="E12" s="28">
        <f t="shared" si="3"/>
        <v>1.9993563969329345E-2</v>
      </c>
      <c r="F12" s="15">
        <v>1722</v>
      </c>
      <c r="G12" s="15">
        <v>1121918</v>
      </c>
      <c r="H12" s="15">
        <v>332</v>
      </c>
      <c r="I12" s="15">
        <v>255586</v>
      </c>
      <c r="J12" s="15">
        <v>1539</v>
      </c>
      <c r="K12" s="15">
        <v>1185097</v>
      </c>
      <c r="L12" s="15">
        <v>132</v>
      </c>
      <c r="M12" s="15">
        <v>105825</v>
      </c>
      <c r="N12" s="30">
        <f t="shared" si="4"/>
        <v>-86582</v>
      </c>
      <c r="O12" s="15">
        <v>8892</v>
      </c>
      <c r="P12" s="37">
        <v>119400</v>
      </c>
    </row>
    <row r="13" spans="1:16" ht="21.75" customHeight="1">
      <c r="A13" s="9">
        <v>9</v>
      </c>
      <c r="B13" s="22" t="s">
        <v>276</v>
      </c>
      <c r="C13" s="15">
        <f t="shared" si="1"/>
        <v>12434</v>
      </c>
      <c r="D13" s="15">
        <f t="shared" si="2"/>
        <v>9265541</v>
      </c>
      <c r="E13" s="28">
        <f t="shared" si="3"/>
        <v>6.94233929267455E-2</v>
      </c>
      <c r="F13" s="15">
        <v>2106</v>
      </c>
      <c r="G13" s="15">
        <v>1365600</v>
      </c>
      <c r="H13" s="15">
        <v>697</v>
      </c>
      <c r="I13" s="15">
        <v>588926</v>
      </c>
      <c r="J13" s="15">
        <v>8483</v>
      </c>
      <c r="K13" s="15">
        <v>6128417</v>
      </c>
      <c r="L13" s="15">
        <v>1148</v>
      </c>
      <c r="M13" s="15">
        <v>1182598</v>
      </c>
      <c r="N13" s="30">
        <f t="shared" si="4"/>
        <v>5356489</v>
      </c>
      <c r="O13" s="15">
        <v>2262</v>
      </c>
      <c r="P13" s="37">
        <v>58800</v>
      </c>
    </row>
    <row r="14" spans="1:16" ht="21.75" customHeight="1">
      <c r="A14" s="9">
        <v>10</v>
      </c>
      <c r="B14" s="22" t="s">
        <v>277</v>
      </c>
      <c r="C14" s="15">
        <f t="shared" si="1"/>
        <v>8585</v>
      </c>
      <c r="D14" s="15">
        <f t="shared" si="2"/>
        <v>5767651</v>
      </c>
      <c r="E14" s="28">
        <f t="shared" si="3"/>
        <v>4.321495114395766E-2</v>
      </c>
      <c r="F14" s="15">
        <v>2339</v>
      </c>
      <c r="G14" s="15">
        <v>1387761</v>
      </c>
      <c r="H14" s="15">
        <v>263</v>
      </c>
      <c r="I14" s="15">
        <v>218243</v>
      </c>
      <c r="J14" s="15">
        <v>5762</v>
      </c>
      <c r="K14" s="15">
        <v>3959179</v>
      </c>
      <c r="L14" s="15">
        <v>221</v>
      </c>
      <c r="M14" s="15">
        <v>202468</v>
      </c>
      <c r="N14" s="30">
        <f t="shared" si="4"/>
        <v>2555643</v>
      </c>
      <c r="O14" s="15">
        <v>5004</v>
      </c>
      <c r="P14" s="37">
        <v>115500</v>
      </c>
    </row>
    <row r="15" spans="1:16" ht="21.75" customHeight="1">
      <c r="A15" s="9">
        <v>11</v>
      </c>
      <c r="B15" s="22" t="s">
        <v>278</v>
      </c>
      <c r="C15" s="15">
        <f t="shared" si="1"/>
        <v>15069</v>
      </c>
      <c r="D15" s="15">
        <f t="shared" si="2"/>
        <v>11765659</v>
      </c>
      <c r="E15" s="28">
        <f t="shared" si="3"/>
        <v>8.8155885101485115E-2</v>
      </c>
      <c r="F15" s="15">
        <v>2737</v>
      </c>
      <c r="G15" s="15">
        <v>1680335</v>
      </c>
      <c r="H15" s="15">
        <v>2510</v>
      </c>
      <c r="I15" s="15">
        <v>2211003</v>
      </c>
      <c r="J15" s="15">
        <v>7042</v>
      </c>
      <c r="K15" s="15">
        <v>5357705</v>
      </c>
      <c r="L15" s="15">
        <v>2780</v>
      </c>
      <c r="M15" s="15">
        <v>2516616</v>
      </c>
      <c r="N15" s="30">
        <f t="shared" si="4"/>
        <v>3982983</v>
      </c>
      <c r="O15" s="15">
        <v>8225</v>
      </c>
      <c r="P15" s="37">
        <v>151000</v>
      </c>
    </row>
    <row r="16" spans="1:16" ht="21.75" customHeight="1">
      <c r="A16" s="9">
        <v>12</v>
      </c>
      <c r="B16" s="22" t="s">
        <v>279</v>
      </c>
      <c r="C16" s="15">
        <f t="shared" si="1"/>
        <v>3146</v>
      </c>
      <c r="D16" s="15">
        <f t="shared" si="2"/>
        <v>2087562</v>
      </c>
      <c r="E16" s="28">
        <f t="shared" si="3"/>
        <v>1.5641357259650861E-2</v>
      </c>
      <c r="F16" s="15">
        <v>729</v>
      </c>
      <c r="G16" s="15">
        <v>338265</v>
      </c>
      <c r="H16" s="15">
        <v>410</v>
      </c>
      <c r="I16" s="15">
        <v>312879</v>
      </c>
      <c r="J16" s="15">
        <v>1628</v>
      </c>
      <c r="K16" s="15">
        <v>1053249</v>
      </c>
      <c r="L16" s="15">
        <v>379</v>
      </c>
      <c r="M16" s="15">
        <v>383169</v>
      </c>
      <c r="N16" s="30">
        <f t="shared" si="4"/>
        <v>785274</v>
      </c>
      <c r="O16" s="15">
        <v>1676</v>
      </c>
      <c r="P16" s="37">
        <v>114600</v>
      </c>
    </row>
    <row r="17" spans="1:16" ht="21.75" customHeight="1">
      <c r="A17" s="9">
        <v>13</v>
      </c>
      <c r="B17" s="22" t="s">
        <v>280</v>
      </c>
      <c r="C17" s="15">
        <f t="shared" si="1"/>
        <v>1765</v>
      </c>
      <c r="D17" s="15">
        <f t="shared" si="2"/>
        <v>1247582</v>
      </c>
      <c r="E17" s="28">
        <f t="shared" si="3"/>
        <v>9.3476868101209643E-3</v>
      </c>
      <c r="F17" s="15">
        <v>321</v>
      </c>
      <c r="G17" s="15">
        <v>239166</v>
      </c>
      <c r="H17" s="15">
        <v>217</v>
      </c>
      <c r="I17" s="15">
        <v>169551</v>
      </c>
      <c r="J17" s="15">
        <v>967</v>
      </c>
      <c r="K17" s="15">
        <v>657319</v>
      </c>
      <c r="L17" s="15">
        <v>260</v>
      </c>
      <c r="M17" s="15">
        <v>181546</v>
      </c>
      <c r="N17" s="30">
        <f t="shared" si="4"/>
        <v>430148</v>
      </c>
      <c r="O17" s="15">
        <v>2200</v>
      </c>
      <c r="P17" s="37">
        <v>42700</v>
      </c>
    </row>
    <row r="18" spans="1:16" ht="21.75" customHeight="1">
      <c r="A18" s="9">
        <v>14</v>
      </c>
      <c r="B18" s="22" t="s">
        <v>74</v>
      </c>
      <c r="C18" s="15">
        <f t="shared" si="1"/>
        <v>945</v>
      </c>
      <c r="D18" s="15">
        <f t="shared" si="2"/>
        <v>620875</v>
      </c>
      <c r="E18" s="28">
        <f t="shared" si="3"/>
        <v>4.6519948574393136E-3</v>
      </c>
      <c r="F18" s="15">
        <v>200</v>
      </c>
      <c r="G18" s="15">
        <v>99833</v>
      </c>
      <c r="H18" s="15">
        <v>83</v>
      </c>
      <c r="I18" s="15">
        <v>49013</v>
      </c>
      <c r="J18" s="15">
        <v>555</v>
      </c>
      <c r="K18" s="15">
        <v>343521</v>
      </c>
      <c r="L18" s="15">
        <v>107</v>
      </c>
      <c r="M18" s="15">
        <v>128508</v>
      </c>
      <c r="N18" s="30">
        <f t="shared" si="4"/>
        <v>323183</v>
      </c>
      <c r="O18" s="15">
        <v>1231</v>
      </c>
      <c r="P18" s="37">
        <v>185100</v>
      </c>
    </row>
    <row r="19" spans="1:16" ht="21.75" customHeight="1">
      <c r="A19" s="9">
        <v>15</v>
      </c>
      <c r="B19" s="22" t="s">
        <v>281</v>
      </c>
      <c r="C19" s="15">
        <f t="shared" si="1"/>
        <v>1254</v>
      </c>
      <c r="D19" s="15">
        <f t="shared" si="2"/>
        <v>914819</v>
      </c>
      <c r="E19" s="28">
        <f t="shared" si="3"/>
        <v>6.8544123752571368E-3</v>
      </c>
      <c r="F19" s="15">
        <v>296</v>
      </c>
      <c r="G19" s="15">
        <v>230649</v>
      </c>
      <c r="H19" s="15">
        <v>87</v>
      </c>
      <c r="I19" s="15">
        <v>49410</v>
      </c>
      <c r="J19" s="15">
        <v>767</v>
      </c>
      <c r="K19" s="15">
        <v>592259</v>
      </c>
      <c r="L19" s="15">
        <v>104</v>
      </c>
      <c r="M19" s="15">
        <v>42501</v>
      </c>
      <c r="N19" s="30">
        <f t="shared" si="4"/>
        <v>354701</v>
      </c>
      <c r="O19" s="15">
        <v>1546</v>
      </c>
      <c r="P19" s="37">
        <v>104900</v>
      </c>
    </row>
    <row r="20" spans="1:16" ht="21.75" customHeight="1">
      <c r="A20" s="9">
        <v>16</v>
      </c>
      <c r="B20" s="22" t="s">
        <v>38</v>
      </c>
      <c r="C20" s="15">
        <f t="shared" si="1"/>
        <v>1572</v>
      </c>
      <c r="D20" s="15">
        <f t="shared" si="2"/>
        <v>1445946</v>
      </c>
      <c r="E20" s="28">
        <f t="shared" si="3"/>
        <v>1.0833957489244929E-2</v>
      </c>
      <c r="F20" s="15">
        <v>363</v>
      </c>
      <c r="G20" s="15">
        <v>365767</v>
      </c>
      <c r="H20" s="15">
        <v>149</v>
      </c>
      <c r="I20" s="15">
        <v>153876</v>
      </c>
      <c r="J20" s="15">
        <v>844</v>
      </c>
      <c r="K20" s="15">
        <v>654312</v>
      </c>
      <c r="L20" s="15">
        <v>216</v>
      </c>
      <c r="M20" s="15">
        <v>271991</v>
      </c>
      <c r="N20" s="30">
        <f t="shared" si="4"/>
        <v>406660</v>
      </c>
      <c r="O20" s="15">
        <v>2404</v>
      </c>
      <c r="P20" s="37">
        <v>209800</v>
      </c>
    </row>
    <row r="21" spans="1:16" ht="21.75" customHeight="1">
      <c r="A21" s="9">
        <v>18</v>
      </c>
      <c r="B21" s="22" t="s">
        <v>282</v>
      </c>
      <c r="C21" s="15">
        <f t="shared" si="1"/>
        <v>827</v>
      </c>
      <c r="D21" s="15">
        <f t="shared" si="2"/>
        <v>627233</v>
      </c>
      <c r="E21" s="28">
        <f t="shared" si="3"/>
        <v>4.6996330830138639E-3</v>
      </c>
      <c r="F21" s="15">
        <v>228</v>
      </c>
      <c r="G21" s="15">
        <v>158894</v>
      </c>
      <c r="H21" s="15">
        <v>173</v>
      </c>
      <c r="I21" s="15">
        <v>165872</v>
      </c>
      <c r="J21" s="15">
        <v>336</v>
      </c>
      <c r="K21" s="15">
        <v>241296</v>
      </c>
      <c r="L21" s="15">
        <v>90</v>
      </c>
      <c r="M21" s="15">
        <v>61171</v>
      </c>
      <c r="N21" s="30">
        <f t="shared" si="4"/>
        <v>-22299</v>
      </c>
      <c r="O21" s="15">
        <v>4095</v>
      </c>
      <c r="P21" s="37">
        <v>143000</v>
      </c>
    </row>
    <row r="22" spans="1:16" ht="21.75" customHeight="1">
      <c r="A22" s="9">
        <v>19</v>
      </c>
      <c r="B22" s="22" t="s">
        <v>0</v>
      </c>
      <c r="C22" s="15">
        <f t="shared" si="1"/>
        <v>8164</v>
      </c>
      <c r="D22" s="15">
        <f t="shared" si="2"/>
        <v>5675587</v>
      </c>
      <c r="E22" s="28">
        <f t="shared" si="3"/>
        <v>4.2525148438815254E-2</v>
      </c>
      <c r="F22" s="15">
        <v>2191</v>
      </c>
      <c r="G22" s="15">
        <v>1455647</v>
      </c>
      <c r="H22" s="15">
        <v>483</v>
      </c>
      <c r="I22" s="15">
        <v>336401</v>
      </c>
      <c r="J22" s="15">
        <v>5037</v>
      </c>
      <c r="K22" s="15">
        <v>3663866</v>
      </c>
      <c r="L22" s="15">
        <v>453</v>
      </c>
      <c r="M22" s="15">
        <v>219673</v>
      </c>
      <c r="N22" s="30">
        <f t="shared" si="4"/>
        <v>2091491</v>
      </c>
      <c r="O22" s="15">
        <v>5508</v>
      </c>
      <c r="P22" s="37">
        <v>150500</v>
      </c>
    </row>
    <row r="23" spans="1:16" ht="21.75" customHeight="1">
      <c r="A23" s="9">
        <v>20</v>
      </c>
      <c r="B23" s="22" t="s">
        <v>283</v>
      </c>
      <c r="C23" s="15">
        <f t="shared" si="1"/>
        <v>10317</v>
      </c>
      <c r="D23" s="15">
        <f t="shared" si="2"/>
        <v>8596881</v>
      </c>
      <c r="E23" s="28">
        <f t="shared" si="3"/>
        <v>6.4413362113175346E-2</v>
      </c>
      <c r="F23" s="15">
        <v>2505</v>
      </c>
      <c r="G23" s="15">
        <v>1760012</v>
      </c>
      <c r="H23" s="15">
        <v>1559</v>
      </c>
      <c r="I23" s="15">
        <v>1464267</v>
      </c>
      <c r="J23" s="15">
        <v>4648</v>
      </c>
      <c r="K23" s="15">
        <v>3662982</v>
      </c>
      <c r="L23" s="15">
        <v>1605</v>
      </c>
      <c r="M23" s="15">
        <v>1709620</v>
      </c>
      <c r="N23" s="30">
        <f t="shared" si="4"/>
        <v>2148323</v>
      </c>
      <c r="O23" s="15">
        <v>12575</v>
      </c>
      <c r="P23" s="37">
        <v>178300</v>
      </c>
    </row>
    <row r="24" spans="1:16" ht="21.75" customHeight="1">
      <c r="A24" s="9">
        <v>21</v>
      </c>
      <c r="B24" s="22" t="s">
        <v>284</v>
      </c>
      <c r="C24" s="15">
        <f t="shared" si="1"/>
        <v>2948</v>
      </c>
      <c r="D24" s="15">
        <f t="shared" si="2"/>
        <v>2411157</v>
      </c>
      <c r="E24" s="28">
        <f t="shared" si="3"/>
        <v>1.8065939141499985E-2</v>
      </c>
      <c r="F24" s="15">
        <v>592</v>
      </c>
      <c r="G24" s="15">
        <v>384633</v>
      </c>
      <c r="H24" s="15">
        <v>413</v>
      </c>
      <c r="I24" s="15">
        <v>324461</v>
      </c>
      <c r="J24" s="15">
        <v>1426</v>
      </c>
      <c r="K24" s="15">
        <v>1156540</v>
      </c>
      <c r="L24" s="15">
        <v>517</v>
      </c>
      <c r="M24" s="15">
        <v>545523</v>
      </c>
      <c r="N24" s="30">
        <f t="shared" si="4"/>
        <v>992969</v>
      </c>
      <c r="O24" s="15">
        <v>7924</v>
      </c>
      <c r="P24" s="37">
        <v>144000</v>
      </c>
    </row>
    <row r="25" spans="1:16" ht="21.75" customHeight="1">
      <c r="A25" s="9">
        <v>22</v>
      </c>
      <c r="B25" s="22" t="s">
        <v>285</v>
      </c>
      <c r="C25" s="15">
        <f t="shared" si="1"/>
        <v>7898</v>
      </c>
      <c r="D25" s="15">
        <f t="shared" si="2"/>
        <v>5881926</v>
      </c>
      <c r="E25" s="28">
        <f t="shared" si="3"/>
        <v>4.4071172947595876E-2</v>
      </c>
      <c r="F25" s="15">
        <v>1904</v>
      </c>
      <c r="G25" s="15">
        <v>1156096</v>
      </c>
      <c r="H25" s="15">
        <v>636</v>
      </c>
      <c r="I25" s="15">
        <v>613439</v>
      </c>
      <c r="J25" s="15">
        <v>4563</v>
      </c>
      <c r="K25" s="15">
        <v>3270023</v>
      </c>
      <c r="L25" s="15">
        <v>795</v>
      </c>
      <c r="M25" s="15">
        <v>842368</v>
      </c>
      <c r="N25" s="30">
        <f t="shared" si="4"/>
        <v>2342856</v>
      </c>
      <c r="O25" s="15">
        <v>5964</v>
      </c>
      <c r="P25" s="37">
        <v>207700</v>
      </c>
    </row>
    <row r="26" spans="1:16" ht="21.75" customHeight="1">
      <c r="A26" s="9">
        <v>23</v>
      </c>
      <c r="B26" s="22" t="s">
        <v>286</v>
      </c>
      <c r="C26" s="15">
        <f t="shared" si="1"/>
        <v>17117</v>
      </c>
      <c r="D26" s="15">
        <f t="shared" si="2"/>
        <v>12865928</v>
      </c>
      <c r="E26" s="28">
        <f t="shared" si="3"/>
        <v>9.6399808161360123E-2</v>
      </c>
      <c r="F26" s="15">
        <v>4253</v>
      </c>
      <c r="G26" s="15">
        <v>2952769</v>
      </c>
      <c r="H26" s="15">
        <v>1312</v>
      </c>
      <c r="I26" s="15">
        <v>1145760</v>
      </c>
      <c r="J26" s="15">
        <v>9998</v>
      </c>
      <c r="K26" s="15">
        <v>7389350</v>
      </c>
      <c r="L26" s="15">
        <v>1554</v>
      </c>
      <c r="M26" s="15">
        <v>1378049</v>
      </c>
      <c r="N26" s="30">
        <f t="shared" si="4"/>
        <v>4668870</v>
      </c>
      <c r="O26" s="15">
        <v>4558</v>
      </c>
      <c r="P26" s="55">
        <v>88900</v>
      </c>
    </row>
  </sheetData>
  <autoFilter ref="A4:O26">
    <filterColumn colId="0" showButton="0"/>
  </autoFilter>
  <mergeCells count="15">
    <mergeCell ref="P1:P3"/>
    <mergeCell ref="O1:O3"/>
    <mergeCell ref="A1:A3"/>
    <mergeCell ref="B1:B3"/>
    <mergeCell ref="A4:B4"/>
    <mergeCell ref="N1:N3"/>
    <mergeCell ref="C1:C3"/>
    <mergeCell ref="D1:D3"/>
    <mergeCell ref="E1:E3"/>
    <mergeCell ref="F1:I1"/>
    <mergeCell ref="J1:M1"/>
    <mergeCell ref="F2:G2"/>
    <mergeCell ref="H2:I2"/>
    <mergeCell ref="J2:K2"/>
    <mergeCell ref="L2:M2"/>
  </mergeCells>
  <pageMargins left="0.7" right="0.7" top="0.75" bottom="0.75" header="0.3" footer="0.3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M109"/>
  <sheetViews>
    <sheetView zoomScale="74" zoomScaleNormal="100" workbookViewId="0">
      <selection activeCell="I2" sqref="I2:J2"/>
    </sheetView>
  </sheetViews>
  <sheetFormatPr defaultRowHeight="12.75"/>
  <cols>
    <col min="2" max="2" width="86.7109375" bestFit="1" customWidth="1"/>
    <col min="3" max="12" width="17.5703125" customWidth="1"/>
    <col min="13" max="13" width="12.28515625" style="1" customWidth="1"/>
  </cols>
  <sheetData>
    <row r="1" spans="1:13" ht="18.75" customHeight="1">
      <c r="A1" s="73" t="s">
        <v>175</v>
      </c>
      <c r="B1" s="73" t="s">
        <v>386</v>
      </c>
      <c r="C1" s="83" t="s">
        <v>171</v>
      </c>
      <c r="D1" s="83" t="s">
        <v>172</v>
      </c>
      <c r="E1" s="77" t="s">
        <v>425</v>
      </c>
      <c r="F1" s="78"/>
      <c r="G1" s="78"/>
      <c r="H1" s="79"/>
      <c r="I1" s="77" t="s">
        <v>426</v>
      </c>
      <c r="J1" s="78"/>
      <c r="K1" s="78"/>
      <c r="L1" s="79"/>
      <c r="M1" s="90" t="s">
        <v>244</v>
      </c>
    </row>
    <row r="2" spans="1:13" ht="18.75" customHeight="1">
      <c r="A2" s="73"/>
      <c r="B2" s="73"/>
      <c r="C2" s="83"/>
      <c r="D2" s="83"/>
      <c r="E2" s="73" t="s">
        <v>148</v>
      </c>
      <c r="F2" s="73"/>
      <c r="G2" s="73" t="s">
        <v>1</v>
      </c>
      <c r="H2" s="73"/>
      <c r="I2" s="73" t="s">
        <v>148</v>
      </c>
      <c r="J2" s="73"/>
      <c r="K2" s="73" t="s">
        <v>1</v>
      </c>
      <c r="L2" s="73"/>
      <c r="M2" s="90"/>
    </row>
    <row r="3" spans="1:13" ht="18.75" customHeight="1">
      <c r="A3" s="73"/>
      <c r="B3" s="73"/>
      <c r="C3" s="83"/>
      <c r="D3" s="83"/>
      <c r="E3" s="32" t="s">
        <v>173</v>
      </c>
      <c r="F3" s="32" t="s">
        <v>385</v>
      </c>
      <c r="G3" s="32" t="s">
        <v>173</v>
      </c>
      <c r="H3" s="32" t="s">
        <v>385</v>
      </c>
      <c r="I3" s="32" t="s">
        <v>173</v>
      </c>
      <c r="J3" s="32" t="s">
        <v>385</v>
      </c>
      <c r="K3" s="32" t="s">
        <v>173</v>
      </c>
      <c r="L3" s="32" t="s">
        <v>385</v>
      </c>
      <c r="M3" s="90"/>
    </row>
    <row r="4" spans="1:13" s="12" customFormat="1" ht="24.75" customHeight="1">
      <c r="A4" s="73" t="s">
        <v>176</v>
      </c>
      <c r="B4" s="73"/>
      <c r="C4" s="16">
        <f>+E4+G4+I4+K4</f>
        <v>163110</v>
      </c>
      <c r="D4" s="16">
        <f>+F4+H4+J4+L4</f>
        <v>133464248.99999999</v>
      </c>
      <c r="E4" s="16">
        <f t="shared" ref="E4:M4" si="0">+SUM(E5:E109)</f>
        <v>37754</v>
      </c>
      <c r="F4" s="16">
        <f t="shared" si="0"/>
        <v>26805688.000000004</v>
      </c>
      <c r="G4" s="16">
        <f t="shared" si="0"/>
        <v>16464</v>
      </c>
      <c r="H4" s="16">
        <f t="shared" si="0"/>
        <v>16090037.999999998</v>
      </c>
      <c r="I4" s="16">
        <f t="shared" si="0"/>
        <v>90987</v>
      </c>
      <c r="J4" s="16">
        <f t="shared" si="0"/>
        <v>72253274.999999985</v>
      </c>
      <c r="K4" s="16">
        <f t="shared" si="0"/>
        <v>17905</v>
      </c>
      <c r="L4" s="16">
        <f t="shared" si="0"/>
        <v>18315248.000000004</v>
      </c>
      <c r="M4" s="16">
        <f t="shared" si="0"/>
        <v>46857348.989999972</v>
      </c>
    </row>
    <row r="5" spans="1:13" ht="15.75" customHeight="1">
      <c r="A5" s="7">
        <v>1</v>
      </c>
      <c r="B5" s="34" t="s">
        <v>21</v>
      </c>
      <c r="C5" s="15">
        <f>+E5+G5+I5+K5</f>
        <v>4877</v>
      </c>
      <c r="D5" s="15">
        <f>+F5+H5+J5+L5</f>
        <v>3800209.2600000002</v>
      </c>
      <c r="E5" s="15">
        <v>1088</v>
      </c>
      <c r="F5" s="15">
        <v>648811.05000000005</v>
      </c>
      <c r="G5" s="15">
        <v>370</v>
      </c>
      <c r="H5" s="15">
        <v>348955.17</v>
      </c>
      <c r="I5" s="15">
        <v>3032</v>
      </c>
      <c r="J5" s="15">
        <v>2507199.85</v>
      </c>
      <c r="K5" s="15">
        <v>387</v>
      </c>
      <c r="L5" s="15">
        <v>295243.19</v>
      </c>
      <c r="M5" s="16">
        <f>+L5+J5-H5-F5</f>
        <v>1804676.82</v>
      </c>
    </row>
    <row r="6" spans="1:13" ht="15.75" customHeight="1">
      <c r="A6" s="7">
        <v>2</v>
      </c>
      <c r="B6" s="34" t="s">
        <v>166</v>
      </c>
      <c r="C6" s="15">
        <f t="shared" ref="C6:C70" si="1">+E6+G6+I6+K6</f>
        <v>1</v>
      </c>
      <c r="D6" s="15">
        <f t="shared" ref="D6:D70" si="2">+F6+H6+J6+L6</f>
        <v>1391.28</v>
      </c>
      <c r="E6" s="15"/>
      <c r="F6" s="15"/>
      <c r="G6" s="15"/>
      <c r="H6" s="15"/>
      <c r="I6" s="15">
        <v>1</v>
      </c>
      <c r="J6" s="15">
        <v>1391.28</v>
      </c>
      <c r="K6" s="15"/>
      <c r="L6" s="15"/>
      <c r="M6" s="30">
        <f t="shared" ref="M6:M70" si="3">+L6+J6-H6-F6</f>
        <v>1391.28</v>
      </c>
    </row>
    <row r="7" spans="1:13" ht="15.75" customHeight="1">
      <c r="A7" s="7">
        <v>3</v>
      </c>
      <c r="B7" s="34" t="s">
        <v>132</v>
      </c>
      <c r="C7" s="15">
        <f t="shared" si="1"/>
        <v>97</v>
      </c>
      <c r="D7" s="15">
        <f t="shared" si="2"/>
        <v>109882.13</v>
      </c>
      <c r="E7" s="15"/>
      <c r="F7" s="15"/>
      <c r="G7" s="15"/>
      <c r="H7" s="15"/>
      <c r="I7" s="15">
        <v>85</v>
      </c>
      <c r="J7" s="15">
        <v>95992.81</v>
      </c>
      <c r="K7" s="15">
        <v>12</v>
      </c>
      <c r="L7" s="15">
        <v>13889.32</v>
      </c>
      <c r="M7" s="30">
        <f t="shared" si="3"/>
        <v>109882.13</v>
      </c>
    </row>
    <row r="8" spans="1:13" ht="15.75" customHeight="1">
      <c r="A8" s="7">
        <v>4</v>
      </c>
      <c r="B8" s="34" t="s">
        <v>119</v>
      </c>
      <c r="C8" s="15">
        <f t="shared" si="1"/>
        <v>1538</v>
      </c>
      <c r="D8" s="15">
        <f t="shared" si="2"/>
        <v>1896113.0699999998</v>
      </c>
      <c r="E8" s="15">
        <v>427</v>
      </c>
      <c r="F8" s="15">
        <v>546494.31999999995</v>
      </c>
      <c r="G8" s="15">
        <v>85</v>
      </c>
      <c r="H8" s="15">
        <v>77568.12</v>
      </c>
      <c r="I8" s="15">
        <v>965</v>
      </c>
      <c r="J8" s="15">
        <v>1243803.5</v>
      </c>
      <c r="K8" s="15">
        <v>61</v>
      </c>
      <c r="L8" s="15">
        <v>28247.13</v>
      </c>
      <c r="M8" s="30">
        <f t="shared" si="3"/>
        <v>647988.18999999983</v>
      </c>
    </row>
    <row r="9" spans="1:13" ht="15.75" customHeight="1">
      <c r="A9" s="7">
        <v>5</v>
      </c>
      <c r="B9" s="34" t="s">
        <v>87</v>
      </c>
      <c r="C9" s="15">
        <f t="shared" si="1"/>
        <v>4707</v>
      </c>
      <c r="D9" s="15">
        <f t="shared" si="2"/>
        <v>4707141.9499999993</v>
      </c>
      <c r="E9" s="15">
        <v>1199</v>
      </c>
      <c r="F9" s="15">
        <v>1289552.6599999999</v>
      </c>
      <c r="G9" s="15">
        <v>519</v>
      </c>
      <c r="H9" s="15">
        <v>474106.48</v>
      </c>
      <c r="I9" s="15">
        <v>2559</v>
      </c>
      <c r="J9" s="15">
        <v>2565259.25</v>
      </c>
      <c r="K9" s="15">
        <v>430</v>
      </c>
      <c r="L9" s="15">
        <v>378223.56</v>
      </c>
      <c r="M9" s="30">
        <f t="shared" si="3"/>
        <v>1179823.6700000002</v>
      </c>
    </row>
    <row r="10" spans="1:13" ht="15.75" customHeight="1">
      <c r="A10" s="7">
        <v>6</v>
      </c>
      <c r="B10" s="34" t="s">
        <v>153</v>
      </c>
      <c r="C10" s="15">
        <f t="shared" si="1"/>
        <v>76</v>
      </c>
      <c r="D10" s="15">
        <f t="shared" si="2"/>
        <v>42937.979999999996</v>
      </c>
      <c r="E10" s="15">
        <v>48</v>
      </c>
      <c r="F10" s="15">
        <v>23987.38</v>
      </c>
      <c r="G10" s="15"/>
      <c r="H10" s="15"/>
      <c r="I10" s="15">
        <v>28</v>
      </c>
      <c r="J10" s="15">
        <v>18950.599999999999</v>
      </c>
      <c r="K10" s="15"/>
      <c r="L10" s="15"/>
      <c r="M10" s="30">
        <f>+L10+J10-H10-F10</f>
        <v>-5036.7800000000025</v>
      </c>
    </row>
    <row r="11" spans="1:13" ht="15.75" customHeight="1">
      <c r="A11" s="7">
        <v>7</v>
      </c>
      <c r="B11" s="34" t="s">
        <v>65</v>
      </c>
      <c r="C11" s="15">
        <f t="shared" si="1"/>
        <v>5249</v>
      </c>
      <c r="D11" s="15">
        <f t="shared" si="2"/>
        <v>5893832.9699999997</v>
      </c>
      <c r="E11" s="15">
        <v>1442</v>
      </c>
      <c r="F11" s="15">
        <v>1415023.36</v>
      </c>
      <c r="G11" s="15">
        <v>436</v>
      </c>
      <c r="H11" s="15">
        <v>441742.92</v>
      </c>
      <c r="I11" s="15">
        <v>2750</v>
      </c>
      <c r="J11" s="15">
        <v>3333332.09</v>
      </c>
      <c r="K11" s="15">
        <v>621</v>
      </c>
      <c r="L11" s="15">
        <v>703734.6</v>
      </c>
      <c r="M11" s="16">
        <f t="shared" si="3"/>
        <v>2180300.41</v>
      </c>
    </row>
    <row r="12" spans="1:13" ht="15.75" customHeight="1">
      <c r="A12" s="7">
        <v>8</v>
      </c>
      <c r="B12" s="34" t="s">
        <v>54</v>
      </c>
      <c r="C12" s="15">
        <f t="shared" si="1"/>
        <v>2175</v>
      </c>
      <c r="D12" s="15">
        <f t="shared" si="2"/>
        <v>1748443.3499999999</v>
      </c>
      <c r="E12" s="15">
        <v>689</v>
      </c>
      <c r="F12" s="15">
        <v>469412.95</v>
      </c>
      <c r="G12" s="15">
        <v>74</v>
      </c>
      <c r="H12" s="15">
        <v>59600.93</v>
      </c>
      <c r="I12" s="15">
        <v>1358</v>
      </c>
      <c r="J12" s="15">
        <v>1182260.71</v>
      </c>
      <c r="K12" s="15">
        <v>54</v>
      </c>
      <c r="L12" s="15">
        <v>37168.76</v>
      </c>
      <c r="M12" s="16">
        <f t="shared" si="3"/>
        <v>690415.59000000008</v>
      </c>
    </row>
    <row r="13" spans="1:13" ht="15.75" customHeight="1">
      <c r="A13" s="7">
        <v>9</v>
      </c>
      <c r="B13" s="34" t="s">
        <v>72</v>
      </c>
      <c r="C13" s="15">
        <f t="shared" si="1"/>
        <v>1395</v>
      </c>
      <c r="D13" s="15">
        <f t="shared" si="2"/>
        <v>1294631.24</v>
      </c>
      <c r="E13" s="15"/>
      <c r="F13" s="15"/>
      <c r="G13" s="15"/>
      <c r="H13" s="15"/>
      <c r="I13" s="15">
        <v>1382</v>
      </c>
      <c r="J13" s="15">
        <v>1292238.94</v>
      </c>
      <c r="K13" s="15">
        <v>13</v>
      </c>
      <c r="L13" s="15">
        <v>2392.3000000000002</v>
      </c>
      <c r="M13" s="30">
        <f t="shared" si="3"/>
        <v>1294631.24</v>
      </c>
    </row>
    <row r="14" spans="1:13" ht="15.75" customHeight="1">
      <c r="A14" s="7">
        <v>10</v>
      </c>
      <c r="B14" s="34" t="s">
        <v>9</v>
      </c>
      <c r="C14" s="15">
        <f>+E17+G17+I14+K14</f>
        <v>1441</v>
      </c>
      <c r="D14" s="15">
        <f>+F17+H17+J14+L14</f>
        <v>989348.33000000007</v>
      </c>
      <c r="H14" s="36"/>
      <c r="I14" s="15">
        <v>136</v>
      </c>
      <c r="J14" s="15">
        <v>129853.54</v>
      </c>
      <c r="K14" s="15">
        <v>13</v>
      </c>
      <c r="L14" s="15">
        <v>44046.78</v>
      </c>
      <c r="M14" s="30">
        <f>+L14+J14-H17-F17</f>
        <v>-641547.69000000006</v>
      </c>
    </row>
    <row r="15" spans="1:13" ht="15.75" customHeight="1">
      <c r="A15" s="56">
        <f>+A14+1</f>
        <v>11</v>
      </c>
      <c r="B15" s="34" t="s">
        <v>420</v>
      </c>
      <c r="C15" s="15">
        <f t="shared" si="1"/>
        <v>2199</v>
      </c>
      <c r="D15" s="15">
        <f t="shared" si="2"/>
        <v>1774488.64</v>
      </c>
      <c r="E15" s="15">
        <v>442</v>
      </c>
      <c r="F15" s="15">
        <v>308601.07</v>
      </c>
      <c r="G15" s="15">
        <v>142</v>
      </c>
      <c r="H15" s="15">
        <v>96289.7</v>
      </c>
      <c r="I15" s="15">
        <v>1490</v>
      </c>
      <c r="J15" s="15">
        <v>1301152.8899999999</v>
      </c>
      <c r="K15" s="15">
        <v>125</v>
      </c>
      <c r="L15" s="15">
        <v>68444.98</v>
      </c>
      <c r="M15" s="30">
        <f>+L15+J15-H15-F15</f>
        <v>964707.09999999986</v>
      </c>
    </row>
    <row r="16" spans="1:13" ht="15.75" customHeight="1">
      <c r="A16" s="56">
        <f t="shared" ref="A16:A79" si="4">+A15+1</f>
        <v>12</v>
      </c>
      <c r="B16" s="34" t="s">
        <v>159</v>
      </c>
      <c r="C16" s="15">
        <f>+E16+G16+I16+K17</f>
        <v>344</v>
      </c>
      <c r="D16" s="15">
        <f>+F16+H16+J16+L17</f>
        <v>218626.27000000002</v>
      </c>
      <c r="E16" s="15">
        <v>39</v>
      </c>
      <c r="F16" s="15">
        <v>28696.74</v>
      </c>
      <c r="G16" s="15"/>
      <c r="H16" s="15"/>
      <c r="I16" s="15">
        <v>51</v>
      </c>
      <c r="J16" s="15">
        <v>50292.83</v>
      </c>
      <c r="K16" s="15"/>
      <c r="L16" s="15"/>
      <c r="M16" s="30">
        <f t="shared" ref="M16:M18" si="5">+L16+J16-H16-F16</f>
        <v>21596.09</v>
      </c>
    </row>
    <row r="17" spans="1:13" ht="15.75" customHeight="1">
      <c r="A17" s="56">
        <f t="shared" si="4"/>
        <v>13</v>
      </c>
      <c r="B17" s="34" t="s">
        <v>97</v>
      </c>
      <c r="C17" s="15">
        <f>+E17+G17+I17+K18</f>
        <v>3514</v>
      </c>
      <c r="D17" s="15">
        <f>+F17+H17+J17+L18</f>
        <v>2559451.48</v>
      </c>
      <c r="E17" s="15">
        <v>1044</v>
      </c>
      <c r="F17" s="15">
        <v>652368.93000000005</v>
      </c>
      <c r="G17" s="15">
        <v>248</v>
      </c>
      <c r="H17" s="15">
        <v>163079.07999999999</v>
      </c>
      <c r="I17" s="15">
        <v>1997</v>
      </c>
      <c r="J17" s="15">
        <v>1583934.25</v>
      </c>
      <c r="K17" s="15">
        <v>254</v>
      </c>
      <c r="L17" s="15">
        <v>139636.70000000001</v>
      </c>
      <c r="M17" s="30">
        <f t="shared" si="5"/>
        <v>908122.93999999983</v>
      </c>
    </row>
    <row r="18" spans="1:13" ht="15.75" customHeight="1">
      <c r="A18" s="56">
        <f t="shared" si="4"/>
        <v>14</v>
      </c>
      <c r="B18" s="34" t="s">
        <v>44</v>
      </c>
      <c r="C18" s="15">
        <f t="shared" si="1"/>
        <v>3400</v>
      </c>
      <c r="D18" s="15">
        <f t="shared" si="2"/>
        <v>3499687.0900000003</v>
      </c>
      <c r="E18" s="15">
        <v>864</v>
      </c>
      <c r="F18" s="15">
        <v>810021.44</v>
      </c>
      <c r="G18" s="15">
        <v>215</v>
      </c>
      <c r="H18" s="15">
        <v>195429.24</v>
      </c>
      <c r="I18" s="15">
        <v>2096</v>
      </c>
      <c r="J18" s="15">
        <v>2334167.19</v>
      </c>
      <c r="K18" s="15">
        <v>225</v>
      </c>
      <c r="L18" s="15">
        <v>160069.22</v>
      </c>
      <c r="M18" s="30">
        <f t="shared" si="5"/>
        <v>1488785.73</v>
      </c>
    </row>
    <row r="19" spans="1:13" ht="15.75" customHeight="1">
      <c r="A19" s="56">
        <f t="shared" si="4"/>
        <v>15</v>
      </c>
      <c r="B19" s="34" t="s">
        <v>91</v>
      </c>
      <c r="C19" s="15">
        <f t="shared" si="1"/>
        <v>4160</v>
      </c>
      <c r="D19" s="15">
        <f t="shared" si="2"/>
        <v>4033567.3</v>
      </c>
      <c r="E19" s="15">
        <v>1193</v>
      </c>
      <c r="F19" s="15">
        <v>1119918.96</v>
      </c>
      <c r="G19" s="15">
        <v>218</v>
      </c>
      <c r="H19" s="15">
        <v>257604.28</v>
      </c>
      <c r="I19" s="15">
        <v>2537</v>
      </c>
      <c r="J19" s="15">
        <v>2391436.84</v>
      </c>
      <c r="K19" s="15">
        <v>212</v>
      </c>
      <c r="L19" s="15">
        <v>264607.21999999997</v>
      </c>
      <c r="M19" s="30">
        <f t="shared" si="3"/>
        <v>1278520.8199999998</v>
      </c>
    </row>
    <row r="20" spans="1:13" ht="15.75" customHeight="1">
      <c r="A20" s="56">
        <f t="shared" si="4"/>
        <v>16</v>
      </c>
      <c r="B20" s="34" t="s">
        <v>35</v>
      </c>
      <c r="C20" s="15">
        <f t="shared" si="1"/>
        <v>1524</v>
      </c>
      <c r="D20" s="15">
        <f t="shared" si="2"/>
        <v>1326543.69</v>
      </c>
      <c r="E20" s="15">
        <v>304</v>
      </c>
      <c r="F20" s="15">
        <v>176782.25</v>
      </c>
      <c r="G20" s="15">
        <v>251</v>
      </c>
      <c r="H20" s="15">
        <v>485162.07</v>
      </c>
      <c r="I20" s="15">
        <v>715</v>
      </c>
      <c r="J20" s="15">
        <v>513214.41</v>
      </c>
      <c r="K20" s="15">
        <v>254</v>
      </c>
      <c r="L20" s="15">
        <v>151384.95999999999</v>
      </c>
      <c r="M20" s="30">
        <f>+L20+J20-H20-F20</f>
        <v>2655.0499999999884</v>
      </c>
    </row>
    <row r="21" spans="1:13" ht="15.75" customHeight="1">
      <c r="A21" s="56">
        <f t="shared" si="4"/>
        <v>17</v>
      </c>
      <c r="B21" s="34" t="s">
        <v>152</v>
      </c>
      <c r="C21" s="15">
        <f t="shared" si="1"/>
        <v>310</v>
      </c>
      <c r="D21" s="15">
        <f t="shared" si="2"/>
        <v>221581.36</v>
      </c>
      <c r="E21" s="15">
        <v>128</v>
      </c>
      <c r="F21" s="15">
        <v>95416.1</v>
      </c>
      <c r="G21" s="15"/>
      <c r="H21" s="15"/>
      <c r="I21" s="15">
        <v>182</v>
      </c>
      <c r="J21" s="15">
        <v>126165.26</v>
      </c>
      <c r="K21" s="15"/>
      <c r="L21" s="15"/>
      <c r="M21" s="30">
        <f t="shared" si="3"/>
        <v>30749.159999999989</v>
      </c>
    </row>
    <row r="22" spans="1:13" ht="15.75" customHeight="1">
      <c r="A22" s="56">
        <f t="shared" si="4"/>
        <v>18</v>
      </c>
      <c r="B22" s="34" t="s">
        <v>99</v>
      </c>
      <c r="C22" s="15">
        <f t="shared" si="1"/>
        <v>714</v>
      </c>
      <c r="D22" s="15">
        <f t="shared" si="2"/>
        <v>481803.89</v>
      </c>
      <c r="E22" s="15">
        <v>228</v>
      </c>
      <c r="F22" s="15">
        <v>139339.62</v>
      </c>
      <c r="G22" s="15">
        <v>71</v>
      </c>
      <c r="H22" s="15">
        <v>22111.83</v>
      </c>
      <c r="I22" s="15">
        <v>355</v>
      </c>
      <c r="J22" s="15">
        <v>275534.25</v>
      </c>
      <c r="K22" s="15">
        <v>60</v>
      </c>
      <c r="L22" s="15">
        <v>44818.19</v>
      </c>
      <c r="M22" s="30">
        <f t="shared" si="3"/>
        <v>158900.99</v>
      </c>
    </row>
    <row r="23" spans="1:13" ht="15.75" customHeight="1">
      <c r="A23" s="56">
        <f t="shared" si="4"/>
        <v>19</v>
      </c>
      <c r="B23" s="34" t="s">
        <v>84</v>
      </c>
      <c r="C23" s="15">
        <f t="shared" si="1"/>
        <v>2429</v>
      </c>
      <c r="D23" s="15">
        <f t="shared" si="2"/>
        <v>1764127.17</v>
      </c>
      <c r="E23" s="15">
        <v>563</v>
      </c>
      <c r="F23" s="15">
        <v>326287.51</v>
      </c>
      <c r="G23" s="15">
        <v>162</v>
      </c>
      <c r="H23" s="15">
        <v>115531.43</v>
      </c>
      <c r="I23" s="15">
        <v>1530</v>
      </c>
      <c r="J23" s="15">
        <v>1123928.0900000001</v>
      </c>
      <c r="K23" s="15">
        <v>174</v>
      </c>
      <c r="L23" s="15">
        <v>198380.14</v>
      </c>
      <c r="M23" s="30">
        <f t="shared" si="3"/>
        <v>880489.29</v>
      </c>
    </row>
    <row r="24" spans="1:13" ht="15.75" customHeight="1">
      <c r="A24" s="56">
        <f t="shared" si="4"/>
        <v>20</v>
      </c>
      <c r="B24" s="34" t="s">
        <v>143</v>
      </c>
      <c r="C24" s="15">
        <f t="shared" si="1"/>
        <v>134</v>
      </c>
      <c r="D24" s="15">
        <f t="shared" si="2"/>
        <v>60687.509999999995</v>
      </c>
      <c r="E24" s="15">
        <v>56</v>
      </c>
      <c r="F24" s="15">
        <v>19736.63</v>
      </c>
      <c r="G24" s="15"/>
      <c r="H24" s="15"/>
      <c r="I24" s="15">
        <v>78</v>
      </c>
      <c r="J24" s="15">
        <v>40950.879999999997</v>
      </c>
      <c r="K24" s="15"/>
      <c r="L24" s="15"/>
      <c r="M24" s="30">
        <f t="shared" si="3"/>
        <v>21214.249999999996</v>
      </c>
    </row>
    <row r="25" spans="1:13" ht="15.75" customHeight="1">
      <c r="A25" s="56">
        <f t="shared" si="4"/>
        <v>21</v>
      </c>
      <c r="B25" s="34" t="s">
        <v>73</v>
      </c>
      <c r="C25" s="15">
        <f t="shared" si="1"/>
        <v>853</v>
      </c>
      <c r="D25" s="15">
        <f t="shared" si="2"/>
        <v>702550.25</v>
      </c>
      <c r="E25" s="15">
        <v>131</v>
      </c>
      <c r="F25" s="15">
        <v>99854.57</v>
      </c>
      <c r="G25" s="15">
        <v>81</v>
      </c>
      <c r="H25" s="15">
        <v>57995.9</v>
      </c>
      <c r="I25" s="15">
        <v>507</v>
      </c>
      <c r="J25" s="15">
        <v>407383.08</v>
      </c>
      <c r="K25" s="15">
        <v>134</v>
      </c>
      <c r="L25" s="15">
        <v>137316.70000000001</v>
      </c>
      <c r="M25" s="30">
        <f t="shared" si="3"/>
        <v>386849.31</v>
      </c>
    </row>
    <row r="26" spans="1:13" ht="15.75" customHeight="1">
      <c r="A26" s="56">
        <f t="shared" si="4"/>
        <v>22</v>
      </c>
      <c r="B26" s="34" t="s">
        <v>25</v>
      </c>
      <c r="C26" s="15">
        <f t="shared" si="1"/>
        <v>6059</v>
      </c>
      <c r="D26" s="15">
        <f t="shared" si="2"/>
        <v>4549321.8699999992</v>
      </c>
      <c r="E26" s="15">
        <v>1243</v>
      </c>
      <c r="F26" s="15">
        <v>898118.4</v>
      </c>
      <c r="G26" s="15">
        <v>617</v>
      </c>
      <c r="H26" s="15">
        <v>396058.9</v>
      </c>
      <c r="I26" s="15">
        <v>3512</v>
      </c>
      <c r="J26" s="15">
        <v>2698322.01</v>
      </c>
      <c r="K26" s="15">
        <v>687</v>
      </c>
      <c r="L26" s="15">
        <v>556822.56000000006</v>
      </c>
      <c r="M26" s="30">
        <f t="shared" si="3"/>
        <v>1960967.27</v>
      </c>
    </row>
    <row r="27" spans="1:13" ht="15.75" customHeight="1">
      <c r="A27" s="56">
        <f t="shared" si="4"/>
        <v>23</v>
      </c>
      <c r="B27" s="34" t="s">
        <v>83</v>
      </c>
      <c r="C27" s="15">
        <f t="shared" si="1"/>
        <v>780</v>
      </c>
      <c r="D27" s="15">
        <f t="shared" si="2"/>
        <v>541835.55000000005</v>
      </c>
      <c r="E27" s="15">
        <v>170</v>
      </c>
      <c r="F27" s="15">
        <v>103527.47</v>
      </c>
      <c r="G27" s="15">
        <v>145</v>
      </c>
      <c r="H27" s="15">
        <v>64276.3</v>
      </c>
      <c r="I27" s="15">
        <v>382</v>
      </c>
      <c r="J27" s="15">
        <v>254536.95</v>
      </c>
      <c r="K27" s="15">
        <v>83</v>
      </c>
      <c r="L27" s="15">
        <v>119494.83</v>
      </c>
      <c r="M27" s="30">
        <f t="shared" si="3"/>
        <v>206228.01000000004</v>
      </c>
    </row>
    <row r="28" spans="1:13" ht="15.75" customHeight="1">
      <c r="A28" s="56">
        <f t="shared" si="4"/>
        <v>24</v>
      </c>
      <c r="B28" s="34" t="s">
        <v>40</v>
      </c>
      <c r="C28" s="15">
        <f t="shared" si="1"/>
        <v>855</v>
      </c>
      <c r="D28" s="15">
        <f t="shared" si="2"/>
        <v>1028919.04</v>
      </c>
      <c r="E28" s="15">
        <v>183</v>
      </c>
      <c r="F28" s="15">
        <v>160997.60999999999</v>
      </c>
      <c r="G28" s="15">
        <v>37</v>
      </c>
      <c r="H28" s="15">
        <v>67754.34</v>
      </c>
      <c r="I28" s="15">
        <v>485</v>
      </c>
      <c r="J28" s="15">
        <v>504703.14</v>
      </c>
      <c r="K28" s="15">
        <v>150</v>
      </c>
      <c r="L28" s="15">
        <v>295463.95</v>
      </c>
      <c r="M28" s="30">
        <f t="shared" si="3"/>
        <v>571415.14000000013</v>
      </c>
    </row>
    <row r="29" spans="1:13" ht="15.75" customHeight="1">
      <c r="A29" s="56">
        <f t="shared" si="4"/>
        <v>25</v>
      </c>
      <c r="B29" s="34" t="s">
        <v>162</v>
      </c>
      <c r="C29" s="15">
        <f t="shared" si="1"/>
        <v>11</v>
      </c>
      <c r="D29" s="15">
        <f t="shared" si="2"/>
        <v>6689.51</v>
      </c>
      <c r="E29" s="15">
        <v>6</v>
      </c>
      <c r="F29" s="15">
        <v>5957.7</v>
      </c>
      <c r="G29" s="15"/>
      <c r="H29" s="15"/>
      <c r="I29" s="15">
        <v>5</v>
      </c>
      <c r="J29" s="15">
        <v>731.81</v>
      </c>
      <c r="K29" s="15"/>
      <c r="L29" s="15"/>
      <c r="M29" s="30">
        <f t="shared" si="3"/>
        <v>-5225.8899999999994</v>
      </c>
    </row>
    <row r="30" spans="1:13" ht="15.75" customHeight="1">
      <c r="A30" s="56">
        <f t="shared" si="4"/>
        <v>26</v>
      </c>
      <c r="B30" s="34" t="s">
        <v>28</v>
      </c>
      <c r="C30" s="15">
        <f t="shared" si="1"/>
        <v>1583</v>
      </c>
      <c r="D30" s="15">
        <f t="shared" si="2"/>
        <v>2291831.3600000003</v>
      </c>
      <c r="E30" s="15">
        <v>171</v>
      </c>
      <c r="F30" s="15">
        <v>124742.2</v>
      </c>
      <c r="G30" s="15">
        <v>437</v>
      </c>
      <c r="H30" s="15">
        <v>1007189.34</v>
      </c>
      <c r="I30" s="15">
        <v>460</v>
      </c>
      <c r="J30" s="15">
        <v>516536.52</v>
      </c>
      <c r="K30" s="15">
        <v>515</v>
      </c>
      <c r="L30" s="15">
        <v>643363.30000000005</v>
      </c>
      <c r="M30" s="30">
        <f t="shared" si="3"/>
        <v>27968.280000000101</v>
      </c>
    </row>
    <row r="31" spans="1:13" ht="15.75" customHeight="1">
      <c r="A31" s="56">
        <f t="shared" si="4"/>
        <v>27</v>
      </c>
      <c r="B31" s="34" t="s">
        <v>58</v>
      </c>
      <c r="C31" s="15">
        <f t="shared" si="1"/>
        <v>1514</v>
      </c>
      <c r="D31" s="15">
        <f t="shared" si="2"/>
        <v>2240845.63</v>
      </c>
      <c r="E31" s="15">
        <v>261</v>
      </c>
      <c r="F31" s="15">
        <v>227534.48</v>
      </c>
      <c r="G31" s="15">
        <v>423</v>
      </c>
      <c r="H31" s="15">
        <v>801875.48</v>
      </c>
      <c r="I31" s="15">
        <v>503</v>
      </c>
      <c r="J31" s="15">
        <v>511501.2</v>
      </c>
      <c r="K31" s="15">
        <v>327</v>
      </c>
      <c r="L31" s="15">
        <v>699934.47</v>
      </c>
      <c r="M31" s="30">
        <f t="shared" si="3"/>
        <v>182025.70999999993</v>
      </c>
    </row>
    <row r="32" spans="1:13" ht="15.75" customHeight="1">
      <c r="A32" s="56">
        <f t="shared" si="4"/>
        <v>28</v>
      </c>
      <c r="B32" s="34" t="s">
        <v>56</v>
      </c>
      <c r="C32" s="15">
        <f t="shared" si="1"/>
        <v>1773</v>
      </c>
      <c r="D32" s="15">
        <f t="shared" si="2"/>
        <v>1594279.8</v>
      </c>
      <c r="E32" s="15">
        <v>306</v>
      </c>
      <c r="F32" s="15">
        <v>165483.73000000001</v>
      </c>
      <c r="G32" s="15">
        <v>278</v>
      </c>
      <c r="H32" s="15">
        <v>480475.27</v>
      </c>
      <c r="I32" s="15">
        <v>956</v>
      </c>
      <c r="J32" s="15">
        <v>640021.78</v>
      </c>
      <c r="K32" s="15">
        <v>233</v>
      </c>
      <c r="L32" s="15">
        <v>308299.02</v>
      </c>
      <c r="M32" s="30">
        <f t="shared" si="3"/>
        <v>302361.80000000005</v>
      </c>
    </row>
    <row r="33" spans="1:13" ht="15.75" customHeight="1">
      <c r="A33" s="56">
        <f t="shared" si="4"/>
        <v>29</v>
      </c>
      <c r="B33" s="34" t="s">
        <v>161</v>
      </c>
      <c r="C33" s="15">
        <f t="shared" si="1"/>
        <v>43</v>
      </c>
      <c r="D33" s="15">
        <f t="shared" si="2"/>
        <v>65783.12</v>
      </c>
      <c r="E33" s="15"/>
      <c r="F33" s="15"/>
      <c r="G33" s="15"/>
      <c r="H33" s="15"/>
      <c r="I33" s="15">
        <v>36</v>
      </c>
      <c r="J33" s="15">
        <v>59855.56</v>
      </c>
      <c r="K33" s="15">
        <v>7</v>
      </c>
      <c r="L33" s="15">
        <v>5927.56</v>
      </c>
      <c r="M33" s="30">
        <f t="shared" si="3"/>
        <v>65783.12</v>
      </c>
    </row>
    <row r="34" spans="1:13" ht="15.75" customHeight="1">
      <c r="A34" s="56">
        <f t="shared" si="4"/>
        <v>30</v>
      </c>
      <c r="B34" s="34" t="s">
        <v>11</v>
      </c>
      <c r="C34" s="15">
        <f t="shared" si="1"/>
        <v>1155</v>
      </c>
      <c r="D34" s="15">
        <f t="shared" si="2"/>
        <v>1844702.6</v>
      </c>
      <c r="E34" s="15"/>
      <c r="F34" s="15"/>
      <c r="G34" s="15"/>
      <c r="H34" s="15"/>
      <c r="I34" s="15">
        <v>631</v>
      </c>
      <c r="J34" s="15">
        <v>636294.41</v>
      </c>
      <c r="K34" s="15">
        <v>524</v>
      </c>
      <c r="L34" s="15">
        <v>1208408.19</v>
      </c>
      <c r="M34" s="30">
        <f t="shared" si="3"/>
        <v>1844702.6</v>
      </c>
    </row>
    <row r="35" spans="1:13" ht="15.75" customHeight="1">
      <c r="A35" s="56">
        <f t="shared" si="4"/>
        <v>31</v>
      </c>
      <c r="B35" s="34" t="s">
        <v>141</v>
      </c>
      <c r="C35" s="15">
        <f t="shared" si="1"/>
        <v>52</v>
      </c>
      <c r="D35" s="15">
        <f t="shared" si="2"/>
        <v>40249.08</v>
      </c>
      <c r="E35" s="15">
        <v>16</v>
      </c>
      <c r="F35" s="15">
        <v>11983.3</v>
      </c>
      <c r="G35" s="15">
        <v>1</v>
      </c>
      <c r="H35" s="15">
        <v>5031.42</v>
      </c>
      <c r="I35" s="15">
        <v>35</v>
      </c>
      <c r="J35" s="15">
        <v>23234.36</v>
      </c>
      <c r="K35" s="15"/>
      <c r="L35" s="15"/>
      <c r="M35" s="30">
        <f t="shared" si="3"/>
        <v>6219.6400000000031</v>
      </c>
    </row>
    <row r="36" spans="1:13" ht="15.75" customHeight="1">
      <c r="A36" s="56">
        <f t="shared" si="4"/>
        <v>32</v>
      </c>
      <c r="B36" s="34" t="s">
        <v>111</v>
      </c>
      <c r="C36" s="15">
        <f t="shared" si="1"/>
        <v>1197</v>
      </c>
      <c r="D36" s="15">
        <f t="shared" si="2"/>
        <v>1303613.1299999999</v>
      </c>
      <c r="E36" s="15">
        <v>213</v>
      </c>
      <c r="F36" s="15">
        <v>200903.83</v>
      </c>
      <c r="G36" s="15">
        <v>271</v>
      </c>
      <c r="H36" s="15">
        <v>334822.03000000003</v>
      </c>
      <c r="I36" s="15">
        <v>599</v>
      </c>
      <c r="J36" s="15">
        <v>627616.07999999996</v>
      </c>
      <c r="K36" s="15">
        <v>114</v>
      </c>
      <c r="L36" s="15">
        <v>140271.19</v>
      </c>
      <c r="M36" s="30">
        <f t="shared" si="3"/>
        <v>232161.41</v>
      </c>
    </row>
    <row r="37" spans="1:13" ht="15.75" customHeight="1">
      <c r="A37" s="56">
        <f t="shared" si="4"/>
        <v>33</v>
      </c>
      <c r="B37" s="34" t="s">
        <v>12</v>
      </c>
      <c r="C37" s="15">
        <f t="shared" si="1"/>
        <v>10108</v>
      </c>
      <c r="D37" s="15">
        <f t="shared" si="2"/>
        <v>7542654.1199999992</v>
      </c>
      <c r="E37" s="15">
        <v>2089</v>
      </c>
      <c r="F37" s="15">
        <v>1271976.6499999999</v>
      </c>
      <c r="G37" s="15">
        <v>1468</v>
      </c>
      <c r="H37" s="15">
        <v>1248492.3999999999</v>
      </c>
      <c r="I37" s="15">
        <v>4953</v>
      </c>
      <c r="J37" s="15">
        <v>3389399.98</v>
      </c>
      <c r="K37" s="15">
        <v>1598</v>
      </c>
      <c r="L37" s="15">
        <v>1632785.09</v>
      </c>
      <c r="M37" s="30">
        <f t="shared" si="3"/>
        <v>2501716.0200000005</v>
      </c>
    </row>
    <row r="38" spans="1:13" ht="15.75" customHeight="1">
      <c r="A38" s="56">
        <f t="shared" si="4"/>
        <v>34</v>
      </c>
      <c r="B38" s="34" t="s">
        <v>30</v>
      </c>
      <c r="C38" s="15">
        <f t="shared" si="1"/>
        <v>603</v>
      </c>
      <c r="D38" s="15">
        <f t="shared" si="2"/>
        <v>472071.72</v>
      </c>
      <c r="E38" s="15">
        <v>163</v>
      </c>
      <c r="F38" s="15">
        <v>140691.20000000001</v>
      </c>
      <c r="G38" s="15">
        <v>71</v>
      </c>
      <c r="H38" s="15">
        <v>89999.5</v>
      </c>
      <c r="I38" s="15">
        <v>318</v>
      </c>
      <c r="J38" s="15">
        <v>219613.42</v>
      </c>
      <c r="K38" s="15">
        <v>51</v>
      </c>
      <c r="L38" s="15">
        <v>21767.599999999999</v>
      </c>
      <c r="M38" s="30">
        <f t="shared" si="3"/>
        <v>10690.320000000007</v>
      </c>
    </row>
    <row r="39" spans="1:13" ht="15.75" customHeight="1">
      <c r="A39" s="56">
        <f t="shared" si="4"/>
        <v>35</v>
      </c>
      <c r="B39" s="34" t="s">
        <v>90</v>
      </c>
      <c r="C39" s="15">
        <f t="shared" si="1"/>
        <v>1215</v>
      </c>
      <c r="D39" s="15">
        <f t="shared" si="2"/>
        <v>1263395.27</v>
      </c>
      <c r="E39" s="15">
        <v>234</v>
      </c>
      <c r="F39" s="15">
        <v>264980.96000000002</v>
      </c>
      <c r="G39" s="15">
        <v>209</v>
      </c>
      <c r="H39" s="15">
        <v>199090.83</v>
      </c>
      <c r="I39" s="15">
        <v>584</v>
      </c>
      <c r="J39" s="15">
        <v>529844.9</v>
      </c>
      <c r="K39" s="15">
        <v>188</v>
      </c>
      <c r="L39" s="15">
        <v>269478.58</v>
      </c>
      <c r="M39" s="30">
        <f t="shared" si="3"/>
        <v>335251.69</v>
      </c>
    </row>
    <row r="40" spans="1:13" ht="15.75" customHeight="1">
      <c r="A40" s="56">
        <f t="shared" si="4"/>
        <v>36</v>
      </c>
      <c r="B40" s="34" t="s">
        <v>146</v>
      </c>
      <c r="C40" s="15">
        <f t="shared" si="1"/>
        <v>14</v>
      </c>
      <c r="D40" s="15">
        <f t="shared" si="2"/>
        <v>10182.23</v>
      </c>
      <c r="E40" s="15">
        <v>11</v>
      </c>
      <c r="F40" s="15">
        <v>9490.76</v>
      </c>
      <c r="G40" s="15"/>
      <c r="H40" s="15"/>
      <c r="I40" s="15">
        <v>3</v>
      </c>
      <c r="J40" s="15">
        <v>691.47</v>
      </c>
      <c r="K40" s="15"/>
      <c r="L40" s="15"/>
      <c r="M40" s="30">
        <f t="shared" si="3"/>
        <v>-8799.2900000000009</v>
      </c>
    </row>
    <row r="41" spans="1:13" ht="15.75" customHeight="1">
      <c r="A41" s="56">
        <f t="shared" si="4"/>
        <v>37</v>
      </c>
      <c r="B41" s="34" t="s">
        <v>31</v>
      </c>
      <c r="C41" s="15">
        <f t="shared" si="1"/>
        <v>2295</v>
      </c>
      <c r="D41" s="15">
        <f t="shared" si="2"/>
        <v>1831668.5299999998</v>
      </c>
      <c r="E41" s="15">
        <v>654</v>
      </c>
      <c r="F41" s="15">
        <v>505134.5</v>
      </c>
      <c r="G41" s="15">
        <v>183</v>
      </c>
      <c r="H41" s="15">
        <v>164944.99</v>
      </c>
      <c r="I41" s="15">
        <v>1333</v>
      </c>
      <c r="J41" s="15">
        <v>1060661.6299999999</v>
      </c>
      <c r="K41" s="15">
        <v>125</v>
      </c>
      <c r="L41" s="15">
        <v>100927.41</v>
      </c>
      <c r="M41" s="30">
        <f t="shared" si="3"/>
        <v>491509.54999999981</v>
      </c>
    </row>
    <row r="42" spans="1:13" ht="15.75" customHeight="1">
      <c r="A42" s="56">
        <f t="shared" si="4"/>
        <v>38</v>
      </c>
      <c r="B42" s="34" t="s">
        <v>135</v>
      </c>
      <c r="C42" s="15">
        <f t="shared" si="1"/>
        <v>367</v>
      </c>
      <c r="D42" s="15">
        <f t="shared" si="2"/>
        <v>207070.42</v>
      </c>
      <c r="E42" s="15">
        <v>160</v>
      </c>
      <c r="F42" s="15">
        <v>78167.850000000006</v>
      </c>
      <c r="G42" s="15">
        <v>4</v>
      </c>
      <c r="H42" s="15">
        <v>2299.36</v>
      </c>
      <c r="I42" s="15">
        <v>197</v>
      </c>
      <c r="J42" s="15">
        <v>122517.33</v>
      </c>
      <c r="K42" s="15">
        <v>6</v>
      </c>
      <c r="L42" s="15">
        <v>4085.88</v>
      </c>
      <c r="M42" s="30">
        <f t="shared" si="3"/>
        <v>46136</v>
      </c>
    </row>
    <row r="43" spans="1:13" ht="15.75" customHeight="1">
      <c r="A43" s="56">
        <f t="shared" si="4"/>
        <v>39</v>
      </c>
      <c r="B43" s="34" t="s">
        <v>50</v>
      </c>
      <c r="C43" s="15">
        <f t="shared" si="1"/>
        <v>350</v>
      </c>
      <c r="D43" s="15">
        <f t="shared" si="2"/>
        <v>287370.2</v>
      </c>
      <c r="E43" s="15">
        <v>73</v>
      </c>
      <c r="F43" s="15">
        <v>66123.59</v>
      </c>
      <c r="G43" s="15">
        <v>25</v>
      </c>
      <c r="H43" s="15">
        <v>9015.0400000000009</v>
      </c>
      <c r="I43" s="15">
        <v>218</v>
      </c>
      <c r="J43" s="15">
        <v>184613.14</v>
      </c>
      <c r="K43" s="15">
        <v>34</v>
      </c>
      <c r="L43" s="15">
        <v>27618.43</v>
      </c>
      <c r="M43" s="30">
        <f t="shared" si="3"/>
        <v>137092.94</v>
      </c>
    </row>
    <row r="44" spans="1:13" ht="15.75" customHeight="1">
      <c r="A44" s="56">
        <f t="shared" si="4"/>
        <v>40</v>
      </c>
      <c r="B44" s="34" t="s">
        <v>70</v>
      </c>
      <c r="C44" s="15">
        <f t="shared" si="1"/>
        <v>2361</v>
      </c>
      <c r="D44" s="15">
        <f t="shared" si="2"/>
        <v>1672028.29</v>
      </c>
      <c r="E44" s="15">
        <v>575</v>
      </c>
      <c r="F44" s="15">
        <v>353151.98</v>
      </c>
      <c r="G44" s="15">
        <v>134</v>
      </c>
      <c r="H44" s="15">
        <v>64910.25</v>
      </c>
      <c r="I44" s="15">
        <v>1480</v>
      </c>
      <c r="J44" s="15">
        <v>1107476.92</v>
      </c>
      <c r="K44" s="15">
        <v>172</v>
      </c>
      <c r="L44" s="15">
        <v>146489.14000000001</v>
      </c>
      <c r="M44" s="30">
        <f t="shared" si="3"/>
        <v>835903.83000000007</v>
      </c>
    </row>
    <row r="45" spans="1:13" ht="15.75" customHeight="1">
      <c r="A45" s="56">
        <f t="shared" si="4"/>
        <v>41</v>
      </c>
      <c r="B45" s="34" t="s">
        <v>168</v>
      </c>
      <c r="C45" s="15">
        <f t="shared" si="1"/>
        <v>3097</v>
      </c>
      <c r="D45" s="15">
        <f t="shared" si="2"/>
        <v>2260618.87</v>
      </c>
      <c r="E45" s="15"/>
      <c r="F45" s="15"/>
      <c r="G45" s="15"/>
      <c r="H45" s="15"/>
      <c r="I45" s="15">
        <v>2954</v>
      </c>
      <c r="J45" s="15">
        <v>2093449.56</v>
      </c>
      <c r="K45" s="15">
        <v>143</v>
      </c>
      <c r="L45" s="15">
        <v>167169.31</v>
      </c>
      <c r="M45" s="30">
        <f t="shared" si="3"/>
        <v>2260618.87</v>
      </c>
    </row>
    <row r="46" spans="1:13" ht="15.75" customHeight="1">
      <c r="A46" s="56">
        <f t="shared" si="4"/>
        <v>42</v>
      </c>
      <c r="B46" s="34" t="s">
        <v>121</v>
      </c>
      <c r="C46" s="15">
        <f t="shared" si="1"/>
        <v>349</v>
      </c>
      <c r="D46" s="15">
        <f t="shared" si="2"/>
        <v>391208.86</v>
      </c>
      <c r="E46" s="15">
        <v>44</v>
      </c>
      <c r="F46" s="15">
        <v>36064.46</v>
      </c>
      <c r="G46" s="15">
        <v>22</v>
      </c>
      <c r="H46" s="15">
        <v>18788.57</v>
      </c>
      <c r="I46" s="15">
        <v>228</v>
      </c>
      <c r="J46" s="15">
        <v>253245.98</v>
      </c>
      <c r="K46" s="15">
        <v>55</v>
      </c>
      <c r="L46" s="15">
        <v>83109.850000000006</v>
      </c>
      <c r="M46" s="30">
        <f t="shared" si="3"/>
        <v>281502.8</v>
      </c>
    </row>
    <row r="47" spans="1:13" ht="15.75" customHeight="1">
      <c r="A47" s="56">
        <f t="shared" si="4"/>
        <v>43</v>
      </c>
      <c r="B47" s="34" t="s">
        <v>77</v>
      </c>
      <c r="C47" s="15">
        <f t="shared" si="1"/>
        <v>311</v>
      </c>
      <c r="D47" s="15">
        <f t="shared" si="2"/>
        <v>246831.39999999997</v>
      </c>
      <c r="E47" s="15">
        <v>36</v>
      </c>
      <c r="F47" s="15">
        <v>22221.56</v>
      </c>
      <c r="G47" s="15">
        <v>22</v>
      </c>
      <c r="H47" s="15">
        <v>12708.11</v>
      </c>
      <c r="I47" s="15">
        <v>237</v>
      </c>
      <c r="J47" s="15">
        <v>207741.8</v>
      </c>
      <c r="K47" s="15">
        <v>16</v>
      </c>
      <c r="L47" s="15">
        <v>4159.93</v>
      </c>
      <c r="M47" s="30">
        <f t="shared" si="3"/>
        <v>176972.06</v>
      </c>
    </row>
    <row r="48" spans="1:13" ht="15.75" customHeight="1">
      <c r="A48" s="56">
        <f t="shared" si="4"/>
        <v>44</v>
      </c>
      <c r="B48" s="34" t="s">
        <v>42</v>
      </c>
      <c r="C48" s="15">
        <f t="shared" si="1"/>
        <v>3095</v>
      </c>
      <c r="D48" s="15">
        <f t="shared" si="2"/>
        <v>2273962.6399999997</v>
      </c>
      <c r="E48" s="15">
        <v>674</v>
      </c>
      <c r="F48" s="15">
        <v>422404.58</v>
      </c>
      <c r="G48" s="15">
        <v>293</v>
      </c>
      <c r="H48" s="15">
        <v>295795.09999999998</v>
      </c>
      <c r="I48" s="15">
        <v>1715</v>
      </c>
      <c r="J48" s="15">
        <v>1038747.98</v>
      </c>
      <c r="K48" s="15">
        <v>413</v>
      </c>
      <c r="L48" s="15">
        <v>517014.98</v>
      </c>
      <c r="M48" s="30">
        <f t="shared" si="3"/>
        <v>837563.2799999998</v>
      </c>
    </row>
    <row r="49" spans="1:13" ht="15.75" customHeight="1">
      <c r="A49" s="56">
        <f t="shared" si="4"/>
        <v>45</v>
      </c>
      <c r="B49" s="34" t="s">
        <v>92</v>
      </c>
      <c r="C49" s="15">
        <f t="shared" si="1"/>
        <v>773</v>
      </c>
      <c r="D49" s="15">
        <f t="shared" si="2"/>
        <v>605268.52</v>
      </c>
      <c r="E49" s="15">
        <v>191</v>
      </c>
      <c r="F49" s="15">
        <v>154952.67000000001</v>
      </c>
      <c r="G49" s="15">
        <v>66</v>
      </c>
      <c r="H49" s="15">
        <v>57733.01</v>
      </c>
      <c r="I49" s="15">
        <v>437</v>
      </c>
      <c r="J49" s="15">
        <v>326333.62</v>
      </c>
      <c r="K49" s="15">
        <v>79</v>
      </c>
      <c r="L49" s="15">
        <v>66249.22</v>
      </c>
      <c r="M49" s="30">
        <f t="shared" si="3"/>
        <v>179897.15999999995</v>
      </c>
    </row>
    <row r="50" spans="1:13" ht="15.75" customHeight="1">
      <c r="A50" s="56">
        <f t="shared" si="4"/>
        <v>46</v>
      </c>
      <c r="B50" s="34" t="s">
        <v>167</v>
      </c>
      <c r="C50" s="15">
        <f t="shared" si="1"/>
        <v>405</v>
      </c>
      <c r="D50" s="15">
        <f t="shared" si="2"/>
        <v>265931.95</v>
      </c>
      <c r="E50" s="15">
        <v>0</v>
      </c>
      <c r="F50" s="15"/>
      <c r="G50" s="15"/>
      <c r="H50" s="15"/>
      <c r="I50" s="15">
        <v>380</v>
      </c>
      <c r="J50" s="15">
        <v>254751.3</v>
      </c>
      <c r="K50" s="15">
        <v>25</v>
      </c>
      <c r="L50" s="15">
        <v>11180.65</v>
      </c>
      <c r="M50" s="30">
        <f t="shared" si="3"/>
        <v>265931.95</v>
      </c>
    </row>
    <row r="51" spans="1:13" ht="15.75" customHeight="1">
      <c r="A51" s="56">
        <f t="shared" si="4"/>
        <v>47</v>
      </c>
      <c r="B51" s="34" t="s">
        <v>147</v>
      </c>
      <c r="C51" s="15">
        <f t="shared" si="1"/>
        <v>99</v>
      </c>
      <c r="D51" s="15">
        <f t="shared" si="2"/>
        <v>69402.59</v>
      </c>
      <c r="E51" s="15">
        <v>33</v>
      </c>
      <c r="F51" s="15">
        <v>9343.9</v>
      </c>
      <c r="G51" s="15"/>
      <c r="H51" s="15"/>
      <c r="I51" s="15">
        <v>66</v>
      </c>
      <c r="J51" s="15">
        <v>60058.69</v>
      </c>
      <c r="K51" s="15"/>
      <c r="L51" s="15"/>
      <c r="M51" s="30">
        <f t="shared" si="3"/>
        <v>50714.79</v>
      </c>
    </row>
    <row r="52" spans="1:13" ht="15.75" customHeight="1">
      <c r="A52" s="56">
        <f t="shared" si="4"/>
        <v>48</v>
      </c>
      <c r="B52" s="34" t="s">
        <v>67</v>
      </c>
      <c r="C52" s="15">
        <f t="shared" si="1"/>
        <v>1382</v>
      </c>
      <c r="D52" s="15">
        <f t="shared" si="2"/>
        <v>1174413.01</v>
      </c>
      <c r="E52" s="15">
        <v>346</v>
      </c>
      <c r="F52" s="15">
        <v>254178.25</v>
      </c>
      <c r="G52" s="15">
        <v>116</v>
      </c>
      <c r="H52" s="15">
        <v>129508.25</v>
      </c>
      <c r="I52" s="15">
        <v>706</v>
      </c>
      <c r="J52" s="15">
        <v>633208.69999999995</v>
      </c>
      <c r="K52" s="15">
        <v>214</v>
      </c>
      <c r="L52" s="15">
        <v>157517.81</v>
      </c>
      <c r="M52" s="30">
        <f t="shared" si="3"/>
        <v>407040.01</v>
      </c>
    </row>
    <row r="53" spans="1:13" ht="15.75" customHeight="1">
      <c r="A53" s="56">
        <f t="shared" si="4"/>
        <v>49</v>
      </c>
      <c r="B53" s="34" t="s">
        <v>101</v>
      </c>
      <c r="C53" s="15">
        <f t="shared" si="1"/>
        <v>4086</v>
      </c>
      <c r="D53" s="15">
        <f t="shared" si="2"/>
        <v>2959927.7800000003</v>
      </c>
      <c r="E53" s="15">
        <v>1201</v>
      </c>
      <c r="F53" s="15">
        <v>745992.98</v>
      </c>
      <c r="G53" s="15">
        <v>187</v>
      </c>
      <c r="H53" s="15">
        <v>157665.79</v>
      </c>
      <c r="I53" s="15">
        <v>2574</v>
      </c>
      <c r="J53" s="15">
        <v>1948934.77</v>
      </c>
      <c r="K53" s="15">
        <v>124</v>
      </c>
      <c r="L53" s="15">
        <v>107334.24</v>
      </c>
      <c r="M53" s="30">
        <f t="shared" si="3"/>
        <v>1152610.24</v>
      </c>
    </row>
    <row r="54" spans="1:13" ht="15.75" customHeight="1">
      <c r="A54" s="56">
        <f t="shared" si="4"/>
        <v>50</v>
      </c>
      <c r="B54" s="34" t="s">
        <v>82</v>
      </c>
      <c r="C54" s="15">
        <f t="shared" si="1"/>
        <v>3889</v>
      </c>
      <c r="D54" s="15">
        <f t="shared" si="2"/>
        <v>2496027.29</v>
      </c>
      <c r="E54" s="15">
        <v>918</v>
      </c>
      <c r="F54" s="15">
        <v>529637.76</v>
      </c>
      <c r="G54" s="15">
        <v>75</v>
      </c>
      <c r="H54" s="15">
        <v>60990.64</v>
      </c>
      <c r="I54" s="15">
        <v>2797</v>
      </c>
      <c r="J54" s="15">
        <v>1808631</v>
      </c>
      <c r="K54" s="15">
        <v>99</v>
      </c>
      <c r="L54" s="15">
        <v>96767.89</v>
      </c>
      <c r="M54" s="30">
        <f t="shared" si="3"/>
        <v>1314770.49</v>
      </c>
    </row>
    <row r="55" spans="1:13" ht="15.75" customHeight="1">
      <c r="A55" s="56">
        <f t="shared" si="4"/>
        <v>51</v>
      </c>
      <c r="B55" s="34" t="s">
        <v>145</v>
      </c>
      <c r="C55" s="15">
        <f t="shared" si="1"/>
        <v>566</v>
      </c>
      <c r="D55" s="15">
        <f t="shared" si="2"/>
        <v>297108.94</v>
      </c>
      <c r="E55" s="15">
        <v>220</v>
      </c>
      <c r="F55" s="15">
        <v>119284.32</v>
      </c>
      <c r="G55" s="15">
        <v>4</v>
      </c>
      <c r="H55" s="15">
        <v>880.5</v>
      </c>
      <c r="I55" s="15">
        <v>342</v>
      </c>
      <c r="J55" s="15">
        <v>176944.12</v>
      </c>
      <c r="K55" s="15"/>
      <c r="L55" s="15"/>
      <c r="M55" s="30">
        <f t="shared" si="3"/>
        <v>56779.299999999988</v>
      </c>
    </row>
    <row r="56" spans="1:13" ht="15.75" customHeight="1">
      <c r="A56" s="56">
        <f t="shared" si="4"/>
        <v>52</v>
      </c>
      <c r="B56" s="34" t="s">
        <v>105</v>
      </c>
      <c r="C56" s="15">
        <f t="shared" si="1"/>
        <v>73</v>
      </c>
      <c r="D56" s="15">
        <f t="shared" si="2"/>
        <v>75696.11</v>
      </c>
      <c r="E56" s="15"/>
      <c r="F56" s="15"/>
      <c r="G56" s="15"/>
      <c r="H56" s="15"/>
      <c r="I56" s="15">
        <v>47</v>
      </c>
      <c r="J56" s="15">
        <v>20728.900000000001</v>
      </c>
      <c r="K56" s="15">
        <v>26</v>
      </c>
      <c r="L56" s="15">
        <v>54967.21</v>
      </c>
      <c r="M56" s="30">
        <f t="shared" si="3"/>
        <v>75696.11</v>
      </c>
    </row>
    <row r="57" spans="1:13" ht="15.75" customHeight="1">
      <c r="A57" s="56">
        <f t="shared" si="4"/>
        <v>53</v>
      </c>
      <c r="B57" s="34" t="s">
        <v>115</v>
      </c>
      <c r="C57" s="15">
        <f t="shared" si="1"/>
        <v>7315</v>
      </c>
      <c r="D57" s="15">
        <f t="shared" si="2"/>
        <v>5504251.6600000001</v>
      </c>
      <c r="E57" s="15">
        <v>1403</v>
      </c>
      <c r="F57" s="15">
        <v>779397.22</v>
      </c>
      <c r="G57" s="15">
        <v>1437</v>
      </c>
      <c r="H57" s="15">
        <v>1492469.86</v>
      </c>
      <c r="I57" s="15">
        <v>3161</v>
      </c>
      <c r="J57" s="15">
        <v>2033423.1</v>
      </c>
      <c r="K57" s="15">
        <v>1314</v>
      </c>
      <c r="L57" s="15">
        <v>1198961.48</v>
      </c>
      <c r="M57" s="30">
        <f t="shared" si="3"/>
        <v>960517.5</v>
      </c>
    </row>
    <row r="58" spans="1:13" ht="15.75" customHeight="1">
      <c r="A58" s="56">
        <f t="shared" si="4"/>
        <v>54</v>
      </c>
      <c r="B58" s="34" t="s">
        <v>47</v>
      </c>
      <c r="C58" s="15">
        <f t="shared" si="1"/>
        <v>343</v>
      </c>
      <c r="D58" s="15">
        <f t="shared" si="2"/>
        <v>342204.95</v>
      </c>
      <c r="E58" s="15">
        <v>0</v>
      </c>
      <c r="F58" s="15">
        <v>0</v>
      </c>
      <c r="G58" s="15">
        <v>0</v>
      </c>
      <c r="H58" s="15">
        <v>0</v>
      </c>
      <c r="I58" s="15">
        <v>264</v>
      </c>
      <c r="J58" s="15">
        <v>239349.66</v>
      </c>
      <c r="K58" s="15">
        <v>79</v>
      </c>
      <c r="L58" s="15">
        <v>102855.29</v>
      </c>
      <c r="M58" s="30">
        <f t="shared" si="3"/>
        <v>342204.95</v>
      </c>
    </row>
    <row r="59" spans="1:13" ht="15.75" customHeight="1">
      <c r="A59" s="56">
        <f t="shared" si="4"/>
        <v>55</v>
      </c>
      <c r="B59" s="34" t="s">
        <v>120</v>
      </c>
      <c r="C59" s="15">
        <f t="shared" si="1"/>
        <v>320</v>
      </c>
      <c r="D59" s="15">
        <f t="shared" si="2"/>
        <v>442421.63</v>
      </c>
      <c r="E59" s="15">
        <v>0</v>
      </c>
      <c r="F59" s="15">
        <v>0</v>
      </c>
      <c r="G59" s="15">
        <v>0</v>
      </c>
      <c r="H59" s="15">
        <v>0</v>
      </c>
      <c r="I59" s="15">
        <v>193</v>
      </c>
      <c r="J59" s="15">
        <v>265170.96000000002</v>
      </c>
      <c r="K59" s="15">
        <v>127</v>
      </c>
      <c r="L59" s="15">
        <v>177250.67</v>
      </c>
      <c r="M59" s="30">
        <f t="shared" si="3"/>
        <v>442421.63</v>
      </c>
    </row>
    <row r="60" spans="1:13" ht="15.75" customHeight="1">
      <c r="A60" s="56">
        <f t="shared" si="4"/>
        <v>56</v>
      </c>
      <c r="B60" s="34" t="s">
        <v>49</v>
      </c>
      <c r="C60" s="15">
        <f t="shared" si="1"/>
        <v>551</v>
      </c>
      <c r="D60" s="15">
        <f t="shared" si="2"/>
        <v>478661.12</v>
      </c>
      <c r="E60" s="15">
        <v>108</v>
      </c>
      <c r="F60" s="15">
        <v>111732.27</v>
      </c>
      <c r="G60" s="15">
        <v>93</v>
      </c>
      <c r="H60" s="15">
        <v>56125.75</v>
      </c>
      <c r="I60" s="15">
        <v>244</v>
      </c>
      <c r="J60" s="15">
        <v>237708.95</v>
      </c>
      <c r="K60" s="15">
        <v>106</v>
      </c>
      <c r="L60" s="15">
        <v>73094.149999999994</v>
      </c>
      <c r="M60" s="30">
        <f t="shared" si="3"/>
        <v>142945.07999999996</v>
      </c>
    </row>
    <row r="61" spans="1:13" ht="15.75" customHeight="1">
      <c r="A61" s="56">
        <f t="shared" si="4"/>
        <v>57</v>
      </c>
      <c r="B61" s="34" t="s">
        <v>88</v>
      </c>
      <c r="C61" s="15">
        <f t="shared" si="1"/>
        <v>3617</v>
      </c>
      <c r="D61" s="15">
        <f t="shared" si="2"/>
        <v>2316322.4700000002</v>
      </c>
      <c r="E61" s="15">
        <v>719</v>
      </c>
      <c r="F61" s="15">
        <v>473389.69</v>
      </c>
      <c r="G61" s="15">
        <v>607</v>
      </c>
      <c r="H61" s="15">
        <v>343081.54</v>
      </c>
      <c r="I61" s="15">
        <v>1722</v>
      </c>
      <c r="J61" s="15">
        <v>1078820.82</v>
      </c>
      <c r="K61" s="15">
        <v>569</v>
      </c>
      <c r="L61" s="15">
        <v>421030.42</v>
      </c>
      <c r="M61" s="30">
        <f t="shared" si="3"/>
        <v>683380.01</v>
      </c>
    </row>
    <row r="62" spans="1:13" ht="15.75" customHeight="1">
      <c r="A62" s="56">
        <f t="shared" si="4"/>
        <v>58</v>
      </c>
      <c r="B62" s="34" t="s">
        <v>160</v>
      </c>
      <c r="C62" s="15">
        <f t="shared" si="1"/>
        <v>64</v>
      </c>
      <c r="D62" s="15">
        <f t="shared" si="2"/>
        <v>28479.09</v>
      </c>
      <c r="E62" s="15">
        <v>29</v>
      </c>
      <c r="F62" s="15">
        <v>14132.23</v>
      </c>
      <c r="G62" s="15"/>
      <c r="H62" s="15"/>
      <c r="I62" s="15">
        <v>35</v>
      </c>
      <c r="J62" s="15">
        <v>14346.86</v>
      </c>
      <c r="K62" s="15"/>
      <c r="L62" s="15"/>
      <c r="M62" s="30">
        <f t="shared" si="3"/>
        <v>214.63000000000102</v>
      </c>
    </row>
    <row r="63" spans="1:13" ht="15.75" customHeight="1">
      <c r="A63" s="56">
        <f t="shared" si="4"/>
        <v>59</v>
      </c>
      <c r="B63" s="34" t="s">
        <v>64</v>
      </c>
      <c r="C63" s="15">
        <f t="shared" si="1"/>
        <v>2803</v>
      </c>
      <c r="D63" s="15">
        <f t="shared" si="2"/>
        <v>2516897.71</v>
      </c>
      <c r="E63" s="15">
        <v>468</v>
      </c>
      <c r="F63" s="15">
        <v>326286.77</v>
      </c>
      <c r="G63" s="15">
        <v>360</v>
      </c>
      <c r="H63" s="15">
        <v>310299.68</v>
      </c>
      <c r="I63" s="15">
        <v>1389</v>
      </c>
      <c r="J63" s="15">
        <v>1397432.67</v>
      </c>
      <c r="K63" s="15">
        <v>586</v>
      </c>
      <c r="L63" s="15">
        <v>482878.59</v>
      </c>
      <c r="M63" s="30">
        <f t="shared" si="3"/>
        <v>1243724.81</v>
      </c>
    </row>
    <row r="64" spans="1:13" ht="15.75" customHeight="1">
      <c r="A64" s="56">
        <f t="shared" si="4"/>
        <v>60</v>
      </c>
      <c r="B64" s="34" t="s">
        <v>103</v>
      </c>
      <c r="C64" s="15">
        <f t="shared" si="1"/>
        <v>152</v>
      </c>
      <c r="D64" s="15">
        <f t="shared" si="2"/>
        <v>132881.53</v>
      </c>
      <c r="E64" s="15">
        <v>41</v>
      </c>
      <c r="F64" s="15">
        <v>21953.45</v>
      </c>
      <c r="G64" s="15">
        <v>16</v>
      </c>
      <c r="H64" s="15">
        <v>9945.86</v>
      </c>
      <c r="I64" s="15">
        <v>82</v>
      </c>
      <c r="J64" s="15">
        <v>99166.12</v>
      </c>
      <c r="K64" s="15">
        <v>13</v>
      </c>
      <c r="L64" s="15">
        <v>1816.1</v>
      </c>
      <c r="M64" s="30">
        <f t="shared" si="3"/>
        <v>69082.91</v>
      </c>
    </row>
    <row r="65" spans="1:13" ht="15.75" customHeight="1">
      <c r="A65" s="56">
        <f t="shared" si="4"/>
        <v>61</v>
      </c>
      <c r="B65" s="34" t="s">
        <v>23</v>
      </c>
      <c r="C65" s="15">
        <f t="shared" si="1"/>
        <v>2374</v>
      </c>
      <c r="D65" s="15">
        <f t="shared" si="2"/>
        <v>1453453.29</v>
      </c>
      <c r="E65" s="15">
        <v>568</v>
      </c>
      <c r="F65" s="15">
        <v>242233.4</v>
      </c>
      <c r="G65" s="15">
        <v>332</v>
      </c>
      <c r="H65" s="15">
        <v>261815.93</v>
      </c>
      <c r="I65" s="15">
        <v>1172</v>
      </c>
      <c r="J65" s="15">
        <v>704525.34</v>
      </c>
      <c r="K65" s="15">
        <v>302</v>
      </c>
      <c r="L65" s="15">
        <v>244878.62</v>
      </c>
      <c r="M65" s="30">
        <f t="shared" si="3"/>
        <v>445354.63</v>
      </c>
    </row>
    <row r="66" spans="1:13" ht="15.75" customHeight="1">
      <c r="A66" s="56">
        <f t="shared" si="4"/>
        <v>62</v>
      </c>
      <c r="B66" s="34" t="s">
        <v>133</v>
      </c>
      <c r="C66" s="15">
        <f t="shared" si="1"/>
        <v>116</v>
      </c>
      <c r="D66" s="15">
        <f t="shared" si="2"/>
        <v>89317.27</v>
      </c>
      <c r="E66" s="15">
        <v>9</v>
      </c>
      <c r="F66" s="15">
        <v>3671.61</v>
      </c>
      <c r="G66" s="15">
        <v>1</v>
      </c>
      <c r="H66" s="15">
        <v>123.27</v>
      </c>
      <c r="I66" s="15">
        <v>105</v>
      </c>
      <c r="J66" s="15">
        <v>85413.34</v>
      </c>
      <c r="K66" s="15">
        <v>1</v>
      </c>
      <c r="L66" s="15">
        <v>109.05</v>
      </c>
      <c r="M66" s="30">
        <f t="shared" si="3"/>
        <v>81727.509999999995</v>
      </c>
    </row>
    <row r="67" spans="1:13" ht="15.75" customHeight="1">
      <c r="A67" s="56">
        <f t="shared" si="4"/>
        <v>63</v>
      </c>
      <c r="B67" s="34" t="s">
        <v>7</v>
      </c>
      <c r="C67" s="15">
        <f t="shared" si="1"/>
        <v>513</v>
      </c>
      <c r="D67" s="15">
        <f t="shared" si="2"/>
        <v>421035.83</v>
      </c>
      <c r="E67" s="15">
        <v>113</v>
      </c>
      <c r="F67" s="15">
        <v>73917.320000000007</v>
      </c>
      <c r="G67" s="15">
        <v>62</v>
      </c>
      <c r="H67" s="15">
        <v>44617.36</v>
      </c>
      <c r="I67" s="15">
        <v>272</v>
      </c>
      <c r="J67" s="15">
        <v>166805.35</v>
      </c>
      <c r="K67" s="15">
        <v>66</v>
      </c>
      <c r="L67" s="15">
        <v>135695.79999999999</v>
      </c>
      <c r="M67" s="30">
        <f t="shared" si="3"/>
        <v>183966.47000000003</v>
      </c>
    </row>
    <row r="68" spans="1:13" ht="15.75" customHeight="1">
      <c r="A68" s="56">
        <f t="shared" si="4"/>
        <v>64</v>
      </c>
      <c r="B68" s="34" t="s">
        <v>71</v>
      </c>
      <c r="C68" s="15">
        <f t="shared" si="1"/>
        <v>1724</v>
      </c>
      <c r="D68" s="15">
        <f t="shared" si="2"/>
        <v>1215448.5899999999</v>
      </c>
      <c r="E68" s="15">
        <v>304</v>
      </c>
      <c r="F68" s="15">
        <v>218613.15</v>
      </c>
      <c r="G68" s="15">
        <v>215</v>
      </c>
      <c r="H68" s="15">
        <v>171178.55</v>
      </c>
      <c r="I68" s="15">
        <v>945</v>
      </c>
      <c r="J68" s="15">
        <v>643006.68999999994</v>
      </c>
      <c r="K68" s="15">
        <v>260</v>
      </c>
      <c r="L68" s="15">
        <v>182650.2</v>
      </c>
      <c r="M68" s="30">
        <f t="shared" si="3"/>
        <v>435865.18999999983</v>
      </c>
    </row>
    <row r="69" spans="1:13" ht="15.75" customHeight="1">
      <c r="A69" s="56">
        <f t="shared" si="4"/>
        <v>65</v>
      </c>
      <c r="B69" s="34" t="s">
        <v>142</v>
      </c>
      <c r="C69" s="15">
        <f t="shared" si="1"/>
        <v>33</v>
      </c>
      <c r="D69" s="15">
        <f t="shared" si="2"/>
        <v>28494.120000000003</v>
      </c>
      <c r="E69" s="15">
        <v>16</v>
      </c>
      <c r="F69" s="15">
        <v>20020.66</v>
      </c>
      <c r="G69" s="15">
        <v>1</v>
      </c>
      <c r="H69" s="15">
        <v>125.79</v>
      </c>
      <c r="I69" s="15">
        <v>16</v>
      </c>
      <c r="J69" s="15">
        <v>8347.67</v>
      </c>
      <c r="K69" s="15"/>
      <c r="L69" s="15"/>
      <c r="M69" s="30">
        <f t="shared" si="3"/>
        <v>-11798.78</v>
      </c>
    </row>
    <row r="70" spans="1:13" ht="15.75" customHeight="1">
      <c r="A70" s="56">
        <f t="shared" si="4"/>
        <v>66</v>
      </c>
      <c r="B70" s="34" t="s">
        <v>128</v>
      </c>
      <c r="C70" s="15">
        <f t="shared" si="1"/>
        <v>163</v>
      </c>
      <c r="D70" s="15">
        <f t="shared" si="2"/>
        <v>152893.36000000002</v>
      </c>
      <c r="E70" s="15">
        <v>41</v>
      </c>
      <c r="F70" s="15">
        <v>19979.09</v>
      </c>
      <c r="G70" s="15">
        <v>18</v>
      </c>
      <c r="H70" s="15">
        <v>10958.43</v>
      </c>
      <c r="I70" s="15">
        <v>85</v>
      </c>
      <c r="J70" s="15">
        <v>93085.39</v>
      </c>
      <c r="K70" s="15">
        <v>19</v>
      </c>
      <c r="L70" s="15">
        <v>28870.45</v>
      </c>
      <c r="M70" s="30">
        <f t="shared" si="3"/>
        <v>91018.32</v>
      </c>
    </row>
    <row r="71" spans="1:13" ht="15.75" customHeight="1">
      <c r="A71" s="56">
        <f t="shared" si="4"/>
        <v>67</v>
      </c>
      <c r="B71" s="34" t="s">
        <v>130</v>
      </c>
      <c r="C71" s="15">
        <f t="shared" ref="C71:C109" si="6">+E71+G71+I71+K71</f>
        <v>75</v>
      </c>
      <c r="D71" s="15">
        <f t="shared" ref="D71:D109" si="7">+F71+H71+J71+L71</f>
        <v>77004.37</v>
      </c>
      <c r="E71" s="15"/>
      <c r="F71" s="15"/>
      <c r="G71" s="15"/>
      <c r="H71" s="15"/>
      <c r="I71" s="15">
        <v>59</v>
      </c>
      <c r="J71" s="15">
        <v>41001.46</v>
      </c>
      <c r="K71" s="15">
        <v>16</v>
      </c>
      <c r="L71" s="15">
        <v>36002.910000000003</v>
      </c>
      <c r="M71" s="30">
        <f t="shared" ref="M71:M109" si="8">+L71+J71-H71-F71</f>
        <v>77004.37</v>
      </c>
    </row>
    <row r="72" spans="1:13" ht="15.75" customHeight="1">
      <c r="A72" s="56">
        <f t="shared" si="4"/>
        <v>68</v>
      </c>
      <c r="B72" s="34" t="s">
        <v>75</v>
      </c>
      <c r="C72" s="15">
        <f t="shared" si="6"/>
        <v>696</v>
      </c>
      <c r="D72" s="15">
        <f t="shared" si="7"/>
        <v>389420.43000000005</v>
      </c>
      <c r="E72" s="15">
        <v>153</v>
      </c>
      <c r="F72" s="15">
        <v>76243.37</v>
      </c>
      <c r="G72" s="15">
        <v>64</v>
      </c>
      <c r="H72" s="15">
        <v>38174.629999999997</v>
      </c>
      <c r="I72" s="15">
        <v>408</v>
      </c>
      <c r="J72" s="15">
        <v>211460.53</v>
      </c>
      <c r="K72" s="15">
        <v>71</v>
      </c>
      <c r="L72" s="15">
        <v>63541.9</v>
      </c>
      <c r="M72" s="30">
        <f t="shared" si="8"/>
        <v>160584.43</v>
      </c>
    </row>
    <row r="73" spans="1:13" ht="15.75" customHeight="1">
      <c r="A73" s="56">
        <f t="shared" si="4"/>
        <v>69</v>
      </c>
      <c r="B73" s="34" t="s">
        <v>164</v>
      </c>
      <c r="C73" s="15">
        <f t="shared" si="6"/>
        <v>9</v>
      </c>
      <c r="D73" s="15">
        <f t="shared" si="7"/>
        <v>3306.4100000000003</v>
      </c>
      <c r="E73" s="15">
        <v>8</v>
      </c>
      <c r="F73" s="15">
        <v>3167.28</v>
      </c>
      <c r="G73" s="15"/>
      <c r="H73" s="15"/>
      <c r="I73" s="15">
        <v>1</v>
      </c>
      <c r="J73" s="15">
        <v>139.13</v>
      </c>
      <c r="K73" s="15"/>
      <c r="L73" s="15"/>
      <c r="M73" s="30">
        <f t="shared" si="8"/>
        <v>-3028.15</v>
      </c>
    </row>
    <row r="74" spans="1:13" ht="15.75" customHeight="1">
      <c r="A74" s="56">
        <f t="shared" si="4"/>
        <v>70</v>
      </c>
      <c r="B74" s="34" t="s">
        <v>52</v>
      </c>
      <c r="C74" s="15">
        <f t="shared" si="6"/>
        <v>614</v>
      </c>
      <c r="D74" s="15">
        <f t="shared" si="7"/>
        <v>488543.81999999995</v>
      </c>
      <c r="E74" s="15">
        <v>190</v>
      </c>
      <c r="F74" s="15">
        <v>156630.82</v>
      </c>
      <c r="G74" s="15">
        <v>55</v>
      </c>
      <c r="H74" s="15">
        <v>15301.8</v>
      </c>
      <c r="I74" s="15">
        <v>325</v>
      </c>
      <c r="J74" s="15">
        <v>297416.28999999998</v>
      </c>
      <c r="K74" s="15">
        <v>44</v>
      </c>
      <c r="L74" s="15">
        <v>19194.91</v>
      </c>
      <c r="M74" s="30">
        <f t="shared" si="8"/>
        <v>144678.57999999996</v>
      </c>
    </row>
    <row r="75" spans="1:13" ht="15.75" customHeight="1">
      <c r="A75" s="56">
        <f t="shared" si="4"/>
        <v>71</v>
      </c>
      <c r="B75" s="34" t="s">
        <v>78</v>
      </c>
      <c r="C75" s="15">
        <f t="shared" si="6"/>
        <v>369</v>
      </c>
      <c r="D75" s="15">
        <f t="shared" si="7"/>
        <v>270430.62</v>
      </c>
      <c r="E75" s="15">
        <v>73</v>
      </c>
      <c r="F75" s="15">
        <v>44775.61</v>
      </c>
      <c r="G75" s="15">
        <v>25</v>
      </c>
      <c r="H75" s="15">
        <v>30701.72</v>
      </c>
      <c r="I75" s="15">
        <v>240</v>
      </c>
      <c r="J75" s="15">
        <v>182267.53</v>
      </c>
      <c r="K75" s="15">
        <v>31</v>
      </c>
      <c r="L75" s="15">
        <v>12685.76</v>
      </c>
      <c r="M75" s="30">
        <f t="shared" si="8"/>
        <v>119475.96</v>
      </c>
    </row>
    <row r="76" spans="1:13" ht="15.75" customHeight="1">
      <c r="A76" s="56">
        <f t="shared" si="4"/>
        <v>72</v>
      </c>
      <c r="B76" s="34" t="s">
        <v>86</v>
      </c>
      <c r="C76" s="15">
        <f t="shared" si="6"/>
        <v>256</v>
      </c>
      <c r="D76" s="15">
        <f t="shared" si="7"/>
        <v>154963.37</v>
      </c>
      <c r="E76" s="15">
        <v>28</v>
      </c>
      <c r="F76" s="15">
        <v>25631.98</v>
      </c>
      <c r="G76" s="15">
        <v>8</v>
      </c>
      <c r="H76" s="15">
        <v>3150.93</v>
      </c>
      <c r="I76" s="15">
        <v>191</v>
      </c>
      <c r="J76" s="15">
        <v>115551.77</v>
      </c>
      <c r="K76" s="15">
        <v>29</v>
      </c>
      <c r="L76" s="15">
        <v>10628.69</v>
      </c>
      <c r="M76" s="30">
        <f t="shared" si="8"/>
        <v>97397.550000000017</v>
      </c>
    </row>
    <row r="77" spans="1:13" ht="15.75" customHeight="1">
      <c r="A77" s="56">
        <f t="shared" si="4"/>
        <v>73</v>
      </c>
      <c r="B77" s="34" t="s">
        <v>149</v>
      </c>
      <c r="C77" s="15">
        <f t="shared" si="6"/>
        <v>17</v>
      </c>
      <c r="D77" s="15">
        <f t="shared" si="7"/>
        <v>4175.93</v>
      </c>
      <c r="E77" s="15">
        <v>9</v>
      </c>
      <c r="F77" s="15">
        <v>2840.3</v>
      </c>
      <c r="G77" s="15"/>
      <c r="H77" s="15"/>
      <c r="I77" s="15">
        <v>8</v>
      </c>
      <c r="J77" s="15">
        <v>1335.63</v>
      </c>
      <c r="K77" s="15"/>
      <c r="L77" s="15"/>
      <c r="M77" s="30">
        <f t="shared" si="8"/>
        <v>-1504.67</v>
      </c>
    </row>
    <row r="78" spans="1:13" ht="15.75" customHeight="1">
      <c r="A78" s="56">
        <f t="shared" si="4"/>
        <v>74</v>
      </c>
      <c r="B78" s="34" t="s">
        <v>79</v>
      </c>
      <c r="C78" s="15">
        <f t="shared" si="6"/>
        <v>640</v>
      </c>
      <c r="D78" s="15">
        <f t="shared" si="7"/>
        <v>614790.01</v>
      </c>
      <c r="E78" s="15">
        <v>49</v>
      </c>
      <c r="F78" s="15">
        <v>59214.04</v>
      </c>
      <c r="G78" s="15">
        <v>25</v>
      </c>
      <c r="H78" s="15">
        <v>43480.26</v>
      </c>
      <c r="I78" s="15">
        <v>487</v>
      </c>
      <c r="J78" s="15">
        <v>387146.73</v>
      </c>
      <c r="K78" s="15">
        <v>79</v>
      </c>
      <c r="L78" s="15">
        <v>124948.98</v>
      </c>
      <c r="M78" s="30">
        <f t="shared" si="8"/>
        <v>409401.41</v>
      </c>
    </row>
    <row r="79" spans="1:13" ht="15.75" customHeight="1">
      <c r="A79" s="56">
        <f t="shared" si="4"/>
        <v>75</v>
      </c>
      <c r="B79" s="34" t="s">
        <v>39</v>
      </c>
      <c r="C79" s="15">
        <f t="shared" si="6"/>
        <v>938</v>
      </c>
      <c r="D79" s="15">
        <f t="shared" si="7"/>
        <v>825598.89</v>
      </c>
      <c r="E79" s="15">
        <v>331</v>
      </c>
      <c r="F79" s="15">
        <v>309415.57</v>
      </c>
      <c r="G79" s="15">
        <v>123</v>
      </c>
      <c r="H79" s="15">
        <v>110339.01</v>
      </c>
      <c r="I79" s="15">
        <v>345</v>
      </c>
      <c r="J79" s="15">
        <v>260275.96</v>
      </c>
      <c r="K79" s="15">
        <v>139</v>
      </c>
      <c r="L79" s="15">
        <v>145568.35</v>
      </c>
      <c r="M79" s="30">
        <f t="shared" si="8"/>
        <v>-13910.270000000019</v>
      </c>
    </row>
    <row r="80" spans="1:13" ht="15.75" customHeight="1">
      <c r="A80" s="56">
        <f t="shared" ref="A80:A109" si="9">+A79+1</f>
        <v>76</v>
      </c>
      <c r="B80" s="34" t="s">
        <v>163</v>
      </c>
      <c r="C80" s="15">
        <f t="shared" si="6"/>
        <v>9</v>
      </c>
      <c r="D80" s="15">
        <f t="shared" si="7"/>
        <v>2920.5299999999997</v>
      </c>
      <c r="E80" s="15">
        <v>1</v>
      </c>
      <c r="F80" s="15">
        <v>277.10000000000002</v>
      </c>
      <c r="G80" s="15"/>
      <c r="H80" s="15"/>
      <c r="I80" s="15">
        <v>8</v>
      </c>
      <c r="J80" s="15">
        <v>2643.43</v>
      </c>
      <c r="K80" s="15"/>
      <c r="L80" s="15"/>
      <c r="M80" s="30">
        <f t="shared" si="8"/>
        <v>2366.33</v>
      </c>
    </row>
    <row r="81" spans="1:13" ht="15.75" customHeight="1">
      <c r="A81" s="56">
        <f t="shared" si="9"/>
        <v>77</v>
      </c>
      <c r="B81" s="34" t="s">
        <v>37</v>
      </c>
      <c r="C81" s="15">
        <f t="shared" si="6"/>
        <v>823</v>
      </c>
      <c r="D81" s="15">
        <f t="shared" si="7"/>
        <v>624808.63</v>
      </c>
      <c r="E81" s="15">
        <v>226</v>
      </c>
      <c r="F81" s="15">
        <v>158099.4</v>
      </c>
      <c r="G81" s="15">
        <v>175</v>
      </c>
      <c r="H81" s="15">
        <v>166233.10999999999</v>
      </c>
      <c r="I81" s="15">
        <v>333</v>
      </c>
      <c r="J81" s="15">
        <v>239667.11</v>
      </c>
      <c r="K81" s="15">
        <v>89</v>
      </c>
      <c r="L81" s="15">
        <v>60809.01</v>
      </c>
      <c r="M81" s="30">
        <f t="shared" si="8"/>
        <v>-23856.389999999985</v>
      </c>
    </row>
    <row r="82" spans="1:13" ht="15.75" customHeight="1">
      <c r="A82" s="56">
        <f t="shared" si="9"/>
        <v>78</v>
      </c>
      <c r="B82" s="34" t="s">
        <v>126</v>
      </c>
      <c r="C82" s="15">
        <f t="shared" si="6"/>
        <v>346</v>
      </c>
      <c r="D82" s="15">
        <f t="shared" si="7"/>
        <v>268537.59999999998</v>
      </c>
      <c r="E82" s="15">
        <v>161</v>
      </c>
      <c r="F82" s="15">
        <v>131988.09</v>
      </c>
      <c r="G82" s="15">
        <v>38</v>
      </c>
      <c r="H82" s="15">
        <v>16143.31</v>
      </c>
      <c r="I82" s="15">
        <v>138</v>
      </c>
      <c r="J82" s="15">
        <v>118559.14</v>
      </c>
      <c r="K82" s="15">
        <v>9</v>
      </c>
      <c r="L82" s="15">
        <v>1847.06</v>
      </c>
      <c r="M82" s="30">
        <f t="shared" si="8"/>
        <v>-27725.199999999997</v>
      </c>
    </row>
    <row r="83" spans="1:13" ht="15.75" customHeight="1">
      <c r="A83" s="56">
        <f t="shared" si="9"/>
        <v>79</v>
      </c>
      <c r="B83" s="34" t="s">
        <v>95</v>
      </c>
      <c r="C83" s="15">
        <f t="shared" si="6"/>
        <v>4042</v>
      </c>
      <c r="D83" s="15">
        <f t="shared" si="7"/>
        <v>2477222.04</v>
      </c>
      <c r="E83" s="15">
        <v>1029</v>
      </c>
      <c r="F83" s="15">
        <v>576887.80000000005</v>
      </c>
      <c r="G83" s="15">
        <v>211</v>
      </c>
      <c r="H83" s="15">
        <v>149857.38</v>
      </c>
      <c r="I83" s="15">
        <v>2633</v>
      </c>
      <c r="J83" s="15">
        <v>1657414.67</v>
      </c>
      <c r="K83" s="15">
        <v>169</v>
      </c>
      <c r="L83" s="15">
        <v>93062.19</v>
      </c>
      <c r="M83" s="30">
        <f t="shared" si="8"/>
        <v>1023731.6799999999</v>
      </c>
    </row>
    <row r="84" spans="1:13" ht="15.75" customHeight="1">
      <c r="A84" s="56">
        <f t="shared" si="9"/>
        <v>80</v>
      </c>
      <c r="B84" s="34" t="s">
        <v>3</v>
      </c>
      <c r="C84" s="15">
        <f t="shared" si="6"/>
        <v>804</v>
      </c>
      <c r="D84" s="15">
        <f t="shared" si="7"/>
        <v>378468.3</v>
      </c>
      <c r="E84" s="15">
        <v>198</v>
      </c>
      <c r="F84" s="15">
        <v>77721.7</v>
      </c>
      <c r="G84" s="15">
        <v>59</v>
      </c>
      <c r="H84" s="15">
        <v>20664.04</v>
      </c>
      <c r="I84" s="15">
        <v>461</v>
      </c>
      <c r="J84" s="15">
        <v>247620.31</v>
      </c>
      <c r="K84" s="15">
        <v>86</v>
      </c>
      <c r="L84" s="15">
        <v>32462.25</v>
      </c>
      <c r="M84" s="30">
        <f t="shared" si="8"/>
        <v>181696.82</v>
      </c>
    </row>
    <row r="85" spans="1:13" ht="15.75" customHeight="1">
      <c r="A85" s="56">
        <f t="shared" si="9"/>
        <v>81</v>
      </c>
      <c r="B85" s="34" t="s">
        <v>154</v>
      </c>
      <c r="C85" s="15">
        <f t="shared" si="6"/>
        <v>212</v>
      </c>
      <c r="D85" s="15">
        <f t="shared" si="7"/>
        <v>98648.17</v>
      </c>
      <c r="E85" s="15">
        <v>111</v>
      </c>
      <c r="F85" s="15">
        <v>56599.58</v>
      </c>
      <c r="G85" s="15"/>
      <c r="H85" s="15"/>
      <c r="I85" s="15">
        <v>101</v>
      </c>
      <c r="J85" s="15">
        <v>42048.59</v>
      </c>
      <c r="K85" s="15"/>
      <c r="L85" s="15"/>
      <c r="M85" s="30">
        <f t="shared" si="8"/>
        <v>-14550.990000000005</v>
      </c>
    </row>
    <row r="86" spans="1:13" ht="15.75" customHeight="1">
      <c r="A86" s="56">
        <f t="shared" si="9"/>
        <v>82</v>
      </c>
      <c r="B86" s="34" t="s">
        <v>60</v>
      </c>
      <c r="C86" s="15">
        <f t="shared" si="6"/>
        <v>2791</v>
      </c>
      <c r="D86" s="15">
        <f t="shared" si="7"/>
        <v>2434183.04</v>
      </c>
      <c r="E86" s="15">
        <v>689</v>
      </c>
      <c r="F86" s="15">
        <v>622609.61</v>
      </c>
      <c r="G86" s="15">
        <v>181</v>
      </c>
      <c r="H86" s="15">
        <v>153716.76</v>
      </c>
      <c r="I86" s="15">
        <v>1736</v>
      </c>
      <c r="J86" s="15">
        <v>1563478.1</v>
      </c>
      <c r="K86" s="15">
        <v>185</v>
      </c>
      <c r="L86" s="15">
        <v>94378.57</v>
      </c>
      <c r="M86" s="30">
        <f t="shared" si="8"/>
        <v>881530.30000000016</v>
      </c>
    </row>
    <row r="87" spans="1:13" ht="15.75" customHeight="1">
      <c r="A87" s="56">
        <f t="shared" si="9"/>
        <v>83</v>
      </c>
      <c r="B87" s="34" t="s">
        <v>16</v>
      </c>
      <c r="C87" s="15">
        <f t="shared" si="6"/>
        <v>1901</v>
      </c>
      <c r="D87" s="15">
        <f t="shared" si="7"/>
        <v>1874571.1400000001</v>
      </c>
      <c r="E87" s="15">
        <v>289</v>
      </c>
      <c r="F87" s="15">
        <v>245375.05</v>
      </c>
      <c r="G87" s="15">
        <v>302</v>
      </c>
      <c r="H87" s="15">
        <v>450103.22</v>
      </c>
      <c r="I87" s="15">
        <v>1008</v>
      </c>
      <c r="J87" s="15">
        <v>779145.73</v>
      </c>
      <c r="K87" s="15">
        <v>302</v>
      </c>
      <c r="L87" s="15">
        <v>399947.14</v>
      </c>
      <c r="M87" s="30">
        <f t="shared" si="8"/>
        <v>483614.60000000015</v>
      </c>
    </row>
    <row r="88" spans="1:13" ht="15.75" customHeight="1">
      <c r="A88" s="56">
        <f t="shared" si="9"/>
        <v>84</v>
      </c>
      <c r="B88" s="34" t="s">
        <v>107</v>
      </c>
      <c r="C88" s="15">
        <f t="shared" si="6"/>
        <v>201</v>
      </c>
      <c r="D88" s="15">
        <f t="shared" si="7"/>
        <v>243841.28</v>
      </c>
      <c r="E88" s="15"/>
      <c r="F88" s="15"/>
      <c r="G88" s="15"/>
      <c r="H88" s="15"/>
      <c r="I88" s="15">
        <v>121</v>
      </c>
      <c r="J88" s="15">
        <v>93399.47</v>
      </c>
      <c r="K88" s="15">
        <v>80</v>
      </c>
      <c r="L88" s="15">
        <v>150441.81</v>
      </c>
      <c r="M88" s="30">
        <f t="shared" si="8"/>
        <v>243841.28</v>
      </c>
    </row>
    <row r="89" spans="1:13" ht="15.75" customHeight="1">
      <c r="A89" s="56">
        <f t="shared" si="9"/>
        <v>85</v>
      </c>
      <c r="B89" s="34" t="s">
        <v>48</v>
      </c>
      <c r="C89" s="15">
        <f t="shared" si="6"/>
        <v>963</v>
      </c>
      <c r="D89" s="15">
        <f t="shared" si="7"/>
        <v>854434.84</v>
      </c>
      <c r="E89" s="15">
        <v>201</v>
      </c>
      <c r="F89" s="15">
        <v>150813.79999999999</v>
      </c>
      <c r="G89" s="15">
        <v>150</v>
      </c>
      <c r="H89" s="15">
        <v>130724.65</v>
      </c>
      <c r="I89" s="15">
        <v>449</v>
      </c>
      <c r="J89" s="15">
        <v>436050</v>
      </c>
      <c r="K89" s="15">
        <v>163</v>
      </c>
      <c r="L89" s="15">
        <v>136846.39000000001</v>
      </c>
      <c r="M89" s="30">
        <f t="shared" si="8"/>
        <v>291357.94</v>
      </c>
    </row>
    <row r="90" spans="1:13" ht="15.75" customHeight="1">
      <c r="A90" s="56">
        <f t="shared" si="9"/>
        <v>86</v>
      </c>
      <c r="B90" s="34" t="s">
        <v>89</v>
      </c>
      <c r="C90" s="15">
        <f t="shared" si="6"/>
        <v>4191</v>
      </c>
      <c r="D90" s="15">
        <f t="shared" si="7"/>
        <v>3029768.5</v>
      </c>
      <c r="E90" s="15">
        <v>1043</v>
      </c>
      <c r="F90" s="15">
        <v>734739.53</v>
      </c>
      <c r="G90" s="15">
        <v>604</v>
      </c>
      <c r="H90" s="15">
        <v>378226.04</v>
      </c>
      <c r="I90" s="15">
        <v>1987</v>
      </c>
      <c r="J90" s="15">
        <v>1357479.19</v>
      </c>
      <c r="K90" s="15">
        <v>557</v>
      </c>
      <c r="L90" s="15">
        <v>559323.74</v>
      </c>
      <c r="M90" s="30">
        <f t="shared" si="8"/>
        <v>803837.35999999987</v>
      </c>
    </row>
    <row r="91" spans="1:13" ht="15.75" customHeight="1">
      <c r="A91" s="56">
        <f t="shared" si="9"/>
        <v>87</v>
      </c>
      <c r="B91" s="34" t="s">
        <v>66</v>
      </c>
      <c r="C91" s="15">
        <f t="shared" si="6"/>
        <v>2450</v>
      </c>
      <c r="D91" s="15">
        <f t="shared" si="7"/>
        <v>2135854.84</v>
      </c>
      <c r="E91" s="15">
        <v>615</v>
      </c>
      <c r="F91" s="15">
        <v>416168.39</v>
      </c>
      <c r="G91" s="15">
        <v>229</v>
      </c>
      <c r="H91" s="15">
        <v>302175.78000000003</v>
      </c>
      <c r="I91" s="15">
        <v>1107</v>
      </c>
      <c r="J91" s="15">
        <v>953053.19</v>
      </c>
      <c r="K91" s="15">
        <v>499</v>
      </c>
      <c r="L91" s="15">
        <v>464457.48</v>
      </c>
      <c r="M91" s="30">
        <f t="shared" si="8"/>
        <v>699166.49999999988</v>
      </c>
    </row>
    <row r="92" spans="1:13" ht="15.75" customHeight="1">
      <c r="A92" s="56">
        <f t="shared" si="9"/>
        <v>88</v>
      </c>
      <c r="B92" s="34" t="s">
        <v>113</v>
      </c>
      <c r="C92" s="15">
        <f t="shared" si="6"/>
        <v>1894</v>
      </c>
      <c r="D92" s="15">
        <f t="shared" si="7"/>
        <v>1377669.39</v>
      </c>
      <c r="E92" s="15">
        <v>424</v>
      </c>
      <c r="F92" s="15">
        <v>289106.59999999998</v>
      </c>
      <c r="G92" s="15">
        <v>382</v>
      </c>
      <c r="H92" s="15">
        <v>267607.31</v>
      </c>
      <c r="I92" s="15">
        <v>719</v>
      </c>
      <c r="J92" s="15">
        <v>552411.19999999995</v>
      </c>
      <c r="K92" s="15">
        <v>369</v>
      </c>
      <c r="L92" s="15">
        <v>268544.28000000003</v>
      </c>
      <c r="M92" s="30">
        <f t="shared" si="8"/>
        <v>264241.56999999995</v>
      </c>
    </row>
    <row r="93" spans="1:13" ht="15.75" customHeight="1">
      <c r="A93" s="56">
        <f t="shared" si="9"/>
        <v>89</v>
      </c>
      <c r="B93" s="34" t="s">
        <v>81</v>
      </c>
      <c r="C93" s="15">
        <f t="shared" si="6"/>
        <v>1043</v>
      </c>
      <c r="D93" s="15">
        <f t="shared" si="7"/>
        <v>984209.3</v>
      </c>
      <c r="E93" s="15">
        <v>150</v>
      </c>
      <c r="F93" s="15">
        <v>83825.69</v>
      </c>
      <c r="G93" s="15">
        <v>35</v>
      </c>
      <c r="H93" s="15">
        <v>54826.11</v>
      </c>
      <c r="I93" s="15">
        <v>712</v>
      </c>
      <c r="J93" s="15">
        <v>571673.97</v>
      </c>
      <c r="K93" s="15">
        <v>146</v>
      </c>
      <c r="L93" s="15">
        <v>273883.53000000003</v>
      </c>
      <c r="M93" s="30">
        <f t="shared" si="8"/>
        <v>706905.7</v>
      </c>
    </row>
    <row r="94" spans="1:13" ht="15.75" customHeight="1">
      <c r="A94" s="56">
        <f t="shared" si="9"/>
        <v>90</v>
      </c>
      <c r="B94" s="34" t="s">
        <v>151</v>
      </c>
      <c r="C94" s="15">
        <f t="shared" si="6"/>
        <v>34</v>
      </c>
      <c r="D94" s="15">
        <f t="shared" si="7"/>
        <v>19991.04</v>
      </c>
      <c r="E94" s="15">
        <v>21</v>
      </c>
      <c r="F94" s="15">
        <v>9415.94</v>
      </c>
      <c r="G94" s="15"/>
      <c r="H94" s="15"/>
      <c r="I94" s="15">
        <v>13</v>
      </c>
      <c r="J94" s="15">
        <v>10575.1</v>
      </c>
      <c r="K94" s="15"/>
      <c r="L94" s="15"/>
      <c r="M94" s="30">
        <f t="shared" si="8"/>
        <v>1159.1599999999999</v>
      </c>
    </row>
    <row r="95" spans="1:13" ht="15.75" customHeight="1">
      <c r="A95" s="56">
        <f t="shared" si="9"/>
        <v>91</v>
      </c>
      <c r="B95" s="34" t="s">
        <v>117</v>
      </c>
      <c r="C95" s="15">
        <f t="shared" si="6"/>
        <v>1152</v>
      </c>
      <c r="D95" s="15">
        <f t="shared" si="7"/>
        <v>882607.36</v>
      </c>
      <c r="E95" s="15">
        <v>361</v>
      </c>
      <c r="F95" s="15">
        <v>241600.15</v>
      </c>
      <c r="G95" s="15">
        <v>71</v>
      </c>
      <c r="H95" s="15">
        <v>38799.78</v>
      </c>
      <c r="I95" s="15">
        <v>644</v>
      </c>
      <c r="J95" s="15">
        <v>443952.43</v>
      </c>
      <c r="K95" s="15">
        <v>76</v>
      </c>
      <c r="L95" s="15">
        <v>158255</v>
      </c>
      <c r="M95" s="30">
        <f t="shared" si="8"/>
        <v>321807.49999999988</v>
      </c>
    </row>
    <row r="96" spans="1:13" ht="15.75" customHeight="1">
      <c r="A96" s="56">
        <f t="shared" si="9"/>
        <v>92</v>
      </c>
      <c r="B96" s="34" t="s">
        <v>310</v>
      </c>
      <c r="C96" s="15">
        <f t="shared" si="6"/>
        <v>220</v>
      </c>
      <c r="D96" s="15">
        <f t="shared" si="7"/>
        <v>113738.26</v>
      </c>
      <c r="E96" s="15">
        <v>0</v>
      </c>
      <c r="F96" s="15">
        <v>0</v>
      </c>
      <c r="G96" s="15">
        <v>0</v>
      </c>
      <c r="H96" s="15">
        <v>0</v>
      </c>
      <c r="I96" s="15">
        <v>189</v>
      </c>
      <c r="J96" s="15">
        <v>100582.65</v>
      </c>
      <c r="K96" s="15">
        <v>31</v>
      </c>
      <c r="L96" s="15">
        <v>13155.61</v>
      </c>
      <c r="M96" s="30">
        <f t="shared" si="8"/>
        <v>113738.26</v>
      </c>
    </row>
    <row r="97" spans="1:13" ht="15.75" customHeight="1">
      <c r="A97" s="56">
        <f t="shared" si="9"/>
        <v>93</v>
      </c>
      <c r="B97" s="34" t="s">
        <v>108</v>
      </c>
      <c r="C97" s="15">
        <f t="shared" si="6"/>
        <v>6241</v>
      </c>
      <c r="D97" s="15">
        <f t="shared" si="7"/>
        <v>4744268.21</v>
      </c>
      <c r="E97" s="15">
        <v>1413</v>
      </c>
      <c r="F97" s="15">
        <v>851355.8</v>
      </c>
      <c r="G97" s="15">
        <v>560</v>
      </c>
      <c r="H97" s="15">
        <v>581355.13</v>
      </c>
      <c r="I97" s="15">
        <v>3578</v>
      </c>
      <c r="J97" s="15">
        <v>2642716.91</v>
      </c>
      <c r="K97" s="15">
        <v>690</v>
      </c>
      <c r="L97" s="15">
        <v>668840.37</v>
      </c>
      <c r="M97" s="30">
        <f t="shared" si="8"/>
        <v>1878846.3500000003</v>
      </c>
    </row>
    <row r="98" spans="1:13" ht="15.75" customHeight="1">
      <c r="A98" s="56">
        <f t="shared" si="9"/>
        <v>94</v>
      </c>
      <c r="B98" s="34" t="s">
        <v>150</v>
      </c>
      <c r="C98" s="15">
        <f t="shared" si="6"/>
        <v>280</v>
      </c>
      <c r="D98" s="15">
        <f t="shared" si="7"/>
        <v>122298.18</v>
      </c>
      <c r="E98" s="15">
        <v>126</v>
      </c>
      <c r="F98" s="15">
        <v>59351.199999999997</v>
      </c>
      <c r="G98" s="15"/>
      <c r="H98" s="15"/>
      <c r="I98" s="15">
        <v>154</v>
      </c>
      <c r="J98" s="15">
        <v>62946.98</v>
      </c>
      <c r="K98" s="15"/>
      <c r="L98" s="15"/>
      <c r="M98" s="30">
        <f t="shared" si="8"/>
        <v>3595.7800000000061</v>
      </c>
    </row>
    <row r="99" spans="1:13" ht="15.75" customHeight="1">
      <c r="A99" s="56">
        <f t="shared" si="9"/>
        <v>95</v>
      </c>
      <c r="B99" s="34" t="s">
        <v>68</v>
      </c>
      <c r="C99" s="15">
        <f t="shared" si="6"/>
        <v>3881</v>
      </c>
      <c r="D99" s="15">
        <f t="shared" si="7"/>
        <v>2719846.71</v>
      </c>
      <c r="E99" s="15">
        <v>837</v>
      </c>
      <c r="F99" s="15">
        <v>595423.13</v>
      </c>
      <c r="G99" s="15">
        <v>342</v>
      </c>
      <c r="H99" s="15">
        <v>252852.15</v>
      </c>
      <c r="I99" s="15">
        <v>2448</v>
      </c>
      <c r="J99" s="15">
        <v>1672377.03</v>
      </c>
      <c r="K99" s="15">
        <v>254</v>
      </c>
      <c r="L99" s="15">
        <v>199194.4</v>
      </c>
      <c r="M99" s="30">
        <f t="shared" si="8"/>
        <v>1023296.15</v>
      </c>
    </row>
    <row r="100" spans="1:13" ht="15.75" customHeight="1">
      <c r="A100" s="56">
        <f t="shared" si="9"/>
        <v>96</v>
      </c>
      <c r="B100" s="34" t="s">
        <v>43</v>
      </c>
      <c r="C100" s="15">
        <f t="shared" si="6"/>
        <v>8231</v>
      </c>
      <c r="D100" s="15">
        <f t="shared" si="7"/>
        <v>6016481.79</v>
      </c>
      <c r="E100" s="15">
        <v>2044</v>
      </c>
      <c r="F100" s="15">
        <v>1244316.47</v>
      </c>
      <c r="G100" s="15">
        <v>612</v>
      </c>
      <c r="H100" s="15">
        <v>693909.02</v>
      </c>
      <c r="I100" s="15">
        <v>4868</v>
      </c>
      <c r="J100" s="15">
        <v>3406155.84</v>
      </c>
      <c r="K100" s="15">
        <v>707</v>
      </c>
      <c r="L100" s="15">
        <v>672100.46</v>
      </c>
      <c r="M100" s="30">
        <f t="shared" si="8"/>
        <v>2140030.8099999996</v>
      </c>
    </row>
    <row r="101" spans="1:13" ht="15.75" customHeight="1">
      <c r="A101" s="56">
        <f t="shared" si="9"/>
        <v>97</v>
      </c>
      <c r="B101" s="34" t="s">
        <v>62</v>
      </c>
      <c r="C101" s="15">
        <f t="shared" si="6"/>
        <v>5130</v>
      </c>
      <c r="D101" s="15">
        <f t="shared" si="7"/>
        <v>4087450.25</v>
      </c>
      <c r="E101" s="15">
        <v>1352</v>
      </c>
      <c r="F101" s="15">
        <v>1087200.82</v>
      </c>
      <c r="G101" s="15">
        <v>349</v>
      </c>
      <c r="H101" s="15">
        <v>202690.64</v>
      </c>
      <c r="I101" s="15">
        <v>2824</v>
      </c>
      <c r="J101" s="15">
        <v>2306734.44</v>
      </c>
      <c r="K101" s="15">
        <v>605</v>
      </c>
      <c r="L101" s="15">
        <v>490824.35</v>
      </c>
      <c r="M101" s="30">
        <f t="shared" si="8"/>
        <v>1507667.3299999998</v>
      </c>
    </row>
    <row r="102" spans="1:13" ht="15.75" customHeight="1">
      <c r="A102" s="56">
        <f t="shared" si="9"/>
        <v>98</v>
      </c>
      <c r="B102" s="34" t="s">
        <v>93</v>
      </c>
      <c r="C102" s="15">
        <f t="shared" si="6"/>
        <v>1048</v>
      </c>
      <c r="D102" s="15">
        <f t="shared" si="7"/>
        <v>642538.57999999996</v>
      </c>
      <c r="E102" s="15">
        <v>901</v>
      </c>
      <c r="F102" s="15">
        <v>555095.99</v>
      </c>
      <c r="G102" s="15">
        <v>147</v>
      </c>
      <c r="H102" s="15">
        <v>87442.59</v>
      </c>
      <c r="I102" s="15"/>
      <c r="J102" s="15"/>
      <c r="K102" s="15"/>
      <c r="L102" s="15"/>
      <c r="M102" s="30">
        <f t="shared" si="8"/>
        <v>-642538.57999999996</v>
      </c>
    </row>
    <row r="103" spans="1:13" ht="15.75" customHeight="1">
      <c r="A103" s="56">
        <f t="shared" si="9"/>
        <v>99</v>
      </c>
      <c r="B103" s="34" t="s">
        <v>137</v>
      </c>
      <c r="C103" s="15">
        <f t="shared" si="6"/>
        <v>474</v>
      </c>
      <c r="D103" s="15">
        <f t="shared" si="7"/>
        <v>716212.41</v>
      </c>
      <c r="E103" s="15">
        <v>213</v>
      </c>
      <c r="F103" s="15">
        <v>215377.47</v>
      </c>
      <c r="G103" s="15">
        <v>261</v>
      </c>
      <c r="H103" s="15">
        <v>500834.94</v>
      </c>
      <c r="I103" s="15"/>
      <c r="J103" s="15"/>
      <c r="K103" s="15"/>
      <c r="L103" s="15"/>
      <c r="M103" s="30">
        <f t="shared" si="8"/>
        <v>-716212.41</v>
      </c>
    </row>
    <row r="104" spans="1:13" ht="15.75" customHeight="1">
      <c r="A104" s="56">
        <f t="shared" si="9"/>
        <v>100</v>
      </c>
      <c r="B104" s="34" t="s">
        <v>80</v>
      </c>
      <c r="C104" s="15">
        <f t="shared" si="6"/>
        <v>614</v>
      </c>
      <c r="D104" s="15">
        <f t="shared" si="7"/>
        <v>412557.33</v>
      </c>
      <c r="E104" s="15">
        <v>354</v>
      </c>
      <c r="F104" s="15">
        <v>211807.51</v>
      </c>
      <c r="G104" s="15">
        <v>260</v>
      </c>
      <c r="H104" s="15">
        <v>200749.82</v>
      </c>
      <c r="I104" s="15"/>
      <c r="J104" s="15"/>
      <c r="K104" s="15"/>
      <c r="L104" s="15"/>
      <c r="M104" s="30">
        <f t="shared" si="8"/>
        <v>-412557.33</v>
      </c>
    </row>
    <row r="105" spans="1:13" ht="15.75" customHeight="1">
      <c r="A105" s="56">
        <f t="shared" si="9"/>
        <v>101</v>
      </c>
      <c r="B105" s="34" t="s">
        <v>138</v>
      </c>
      <c r="C105" s="15">
        <f t="shared" si="6"/>
        <v>173</v>
      </c>
      <c r="D105" s="15">
        <f t="shared" si="7"/>
        <v>113397.5</v>
      </c>
      <c r="E105" s="15">
        <v>106</v>
      </c>
      <c r="F105" s="15">
        <v>88835.37</v>
      </c>
      <c r="G105" s="15">
        <v>67</v>
      </c>
      <c r="H105" s="15">
        <v>24562.13</v>
      </c>
      <c r="I105" s="15"/>
      <c r="J105" s="15"/>
      <c r="K105" s="15"/>
      <c r="L105" s="15"/>
      <c r="M105" s="30">
        <f t="shared" si="8"/>
        <v>-113397.5</v>
      </c>
    </row>
    <row r="106" spans="1:13" ht="15.75" customHeight="1">
      <c r="A106" s="56">
        <f t="shared" si="9"/>
        <v>102</v>
      </c>
      <c r="B106" s="34" t="s">
        <v>124</v>
      </c>
      <c r="C106" s="15">
        <f t="shared" si="6"/>
        <v>164</v>
      </c>
      <c r="D106" s="15">
        <f t="shared" si="7"/>
        <v>68679.399999999994</v>
      </c>
      <c r="E106" s="15">
        <v>150</v>
      </c>
      <c r="F106" s="15">
        <v>63629.11</v>
      </c>
      <c r="G106" s="15">
        <v>14</v>
      </c>
      <c r="H106" s="15">
        <v>5050.29</v>
      </c>
      <c r="I106" s="15"/>
      <c r="J106" s="15"/>
      <c r="K106" s="15"/>
      <c r="L106" s="15"/>
      <c r="M106" s="30">
        <f t="shared" si="8"/>
        <v>-68679.399999999994</v>
      </c>
    </row>
    <row r="107" spans="1:13" ht="15.75" customHeight="1">
      <c r="A107" s="56">
        <f t="shared" si="9"/>
        <v>103</v>
      </c>
      <c r="B107" s="34" t="s">
        <v>140</v>
      </c>
      <c r="C107" s="15">
        <f t="shared" si="6"/>
        <v>9</v>
      </c>
      <c r="D107" s="15">
        <f t="shared" si="7"/>
        <v>3971.05</v>
      </c>
      <c r="E107" s="15"/>
      <c r="F107" s="15"/>
      <c r="G107" s="15">
        <v>9</v>
      </c>
      <c r="H107" s="15">
        <v>3971.05</v>
      </c>
      <c r="I107" s="15"/>
      <c r="J107" s="15"/>
      <c r="K107" s="15"/>
      <c r="L107" s="15"/>
      <c r="M107" s="30">
        <f t="shared" si="8"/>
        <v>-3971.05</v>
      </c>
    </row>
    <row r="108" spans="1:13" ht="15.75" customHeight="1">
      <c r="A108" s="56">
        <f t="shared" si="9"/>
        <v>104</v>
      </c>
      <c r="B108" s="34" t="s">
        <v>134</v>
      </c>
      <c r="C108" s="15">
        <f t="shared" si="6"/>
        <v>4</v>
      </c>
      <c r="D108" s="15">
        <f t="shared" si="7"/>
        <v>169.81</v>
      </c>
      <c r="E108" s="15"/>
      <c r="F108" s="15"/>
      <c r="G108" s="15">
        <v>4</v>
      </c>
      <c r="H108" s="15">
        <v>169.81</v>
      </c>
      <c r="I108" s="15"/>
      <c r="J108" s="15"/>
      <c r="K108" s="15"/>
      <c r="L108" s="15"/>
      <c r="M108" s="30">
        <f t="shared" si="8"/>
        <v>-169.81</v>
      </c>
    </row>
    <row r="109" spans="1:13" ht="15.75" customHeight="1">
      <c r="A109" s="56">
        <f t="shared" si="9"/>
        <v>105</v>
      </c>
      <c r="B109" s="34" t="s">
        <v>139</v>
      </c>
      <c r="C109" s="15">
        <f t="shared" si="6"/>
        <v>3</v>
      </c>
      <c r="D109" s="15">
        <f t="shared" si="7"/>
        <v>1468.64</v>
      </c>
      <c r="E109" s="15">
        <v>3</v>
      </c>
      <c r="F109" s="15">
        <v>1468.64</v>
      </c>
      <c r="G109" s="15"/>
      <c r="H109" s="15"/>
      <c r="I109" s="15"/>
      <c r="J109" s="15"/>
      <c r="K109" s="15"/>
      <c r="L109" s="15"/>
      <c r="M109" s="30">
        <f t="shared" si="8"/>
        <v>-1468.64</v>
      </c>
    </row>
  </sheetData>
  <autoFilter ref="A4:W111">
    <filterColumn colId="0" showButton="0"/>
    <sortState ref="A5:W113">
      <sortCondition descending="1" ref="D4:D113"/>
    </sortState>
  </autoFilter>
  <mergeCells count="12">
    <mergeCell ref="A1:A3"/>
    <mergeCell ref="B1:B3"/>
    <mergeCell ref="A4:B4"/>
    <mergeCell ref="M1:M3"/>
    <mergeCell ref="C1:C3"/>
    <mergeCell ref="D1:D3"/>
    <mergeCell ref="E1:H1"/>
    <mergeCell ref="I1:L1"/>
    <mergeCell ref="E2:F2"/>
    <mergeCell ref="G2:H2"/>
    <mergeCell ref="I2:J2"/>
    <mergeCell ref="K2:L2"/>
  </mergeCells>
  <pageMargins left="0.7" right="0.7" top="0.75" bottom="0.75" header="0.3" footer="0.3"/>
  <pageSetup scale="33" orientation="portrait" r:id="rId1"/>
  <colBreaks count="1" manualBreakCount="1">
    <brk id="1" max="1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N27"/>
  <sheetViews>
    <sheetView zoomScale="72" zoomScaleNormal="100" workbookViewId="0">
      <selection activeCell="J29" sqref="J29"/>
    </sheetView>
  </sheetViews>
  <sheetFormatPr defaultRowHeight="12.75"/>
  <cols>
    <col min="2" max="2" width="35" bestFit="1" customWidth="1"/>
    <col min="3" max="3" width="14.28515625" customWidth="1"/>
    <col min="4" max="4" width="24" bestFit="1" customWidth="1"/>
    <col min="5" max="9" width="14.28515625" customWidth="1"/>
    <col min="10" max="10" width="17.85546875" customWidth="1"/>
    <col min="11" max="12" width="14.28515625" customWidth="1"/>
    <col min="13" max="13" width="14.42578125" customWidth="1"/>
  </cols>
  <sheetData>
    <row r="1" spans="1:14" ht="19.5" customHeight="1">
      <c r="A1" s="73" t="s">
        <v>175</v>
      </c>
      <c r="B1" s="73" t="s">
        <v>245</v>
      </c>
      <c r="C1" s="83" t="s">
        <v>171</v>
      </c>
      <c r="D1" s="83" t="s">
        <v>172</v>
      </c>
      <c r="E1" s="77" t="s">
        <v>425</v>
      </c>
      <c r="F1" s="78"/>
      <c r="G1" s="78"/>
      <c r="H1" s="79"/>
      <c r="I1" s="77" t="s">
        <v>426</v>
      </c>
      <c r="J1" s="78"/>
      <c r="K1" s="78"/>
      <c r="L1" s="79"/>
      <c r="M1" s="90" t="s">
        <v>244</v>
      </c>
    </row>
    <row r="2" spans="1:14" ht="19.5" customHeight="1">
      <c r="A2" s="73"/>
      <c r="B2" s="73"/>
      <c r="C2" s="83"/>
      <c r="D2" s="83"/>
      <c r="E2" s="73" t="s">
        <v>148</v>
      </c>
      <c r="F2" s="73"/>
      <c r="G2" s="73" t="s">
        <v>1</v>
      </c>
      <c r="H2" s="73"/>
      <c r="I2" s="73" t="s">
        <v>148</v>
      </c>
      <c r="J2" s="73"/>
      <c r="K2" s="73" t="s">
        <v>1</v>
      </c>
      <c r="L2" s="73"/>
      <c r="M2" s="90"/>
    </row>
    <row r="3" spans="1:14" ht="19.5" customHeight="1">
      <c r="A3" s="73"/>
      <c r="B3" s="73"/>
      <c r="C3" s="83"/>
      <c r="D3" s="83"/>
      <c r="E3" s="9" t="s">
        <v>173</v>
      </c>
      <c r="F3" s="9" t="s">
        <v>170</v>
      </c>
      <c r="G3" s="9" t="s">
        <v>173</v>
      </c>
      <c r="H3" s="9" t="s">
        <v>170</v>
      </c>
      <c r="I3" s="9" t="s">
        <v>173</v>
      </c>
      <c r="J3" s="9" t="s">
        <v>170</v>
      </c>
      <c r="K3" s="9" t="s">
        <v>173</v>
      </c>
      <c r="L3" s="9" t="s">
        <v>170</v>
      </c>
      <c r="M3" s="90"/>
    </row>
    <row r="4" spans="1:14" s="4" customFormat="1" ht="20.25" customHeight="1">
      <c r="A4" s="73" t="s">
        <v>176</v>
      </c>
      <c r="B4" s="73"/>
      <c r="C4" s="13">
        <f t="shared" ref="C4:M4" si="0">SUM(C5:C9)</f>
        <v>163110</v>
      </c>
      <c r="D4" s="13">
        <f t="shared" si="0"/>
        <v>133464249</v>
      </c>
      <c r="E4" s="13">
        <f t="shared" si="0"/>
        <v>37754</v>
      </c>
      <c r="F4" s="13">
        <f t="shared" si="0"/>
        <v>26805688</v>
      </c>
      <c r="G4" s="13">
        <f t="shared" si="0"/>
        <v>16464</v>
      </c>
      <c r="H4" s="13">
        <f t="shared" si="0"/>
        <v>16090038</v>
      </c>
      <c r="I4" s="13">
        <f t="shared" si="0"/>
        <v>90987</v>
      </c>
      <c r="J4" s="13">
        <f t="shared" si="0"/>
        <v>72253275</v>
      </c>
      <c r="K4" s="13">
        <f t="shared" si="0"/>
        <v>17905</v>
      </c>
      <c r="L4" s="13">
        <f t="shared" si="0"/>
        <v>18315248</v>
      </c>
      <c r="M4" s="13">
        <f t="shared" si="0"/>
        <v>47672797</v>
      </c>
    </row>
    <row r="5" spans="1:14" ht="20.25" customHeight="1">
      <c r="A5" s="7">
        <v>1</v>
      </c>
      <c r="B5" s="17" t="s">
        <v>5</v>
      </c>
      <c r="C5" s="6">
        <f>+E5+G5+I5+K5</f>
        <v>129972</v>
      </c>
      <c r="D5" s="6">
        <f>+F5+H5+J5+L5</f>
        <v>108409760</v>
      </c>
      <c r="E5" s="6">
        <v>30557</v>
      </c>
      <c r="F5" s="6">
        <v>22516644</v>
      </c>
      <c r="G5" s="6">
        <v>12860</v>
      </c>
      <c r="H5" s="6">
        <v>12463995</v>
      </c>
      <c r="I5" s="6">
        <v>71975</v>
      </c>
      <c r="J5" s="6">
        <v>58099496</v>
      </c>
      <c r="K5" s="6">
        <v>14580</v>
      </c>
      <c r="L5" s="6">
        <v>15329625</v>
      </c>
      <c r="M5" s="13">
        <f>+L5+J5-H5-F5</f>
        <v>38448482</v>
      </c>
    </row>
    <row r="6" spans="1:14" ht="20.25" customHeight="1">
      <c r="A6" s="7">
        <f>+A5+1</f>
        <v>2</v>
      </c>
      <c r="B6" s="17" t="s">
        <v>19</v>
      </c>
      <c r="C6" s="6">
        <f t="shared" ref="C6:C8" si="1">+E6+G6+I6+K6</f>
        <v>32329</v>
      </c>
      <c r="D6" s="6">
        <f t="shared" ref="D6:D8" si="2">+F6+H6+J6+L6</f>
        <v>24265777</v>
      </c>
      <c r="E6" s="6">
        <v>7057</v>
      </c>
      <c r="F6" s="6">
        <v>4188634</v>
      </c>
      <c r="G6" s="6">
        <v>3432</v>
      </c>
      <c r="H6" s="6">
        <v>3396965</v>
      </c>
      <c r="I6" s="6">
        <v>18654</v>
      </c>
      <c r="J6" s="6">
        <v>13835424</v>
      </c>
      <c r="K6" s="6">
        <v>3186</v>
      </c>
      <c r="L6" s="6">
        <v>2844754</v>
      </c>
      <c r="M6" s="13">
        <f t="shared" ref="M6:M9" si="3">+L6+J6-H6-F6</f>
        <v>9094579</v>
      </c>
      <c r="N6" s="27"/>
    </row>
    <row r="7" spans="1:14" ht="20.25" customHeight="1">
      <c r="A7" s="31">
        <f t="shared" ref="A7:A9" si="4">+A6+1</f>
        <v>3</v>
      </c>
      <c r="B7" s="17" t="s">
        <v>63</v>
      </c>
      <c r="C7" s="6">
        <f t="shared" si="1"/>
        <v>646</v>
      </c>
      <c r="D7" s="6">
        <f t="shared" si="2"/>
        <v>668688</v>
      </c>
      <c r="E7" s="6">
        <v>136</v>
      </c>
      <c r="F7" s="6">
        <v>96057</v>
      </c>
      <c r="G7" s="6">
        <v>93</v>
      </c>
      <c r="H7" s="6">
        <v>194461</v>
      </c>
      <c r="I7" s="6">
        <v>335</v>
      </c>
      <c r="J7" s="6">
        <v>283123</v>
      </c>
      <c r="K7" s="6">
        <v>82</v>
      </c>
      <c r="L7" s="6">
        <v>95047</v>
      </c>
      <c r="M7" s="13">
        <f t="shared" si="3"/>
        <v>87652</v>
      </c>
      <c r="N7" s="29"/>
    </row>
    <row r="8" spans="1:14" ht="20.25" customHeight="1">
      <c r="A8" s="31">
        <f t="shared" si="4"/>
        <v>4</v>
      </c>
      <c r="B8" s="17" t="s">
        <v>46</v>
      </c>
      <c r="C8" s="6">
        <f t="shared" si="1"/>
        <v>151</v>
      </c>
      <c r="D8" s="6">
        <f t="shared" si="2"/>
        <v>86415</v>
      </c>
      <c r="E8" s="6">
        <v>4</v>
      </c>
      <c r="F8" s="6">
        <v>4353</v>
      </c>
      <c r="G8" s="6">
        <v>79</v>
      </c>
      <c r="H8" s="6">
        <v>34617</v>
      </c>
      <c r="I8" s="6">
        <v>20</v>
      </c>
      <c r="J8" s="6">
        <v>29411</v>
      </c>
      <c r="K8" s="6">
        <v>48</v>
      </c>
      <c r="L8" s="6">
        <v>18034</v>
      </c>
      <c r="M8" s="13">
        <f t="shared" si="3"/>
        <v>8475</v>
      </c>
      <c r="N8" s="27"/>
    </row>
    <row r="9" spans="1:14" ht="20.25" customHeight="1">
      <c r="A9" s="31">
        <f t="shared" si="4"/>
        <v>5</v>
      </c>
      <c r="B9" s="17" t="s">
        <v>125</v>
      </c>
      <c r="C9" s="6">
        <f>+E9+G9+I9+K9</f>
        <v>12</v>
      </c>
      <c r="D9" s="6">
        <f>+F9+H9+J9+L9</f>
        <v>33609</v>
      </c>
      <c r="E9" s="6"/>
      <c r="F9" s="6"/>
      <c r="G9" s="6"/>
      <c r="H9" s="6"/>
      <c r="I9" s="6">
        <v>3</v>
      </c>
      <c r="J9" s="6">
        <v>5821</v>
      </c>
      <c r="K9" s="6">
        <v>9</v>
      </c>
      <c r="L9" s="6">
        <v>27788</v>
      </c>
      <c r="M9" s="13">
        <f t="shared" si="3"/>
        <v>33609</v>
      </c>
      <c r="N9" s="27"/>
    </row>
    <row r="11" spans="1:14">
      <c r="F11" s="33"/>
      <c r="H11" s="33"/>
      <c r="J11" s="33"/>
      <c r="L11" s="33"/>
    </row>
    <row r="12" spans="1:14">
      <c r="F12" s="20"/>
      <c r="H12" s="20"/>
      <c r="J12" s="20"/>
      <c r="L12" s="20"/>
    </row>
    <row r="13" spans="1:14">
      <c r="F13" s="33"/>
      <c r="H13" s="20"/>
      <c r="J13" s="33"/>
      <c r="L13" s="20"/>
    </row>
    <row r="14" spans="1:14">
      <c r="F14" s="20"/>
      <c r="J14" s="20"/>
    </row>
    <row r="27" spans="11:11">
      <c r="K27" t="s">
        <v>273</v>
      </c>
    </row>
  </sheetData>
  <mergeCells count="12">
    <mergeCell ref="M1:M3"/>
    <mergeCell ref="E2:F2"/>
    <mergeCell ref="C1:C3"/>
    <mergeCell ref="D1:D3"/>
    <mergeCell ref="G2:H2"/>
    <mergeCell ref="I2:J2"/>
    <mergeCell ref="A4:B4"/>
    <mergeCell ref="A1:A3"/>
    <mergeCell ref="K2:L2"/>
    <mergeCell ref="B1:B3"/>
    <mergeCell ref="E1:H1"/>
    <mergeCell ref="I1:L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M84"/>
  <sheetViews>
    <sheetView zoomScaleNormal="100" workbookViewId="0">
      <selection activeCell="I2" sqref="I2:J2"/>
    </sheetView>
  </sheetViews>
  <sheetFormatPr defaultRowHeight="12.75"/>
  <cols>
    <col min="2" max="2" width="36.7109375" customWidth="1"/>
    <col min="3" max="3" width="10.42578125" customWidth="1"/>
    <col min="4" max="4" width="14.5703125" customWidth="1"/>
    <col min="5" max="5" width="10.28515625" customWidth="1"/>
    <col min="6" max="6" width="13.7109375" customWidth="1"/>
    <col min="7" max="7" width="10.42578125" customWidth="1"/>
    <col min="8" max="8" width="11.7109375" customWidth="1"/>
    <col min="9" max="9" width="10.42578125" customWidth="1"/>
    <col min="10" max="10" width="13.7109375" customWidth="1"/>
    <col min="11" max="11" width="10.42578125" customWidth="1"/>
    <col min="12" max="12" width="11.7109375" customWidth="1"/>
    <col min="13" max="13" width="20.5703125" style="2" bestFit="1" customWidth="1"/>
  </cols>
  <sheetData>
    <row r="1" spans="1:13" s="12" customFormat="1" ht="19.5" customHeight="1">
      <c r="A1" s="73" t="s">
        <v>175</v>
      </c>
      <c r="B1" s="73" t="s">
        <v>247</v>
      </c>
      <c r="C1" s="83" t="s">
        <v>171</v>
      </c>
      <c r="D1" s="83" t="s">
        <v>172</v>
      </c>
      <c r="E1" s="77" t="s">
        <v>425</v>
      </c>
      <c r="F1" s="78"/>
      <c r="G1" s="78"/>
      <c r="H1" s="79"/>
      <c r="I1" s="77" t="s">
        <v>426</v>
      </c>
      <c r="J1" s="78"/>
      <c r="K1" s="78"/>
      <c r="L1" s="79"/>
      <c r="M1" s="73" t="s">
        <v>244</v>
      </c>
    </row>
    <row r="2" spans="1:13" s="12" customFormat="1" ht="19.5" customHeight="1">
      <c r="A2" s="73"/>
      <c r="B2" s="73"/>
      <c r="C2" s="83"/>
      <c r="D2" s="83"/>
      <c r="E2" s="73" t="s">
        <v>148</v>
      </c>
      <c r="F2" s="73"/>
      <c r="G2" s="73" t="s">
        <v>1</v>
      </c>
      <c r="H2" s="73"/>
      <c r="I2" s="73" t="s">
        <v>148</v>
      </c>
      <c r="J2" s="73"/>
      <c r="K2" s="73" t="s">
        <v>1</v>
      </c>
      <c r="L2" s="73"/>
      <c r="M2" s="73"/>
    </row>
    <row r="3" spans="1:13" s="12" customFormat="1" ht="19.5" customHeight="1">
      <c r="A3" s="73"/>
      <c r="B3" s="73"/>
      <c r="C3" s="83"/>
      <c r="D3" s="83"/>
      <c r="E3" s="9" t="s">
        <v>173</v>
      </c>
      <c r="F3" s="9" t="s">
        <v>170</v>
      </c>
      <c r="G3" s="9" t="s">
        <v>173</v>
      </c>
      <c r="H3" s="9" t="s">
        <v>170</v>
      </c>
      <c r="I3" s="9" t="s">
        <v>173</v>
      </c>
      <c r="J3" s="9" t="s">
        <v>170</v>
      </c>
      <c r="K3" s="9" t="s">
        <v>173</v>
      </c>
      <c r="L3" s="9" t="s">
        <v>170</v>
      </c>
      <c r="M3" s="73"/>
    </row>
    <row r="4" spans="1:13" s="12" customFormat="1" ht="27.75" customHeight="1">
      <c r="A4" s="8" t="s">
        <v>176</v>
      </c>
      <c r="B4" s="8"/>
      <c r="C4" s="6">
        <f>+E4+G4+I4+K4</f>
        <v>163110</v>
      </c>
      <c r="D4" s="6">
        <f>+F4+H4+J4+L4</f>
        <v>133464249</v>
      </c>
      <c r="E4" s="13">
        <f>+SUM(E5:E84)</f>
        <v>37754</v>
      </c>
      <c r="F4" s="13">
        <f t="shared" ref="F4:M4" si="0">+SUM(F5:F84)</f>
        <v>26805687.999999996</v>
      </c>
      <c r="G4" s="13">
        <f t="shared" si="0"/>
        <v>16464</v>
      </c>
      <c r="H4" s="13">
        <f t="shared" si="0"/>
        <v>16090038</v>
      </c>
      <c r="I4" s="13">
        <f t="shared" si="0"/>
        <v>90987</v>
      </c>
      <c r="J4" s="13">
        <f t="shared" si="0"/>
        <v>72253275</v>
      </c>
      <c r="K4" s="13">
        <f t="shared" si="0"/>
        <v>17905</v>
      </c>
      <c r="L4" s="13">
        <f t="shared" si="0"/>
        <v>18315248</v>
      </c>
      <c r="M4" s="13">
        <f t="shared" si="0"/>
        <v>47672797.000000015</v>
      </c>
    </row>
    <row r="5" spans="1:13" ht="15" customHeight="1">
      <c r="A5" s="7">
        <v>1</v>
      </c>
      <c r="B5" t="s">
        <v>234</v>
      </c>
      <c r="C5" s="6">
        <f>+E5+G5+I5+K5</f>
        <v>31</v>
      </c>
      <c r="D5" s="6">
        <f>+F5+H5+J5+L5</f>
        <v>14820.289999999999</v>
      </c>
      <c r="E5" s="6">
        <v>4</v>
      </c>
      <c r="F5" s="6">
        <v>6565.25</v>
      </c>
      <c r="G5" s="6">
        <v>3</v>
      </c>
      <c r="H5" s="6">
        <v>702.08</v>
      </c>
      <c r="I5" s="6">
        <v>11</v>
      </c>
      <c r="J5" s="6">
        <v>3843.74</v>
      </c>
      <c r="K5" s="6">
        <v>13</v>
      </c>
      <c r="L5" s="6">
        <v>3709.22</v>
      </c>
      <c r="M5" s="13">
        <f>+L5+J5-H5-F5</f>
        <v>285.6299999999992</v>
      </c>
    </row>
    <row r="6" spans="1:13" ht="12.75" customHeight="1">
      <c r="A6" s="7">
        <v>2</v>
      </c>
      <c r="B6" t="s">
        <v>238</v>
      </c>
      <c r="C6" s="6">
        <f t="shared" ref="C6:C69" si="1">+E6+G6+I6+K6</f>
        <v>8</v>
      </c>
      <c r="D6" s="6">
        <f t="shared" ref="D6:D69" si="2">+F6+H6+J6+L6</f>
        <v>9772.68</v>
      </c>
      <c r="E6" s="6">
        <v>1</v>
      </c>
      <c r="F6" s="6">
        <v>11.08</v>
      </c>
      <c r="G6" s="6">
        <v>3</v>
      </c>
      <c r="H6" s="6">
        <v>377.36</v>
      </c>
      <c r="I6" s="6">
        <v>3</v>
      </c>
      <c r="J6" s="6">
        <v>3326.09</v>
      </c>
      <c r="K6" s="6">
        <v>1</v>
      </c>
      <c r="L6" s="6">
        <v>6058.15</v>
      </c>
      <c r="M6" s="13">
        <f t="shared" ref="M6:M69" si="3">+L6+J6-H6-F6</f>
        <v>8995.7999999999993</v>
      </c>
    </row>
    <row r="7" spans="1:13" ht="12.75" customHeight="1">
      <c r="A7" s="7">
        <v>3</v>
      </c>
      <c r="B7" t="s">
        <v>305</v>
      </c>
      <c r="C7" s="6">
        <f t="shared" si="1"/>
        <v>60</v>
      </c>
      <c r="D7" s="6">
        <f t="shared" si="2"/>
        <v>39200.720000000001</v>
      </c>
      <c r="E7" s="6">
        <v>11</v>
      </c>
      <c r="F7" s="6">
        <v>12123.24</v>
      </c>
      <c r="G7" s="6"/>
      <c r="H7" s="6"/>
      <c r="I7" s="6">
        <v>49</v>
      </c>
      <c r="J7" s="6">
        <v>27077.48</v>
      </c>
      <c r="K7" s="6"/>
      <c r="L7" s="6"/>
      <c r="M7" s="13">
        <f t="shared" si="3"/>
        <v>14954.24</v>
      </c>
    </row>
    <row r="8" spans="1:13" ht="12.75" customHeight="1">
      <c r="A8" s="7">
        <v>4</v>
      </c>
      <c r="B8" t="s">
        <v>187</v>
      </c>
      <c r="C8" s="6">
        <f t="shared" si="1"/>
        <v>440</v>
      </c>
      <c r="D8" s="6">
        <f t="shared" si="2"/>
        <v>370819.82999999996</v>
      </c>
      <c r="E8" s="6">
        <v>55</v>
      </c>
      <c r="F8" s="6">
        <v>19553.59</v>
      </c>
      <c r="G8" s="6">
        <v>95</v>
      </c>
      <c r="H8" s="6">
        <v>55092.86</v>
      </c>
      <c r="I8" s="6">
        <v>113</v>
      </c>
      <c r="J8" s="6">
        <v>68290.73</v>
      </c>
      <c r="K8" s="6">
        <v>177</v>
      </c>
      <c r="L8" s="6">
        <v>227882.65</v>
      </c>
      <c r="M8" s="13">
        <f t="shared" si="3"/>
        <v>221526.93000000002</v>
      </c>
    </row>
    <row r="9" spans="1:13" ht="12.75" customHeight="1">
      <c r="A9" s="7">
        <v>5</v>
      </c>
      <c r="B9" t="s">
        <v>190</v>
      </c>
      <c r="C9" s="6">
        <f t="shared" si="1"/>
        <v>125</v>
      </c>
      <c r="D9" s="6">
        <f t="shared" si="2"/>
        <v>124063.65000000001</v>
      </c>
      <c r="E9" s="6">
        <v>31</v>
      </c>
      <c r="F9" s="6">
        <v>23097.759999999998</v>
      </c>
      <c r="G9" s="6">
        <v>3</v>
      </c>
      <c r="H9" s="6">
        <v>6314.43</v>
      </c>
      <c r="I9" s="6">
        <v>90</v>
      </c>
      <c r="J9" s="6">
        <v>85900.800000000003</v>
      </c>
      <c r="K9" s="6">
        <v>1</v>
      </c>
      <c r="L9" s="6">
        <v>8750.66</v>
      </c>
      <c r="M9" s="13">
        <f t="shared" si="3"/>
        <v>65239.270000000004</v>
      </c>
    </row>
    <row r="10" spans="1:13" ht="12.75" customHeight="1">
      <c r="A10" s="7">
        <v>6</v>
      </c>
      <c r="B10" t="s">
        <v>213</v>
      </c>
      <c r="C10" s="6">
        <f t="shared" si="1"/>
        <v>49</v>
      </c>
      <c r="D10" s="6">
        <f t="shared" si="2"/>
        <v>19005.7</v>
      </c>
      <c r="E10" s="6">
        <v>18</v>
      </c>
      <c r="F10" s="6">
        <v>5873.59</v>
      </c>
      <c r="G10" s="6">
        <v>3</v>
      </c>
      <c r="H10" s="6">
        <v>1647.79</v>
      </c>
      <c r="I10" s="6">
        <v>27</v>
      </c>
      <c r="J10" s="6">
        <v>10405.01</v>
      </c>
      <c r="K10" s="6">
        <v>1</v>
      </c>
      <c r="L10" s="6">
        <v>1079.31</v>
      </c>
      <c r="M10" s="13">
        <f t="shared" si="3"/>
        <v>3962.9399999999987</v>
      </c>
    </row>
    <row r="11" spans="1:13" ht="12.75" customHeight="1">
      <c r="A11" s="7">
        <v>7</v>
      </c>
      <c r="B11" t="s">
        <v>225</v>
      </c>
      <c r="C11" s="6">
        <f t="shared" si="1"/>
        <v>105</v>
      </c>
      <c r="D11" s="6">
        <f t="shared" si="2"/>
        <v>85174.060000000012</v>
      </c>
      <c r="E11" s="6">
        <v>25</v>
      </c>
      <c r="F11" s="6">
        <v>24037.83</v>
      </c>
      <c r="G11" s="6">
        <v>1</v>
      </c>
      <c r="H11" s="6">
        <v>862.89</v>
      </c>
      <c r="I11" s="6">
        <v>78</v>
      </c>
      <c r="J11" s="6">
        <v>60215.32</v>
      </c>
      <c r="K11" s="6">
        <v>1</v>
      </c>
      <c r="L11" s="6">
        <v>58.02</v>
      </c>
      <c r="M11" s="13">
        <f t="shared" si="3"/>
        <v>35372.619999999995</v>
      </c>
    </row>
    <row r="12" spans="1:13" ht="12.75" customHeight="1">
      <c r="A12" s="7">
        <v>8</v>
      </c>
      <c r="B12" t="s">
        <v>242</v>
      </c>
      <c r="C12" s="6">
        <f t="shared" si="1"/>
        <v>1</v>
      </c>
      <c r="D12" s="6">
        <f t="shared" si="2"/>
        <v>3071.68</v>
      </c>
      <c r="E12" s="6">
        <v>1</v>
      </c>
      <c r="F12" s="6">
        <v>3071.68</v>
      </c>
      <c r="G12" s="6"/>
      <c r="H12" s="6"/>
      <c r="I12" s="6"/>
      <c r="J12" s="6"/>
      <c r="K12" s="6"/>
      <c r="L12" s="6"/>
      <c r="M12" s="13">
        <f t="shared" si="3"/>
        <v>-3071.68</v>
      </c>
    </row>
    <row r="13" spans="1:13" ht="12.75" customHeight="1">
      <c r="A13" s="7">
        <v>9</v>
      </c>
      <c r="B13" t="s">
        <v>207</v>
      </c>
      <c r="C13" s="6">
        <f t="shared" si="1"/>
        <v>98</v>
      </c>
      <c r="D13" s="6">
        <f t="shared" si="2"/>
        <v>149410.01</v>
      </c>
      <c r="E13" s="6">
        <v>8</v>
      </c>
      <c r="F13" s="6">
        <v>6581.07</v>
      </c>
      <c r="G13" s="6">
        <v>43</v>
      </c>
      <c r="H13" s="6">
        <v>29944.560000000001</v>
      </c>
      <c r="I13" s="6">
        <v>28</v>
      </c>
      <c r="J13" s="6">
        <v>39354.36</v>
      </c>
      <c r="K13" s="6">
        <v>19</v>
      </c>
      <c r="L13" s="6">
        <v>73530.02</v>
      </c>
      <c r="M13" s="13">
        <f t="shared" si="3"/>
        <v>76358.75</v>
      </c>
    </row>
    <row r="14" spans="1:13" ht="12.75" customHeight="1">
      <c r="A14" s="7">
        <v>10</v>
      </c>
      <c r="B14" t="s">
        <v>212</v>
      </c>
      <c r="C14" s="6">
        <f t="shared" si="1"/>
        <v>106</v>
      </c>
      <c r="D14" s="6">
        <f t="shared" si="2"/>
        <v>75712.78</v>
      </c>
      <c r="E14" s="6">
        <v>31</v>
      </c>
      <c r="F14" s="6">
        <v>24738.81</v>
      </c>
      <c r="G14" s="6">
        <v>1</v>
      </c>
      <c r="H14" s="6">
        <v>2070.4299999999998</v>
      </c>
      <c r="I14" s="6">
        <v>73</v>
      </c>
      <c r="J14" s="6">
        <v>47317.21</v>
      </c>
      <c r="K14" s="6">
        <v>1</v>
      </c>
      <c r="L14" s="6">
        <v>1586.33</v>
      </c>
      <c r="M14" s="13">
        <f t="shared" si="3"/>
        <v>22094.3</v>
      </c>
    </row>
    <row r="15" spans="1:13" ht="12.75" customHeight="1">
      <c r="A15" s="7">
        <v>11</v>
      </c>
      <c r="B15" t="s">
        <v>233</v>
      </c>
      <c r="C15" s="6">
        <f t="shared" si="1"/>
        <v>8</v>
      </c>
      <c r="D15" s="6">
        <f t="shared" si="2"/>
        <v>2003.89</v>
      </c>
      <c r="E15" s="6">
        <v>1</v>
      </c>
      <c r="F15" s="6">
        <v>45.93</v>
      </c>
      <c r="G15" s="6"/>
      <c r="H15" s="6"/>
      <c r="I15" s="6">
        <v>7</v>
      </c>
      <c r="J15" s="6">
        <v>1957.96</v>
      </c>
      <c r="K15" s="6"/>
      <c r="L15" s="6"/>
      <c r="M15" s="13">
        <f t="shared" si="3"/>
        <v>1912.03</v>
      </c>
    </row>
    <row r="16" spans="1:13" ht="12.75" customHeight="1">
      <c r="A16" s="7">
        <v>12</v>
      </c>
      <c r="B16" t="s">
        <v>181</v>
      </c>
      <c r="C16" s="6">
        <f t="shared" si="1"/>
        <v>322</v>
      </c>
      <c r="D16" s="6">
        <f t="shared" si="2"/>
        <v>186469.22</v>
      </c>
      <c r="E16" s="6">
        <v>69</v>
      </c>
      <c r="F16" s="6">
        <v>40528.42</v>
      </c>
      <c r="G16" s="6">
        <v>11</v>
      </c>
      <c r="H16" s="6">
        <v>4812.8</v>
      </c>
      <c r="I16" s="6">
        <v>214</v>
      </c>
      <c r="J16" s="6">
        <v>125088.44</v>
      </c>
      <c r="K16" s="6">
        <v>28</v>
      </c>
      <c r="L16" s="6">
        <v>16039.56</v>
      </c>
      <c r="M16" s="13">
        <f t="shared" si="3"/>
        <v>95786.780000000013</v>
      </c>
    </row>
    <row r="17" spans="1:13" ht="12.75" customHeight="1">
      <c r="A17" s="7">
        <v>13</v>
      </c>
      <c r="B17" t="s">
        <v>186</v>
      </c>
      <c r="C17" s="6">
        <f t="shared" si="1"/>
        <v>309</v>
      </c>
      <c r="D17" s="6">
        <f t="shared" si="2"/>
        <v>251281.51</v>
      </c>
      <c r="E17" s="6">
        <v>31</v>
      </c>
      <c r="F17" s="6">
        <v>14484.48</v>
      </c>
      <c r="G17" s="6">
        <v>117</v>
      </c>
      <c r="H17" s="6">
        <v>96535.63</v>
      </c>
      <c r="I17" s="6">
        <v>66</v>
      </c>
      <c r="J17" s="6">
        <v>26738.71</v>
      </c>
      <c r="K17" s="6">
        <v>95</v>
      </c>
      <c r="L17" s="6">
        <v>113522.69</v>
      </c>
      <c r="M17" s="13">
        <f t="shared" si="3"/>
        <v>29241.28999999999</v>
      </c>
    </row>
    <row r="18" spans="1:13">
      <c r="A18" s="7">
        <v>14</v>
      </c>
      <c r="B18" t="s">
        <v>180</v>
      </c>
      <c r="C18" s="6">
        <f t="shared" si="1"/>
        <v>279</v>
      </c>
      <c r="D18" s="6">
        <f t="shared" si="2"/>
        <v>168337.35</v>
      </c>
      <c r="E18" s="6">
        <v>53</v>
      </c>
      <c r="F18" s="6">
        <v>22158.21</v>
      </c>
      <c r="G18" s="6">
        <v>13</v>
      </c>
      <c r="H18" s="6">
        <v>44969.21</v>
      </c>
      <c r="I18" s="6">
        <v>209</v>
      </c>
      <c r="J18" s="6">
        <v>96031.9</v>
      </c>
      <c r="K18" s="6">
        <v>4</v>
      </c>
      <c r="L18" s="6">
        <v>5178.03</v>
      </c>
      <c r="M18" s="13">
        <f t="shared" si="3"/>
        <v>34082.509999999995</v>
      </c>
    </row>
    <row r="19" spans="1:13" ht="15" customHeight="1">
      <c r="A19" s="7">
        <v>15</v>
      </c>
      <c r="B19" t="s">
        <v>293</v>
      </c>
      <c r="C19" s="6">
        <f t="shared" si="1"/>
        <v>873</v>
      </c>
      <c r="D19" s="6">
        <f t="shared" si="2"/>
        <v>3252240.75</v>
      </c>
      <c r="E19" s="6">
        <v>10</v>
      </c>
      <c r="F19" s="6">
        <v>26241.66</v>
      </c>
      <c r="G19" s="6">
        <v>386</v>
      </c>
      <c r="H19" s="6">
        <v>1508212.28</v>
      </c>
      <c r="I19" s="6">
        <v>16</v>
      </c>
      <c r="J19" s="6">
        <v>35920.53</v>
      </c>
      <c r="K19" s="6">
        <v>461</v>
      </c>
      <c r="L19" s="6">
        <v>1681866.28</v>
      </c>
      <c r="M19" s="13">
        <f t="shared" si="3"/>
        <v>183332.87000000002</v>
      </c>
    </row>
    <row r="20" spans="1:13" ht="15" customHeight="1">
      <c r="A20" s="7">
        <v>16</v>
      </c>
      <c r="B20" t="s">
        <v>195</v>
      </c>
      <c r="C20" s="6">
        <f t="shared" si="1"/>
        <v>177</v>
      </c>
      <c r="D20" s="6">
        <f t="shared" si="2"/>
        <v>88461.780000000013</v>
      </c>
      <c r="E20" s="6">
        <v>45</v>
      </c>
      <c r="F20" s="6">
        <v>23750.400000000001</v>
      </c>
      <c r="G20" s="6">
        <v>3</v>
      </c>
      <c r="H20" s="6">
        <v>754.71</v>
      </c>
      <c r="I20" s="6">
        <v>123</v>
      </c>
      <c r="J20" s="6">
        <v>62069.4</v>
      </c>
      <c r="K20" s="6">
        <v>6</v>
      </c>
      <c r="L20" s="6">
        <v>1887.27</v>
      </c>
      <c r="M20" s="13">
        <f t="shared" si="3"/>
        <v>39451.56</v>
      </c>
    </row>
    <row r="21" spans="1:13" ht="15" customHeight="1">
      <c r="A21" s="7">
        <v>17</v>
      </c>
      <c r="B21" t="s">
        <v>197</v>
      </c>
      <c r="C21" s="6">
        <f t="shared" si="1"/>
        <v>181</v>
      </c>
      <c r="D21" s="6">
        <f t="shared" si="2"/>
        <v>150468.52000000002</v>
      </c>
      <c r="E21" s="6">
        <v>51</v>
      </c>
      <c r="F21" s="6">
        <v>33793.660000000003</v>
      </c>
      <c r="G21" s="6">
        <v>13</v>
      </c>
      <c r="H21" s="6">
        <v>5683.55</v>
      </c>
      <c r="I21" s="6">
        <v>104</v>
      </c>
      <c r="J21" s="6">
        <v>97223.49</v>
      </c>
      <c r="K21" s="6">
        <v>13</v>
      </c>
      <c r="L21" s="6">
        <v>13767.82</v>
      </c>
      <c r="M21" s="13">
        <f t="shared" si="3"/>
        <v>71514.099999999991</v>
      </c>
    </row>
    <row r="22" spans="1:13" ht="15" customHeight="1">
      <c r="A22" s="7">
        <v>18</v>
      </c>
      <c r="B22" t="s">
        <v>211</v>
      </c>
      <c r="C22" s="6">
        <f t="shared" si="1"/>
        <v>11</v>
      </c>
      <c r="D22" s="6">
        <f t="shared" si="2"/>
        <v>2077.5100000000002</v>
      </c>
      <c r="E22" s="6">
        <v>5</v>
      </c>
      <c r="F22" s="6">
        <v>692.34</v>
      </c>
      <c r="G22" s="6"/>
      <c r="H22" s="6"/>
      <c r="I22" s="6">
        <v>3</v>
      </c>
      <c r="J22" s="6">
        <v>427.12</v>
      </c>
      <c r="K22" s="6">
        <v>3</v>
      </c>
      <c r="L22" s="6">
        <v>958.05</v>
      </c>
      <c r="M22" s="13">
        <f t="shared" si="3"/>
        <v>692.83</v>
      </c>
    </row>
    <row r="23" spans="1:13" ht="15" customHeight="1">
      <c r="A23" s="7">
        <v>19</v>
      </c>
      <c r="B23" t="s">
        <v>222</v>
      </c>
      <c r="C23" s="6">
        <f t="shared" si="1"/>
        <v>8</v>
      </c>
      <c r="D23" s="6">
        <f t="shared" si="2"/>
        <v>4847.4900000000007</v>
      </c>
      <c r="E23" s="6">
        <v>1</v>
      </c>
      <c r="F23" s="6">
        <v>55.42</v>
      </c>
      <c r="G23" s="6">
        <v>1</v>
      </c>
      <c r="H23" s="6">
        <v>342.14</v>
      </c>
      <c r="I23" s="6"/>
      <c r="J23" s="6"/>
      <c r="K23" s="6">
        <v>6</v>
      </c>
      <c r="L23" s="6">
        <v>4449.93</v>
      </c>
      <c r="M23" s="13">
        <f t="shared" si="3"/>
        <v>4052.37</v>
      </c>
    </row>
    <row r="24" spans="1:13" ht="15" customHeight="1">
      <c r="A24" s="7">
        <v>20</v>
      </c>
      <c r="B24" t="s">
        <v>205</v>
      </c>
      <c r="C24" s="6">
        <f t="shared" si="1"/>
        <v>29</v>
      </c>
      <c r="D24" s="6">
        <f t="shared" si="2"/>
        <v>21026.480000000003</v>
      </c>
      <c r="E24" s="6">
        <v>13</v>
      </c>
      <c r="F24" s="6">
        <v>9350.1</v>
      </c>
      <c r="G24" s="6">
        <v>1</v>
      </c>
      <c r="H24" s="6">
        <v>699.24</v>
      </c>
      <c r="I24" s="6">
        <v>9</v>
      </c>
      <c r="J24" s="6">
        <v>6048.04</v>
      </c>
      <c r="K24" s="6">
        <v>6</v>
      </c>
      <c r="L24" s="6">
        <v>4929.1000000000004</v>
      </c>
      <c r="M24" s="13">
        <f t="shared" si="3"/>
        <v>927.79999999999927</v>
      </c>
    </row>
    <row r="25" spans="1:13" ht="15" customHeight="1">
      <c r="A25" s="7">
        <v>21</v>
      </c>
      <c r="B25" t="s">
        <v>196</v>
      </c>
      <c r="C25" s="6">
        <f t="shared" si="1"/>
        <v>32</v>
      </c>
      <c r="D25" s="6">
        <f t="shared" si="2"/>
        <v>9742.0400000000009</v>
      </c>
      <c r="E25" s="6">
        <v>8</v>
      </c>
      <c r="F25" s="6">
        <v>2018.61</v>
      </c>
      <c r="G25" s="6"/>
      <c r="H25" s="6"/>
      <c r="I25" s="6">
        <v>24</v>
      </c>
      <c r="J25" s="6">
        <v>7723.43</v>
      </c>
      <c r="K25" s="6"/>
      <c r="L25" s="6"/>
      <c r="M25" s="13">
        <f t="shared" si="3"/>
        <v>5704.8200000000006</v>
      </c>
    </row>
    <row r="26" spans="1:13" ht="15" customHeight="1">
      <c r="A26" s="7">
        <v>22</v>
      </c>
      <c r="B26" t="s">
        <v>193</v>
      </c>
      <c r="C26" s="6">
        <f t="shared" si="1"/>
        <v>221</v>
      </c>
      <c r="D26" s="6">
        <f t="shared" si="2"/>
        <v>136116.85999999999</v>
      </c>
      <c r="E26" s="6">
        <v>51</v>
      </c>
      <c r="F26" s="6">
        <v>34255.64</v>
      </c>
      <c r="G26" s="6"/>
      <c r="H26" s="6"/>
      <c r="I26" s="6">
        <v>155</v>
      </c>
      <c r="J26" s="6">
        <v>91954.4</v>
      </c>
      <c r="K26" s="6">
        <v>15</v>
      </c>
      <c r="L26" s="6">
        <v>9906.82</v>
      </c>
      <c r="M26" s="13">
        <f t="shared" si="3"/>
        <v>67605.58</v>
      </c>
    </row>
    <row r="27" spans="1:13" ht="15" customHeight="1">
      <c r="A27" s="7">
        <v>23</v>
      </c>
      <c r="B27" t="s">
        <v>243</v>
      </c>
      <c r="C27" s="6">
        <f t="shared" si="1"/>
        <v>1</v>
      </c>
      <c r="D27" s="6">
        <f t="shared" si="2"/>
        <v>277.10000000000002</v>
      </c>
      <c r="E27" s="6">
        <v>1</v>
      </c>
      <c r="F27" s="6">
        <v>277.10000000000002</v>
      </c>
      <c r="G27" s="6"/>
      <c r="H27" s="6"/>
      <c r="I27" s="6"/>
      <c r="J27" s="6"/>
      <c r="K27" s="6"/>
      <c r="L27" s="6"/>
      <c r="M27" s="13">
        <f t="shared" si="3"/>
        <v>-277.10000000000002</v>
      </c>
    </row>
    <row r="28" spans="1:13" ht="15" customHeight="1">
      <c r="A28" s="7">
        <v>24</v>
      </c>
      <c r="B28" t="s">
        <v>188</v>
      </c>
      <c r="C28" s="6">
        <f t="shared" si="1"/>
        <v>1325</v>
      </c>
      <c r="D28" s="6">
        <f t="shared" si="2"/>
        <v>971556.15</v>
      </c>
      <c r="E28" s="6">
        <v>155</v>
      </c>
      <c r="F28" s="6">
        <v>127205.27</v>
      </c>
      <c r="G28" s="6">
        <v>93</v>
      </c>
      <c r="H28" s="6">
        <v>43329.2</v>
      </c>
      <c r="I28" s="6">
        <v>895</v>
      </c>
      <c r="J28" s="6">
        <v>627871.14</v>
      </c>
      <c r="K28" s="6">
        <v>182</v>
      </c>
      <c r="L28" s="6">
        <v>173150.54</v>
      </c>
      <c r="M28" s="13">
        <f t="shared" si="3"/>
        <v>630487.21000000008</v>
      </c>
    </row>
    <row r="29" spans="1:13" ht="15" customHeight="1">
      <c r="A29" s="7">
        <v>25</v>
      </c>
      <c r="B29" t="s">
        <v>182</v>
      </c>
      <c r="C29" s="6">
        <f t="shared" si="1"/>
        <v>1352</v>
      </c>
      <c r="D29" s="6">
        <f t="shared" si="2"/>
        <v>818796.85000000009</v>
      </c>
      <c r="E29" s="6">
        <v>341</v>
      </c>
      <c r="F29" s="6">
        <v>172191.02</v>
      </c>
      <c r="G29" s="6"/>
      <c r="H29" s="6"/>
      <c r="I29" s="6">
        <v>961</v>
      </c>
      <c r="J29" s="6">
        <v>525132.9</v>
      </c>
      <c r="K29" s="6">
        <v>50</v>
      </c>
      <c r="L29" s="6">
        <v>121472.93</v>
      </c>
      <c r="M29" s="13">
        <f t="shared" si="3"/>
        <v>474414.81000000006</v>
      </c>
    </row>
    <row r="30" spans="1:13" ht="15" customHeight="1">
      <c r="A30" s="7">
        <v>26</v>
      </c>
      <c r="B30" t="s">
        <v>192</v>
      </c>
      <c r="C30" s="6">
        <f t="shared" si="1"/>
        <v>160</v>
      </c>
      <c r="D30" s="6">
        <f t="shared" si="2"/>
        <v>49100.1</v>
      </c>
      <c r="E30" s="6">
        <v>31</v>
      </c>
      <c r="F30" s="6">
        <v>16354.19</v>
      </c>
      <c r="G30" s="6">
        <v>9</v>
      </c>
      <c r="H30" s="6">
        <v>3203.37</v>
      </c>
      <c r="I30" s="6">
        <v>116</v>
      </c>
      <c r="J30" s="6">
        <v>28893.64</v>
      </c>
      <c r="K30" s="6">
        <v>4</v>
      </c>
      <c r="L30" s="6">
        <v>648.9</v>
      </c>
      <c r="M30" s="13">
        <f t="shared" si="3"/>
        <v>9984.9800000000014</v>
      </c>
    </row>
    <row r="31" spans="1:13" ht="15" customHeight="1">
      <c r="A31" s="7">
        <v>27</v>
      </c>
      <c r="B31" t="s">
        <v>221</v>
      </c>
      <c r="C31" s="6">
        <f t="shared" si="1"/>
        <v>12</v>
      </c>
      <c r="D31" s="6">
        <f t="shared" si="2"/>
        <v>34224.28</v>
      </c>
      <c r="E31" s="6">
        <v>1</v>
      </c>
      <c r="F31" s="6">
        <v>277.10000000000002</v>
      </c>
      <c r="G31" s="6"/>
      <c r="H31" s="6"/>
      <c r="I31" s="6">
        <v>11</v>
      </c>
      <c r="J31" s="6">
        <v>33947.18</v>
      </c>
      <c r="K31" s="6"/>
      <c r="L31" s="6"/>
      <c r="M31" s="13">
        <f t="shared" si="3"/>
        <v>33670.080000000002</v>
      </c>
    </row>
    <row r="32" spans="1:13" ht="15" customHeight="1">
      <c r="A32" s="7">
        <v>28</v>
      </c>
      <c r="B32" t="s">
        <v>294</v>
      </c>
      <c r="C32" s="6">
        <f t="shared" si="1"/>
        <v>10</v>
      </c>
      <c r="D32" s="6">
        <f t="shared" si="2"/>
        <v>53514.82</v>
      </c>
      <c r="E32" s="6">
        <v>1</v>
      </c>
      <c r="F32" s="6">
        <v>2482.84</v>
      </c>
      <c r="G32" s="6">
        <v>1</v>
      </c>
      <c r="H32" s="6">
        <v>1379.84</v>
      </c>
      <c r="I32" s="6">
        <v>1</v>
      </c>
      <c r="J32" s="6">
        <v>69.56</v>
      </c>
      <c r="K32" s="6">
        <v>7</v>
      </c>
      <c r="L32" s="6">
        <v>49582.58</v>
      </c>
      <c r="M32" s="13">
        <f t="shared" si="3"/>
        <v>45789.460000000006</v>
      </c>
    </row>
    <row r="33" spans="1:13" ht="15" customHeight="1">
      <c r="A33" s="7">
        <v>29</v>
      </c>
      <c r="B33" t="s">
        <v>214</v>
      </c>
      <c r="C33" s="6">
        <f t="shared" si="1"/>
        <v>6</v>
      </c>
      <c r="D33" s="6">
        <f t="shared" si="2"/>
        <v>15091.460000000001</v>
      </c>
      <c r="E33" s="6">
        <v>1</v>
      </c>
      <c r="F33" s="6">
        <v>831.31</v>
      </c>
      <c r="G33" s="6"/>
      <c r="H33" s="6"/>
      <c r="I33" s="6">
        <v>1</v>
      </c>
      <c r="J33" s="6">
        <v>462.53</v>
      </c>
      <c r="K33" s="6">
        <v>4</v>
      </c>
      <c r="L33" s="6">
        <v>13797.62</v>
      </c>
      <c r="M33" s="13">
        <f t="shared" si="3"/>
        <v>13428.840000000002</v>
      </c>
    </row>
    <row r="34" spans="1:13" ht="15" customHeight="1">
      <c r="A34" s="7">
        <v>30</v>
      </c>
      <c r="B34" t="s">
        <v>241</v>
      </c>
      <c r="C34" s="6">
        <f t="shared" si="1"/>
        <v>39</v>
      </c>
      <c r="D34" s="6">
        <f t="shared" si="2"/>
        <v>68586.539999999994</v>
      </c>
      <c r="E34" s="6">
        <v>1</v>
      </c>
      <c r="F34" s="6">
        <v>1921.71</v>
      </c>
      <c r="G34" s="6">
        <v>12</v>
      </c>
      <c r="H34" s="6">
        <v>25177.22</v>
      </c>
      <c r="I34" s="6">
        <v>3</v>
      </c>
      <c r="J34" s="6">
        <v>1530.41</v>
      </c>
      <c r="K34" s="6">
        <v>23</v>
      </c>
      <c r="L34" s="6">
        <v>39957.199999999997</v>
      </c>
      <c r="M34" s="13">
        <f t="shared" si="3"/>
        <v>14388.68</v>
      </c>
    </row>
    <row r="35" spans="1:13" ht="15" customHeight="1">
      <c r="A35" s="7">
        <v>31</v>
      </c>
      <c r="B35" t="s">
        <v>210</v>
      </c>
      <c r="C35" s="6">
        <f t="shared" si="1"/>
        <v>61</v>
      </c>
      <c r="D35" s="6">
        <f t="shared" si="2"/>
        <v>36855.760000000002</v>
      </c>
      <c r="E35" s="6">
        <v>18</v>
      </c>
      <c r="F35" s="6">
        <v>11112.14</v>
      </c>
      <c r="G35" s="6">
        <v>8</v>
      </c>
      <c r="H35" s="6">
        <v>2206.14</v>
      </c>
      <c r="I35" s="6">
        <v>20</v>
      </c>
      <c r="J35" s="6">
        <v>10912.2</v>
      </c>
      <c r="K35" s="6">
        <v>15</v>
      </c>
      <c r="L35" s="6">
        <v>12625.28</v>
      </c>
      <c r="M35" s="13">
        <f t="shared" si="3"/>
        <v>10219.200000000004</v>
      </c>
    </row>
    <row r="36" spans="1:13" ht="15" customHeight="1">
      <c r="A36" s="7">
        <v>32</v>
      </c>
      <c r="B36" t="s">
        <v>219</v>
      </c>
      <c r="C36" s="6">
        <f t="shared" si="1"/>
        <v>29</v>
      </c>
      <c r="D36" s="6">
        <f t="shared" si="2"/>
        <v>13310.8</v>
      </c>
      <c r="E36" s="6">
        <v>4</v>
      </c>
      <c r="F36" s="6">
        <v>1727.15</v>
      </c>
      <c r="G36" s="6"/>
      <c r="H36" s="6"/>
      <c r="I36" s="6">
        <v>24</v>
      </c>
      <c r="J36" s="6">
        <v>11112.46</v>
      </c>
      <c r="K36" s="6">
        <v>1</v>
      </c>
      <c r="L36" s="6">
        <v>471.19</v>
      </c>
      <c r="M36" s="13">
        <f t="shared" si="3"/>
        <v>9856.5</v>
      </c>
    </row>
    <row r="37" spans="1:13" ht="15" customHeight="1">
      <c r="A37" s="7">
        <v>33</v>
      </c>
      <c r="B37" t="s">
        <v>228</v>
      </c>
      <c r="C37" s="6">
        <f t="shared" si="1"/>
        <v>12</v>
      </c>
      <c r="D37" s="6">
        <f t="shared" si="2"/>
        <v>7822.4</v>
      </c>
      <c r="E37" s="6">
        <v>3</v>
      </c>
      <c r="F37" s="6">
        <v>1388.52</v>
      </c>
      <c r="G37" s="6"/>
      <c r="H37" s="6"/>
      <c r="I37" s="6">
        <v>8</v>
      </c>
      <c r="J37" s="6">
        <v>2448.96</v>
      </c>
      <c r="K37" s="6">
        <v>1</v>
      </c>
      <c r="L37" s="6">
        <v>3984.92</v>
      </c>
      <c r="M37" s="13">
        <f t="shared" si="3"/>
        <v>5045.3600000000006</v>
      </c>
    </row>
    <row r="38" spans="1:13" ht="15" customHeight="1">
      <c r="A38" s="7">
        <v>34</v>
      </c>
      <c r="B38" t="s">
        <v>295</v>
      </c>
      <c r="C38" s="6">
        <f t="shared" si="1"/>
        <v>1270</v>
      </c>
      <c r="D38" s="6">
        <f t="shared" si="2"/>
        <v>869442.62000000011</v>
      </c>
      <c r="E38" s="6">
        <v>359</v>
      </c>
      <c r="F38" s="6">
        <v>274826.87</v>
      </c>
      <c r="G38" s="6">
        <v>22</v>
      </c>
      <c r="H38" s="6">
        <v>12364.66</v>
      </c>
      <c r="I38" s="6">
        <v>855</v>
      </c>
      <c r="J38" s="6">
        <v>543732.29</v>
      </c>
      <c r="K38" s="6">
        <v>34</v>
      </c>
      <c r="L38" s="6">
        <v>38518.800000000003</v>
      </c>
      <c r="M38" s="13">
        <f t="shared" si="3"/>
        <v>295059.56000000006</v>
      </c>
    </row>
    <row r="39" spans="1:13" ht="15" customHeight="1">
      <c r="A39" s="7">
        <v>35</v>
      </c>
      <c r="B39" t="s">
        <v>199</v>
      </c>
      <c r="C39" s="6">
        <f t="shared" si="1"/>
        <v>141</v>
      </c>
      <c r="D39" s="6">
        <f t="shared" si="2"/>
        <v>97215.23000000001</v>
      </c>
      <c r="E39" s="6">
        <v>35</v>
      </c>
      <c r="F39" s="6">
        <v>13354.67</v>
      </c>
      <c r="G39" s="6">
        <v>3</v>
      </c>
      <c r="H39" s="6">
        <v>384.15</v>
      </c>
      <c r="I39" s="6">
        <v>80</v>
      </c>
      <c r="J39" s="6">
        <v>60523.78</v>
      </c>
      <c r="K39" s="6">
        <v>23</v>
      </c>
      <c r="L39" s="6">
        <v>22952.63</v>
      </c>
      <c r="M39" s="13">
        <f t="shared" si="3"/>
        <v>69737.590000000011</v>
      </c>
    </row>
    <row r="40" spans="1:13" ht="15" customHeight="1">
      <c r="A40" s="7">
        <v>36</v>
      </c>
      <c r="B40" t="s">
        <v>194</v>
      </c>
      <c r="C40" s="6">
        <f t="shared" si="1"/>
        <v>177</v>
      </c>
      <c r="D40" s="6">
        <f t="shared" si="2"/>
        <v>149410.68000000002</v>
      </c>
      <c r="E40" s="6">
        <v>29</v>
      </c>
      <c r="F40" s="6">
        <v>17677.87</v>
      </c>
      <c r="G40" s="6">
        <v>5</v>
      </c>
      <c r="H40" s="6">
        <v>13519.42</v>
      </c>
      <c r="I40" s="6">
        <v>139</v>
      </c>
      <c r="J40" s="6">
        <v>105094.13</v>
      </c>
      <c r="K40" s="6">
        <v>4</v>
      </c>
      <c r="L40" s="6">
        <v>13119.26</v>
      </c>
      <c r="M40" s="13">
        <f t="shared" si="3"/>
        <v>87016.1</v>
      </c>
    </row>
    <row r="41" spans="1:13" ht="15" customHeight="1">
      <c r="A41" s="7">
        <v>37</v>
      </c>
      <c r="B41" t="s">
        <v>296</v>
      </c>
      <c r="C41" s="6">
        <f t="shared" si="1"/>
        <v>9086</v>
      </c>
      <c r="D41" s="6">
        <f t="shared" si="2"/>
        <v>7249846.4199999999</v>
      </c>
      <c r="E41" s="6">
        <v>1408</v>
      </c>
      <c r="F41" s="6">
        <v>935684.05</v>
      </c>
      <c r="G41" s="6">
        <v>2767</v>
      </c>
      <c r="H41" s="6">
        <v>2293270.9300000002</v>
      </c>
      <c r="I41" s="6">
        <v>2351</v>
      </c>
      <c r="J41" s="6">
        <v>2002306.79</v>
      </c>
      <c r="K41" s="6">
        <v>2560</v>
      </c>
      <c r="L41" s="6">
        <v>2018584.65</v>
      </c>
      <c r="M41" s="13">
        <f t="shared" si="3"/>
        <v>791936.45999999973</v>
      </c>
    </row>
    <row r="42" spans="1:13" ht="15" customHeight="1">
      <c r="A42" s="7">
        <v>38</v>
      </c>
      <c r="B42" t="s">
        <v>229</v>
      </c>
      <c r="C42" s="6">
        <f t="shared" si="1"/>
        <v>25</v>
      </c>
      <c r="D42" s="6">
        <f t="shared" si="2"/>
        <v>19533.599999999999</v>
      </c>
      <c r="E42" s="6">
        <v>5</v>
      </c>
      <c r="F42" s="6">
        <v>3394.1</v>
      </c>
      <c r="G42" s="6">
        <v>4</v>
      </c>
      <c r="H42" s="6">
        <v>1261.6300000000001</v>
      </c>
      <c r="I42" s="6">
        <v>16</v>
      </c>
      <c r="J42" s="6">
        <v>14877.87</v>
      </c>
      <c r="K42" s="6"/>
      <c r="L42" s="6"/>
      <c r="M42" s="13">
        <f t="shared" si="3"/>
        <v>10222.140000000001</v>
      </c>
    </row>
    <row r="43" spans="1:13" ht="15" customHeight="1">
      <c r="A43" s="7">
        <v>39</v>
      </c>
      <c r="B43" t="s">
        <v>237</v>
      </c>
      <c r="C43" s="6">
        <f t="shared" si="1"/>
        <v>10</v>
      </c>
      <c r="D43" s="6">
        <f t="shared" si="2"/>
        <v>1012.03</v>
      </c>
      <c r="E43" s="6">
        <v>1</v>
      </c>
      <c r="F43" s="6">
        <v>138.55000000000001</v>
      </c>
      <c r="G43" s="6">
        <v>5</v>
      </c>
      <c r="H43" s="6">
        <v>386.49</v>
      </c>
      <c r="I43" s="6">
        <v>3</v>
      </c>
      <c r="J43" s="6">
        <v>352.36</v>
      </c>
      <c r="K43" s="6">
        <v>1</v>
      </c>
      <c r="L43" s="6">
        <v>134.63</v>
      </c>
      <c r="M43" s="13">
        <f t="shared" si="3"/>
        <v>-38.050000000000011</v>
      </c>
    </row>
    <row r="44" spans="1:13" ht="15" customHeight="1">
      <c r="A44" s="7">
        <v>40</v>
      </c>
      <c r="B44" t="s">
        <v>297</v>
      </c>
      <c r="C44" s="6">
        <f t="shared" si="1"/>
        <v>7792</v>
      </c>
      <c r="D44" s="6">
        <f t="shared" si="2"/>
        <v>8121352.1799999997</v>
      </c>
      <c r="E44" s="6">
        <v>2065</v>
      </c>
      <c r="F44" s="6">
        <v>1978597.63</v>
      </c>
      <c r="G44" s="6">
        <v>490</v>
      </c>
      <c r="H44" s="6">
        <v>859165.59</v>
      </c>
      <c r="I44" s="6">
        <v>4717</v>
      </c>
      <c r="J44" s="6">
        <v>4415536.88</v>
      </c>
      <c r="K44" s="6">
        <v>520</v>
      </c>
      <c r="L44" s="6">
        <v>868052.08</v>
      </c>
      <c r="M44" s="13">
        <f t="shared" si="3"/>
        <v>2445825.7400000002</v>
      </c>
    </row>
    <row r="45" spans="1:13" ht="15" customHeight="1">
      <c r="A45" s="7">
        <v>41</v>
      </c>
      <c r="B45" t="s">
        <v>227</v>
      </c>
      <c r="C45" s="6">
        <f t="shared" si="1"/>
        <v>2</v>
      </c>
      <c r="D45" s="6">
        <f t="shared" si="2"/>
        <v>347.24</v>
      </c>
      <c r="E45" s="6">
        <v>1</v>
      </c>
      <c r="F45" s="6">
        <v>138.55000000000001</v>
      </c>
      <c r="G45" s="6"/>
      <c r="H45" s="6"/>
      <c r="I45" s="6">
        <v>1</v>
      </c>
      <c r="J45" s="6">
        <v>208.69</v>
      </c>
      <c r="K45" s="6"/>
      <c r="L45" s="6"/>
      <c r="M45" s="13">
        <f t="shared" si="3"/>
        <v>70.139999999999986</v>
      </c>
    </row>
    <row r="46" spans="1:13" ht="15" customHeight="1">
      <c r="A46" s="7">
        <v>42</v>
      </c>
      <c r="B46" t="s">
        <v>298</v>
      </c>
      <c r="C46" s="6">
        <f t="shared" si="1"/>
        <v>4564</v>
      </c>
      <c r="D46" s="6">
        <f t="shared" si="2"/>
        <v>3465419</v>
      </c>
      <c r="E46" s="6">
        <v>369</v>
      </c>
      <c r="F46" s="6">
        <v>273889.77</v>
      </c>
      <c r="G46" s="6">
        <v>1635</v>
      </c>
      <c r="H46" s="6">
        <v>1207401.3600000001</v>
      </c>
      <c r="I46" s="6">
        <v>1030</v>
      </c>
      <c r="J46" s="6">
        <v>796094.12</v>
      </c>
      <c r="K46" s="6">
        <v>1530</v>
      </c>
      <c r="L46" s="6">
        <v>1188033.75</v>
      </c>
      <c r="M46" s="13">
        <f t="shared" si="3"/>
        <v>502836.74</v>
      </c>
    </row>
    <row r="47" spans="1:13" ht="15" customHeight="1">
      <c r="A47" s="7">
        <v>43</v>
      </c>
      <c r="B47" t="s">
        <v>201</v>
      </c>
      <c r="C47" s="6">
        <f t="shared" si="1"/>
        <v>63</v>
      </c>
      <c r="D47" s="6">
        <f t="shared" si="2"/>
        <v>39343.64</v>
      </c>
      <c r="E47" s="6">
        <v>14</v>
      </c>
      <c r="F47" s="6">
        <v>9914.73</v>
      </c>
      <c r="G47" s="6"/>
      <c r="H47" s="6"/>
      <c r="I47" s="6">
        <v>49</v>
      </c>
      <c r="J47" s="6">
        <v>29428.91</v>
      </c>
      <c r="K47" s="6"/>
      <c r="L47" s="6"/>
      <c r="M47" s="13">
        <f t="shared" si="3"/>
        <v>19514.18</v>
      </c>
    </row>
    <row r="48" spans="1:13" ht="15" customHeight="1">
      <c r="A48" s="7">
        <v>44</v>
      </c>
      <c r="B48" t="s">
        <v>202</v>
      </c>
      <c r="C48" s="6">
        <f t="shared" si="1"/>
        <v>171</v>
      </c>
      <c r="D48" s="6">
        <f t="shared" si="2"/>
        <v>127413.52000000002</v>
      </c>
      <c r="E48" s="6">
        <v>44</v>
      </c>
      <c r="F48" s="6">
        <v>25729.360000000001</v>
      </c>
      <c r="G48" s="6">
        <v>22</v>
      </c>
      <c r="H48" s="6">
        <v>20214.88</v>
      </c>
      <c r="I48" s="6">
        <v>90</v>
      </c>
      <c r="J48" s="6">
        <v>65541.570000000007</v>
      </c>
      <c r="K48" s="6">
        <v>15</v>
      </c>
      <c r="L48" s="6">
        <v>15927.71</v>
      </c>
      <c r="M48" s="13">
        <f t="shared" si="3"/>
        <v>35525.039999999994</v>
      </c>
    </row>
    <row r="49" spans="1:13" ht="15" customHeight="1">
      <c r="A49" s="7">
        <v>45</v>
      </c>
      <c r="B49" t="s">
        <v>200</v>
      </c>
      <c r="C49" s="6">
        <f t="shared" si="1"/>
        <v>325</v>
      </c>
      <c r="D49" s="6">
        <f t="shared" si="2"/>
        <v>339983.41</v>
      </c>
      <c r="E49" s="6">
        <v>101</v>
      </c>
      <c r="F49" s="6">
        <v>95757.96</v>
      </c>
      <c r="G49" s="6">
        <v>45</v>
      </c>
      <c r="H49" s="6">
        <v>33379.9</v>
      </c>
      <c r="I49" s="6">
        <v>170</v>
      </c>
      <c r="J49" s="6">
        <v>205795.64</v>
      </c>
      <c r="K49" s="6">
        <v>9</v>
      </c>
      <c r="L49" s="6">
        <v>5049.91</v>
      </c>
      <c r="M49" s="13">
        <f t="shared" si="3"/>
        <v>81707.690000000017</v>
      </c>
    </row>
    <row r="50" spans="1:13" ht="15" customHeight="1">
      <c r="A50" s="7">
        <v>46</v>
      </c>
      <c r="B50" t="s">
        <v>185</v>
      </c>
      <c r="C50" s="6">
        <f t="shared" si="1"/>
        <v>38</v>
      </c>
      <c r="D50" s="6">
        <f t="shared" si="2"/>
        <v>24062.690000000002</v>
      </c>
      <c r="E50" s="6">
        <v>10</v>
      </c>
      <c r="F50" s="6">
        <v>2747.9</v>
      </c>
      <c r="G50" s="6">
        <v>1</v>
      </c>
      <c r="H50" s="6">
        <v>377.36</v>
      </c>
      <c r="I50" s="6">
        <v>24</v>
      </c>
      <c r="J50" s="6">
        <v>13725.54</v>
      </c>
      <c r="K50" s="6">
        <v>3</v>
      </c>
      <c r="L50" s="6">
        <v>7211.89</v>
      </c>
      <c r="M50" s="13">
        <f t="shared" si="3"/>
        <v>17812.169999999998</v>
      </c>
    </row>
    <row r="51" spans="1:13" ht="15" customHeight="1">
      <c r="A51" s="7">
        <v>47</v>
      </c>
      <c r="B51" t="s">
        <v>184</v>
      </c>
      <c r="C51" s="6">
        <f t="shared" si="1"/>
        <v>88</v>
      </c>
      <c r="D51" s="6">
        <f t="shared" si="2"/>
        <v>76317.23</v>
      </c>
      <c r="E51" s="6">
        <v>14</v>
      </c>
      <c r="F51" s="6">
        <v>14676.14</v>
      </c>
      <c r="G51" s="6">
        <v>5</v>
      </c>
      <c r="H51" s="6">
        <v>176.4</v>
      </c>
      <c r="I51" s="6">
        <v>66</v>
      </c>
      <c r="J51" s="6">
        <v>60710.79</v>
      </c>
      <c r="K51" s="6">
        <v>3</v>
      </c>
      <c r="L51" s="6">
        <v>753.9</v>
      </c>
      <c r="M51" s="13">
        <f t="shared" si="3"/>
        <v>46612.15</v>
      </c>
    </row>
    <row r="52" spans="1:13" ht="15" customHeight="1">
      <c r="A52" s="7">
        <v>48</v>
      </c>
      <c r="B52" t="s">
        <v>230</v>
      </c>
      <c r="C52" s="6">
        <f t="shared" si="1"/>
        <v>4</v>
      </c>
      <c r="D52" s="6">
        <f t="shared" si="2"/>
        <v>2117.06</v>
      </c>
      <c r="E52" s="6">
        <v>1</v>
      </c>
      <c r="F52" s="6">
        <v>831.31</v>
      </c>
      <c r="G52" s="6"/>
      <c r="H52" s="6"/>
      <c r="I52" s="6">
        <v>3</v>
      </c>
      <c r="J52" s="6">
        <v>1285.75</v>
      </c>
      <c r="K52" s="6"/>
      <c r="L52" s="6"/>
      <c r="M52" s="13">
        <f t="shared" si="3"/>
        <v>454.44000000000005</v>
      </c>
    </row>
    <row r="53" spans="1:13" ht="15" customHeight="1">
      <c r="A53" s="7">
        <v>49</v>
      </c>
      <c r="B53" t="s">
        <v>208</v>
      </c>
      <c r="C53" s="6">
        <f t="shared" si="1"/>
        <v>214</v>
      </c>
      <c r="D53" s="6">
        <f t="shared" si="2"/>
        <v>104405.11</v>
      </c>
      <c r="E53" s="6">
        <v>20</v>
      </c>
      <c r="F53" s="6">
        <v>6855.6</v>
      </c>
      <c r="G53" s="6">
        <v>49</v>
      </c>
      <c r="H53" s="6">
        <v>26270.44</v>
      </c>
      <c r="I53" s="6">
        <v>62</v>
      </c>
      <c r="J53" s="6">
        <v>19590.96</v>
      </c>
      <c r="K53" s="6">
        <v>83</v>
      </c>
      <c r="L53" s="6">
        <v>51688.11</v>
      </c>
      <c r="M53" s="13">
        <f t="shared" si="3"/>
        <v>38153.030000000006</v>
      </c>
    </row>
    <row r="54" spans="1:13" ht="15" customHeight="1">
      <c r="A54" s="7">
        <v>50</v>
      </c>
      <c r="B54" t="s">
        <v>223</v>
      </c>
      <c r="C54" s="6">
        <f t="shared" si="1"/>
        <v>30</v>
      </c>
      <c r="D54" s="6">
        <f t="shared" si="2"/>
        <v>17475.439999999999</v>
      </c>
      <c r="E54" s="6">
        <v>6</v>
      </c>
      <c r="F54" s="6">
        <v>1632.22</v>
      </c>
      <c r="G54" s="6"/>
      <c r="H54" s="6"/>
      <c r="I54" s="6">
        <v>24</v>
      </c>
      <c r="J54" s="6">
        <v>15843.22</v>
      </c>
      <c r="K54" s="6"/>
      <c r="L54" s="6"/>
      <c r="M54" s="13">
        <f t="shared" si="3"/>
        <v>14211</v>
      </c>
    </row>
    <row r="55" spans="1:13" ht="15" customHeight="1">
      <c r="A55" s="7">
        <v>51</v>
      </c>
      <c r="B55" t="s">
        <v>203</v>
      </c>
      <c r="C55" s="6">
        <f t="shared" si="1"/>
        <v>70</v>
      </c>
      <c r="D55" s="6">
        <f t="shared" si="2"/>
        <v>49324.259999999995</v>
      </c>
      <c r="E55" s="6">
        <v>11</v>
      </c>
      <c r="F55" s="6">
        <v>9083.99</v>
      </c>
      <c r="G55" s="6">
        <v>1</v>
      </c>
      <c r="H55" s="6">
        <v>440.25</v>
      </c>
      <c r="I55" s="6">
        <v>55</v>
      </c>
      <c r="J55" s="6">
        <v>36106.6</v>
      </c>
      <c r="K55" s="6">
        <v>3</v>
      </c>
      <c r="L55" s="6">
        <v>3693.42</v>
      </c>
      <c r="M55" s="13">
        <f t="shared" si="3"/>
        <v>30275.78</v>
      </c>
    </row>
    <row r="56" spans="1:13" ht="15" customHeight="1">
      <c r="A56" s="7">
        <v>52</v>
      </c>
      <c r="B56" t="s">
        <v>179</v>
      </c>
      <c r="C56" s="6">
        <f t="shared" si="1"/>
        <v>167</v>
      </c>
      <c r="D56" s="6">
        <f t="shared" si="2"/>
        <v>118764.70999999999</v>
      </c>
      <c r="E56" s="6">
        <v>34</v>
      </c>
      <c r="F56" s="6">
        <v>12784.89</v>
      </c>
      <c r="G56" s="6"/>
      <c r="H56" s="6"/>
      <c r="I56" s="6">
        <v>132</v>
      </c>
      <c r="J56" s="6">
        <v>99248.54</v>
      </c>
      <c r="K56" s="6">
        <v>1</v>
      </c>
      <c r="L56" s="6">
        <v>6731.28</v>
      </c>
      <c r="M56" s="13">
        <f t="shared" si="3"/>
        <v>93194.93</v>
      </c>
    </row>
    <row r="57" spans="1:13" ht="15" customHeight="1">
      <c r="A57" s="7">
        <v>53</v>
      </c>
      <c r="B57" t="s">
        <v>215</v>
      </c>
      <c r="C57" s="6">
        <f t="shared" si="1"/>
        <v>36</v>
      </c>
      <c r="D57" s="6">
        <f t="shared" si="2"/>
        <v>12808.51</v>
      </c>
      <c r="E57" s="6">
        <v>9</v>
      </c>
      <c r="F57" s="6">
        <v>1964.14</v>
      </c>
      <c r="G57" s="6"/>
      <c r="H57" s="6"/>
      <c r="I57" s="6">
        <v>26</v>
      </c>
      <c r="J57" s="6">
        <v>8724.02</v>
      </c>
      <c r="K57" s="6">
        <v>1</v>
      </c>
      <c r="L57" s="6">
        <v>2120.35</v>
      </c>
      <c r="M57" s="13">
        <f t="shared" si="3"/>
        <v>8880.2300000000014</v>
      </c>
    </row>
    <row r="58" spans="1:13" ht="15" customHeight="1">
      <c r="A58" s="7">
        <v>54</v>
      </c>
      <c r="B58" t="s">
        <v>231</v>
      </c>
      <c r="C58" s="6">
        <f t="shared" si="1"/>
        <v>11</v>
      </c>
      <c r="D58" s="6">
        <f t="shared" si="2"/>
        <v>7145.55</v>
      </c>
      <c r="E58" s="6">
        <v>4</v>
      </c>
      <c r="F58" s="6">
        <v>1246.96</v>
      </c>
      <c r="G58" s="6"/>
      <c r="H58" s="6"/>
      <c r="I58" s="6">
        <v>7</v>
      </c>
      <c r="J58" s="6">
        <v>5898.59</v>
      </c>
      <c r="K58" s="6"/>
      <c r="L58" s="6"/>
      <c r="M58" s="13">
        <f t="shared" si="3"/>
        <v>4651.63</v>
      </c>
    </row>
    <row r="59" spans="1:13" ht="15" customHeight="1">
      <c r="A59" s="7">
        <v>55</v>
      </c>
      <c r="B59" t="s">
        <v>235</v>
      </c>
      <c r="C59" s="6">
        <f t="shared" si="1"/>
        <v>45</v>
      </c>
      <c r="D59" s="6">
        <f t="shared" si="2"/>
        <v>23727.97</v>
      </c>
      <c r="E59" s="6">
        <v>3</v>
      </c>
      <c r="F59" s="6">
        <v>422.58</v>
      </c>
      <c r="G59" s="6">
        <v>13</v>
      </c>
      <c r="H59" s="6">
        <v>9732.6200000000008</v>
      </c>
      <c r="I59" s="6">
        <v>3</v>
      </c>
      <c r="J59" s="6">
        <v>1211.8</v>
      </c>
      <c r="K59" s="6">
        <v>26</v>
      </c>
      <c r="L59" s="6">
        <v>12360.97</v>
      </c>
      <c r="M59" s="13">
        <f t="shared" si="3"/>
        <v>3417.5699999999979</v>
      </c>
    </row>
    <row r="60" spans="1:13" ht="15" customHeight="1">
      <c r="A60" s="7">
        <v>56</v>
      </c>
      <c r="B60" t="s">
        <v>299</v>
      </c>
      <c r="C60" s="6">
        <f t="shared" si="1"/>
        <v>622</v>
      </c>
      <c r="D60" s="6">
        <f t="shared" si="2"/>
        <v>606699.08000000007</v>
      </c>
      <c r="E60" s="6">
        <v>189</v>
      </c>
      <c r="F60" s="6">
        <v>153932.13</v>
      </c>
      <c r="G60" s="6">
        <v>75</v>
      </c>
      <c r="H60" s="6">
        <v>128694.06</v>
      </c>
      <c r="I60" s="6">
        <v>307</v>
      </c>
      <c r="J60" s="6">
        <v>282901.64</v>
      </c>
      <c r="K60" s="6">
        <v>51</v>
      </c>
      <c r="L60" s="6">
        <v>41171.25</v>
      </c>
      <c r="M60" s="13">
        <f t="shared" si="3"/>
        <v>41446.700000000012</v>
      </c>
    </row>
    <row r="61" spans="1:13" ht="15" customHeight="1">
      <c r="A61" s="7">
        <v>57</v>
      </c>
      <c r="B61" t="s">
        <v>189</v>
      </c>
      <c r="C61" s="6">
        <f t="shared" si="1"/>
        <v>84</v>
      </c>
      <c r="D61" s="6">
        <f t="shared" si="2"/>
        <v>57298.340000000004</v>
      </c>
      <c r="E61" s="6">
        <v>13</v>
      </c>
      <c r="F61" s="6">
        <v>15269.65</v>
      </c>
      <c r="G61" s="6">
        <v>4</v>
      </c>
      <c r="H61" s="6">
        <v>578.61</v>
      </c>
      <c r="I61" s="6">
        <v>67</v>
      </c>
      <c r="J61" s="6">
        <v>41450.080000000002</v>
      </c>
      <c r="K61" s="6"/>
      <c r="L61" s="6"/>
      <c r="M61" s="13">
        <f t="shared" si="3"/>
        <v>25601.82</v>
      </c>
    </row>
    <row r="62" spans="1:13" ht="15" customHeight="1">
      <c r="A62" s="7">
        <v>58</v>
      </c>
      <c r="B62" t="s">
        <v>224</v>
      </c>
      <c r="C62" s="6">
        <f t="shared" si="1"/>
        <v>32</v>
      </c>
      <c r="D62" s="6">
        <f t="shared" si="2"/>
        <v>24140.41</v>
      </c>
      <c r="E62" s="6">
        <v>9</v>
      </c>
      <c r="F62" s="6">
        <v>2081.52</v>
      </c>
      <c r="G62" s="6">
        <v>4</v>
      </c>
      <c r="H62" s="6">
        <v>18588.57</v>
      </c>
      <c r="I62" s="6">
        <v>19</v>
      </c>
      <c r="J62" s="6">
        <v>3470.32</v>
      </c>
      <c r="K62" s="6"/>
      <c r="L62" s="6"/>
      <c r="M62" s="13">
        <f t="shared" si="3"/>
        <v>-17199.77</v>
      </c>
    </row>
    <row r="63" spans="1:13" ht="15" customHeight="1">
      <c r="A63" s="7">
        <v>59</v>
      </c>
      <c r="B63" t="s">
        <v>292</v>
      </c>
      <c r="C63" s="6">
        <f t="shared" si="1"/>
        <v>65808</v>
      </c>
      <c r="D63" s="6">
        <f t="shared" si="2"/>
        <v>58003966.379999995</v>
      </c>
      <c r="E63" s="6">
        <v>17005</v>
      </c>
      <c r="F63" s="6">
        <v>13943390.890000001</v>
      </c>
      <c r="G63" s="6">
        <v>6086</v>
      </c>
      <c r="H63" s="6">
        <v>4477448.57</v>
      </c>
      <c r="I63" s="6">
        <v>35368</v>
      </c>
      <c r="J63" s="6">
        <v>33702219.759999998</v>
      </c>
      <c r="K63" s="6">
        <v>7349</v>
      </c>
      <c r="L63" s="6">
        <v>5880907.1600000001</v>
      </c>
      <c r="M63" s="13">
        <f t="shared" si="3"/>
        <v>21162287.460000001</v>
      </c>
    </row>
    <row r="64" spans="1:13" ht="15" customHeight="1">
      <c r="A64" s="7">
        <v>60</v>
      </c>
      <c r="B64" t="s">
        <v>226</v>
      </c>
      <c r="C64" s="6">
        <f t="shared" si="1"/>
        <v>17</v>
      </c>
      <c r="D64" s="6">
        <f t="shared" si="2"/>
        <v>15296.400000000001</v>
      </c>
      <c r="E64" s="6">
        <v>4</v>
      </c>
      <c r="F64" s="6">
        <v>2049.37</v>
      </c>
      <c r="G64" s="6">
        <v>1</v>
      </c>
      <c r="H64" s="6">
        <v>119.5</v>
      </c>
      <c r="I64" s="6">
        <v>12</v>
      </c>
      <c r="J64" s="6">
        <v>13127.53</v>
      </c>
      <c r="K64" s="6"/>
      <c r="L64" s="6"/>
      <c r="M64" s="13">
        <f t="shared" si="3"/>
        <v>10958.66</v>
      </c>
    </row>
    <row r="65" spans="1:13" ht="15" customHeight="1">
      <c r="A65" s="7">
        <v>61</v>
      </c>
      <c r="B65" t="s">
        <v>191</v>
      </c>
      <c r="C65" s="6">
        <f t="shared" si="1"/>
        <v>361</v>
      </c>
      <c r="D65" s="6">
        <f t="shared" si="2"/>
        <v>236594.54</v>
      </c>
      <c r="E65" s="6">
        <v>99</v>
      </c>
      <c r="F65" s="6">
        <v>60917.04</v>
      </c>
      <c r="G65" s="6">
        <v>3</v>
      </c>
      <c r="H65" s="6">
        <v>2075.46</v>
      </c>
      <c r="I65" s="6">
        <v>256</v>
      </c>
      <c r="J65" s="6">
        <v>173063.54</v>
      </c>
      <c r="K65" s="6">
        <v>3</v>
      </c>
      <c r="L65" s="6">
        <v>538.5</v>
      </c>
      <c r="M65" s="13">
        <f t="shared" si="3"/>
        <v>110609.54000000001</v>
      </c>
    </row>
    <row r="66" spans="1:13" ht="15" customHeight="1">
      <c r="A66" s="7">
        <v>62</v>
      </c>
      <c r="B66" t="s">
        <v>206</v>
      </c>
      <c r="C66" s="6">
        <f t="shared" si="1"/>
        <v>91</v>
      </c>
      <c r="D66" s="6">
        <f t="shared" si="2"/>
        <v>49343.799999999996</v>
      </c>
      <c r="E66" s="6">
        <v>10</v>
      </c>
      <c r="F66" s="6">
        <v>2136.27</v>
      </c>
      <c r="G66" s="6"/>
      <c r="H66" s="6"/>
      <c r="I66" s="6">
        <v>75</v>
      </c>
      <c r="J66" s="6">
        <v>39542.75</v>
      </c>
      <c r="K66" s="6">
        <v>6</v>
      </c>
      <c r="L66" s="6">
        <v>7664.78</v>
      </c>
      <c r="M66" s="13">
        <f t="shared" si="3"/>
        <v>45071.26</v>
      </c>
    </row>
    <row r="67" spans="1:13" ht="15" customHeight="1">
      <c r="A67" s="7">
        <v>63</v>
      </c>
      <c r="B67" t="s">
        <v>220</v>
      </c>
      <c r="C67" s="6">
        <f t="shared" si="1"/>
        <v>23</v>
      </c>
      <c r="D67" s="6">
        <f t="shared" si="2"/>
        <v>8868.83</v>
      </c>
      <c r="E67" s="6">
        <v>3</v>
      </c>
      <c r="F67" s="6">
        <v>414.88</v>
      </c>
      <c r="G67" s="6"/>
      <c r="H67" s="6"/>
      <c r="I67" s="6">
        <v>20</v>
      </c>
      <c r="J67" s="6">
        <v>8453.9500000000007</v>
      </c>
      <c r="K67" s="6"/>
      <c r="L67" s="6"/>
      <c r="M67" s="13">
        <f t="shared" si="3"/>
        <v>8039.0700000000006</v>
      </c>
    </row>
    <row r="68" spans="1:13" ht="15" customHeight="1">
      <c r="A68" s="7">
        <v>64</v>
      </c>
      <c r="B68" t="s">
        <v>198</v>
      </c>
      <c r="C68" s="6">
        <f t="shared" si="1"/>
        <v>43</v>
      </c>
      <c r="D68" s="6">
        <f t="shared" si="2"/>
        <v>35209.269999999997</v>
      </c>
      <c r="E68" s="6">
        <v>8</v>
      </c>
      <c r="F68" s="6">
        <v>4036.23</v>
      </c>
      <c r="G68" s="6">
        <v>3</v>
      </c>
      <c r="H68" s="6">
        <v>599.48</v>
      </c>
      <c r="I68" s="6">
        <v>31</v>
      </c>
      <c r="J68" s="6">
        <v>30196.03</v>
      </c>
      <c r="K68" s="6">
        <v>1</v>
      </c>
      <c r="L68" s="6">
        <v>377.53</v>
      </c>
      <c r="M68" s="13">
        <f t="shared" si="3"/>
        <v>25937.85</v>
      </c>
    </row>
    <row r="69" spans="1:13" ht="15" customHeight="1">
      <c r="A69" s="7">
        <v>65</v>
      </c>
      <c r="B69" t="s">
        <v>218</v>
      </c>
      <c r="C69" s="6">
        <f t="shared" si="1"/>
        <v>6</v>
      </c>
      <c r="D69" s="6">
        <f t="shared" si="2"/>
        <v>3443.43</v>
      </c>
      <c r="E69" s="6">
        <v>1</v>
      </c>
      <c r="F69" s="6">
        <v>623.48</v>
      </c>
      <c r="G69" s="6"/>
      <c r="H69" s="6"/>
      <c r="I69" s="6">
        <v>5</v>
      </c>
      <c r="J69" s="6">
        <v>2819.95</v>
      </c>
      <c r="K69" s="6"/>
      <c r="L69" s="6"/>
      <c r="M69" s="13">
        <f t="shared" si="3"/>
        <v>2196.4699999999998</v>
      </c>
    </row>
    <row r="70" spans="1:13" ht="15" customHeight="1">
      <c r="A70" s="7">
        <v>66</v>
      </c>
      <c r="B70" t="s">
        <v>236</v>
      </c>
      <c r="C70" s="6">
        <f t="shared" ref="C70:C84" si="4">+E70+G70+I70+K70</f>
        <v>5</v>
      </c>
      <c r="D70" s="6">
        <f t="shared" ref="D70:D84" si="5">+F70+H70+J70+L70</f>
        <v>5493.8099999999995</v>
      </c>
      <c r="E70" s="6">
        <v>1</v>
      </c>
      <c r="F70" s="6">
        <v>3395.27</v>
      </c>
      <c r="G70" s="6"/>
      <c r="H70" s="6"/>
      <c r="I70" s="6">
        <v>3</v>
      </c>
      <c r="J70" s="6">
        <v>1655.62</v>
      </c>
      <c r="K70" s="6">
        <v>1</v>
      </c>
      <c r="L70" s="6">
        <v>442.92</v>
      </c>
      <c r="M70" s="13">
        <f t="shared" ref="M70:M84" si="6">+L70+J70-H70-F70</f>
        <v>-1296.73</v>
      </c>
    </row>
    <row r="71" spans="1:13" ht="15" customHeight="1">
      <c r="A71" s="7">
        <v>67</v>
      </c>
      <c r="B71" t="s">
        <v>217</v>
      </c>
      <c r="C71" s="6">
        <f t="shared" si="4"/>
        <v>114</v>
      </c>
      <c r="D71" s="6">
        <f t="shared" si="5"/>
        <v>69720.3</v>
      </c>
      <c r="E71" s="6">
        <v>23</v>
      </c>
      <c r="F71" s="6">
        <v>9062.2099999999991</v>
      </c>
      <c r="G71" s="6">
        <v>12</v>
      </c>
      <c r="H71" s="6">
        <v>24555.200000000001</v>
      </c>
      <c r="I71" s="6">
        <v>63</v>
      </c>
      <c r="J71" s="6">
        <v>18495.939999999999</v>
      </c>
      <c r="K71" s="6">
        <v>16</v>
      </c>
      <c r="L71" s="6">
        <v>17606.95</v>
      </c>
      <c r="M71" s="13">
        <f t="shared" si="6"/>
        <v>2485.4799999999996</v>
      </c>
    </row>
    <row r="72" spans="1:13" ht="15" customHeight="1">
      <c r="A72" s="7">
        <v>68</v>
      </c>
      <c r="B72" t="s">
        <v>178</v>
      </c>
      <c r="C72" s="6">
        <f t="shared" si="4"/>
        <v>327</v>
      </c>
      <c r="D72" s="6">
        <f t="shared" si="5"/>
        <v>215561.74000000002</v>
      </c>
      <c r="E72" s="6">
        <v>85</v>
      </c>
      <c r="F72" s="6">
        <v>59309.39</v>
      </c>
      <c r="G72" s="6">
        <v>4</v>
      </c>
      <c r="H72" s="6">
        <v>1229.33</v>
      </c>
      <c r="I72" s="6">
        <v>225</v>
      </c>
      <c r="J72" s="6">
        <v>151132.95000000001</v>
      </c>
      <c r="K72" s="6">
        <v>13</v>
      </c>
      <c r="L72" s="6">
        <v>3890.07</v>
      </c>
      <c r="M72" s="13">
        <f t="shared" si="6"/>
        <v>94484.300000000032</v>
      </c>
    </row>
    <row r="73" spans="1:13" ht="15" customHeight="1">
      <c r="A73" s="7">
        <v>69</v>
      </c>
      <c r="B73" t="s">
        <v>183</v>
      </c>
      <c r="C73" s="6">
        <f t="shared" si="4"/>
        <v>68</v>
      </c>
      <c r="D73" s="6">
        <f t="shared" si="5"/>
        <v>76293.319999999992</v>
      </c>
      <c r="E73" s="6">
        <v>29</v>
      </c>
      <c r="F73" s="6">
        <v>56354.01</v>
      </c>
      <c r="G73" s="6"/>
      <c r="H73" s="6"/>
      <c r="I73" s="6">
        <v>38</v>
      </c>
      <c r="J73" s="6">
        <v>19848.689999999999</v>
      </c>
      <c r="K73" s="6">
        <v>1</v>
      </c>
      <c r="L73" s="6">
        <v>90.62</v>
      </c>
      <c r="M73" s="13">
        <f t="shared" si="6"/>
        <v>-36414.700000000004</v>
      </c>
    </row>
    <row r="74" spans="1:13" ht="15" customHeight="1">
      <c r="A74" s="7">
        <v>70</v>
      </c>
      <c r="B74" t="s">
        <v>240</v>
      </c>
      <c r="C74" s="6">
        <f t="shared" si="4"/>
        <v>1</v>
      </c>
      <c r="D74" s="6">
        <f t="shared" si="5"/>
        <v>117.77</v>
      </c>
      <c r="E74" s="6">
        <v>1</v>
      </c>
      <c r="F74" s="6">
        <v>117.77</v>
      </c>
      <c r="G74" s="6"/>
      <c r="H74" s="6"/>
      <c r="I74" s="6"/>
      <c r="J74" s="6"/>
      <c r="K74" s="6"/>
      <c r="L74" s="6"/>
      <c r="M74" s="13">
        <f t="shared" si="6"/>
        <v>-117.77</v>
      </c>
    </row>
    <row r="75" spans="1:13" ht="15" customHeight="1">
      <c r="A75" s="7">
        <v>71</v>
      </c>
      <c r="B75" t="s">
        <v>300</v>
      </c>
      <c r="C75" s="6">
        <f t="shared" si="4"/>
        <v>1112</v>
      </c>
      <c r="D75" s="6">
        <f t="shared" si="5"/>
        <v>529108.47</v>
      </c>
      <c r="E75" s="6">
        <v>94</v>
      </c>
      <c r="F75" s="6">
        <v>65076.29</v>
      </c>
      <c r="G75" s="6">
        <v>394</v>
      </c>
      <c r="H75" s="6">
        <v>137962.76</v>
      </c>
      <c r="I75" s="6">
        <v>209</v>
      </c>
      <c r="J75" s="6">
        <v>206992.6</v>
      </c>
      <c r="K75" s="6">
        <v>415</v>
      </c>
      <c r="L75" s="6">
        <v>119076.82</v>
      </c>
      <c r="M75" s="13">
        <f t="shared" si="6"/>
        <v>123030.37000000002</v>
      </c>
    </row>
    <row r="76" spans="1:13" ht="15" customHeight="1">
      <c r="A76" s="7">
        <v>72</v>
      </c>
      <c r="B76" t="s">
        <v>216</v>
      </c>
      <c r="C76" s="6">
        <f t="shared" si="4"/>
        <v>73</v>
      </c>
      <c r="D76" s="6">
        <f t="shared" si="5"/>
        <v>67777.17</v>
      </c>
      <c r="E76" s="6">
        <v>8</v>
      </c>
      <c r="F76" s="6">
        <v>6857.82</v>
      </c>
      <c r="G76" s="6">
        <v>16</v>
      </c>
      <c r="H76" s="6">
        <v>26855.32</v>
      </c>
      <c r="I76" s="6">
        <v>23</v>
      </c>
      <c r="J76" s="6">
        <v>12259.69</v>
      </c>
      <c r="K76" s="6">
        <v>26</v>
      </c>
      <c r="L76" s="6">
        <v>21804.34</v>
      </c>
      <c r="M76" s="13">
        <f t="shared" si="6"/>
        <v>350.88999999999942</v>
      </c>
    </row>
    <row r="77" spans="1:13" ht="15" customHeight="1">
      <c r="A77" s="7">
        <v>73</v>
      </c>
      <c r="B77" t="s">
        <v>301</v>
      </c>
      <c r="C77" s="6">
        <f t="shared" si="4"/>
        <v>1373</v>
      </c>
      <c r="D77" s="6">
        <f t="shared" si="5"/>
        <v>984987.28999999992</v>
      </c>
      <c r="E77" s="6">
        <v>271</v>
      </c>
      <c r="F77" s="6">
        <v>174336.97</v>
      </c>
      <c r="G77" s="6">
        <v>55</v>
      </c>
      <c r="H77" s="6">
        <v>105037.37</v>
      </c>
      <c r="I77" s="6">
        <v>1002</v>
      </c>
      <c r="J77" s="6">
        <v>670844.6</v>
      </c>
      <c r="K77" s="6">
        <v>45</v>
      </c>
      <c r="L77" s="6">
        <v>34768.35</v>
      </c>
      <c r="M77" s="13">
        <f t="shared" si="6"/>
        <v>426238.61</v>
      </c>
    </row>
    <row r="78" spans="1:13" ht="15" customHeight="1">
      <c r="A78" s="7">
        <v>74</v>
      </c>
      <c r="B78" t="s">
        <v>302</v>
      </c>
      <c r="C78" s="6">
        <f t="shared" si="4"/>
        <v>51985</v>
      </c>
      <c r="D78" s="6">
        <f t="shared" si="5"/>
        <v>32141841.100000001</v>
      </c>
      <c r="E78" s="6">
        <v>11839</v>
      </c>
      <c r="F78" s="6">
        <v>5391821.1500000004</v>
      </c>
      <c r="G78" s="6">
        <v>3823</v>
      </c>
      <c r="H78" s="6">
        <v>4671144.47</v>
      </c>
      <c r="I78" s="6">
        <v>32446</v>
      </c>
      <c r="J78" s="6">
        <v>16980267.719999999</v>
      </c>
      <c r="K78" s="6">
        <v>3877</v>
      </c>
      <c r="L78" s="6">
        <v>5098607.76</v>
      </c>
      <c r="M78" s="13">
        <f t="shared" si="6"/>
        <v>12015909.859999998</v>
      </c>
    </row>
    <row r="79" spans="1:13" ht="15" customHeight="1">
      <c r="A79" s="7">
        <v>75</v>
      </c>
      <c r="B79" t="s">
        <v>239</v>
      </c>
      <c r="C79" s="6">
        <f t="shared" si="4"/>
        <v>13</v>
      </c>
      <c r="D79" s="6">
        <f t="shared" si="5"/>
        <v>4191.1499999999996</v>
      </c>
      <c r="E79" s="6">
        <v>3</v>
      </c>
      <c r="F79" s="6">
        <v>2067.16</v>
      </c>
      <c r="G79" s="6">
        <v>3</v>
      </c>
      <c r="H79" s="6">
        <v>327.04000000000002</v>
      </c>
      <c r="I79" s="6">
        <v>3</v>
      </c>
      <c r="J79" s="6">
        <v>1446.92</v>
      </c>
      <c r="K79" s="6">
        <v>4</v>
      </c>
      <c r="L79" s="6">
        <v>350.03</v>
      </c>
      <c r="M79" s="13">
        <f t="shared" si="6"/>
        <v>-597.24999999999977</v>
      </c>
    </row>
    <row r="80" spans="1:13" ht="15" customHeight="1">
      <c r="A80" s="7">
        <v>76</v>
      </c>
      <c r="B80" t="s">
        <v>232</v>
      </c>
      <c r="C80" s="6">
        <f t="shared" si="4"/>
        <v>1</v>
      </c>
      <c r="D80" s="6">
        <f t="shared" si="5"/>
        <v>2771.03</v>
      </c>
      <c r="E80" s="6">
        <v>1</v>
      </c>
      <c r="F80" s="6">
        <v>2771.03</v>
      </c>
      <c r="G80" s="6"/>
      <c r="H80" s="6"/>
      <c r="I80" s="6"/>
      <c r="J80" s="6"/>
      <c r="K80" s="6"/>
      <c r="L80" s="6"/>
      <c r="M80" s="13">
        <f t="shared" si="6"/>
        <v>-2771.03</v>
      </c>
    </row>
    <row r="81" spans="1:13" ht="15" customHeight="1">
      <c r="A81" s="7">
        <v>77</v>
      </c>
      <c r="B81" t="s">
        <v>303</v>
      </c>
      <c r="C81" s="6">
        <f t="shared" si="4"/>
        <v>324</v>
      </c>
      <c r="D81" s="6">
        <f t="shared" si="5"/>
        <v>257284.52</v>
      </c>
      <c r="E81" s="6">
        <v>93</v>
      </c>
      <c r="F81" s="6">
        <v>46127.59</v>
      </c>
      <c r="G81" s="6">
        <v>5</v>
      </c>
      <c r="H81" s="6">
        <v>3155</v>
      </c>
      <c r="I81" s="6">
        <v>217</v>
      </c>
      <c r="J81" s="6">
        <v>180070.63</v>
      </c>
      <c r="K81" s="6">
        <v>9</v>
      </c>
      <c r="L81" s="6">
        <v>27931.3</v>
      </c>
      <c r="M81" s="13">
        <f t="shared" si="6"/>
        <v>158719.34</v>
      </c>
    </row>
    <row r="82" spans="1:13" ht="15" customHeight="1">
      <c r="A82" s="7">
        <v>78</v>
      </c>
      <c r="B82" t="s">
        <v>304</v>
      </c>
      <c r="C82" s="6">
        <f t="shared" si="4"/>
        <v>9689</v>
      </c>
      <c r="D82" s="6">
        <f t="shared" si="5"/>
        <v>11824843.899999999</v>
      </c>
      <c r="E82" s="6">
        <v>2312</v>
      </c>
      <c r="F82" s="6">
        <v>2418981.79</v>
      </c>
      <c r="G82" s="6">
        <v>88</v>
      </c>
      <c r="H82" s="6">
        <v>178978.29</v>
      </c>
      <c r="I82" s="6">
        <v>7159</v>
      </c>
      <c r="J82" s="6">
        <v>9014663.9499999993</v>
      </c>
      <c r="K82" s="6">
        <v>130</v>
      </c>
      <c r="L82" s="6">
        <v>212219.87</v>
      </c>
      <c r="M82" s="13">
        <f t="shared" si="6"/>
        <v>6628923.7399999993</v>
      </c>
    </row>
    <row r="83" spans="1:13" ht="15" customHeight="1">
      <c r="A83" s="7">
        <v>79</v>
      </c>
      <c r="B83" t="s">
        <v>209</v>
      </c>
      <c r="C83" s="6">
        <f t="shared" si="4"/>
        <v>60</v>
      </c>
      <c r="D83" s="6">
        <f t="shared" si="5"/>
        <v>75871.23</v>
      </c>
      <c r="E83" s="6">
        <v>21</v>
      </c>
      <c r="F83" s="6">
        <v>32614.15</v>
      </c>
      <c r="G83" s="6"/>
      <c r="H83" s="6"/>
      <c r="I83" s="6">
        <v>36</v>
      </c>
      <c r="J83" s="6">
        <v>41349.440000000002</v>
      </c>
      <c r="K83" s="6">
        <v>3</v>
      </c>
      <c r="L83" s="6">
        <v>1907.64</v>
      </c>
      <c r="M83" s="13">
        <f t="shared" si="6"/>
        <v>10642.93</v>
      </c>
    </row>
    <row r="84" spans="1:13" ht="15" customHeight="1">
      <c r="A84" s="7">
        <v>80</v>
      </c>
      <c r="B84" t="s">
        <v>204</v>
      </c>
      <c r="C84" s="6">
        <f t="shared" si="4"/>
        <v>69</v>
      </c>
      <c r="D84" s="6">
        <f t="shared" si="5"/>
        <v>17796.560000000001</v>
      </c>
      <c r="E84" s="6">
        <v>9</v>
      </c>
      <c r="F84" s="6">
        <v>1796.98</v>
      </c>
      <c r="G84" s="6">
        <v>1</v>
      </c>
      <c r="H84" s="6">
        <v>25.16</v>
      </c>
      <c r="I84" s="6">
        <v>58</v>
      </c>
      <c r="J84" s="6">
        <v>15866.72</v>
      </c>
      <c r="K84" s="6">
        <v>1</v>
      </c>
      <c r="L84" s="6">
        <v>107.7</v>
      </c>
      <c r="M84" s="13">
        <f t="shared" si="6"/>
        <v>14152.28</v>
      </c>
    </row>
  </sheetData>
  <autoFilter ref="A4:M84"/>
  <mergeCells count="11">
    <mergeCell ref="I1:L1"/>
    <mergeCell ref="M1:M3"/>
    <mergeCell ref="E2:F2"/>
    <mergeCell ref="G2:H2"/>
    <mergeCell ref="I2:J2"/>
    <mergeCell ref="K2:L2"/>
    <mergeCell ref="A1:A3"/>
    <mergeCell ref="B1:B3"/>
    <mergeCell ref="C1:C3"/>
    <mergeCell ref="D1:D3"/>
    <mergeCell ref="E1:H1"/>
  </mergeCells>
  <pageMargins left="0.7" right="0.7" top="0.75" bottom="0.75" header="0.3" footer="0.3"/>
  <pageSetup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N30"/>
  <sheetViews>
    <sheetView zoomScale="85" zoomScaleNormal="85" workbookViewId="0">
      <selection activeCell="N5" sqref="N5"/>
    </sheetView>
  </sheetViews>
  <sheetFormatPr defaultRowHeight="12.75"/>
  <cols>
    <col min="2" max="2" width="78" customWidth="1"/>
    <col min="3" max="13" width="17.5703125" customWidth="1"/>
    <col min="14" max="14" width="11.7109375" style="1" bestFit="1" customWidth="1"/>
  </cols>
  <sheetData>
    <row r="1" spans="1:14" ht="18.75" customHeight="1">
      <c r="A1" s="73" t="s">
        <v>175</v>
      </c>
      <c r="B1" s="73" t="s">
        <v>307</v>
      </c>
      <c r="C1" s="83" t="s">
        <v>171</v>
      </c>
      <c r="D1" s="83" t="s">
        <v>172</v>
      </c>
      <c r="E1" s="80" t="s">
        <v>306</v>
      </c>
      <c r="F1" s="77" t="s">
        <v>425</v>
      </c>
      <c r="G1" s="78"/>
      <c r="H1" s="78"/>
      <c r="I1" s="79"/>
      <c r="J1" s="77" t="s">
        <v>426</v>
      </c>
      <c r="K1" s="78"/>
      <c r="L1" s="78"/>
      <c r="M1" s="79"/>
      <c r="N1" s="90" t="s">
        <v>244</v>
      </c>
    </row>
    <row r="2" spans="1:14" ht="18.75" customHeight="1">
      <c r="A2" s="73"/>
      <c r="B2" s="73"/>
      <c r="C2" s="83"/>
      <c r="D2" s="83"/>
      <c r="E2" s="81"/>
      <c r="F2" s="73" t="s">
        <v>148</v>
      </c>
      <c r="G2" s="73"/>
      <c r="H2" s="73" t="s">
        <v>1</v>
      </c>
      <c r="I2" s="73"/>
      <c r="J2" s="73" t="s">
        <v>148</v>
      </c>
      <c r="K2" s="73"/>
      <c r="L2" s="73" t="s">
        <v>1</v>
      </c>
      <c r="M2" s="73"/>
      <c r="N2" s="90"/>
    </row>
    <row r="3" spans="1:14" ht="18.75" customHeight="1">
      <c r="A3" s="73"/>
      <c r="B3" s="73"/>
      <c r="C3" s="83"/>
      <c r="D3" s="83"/>
      <c r="E3" s="82"/>
      <c r="F3" s="9" t="s">
        <v>173</v>
      </c>
      <c r="G3" s="9" t="s">
        <v>170</v>
      </c>
      <c r="H3" s="9" t="s">
        <v>173</v>
      </c>
      <c r="I3" s="9" t="s">
        <v>170</v>
      </c>
      <c r="J3" s="9" t="s">
        <v>173</v>
      </c>
      <c r="K3" s="9" t="s">
        <v>170</v>
      </c>
      <c r="L3" s="9" t="s">
        <v>173</v>
      </c>
      <c r="M3" s="9" t="s">
        <v>170</v>
      </c>
      <c r="N3" s="90"/>
    </row>
    <row r="4" spans="1:14" s="12" customFormat="1" ht="18.75" customHeight="1">
      <c r="A4" s="73" t="s">
        <v>288</v>
      </c>
      <c r="B4" s="73"/>
      <c r="C4" s="16">
        <f t="shared" ref="C4" si="0">SUM(C5:C22)</f>
        <v>163110</v>
      </c>
      <c r="D4" s="16">
        <f t="shared" ref="D4" si="1">SUM(D5:D22)</f>
        <v>133464249</v>
      </c>
      <c r="E4" s="10">
        <v>1</v>
      </c>
      <c r="F4" s="16">
        <f t="shared" ref="F4" si="2">SUM(F5:F22)</f>
        <v>37754</v>
      </c>
      <c r="G4" s="16">
        <f>SUM(G5:G22)</f>
        <v>26805688</v>
      </c>
      <c r="H4" s="16">
        <f t="shared" ref="H4" si="3">SUM(H5:H22)</f>
        <v>16464</v>
      </c>
      <c r="I4" s="16">
        <f t="shared" ref="I4" si="4">SUM(I5:I22)</f>
        <v>16090038</v>
      </c>
      <c r="J4" s="16">
        <f t="shared" ref="J4" si="5">SUM(J5:J22)</f>
        <v>90987</v>
      </c>
      <c r="K4" s="16">
        <f>SUM(K5:K22)</f>
        <v>72253275</v>
      </c>
      <c r="L4" s="16">
        <f t="shared" ref="L4:N4" si="6">SUM(L5:L22)</f>
        <v>17905</v>
      </c>
      <c r="M4" s="16">
        <f t="shared" si="6"/>
        <v>18315248</v>
      </c>
      <c r="N4" s="16">
        <f t="shared" si="6"/>
        <v>47672797</v>
      </c>
    </row>
    <row r="5" spans="1:14" ht="20.25" customHeight="1">
      <c r="A5" s="7">
        <v>1</v>
      </c>
      <c r="B5" s="34" t="s">
        <v>12</v>
      </c>
      <c r="C5" s="15">
        <f t="shared" ref="C5:C22" si="7">+F5+H5+J5+L5</f>
        <v>10231</v>
      </c>
      <c r="D5" s="15">
        <f>+G5+I5+K5+M5</f>
        <v>7599883</v>
      </c>
      <c r="E5" s="10">
        <f>+D5/$D$4</f>
        <v>5.6943211810977189E-2</v>
      </c>
      <c r="F5" s="15">
        <v>2096</v>
      </c>
      <c r="G5" s="15">
        <v>1278839</v>
      </c>
      <c r="H5" s="15">
        <v>1479</v>
      </c>
      <c r="I5" s="15">
        <v>1264872</v>
      </c>
      <c r="J5" s="15">
        <v>5062</v>
      </c>
      <c r="K5" s="15">
        <v>3436002</v>
      </c>
      <c r="L5" s="15">
        <v>1594</v>
      </c>
      <c r="M5" s="15">
        <v>1620170</v>
      </c>
      <c r="N5" s="16">
        <f>+M5+K5-I5-G5</f>
        <v>2512461</v>
      </c>
    </row>
    <row r="6" spans="1:14" ht="20.25" customHeight="1">
      <c r="A6" s="7">
        <v>2</v>
      </c>
      <c r="B6" s="34" t="s">
        <v>65</v>
      </c>
      <c r="C6" s="15">
        <f t="shared" si="7"/>
        <v>5301</v>
      </c>
      <c r="D6" s="15">
        <f t="shared" ref="D6:D22" si="8">+G6+I6+K6+M6</f>
        <v>5937953</v>
      </c>
      <c r="E6" s="10">
        <f t="shared" ref="E6:E22" si="9">+D6/$D$4</f>
        <v>4.4490963269122358E-2</v>
      </c>
      <c r="F6" s="15">
        <v>1448</v>
      </c>
      <c r="G6" s="15">
        <v>1438739</v>
      </c>
      <c r="H6" s="15">
        <v>443</v>
      </c>
      <c r="I6" s="15">
        <v>444703</v>
      </c>
      <c r="J6" s="15">
        <v>2792</v>
      </c>
      <c r="K6" s="15">
        <v>3352532</v>
      </c>
      <c r="L6" s="15">
        <v>618</v>
      </c>
      <c r="M6" s="15">
        <v>701979</v>
      </c>
      <c r="N6" s="16">
        <f t="shared" ref="N6:N22" si="10">+M6+K6-I6-G6</f>
        <v>2171069</v>
      </c>
    </row>
    <row r="7" spans="1:14" ht="20.25" customHeight="1">
      <c r="A7" s="7">
        <v>3</v>
      </c>
      <c r="B7" s="34" t="s">
        <v>43</v>
      </c>
      <c r="C7" s="15">
        <f t="shared" si="7"/>
        <v>8378</v>
      </c>
      <c r="D7" s="15">
        <f t="shared" si="8"/>
        <v>6096966</v>
      </c>
      <c r="E7" s="10">
        <f t="shared" si="9"/>
        <v>4.5682390945008804E-2</v>
      </c>
      <c r="F7" s="15">
        <v>2057</v>
      </c>
      <c r="G7" s="15">
        <v>1255535</v>
      </c>
      <c r="H7" s="15">
        <v>612</v>
      </c>
      <c r="I7" s="15">
        <v>699392</v>
      </c>
      <c r="J7" s="15">
        <v>5002</v>
      </c>
      <c r="K7" s="15">
        <v>3471769</v>
      </c>
      <c r="L7" s="15">
        <v>707</v>
      </c>
      <c r="M7" s="15">
        <v>670270</v>
      </c>
      <c r="N7" s="16">
        <f t="shared" si="10"/>
        <v>2187112</v>
      </c>
    </row>
    <row r="8" spans="1:14" ht="20.25" customHeight="1">
      <c r="A8" s="7">
        <v>4</v>
      </c>
      <c r="B8" s="34" t="s">
        <v>87</v>
      </c>
      <c r="C8" s="15">
        <f t="shared" si="7"/>
        <v>4811</v>
      </c>
      <c r="D8" s="15">
        <f t="shared" si="8"/>
        <v>4761698</v>
      </c>
      <c r="E8" s="10">
        <f t="shared" si="9"/>
        <v>3.5677704221750053E-2</v>
      </c>
      <c r="F8" s="15">
        <v>1224</v>
      </c>
      <c r="G8" s="15">
        <v>1313773</v>
      </c>
      <c r="H8" s="15">
        <v>518</v>
      </c>
      <c r="I8" s="15">
        <v>473182</v>
      </c>
      <c r="J8" s="15">
        <v>2642</v>
      </c>
      <c r="K8" s="15">
        <v>2593598</v>
      </c>
      <c r="L8" s="15">
        <v>427</v>
      </c>
      <c r="M8" s="15">
        <v>381145</v>
      </c>
      <c r="N8" s="16">
        <f t="shared" si="10"/>
        <v>1187788</v>
      </c>
    </row>
    <row r="9" spans="1:14" ht="20.25" customHeight="1">
      <c r="A9" s="7">
        <v>5</v>
      </c>
      <c r="B9" s="34" t="s">
        <v>115</v>
      </c>
      <c r="C9" s="15">
        <f t="shared" si="7"/>
        <v>7458</v>
      </c>
      <c r="D9" s="15">
        <f t="shared" si="8"/>
        <v>5546395</v>
      </c>
      <c r="E9" s="10">
        <f t="shared" si="9"/>
        <v>4.1557158876307017E-2</v>
      </c>
      <c r="F9" s="15">
        <v>1417</v>
      </c>
      <c r="G9" s="15">
        <v>794412</v>
      </c>
      <c r="H9" s="15">
        <v>1435</v>
      </c>
      <c r="I9" s="15">
        <v>1498023</v>
      </c>
      <c r="J9" s="15">
        <v>3277</v>
      </c>
      <c r="K9" s="15">
        <v>2045735</v>
      </c>
      <c r="L9" s="15">
        <v>1329</v>
      </c>
      <c r="M9" s="15">
        <v>1208225</v>
      </c>
      <c r="N9" s="16">
        <f t="shared" si="10"/>
        <v>961525</v>
      </c>
    </row>
    <row r="10" spans="1:14" ht="20.25" customHeight="1">
      <c r="A10" s="7">
        <v>6</v>
      </c>
      <c r="B10" s="5" t="s">
        <v>91</v>
      </c>
      <c r="C10" s="15">
        <f t="shared" si="7"/>
        <v>4270</v>
      </c>
      <c r="D10" s="15">
        <f t="shared" si="8"/>
        <v>4084019</v>
      </c>
      <c r="E10" s="10">
        <f t="shared" si="9"/>
        <v>3.0600097259004543E-2</v>
      </c>
      <c r="F10" s="15">
        <v>1212</v>
      </c>
      <c r="G10" s="15">
        <v>1132433</v>
      </c>
      <c r="H10" s="15">
        <v>219</v>
      </c>
      <c r="I10" s="15">
        <v>257245</v>
      </c>
      <c r="J10" s="15">
        <v>2630</v>
      </c>
      <c r="K10" s="15">
        <v>2431033</v>
      </c>
      <c r="L10" s="15">
        <v>209</v>
      </c>
      <c r="M10" s="15">
        <v>263308</v>
      </c>
      <c r="N10" s="16">
        <f t="shared" si="10"/>
        <v>1304663</v>
      </c>
    </row>
    <row r="11" spans="1:14" ht="20.25" customHeight="1">
      <c r="A11" s="7">
        <v>7</v>
      </c>
      <c r="B11" s="34" t="s">
        <v>97</v>
      </c>
      <c r="C11" s="15">
        <f t="shared" si="7"/>
        <v>3591</v>
      </c>
      <c r="D11" s="15">
        <f>+G11+I11+K11+M11</f>
        <v>2558138</v>
      </c>
      <c r="E11" s="10">
        <f t="shared" si="9"/>
        <v>1.9167215334197848E-2</v>
      </c>
      <c r="F11" s="15">
        <v>1056</v>
      </c>
      <c r="G11" s="15">
        <v>657002</v>
      </c>
      <c r="H11" s="15">
        <v>250</v>
      </c>
      <c r="I11" s="15">
        <v>163088</v>
      </c>
      <c r="J11" s="15">
        <v>2029</v>
      </c>
      <c r="K11" s="15">
        <v>1599272</v>
      </c>
      <c r="L11" s="15">
        <v>256</v>
      </c>
      <c r="M11" s="15">
        <v>138776</v>
      </c>
      <c r="N11" s="16">
        <f t="shared" si="10"/>
        <v>917958</v>
      </c>
    </row>
    <row r="12" spans="1:14" ht="20.25" customHeight="1">
      <c r="A12" s="7">
        <v>8</v>
      </c>
      <c r="B12" s="34" t="s">
        <v>60</v>
      </c>
      <c r="C12" s="15">
        <f t="shared" si="7"/>
        <v>2836</v>
      </c>
      <c r="D12" s="15">
        <f t="shared" si="8"/>
        <v>2475000</v>
      </c>
      <c r="E12" s="10">
        <f t="shared" si="9"/>
        <v>1.8544291962411596E-2</v>
      </c>
      <c r="F12" s="15">
        <v>697</v>
      </c>
      <c r="G12" s="15">
        <v>623485</v>
      </c>
      <c r="H12" s="15">
        <v>183</v>
      </c>
      <c r="I12" s="15">
        <v>155363</v>
      </c>
      <c r="J12" s="15">
        <v>1769</v>
      </c>
      <c r="K12" s="15">
        <v>1601155</v>
      </c>
      <c r="L12" s="15">
        <v>187</v>
      </c>
      <c r="M12" s="15">
        <v>94997</v>
      </c>
      <c r="N12" s="16">
        <f t="shared" si="10"/>
        <v>917304</v>
      </c>
    </row>
    <row r="13" spans="1:14" ht="20.25" customHeight="1">
      <c r="A13" s="7">
        <v>9</v>
      </c>
      <c r="B13" s="5" t="s">
        <v>108</v>
      </c>
      <c r="C13" s="15">
        <f>+F13+H13+J13+L13</f>
        <v>6407</v>
      </c>
      <c r="D13" s="15">
        <f>+G13+I13+K13+M13</f>
        <v>4809860</v>
      </c>
      <c r="E13" s="10">
        <f t="shared" si="9"/>
        <v>3.6038564904373752E-2</v>
      </c>
      <c r="F13" s="15">
        <v>1441</v>
      </c>
      <c r="G13" s="15">
        <v>859432</v>
      </c>
      <c r="H13" s="15">
        <v>568</v>
      </c>
      <c r="I13" s="15">
        <v>582894</v>
      </c>
      <c r="J13" s="15">
        <v>3700</v>
      </c>
      <c r="K13" s="15">
        <v>2696849</v>
      </c>
      <c r="L13" s="15">
        <v>698</v>
      </c>
      <c r="M13" s="15">
        <v>670685</v>
      </c>
      <c r="N13" s="16">
        <f t="shared" si="10"/>
        <v>1925208</v>
      </c>
    </row>
    <row r="14" spans="1:14" ht="20.25" customHeight="1">
      <c r="A14" s="7">
        <v>10</v>
      </c>
      <c r="B14" s="34" t="s">
        <v>62</v>
      </c>
      <c r="C14" s="15">
        <f t="shared" si="7"/>
        <v>5229</v>
      </c>
      <c r="D14" s="15">
        <f t="shared" si="8"/>
        <v>4123385</v>
      </c>
      <c r="E14" s="10">
        <f t="shared" si="9"/>
        <v>3.0895052651890319E-2</v>
      </c>
      <c r="F14" s="15">
        <v>1359</v>
      </c>
      <c r="G14" s="15">
        <v>1090596</v>
      </c>
      <c r="H14" s="15">
        <v>350</v>
      </c>
      <c r="I14" s="15">
        <v>202745</v>
      </c>
      <c r="J14" s="15">
        <v>2913</v>
      </c>
      <c r="K14" s="15">
        <v>2341537</v>
      </c>
      <c r="L14" s="15">
        <v>607</v>
      </c>
      <c r="M14" s="15">
        <v>488507</v>
      </c>
      <c r="N14" s="16">
        <f t="shared" si="10"/>
        <v>1536703</v>
      </c>
    </row>
    <row r="15" spans="1:14" ht="20.25" customHeight="1">
      <c r="A15" s="7">
        <v>11</v>
      </c>
      <c r="B15" s="34" t="s">
        <v>21</v>
      </c>
      <c r="C15" s="15">
        <f t="shared" si="7"/>
        <v>4947</v>
      </c>
      <c r="D15" s="15">
        <f t="shared" si="8"/>
        <v>3837925</v>
      </c>
      <c r="E15" s="10">
        <f t="shared" si="9"/>
        <v>2.8756202719126676E-2</v>
      </c>
      <c r="F15" s="15">
        <v>1100</v>
      </c>
      <c r="G15" s="15">
        <v>660340</v>
      </c>
      <c r="H15" s="15">
        <v>373</v>
      </c>
      <c r="I15" s="15">
        <v>352748</v>
      </c>
      <c r="J15" s="15">
        <v>3088</v>
      </c>
      <c r="K15" s="15">
        <v>2528879</v>
      </c>
      <c r="L15" s="15">
        <v>386</v>
      </c>
      <c r="M15" s="15">
        <v>295958</v>
      </c>
      <c r="N15" s="16">
        <f t="shared" si="10"/>
        <v>1811749</v>
      </c>
    </row>
    <row r="16" spans="1:14" ht="20.25" customHeight="1">
      <c r="A16" s="7">
        <v>12</v>
      </c>
      <c r="B16" s="34" t="s">
        <v>89</v>
      </c>
      <c r="C16" s="15">
        <f t="shared" si="7"/>
        <v>4260</v>
      </c>
      <c r="D16" s="15">
        <f t="shared" si="8"/>
        <v>3070953</v>
      </c>
      <c r="E16" s="10">
        <f t="shared" si="9"/>
        <v>2.3009555165593446E-2</v>
      </c>
      <c r="F16" s="15">
        <v>1049</v>
      </c>
      <c r="G16" s="15">
        <v>743216</v>
      </c>
      <c r="H16" s="15">
        <v>614</v>
      </c>
      <c r="I16" s="15">
        <v>379834</v>
      </c>
      <c r="J16" s="15">
        <v>2036</v>
      </c>
      <c r="K16" s="15">
        <v>1384125</v>
      </c>
      <c r="L16" s="15">
        <v>561</v>
      </c>
      <c r="M16" s="15">
        <v>563778</v>
      </c>
      <c r="N16" s="16">
        <f t="shared" si="10"/>
        <v>824853</v>
      </c>
    </row>
    <row r="17" spans="1:14" ht="20.25" customHeight="1">
      <c r="A17" s="7">
        <v>13</v>
      </c>
      <c r="B17" s="34" t="s">
        <v>44</v>
      </c>
      <c r="C17" s="15">
        <f t="shared" si="7"/>
        <v>3470</v>
      </c>
      <c r="D17" s="15">
        <f t="shared" si="8"/>
        <v>3518360</v>
      </c>
      <c r="E17" s="10">
        <f t="shared" si="9"/>
        <v>2.6361816189442614E-2</v>
      </c>
      <c r="F17" s="15">
        <v>875</v>
      </c>
      <c r="G17" s="15">
        <v>820516</v>
      </c>
      <c r="H17" s="15">
        <v>217</v>
      </c>
      <c r="I17" s="15">
        <v>196957</v>
      </c>
      <c r="J17" s="15">
        <v>2151</v>
      </c>
      <c r="K17" s="15">
        <v>2339958</v>
      </c>
      <c r="L17" s="15">
        <v>227</v>
      </c>
      <c r="M17" s="15">
        <v>160929</v>
      </c>
      <c r="N17" s="16">
        <f t="shared" si="10"/>
        <v>1483414</v>
      </c>
    </row>
    <row r="18" spans="1:14" ht="20.25" customHeight="1">
      <c r="A18" s="7">
        <v>14</v>
      </c>
      <c r="B18" s="5" t="s">
        <v>101</v>
      </c>
      <c r="C18" s="15">
        <f t="shared" si="7"/>
        <v>3018</v>
      </c>
      <c r="D18" s="15">
        <f t="shared" si="8"/>
        <v>3017554</v>
      </c>
      <c r="E18" s="10">
        <f t="shared" si="9"/>
        <v>2.2609455510441603E-2</v>
      </c>
      <c r="F18" s="15">
        <v>1211</v>
      </c>
      <c r="G18" s="15">
        <v>758505</v>
      </c>
      <c r="H18" s="15">
        <v>186</v>
      </c>
      <c r="I18" s="15">
        <v>158104</v>
      </c>
      <c r="J18" s="15">
        <v>1498</v>
      </c>
      <c r="K18" s="15">
        <v>1994698</v>
      </c>
      <c r="L18" s="15">
        <v>123</v>
      </c>
      <c r="M18" s="15">
        <v>106247</v>
      </c>
      <c r="N18" s="16">
        <f t="shared" si="10"/>
        <v>1184336</v>
      </c>
    </row>
    <row r="19" spans="1:14" ht="20.25" customHeight="1">
      <c r="A19" s="7">
        <v>15</v>
      </c>
      <c r="B19" s="5" t="s">
        <v>88</v>
      </c>
      <c r="C19" s="15">
        <f t="shared" si="7"/>
        <v>3661</v>
      </c>
      <c r="D19" s="15">
        <f t="shared" si="8"/>
        <v>2335819</v>
      </c>
      <c r="E19" s="10">
        <f t="shared" si="9"/>
        <v>1.7501458386807393E-2</v>
      </c>
      <c r="F19" s="15">
        <v>728</v>
      </c>
      <c r="G19" s="15">
        <v>478474</v>
      </c>
      <c r="H19" s="15">
        <v>616</v>
      </c>
      <c r="I19" s="15">
        <v>345984</v>
      </c>
      <c r="J19" s="15">
        <v>1751</v>
      </c>
      <c r="K19" s="15">
        <v>1086644</v>
      </c>
      <c r="L19" s="15">
        <v>566</v>
      </c>
      <c r="M19" s="15">
        <v>424717</v>
      </c>
      <c r="N19" s="16">
        <f t="shared" si="10"/>
        <v>686903</v>
      </c>
    </row>
    <row r="20" spans="1:14" ht="20.25" customHeight="1">
      <c r="A20" s="7">
        <v>16</v>
      </c>
      <c r="B20" s="5" t="s">
        <v>25</v>
      </c>
      <c r="C20" s="15">
        <f t="shared" si="7"/>
        <v>6148</v>
      </c>
      <c r="D20" s="15">
        <f t="shared" si="8"/>
        <v>4627561</v>
      </c>
      <c r="E20" s="10">
        <f t="shared" si="9"/>
        <v>3.4672663538533079E-2</v>
      </c>
      <c r="F20" s="15">
        <v>1261</v>
      </c>
      <c r="G20" s="15">
        <v>911487</v>
      </c>
      <c r="H20" s="15">
        <v>622</v>
      </c>
      <c r="I20" s="15">
        <v>397074</v>
      </c>
      <c r="J20" s="15">
        <v>3581</v>
      </c>
      <c r="K20" s="15">
        <v>2758191</v>
      </c>
      <c r="L20" s="15">
        <v>684</v>
      </c>
      <c r="M20" s="15">
        <v>560809</v>
      </c>
      <c r="N20" s="16">
        <f t="shared" si="10"/>
        <v>2010439</v>
      </c>
    </row>
    <row r="21" spans="1:14" ht="20.25" customHeight="1">
      <c r="A21" s="7">
        <v>17</v>
      </c>
      <c r="B21" s="34" t="s">
        <v>58</v>
      </c>
      <c r="C21" s="15">
        <f t="shared" si="7"/>
        <v>1545</v>
      </c>
      <c r="D21" s="15">
        <f t="shared" si="8"/>
        <v>2254766</v>
      </c>
      <c r="E21" s="10">
        <f t="shared" si="9"/>
        <v>1.6894157176128868E-2</v>
      </c>
      <c r="F21" s="15">
        <v>264</v>
      </c>
      <c r="G21" s="15">
        <v>232088</v>
      </c>
      <c r="H21" s="15">
        <v>430</v>
      </c>
      <c r="I21" s="15">
        <v>806441</v>
      </c>
      <c r="J21" s="15">
        <v>521</v>
      </c>
      <c r="K21" s="15">
        <v>518578</v>
      </c>
      <c r="L21" s="15">
        <v>330</v>
      </c>
      <c r="M21" s="15">
        <v>697659</v>
      </c>
      <c r="N21" s="16">
        <f t="shared" si="10"/>
        <v>177708</v>
      </c>
    </row>
    <row r="22" spans="1:14" s="3" customFormat="1" ht="19.5" customHeight="1">
      <c r="A22" s="7">
        <v>18</v>
      </c>
      <c r="B22" s="5" t="s">
        <v>253</v>
      </c>
      <c r="C22" s="15">
        <f t="shared" si="7"/>
        <v>77549</v>
      </c>
      <c r="D22" s="15">
        <f t="shared" si="8"/>
        <v>62808014</v>
      </c>
      <c r="E22" s="10">
        <f t="shared" si="9"/>
        <v>0.47059804007888284</v>
      </c>
      <c r="F22" s="15">
        <v>17259</v>
      </c>
      <c r="G22" s="15">
        <v>11756816</v>
      </c>
      <c r="H22" s="15">
        <v>7349</v>
      </c>
      <c r="I22" s="15">
        <v>7711389</v>
      </c>
      <c r="J22" s="15">
        <v>44545</v>
      </c>
      <c r="K22" s="15">
        <v>34072720</v>
      </c>
      <c r="L22" s="15">
        <v>8396</v>
      </c>
      <c r="M22" s="15">
        <v>9267089</v>
      </c>
      <c r="N22" s="16">
        <f t="shared" si="10"/>
        <v>23871604</v>
      </c>
    </row>
    <row r="23" spans="1:14">
      <c r="F23" s="35"/>
      <c r="G23" s="35"/>
      <c r="H23" s="35"/>
      <c r="I23" s="35"/>
    </row>
    <row r="24" spans="1:14">
      <c r="F24" s="36"/>
      <c r="G24" s="36"/>
      <c r="H24" s="36"/>
      <c r="I24" s="36"/>
    </row>
    <row r="25" spans="1:14">
      <c r="I25" s="1"/>
      <c r="J25" s="36"/>
      <c r="K25" s="36"/>
      <c r="L25" s="36"/>
      <c r="M25" s="36"/>
      <c r="N25"/>
    </row>
    <row r="26" spans="1:14">
      <c r="I26" s="1"/>
      <c r="N26"/>
    </row>
    <row r="27" spans="1:14">
      <c r="I27" s="1"/>
      <c r="N27"/>
    </row>
    <row r="28" spans="1:14">
      <c r="I28" s="1"/>
      <c r="N28"/>
    </row>
    <row r="29" spans="1:14">
      <c r="I29" s="1"/>
      <c r="N29"/>
    </row>
    <row r="30" spans="1:14">
      <c r="I30" s="1"/>
      <c r="N30"/>
    </row>
  </sheetData>
  <autoFilter ref="A4:X23">
    <filterColumn colId="0" showButton="0"/>
    <sortState ref="A5:X23">
      <sortCondition descending="1" ref="D4:D23"/>
    </sortState>
  </autoFilter>
  <mergeCells count="13">
    <mergeCell ref="A4:B4"/>
    <mergeCell ref="E1:E3"/>
    <mergeCell ref="A1:A3"/>
    <mergeCell ref="B1:B3"/>
    <mergeCell ref="C1:C3"/>
    <mergeCell ref="D1:D3"/>
    <mergeCell ref="N1:N3"/>
    <mergeCell ref="F2:G2"/>
    <mergeCell ref="H2:I2"/>
    <mergeCell ref="J2:K2"/>
    <mergeCell ref="L2:M2"/>
    <mergeCell ref="F1:I1"/>
    <mergeCell ref="J1:M1"/>
  </mergeCells>
  <pageMargins left="0.7" right="0.7" top="0.75" bottom="0.75" header="0.3" footer="0.3"/>
  <pageSetup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N14"/>
  <sheetViews>
    <sheetView zoomScale="99" zoomScaleNormal="100" workbookViewId="0">
      <selection activeCell="D17" sqref="D17"/>
    </sheetView>
  </sheetViews>
  <sheetFormatPr defaultRowHeight="12.75"/>
  <cols>
    <col min="2" max="2" width="36.7109375" customWidth="1"/>
    <col min="3" max="3" width="10.42578125" customWidth="1"/>
    <col min="4" max="4" width="14.5703125" customWidth="1"/>
    <col min="5" max="5" width="11.7109375" customWidth="1"/>
    <col min="6" max="6" width="10.42578125" customWidth="1"/>
    <col min="7" max="7" width="13.7109375" customWidth="1"/>
    <col min="8" max="8" width="10.42578125" customWidth="1"/>
    <col min="9" max="9" width="11.7109375" customWidth="1"/>
    <col min="10" max="10" width="10.42578125" customWidth="1"/>
    <col min="11" max="11" width="13.7109375" customWidth="1"/>
    <col min="12" max="12" width="10.42578125" customWidth="1"/>
    <col min="13" max="13" width="11.7109375" customWidth="1"/>
    <col min="14" max="14" width="20.5703125" style="2" bestFit="1" customWidth="1"/>
  </cols>
  <sheetData>
    <row r="1" spans="1:14" s="12" customFormat="1" ht="19.5" customHeight="1">
      <c r="A1" s="73" t="s">
        <v>175</v>
      </c>
      <c r="B1" s="73" t="s">
        <v>247</v>
      </c>
      <c r="C1" s="83" t="s">
        <v>171</v>
      </c>
      <c r="D1" s="83" t="s">
        <v>172</v>
      </c>
      <c r="E1" s="80" t="s">
        <v>309</v>
      </c>
      <c r="F1" s="73" t="s">
        <v>427</v>
      </c>
      <c r="G1" s="73"/>
      <c r="H1" s="73"/>
      <c r="I1" s="73"/>
      <c r="J1" s="73" t="s">
        <v>428</v>
      </c>
      <c r="K1" s="73"/>
      <c r="L1" s="73"/>
      <c r="M1" s="73"/>
      <c r="N1" s="73" t="s">
        <v>244</v>
      </c>
    </row>
    <row r="2" spans="1:14" s="12" customFormat="1" ht="19.5" customHeight="1">
      <c r="A2" s="73"/>
      <c r="B2" s="73"/>
      <c r="C2" s="83"/>
      <c r="D2" s="83"/>
      <c r="E2" s="81"/>
      <c r="F2" s="73" t="s">
        <v>148</v>
      </c>
      <c r="G2" s="73"/>
      <c r="H2" s="73" t="s">
        <v>1</v>
      </c>
      <c r="I2" s="73"/>
      <c r="J2" s="73" t="s">
        <v>148</v>
      </c>
      <c r="K2" s="73"/>
      <c r="L2" s="73" t="s">
        <v>1</v>
      </c>
      <c r="M2" s="73"/>
      <c r="N2" s="73"/>
    </row>
    <row r="3" spans="1:14" s="12" customFormat="1" ht="30" customHeight="1">
      <c r="A3" s="73"/>
      <c r="B3" s="73"/>
      <c r="C3" s="83"/>
      <c r="D3" s="83"/>
      <c r="E3" s="82"/>
      <c r="F3" s="9" t="s">
        <v>173</v>
      </c>
      <c r="G3" s="9" t="s">
        <v>170</v>
      </c>
      <c r="H3" s="9" t="s">
        <v>173</v>
      </c>
      <c r="I3" s="9" t="s">
        <v>170</v>
      </c>
      <c r="J3" s="9" t="s">
        <v>173</v>
      </c>
      <c r="K3" s="9" t="s">
        <v>170</v>
      </c>
      <c r="L3" s="9" t="s">
        <v>173</v>
      </c>
      <c r="M3" s="9" t="s">
        <v>170</v>
      </c>
      <c r="N3" s="73"/>
    </row>
    <row r="4" spans="1:14" s="12" customFormat="1" ht="27.75" customHeight="1">
      <c r="A4" s="73" t="s">
        <v>176</v>
      </c>
      <c r="B4" s="73"/>
      <c r="C4" s="13">
        <f t="shared" ref="C4:D4" si="0">+SUM(C5:C12)</f>
        <v>163110</v>
      </c>
      <c r="D4" s="13">
        <f t="shared" si="0"/>
        <v>133464749</v>
      </c>
      <c r="E4" s="11">
        <v>1</v>
      </c>
      <c r="F4" s="13">
        <f>+SUM(F5:F12)</f>
        <v>37754</v>
      </c>
      <c r="G4" s="13">
        <f t="shared" ref="G4:M4" si="1">+SUM(G5:G12)</f>
        <v>26806188</v>
      </c>
      <c r="H4" s="13">
        <f t="shared" si="1"/>
        <v>16464</v>
      </c>
      <c r="I4" s="13">
        <f t="shared" si="1"/>
        <v>16090038</v>
      </c>
      <c r="J4" s="13">
        <f t="shared" si="1"/>
        <v>90987</v>
      </c>
      <c r="K4" s="13">
        <f t="shared" si="1"/>
        <v>72253275</v>
      </c>
      <c r="L4" s="13">
        <f t="shared" si="1"/>
        <v>17905</v>
      </c>
      <c r="M4" s="13">
        <f t="shared" si="1"/>
        <v>18315248</v>
      </c>
      <c r="N4" s="18"/>
    </row>
    <row r="5" spans="1:14" s="3" customFormat="1" ht="21" customHeight="1">
      <c r="A5" s="7">
        <v>1</v>
      </c>
      <c r="B5" t="s">
        <v>292</v>
      </c>
      <c r="C5" s="6">
        <f>+F5+H5+J5+L5</f>
        <v>66280</v>
      </c>
      <c r="D5" s="6">
        <f>+G5+I5+K5+M5</f>
        <v>58145210</v>
      </c>
      <c r="E5" s="10">
        <f>+D5/$D$4</f>
        <v>0.43565968119417059</v>
      </c>
      <c r="F5" s="6">
        <v>17100</v>
      </c>
      <c r="G5" s="6">
        <v>14120500</v>
      </c>
      <c r="H5" s="6">
        <v>6100</v>
      </c>
      <c r="I5" s="6">
        <v>4680450</v>
      </c>
      <c r="J5" s="6">
        <v>35480</v>
      </c>
      <c r="K5" s="6">
        <v>33260340</v>
      </c>
      <c r="L5" s="6">
        <v>7600</v>
      </c>
      <c r="M5" s="6">
        <v>6083920</v>
      </c>
      <c r="N5" s="18">
        <f>+M5+K5-I5-G5</f>
        <v>20543310</v>
      </c>
    </row>
    <row r="6" spans="1:14" s="3" customFormat="1" ht="21" customHeight="1">
      <c r="A6" s="7">
        <v>2</v>
      </c>
      <c r="B6" s="5" t="s">
        <v>252</v>
      </c>
      <c r="C6" s="6">
        <f t="shared" ref="C6:C11" si="2">+F6+H6+J6+L6</f>
        <v>52099</v>
      </c>
      <c r="D6" s="6">
        <f t="shared" ref="D6:D12" si="3">+G6+I6+K6+M6</f>
        <v>31457203</v>
      </c>
      <c r="E6" s="10">
        <f t="shared" ref="E6:E11" si="4">+D6/$D$4</f>
        <v>0.23569671569232112</v>
      </c>
      <c r="F6" s="6">
        <v>11500</v>
      </c>
      <c r="G6" s="6">
        <v>4941571</v>
      </c>
      <c r="H6" s="6">
        <v>3910</v>
      </c>
      <c r="I6" s="6">
        <v>4963581</v>
      </c>
      <c r="J6" s="6">
        <v>32366</v>
      </c>
      <c r="K6" s="6">
        <v>16454799</v>
      </c>
      <c r="L6" s="6">
        <v>4323</v>
      </c>
      <c r="M6" s="6">
        <v>5097252</v>
      </c>
      <c r="N6" s="18">
        <f t="shared" ref="N6:N12" si="5">+M6+K6-I6-G6</f>
        <v>11646899</v>
      </c>
    </row>
    <row r="7" spans="1:14" s="3" customFormat="1" ht="21" customHeight="1">
      <c r="A7" s="7">
        <v>3</v>
      </c>
      <c r="B7" s="5" t="s">
        <v>246</v>
      </c>
      <c r="C7" s="6">
        <f t="shared" si="2"/>
        <v>7315</v>
      </c>
      <c r="D7" s="6">
        <f t="shared" si="3"/>
        <v>8525250</v>
      </c>
      <c r="E7" s="10">
        <f t="shared" si="4"/>
        <v>6.3876417285286313E-2</v>
      </c>
      <c r="F7" s="6">
        <v>1849</v>
      </c>
      <c r="G7" s="6">
        <v>1745911</v>
      </c>
      <c r="H7" s="6">
        <v>67</v>
      </c>
      <c r="I7" s="6">
        <v>142289</v>
      </c>
      <c r="J7" s="6">
        <v>5310</v>
      </c>
      <c r="K7" s="6">
        <v>6479413</v>
      </c>
      <c r="L7" s="6">
        <v>89</v>
      </c>
      <c r="M7" s="6">
        <v>157637</v>
      </c>
      <c r="N7" s="18">
        <f t="shared" si="5"/>
        <v>4748850</v>
      </c>
    </row>
    <row r="8" spans="1:14" s="3" customFormat="1" ht="21" customHeight="1">
      <c r="A8" s="7">
        <v>4</v>
      </c>
      <c r="B8" s="5" t="s">
        <v>272</v>
      </c>
      <c r="C8" s="6">
        <f t="shared" si="2"/>
        <v>5879</v>
      </c>
      <c r="D8" s="6">
        <f t="shared" si="3"/>
        <v>5929619</v>
      </c>
      <c r="E8" s="10">
        <f t="shared" si="4"/>
        <v>4.4428353137651352E-2</v>
      </c>
      <c r="F8" s="6">
        <v>1651</v>
      </c>
      <c r="G8" s="6">
        <v>1428062</v>
      </c>
      <c r="H8" s="6">
        <v>373</v>
      </c>
      <c r="I8" s="6">
        <v>683040</v>
      </c>
      <c r="J8" s="6">
        <v>3499</v>
      </c>
      <c r="K8" s="6">
        <v>3173727</v>
      </c>
      <c r="L8" s="6">
        <v>356</v>
      </c>
      <c r="M8" s="6">
        <v>644790</v>
      </c>
      <c r="N8" s="18">
        <f t="shared" si="5"/>
        <v>1707415</v>
      </c>
    </row>
    <row r="9" spans="1:14" s="3" customFormat="1" ht="21" customHeight="1">
      <c r="A9" s="7">
        <v>5</v>
      </c>
      <c r="B9" s="5" t="s">
        <v>251</v>
      </c>
      <c r="C9" s="6">
        <f t="shared" si="2"/>
        <v>9430</v>
      </c>
      <c r="D9" s="6">
        <f t="shared" si="3"/>
        <v>7937087</v>
      </c>
      <c r="E9" s="10">
        <f t="shared" si="4"/>
        <v>5.9469538282351991E-2</v>
      </c>
      <c r="F9" s="6">
        <v>1426</v>
      </c>
      <c r="G9" s="6">
        <v>975334</v>
      </c>
      <c r="H9" s="6">
        <v>2750</v>
      </c>
      <c r="I9" s="6">
        <v>2223161</v>
      </c>
      <c r="J9" s="6">
        <v>2954</v>
      </c>
      <c r="K9" s="6">
        <v>2439185</v>
      </c>
      <c r="L9" s="6">
        <v>2300</v>
      </c>
      <c r="M9" s="6">
        <v>2299407</v>
      </c>
      <c r="N9" s="18">
        <f t="shared" si="5"/>
        <v>1540097</v>
      </c>
    </row>
    <row r="10" spans="1:14" s="3" customFormat="1" ht="21" customHeight="1">
      <c r="A10" s="7">
        <v>6</v>
      </c>
      <c r="B10" s="5" t="s">
        <v>250</v>
      </c>
      <c r="C10" s="6">
        <f t="shared" si="2"/>
        <v>629</v>
      </c>
      <c r="D10" s="6">
        <f t="shared" si="3"/>
        <v>2493085</v>
      </c>
      <c r="E10" s="10">
        <f t="shared" si="4"/>
        <v>1.8679726434730717E-2</v>
      </c>
      <c r="F10" s="6">
        <v>8</v>
      </c>
      <c r="G10" s="6">
        <v>18940</v>
      </c>
      <c r="H10" s="6">
        <v>294</v>
      </c>
      <c r="I10" s="6">
        <v>1199035</v>
      </c>
      <c r="J10" s="6">
        <v>12</v>
      </c>
      <c r="K10" s="6">
        <v>25818</v>
      </c>
      <c r="L10" s="6">
        <v>315</v>
      </c>
      <c r="M10" s="6">
        <v>1249292</v>
      </c>
      <c r="N10" s="18">
        <f t="shared" si="5"/>
        <v>57135</v>
      </c>
    </row>
    <row r="11" spans="1:14" s="3" customFormat="1" ht="21" customHeight="1">
      <c r="A11" s="7">
        <v>7</v>
      </c>
      <c r="B11" s="5" t="s">
        <v>249</v>
      </c>
      <c r="C11" s="6">
        <f t="shared" si="2"/>
        <v>3352</v>
      </c>
      <c r="D11" s="6">
        <f t="shared" si="3"/>
        <v>2612207</v>
      </c>
      <c r="E11" s="10">
        <f t="shared" si="4"/>
        <v>1.9572261736318104E-2</v>
      </c>
      <c r="F11" s="6">
        <v>295</v>
      </c>
      <c r="G11" s="6">
        <v>197681</v>
      </c>
      <c r="H11" s="6">
        <v>1245</v>
      </c>
      <c r="I11" s="6">
        <v>959889</v>
      </c>
      <c r="J11" s="6">
        <v>764</v>
      </c>
      <c r="K11" s="6">
        <v>572204</v>
      </c>
      <c r="L11" s="6">
        <v>1048</v>
      </c>
      <c r="M11" s="6">
        <v>882433</v>
      </c>
      <c r="N11" s="18">
        <f t="shared" si="5"/>
        <v>297067</v>
      </c>
    </row>
    <row r="12" spans="1:14" s="3" customFormat="1" ht="21" customHeight="1">
      <c r="A12" s="7">
        <v>8</v>
      </c>
      <c r="B12" s="5" t="s">
        <v>248</v>
      </c>
      <c r="C12" s="6">
        <f>+F12+H12+J12+L12</f>
        <v>18126</v>
      </c>
      <c r="D12" s="6">
        <f t="shared" si="3"/>
        <v>16365088</v>
      </c>
      <c r="E12" s="6">
        <f>+D12/$D$4</f>
        <v>0.12261730623716979</v>
      </c>
      <c r="F12" s="6">
        <v>3925</v>
      </c>
      <c r="G12" s="6">
        <v>3378189</v>
      </c>
      <c r="H12" s="6">
        <v>1725</v>
      </c>
      <c r="I12" s="6">
        <v>1238593</v>
      </c>
      <c r="J12" s="6">
        <v>10602</v>
      </c>
      <c r="K12" s="6">
        <v>9847789</v>
      </c>
      <c r="L12" s="6">
        <v>1874</v>
      </c>
      <c r="M12" s="6">
        <v>1900517</v>
      </c>
      <c r="N12" s="18">
        <f t="shared" si="5"/>
        <v>7131524</v>
      </c>
    </row>
    <row r="14" spans="1:14">
      <c r="F14" s="20"/>
      <c r="G14" s="20"/>
      <c r="H14" s="20"/>
      <c r="I14" s="20"/>
      <c r="J14" s="20"/>
      <c r="K14" s="20"/>
      <c r="L14" s="20"/>
      <c r="M14" s="20"/>
    </row>
  </sheetData>
  <autoFilter ref="A4:N12">
    <filterColumn colId="0" showButton="0"/>
    <sortState ref="A5:N13">
      <sortCondition descending="1" ref="D4:D12"/>
    </sortState>
  </autoFilter>
  <mergeCells count="13">
    <mergeCell ref="A4:B4"/>
    <mergeCell ref="E1:E3"/>
    <mergeCell ref="A1:A3"/>
    <mergeCell ref="B1:B3"/>
    <mergeCell ref="C1:C3"/>
    <mergeCell ref="D1:D3"/>
    <mergeCell ref="N1:N3"/>
    <mergeCell ref="F2:G2"/>
    <mergeCell ref="H2:I2"/>
    <mergeCell ref="J2:K2"/>
    <mergeCell ref="L2:M2"/>
    <mergeCell ref="F1:I1"/>
    <mergeCell ref="J1:M1"/>
  </mergeCells>
  <pageMargins left="0.7" right="0.7" top="0.75" bottom="0.75" header="0.3" footer="0.3"/>
  <pageSetup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N6"/>
  <sheetViews>
    <sheetView zoomScaleNormal="100" workbookViewId="0">
      <selection activeCell="K4" sqref="K4"/>
    </sheetView>
  </sheetViews>
  <sheetFormatPr defaultRowHeight="12.75"/>
  <cols>
    <col min="2" max="2" width="18.28515625" bestFit="1" customWidth="1"/>
    <col min="3" max="4" width="18.42578125" customWidth="1"/>
    <col min="5" max="6" width="9.7109375" customWidth="1"/>
    <col min="7" max="7" width="13.42578125" bestFit="1" customWidth="1"/>
    <col min="8" max="8" width="9.5703125" customWidth="1"/>
    <col min="9" max="9" width="13.42578125" bestFit="1" customWidth="1"/>
    <col min="10" max="10" width="9.5703125" customWidth="1"/>
    <col min="11" max="11" width="13.42578125" bestFit="1" customWidth="1"/>
    <col min="12" max="12" width="9.7109375" customWidth="1"/>
    <col min="13" max="13" width="13.42578125" bestFit="1" customWidth="1"/>
    <col min="14" max="14" width="13" customWidth="1"/>
  </cols>
  <sheetData>
    <row r="1" spans="1:14" ht="24" customHeight="1">
      <c r="A1" s="90" t="s">
        <v>175</v>
      </c>
      <c r="B1" s="73" t="s">
        <v>247</v>
      </c>
      <c r="C1" s="83" t="s">
        <v>171</v>
      </c>
      <c r="D1" s="83" t="s">
        <v>172</v>
      </c>
      <c r="E1" s="80" t="s">
        <v>177</v>
      </c>
      <c r="F1" s="73" t="s">
        <v>427</v>
      </c>
      <c r="G1" s="73"/>
      <c r="H1" s="73"/>
      <c r="I1" s="73"/>
      <c r="J1" s="73" t="s">
        <v>428</v>
      </c>
      <c r="K1" s="73"/>
      <c r="L1" s="73"/>
      <c r="M1" s="73"/>
      <c r="N1" s="73" t="s">
        <v>244</v>
      </c>
    </row>
    <row r="2" spans="1:14" ht="24" customHeight="1">
      <c r="A2" s="90"/>
      <c r="B2" s="73"/>
      <c r="C2" s="83"/>
      <c r="D2" s="83"/>
      <c r="E2" s="81"/>
      <c r="F2" s="73" t="s">
        <v>148</v>
      </c>
      <c r="G2" s="73"/>
      <c r="H2" s="73" t="s">
        <v>1</v>
      </c>
      <c r="I2" s="73"/>
      <c r="J2" s="73" t="s">
        <v>148</v>
      </c>
      <c r="K2" s="73"/>
      <c r="L2" s="73" t="s">
        <v>1</v>
      </c>
      <c r="M2" s="73"/>
      <c r="N2" s="73"/>
    </row>
    <row r="3" spans="1:14" ht="24" customHeight="1">
      <c r="A3" s="90"/>
      <c r="B3" s="73"/>
      <c r="C3" s="83"/>
      <c r="D3" s="83"/>
      <c r="E3" s="82"/>
      <c r="F3" s="9" t="s">
        <v>173</v>
      </c>
      <c r="G3" s="9" t="s">
        <v>170</v>
      </c>
      <c r="H3" s="9" t="s">
        <v>173</v>
      </c>
      <c r="I3" s="9" t="s">
        <v>170</v>
      </c>
      <c r="J3" s="9" t="s">
        <v>173</v>
      </c>
      <c r="K3" s="9" t="s">
        <v>170</v>
      </c>
      <c r="L3" s="9" t="s">
        <v>173</v>
      </c>
      <c r="M3" s="9" t="s">
        <v>170</v>
      </c>
      <c r="N3" s="73"/>
    </row>
    <row r="4" spans="1:14" s="4" customFormat="1" ht="21" customHeight="1">
      <c r="A4" s="77" t="s">
        <v>255</v>
      </c>
      <c r="B4" s="79"/>
      <c r="C4" s="13">
        <f>+SUM(C5:C6)</f>
        <v>163110</v>
      </c>
      <c r="D4" s="13">
        <f>+SUM(D5:D6)</f>
        <v>133464249</v>
      </c>
      <c r="E4" s="11">
        <v>1</v>
      </c>
      <c r="F4" s="13">
        <f t="shared" ref="F4:J4" si="0">SUM(F5:F6)</f>
        <v>37754</v>
      </c>
      <c r="G4" s="13">
        <f t="shared" si="0"/>
        <v>26805688</v>
      </c>
      <c r="H4" s="13">
        <f t="shared" si="0"/>
        <v>16464</v>
      </c>
      <c r="I4" s="13">
        <f t="shared" si="0"/>
        <v>16090038</v>
      </c>
      <c r="J4" s="13">
        <f t="shared" si="0"/>
        <v>90987</v>
      </c>
      <c r="K4" s="13">
        <f>SUM(K5:K6)</f>
        <v>72253275</v>
      </c>
      <c r="L4" s="13">
        <f t="shared" ref="L4:M4" si="1">SUM(L5:L6)</f>
        <v>17905</v>
      </c>
      <c r="M4" s="13">
        <f t="shared" si="1"/>
        <v>18315248</v>
      </c>
      <c r="N4" s="30">
        <f>+M4+K4-I4-G4</f>
        <v>47672797</v>
      </c>
    </row>
    <row r="5" spans="1:14" s="3" customFormat="1" ht="21" customHeight="1">
      <c r="A5" s="7">
        <v>1</v>
      </c>
      <c r="B5" s="5" t="s">
        <v>256</v>
      </c>
      <c r="C5" s="6">
        <f>+F5+H5+J5+L5</f>
        <v>1100</v>
      </c>
      <c r="D5" s="6">
        <f>+G5+I5+K5+M5</f>
        <v>1523362</v>
      </c>
      <c r="E5" s="10">
        <f>+D5/D4</f>
        <v>1.1414007956542729E-2</v>
      </c>
      <c r="F5" s="13">
        <v>151</v>
      </c>
      <c r="G5" s="13">
        <v>76908</v>
      </c>
      <c r="H5" s="13">
        <v>325</v>
      </c>
      <c r="I5" s="13">
        <v>618323</v>
      </c>
      <c r="J5" s="13">
        <v>411</v>
      </c>
      <c r="K5" s="13">
        <v>370351</v>
      </c>
      <c r="L5" s="13">
        <v>213</v>
      </c>
      <c r="M5" s="30">
        <v>457780</v>
      </c>
      <c r="N5" s="30">
        <f t="shared" ref="N5:N6" si="2">+M5+K5-I5-G5</f>
        <v>132900</v>
      </c>
    </row>
    <row r="6" spans="1:14" s="3" customFormat="1" ht="21" customHeight="1">
      <c r="A6" s="7">
        <v>2</v>
      </c>
      <c r="B6" s="5" t="s">
        <v>254</v>
      </c>
      <c r="C6" s="6">
        <f>+F6+H6+J6+L6</f>
        <v>162010</v>
      </c>
      <c r="D6" s="6">
        <f>+G6+I6+K6+M6</f>
        <v>131940887</v>
      </c>
      <c r="E6" s="10">
        <f>+D6/D4</f>
        <v>0.98858599204345732</v>
      </c>
      <c r="F6" s="13">
        <v>37603</v>
      </c>
      <c r="G6" s="13">
        <v>26728780</v>
      </c>
      <c r="H6" s="13">
        <v>16139</v>
      </c>
      <c r="I6" s="13">
        <v>15471715</v>
      </c>
      <c r="J6" s="13">
        <v>90576</v>
      </c>
      <c r="K6" s="13">
        <v>71882924</v>
      </c>
      <c r="L6" s="13">
        <v>17692</v>
      </c>
      <c r="M6" s="30">
        <v>17857468</v>
      </c>
      <c r="N6" s="30">
        <f t="shared" si="2"/>
        <v>47539897</v>
      </c>
    </row>
  </sheetData>
  <mergeCells count="13">
    <mergeCell ref="A1:A3"/>
    <mergeCell ref="A4:B4"/>
    <mergeCell ref="B1:B3"/>
    <mergeCell ref="C1:C3"/>
    <mergeCell ref="D1:D3"/>
    <mergeCell ref="E1:E3"/>
    <mergeCell ref="F1:I1"/>
    <mergeCell ref="J1:M1"/>
    <mergeCell ref="N1:N3"/>
    <mergeCell ref="F2:G2"/>
    <mergeCell ref="H2:I2"/>
    <mergeCell ref="J2:K2"/>
    <mergeCell ref="L2:M2"/>
  </mergeCell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249977111117893"/>
  </sheetPr>
  <dimension ref="A1:I7"/>
  <sheetViews>
    <sheetView zoomScaleNormal="100" workbookViewId="0">
      <selection activeCell="H22" sqref="H22"/>
    </sheetView>
  </sheetViews>
  <sheetFormatPr defaultRowHeight="12.75"/>
  <cols>
    <col min="1" max="1" width="9.28515625" style="1"/>
    <col min="2" max="2" width="17.7109375" customWidth="1"/>
    <col min="3" max="4" width="16.42578125" customWidth="1"/>
    <col min="5" max="5" width="9.5703125" customWidth="1"/>
    <col min="6" max="9" width="16.42578125" customWidth="1"/>
  </cols>
  <sheetData>
    <row r="1" spans="1:9" s="4" customFormat="1" ht="21.75" customHeight="1">
      <c r="A1" s="73" t="s">
        <v>175</v>
      </c>
      <c r="B1" s="73" t="s">
        <v>262</v>
      </c>
      <c r="C1" s="73" t="s">
        <v>255</v>
      </c>
      <c r="D1" s="73"/>
      <c r="E1" s="80" t="s">
        <v>177</v>
      </c>
      <c r="F1" s="77" t="s">
        <v>427</v>
      </c>
      <c r="G1" s="79"/>
      <c r="H1" s="77" t="s">
        <v>428</v>
      </c>
      <c r="I1" s="79"/>
    </row>
    <row r="2" spans="1:9" s="12" customFormat="1" ht="31.5" customHeight="1">
      <c r="A2" s="73"/>
      <c r="B2" s="73"/>
      <c r="C2" s="19" t="s">
        <v>260</v>
      </c>
      <c r="D2" s="19" t="s">
        <v>261</v>
      </c>
      <c r="E2" s="82"/>
      <c r="F2" s="19" t="s">
        <v>260</v>
      </c>
      <c r="G2" s="19" t="s">
        <v>261</v>
      </c>
      <c r="H2" s="19" t="s">
        <v>260</v>
      </c>
      <c r="I2" s="19" t="s">
        <v>261</v>
      </c>
    </row>
    <row r="3" spans="1:9" s="4" customFormat="1" ht="25.5" customHeight="1">
      <c r="A3" s="73"/>
      <c r="B3" s="8" t="s">
        <v>176</v>
      </c>
      <c r="C3" s="13">
        <f t="shared" ref="C3" si="0">+SUM(C4:C6)</f>
        <v>71280152.740000322</v>
      </c>
      <c r="D3" s="13">
        <f t="shared" ref="D3" si="1">+SUM(D4:D6)</f>
        <v>26396238.979999989</v>
      </c>
      <c r="E3" s="11">
        <v>1</v>
      </c>
      <c r="F3" s="13">
        <f>+SUM(F4:F7)</f>
        <v>26805687.600000009</v>
      </c>
      <c r="G3" s="13">
        <f>+SUM(G4:G7)</f>
        <v>16090037.639999993</v>
      </c>
      <c r="H3" s="13">
        <f>+SUM(H4:H7)</f>
        <v>72253275.140000314</v>
      </c>
      <c r="I3" s="13">
        <f>+SUM(I4:I7)</f>
        <v>18315248.339999992</v>
      </c>
    </row>
    <row r="4" spans="1:9" ht="15.75" customHeight="1">
      <c r="A4" s="7">
        <v>1</v>
      </c>
      <c r="B4" s="5" t="s">
        <v>257</v>
      </c>
      <c r="C4" s="6">
        <f>+F4+H4</f>
        <v>23563747.600000106</v>
      </c>
      <c r="D4" s="6">
        <f>+G4+I4</f>
        <v>8696540.299999997</v>
      </c>
      <c r="E4" s="11">
        <f>+D4/$D$3</f>
        <v>0.32946134131416327</v>
      </c>
      <c r="F4" s="6">
        <v>6279557.6800000034</v>
      </c>
      <c r="G4" s="6">
        <v>4552481.46</v>
      </c>
      <c r="H4" s="6">
        <v>17284189.920000102</v>
      </c>
      <c r="I4" s="6">
        <v>4144058.8399999961</v>
      </c>
    </row>
    <row r="5" spans="1:9" ht="15.75" customHeight="1">
      <c r="A5" s="7">
        <v>2</v>
      </c>
      <c r="B5" s="5" t="s">
        <v>258</v>
      </c>
      <c r="C5" s="6">
        <f t="shared" ref="C5:C7" si="2">+F5+H5</f>
        <v>23095646.010000139</v>
      </c>
      <c r="D5" s="6">
        <f t="shared" ref="D5:D7" si="3">+G5+I5</f>
        <v>8167765.2700000014</v>
      </c>
      <c r="E5" s="11">
        <f t="shared" ref="E5:E7" si="4">+D5/$D$3</f>
        <v>0.30942913027073998</v>
      </c>
      <c r="F5" s="6">
        <v>6425264.4000000125</v>
      </c>
      <c r="G5" s="6">
        <v>3897949.8100000005</v>
      </c>
      <c r="H5" s="6">
        <v>16670381.610000128</v>
      </c>
      <c r="I5" s="6">
        <v>4269815.4600000009</v>
      </c>
    </row>
    <row r="6" spans="1:9" ht="15.75" customHeight="1">
      <c r="A6" s="7">
        <v>3</v>
      </c>
      <c r="B6" s="5" t="s">
        <v>259</v>
      </c>
      <c r="C6" s="6">
        <f t="shared" si="2"/>
        <v>24620759.130000077</v>
      </c>
      <c r="D6" s="6">
        <f t="shared" si="3"/>
        <v>9531933.409999989</v>
      </c>
      <c r="E6" s="11">
        <f t="shared" si="4"/>
        <v>0.36110952841509669</v>
      </c>
      <c r="F6" s="6">
        <v>6642304.5199999902</v>
      </c>
      <c r="G6" s="6">
        <v>4341220.3699999927</v>
      </c>
      <c r="H6" s="6">
        <v>17978454.610000089</v>
      </c>
      <c r="I6" s="6">
        <v>5190713.0399999963</v>
      </c>
    </row>
    <row r="7" spans="1:9">
      <c r="A7" s="71">
        <v>3</v>
      </c>
      <c r="B7" s="5" t="s">
        <v>429</v>
      </c>
      <c r="C7" s="6">
        <f t="shared" si="2"/>
        <v>27778810</v>
      </c>
      <c r="D7" s="6">
        <f t="shared" si="3"/>
        <v>8009047</v>
      </c>
      <c r="E7" s="11">
        <f t="shared" si="4"/>
        <v>0.30341621797212581</v>
      </c>
      <c r="F7" s="6">
        <v>7458561</v>
      </c>
      <c r="G7" s="6">
        <v>3298386</v>
      </c>
      <c r="H7" s="6">
        <v>20320249</v>
      </c>
      <c r="I7" s="6">
        <v>4710661</v>
      </c>
    </row>
  </sheetData>
  <mergeCells count="6">
    <mergeCell ref="F1:G1"/>
    <mergeCell ref="H1:I1"/>
    <mergeCell ref="C1:D1"/>
    <mergeCell ref="A1:A3"/>
    <mergeCell ref="B1:B2"/>
    <mergeCell ref="E1:E2"/>
  </mergeCells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E118"/>
  <sheetViews>
    <sheetView zoomScaleNormal="100" workbookViewId="0">
      <selection activeCell="E3" sqref="E3:E5"/>
    </sheetView>
  </sheetViews>
  <sheetFormatPr defaultRowHeight="12.75"/>
  <cols>
    <col min="2" max="2" width="35.5703125" bestFit="1" customWidth="1"/>
    <col min="4" max="5" width="40.42578125" bestFit="1" customWidth="1"/>
  </cols>
  <sheetData>
    <row r="1" spans="1:5" ht="54" customHeight="1">
      <c r="A1" s="94" t="s">
        <v>434</v>
      </c>
      <c r="B1" s="94"/>
      <c r="C1" s="94"/>
      <c r="D1" s="94"/>
      <c r="E1" s="94"/>
    </row>
    <row r="2" spans="1:5" ht="15">
      <c r="A2" s="38"/>
      <c r="B2" s="95"/>
      <c r="C2" s="95"/>
      <c r="D2" s="95"/>
      <c r="E2" s="53" t="s">
        <v>435</v>
      </c>
    </row>
    <row r="3" spans="1:5">
      <c r="A3" s="96" t="s">
        <v>175</v>
      </c>
      <c r="B3" s="96" t="s">
        <v>311</v>
      </c>
      <c r="C3" s="91" t="s">
        <v>312</v>
      </c>
      <c r="D3" s="91" t="s">
        <v>430</v>
      </c>
      <c r="E3" s="91" t="s">
        <v>431</v>
      </c>
    </row>
    <row r="4" spans="1:5" ht="15" customHeight="1">
      <c r="A4" s="96"/>
      <c r="B4" s="96"/>
      <c r="C4" s="92"/>
      <c r="D4" s="92"/>
      <c r="E4" s="92"/>
    </row>
    <row r="5" spans="1:5" ht="12.75" customHeight="1">
      <c r="A5" s="96"/>
      <c r="B5" s="96"/>
      <c r="C5" s="93"/>
      <c r="D5" s="93"/>
      <c r="E5" s="93"/>
    </row>
    <row r="6" spans="1:5" ht="15.75">
      <c r="A6" s="39"/>
      <c r="B6" s="40" t="s">
        <v>255</v>
      </c>
      <c r="C6" s="39"/>
      <c r="D6" s="49">
        <f>+D7+D18+D26+D38+D50+D70+D76+D83+D85+D91+D95+D102+D104+D114+D116</f>
        <v>4758895446</v>
      </c>
      <c r="E6" s="49">
        <f>+E7+E18+E26+E38+E50+E70+E76+E83+E85+E91+E95+E102+E104+E114+E116</f>
        <v>6554798000</v>
      </c>
    </row>
    <row r="7" spans="1:5" ht="15.75">
      <c r="A7" s="39"/>
      <c r="B7" s="40" t="s">
        <v>264</v>
      </c>
      <c r="C7" s="39"/>
      <c r="D7" s="49">
        <f>+SUM(D8:D17)</f>
        <v>1276582346</v>
      </c>
      <c r="E7" s="49">
        <f>+SUM(E8:E17)</f>
        <v>1296697000</v>
      </c>
    </row>
    <row r="8" spans="1:5" ht="15">
      <c r="A8" s="41">
        <v>1</v>
      </c>
      <c r="B8" s="42" t="s">
        <v>313</v>
      </c>
      <c r="C8" s="43">
        <v>11253</v>
      </c>
      <c r="D8" s="47">
        <v>81848400</v>
      </c>
      <c r="E8" s="47">
        <v>67325000</v>
      </c>
    </row>
    <row r="9" spans="1:5" ht="15">
      <c r="A9" s="41">
        <v>2</v>
      </c>
      <c r="B9" s="42" t="s">
        <v>314</v>
      </c>
      <c r="C9" s="43">
        <v>11254</v>
      </c>
      <c r="D9" s="48">
        <v>60764613</v>
      </c>
      <c r="E9" s="48">
        <v>46729000</v>
      </c>
    </row>
    <row r="10" spans="1:5" ht="15">
      <c r="A10" s="41">
        <v>3</v>
      </c>
      <c r="B10" s="42" t="s">
        <v>315</v>
      </c>
      <c r="C10" s="43">
        <v>11255</v>
      </c>
      <c r="D10" s="48">
        <v>220753333</v>
      </c>
      <c r="E10" s="48">
        <v>174745000</v>
      </c>
    </row>
    <row r="11" spans="1:5" ht="15">
      <c r="A11" s="41">
        <v>4</v>
      </c>
      <c r="B11" s="42" t="s">
        <v>316</v>
      </c>
      <c r="C11" s="43">
        <v>11256</v>
      </c>
      <c r="D11" s="48">
        <v>139144000</v>
      </c>
      <c r="E11" s="48">
        <v>156470000</v>
      </c>
    </row>
    <row r="12" spans="1:5" ht="15">
      <c r="A12" s="41">
        <v>5</v>
      </c>
      <c r="B12" s="42" t="s">
        <v>317</v>
      </c>
      <c r="C12" s="43">
        <v>11183</v>
      </c>
      <c r="D12" s="48">
        <v>429452000</v>
      </c>
      <c r="E12" s="48">
        <v>776309000</v>
      </c>
    </row>
    <row r="13" spans="1:5" ht="15">
      <c r="A13" s="41">
        <v>6</v>
      </c>
      <c r="B13" s="42" t="s">
        <v>318</v>
      </c>
      <c r="C13" s="43">
        <v>10014</v>
      </c>
      <c r="D13" s="48" t="s">
        <v>319</v>
      </c>
      <c r="E13" s="48" t="s">
        <v>319</v>
      </c>
    </row>
    <row r="14" spans="1:5" ht="15">
      <c r="A14" s="41">
        <v>7</v>
      </c>
      <c r="B14" s="42" t="s">
        <v>320</v>
      </c>
      <c r="C14" s="43">
        <v>11141</v>
      </c>
      <c r="D14" s="48">
        <v>323645000</v>
      </c>
      <c r="E14" s="48">
        <v>30798000</v>
      </c>
    </row>
    <row r="15" spans="1:5" ht="15">
      <c r="A15" s="41">
        <v>8</v>
      </c>
      <c r="B15" s="42" t="s">
        <v>321</v>
      </c>
      <c r="C15" s="43">
        <v>11142</v>
      </c>
      <c r="D15" s="48">
        <v>19710000</v>
      </c>
      <c r="E15" s="48">
        <v>14665000</v>
      </c>
    </row>
    <row r="16" spans="1:5" ht="15">
      <c r="A16" s="41">
        <v>9</v>
      </c>
      <c r="B16" s="42" t="s">
        <v>322</v>
      </c>
      <c r="C16" s="43">
        <v>12174</v>
      </c>
      <c r="D16" s="48">
        <v>1265000</v>
      </c>
      <c r="E16" s="48">
        <v>14188000</v>
      </c>
    </row>
    <row r="17" spans="1:5" ht="15">
      <c r="A17" s="41">
        <v>10</v>
      </c>
      <c r="B17" s="42" t="s">
        <v>323</v>
      </c>
      <c r="C17" s="43">
        <v>12190</v>
      </c>
      <c r="D17" s="48" t="s">
        <v>319</v>
      </c>
      <c r="E17" s="48">
        <v>15468000</v>
      </c>
    </row>
    <row r="18" spans="1:5" ht="15.75">
      <c r="A18" s="39"/>
      <c r="B18" s="40" t="s">
        <v>324</v>
      </c>
      <c r="C18" s="40"/>
      <c r="D18" s="49">
        <f>+SUM(D19:D25)</f>
        <v>472909000</v>
      </c>
      <c r="E18" s="49">
        <f>+SUM(E19:E25)</f>
        <v>454380000</v>
      </c>
    </row>
    <row r="19" spans="1:5" ht="15">
      <c r="A19" s="41">
        <v>1</v>
      </c>
      <c r="B19" s="42" t="s">
        <v>325</v>
      </c>
      <c r="C19" s="43">
        <v>11198</v>
      </c>
      <c r="D19" s="48">
        <v>21728000</v>
      </c>
      <c r="E19" s="48">
        <v>24153000</v>
      </c>
    </row>
    <row r="20" spans="1:5" ht="15">
      <c r="A20" s="41">
        <v>2</v>
      </c>
      <c r="B20" s="42" t="s">
        <v>320</v>
      </c>
      <c r="C20" s="43">
        <v>11201</v>
      </c>
      <c r="D20" s="48">
        <v>26621000</v>
      </c>
      <c r="E20" s="48">
        <v>25019000</v>
      </c>
    </row>
    <row r="21" spans="1:5" ht="15">
      <c r="A21" s="41">
        <v>3</v>
      </c>
      <c r="B21" s="42" t="s">
        <v>326</v>
      </c>
      <c r="C21" s="43">
        <v>11202</v>
      </c>
      <c r="D21" s="48">
        <v>28426000</v>
      </c>
      <c r="E21" s="48">
        <v>28224000</v>
      </c>
    </row>
    <row r="22" spans="1:5" ht="15">
      <c r="A22" s="41">
        <v>4</v>
      </c>
      <c r="B22" s="42" t="s">
        <v>314</v>
      </c>
      <c r="C22" s="43">
        <v>11199</v>
      </c>
      <c r="D22" s="50">
        <v>164728000</v>
      </c>
      <c r="E22" s="50">
        <v>148375000</v>
      </c>
    </row>
    <row r="23" spans="1:5" ht="15">
      <c r="A23" s="41">
        <v>5</v>
      </c>
      <c r="B23" s="42" t="s">
        <v>321</v>
      </c>
      <c r="C23" s="43">
        <v>11200</v>
      </c>
      <c r="D23" s="50">
        <v>80145000</v>
      </c>
      <c r="E23" s="50">
        <v>91464000</v>
      </c>
    </row>
    <row r="24" spans="1:5" ht="15">
      <c r="A24" s="41">
        <v>6</v>
      </c>
      <c r="B24" s="42" t="s">
        <v>327</v>
      </c>
      <c r="C24" s="43">
        <v>10793</v>
      </c>
      <c r="D24" s="50">
        <v>6157000</v>
      </c>
      <c r="E24" s="50">
        <v>7338000</v>
      </c>
    </row>
    <row r="25" spans="1:5" ht="15">
      <c r="A25" s="41">
        <v>7</v>
      </c>
      <c r="B25" s="42" t="s">
        <v>316</v>
      </c>
      <c r="C25" s="43">
        <v>11203</v>
      </c>
      <c r="D25" s="50">
        <v>145104000</v>
      </c>
      <c r="E25" s="50">
        <v>129807000</v>
      </c>
    </row>
    <row r="26" spans="1:5" ht="15.75">
      <c r="A26" s="39"/>
      <c r="B26" s="40" t="s">
        <v>266</v>
      </c>
      <c r="C26" s="40"/>
      <c r="D26" s="49">
        <f>+SUM(D27:D37)</f>
        <v>349108000</v>
      </c>
      <c r="E26" s="49">
        <f>+SUM(E27:E37)</f>
        <v>1169230000</v>
      </c>
    </row>
    <row r="27" spans="1:5" ht="15">
      <c r="A27" s="41">
        <v>1</v>
      </c>
      <c r="B27" s="42" t="s">
        <v>329</v>
      </c>
      <c r="C27" s="43" t="s">
        <v>104</v>
      </c>
      <c r="D27" s="50">
        <v>5771000</v>
      </c>
      <c r="E27" s="50">
        <v>13316000</v>
      </c>
    </row>
    <row r="28" spans="1:5" ht="15">
      <c r="A28" s="41">
        <v>2</v>
      </c>
      <c r="B28" s="42" t="s">
        <v>330</v>
      </c>
      <c r="C28" s="43" t="s">
        <v>102</v>
      </c>
      <c r="D28" s="50">
        <v>0</v>
      </c>
      <c r="E28" s="50">
        <v>0</v>
      </c>
    </row>
    <row r="29" spans="1:5" ht="15">
      <c r="A29" s="41">
        <v>3</v>
      </c>
      <c r="B29" s="42" t="s">
        <v>331</v>
      </c>
      <c r="C29" s="43" t="s">
        <v>100</v>
      </c>
      <c r="D29" s="50">
        <v>9630000</v>
      </c>
      <c r="E29" s="50">
        <v>10124000</v>
      </c>
    </row>
    <row r="30" spans="1:5" ht="15">
      <c r="A30" s="41">
        <v>4</v>
      </c>
      <c r="B30" s="42" t="s">
        <v>332</v>
      </c>
      <c r="C30" s="43" t="s">
        <v>55</v>
      </c>
      <c r="D30" s="50">
        <v>88772000</v>
      </c>
      <c r="E30" s="50">
        <v>95289000</v>
      </c>
    </row>
    <row r="31" spans="1:5" ht="15">
      <c r="A31" s="41">
        <v>5</v>
      </c>
      <c r="B31" s="42" t="s">
        <v>333</v>
      </c>
      <c r="C31" s="43" t="s">
        <v>53</v>
      </c>
      <c r="D31" s="50">
        <v>21829000</v>
      </c>
      <c r="E31" s="50">
        <v>21831000</v>
      </c>
    </row>
    <row r="32" spans="1:5" ht="15">
      <c r="A32" s="41">
        <v>6</v>
      </c>
      <c r="B32" s="42" t="s">
        <v>334</v>
      </c>
      <c r="C32" s="43" t="s">
        <v>32</v>
      </c>
      <c r="D32" s="50">
        <v>1922000</v>
      </c>
      <c r="E32" s="50">
        <v>4357000</v>
      </c>
    </row>
    <row r="33" spans="1:5" ht="15">
      <c r="A33" s="41">
        <v>7</v>
      </c>
      <c r="B33" s="42" t="s">
        <v>335</v>
      </c>
      <c r="C33" s="43" t="s">
        <v>51</v>
      </c>
      <c r="D33" s="50">
        <v>10697000</v>
      </c>
      <c r="E33" s="50">
        <v>14369000</v>
      </c>
    </row>
    <row r="34" spans="1:5" ht="15">
      <c r="A34" s="41">
        <v>8</v>
      </c>
      <c r="B34" s="42" t="s">
        <v>336</v>
      </c>
      <c r="C34" s="43" t="s">
        <v>127</v>
      </c>
      <c r="D34" s="50">
        <v>3000000</v>
      </c>
      <c r="E34" s="50">
        <v>2667000</v>
      </c>
    </row>
    <row r="35" spans="1:5" ht="15">
      <c r="A35" s="41">
        <v>9</v>
      </c>
      <c r="B35" s="42" t="s">
        <v>337</v>
      </c>
      <c r="C35" s="43" t="s">
        <v>114</v>
      </c>
      <c r="D35" s="50">
        <v>159906000</v>
      </c>
      <c r="E35" s="50">
        <v>960384000</v>
      </c>
    </row>
    <row r="36" spans="1:5" ht="15">
      <c r="A36" s="41">
        <v>10</v>
      </c>
      <c r="B36" s="42" t="s">
        <v>338</v>
      </c>
      <c r="C36" s="43" t="s">
        <v>129</v>
      </c>
      <c r="D36" s="50">
        <v>5605000</v>
      </c>
      <c r="E36" s="50">
        <v>8464000</v>
      </c>
    </row>
    <row r="37" spans="1:5" ht="15">
      <c r="A37" s="41">
        <v>11</v>
      </c>
      <c r="B37" s="42" t="s">
        <v>339</v>
      </c>
      <c r="C37" s="43" t="s">
        <v>118</v>
      </c>
      <c r="D37" s="50">
        <v>41976000</v>
      </c>
      <c r="E37" s="50">
        <v>38429000</v>
      </c>
    </row>
    <row r="38" spans="1:5" ht="15.75">
      <c r="A38" s="39"/>
      <c r="B38" s="40" t="s">
        <v>340</v>
      </c>
      <c r="C38" s="40"/>
      <c r="D38" s="49">
        <f>+SUM(D39:D49)</f>
        <v>161801000</v>
      </c>
      <c r="E38" s="49">
        <f>+SUM(E39:E49)</f>
        <v>254934000</v>
      </c>
    </row>
    <row r="39" spans="1:5" ht="15">
      <c r="A39" s="41">
        <v>1</v>
      </c>
      <c r="B39" s="42" t="s">
        <v>341</v>
      </c>
      <c r="C39" s="43">
        <v>11786</v>
      </c>
      <c r="D39" s="52">
        <v>7680000</v>
      </c>
      <c r="E39" s="52">
        <v>11200000</v>
      </c>
    </row>
    <row r="40" spans="1:5" ht="15">
      <c r="A40" s="41">
        <v>2</v>
      </c>
      <c r="B40" s="42" t="s">
        <v>342</v>
      </c>
      <c r="C40" s="43">
        <v>11412</v>
      </c>
      <c r="D40" s="52">
        <v>81530000</v>
      </c>
      <c r="E40" s="52">
        <v>115467000</v>
      </c>
    </row>
    <row r="41" spans="1:5" ht="15">
      <c r="A41" s="41">
        <v>3</v>
      </c>
      <c r="B41" s="42" t="s">
        <v>343</v>
      </c>
      <c r="C41" s="43">
        <v>11413</v>
      </c>
      <c r="D41" s="52">
        <v>18730000</v>
      </c>
      <c r="E41" s="52">
        <v>23600000</v>
      </c>
    </row>
    <row r="42" spans="1:5" ht="15">
      <c r="A42" s="41">
        <v>4</v>
      </c>
      <c r="B42" s="42" t="s">
        <v>344</v>
      </c>
      <c r="C42" s="43">
        <v>11787</v>
      </c>
      <c r="D42" s="52">
        <v>6650000</v>
      </c>
      <c r="E42" s="52">
        <v>14000000</v>
      </c>
    </row>
    <row r="43" spans="1:5" ht="15">
      <c r="A43" s="41">
        <v>5</v>
      </c>
      <c r="B43" s="42" t="s">
        <v>345</v>
      </c>
      <c r="C43" s="43">
        <v>11785</v>
      </c>
      <c r="D43" s="52">
        <v>13810000</v>
      </c>
      <c r="E43" s="52">
        <v>15067000</v>
      </c>
    </row>
    <row r="44" spans="1:5" ht="15">
      <c r="A44" s="41">
        <v>6</v>
      </c>
      <c r="B44" s="42" t="s">
        <v>346</v>
      </c>
      <c r="C44" s="43">
        <v>11943</v>
      </c>
      <c r="D44" s="52">
        <v>6320000</v>
      </c>
      <c r="E44" s="52">
        <v>23867000</v>
      </c>
    </row>
    <row r="45" spans="1:5" ht="15">
      <c r="A45" s="41">
        <v>7</v>
      </c>
      <c r="B45" s="42" t="s">
        <v>321</v>
      </c>
      <c r="C45" s="43">
        <v>11247</v>
      </c>
      <c r="D45" s="52">
        <v>2600000</v>
      </c>
      <c r="E45" s="52">
        <v>0</v>
      </c>
    </row>
    <row r="46" spans="1:5" ht="15">
      <c r="A46" s="41">
        <v>8</v>
      </c>
      <c r="B46" s="42" t="s">
        <v>320</v>
      </c>
      <c r="C46" s="43">
        <v>10443</v>
      </c>
      <c r="D46" s="52">
        <v>3601000</v>
      </c>
      <c r="E46" s="52">
        <v>0</v>
      </c>
    </row>
    <row r="47" spans="1:5" ht="15">
      <c r="A47" s="41">
        <v>9</v>
      </c>
      <c r="B47" s="42" t="s">
        <v>347</v>
      </c>
      <c r="C47" s="43">
        <v>10447</v>
      </c>
      <c r="D47" s="52">
        <v>13970000</v>
      </c>
      <c r="E47" s="52">
        <v>40267000</v>
      </c>
    </row>
    <row r="48" spans="1:5" ht="15">
      <c r="A48" s="41">
        <v>10</v>
      </c>
      <c r="B48" s="42" t="s">
        <v>348</v>
      </c>
      <c r="C48" s="43">
        <v>11599</v>
      </c>
      <c r="D48" s="52">
        <v>6000000</v>
      </c>
      <c r="E48" s="52">
        <v>5333000</v>
      </c>
    </row>
    <row r="49" spans="1:5" ht="15">
      <c r="A49" s="41">
        <v>11</v>
      </c>
      <c r="B49" s="42" t="s">
        <v>349</v>
      </c>
      <c r="C49" s="43">
        <v>11978</v>
      </c>
      <c r="D49" s="52">
        <v>910000</v>
      </c>
      <c r="E49" s="52">
        <v>6133000</v>
      </c>
    </row>
    <row r="50" spans="1:5" ht="15.75">
      <c r="A50" s="39"/>
      <c r="B50" s="40" t="s">
        <v>265</v>
      </c>
      <c r="C50" s="40"/>
      <c r="D50" s="49">
        <f>+SUM(D51:D69)</f>
        <v>66745000</v>
      </c>
      <c r="E50" s="49">
        <f>+SUM(E51:E69)</f>
        <v>75411000</v>
      </c>
    </row>
    <row r="51" spans="1:5" ht="15">
      <c r="A51" s="41">
        <v>1</v>
      </c>
      <c r="B51" s="42" t="s">
        <v>315</v>
      </c>
      <c r="C51" s="43">
        <v>11349</v>
      </c>
      <c r="D51" s="50">
        <v>5723000</v>
      </c>
      <c r="E51" s="50">
        <v>2256000</v>
      </c>
    </row>
    <row r="52" spans="1:5" ht="15">
      <c r="A52" s="41">
        <v>2</v>
      </c>
      <c r="B52" s="42" t="s">
        <v>350</v>
      </c>
      <c r="C52" s="43">
        <v>11385</v>
      </c>
      <c r="D52" s="50">
        <v>1236000</v>
      </c>
      <c r="E52" s="50">
        <v>2680000</v>
      </c>
    </row>
    <row r="53" spans="1:5" ht="15">
      <c r="A53" s="41">
        <v>3</v>
      </c>
      <c r="B53" s="42" t="s">
        <v>351</v>
      </c>
      <c r="C53" s="43">
        <v>11386</v>
      </c>
      <c r="D53" s="50">
        <v>8530000</v>
      </c>
      <c r="E53" s="50">
        <v>4632000</v>
      </c>
    </row>
    <row r="54" spans="1:5" ht="15">
      <c r="A54" s="41">
        <v>4</v>
      </c>
      <c r="B54" s="42" t="s">
        <v>327</v>
      </c>
      <c r="C54" s="43">
        <v>11387</v>
      </c>
      <c r="D54" s="50">
        <v>1556000</v>
      </c>
      <c r="E54" s="50">
        <v>4930000</v>
      </c>
    </row>
    <row r="55" spans="1:5" ht="15">
      <c r="A55" s="41">
        <v>5</v>
      </c>
      <c r="B55" s="42" t="s">
        <v>352</v>
      </c>
      <c r="C55" s="43">
        <v>11388</v>
      </c>
      <c r="D55" s="50">
        <v>12351000</v>
      </c>
      <c r="E55" s="50">
        <v>6510000</v>
      </c>
    </row>
    <row r="56" spans="1:5" ht="15">
      <c r="A56" s="41">
        <v>6</v>
      </c>
      <c r="B56" s="42" t="s">
        <v>353</v>
      </c>
      <c r="C56" s="43">
        <v>11487</v>
      </c>
      <c r="D56" s="50">
        <v>2300000</v>
      </c>
      <c r="E56" s="50">
        <v>5360000</v>
      </c>
    </row>
    <row r="57" spans="1:5" ht="15">
      <c r="A57" s="41">
        <v>7</v>
      </c>
      <c r="B57" s="42" t="s">
        <v>347</v>
      </c>
      <c r="C57" s="43">
        <v>11488</v>
      </c>
      <c r="D57" s="50">
        <v>1551000</v>
      </c>
      <c r="E57" s="50">
        <v>3880000</v>
      </c>
    </row>
    <row r="58" spans="1:5" ht="15">
      <c r="A58" s="41">
        <v>8</v>
      </c>
      <c r="B58" s="42" t="s">
        <v>354</v>
      </c>
      <c r="C58" s="43">
        <v>11489</v>
      </c>
      <c r="D58" s="50">
        <v>3924000</v>
      </c>
      <c r="E58" s="50">
        <v>1909000</v>
      </c>
    </row>
    <row r="59" spans="1:5" ht="15">
      <c r="A59" s="41">
        <v>9</v>
      </c>
      <c r="B59" s="42" t="s">
        <v>326</v>
      </c>
      <c r="C59" s="43">
        <v>11490</v>
      </c>
      <c r="D59" s="50">
        <v>518000</v>
      </c>
      <c r="E59" s="50">
        <v>2650000</v>
      </c>
    </row>
    <row r="60" spans="1:5" ht="15">
      <c r="A60" s="41">
        <v>10</v>
      </c>
      <c r="B60" s="42" t="s">
        <v>355</v>
      </c>
      <c r="C60" s="43">
        <v>11579</v>
      </c>
      <c r="D60" s="50">
        <v>2755000</v>
      </c>
      <c r="E60" s="50">
        <v>8660000</v>
      </c>
    </row>
    <row r="61" spans="1:5" ht="15">
      <c r="A61" s="41">
        <v>11</v>
      </c>
      <c r="B61" s="42" t="s">
        <v>320</v>
      </c>
      <c r="C61" s="43">
        <v>11580</v>
      </c>
      <c r="D61" s="50">
        <v>0</v>
      </c>
      <c r="E61" s="50">
        <v>4040000</v>
      </c>
    </row>
    <row r="62" spans="1:5" ht="15">
      <c r="A62" s="41">
        <v>12</v>
      </c>
      <c r="B62" s="42" t="s">
        <v>314</v>
      </c>
      <c r="C62" s="43">
        <v>11581</v>
      </c>
      <c r="D62" s="50">
        <v>2076000</v>
      </c>
      <c r="E62" s="50">
        <v>6970000</v>
      </c>
    </row>
    <row r="63" spans="1:5" ht="15">
      <c r="A63" s="41">
        <v>13</v>
      </c>
      <c r="B63" s="42" t="s">
        <v>321</v>
      </c>
      <c r="C63" s="43">
        <v>11582</v>
      </c>
      <c r="D63" s="50">
        <v>1440000</v>
      </c>
      <c r="E63" s="50">
        <v>5370000</v>
      </c>
    </row>
    <row r="64" spans="1:5" ht="15">
      <c r="A64" s="41">
        <v>14</v>
      </c>
      <c r="B64" s="42" t="s">
        <v>356</v>
      </c>
      <c r="C64" s="43">
        <v>11633</v>
      </c>
      <c r="D64" s="50">
        <v>1834000</v>
      </c>
      <c r="E64" s="50">
        <v>3050000</v>
      </c>
    </row>
    <row r="65" spans="1:5" ht="15">
      <c r="A65" s="41">
        <v>15</v>
      </c>
      <c r="B65" s="42" t="s">
        <v>316</v>
      </c>
      <c r="C65" s="43">
        <v>11634</v>
      </c>
      <c r="D65" s="50">
        <v>9637000</v>
      </c>
      <c r="E65" s="50">
        <v>4934000</v>
      </c>
    </row>
    <row r="66" spans="1:5" ht="15">
      <c r="A66" s="41">
        <v>16</v>
      </c>
      <c r="B66" s="42" t="s">
        <v>357</v>
      </c>
      <c r="C66" s="43">
        <v>11782</v>
      </c>
      <c r="D66" s="50">
        <v>2800000</v>
      </c>
      <c r="E66" s="50">
        <v>2310000</v>
      </c>
    </row>
    <row r="67" spans="1:5" ht="15">
      <c r="A67" s="41">
        <v>17</v>
      </c>
      <c r="B67" s="42" t="s">
        <v>358</v>
      </c>
      <c r="C67" s="43">
        <v>11799</v>
      </c>
      <c r="D67" s="50">
        <v>1563000</v>
      </c>
      <c r="E67" s="50">
        <v>2201000</v>
      </c>
    </row>
    <row r="68" spans="1:5" ht="15">
      <c r="A68" s="41">
        <v>18</v>
      </c>
      <c r="B68" s="42" t="s">
        <v>359</v>
      </c>
      <c r="C68" s="43">
        <v>11800</v>
      </c>
      <c r="D68" s="50">
        <v>4794000</v>
      </c>
      <c r="E68" s="50">
        <v>1534000</v>
      </c>
    </row>
    <row r="69" spans="1:5" ht="15">
      <c r="A69" s="41">
        <v>19</v>
      </c>
      <c r="B69" s="42" t="s">
        <v>328</v>
      </c>
      <c r="C69" s="43">
        <v>11801</v>
      </c>
      <c r="D69" s="50">
        <v>2157000</v>
      </c>
      <c r="E69" s="50">
        <v>1535000</v>
      </c>
    </row>
    <row r="70" spans="1:5" ht="15.75">
      <c r="A70" s="39"/>
      <c r="B70" s="40" t="s">
        <v>360</v>
      </c>
      <c r="C70" s="40"/>
      <c r="D70" s="49">
        <f>+SUM(D71:D75)</f>
        <v>50534000</v>
      </c>
      <c r="E70" s="49">
        <f>+SUM(E71:E75)</f>
        <v>207297000</v>
      </c>
    </row>
    <row r="71" spans="1:5" ht="15">
      <c r="A71" s="41">
        <v>1</v>
      </c>
      <c r="B71" s="42" t="s">
        <v>317</v>
      </c>
      <c r="C71" s="43">
        <v>12129</v>
      </c>
      <c r="D71" s="50">
        <v>13384000</v>
      </c>
      <c r="E71" s="50">
        <v>24535000</v>
      </c>
    </row>
    <row r="72" spans="1:5" ht="15">
      <c r="A72" s="41">
        <v>2</v>
      </c>
      <c r="B72" s="42" t="s">
        <v>315</v>
      </c>
      <c r="C72" s="43">
        <v>10820</v>
      </c>
      <c r="D72" s="50">
        <v>3983000</v>
      </c>
      <c r="E72" s="50">
        <v>7717000</v>
      </c>
    </row>
    <row r="73" spans="1:5" ht="15">
      <c r="A73" s="41">
        <v>3</v>
      </c>
      <c r="B73" s="42" t="s">
        <v>356</v>
      </c>
      <c r="C73" s="43">
        <v>10819</v>
      </c>
      <c r="D73" s="50">
        <v>26537000</v>
      </c>
      <c r="E73" s="50">
        <v>63057000</v>
      </c>
    </row>
    <row r="74" spans="1:5" ht="15">
      <c r="A74" s="41">
        <v>4</v>
      </c>
      <c r="B74" s="42" t="s">
        <v>354</v>
      </c>
      <c r="C74" s="43"/>
      <c r="D74" s="50">
        <v>0</v>
      </c>
      <c r="E74" s="50">
        <v>97675000</v>
      </c>
    </row>
    <row r="75" spans="1:5" ht="15">
      <c r="A75" s="41">
        <v>5</v>
      </c>
      <c r="B75" s="42" t="s">
        <v>341</v>
      </c>
      <c r="C75" s="43">
        <v>10818</v>
      </c>
      <c r="D75" s="50">
        <v>6630000</v>
      </c>
      <c r="E75" s="50">
        <v>14313000</v>
      </c>
    </row>
    <row r="76" spans="1:5" ht="15.75">
      <c r="A76" s="39"/>
      <c r="B76" s="40" t="s">
        <v>361</v>
      </c>
      <c r="C76" s="40"/>
      <c r="D76" s="49">
        <f>+SUM(D77:D82)</f>
        <v>51088000</v>
      </c>
      <c r="E76" s="49">
        <f>+SUM(E77:E82)</f>
        <v>96006000</v>
      </c>
    </row>
    <row r="77" spans="1:5" ht="15">
      <c r="A77" s="41">
        <v>1</v>
      </c>
      <c r="B77" s="42" t="s">
        <v>355</v>
      </c>
      <c r="C77" s="43">
        <v>11291</v>
      </c>
      <c r="D77" s="51">
        <v>34524000</v>
      </c>
      <c r="E77" s="51">
        <v>52367000</v>
      </c>
    </row>
    <row r="78" spans="1:5" ht="15">
      <c r="A78" s="41"/>
      <c r="B78" s="42" t="s">
        <v>359</v>
      </c>
      <c r="C78" s="43">
        <v>10714</v>
      </c>
      <c r="D78" s="51">
        <v>8346000</v>
      </c>
      <c r="E78" s="51">
        <v>17207000</v>
      </c>
    </row>
    <row r="79" spans="1:5" ht="15">
      <c r="A79" s="41"/>
      <c r="B79" s="42" t="s">
        <v>320</v>
      </c>
      <c r="C79" s="43" t="s">
        <v>362</v>
      </c>
      <c r="D79" s="51">
        <v>0</v>
      </c>
      <c r="E79" s="51">
        <v>0</v>
      </c>
    </row>
    <row r="80" spans="1:5" ht="15">
      <c r="A80" s="41"/>
      <c r="B80" s="42" t="s">
        <v>316</v>
      </c>
      <c r="C80" s="43">
        <v>12228</v>
      </c>
      <c r="D80" s="51">
        <v>0</v>
      </c>
      <c r="E80" s="51">
        <v>11213000</v>
      </c>
    </row>
    <row r="81" spans="1:5" ht="15">
      <c r="A81" s="41"/>
      <c r="B81" s="42" t="s">
        <v>363</v>
      </c>
      <c r="C81" s="43">
        <v>10715</v>
      </c>
      <c r="D81" s="51">
        <v>8218000</v>
      </c>
      <c r="E81" s="51">
        <v>15219000</v>
      </c>
    </row>
    <row r="82" spans="1:5" ht="15">
      <c r="A82" s="41"/>
      <c r="B82" s="42" t="s">
        <v>358</v>
      </c>
      <c r="C82" s="43" t="s">
        <v>364</v>
      </c>
      <c r="D82" s="51">
        <v>0</v>
      </c>
      <c r="E82" s="51">
        <v>0</v>
      </c>
    </row>
    <row r="83" spans="1:5" ht="15.75">
      <c r="A83" s="39"/>
      <c r="B83" s="40" t="s">
        <v>271</v>
      </c>
      <c r="C83" s="40"/>
      <c r="D83" s="49">
        <f>+SUM(D84)</f>
        <v>7290000</v>
      </c>
      <c r="E83" s="49">
        <f>+SUM(E84)</f>
        <v>17067000</v>
      </c>
    </row>
    <row r="84" spans="1:5" ht="15">
      <c r="A84" s="41">
        <v>1</v>
      </c>
      <c r="B84" s="42" t="s">
        <v>358</v>
      </c>
      <c r="C84" s="43">
        <v>12008</v>
      </c>
      <c r="D84" s="50">
        <v>7290000</v>
      </c>
      <c r="E84" s="50">
        <v>17067000</v>
      </c>
    </row>
    <row r="85" spans="1:5" ht="15.75">
      <c r="A85" s="39"/>
      <c r="B85" s="40" t="s">
        <v>365</v>
      </c>
      <c r="C85" s="40"/>
      <c r="D85" s="49">
        <f>+SUM(D86:D90)</f>
        <v>40537500</v>
      </c>
      <c r="E85" s="49">
        <f>+SUM(E86:E90)</f>
        <v>68318000</v>
      </c>
    </row>
    <row r="86" spans="1:5" ht="15">
      <c r="A86" s="41">
        <v>1</v>
      </c>
      <c r="B86" s="42" t="s">
        <v>346</v>
      </c>
      <c r="C86" s="43">
        <v>10502</v>
      </c>
      <c r="D86" s="50">
        <v>6007500</v>
      </c>
      <c r="E86" s="50">
        <v>13111000</v>
      </c>
    </row>
    <row r="87" spans="1:5" ht="15">
      <c r="A87" s="41">
        <v>2</v>
      </c>
      <c r="B87" s="42" t="s">
        <v>366</v>
      </c>
      <c r="C87" s="43">
        <v>10508</v>
      </c>
      <c r="D87" s="50">
        <v>11214000</v>
      </c>
      <c r="E87" s="50">
        <v>21043000</v>
      </c>
    </row>
    <row r="88" spans="1:5" ht="15">
      <c r="A88" s="41">
        <v>3</v>
      </c>
      <c r="B88" s="42" t="s">
        <v>367</v>
      </c>
      <c r="C88" s="43">
        <v>10510</v>
      </c>
      <c r="D88" s="50">
        <v>9210000</v>
      </c>
      <c r="E88" s="50">
        <v>23787000</v>
      </c>
    </row>
    <row r="89" spans="1:5" ht="15">
      <c r="A89" s="41">
        <v>4</v>
      </c>
      <c r="B89" s="42" t="s">
        <v>368</v>
      </c>
      <c r="C89" s="43">
        <v>10729</v>
      </c>
      <c r="D89" s="50">
        <v>5792000</v>
      </c>
      <c r="E89" s="50">
        <v>10377000</v>
      </c>
    </row>
    <row r="90" spans="1:5" ht="15">
      <c r="A90" s="41">
        <v>5</v>
      </c>
      <c r="B90" s="42" t="s">
        <v>320</v>
      </c>
      <c r="C90" s="43">
        <v>12029</v>
      </c>
      <c r="D90" s="50">
        <v>8314000</v>
      </c>
      <c r="E90" s="50">
        <v>0</v>
      </c>
    </row>
    <row r="91" spans="1:5" ht="15.75">
      <c r="A91" s="39"/>
      <c r="B91" s="40" t="s">
        <v>267</v>
      </c>
      <c r="C91" s="40"/>
      <c r="D91" s="49">
        <f>+SUM(D92:D94)</f>
        <v>172898000</v>
      </c>
      <c r="E91" s="49">
        <f>+SUM(E92:E94)</f>
        <v>225522000</v>
      </c>
    </row>
    <row r="92" spans="1:5" ht="15">
      <c r="A92" s="41">
        <v>1</v>
      </c>
      <c r="B92" s="42" t="s">
        <v>369</v>
      </c>
      <c r="C92" s="43">
        <v>12097</v>
      </c>
      <c r="D92" s="50">
        <v>17852000</v>
      </c>
      <c r="E92" s="50">
        <v>13487000</v>
      </c>
    </row>
    <row r="93" spans="1:5" ht="15">
      <c r="A93" s="41">
        <v>2</v>
      </c>
      <c r="B93" s="42" t="s">
        <v>370</v>
      </c>
      <c r="C93" s="43">
        <v>12091</v>
      </c>
      <c r="D93" s="50">
        <v>36118000</v>
      </c>
      <c r="E93" s="50">
        <v>53002000</v>
      </c>
    </row>
    <row r="94" spans="1:5" ht="15">
      <c r="A94" s="41">
        <v>3</v>
      </c>
      <c r="B94" s="42" t="s">
        <v>343</v>
      </c>
      <c r="C94" s="43">
        <v>12090</v>
      </c>
      <c r="D94" s="50">
        <v>118928000</v>
      </c>
      <c r="E94" s="50">
        <v>159033000</v>
      </c>
    </row>
    <row r="95" spans="1:5" ht="15.75">
      <c r="A95" s="39"/>
      <c r="B95" s="40" t="s">
        <v>371</v>
      </c>
      <c r="C95" s="40"/>
      <c r="D95" s="49">
        <f>+SUM(D96:D101)</f>
        <v>1025369000</v>
      </c>
      <c r="E95" s="49">
        <f>+SUM(E96:E101)</f>
        <v>1113261000</v>
      </c>
    </row>
    <row r="96" spans="1:5" ht="15">
      <c r="A96" s="41">
        <v>1</v>
      </c>
      <c r="B96" s="42" t="s">
        <v>372</v>
      </c>
      <c r="C96" s="43">
        <v>11443</v>
      </c>
      <c r="D96" s="48">
        <v>112233000</v>
      </c>
      <c r="E96" s="48">
        <v>177599000</v>
      </c>
    </row>
    <row r="97" spans="1:5" ht="15">
      <c r="A97" s="41">
        <v>2</v>
      </c>
      <c r="B97" s="42" t="s">
        <v>373</v>
      </c>
      <c r="C97" s="43">
        <v>11444</v>
      </c>
      <c r="D97" s="48">
        <v>195818000</v>
      </c>
      <c r="E97" s="48">
        <v>200724000</v>
      </c>
    </row>
    <row r="98" spans="1:5" ht="15">
      <c r="A98" s="41">
        <v>3</v>
      </c>
      <c r="B98" s="42" t="s">
        <v>374</v>
      </c>
      <c r="C98" s="43">
        <v>11445</v>
      </c>
      <c r="D98" s="48">
        <v>90311000</v>
      </c>
      <c r="E98" s="48">
        <v>131443000</v>
      </c>
    </row>
    <row r="99" spans="1:5" ht="15">
      <c r="A99" s="41">
        <v>4</v>
      </c>
      <c r="B99" s="42" t="s">
        <v>375</v>
      </c>
      <c r="C99" s="43">
        <v>11446</v>
      </c>
      <c r="D99" s="48">
        <v>344752000</v>
      </c>
      <c r="E99" s="48">
        <v>311471000</v>
      </c>
    </row>
    <row r="100" spans="1:5" ht="15">
      <c r="A100" s="41">
        <v>5</v>
      </c>
      <c r="B100" s="42" t="s">
        <v>376</v>
      </c>
      <c r="C100" s="43">
        <v>11447</v>
      </c>
      <c r="D100" s="48">
        <v>199282000</v>
      </c>
      <c r="E100" s="48">
        <v>226535000</v>
      </c>
    </row>
    <row r="101" spans="1:5" ht="15">
      <c r="A101" s="41">
        <v>6</v>
      </c>
      <c r="B101" s="42" t="s">
        <v>341</v>
      </c>
      <c r="C101" s="43">
        <v>11448</v>
      </c>
      <c r="D101" s="48">
        <v>82973000</v>
      </c>
      <c r="E101" s="48">
        <v>65489000</v>
      </c>
    </row>
    <row r="102" spans="1:5" ht="15.75">
      <c r="A102" s="39"/>
      <c r="B102" s="40" t="s">
        <v>268</v>
      </c>
      <c r="C102" s="40"/>
      <c r="D102" s="49">
        <f>+SUM(D103)</f>
        <v>107083000</v>
      </c>
      <c r="E102" s="49">
        <f>+SUM(E103)</f>
        <v>148180000</v>
      </c>
    </row>
    <row r="103" spans="1:5" ht="15">
      <c r="A103" s="41">
        <v>1</v>
      </c>
      <c r="B103" s="42" t="s">
        <v>339</v>
      </c>
      <c r="C103" s="43" t="s">
        <v>109</v>
      </c>
      <c r="D103" s="50">
        <v>107083000</v>
      </c>
      <c r="E103" s="50">
        <v>148180000</v>
      </c>
    </row>
    <row r="104" spans="1:5" ht="15.75">
      <c r="A104" s="39"/>
      <c r="B104" s="40" t="s">
        <v>263</v>
      </c>
      <c r="C104" s="40"/>
      <c r="D104" s="49">
        <f>+SUM(D105:D113)</f>
        <v>624708200</v>
      </c>
      <c r="E104" s="49">
        <f>+SUM(E105:E113)</f>
        <v>742107000</v>
      </c>
    </row>
    <row r="105" spans="1:5" ht="15">
      <c r="A105" s="41">
        <v>1</v>
      </c>
      <c r="B105" s="42" t="s">
        <v>377</v>
      </c>
      <c r="C105" s="43" t="s">
        <v>378</v>
      </c>
      <c r="D105" s="50"/>
      <c r="E105" s="50"/>
    </row>
    <row r="106" spans="1:5" ht="15">
      <c r="A106" s="41">
        <v>2</v>
      </c>
      <c r="B106" s="42" t="s">
        <v>379</v>
      </c>
      <c r="C106" s="43" t="s">
        <v>116</v>
      </c>
      <c r="D106" s="50">
        <v>123112000</v>
      </c>
      <c r="E106" s="50">
        <v>139136000</v>
      </c>
    </row>
    <row r="107" spans="1:5" ht="15">
      <c r="A107" s="41">
        <v>3</v>
      </c>
      <c r="B107" s="42" t="s">
        <v>380</v>
      </c>
      <c r="C107" s="43" t="s">
        <v>22</v>
      </c>
      <c r="D107" s="50">
        <v>124068000</v>
      </c>
      <c r="E107" s="50">
        <v>141802000</v>
      </c>
    </row>
    <row r="108" spans="1:5" ht="15">
      <c r="A108" s="41">
        <v>4</v>
      </c>
      <c r="B108" s="42" t="s">
        <v>381</v>
      </c>
      <c r="C108" s="43" t="s">
        <v>17</v>
      </c>
      <c r="D108" s="50">
        <v>51466000</v>
      </c>
      <c r="E108" s="50">
        <v>56634000</v>
      </c>
    </row>
    <row r="109" spans="1:5" ht="15">
      <c r="A109" s="41">
        <v>5</v>
      </c>
      <c r="B109" s="42" t="s">
        <v>329</v>
      </c>
      <c r="C109" s="43" t="s">
        <v>24</v>
      </c>
      <c r="D109" s="50">
        <v>48201000</v>
      </c>
      <c r="E109" s="50">
        <v>41267000</v>
      </c>
    </row>
    <row r="110" spans="1:5" ht="15">
      <c r="A110" s="41">
        <v>6</v>
      </c>
      <c r="B110" s="42" t="s">
        <v>332</v>
      </c>
      <c r="C110" s="43" t="s">
        <v>98</v>
      </c>
      <c r="D110" s="50">
        <v>129630200</v>
      </c>
      <c r="E110" s="50">
        <v>159361000</v>
      </c>
    </row>
    <row r="111" spans="1:5" ht="15">
      <c r="A111" s="41">
        <v>7</v>
      </c>
      <c r="B111" s="42" t="s">
        <v>336</v>
      </c>
      <c r="C111" s="43" t="s">
        <v>96</v>
      </c>
      <c r="D111" s="72">
        <v>62565000</v>
      </c>
      <c r="E111" s="50">
        <v>79420000</v>
      </c>
    </row>
    <row r="112" spans="1:5" ht="15">
      <c r="A112" s="41">
        <v>8</v>
      </c>
      <c r="B112" s="42" t="s">
        <v>382</v>
      </c>
      <c r="C112" s="44" t="s">
        <v>57</v>
      </c>
      <c r="D112" s="50">
        <v>28997000</v>
      </c>
      <c r="E112" s="50">
        <v>31256000</v>
      </c>
    </row>
    <row r="113" spans="1:5" ht="15">
      <c r="A113" s="41">
        <v>9</v>
      </c>
      <c r="B113" s="42" t="s">
        <v>383</v>
      </c>
      <c r="C113" s="44" t="s">
        <v>94</v>
      </c>
      <c r="D113" s="50">
        <v>56669000</v>
      </c>
      <c r="E113" s="50">
        <v>93231000</v>
      </c>
    </row>
    <row r="114" spans="1:5" ht="15.75">
      <c r="A114" s="39"/>
      <c r="B114" s="40" t="s">
        <v>269</v>
      </c>
      <c r="C114" s="45"/>
      <c r="D114" s="49">
        <f>+SUM(D115)</f>
        <v>111031400</v>
      </c>
      <c r="E114" s="49">
        <f>+SUM(E115)</f>
        <v>390639000</v>
      </c>
    </row>
    <row r="115" spans="1:5" ht="15">
      <c r="A115" s="41">
        <v>1</v>
      </c>
      <c r="B115" s="42" t="s">
        <v>355</v>
      </c>
      <c r="C115" s="46">
        <v>11853</v>
      </c>
      <c r="D115" s="50">
        <v>111031400</v>
      </c>
      <c r="E115" s="50">
        <v>390639000</v>
      </c>
    </row>
    <row r="116" spans="1:5" ht="15.75">
      <c r="A116" s="39"/>
      <c r="B116" s="40" t="s">
        <v>270</v>
      </c>
      <c r="C116" s="40"/>
      <c r="D116" s="49">
        <f>+SUM(D117:D118)</f>
        <v>241211000</v>
      </c>
      <c r="E116" s="49">
        <f>+SUM(E117:E118)</f>
        <v>295749000</v>
      </c>
    </row>
    <row r="117" spans="1:5" ht="15">
      <c r="A117" s="41">
        <v>1</v>
      </c>
      <c r="B117" s="42" t="s">
        <v>384</v>
      </c>
      <c r="C117" s="43" t="s">
        <v>13</v>
      </c>
      <c r="D117" s="50">
        <v>201445000</v>
      </c>
      <c r="E117" s="50">
        <v>250237000</v>
      </c>
    </row>
    <row r="118" spans="1:5" ht="15">
      <c r="A118" s="41">
        <v>2</v>
      </c>
      <c r="B118" s="42" t="s">
        <v>382</v>
      </c>
      <c r="C118" s="43" t="s">
        <v>59</v>
      </c>
      <c r="D118" s="50">
        <v>39766000</v>
      </c>
      <c r="E118" s="50">
        <v>45512000</v>
      </c>
    </row>
  </sheetData>
  <mergeCells count="7">
    <mergeCell ref="E3:E5"/>
    <mergeCell ref="A1:E1"/>
    <mergeCell ref="C3:C5"/>
    <mergeCell ref="B2:D2"/>
    <mergeCell ref="A3:A5"/>
    <mergeCell ref="B3:B5"/>
    <mergeCell ref="D3:D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499984740745262"/>
  </sheetPr>
  <dimension ref="A1:K123"/>
  <sheetViews>
    <sheetView topLeftCell="A87" zoomScale="115" zoomScaleNormal="115" workbookViewId="0">
      <selection activeCell="G6" sqref="G6"/>
    </sheetView>
  </sheetViews>
  <sheetFormatPr defaultRowHeight="12.75"/>
  <cols>
    <col min="1" max="1" width="17.42578125" customWidth="1"/>
    <col min="2" max="2" width="14.5703125" style="34" bestFit="1" customWidth="1"/>
    <col min="3" max="3" width="26.7109375" bestFit="1" customWidth="1"/>
    <col min="4" max="4" width="9.42578125" bestFit="1" customWidth="1"/>
    <col min="5" max="5" width="17" bestFit="1" customWidth="1"/>
    <col min="6" max="6" width="9.140625" customWidth="1"/>
    <col min="7" max="7" width="17" bestFit="1" customWidth="1"/>
    <col min="8" max="8" width="41.7109375" customWidth="1"/>
    <col min="9" max="9" width="11.42578125" customWidth="1"/>
    <col min="10" max="10" width="26.140625" bestFit="1" customWidth="1"/>
    <col min="11" max="11" width="37.5703125" bestFit="1" customWidth="1"/>
  </cols>
  <sheetData>
    <row r="1" spans="1:11" ht="15">
      <c r="A1" s="101" t="s">
        <v>391</v>
      </c>
      <c r="B1" s="102" t="s">
        <v>419</v>
      </c>
      <c r="C1" s="103" t="s">
        <v>392</v>
      </c>
      <c r="D1" s="101" t="s">
        <v>432</v>
      </c>
      <c r="E1" s="101"/>
      <c r="F1" s="101"/>
      <c r="G1" s="101"/>
      <c r="H1" s="3"/>
      <c r="I1" s="3"/>
      <c r="J1" s="3"/>
    </row>
    <row r="2" spans="1:11" ht="15">
      <c r="A2" s="101"/>
      <c r="B2" s="102"/>
      <c r="C2" s="103"/>
      <c r="D2" s="103" t="s">
        <v>148</v>
      </c>
      <c r="E2" s="103"/>
      <c r="F2" s="103" t="s">
        <v>1</v>
      </c>
      <c r="G2" s="103"/>
      <c r="H2" s="91" t="s">
        <v>433</v>
      </c>
      <c r="I2" s="98">
        <f>+I5+I13+I19+I25+I29+I35+I43+I48+I51+I62+I66+I75+I80+I83+I88+I93+I97+I99+I105+I111+I115+I120</f>
        <v>115417</v>
      </c>
      <c r="J2" s="91" t="s">
        <v>422</v>
      </c>
      <c r="K2" s="97" t="s">
        <v>421</v>
      </c>
    </row>
    <row r="3" spans="1:11" ht="15">
      <c r="A3" s="101"/>
      <c r="B3" s="102"/>
      <c r="C3" s="103"/>
      <c r="D3" s="57" t="s">
        <v>173</v>
      </c>
      <c r="E3" s="57" t="s">
        <v>385</v>
      </c>
      <c r="F3" s="57" t="s">
        <v>173</v>
      </c>
      <c r="G3" s="57" t="s">
        <v>385</v>
      </c>
      <c r="H3" s="92"/>
      <c r="I3" s="99"/>
      <c r="J3" s="92"/>
      <c r="K3" s="97"/>
    </row>
    <row r="4" spans="1:11" ht="15">
      <c r="A4" s="58" t="s">
        <v>255</v>
      </c>
      <c r="B4" s="69"/>
      <c r="C4" s="59"/>
      <c r="D4" s="59">
        <v>90987</v>
      </c>
      <c r="E4" s="59">
        <v>72253275</v>
      </c>
      <c r="F4" s="59">
        <v>17905</v>
      </c>
      <c r="G4" s="59">
        <v>18315248</v>
      </c>
      <c r="H4" s="93"/>
      <c r="I4" s="100"/>
      <c r="J4" s="93"/>
      <c r="K4" s="97"/>
    </row>
    <row r="5" spans="1:11" ht="15">
      <c r="A5" s="58" t="s">
        <v>20</v>
      </c>
      <c r="B5" s="69"/>
      <c r="C5" s="59"/>
      <c r="D5" s="59">
        <f>SUM(D6:D12)</f>
        <v>9605</v>
      </c>
      <c r="E5" s="59">
        <f t="shared" ref="E5:G5" si="0">SUM(E6:E12)</f>
        <v>9964906.2799999993</v>
      </c>
      <c r="F5" s="59">
        <f t="shared" si="0"/>
        <v>1524</v>
      </c>
      <c r="G5" s="59">
        <f t="shared" si="0"/>
        <v>1428510.37</v>
      </c>
      <c r="H5" s="60"/>
      <c r="I5" s="66">
        <f>+SUM(I6:I12)</f>
        <v>11129</v>
      </c>
      <c r="J5" s="61">
        <f>+I5/$I$2</f>
        <v>9.6424270254815148E-2</v>
      </c>
      <c r="K5" s="1"/>
    </row>
    <row r="6" spans="1:11">
      <c r="A6" s="5" t="s">
        <v>263</v>
      </c>
      <c r="B6" s="17" t="s">
        <v>22</v>
      </c>
      <c r="C6" s="6" t="s">
        <v>393</v>
      </c>
      <c r="D6" s="6">
        <v>3091</v>
      </c>
      <c r="E6" s="6">
        <v>2558283.04</v>
      </c>
      <c r="F6" s="6">
        <v>387</v>
      </c>
      <c r="G6" s="6">
        <v>297151.21999999997</v>
      </c>
      <c r="H6" s="62">
        <v>106351.84753</v>
      </c>
      <c r="I6" s="63">
        <f>+D6+F6</f>
        <v>3478</v>
      </c>
      <c r="J6" s="64">
        <f>+I6/I5</f>
        <v>0.3125168478749214</v>
      </c>
      <c r="K6" s="1">
        <v>8</v>
      </c>
    </row>
    <row r="7" spans="1:11">
      <c r="A7" s="5" t="s">
        <v>394</v>
      </c>
      <c r="B7" s="17">
        <v>10418</v>
      </c>
      <c r="C7" s="6" t="s">
        <v>395</v>
      </c>
      <c r="D7" s="6">
        <v>1</v>
      </c>
      <c r="E7" s="6">
        <v>1419.62</v>
      </c>
      <c r="F7" s="6"/>
      <c r="G7" s="6"/>
      <c r="H7" s="62"/>
      <c r="I7" s="63">
        <f t="shared" ref="I7:I67" si="1">+D7+F7</f>
        <v>1</v>
      </c>
      <c r="J7" s="65">
        <f>+I7/I5</f>
        <v>8.985533291400844E-5</v>
      </c>
      <c r="K7" s="1">
        <v>1</v>
      </c>
    </row>
    <row r="8" spans="1:11">
      <c r="A8" s="5" t="s">
        <v>396</v>
      </c>
      <c r="B8" s="34">
        <v>11372</v>
      </c>
      <c r="C8" s="6" t="s">
        <v>395</v>
      </c>
      <c r="D8" s="6">
        <v>87</v>
      </c>
      <c r="E8" s="6">
        <v>97948.62</v>
      </c>
      <c r="F8" s="6">
        <v>12</v>
      </c>
      <c r="G8" s="6">
        <v>13979.08</v>
      </c>
      <c r="H8" s="62"/>
      <c r="I8" s="63">
        <f t="shared" si="1"/>
        <v>99</v>
      </c>
      <c r="J8" s="64">
        <f>+I8/I5</f>
        <v>8.8956779584868362E-3</v>
      </c>
      <c r="K8" s="1">
        <v>1</v>
      </c>
    </row>
    <row r="9" spans="1:11">
      <c r="A9" s="5" t="s">
        <v>264</v>
      </c>
      <c r="B9" s="17">
        <v>11254</v>
      </c>
      <c r="C9" s="6" t="s">
        <v>397</v>
      </c>
      <c r="D9" s="6">
        <v>984</v>
      </c>
      <c r="E9" s="6">
        <v>1269145.5</v>
      </c>
      <c r="F9" s="6">
        <v>62</v>
      </c>
      <c r="G9" s="6">
        <v>28429.68</v>
      </c>
      <c r="H9" s="62">
        <v>35046.67</v>
      </c>
      <c r="I9" s="63">
        <f t="shared" si="1"/>
        <v>1046</v>
      </c>
      <c r="J9" s="64">
        <f>+I9/I5</f>
        <v>9.3988678228052833E-2</v>
      </c>
      <c r="K9" s="1">
        <v>2</v>
      </c>
    </row>
    <row r="10" spans="1:11">
      <c r="A10" s="5" t="s">
        <v>398</v>
      </c>
      <c r="B10" s="17">
        <v>11199</v>
      </c>
      <c r="C10" s="6" t="s">
        <v>393</v>
      </c>
      <c r="D10" s="6">
        <v>2609</v>
      </c>
      <c r="E10" s="6">
        <v>2617525.39</v>
      </c>
      <c r="F10" s="6">
        <v>435</v>
      </c>
      <c r="G10" s="6">
        <v>380667.86</v>
      </c>
      <c r="H10" s="62">
        <v>111281</v>
      </c>
      <c r="I10" s="63">
        <f t="shared" si="1"/>
        <v>3044</v>
      </c>
      <c r="J10" s="64">
        <f>+I10/I5</f>
        <v>0.27351963339024171</v>
      </c>
      <c r="K10" s="1">
        <v>3</v>
      </c>
    </row>
    <row r="11" spans="1:11">
      <c r="A11" s="5" t="s">
        <v>265</v>
      </c>
      <c r="B11" s="34">
        <v>11581</v>
      </c>
      <c r="C11" s="6" t="s">
        <v>395</v>
      </c>
      <c r="D11" s="6">
        <v>29</v>
      </c>
      <c r="E11" s="6">
        <v>19336.71</v>
      </c>
      <c r="F11" s="6"/>
      <c r="G11" s="6"/>
      <c r="H11" s="62">
        <v>522.81365000000005</v>
      </c>
      <c r="I11" s="63">
        <f t="shared" si="1"/>
        <v>29</v>
      </c>
      <c r="J11" s="64">
        <f>+I11/$I$5</f>
        <v>2.605804654506245E-3</v>
      </c>
      <c r="K11" s="1">
        <v>2</v>
      </c>
    </row>
    <row r="12" spans="1:11">
      <c r="A12" s="5" t="s">
        <v>400</v>
      </c>
      <c r="B12" s="17">
        <v>11446</v>
      </c>
      <c r="C12" s="6" t="s">
        <v>393</v>
      </c>
      <c r="D12" s="6">
        <v>2804</v>
      </c>
      <c r="E12" s="6">
        <v>3401247.4</v>
      </c>
      <c r="F12" s="6">
        <v>628</v>
      </c>
      <c r="G12" s="6">
        <v>708282.53</v>
      </c>
      <c r="H12" s="62">
        <v>233603</v>
      </c>
      <c r="I12" s="63">
        <f t="shared" si="1"/>
        <v>3432</v>
      </c>
      <c r="J12" s="64">
        <f>+I12/$I$5</f>
        <v>0.30838350256087699</v>
      </c>
      <c r="K12" s="1">
        <v>2</v>
      </c>
    </row>
    <row r="13" spans="1:11" ht="15">
      <c r="A13" s="58" t="s">
        <v>8</v>
      </c>
      <c r="B13" s="69"/>
      <c r="C13" s="59"/>
      <c r="D13" s="59">
        <f>SUM(D14:D18)</f>
        <v>3175</v>
      </c>
      <c r="E13" s="59">
        <f t="shared" ref="E13:G13" si="2">SUM(E14:E18)</f>
        <v>2892550.1499999994</v>
      </c>
      <c r="F13" s="59">
        <f t="shared" si="2"/>
        <v>94</v>
      </c>
      <c r="G13" s="59">
        <f t="shared" si="2"/>
        <v>128479.61000000002</v>
      </c>
      <c r="H13" s="60"/>
      <c r="I13" s="66">
        <f>+SUM(I14:I18)</f>
        <v>3269</v>
      </c>
      <c r="J13" s="61">
        <f>+I13/$I$2</f>
        <v>2.8323383903584395E-2</v>
      </c>
      <c r="K13" s="1"/>
    </row>
    <row r="14" spans="1:11">
      <c r="A14" s="5" t="s">
        <v>266</v>
      </c>
      <c r="B14" s="34" t="s">
        <v>55</v>
      </c>
      <c r="C14" s="6" t="s">
        <v>393</v>
      </c>
      <c r="D14" s="6">
        <v>1384</v>
      </c>
      <c r="E14" s="6">
        <v>1206348.8</v>
      </c>
      <c r="F14" s="6">
        <v>55</v>
      </c>
      <c r="G14" s="6">
        <v>37408.97</v>
      </c>
      <c r="H14" s="62">
        <v>71467</v>
      </c>
      <c r="I14" s="63">
        <f t="shared" si="1"/>
        <v>1439</v>
      </c>
      <c r="J14" s="67">
        <f>+I14/$I$13</f>
        <v>0.44019577852554298</v>
      </c>
      <c r="K14" s="1">
        <v>3</v>
      </c>
    </row>
    <row r="15" spans="1:11">
      <c r="A15" s="5" t="s">
        <v>401</v>
      </c>
      <c r="B15" s="34">
        <v>12213</v>
      </c>
      <c r="C15" s="6" t="s">
        <v>393</v>
      </c>
      <c r="D15" s="6">
        <v>1409</v>
      </c>
      <c r="E15" s="6">
        <v>1318567.79</v>
      </c>
      <c r="F15" s="6">
        <v>13</v>
      </c>
      <c r="G15" s="6">
        <v>2407.7600000000002</v>
      </c>
      <c r="H15" s="62"/>
      <c r="I15" s="63">
        <f t="shared" si="1"/>
        <v>1422</v>
      </c>
      <c r="J15" s="67">
        <f t="shared" ref="J15:J18" si="3">+I15/$I$13</f>
        <v>0.43499541144080761</v>
      </c>
      <c r="K15" s="1"/>
    </row>
    <row r="16" spans="1:11">
      <c r="A16" s="5" t="s">
        <v>263</v>
      </c>
      <c r="C16" s="6" t="s">
        <v>397</v>
      </c>
      <c r="D16" s="6">
        <v>191</v>
      </c>
      <c r="E16" s="6">
        <v>183816.78</v>
      </c>
      <c r="F16" s="6">
        <v>13</v>
      </c>
      <c r="G16" s="6">
        <v>44331.44</v>
      </c>
      <c r="H16" s="62">
        <v>37000</v>
      </c>
      <c r="I16" s="63">
        <f t="shared" si="1"/>
        <v>204</v>
      </c>
      <c r="J16" s="67">
        <f t="shared" si="3"/>
        <v>6.2404405016824718E-2</v>
      </c>
      <c r="K16" s="1"/>
    </row>
    <row r="17" spans="1:11">
      <c r="A17" s="5" t="s">
        <v>402</v>
      </c>
      <c r="B17" s="34">
        <v>12228</v>
      </c>
      <c r="C17" s="6" t="s">
        <v>395</v>
      </c>
      <c r="D17" s="6">
        <v>139</v>
      </c>
      <c r="E17" s="6">
        <v>132499.25</v>
      </c>
      <c r="F17" s="6">
        <v>13</v>
      </c>
      <c r="G17" s="6">
        <v>44331.44</v>
      </c>
      <c r="H17" s="62">
        <v>8410</v>
      </c>
      <c r="I17" s="63">
        <f t="shared" si="1"/>
        <v>152</v>
      </c>
      <c r="J17" s="67">
        <f t="shared" si="3"/>
        <v>4.6497399816457632E-2</v>
      </c>
      <c r="K17" s="1">
        <v>1</v>
      </c>
    </row>
    <row r="18" spans="1:11">
      <c r="A18" s="5" t="s">
        <v>265</v>
      </c>
      <c r="B18" s="34">
        <v>11489</v>
      </c>
      <c r="C18" s="6" t="s">
        <v>395</v>
      </c>
      <c r="D18" s="6">
        <v>52</v>
      </c>
      <c r="E18" s="6">
        <v>51317.53</v>
      </c>
      <c r="F18" s="6"/>
      <c r="G18" s="6"/>
      <c r="H18" s="62">
        <v>1432.0295000000001</v>
      </c>
      <c r="I18" s="63">
        <f t="shared" si="1"/>
        <v>52</v>
      </c>
      <c r="J18" s="67">
        <f t="shared" si="3"/>
        <v>1.5907005200367086E-2</v>
      </c>
      <c r="K18" s="1">
        <v>2</v>
      </c>
    </row>
    <row r="19" spans="1:11" ht="15">
      <c r="A19" s="58" t="s">
        <v>34</v>
      </c>
      <c r="B19" s="69"/>
      <c r="C19" s="59"/>
      <c r="D19" s="59">
        <f>SUM(D20:D24)</f>
        <v>7674</v>
      </c>
      <c r="E19" s="59">
        <f>SUM(E20:E24)</f>
        <v>7090499.9100000001</v>
      </c>
      <c r="F19" s="59">
        <f>SUM(F20:F24)</f>
        <v>953</v>
      </c>
      <c r="G19" s="59">
        <f>SUM(G20:G24)</f>
        <v>720323.35000000009</v>
      </c>
      <c r="H19" s="60"/>
      <c r="I19" s="66">
        <f>+SUM(I20:I24)</f>
        <v>8627</v>
      </c>
      <c r="J19" s="61">
        <f>+I19/$I$2</f>
        <v>7.4746354523163833E-2</v>
      </c>
      <c r="K19" s="1"/>
    </row>
    <row r="20" spans="1:11">
      <c r="A20" s="5" t="s">
        <v>263</v>
      </c>
      <c r="B20" s="17" t="s">
        <v>98</v>
      </c>
      <c r="C20" s="6" t="s">
        <v>393</v>
      </c>
      <c r="D20" s="6">
        <v>2036</v>
      </c>
      <c r="E20" s="6">
        <v>1616206.8</v>
      </c>
      <c r="F20" s="6">
        <v>256</v>
      </c>
      <c r="G20" s="6">
        <v>140539.12</v>
      </c>
      <c r="H20" s="62">
        <v>119521</v>
      </c>
      <c r="I20" s="63">
        <f t="shared" si="1"/>
        <v>2292</v>
      </c>
      <c r="J20" s="67">
        <f>+I20/$I$19</f>
        <v>0.26567752405239364</v>
      </c>
      <c r="K20" s="1">
        <v>13</v>
      </c>
    </row>
    <row r="21" spans="1:11">
      <c r="A21" s="5" t="s">
        <v>264</v>
      </c>
      <c r="B21" s="34">
        <v>11256</v>
      </c>
      <c r="C21" s="6" t="s">
        <v>393</v>
      </c>
      <c r="D21" s="6">
        <v>2137</v>
      </c>
      <c r="E21" s="6">
        <v>2381724.92</v>
      </c>
      <c r="F21" s="6">
        <v>227</v>
      </c>
      <c r="G21" s="6">
        <v>161103.67999999999</v>
      </c>
      <c r="H21" s="62">
        <v>117352.2</v>
      </c>
      <c r="I21" s="63">
        <f t="shared" si="1"/>
        <v>2364</v>
      </c>
      <c r="J21" s="67">
        <f t="shared" ref="J21:J24" si="4">+I21/$I$19</f>
        <v>0.27402341486032222</v>
      </c>
      <c r="K21" s="1">
        <v>3</v>
      </c>
    </row>
    <row r="22" spans="1:11">
      <c r="A22" s="5" t="s">
        <v>398</v>
      </c>
      <c r="B22" s="34">
        <v>11203</v>
      </c>
      <c r="C22" s="6" t="s">
        <v>393</v>
      </c>
      <c r="D22" s="6">
        <v>2587</v>
      </c>
      <c r="E22" s="6">
        <v>2440161.41</v>
      </c>
      <c r="F22" s="6">
        <v>214</v>
      </c>
      <c r="G22" s="6">
        <v>266317.26</v>
      </c>
      <c r="H22" s="62">
        <v>97355</v>
      </c>
      <c r="I22" s="63">
        <f t="shared" si="1"/>
        <v>2801</v>
      </c>
      <c r="J22" s="67">
        <f t="shared" si="4"/>
        <v>0.32467833545844443</v>
      </c>
      <c r="K22" s="1">
        <v>5</v>
      </c>
    </row>
    <row r="23" spans="1:11">
      <c r="A23" s="5" t="s">
        <v>403</v>
      </c>
      <c r="B23" s="17">
        <v>10508</v>
      </c>
      <c r="C23" s="6" t="s">
        <v>397</v>
      </c>
      <c r="D23" s="6">
        <v>728</v>
      </c>
      <c r="E23" s="6">
        <v>523670.95</v>
      </c>
      <c r="F23" s="6">
        <v>256</v>
      </c>
      <c r="G23" s="6">
        <v>152363.29</v>
      </c>
      <c r="H23" s="62">
        <v>15782</v>
      </c>
      <c r="I23" s="63">
        <f t="shared" si="1"/>
        <v>984</v>
      </c>
      <c r="J23" s="67">
        <f t="shared" si="4"/>
        <v>0.11406050770835749</v>
      </c>
      <c r="K23" s="1">
        <v>2</v>
      </c>
    </row>
    <row r="24" spans="1:11">
      <c r="A24" s="5" t="s">
        <v>265</v>
      </c>
      <c r="B24" s="17">
        <v>11634</v>
      </c>
      <c r="C24" s="6" t="s">
        <v>395</v>
      </c>
      <c r="D24" s="6">
        <v>186</v>
      </c>
      <c r="E24" s="6">
        <v>128735.83</v>
      </c>
      <c r="F24" s="6"/>
      <c r="G24" s="6"/>
      <c r="H24" s="62">
        <v>3700.7759299999998</v>
      </c>
      <c r="I24" s="63">
        <f t="shared" si="1"/>
        <v>186</v>
      </c>
      <c r="J24" s="67">
        <f t="shared" si="4"/>
        <v>2.1560217920482207E-2</v>
      </c>
      <c r="K24" s="1">
        <v>2</v>
      </c>
    </row>
    <row r="25" spans="1:11" ht="15">
      <c r="A25" s="58" t="s">
        <v>404</v>
      </c>
      <c r="B25" s="69"/>
      <c r="C25" s="59"/>
      <c r="D25" s="59">
        <f>SUM(D26:D28)</f>
        <v>2001</v>
      </c>
      <c r="E25" s="59">
        <f t="shared" ref="E25:G25" si="5">SUM(E26:E28)</f>
        <v>1469761.0499999998</v>
      </c>
      <c r="F25" s="59">
        <f t="shared" si="5"/>
        <v>235</v>
      </c>
      <c r="G25" s="59">
        <f t="shared" si="5"/>
        <v>244770.02000000002</v>
      </c>
      <c r="H25" s="60"/>
      <c r="I25" s="66">
        <f>+SUM(I26:I28)</f>
        <v>2236</v>
      </c>
      <c r="J25" s="61">
        <f>+I25/$I$2</f>
        <v>1.9373229246991343E-2</v>
      </c>
      <c r="K25" s="1"/>
    </row>
    <row r="26" spans="1:11">
      <c r="A26" s="5" t="s">
        <v>266</v>
      </c>
      <c r="B26" s="17" t="s">
        <v>100</v>
      </c>
      <c r="C26" s="6" t="s">
        <v>397</v>
      </c>
      <c r="D26" s="6">
        <v>361</v>
      </c>
      <c r="E26" s="6">
        <v>281148.15000000002</v>
      </c>
      <c r="F26" s="6">
        <v>60</v>
      </c>
      <c r="G26" s="6">
        <v>45107.83</v>
      </c>
      <c r="H26" s="62">
        <v>44</v>
      </c>
      <c r="I26" s="63">
        <f t="shared" si="1"/>
        <v>421</v>
      </c>
      <c r="J26" s="67">
        <f>+I26/$I$25</f>
        <v>0.18828264758497318</v>
      </c>
      <c r="K26" s="1">
        <v>3</v>
      </c>
    </row>
    <row r="27" spans="1:11">
      <c r="A27" s="5" t="s">
        <v>398</v>
      </c>
      <c r="B27" s="17">
        <v>10792</v>
      </c>
      <c r="C27" s="6" t="s">
        <v>393</v>
      </c>
      <c r="D27" s="6">
        <v>1560</v>
      </c>
      <c r="E27" s="6">
        <v>1146827.67</v>
      </c>
      <c r="F27" s="6">
        <v>175</v>
      </c>
      <c r="G27" s="6">
        <v>199662.19</v>
      </c>
      <c r="H27" s="62"/>
      <c r="I27" s="63">
        <f t="shared" si="1"/>
        <v>1735</v>
      </c>
      <c r="J27" s="67">
        <f>+I27/$I$25</f>
        <v>0.7759391771019678</v>
      </c>
      <c r="K27" s="1"/>
    </row>
    <row r="28" spans="1:11">
      <c r="A28" s="5" t="s">
        <v>265</v>
      </c>
      <c r="B28" s="17">
        <v>11801</v>
      </c>
      <c r="C28" s="6" t="s">
        <v>395</v>
      </c>
      <c r="D28" s="6">
        <v>80</v>
      </c>
      <c r="E28" s="6">
        <v>41785.230000000003</v>
      </c>
      <c r="F28" s="6"/>
      <c r="G28" s="6"/>
      <c r="H28" s="62">
        <v>1150.9056499999999</v>
      </c>
      <c r="I28" s="63">
        <f t="shared" si="1"/>
        <v>80</v>
      </c>
      <c r="J28" s="67">
        <f>+I28/$I$25</f>
        <v>3.5778175313059032E-2</v>
      </c>
      <c r="K28" s="1">
        <v>3</v>
      </c>
    </row>
    <row r="29" spans="1:11" ht="15">
      <c r="A29" s="58" t="s">
        <v>405</v>
      </c>
      <c r="B29" s="69"/>
      <c r="C29" s="59"/>
      <c r="D29" s="59">
        <f>SUM(D30:D34)</f>
        <v>4985</v>
      </c>
      <c r="E29" s="59">
        <f t="shared" ref="E29:G29" si="6">SUM(E30:E34)</f>
        <v>3944438.6200000006</v>
      </c>
      <c r="F29" s="59">
        <f t="shared" si="6"/>
        <v>1066</v>
      </c>
      <c r="G29" s="59">
        <f t="shared" si="6"/>
        <v>1114910.69</v>
      </c>
      <c r="H29" s="60"/>
      <c r="I29" s="66">
        <f>+SUM(I30:I34)</f>
        <v>6051</v>
      </c>
      <c r="J29" s="61">
        <f>+I29/$I$2</f>
        <v>5.2427285408561994E-2</v>
      </c>
      <c r="K29" s="1"/>
    </row>
    <row r="30" spans="1:11">
      <c r="A30" s="5" t="s">
        <v>401</v>
      </c>
      <c r="B30" s="17">
        <v>12129</v>
      </c>
      <c r="C30" s="6" t="s">
        <v>397</v>
      </c>
      <c r="D30" s="6">
        <v>517</v>
      </c>
      <c r="E30" s="6">
        <v>415683.35</v>
      </c>
      <c r="F30" s="6">
        <v>136</v>
      </c>
      <c r="G30" s="6">
        <v>138204.10999999999</v>
      </c>
      <c r="H30" s="62">
        <v>18401</v>
      </c>
      <c r="I30" s="63">
        <f t="shared" si="1"/>
        <v>653</v>
      </c>
      <c r="J30" s="67">
        <f>+I30/$I$29</f>
        <v>0.10791604693439101</v>
      </c>
      <c r="K30" s="1">
        <v>2</v>
      </c>
    </row>
    <row r="31" spans="1:11">
      <c r="A31" s="5" t="s">
        <v>267</v>
      </c>
      <c r="B31" s="34">
        <v>12090</v>
      </c>
      <c r="C31" s="6" t="s">
        <v>393</v>
      </c>
      <c r="D31" s="6">
        <v>3579</v>
      </c>
      <c r="E31" s="6">
        <v>2753299.25</v>
      </c>
      <c r="F31" s="6">
        <v>694</v>
      </c>
      <c r="G31" s="6">
        <v>560421.06000000006</v>
      </c>
      <c r="H31" s="62">
        <v>119275</v>
      </c>
      <c r="I31" s="63">
        <f t="shared" si="1"/>
        <v>4273</v>
      </c>
      <c r="J31" s="67">
        <f t="shared" ref="J31:J34" si="7">+I31/$I$29</f>
        <v>0.70616427036853413</v>
      </c>
      <c r="K31" s="1">
        <v>2</v>
      </c>
    </row>
    <row r="32" spans="1:11">
      <c r="A32" s="5" t="s">
        <v>406</v>
      </c>
      <c r="B32" s="17">
        <v>11413</v>
      </c>
      <c r="C32" s="6" t="s">
        <v>397</v>
      </c>
      <c r="D32" s="6">
        <v>389</v>
      </c>
      <c r="E32" s="6">
        <v>259723.04</v>
      </c>
      <c r="F32" s="6">
        <v>84</v>
      </c>
      <c r="G32" s="6">
        <v>118912.12</v>
      </c>
      <c r="H32" s="62">
        <v>17700</v>
      </c>
      <c r="I32" s="63">
        <f t="shared" si="1"/>
        <v>473</v>
      </c>
      <c r="J32" s="67">
        <f t="shared" si="7"/>
        <v>7.8168897702859036E-2</v>
      </c>
      <c r="K32" s="1">
        <v>1</v>
      </c>
    </row>
    <row r="33" spans="1:11">
      <c r="A33" s="5" t="s">
        <v>264</v>
      </c>
      <c r="B33" s="17">
        <v>11183</v>
      </c>
      <c r="C33" s="6" t="s">
        <v>397</v>
      </c>
      <c r="D33" s="6">
        <v>495</v>
      </c>
      <c r="E33" s="6">
        <v>514986.26</v>
      </c>
      <c r="F33" s="6">
        <v>152</v>
      </c>
      <c r="G33" s="6">
        <v>297373.40000000002</v>
      </c>
      <c r="H33" s="62">
        <v>582232</v>
      </c>
      <c r="I33" s="63">
        <f t="shared" si="1"/>
        <v>647</v>
      </c>
      <c r="J33" s="67">
        <f t="shared" si="7"/>
        <v>0.10692447529333994</v>
      </c>
      <c r="K33" s="1">
        <v>3</v>
      </c>
    </row>
    <row r="34" spans="1:11">
      <c r="A34" s="5" t="s">
        <v>265</v>
      </c>
      <c r="B34" s="17">
        <v>11385</v>
      </c>
      <c r="C34" s="6" t="s">
        <v>395</v>
      </c>
      <c r="D34" s="6">
        <v>5</v>
      </c>
      <c r="E34" s="6">
        <v>746.72</v>
      </c>
      <c r="F34" s="6"/>
      <c r="G34" s="6"/>
      <c r="H34" s="62">
        <v>201</v>
      </c>
      <c r="I34" s="63">
        <f t="shared" si="1"/>
        <v>5</v>
      </c>
      <c r="J34" s="67">
        <f t="shared" si="7"/>
        <v>8.2630970087588826E-4</v>
      </c>
      <c r="K34" s="1">
        <v>2</v>
      </c>
    </row>
    <row r="35" spans="1:11" ht="15">
      <c r="A35" s="58" t="s">
        <v>10</v>
      </c>
      <c r="B35" s="69"/>
      <c r="C35" s="59"/>
      <c r="D35" s="59">
        <f>SUM(D36:D42)</f>
        <v>3282</v>
      </c>
      <c r="E35" s="59">
        <f t="shared" ref="E35:G35" si="8">SUM(E36:E42)</f>
        <v>3076490.55</v>
      </c>
      <c r="F35" s="59">
        <f t="shared" si="8"/>
        <v>1737</v>
      </c>
      <c r="G35" s="59">
        <f t="shared" si="8"/>
        <v>3025631.5300000003</v>
      </c>
      <c r="H35" s="60"/>
      <c r="I35" s="66">
        <f>+SUM(I36:I42)</f>
        <v>5019</v>
      </c>
      <c r="J35" s="61">
        <f>+I35/$I$2</f>
        <v>4.3485794986873681E-2</v>
      </c>
      <c r="K35" s="1"/>
    </row>
    <row r="36" spans="1:11">
      <c r="A36" s="5" t="s">
        <v>267</v>
      </c>
      <c r="B36" s="34">
        <v>12091</v>
      </c>
      <c r="C36" s="6" t="s">
        <v>399</v>
      </c>
      <c r="D36" s="6">
        <v>469</v>
      </c>
      <c r="E36" s="6">
        <v>527060.74</v>
      </c>
      <c r="F36" s="6">
        <v>520</v>
      </c>
      <c r="G36" s="6">
        <v>647521.07999999996</v>
      </c>
      <c r="H36" s="62">
        <v>39751.628380000002</v>
      </c>
      <c r="I36" s="63">
        <f t="shared" si="1"/>
        <v>989</v>
      </c>
      <c r="J36" s="67">
        <f>+I36/$I$35</f>
        <v>0.19705120541940627</v>
      </c>
      <c r="K36" s="1">
        <v>2</v>
      </c>
    </row>
    <row r="37" spans="1:11">
      <c r="A37" s="5" t="s">
        <v>270</v>
      </c>
      <c r="B37" s="17" t="s">
        <v>59</v>
      </c>
      <c r="C37" s="6" t="s">
        <v>399</v>
      </c>
      <c r="D37" s="6">
        <v>513</v>
      </c>
      <c r="E37" s="6">
        <v>521922.83</v>
      </c>
      <c r="F37" s="6">
        <v>330</v>
      </c>
      <c r="G37" s="6">
        <v>704457.84</v>
      </c>
      <c r="H37" s="62">
        <v>34134</v>
      </c>
      <c r="I37" s="63">
        <f t="shared" si="1"/>
        <v>843</v>
      </c>
      <c r="J37" s="67">
        <f t="shared" ref="J37:J42" si="9">+I37/$I$35</f>
        <v>0.16796174536760311</v>
      </c>
      <c r="K37" s="1">
        <v>3</v>
      </c>
    </row>
    <row r="38" spans="1:11">
      <c r="A38" s="5" t="s">
        <v>263</v>
      </c>
      <c r="B38" s="17" t="s">
        <v>57</v>
      </c>
      <c r="C38" s="6" t="s">
        <v>393</v>
      </c>
      <c r="D38" s="6">
        <v>974</v>
      </c>
      <c r="E38" s="6">
        <v>653061.97</v>
      </c>
      <c r="F38" s="6">
        <v>236</v>
      </c>
      <c r="G38" s="6">
        <v>310291.43</v>
      </c>
      <c r="H38" s="62"/>
      <c r="I38" s="63">
        <f t="shared" si="1"/>
        <v>1210</v>
      </c>
      <c r="J38" s="67">
        <f t="shared" si="9"/>
        <v>0.24108388125124527</v>
      </c>
      <c r="K38" s="1">
        <v>5</v>
      </c>
    </row>
    <row r="39" spans="1:11">
      <c r="A39" s="5" t="s">
        <v>402</v>
      </c>
      <c r="B39" s="34">
        <v>11291</v>
      </c>
      <c r="C39" s="6" t="s">
        <v>393</v>
      </c>
      <c r="D39" s="6">
        <v>643</v>
      </c>
      <c r="E39" s="6">
        <v>649258.66</v>
      </c>
      <c r="F39" s="6">
        <v>529</v>
      </c>
      <c r="G39" s="6">
        <v>1216217.6100000001</v>
      </c>
      <c r="H39" s="62"/>
      <c r="I39" s="63">
        <f t="shared" si="1"/>
        <v>1172</v>
      </c>
      <c r="J39" s="67">
        <f t="shared" si="9"/>
        <v>0.23351265192269377</v>
      </c>
      <c r="K39" s="1">
        <v>5</v>
      </c>
    </row>
    <row r="40" spans="1:11">
      <c r="A40" s="5" t="s">
        <v>264</v>
      </c>
      <c r="B40" s="17">
        <v>12242</v>
      </c>
      <c r="C40" s="6" t="s">
        <v>395</v>
      </c>
      <c r="D40" s="6">
        <v>37</v>
      </c>
      <c r="E40" s="6">
        <v>61075.09</v>
      </c>
      <c r="F40" s="6">
        <v>7</v>
      </c>
      <c r="G40" s="6">
        <v>5965.87</v>
      </c>
      <c r="H40" s="62"/>
      <c r="I40" s="63">
        <f t="shared" si="1"/>
        <v>44</v>
      </c>
      <c r="J40" s="67">
        <f t="shared" si="9"/>
        <v>8.7666865909543732E-3</v>
      </c>
      <c r="K40" s="1"/>
    </row>
    <row r="41" spans="1:11">
      <c r="A41" s="5" t="s">
        <v>265</v>
      </c>
      <c r="B41" s="34">
        <v>11579</v>
      </c>
      <c r="C41" s="6" t="s">
        <v>395</v>
      </c>
      <c r="D41" s="6">
        <v>36</v>
      </c>
      <c r="E41" s="6">
        <v>23707.75</v>
      </c>
      <c r="F41" s="6"/>
      <c r="G41" s="6"/>
      <c r="H41" s="62">
        <v>649.14414999999997</v>
      </c>
      <c r="I41" s="63">
        <f t="shared" si="1"/>
        <v>36</v>
      </c>
      <c r="J41" s="67">
        <f t="shared" si="9"/>
        <v>7.1727435744172148E-3</v>
      </c>
      <c r="K41" s="1">
        <v>3</v>
      </c>
    </row>
    <row r="42" spans="1:11">
      <c r="A42" s="5" t="s">
        <v>269</v>
      </c>
      <c r="B42" s="34">
        <v>11853</v>
      </c>
      <c r="C42" s="6" t="s">
        <v>399</v>
      </c>
      <c r="D42" s="6">
        <v>610</v>
      </c>
      <c r="E42" s="6">
        <v>640403.51</v>
      </c>
      <c r="F42" s="6">
        <v>115</v>
      </c>
      <c r="G42" s="6">
        <v>141177.70000000001</v>
      </c>
      <c r="H42" s="62">
        <v>292979</v>
      </c>
      <c r="I42" s="63">
        <f t="shared" si="1"/>
        <v>725</v>
      </c>
      <c r="J42" s="67">
        <f t="shared" si="9"/>
        <v>0.14445108587368002</v>
      </c>
      <c r="K42" s="1">
        <v>5</v>
      </c>
    </row>
    <row r="43" spans="1:11" ht="15">
      <c r="A43" s="58" t="s">
        <v>407</v>
      </c>
      <c r="B43" s="69"/>
      <c r="C43" s="59"/>
      <c r="D43" s="59">
        <f>SUM(D44:D47)</f>
        <v>5971</v>
      </c>
      <c r="E43" s="59">
        <f t="shared" ref="E43:G43" si="10">SUM(E44:E47)</f>
        <v>4223891.43</v>
      </c>
      <c r="F43" s="59">
        <f t="shared" si="10"/>
        <v>1854</v>
      </c>
      <c r="G43" s="59">
        <f t="shared" si="10"/>
        <v>1936465.42</v>
      </c>
      <c r="H43" s="60"/>
      <c r="I43" s="66">
        <f>+SUM(I44:I47)</f>
        <v>7825</v>
      </c>
      <c r="J43" s="61">
        <f>+I43/$I$2</f>
        <v>6.7797638129564963E-2</v>
      </c>
      <c r="K43" s="1"/>
    </row>
    <row r="44" spans="1:11">
      <c r="A44" s="5" t="s">
        <v>270</v>
      </c>
      <c r="B44" s="17" t="s">
        <v>13</v>
      </c>
      <c r="C44" s="6" t="s">
        <v>393</v>
      </c>
      <c r="D44" s="6">
        <v>5049</v>
      </c>
      <c r="E44" s="6">
        <v>3458457.65</v>
      </c>
      <c r="F44" s="6">
        <v>1612</v>
      </c>
      <c r="G44" s="6">
        <v>1643337.04</v>
      </c>
      <c r="H44" s="62">
        <v>187678.05</v>
      </c>
      <c r="I44" s="63">
        <f t="shared" si="1"/>
        <v>6661</v>
      </c>
      <c r="J44" s="67">
        <f>+I44/$I$43</f>
        <v>0.85124600638977632</v>
      </c>
      <c r="K44" s="1">
        <v>3</v>
      </c>
    </row>
    <row r="45" spans="1:11">
      <c r="A45" s="5" t="s">
        <v>267</v>
      </c>
      <c r="B45" s="17">
        <v>12097</v>
      </c>
      <c r="C45" s="6" t="s">
        <v>397</v>
      </c>
      <c r="D45" s="6">
        <v>324</v>
      </c>
      <c r="E45" s="6">
        <v>224087.96</v>
      </c>
      <c r="F45" s="6">
        <v>52</v>
      </c>
      <c r="G45" s="6">
        <v>21908.28</v>
      </c>
      <c r="H45" s="62">
        <v>10115</v>
      </c>
      <c r="I45" s="63">
        <f t="shared" si="1"/>
        <v>376</v>
      </c>
      <c r="J45" s="67">
        <f t="shared" ref="J45:J47" si="11">+I45/$I$43</f>
        <v>4.8051118210862623E-2</v>
      </c>
      <c r="K45" s="1">
        <v>2</v>
      </c>
    </row>
    <row r="46" spans="1:11">
      <c r="A46" s="5" t="s">
        <v>398</v>
      </c>
      <c r="B46" s="17">
        <v>11202</v>
      </c>
      <c r="C46" s="6" t="s">
        <v>399</v>
      </c>
      <c r="D46" s="6">
        <v>595</v>
      </c>
      <c r="E46" s="6">
        <v>540640.27</v>
      </c>
      <c r="F46" s="6">
        <v>190</v>
      </c>
      <c r="G46" s="6">
        <v>271220.09999999998</v>
      </c>
      <c r="H46" s="62">
        <v>21168</v>
      </c>
      <c r="I46" s="63">
        <f t="shared" si="1"/>
        <v>785</v>
      </c>
      <c r="J46" s="67">
        <f t="shared" si="11"/>
        <v>0.10031948881789138</v>
      </c>
      <c r="K46" s="1">
        <v>3</v>
      </c>
    </row>
    <row r="47" spans="1:11">
      <c r="A47" s="5" t="s">
        <v>265</v>
      </c>
      <c r="B47" s="17">
        <v>11490</v>
      </c>
      <c r="C47" s="6" t="s">
        <v>395</v>
      </c>
      <c r="D47" s="6">
        <v>3</v>
      </c>
      <c r="E47" s="6">
        <v>705.55</v>
      </c>
      <c r="F47" s="6"/>
      <c r="G47" s="6"/>
      <c r="H47" s="62">
        <v>199</v>
      </c>
      <c r="I47" s="63">
        <f t="shared" si="1"/>
        <v>3</v>
      </c>
      <c r="J47" s="67">
        <f t="shared" si="11"/>
        <v>3.8338658146964857E-4</v>
      </c>
      <c r="K47" s="1">
        <v>2</v>
      </c>
    </row>
    <row r="48" spans="1:11" ht="15">
      <c r="A48" s="58" t="s">
        <v>408</v>
      </c>
      <c r="B48" s="69"/>
      <c r="C48" s="59"/>
      <c r="D48" s="59">
        <f>SUM(D49:D50)</f>
        <v>1560</v>
      </c>
      <c r="E48" s="59">
        <f>SUM(E49:E50)</f>
        <v>1207285.75</v>
      </c>
      <c r="F48" s="59">
        <f>SUM(F49:F50)</f>
        <v>133</v>
      </c>
      <c r="G48" s="59">
        <f>SUM(G49:G50)</f>
        <v>105691.95</v>
      </c>
      <c r="H48" s="60"/>
      <c r="I48" s="66">
        <f>+SUM(I49:I50)</f>
        <v>1693</v>
      </c>
      <c r="J48" s="61">
        <f>+I48/$I$2</f>
        <v>1.4668549693719297E-2</v>
      </c>
      <c r="K48" s="1"/>
    </row>
    <row r="49" spans="1:11">
      <c r="A49" s="5" t="s">
        <v>266</v>
      </c>
      <c r="B49" s="17" t="s">
        <v>32</v>
      </c>
      <c r="C49" s="6" t="s">
        <v>393</v>
      </c>
      <c r="D49" s="6">
        <v>1359</v>
      </c>
      <c r="E49" s="6">
        <v>1082272.18</v>
      </c>
      <c r="F49" s="6">
        <v>127</v>
      </c>
      <c r="G49" s="6">
        <v>101579.66</v>
      </c>
      <c r="H49" s="62">
        <v>3268</v>
      </c>
      <c r="I49" s="63">
        <f t="shared" si="1"/>
        <v>1486</v>
      </c>
      <c r="J49" s="67">
        <f>+I49/$I$48</f>
        <v>0.87773183697578261</v>
      </c>
      <c r="K49" s="1">
        <v>3</v>
      </c>
    </row>
    <row r="50" spans="1:11">
      <c r="A50" s="5" t="s">
        <v>265</v>
      </c>
      <c r="B50" s="17">
        <v>10116</v>
      </c>
      <c r="C50" s="6" t="s">
        <v>395</v>
      </c>
      <c r="D50" s="6">
        <v>201</v>
      </c>
      <c r="E50" s="6">
        <v>125013.57</v>
      </c>
      <c r="F50" s="6">
        <v>6</v>
      </c>
      <c r="G50" s="6">
        <v>4112.29</v>
      </c>
      <c r="H50" s="62"/>
      <c r="I50" s="63">
        <f t="shared" si="1"/>
        <v>207</v>
      </c>
      <c r="J50" s="67">
        <f>+I50/$I$48</f>
        <v>0.12226816302421736</v>
      </c>
      <c r="K50" s="1"/>
    </row>
    <row r="51" spans="1:11" ht="15">
      <c r="A51" s="58" t="s">
        <v>409</v>
      </c>
      <c r="B51" s="69"/>
      <c r="C51" s="59"/>
      <c r="D51" s="59">
        <f>SUM(D52:D61)</f>
        <v>8585</v>
      </c>
      <c r="E51" s="59">
        <f>SUM(E52:E61)</f>
        <v>6285127.6600000001</v>
      </c>
      <c r="F51" s="59">
        <f>SUM(F52:F61)</f>
        <v>1163</v>
      </c>
      <c r="G51" s="59">
        <f>SUM(G52:G61)</f>
        <v>1188138.43</v>
      </c>
      <c r="H51" s="60"/>
      <c r="I51" s="66">
        <f>+SUM(I52:I61)</f>
        <v>9748</v>
      </c>
      <c r="J51" s="61">
        <f>+I51/$I$2</f>
        <v>8.4458961851373721E-2</v>
      </c>
      <c r="K51" s="1"/>
    </row>
    <row r="52" spans="1:11">
      <c r="A52" s="5" t="s">
        <v>266</v>
      </c>
      <c r="B52" s="17" t="s">
        <v>51</v>
      </c>
      <c r="C52" s="6" t="s">
        <v>395</v>
      </c>
      <c r="D52" s="6">
        <v>223</v>
      </c>
      <c r="E52" s="6">
        <v>188374.56</v>
      </c>
      <c r="F52" s="6">
        <v>34</v>
      </c>
      <c r="G52" s="6">
        <v>27796.91</v>
      </c>
      <c r="H52" s="62">
        <v>10777</v>
      </c>
      <c r="I52" s="63">
        <f t="shared" si="1"/>
        <v>257</v>
      </c>
      <c r="J52" s="67">
        <f>+I52/$I$51</f>
        <v>2.6364382437423062E-2</v>
      </c>
      <c r="K52" s="1">
        <v>3</v>
      </c>
    </row>
    <row r="53" spans="1:11">
      <c r="A53" s="5" t="s">
        <v>401</v>
      </c>
      <c r="B53" s="17">
        <v>10818</v>
      </c>
      <c r="C53" s="6" t="s">
        <v>399</v>
      </c>
      <c r="D53" s="6">
        <v>1509</v>
      </c>
      <c r="E53" s="6">
        <v>1130041.32</v>
      </c>
      <c r="F53" s="6">
        <v>174</v>
      </c>
      <c r="G53" s="6">
        <v>147435.82999999999</v>
      </c>
      <c r="H53" s="62">
        <v>10735</v>
      </c>
      <c r="I53" s="63">
        <f t="shared" si="1"/>
        <v>1683</v>
      </c>
      <c r="J53" s="67">
        <f t="shared" ref="J53:J61" si="12">+I53/$I$51</f>
        <v>0.17265080016413623</v>
      </c>
      <c r="K53" s="1">
        <v>5</v>
      </c>
    </row>
    <row r="54" spans="1:11">
      <c r="A54" s="5" t="s">
        <v>271</v>
      </c>
      <c r="B54" s="17">
        <v>12008</v>
      </c>
      <c r="C54" s="6" t="s">
        <v>395</v>
      </c>
      <c r="D54" s="6">
        <v>232</v>
      </c>
      <c r="E54" s="6">
        <v>258405.77</v>
      </c>
      <c r="F54" s="6">
        <v>56</v>
      </c>
      <c r="G54" s="6">
        <v>83646.95</v>
      </c>
      <c r="H54" s="62">
        <v>12800</v>
      </c>
      <c r="I54" s="63">
        <f t="shared" si="1"/>
        <v>288</v>
      </c>
      <c r="J54" s="67">
        <f t="shared" si="12"/>
        <v>2.9544521953221173E-2</v>
      </c>
      <c r="K54" s="1">
        <v>1</v>
      </c>
    </row>
    <row r="55" spans="1:11">
      <c r="A55" s="5" t="s">
        <v>406</v>
      </c>
      <c r="B55" s="17">
        <v>11786</v>
      </c>
      <c r="C55" s="6" t="s">
        <v>395</v>
      </c>
      <c r="D55" s="6">
        <v>242</v>
      </c>
      <c r="E55" s="6">
        <v>211974.46</v>
      </c>
      <c r="F55" s="6">
        <v>16</v>
      </c>
      <c r="G55" s="6">
        <v>4186.8100000000004</v>
      </c>
      <c r="H55" s="62">
        <v>8400</v>
      </c>
      <c r="I55" s="63">
        <f t="shared" si="1"/>
        <v>258</v>
      </c>
      <c r="J55" s="67">
        <f t="shared" si="12"/>
        <v>2.6466967583093966E-2</v>
      </c>
      <c r="K55" s="1">
        <v>1</v>
      </c>
    </row>
    <row r="56" spans="1:11">
      <c r="A56" s="5" t="s">
        <v>264</v>
      </c>
      <c r="B56" s="17">
        <v>11253</v>
      </c>
      <c r="C56" s="6" t="s">
        <v>393</v>
      </c>
      <c r="D56" s="6">
        <v>1748</v>
      </c>
      <c r="E56" s="6">
        <v>1059912.06</v>
      </c>
      <c r="F56" s="6">
        <v>417</v>
      </c>
      <c r="G56" s="6">
        <v>520356.22</v>
      </c>
      <c r="H56" s="62">
        <v>50493.7</v>
      </c>
      <c r="I56" s="63">
        <f t="shared" si="1"/>
        <v>2165</v>
      </c>
      <c r="J56" s="67">
        <f t="shared" si="12"/>
        <v>0.22209684037751334</v>
      </c>
      <c r="K56" s="1">
        <v>4</v>
      </c>
    </row>
    <row r="57" spans="1:11">
      <c r="A57" s="5" t="s">
        <v>263</v>
      </c>
      <c r="B57" s="17" t="s">
        <v>378</v>
      </c>
      <c r="C57" s="6" t="s">
        <v>393</v>
      </c>
      <c r="D57" s="6">
        <v>3011</v>
      </c>
      <c r="E57" s="6">
        <v>2136102.7599999998</v>
      </c>
      <c r="F57" s="6">
        <v>144</v>
      </c>
      <c r="G57" s="6">
        <v>168249.66</v>
      </c>
      <c r="H57" s="62"/>
      <c r="I57" s="63">
        <f t="shared" si="1"/>
        <v>3155</v>
      </c>
      <c r="J57" s="67">
        <f t="shared" si="12"/>
        <v>0.32365613459171111</v>
      </c>
      <c r="K57" s="1">
        <v>0</v>
      </c>
    </row>
    <row r="58" spans="1:11">
      <c r="A58" s="5" t="s">
        <v>398</v>
      </c>
      <c r="B58" s="17">
        <v>11198</v>
      </c>
      <c r="C58" s="6" t="s">
        <v>397</v>
      </c>
      <c r="D58" s="6">
        <v>445</v>
      </c>
      <c r="E58" s="6">
        <v>332982.53999999998</v>
      </c>
      <c r="F58" s="6">
        <v>80</v>
      </c>
      <c r="G58" s="6">
        <v>66677.36</v>
      </c>
      <c r="H58" s="62">
        <v>18115</v>
      </c>
      <c r="I58" s="63">
        <f t="shared" si="1"/>
        <v>525</v>
      </c>
      <c r="J58" s="67">
        <f t="shared" si="12"/>
        <v>5.3857201477226099E-2</v>
      </c>
      <c r="K58" s="1">
        <v>4</v>
      </c>
    </row>
    <row r="59" spans="1:11">
      <c r="A59" s="5" t="s">
        <v>403</v>
      </c>
      <c r="B59" s="17">
        <v>10729</v>
      </c>
      <c r="C59" s="6" t="s">
        <v>397</v>
      </c>
      <c r="D59" s="6">
        <v>388</v>
      </c>
      <c r="E59" s="6">
        <v>259941.76000000001</v>
      </c>
      <c r="F59" s="6">
        <v>25</v>
      </c>
      <c r="G59" s="6">
        <v>11252.91</v>
      </c>
      <c r="H59" s="62">
        <v>7782.5550000000003</v>
      </c>
      <c r="I59" s="63">
        <f t="shared" si="1"/>
        <v>413</v>
      </c>
      <c r="J59" s="67">
        <f t="shared" si="12"/>
        <v>4.2367665162084532E-2</v>
      </c>
      <c r="K59" s="1">
        <v>2</v>
      </c>
    </row>
    <row r="60" spans="1:11">
      <c r="A60" s="5" t="s">
        <v>265</v>
      </c>
      <c r="B60" s="17">
        <v>11799</v>
      </c>
      <c r="C60" s="6" t="s">
        <v>395</v>
      </c>
      <c r="D60" s="6">
        <v>67</v>
      </c>
      <c r="E60" s="6">
        <v>61282.36</v>
      </c>
      <c r="F60" s="6"/>
      <c r="G60" s="6"/>
      <c r="H60" s="62">
        <v>1650.7023799999999</v>
      </c>
      <c r="I60" s="63">
        <f t="shared" si="1"/>
        <v>67</v>
      </c>
      <c r="J60" s="67">
        <f t="shared" si="12"/>
        <v>6.8732047599507594E-3</v>
      </c>
      <c r="K60" s="1">
        <v>3</v>
      </c>
    </row>
    <row r="61" spans="1:11">
      <c r="A61" s="5" t="s">
        <v>400</v>
      </c>
      <c r="B61" s="17">
        <v>11448</v>
      </c>
      <c r="C61" s="6" t="s">
        <v>397</v>
      </c>
      <c r="D61" s="6">
        <v>720</v>
      </c>
      <c r="E61" s="6">
        <v>646110.06999999995</v>
      </c>
      <c r="F61" s="6">
        <v>217</v>
      </c>
      <c r="G61" s="6">
        <v>158535.78</v>
      </c>
      <c r="H61" s="62">
        <v>49116.459159999999</v>
      </c>
      <c r="I61" s="63">
        <f t="shared" si="1"/>
        <v>937</v>
      </c>
      <c r="J61" s="67">
        <f t="shared" si="12"/>
        <v>9.6122281493639716E-2</v>
      </c>
      <c r="K61" s="1">
        <v>2</v>
      </c>
    </row>
    <row r="62" spans="1:11" ht="15">
      <c r="A62" s="58" t="s">
        <v>410</v>
      </c>
      <c r="B62" s="69"/>
      <c r="C62" s="59"/>
      <c r="D62" s="59">
        <f>SUM(D63:D65)</f>
        <v>5825</v>
      </c>
      <c r="E62" s="59">
        <f t="shared" ref="E62:G62" si="13">SUM(E63:E65)</f>
        <v>4014673.96</v>
      </c>
      <c r="F62" s="59">
        <f t="shared" si="13"/>
        <v>225</v>
      </c>
      <c r="G62" s="59">
        <f t="shared" si="13"/>
        <v>205421.15999999997</v>
      </c>
      <c r="H62" s="60"/>
      <c r="I62" s="66">
        <f>+SUM(I63:I65)</f>
        <v>6050</v>
      </c>
      <c r="J62" s="61">
        <f>+I62/$I$2</f>
        <v>5.2418621173657261E-2</v>
      </c>
      <c r="K62" s="1"/>
    </row>
    <row r="63" spans="1:11">
      <c r="A63" s="5" t="s">
        <v>266</v>
      </c>
      <c r="B63" s="17" t="s">
        <v>102</v>
      </c>
      <c r="C63" s="6" t="s">
        <v>393</v>
      </c>
      <c r="D63" s="6">
        <v>2624</v>
      </c>
      <c r="E63" s="6">
        <v>1988643.54</v>
      </c>
      <c r="F63" s="6">
        <v>125</v>
      </c>
      <c r="G63" s="6">
        <v>108027.9</v>
      </c>
      <c r="H63" s="62"/>
      <c r="I63" s="63">
        <f t="shared" si="1"/>
        <v>2749</v>
      </c>
      <c r="J63" s="67">
        <f>+I63/$I$62</f>
        <v>0.45438016528925618</v>
      </c>
      <c r="K63" s="1">
        <v>3</v>
      </c>
    </row>
    <row r="64" spans="1:11">
      <c r="A64" s="5" t="s">
        <v>406</v>
      </c>
      <c r="B64" s="17">
        <v>11388</v>
      </c>
      <c r="C64" s="6" t="s">
        <v>393</v>
      </c>
      <c r="D64" s="6">
        <v>2852</v>
      </c>
      <c r="E64" s="6">
        <v>1845481.13</v>
      </c>
      <c r="F64" s="6">
        <v>100</v>
      </c>
      <c r="G64" s="6">
        <v>97393.26</v>
      </c>
      <c r="H64" s="62">
        <v>4882.60995</v>
      </c>
      <c r="I64" s="63">
        <f t="shared" si="1"/>
        <v>2952</v>
      </c>
      <c r="J64" s="67">
        <f t="shared" ref="J64:J65" si="14">+I64/$I$62</f>
        <v>0.48793388429752066</v>
      </c>
      <c r="K64" s="1">
        <v>3</v>
      </c>
    </row>
    <row r="65" spans="1:11">
      <c r="A65" s="5" t="s">
        <v>265</v>
      </c>
      <c r="B65" s="17">
        <v>11412</v>
      </c>
      <c r="C65" s="6" t="s">
        <v>395</v>
      </c>
      <c r="D65" s="6">
        <v>349</v>
      </c>
      <c r="E65" s="6">
        <v>180549.29</v>
      </c>
      <c r="F65" s="6"/>
      <c r="G65" s="6"/>
      <c r="H65" s="62">
        <v>86600</v>
      </c>
      <c r="I65" s="63">
        <f t="shared" si="1"/>
        <v>349</v>
      </c>
      <c r="J65" s="67">
        <f t="shared" si="14"/>
        <v>5.7685950413223143E-2</v>
      </c>
      <c r="K65" s="1">
        <v>1</v>
      </c>
    </row>
    <row r="66" spans="1:11" ht="15">
      <c r="A66" s="58" t="s">
        <v>411</v>
      </c>
      <c r="B66" s="69"/>
      <c r="C66" s="59"/>
      <c r="D66" s="59">
        <f>SUM(D67:D74)</f>
        <v>7193</v>
      </c>
      <c r="E66" s="59">
        <f>SUM(E67:E74)</f>
        <v>5394702.0800000001</v>
      </c>
      <c r="F66" s="59">
        <f>SUM(F67:F74)</f>
        <v>2834</v>
      </c>
      <c r="G66" s="59">
        <f>SUM(G67:G74)</f>
        <v>2527265.5499999998</v>
      </c>
      <c r="H66" s="60"/>
      <c r="I66" s="66">
        <f>+SUM(I67:I74)</f>
        <v>10027</v>
      </c>
      <c r="J66" s="61">
        <f>+I66/$I$2</f>
        <v>8.6876283389795264E-2</v>
      </c>
      <c r="K66" s="1"/>
    </row>
    <row r="67" spans="1:11">
      <c r="A67" s="5" t="s">
        <v>396</v>
      </c>
      <c r="B67" s="17">
        <v>11462</v>
      </c>
      <c r="C67" s="6" t="s">
        <v>395</v>
      </c>
      <c r="D67" s="6">
        <v>48</v>
      </c>
      <c r="E67" s="6">
        <v>21151.24</v>
      </c>
      <c r="F67" s="6">
        <v>27</v>
      </c>
      <c r="G67" s="6">
        <v>55322.44</v>
      </c>
      <c r="H67" s="62"/>
      <c r="I67" s="63">
        <f t="shared" si="1"/>
        <v>75</v>
      </c>
      <c r="J67" s="67">
        <f t="shared" ref="J67:J74" si="15">+I67/$I$66</f>
        <v>7.4798045277750073E-3</v>
      </c>
      <c r="K67" s="1"/>
    </row>
    <row r="68" spans="1:11">
      <c r="A68" s="5" t="s">
        <v>263</v>
      </c>
      <c r="B68" s="34" t="s">
        <v>116</v>
      </c>
      <c r="C68" s="6" t="s">
        <v>393</v>
      </c>
      <c r="D68" s="6">
        <v>3223</v>
      </c>
      <c r="E68" s="6">
        <v>2074853.29</v>
      </c>
      <c r="F68" s="6">
        <v>1325</v>
      </c>
      <c r="G68" s="6">
        <v>1206709.8500000001</v>
      </c>
      <c r="H68" s="62">
        <v>104352</v>
      </c>
      <c r="I68" s="63">
        <f t="shared" ref="I68:I123" si="16">+D68+F68</f>
        <v>4548</v>
      </c>
      <c r="J68" s="67">
        <f t="shared" si="15"/>
        <v>0.45357534656427645</v>
      </c>
      <c r="K68" s="1">
        <v>20</v>
      </c>
    </row>
    <row r="69" spans="1:11">
      <c r="A69" s="5" t="s">
        <v>264</v>
      </c>
      <c r="B69" s="34">
        <v>12174</v>
      </c>
      <c r="C69" s="6" t="s">
        <v>395</v>
      </c>
      <c r="D69" s="6">
        <v>269</v>
      </c>
      <c r="E69" s="6">
        <v>244226.31</v>
      </c>
      <c r="F69" s="6">
        <v>80</v>
      </c>
      <c r="G69" s="6">
        <v>103520</v>
      </c>
      <c r="H69" s="62">
        <v>10640.766</v>
      </c>
      <c r="I69" s="63">
        <f t="shared" si="16"/>
        <v>349</v>
      </c>
      <c r="J69" s="67">
        <f t="shared" si="15"/>
        <v>3.4806023735913037E-2</v>
      </c>
      <c r="K69" s="1">
        <v>4</v>
      </c>
    </row>
    <row r="70" spans="1:11">
      <c r="A70" s="5" t="s">
        <v>264</v>
      </c>
      <c r="B70" s="34">
        <v>12190</v>
      </c>
      <c r="C70" s="6" t="s">
        <v>395</v>
      </c>
      <c r="D70" s="6">
        <v>197</v>
      </c>
      <c r="E70" s="6">
        <v>270573.71000000002</v>
      </c>
      <c r="F70" s="6">
        <v>128</v>
      </c>
      <c r="G70" s="6">
        <v>178396.16</v>
      </c>
      <c r="H70" s="62">
        <v>11601</v>
      </c>
      <c r="I70" s="63">
        <f t="shared" si="16"/>
        <v>325</v>
      </c>
      <c r="J70" s="67">
        <f t="shared" si="15"/>
        <v>3.2412486287025033E-2</v>
      </c>
      <c r="K70" s="1">
        <v>7</v>
      </c>
    </row>
    <row r="71" spans="1:11">
      <c r="A71" s="5" t="s">
        <v>264</v>
      </c>
      <c r="B71" s="34">
        <v>11142</v>
      </c>
      <c r="C71" s="6" t="s">
        <v>395</v>
      </c>
      <c r="D71" s="6">
        <v>249</v>
      </c>
      <c r="E71" s="6">
        <v>242552.18</v>
      </c>
      <c r="F71" s="6">
        <v>108</v>
      </c>
      <c r="G71" s="6">
        <v>73566.53</v>
      </c>
      <c r="H71" s="62">
        <v>10998.6</v>
      </c>
      <c r="I71" s="63">
        <f t="shared" si="16"/>
        <v>357</v>
      </c>
      <c r="J71" s="67">
        <f t="shared" si="15"/>
        <v>3.5603869552209039E-2</v>
      </c>
      <c r="K71" s="1">
        <v>1</v>
      </c>
    </row>
    <row r="72" spans="1:11">
      <c r="A72" s="5" t="s">
        <v>398</v>
      </c>
      <c r="B72" s="17">
        <v>11200</v>
      </c>
      <c r="C72" s="6" t="s">
        <v>399</v>
      </c>
      <c r="D72" s="6">
        <v>1755</v>
      </c>
      <c r="E72" s="6">
        <v>1100801.3700000001</v>
      </c>
      <c r="F72" s="6">
        <v>574</v>
      </c>
      <c r="G72" s="6">
        <v>423751.35</v>
      </c>
      <c r="H72" s="62">
        <v>68598</v>
      </c>
      <c r="I72" s="63">
        <f t="shared" si="16"/>
        <v>2329</v>
      </c>
      <c r="J72" s="67">
        <f t="shared" si="15"/>
        <v>0.23227286326917324</v>
      </c>
      <c r="K72" s="1">
        <v>3</v>
      </c>
    </row>
    <row r="73" spans="1:11">
      <c r="A73" s="5" t="s">
        <v>265</v>
      </c>
      <c r="B73" s="17">
        <v>11582</v>
      </c>
      <c r="C73" s="6" t="s">
        <v>395</v>
      </c>
      <c r="D73" s="6">
        <v>36</v>
      </c>
      <c r="E73" s="6">
        <v>14639.17</v>
      </c>
      <c r="F73" s="6"/>
      <c r="G73" s="6"/>
      <c r="H73" s="62">
        <v>402.50358</v>
      </c>
      <c r="I73" s="63">
        <f t="shared" si="16"/>
        <v>36</v>
      </c>
      <c r="J73" s="67">
        <f t="shared" si="15"/>
        <v>3.5903061733320034E-3</v>
      </c>
      <c r="K73" s="1">
        <v>2</v>
      </c>
    </row>
    <row r="74" spans="1:11">
      <c r="A74" s="5" t="s">
        <v>400</v>
      </c>
      <c r="B74" s="17">
        <v>11445</v>
      </c>
      <c r="C74" s="6" t="s">
        <v>399</v>
      </c>
      <c r="D74" s="6">
        <v>1416</v>
      </c>
      <c r="E74" s="6">
        <v>1425904.81</v>
      </c>
      <c r="F74" s="6">
        <v>592</v>
      </c>
      <c r="G74" s="6">
        <v>485999.22</v>
      </c>
      <c r="H74" s="62">
        <v>98581.89</v>
      </c>
      <c r="I74" s="63">
        <f t="shared" si="16"/>
        <v>2008</v>
      </c>
      <c r="J74" s="67">
        <f t="shared" si="15"/>
        <v>0.2002592998902962</v>
      </c>
      <c r="K74" s="1">
        <v>3</v>
      </c>
    </row>
    <row r="75" spans="1:11" ht="15">
      <c r="A75" s="58" t="s">
        <v>412</v>
      </c>
      <c r="B75" s="69"/>
      <c r="C75" s="59"/>
      <c r="D75" s="59">
        <f>SUM(D76:D79)</f>
        <v>1663</v>
      </c>
      <c r="E75" s="59">
        <f t="shared" ref="E75:G75" si="17">SUM(E76:E79)</f>
        <v>1077423.8899999999</v>
      </c>
      <c r="F75" s="59">
        <f t="shared" si="17"/>
        <v>385</v>
      </c>
      <c r="G75" s="59">
        <f t="shared" si="17"/>
        <v>384971.5</v>
      </c>
      <c r="H75" s="60"/>
      <c r="I75" s="66">
        <f>+SUM(I76:I79)</f>
        <v>2048</v>
      </c>
      <c r="J75" s="61">
        <f>+I75/$I$2</f>
        <v>1.7744353084900837E-2</v>
      </c>
      <c r="K75" s="1"/>
    </row>
    <row r="76" spans="1:11">
      <c r="A76" s="5" t="s">
        <v>266</v>
      </c>
      <c r="B76" s="17" t="s">
        <v>104</v>
      </c>
      <c r="C76" s="6" t="s">
        <v>395</v>
      </c>
      <c r="D76" s="6">
        <v>84</v>
      </c>
      <c r="E76" s="6">
        <v>101186.59</v>
      </c>
      <c r="F76" s="6">
        <v>13</v>
      </c>
      <c r="G76" s="6">
        <v>1827.84</v>
      </c>
      <c r="H76" s="62">
        <v>9987</v>
      </c>
      <c r="I76" s="63">
        <f t="shared" si="16"/>
        <v>97</v>
      </c>
      <c r="J76" s="67">
        <f>+I76/$I$75</f>
        <v>4.736328125E-2</v>
      </c>
      <c r="K76" s="1">
        <v>3</v>
      </c>
    </row>
    <row r="77" spans="1:11">
      <c r="A77" s="5" t="s">
        <v>263</v>
      </c>
      <c r="B77" s="17" t="s">
        <v>24</v>
      </c>
      <c r="C77" s="6" t="s">
        <v>393</v>
      </c>
      <c r="D77" s="6">
        <v>1194</v>
      </c>
      <c r="E77" s="6">
        <v>718879.76</v>
      </c>
      <c r="F77" s="6">
        <v>305</v>
      </c>
      <c r="G77" s="6">
        <v>246461.16</v>
      </c>
      <c r="H77" s="62">
        <v>30950.544000000002</v>
      </c>
      <c r="I77" s="63">
        <f t="shared" si="16"/>
        <v>1499</v>
      </c>
      <c r="J77" s="67">
        <f t="shared" ref="J77:J79" si="18">+I77/$I$75</f>
        <v>0.73193359375</v>
      </c>
      <c r="K77" s="1">
        <v>5</v>
      </c>
    </row>
    <row r="78" spans="1:11">
      <c r="A78" s="5" t="s">
        <v>406</v>
      </c>
      <c r="B78" s="17">
        <v>11978</v>
      </c>
      <c r="C78" s="6" t="s">
        <v>395</v>
      </c>
      <c r="D78" s="6">
        <v>107</v>
      </c>
      <c r="E78" s="6">
        <v>87153.600000000006</v>
      </c>
      <c r="F78" s="6">
        <v>1</v>
      </c>
      <c r="G78" s="6">
        <v>109.75</v>
      </c>
      <c r="H78" s="62">
        <v>4600</v>
      </c>
      <c r="I78" s="63">
        <f t="shared" si="16"/>
        <v>108</v>
      </c>
      <c r="J78" s="67">
        <f t="shared" si="18"/>
        <v>5.2734375E-2</v>
      </c>
      <c r="K78" s="1">
        <v>1</v>
      </c>
    </row>
    <row r="79" spans="1:11">
      <c r="A79" s="5" t="s">
        <v>402</v>
      </c>
      <c r="B79" s="17">
        <v>10715</v>
      </c>
      <c r="C79" s="6" t="s">
        <v>397</v>
      </c>
      <c r="D79" s="6">
        <v>278</v>
      </c>
      <c r="E79" s="6">
        <v>170203.94</v>
      </c>
      <c r="F79" s="6">
        <v>66</v>
      </c>
      <c r="G79" s="6">
        <v>136572.75</v>
      </c>
      <c r="H79" s="62">
        <v>11414</v>
      </c>
      <c r="I79" s="63">
        <f t="shared" si="16"/>
        <v>344</v>
      </c>
      <c r="J79" s="67">
        <f t="shared" si="18"/>
        <v>0.16796875</v>
      </c>
      <c r="K79" s="1">
        <v>1</v>
      </c>
    </row>
    <row r="80" spans="1:11" ht="15">
      <c r="A80" s="58" t="s">
        <v>413</v>
      </c>
      <c r="B80" s="69"/>
      <c r="C80" s="59"/>
      <c r="D80" s="59">
        <f>SUM(D81:D82)</f>
        <v>979</v>
      </c>
      <c r="E80" s="59">
        <f>SUM(E81:E82)</f>
        <v>664625.43999999994</v>
      </c>
      <c r="F80" s="59">
        <f>SUM(F81:F82)</f>
        <v>265</v>
      </c>
      <c r="G80" s="59">
        <f>SUM(G81:G82)</f>
        <v>185185.55</v>
      </c>
      <c r="H80" s="60"/>
      <c r="I80" s="66">
        <f>+SUM(I81:I82)</f>
        <v>1244</v>
      </c>
      <c r="J80" s="61">
        <f>+I80/$I$2</f>
        <v>1.0778308221492502E-2</v>
      </c>
      <c r="K80" s="1"/>
    </row>
    <row r="81" spans="1:11">
      <c r="A81" s="5" t="s">
        <v>401</v>
      </c>
      <c r="B81" s="17">
        <v>10819</v>
      </c>
      <c r="C81" s="6" t="s">
        <v>393</v>
      </c>
      <c r="D81" s="6">
        <v>963</v>
      </c>
      <c r="E81" s="6">
        <v>656107.68999999994</v>
      </c>
      <c r="F81" s="6">
        <v>262</v>
      </c>
      <c r="G81" s="6">
        <v>183830.59</v>
      </c>
      <c r="H81" s="62">
        <v>47293</v>
      </c>
      <c r="I81" s="63">
        <f t="shared" si="16"/>
        <v>1225</v>
      </c>
      <c r="J81" s="67">
        <f>+I81/$I$80</f>
        <v>0.98472668810289388</v>
      </c>
      <c r="K81" s="1">
        <v>5</v>
      </c>
    </row>
    <row r="82" spans="1:11">
      <c r="A82" s="5" t="s">
        <v>265</v>
      </c>
      <c r="B82" s="17">
        <v>11633</v>
      </c>
      <c r="C82" s="6" t="s">
        <v>395</v>
      </c>
      <c r="D82" s="6">
        <v>16</v>
      </c>
      <c r="E82" s="6">
        <v>8517.75</v>
      </c>
      <c r="F82" s="6">
        <v>3</v>
      </c>
      <c r="G82" s="6">
        <v>1354.96</v>
      </c>
      <c r="H82" s="62">
        <v>229.05866</v>
      </c>
      <c r="I82" s="63">
        <f t="shared" si="16"/>
        <v>19</v>
      </c>
      <c r="J82" s="67">
        <f>+I82/$I$80</f>
        <v>1.5273311897106109E-2</v>
      </c>
      <c r="K82" s="1">
        <v>3</v>
      </c>
    </row>
    <row r="83" spans="1:11" ht="15">
      <c r="A83" s="58" t="s">
        <v>74</v>
      </c>
      <c r="B83" s="69"/>
      <c r="C83" s="59"/>
      <c r="D83" s="59">
        <f>SUM(D84:D87)</f>
        <v>921</v>
      </c>
      <c r="E83" s="59">
        <f t="shared" ref="E83:G83" si="19">SUM(E84:E87)</f>
        <v>526803.79999999993</v>
      </c>
      <c r="F83" s="59">
        <f t="shared" si="19"/>
        <v>163</v>
      </c>
      <c r="G83" s="59">
        <f t="shared" si="19"/>
        <v>156962.12</v>
      </c>
      <c r="H83" s="60"/>
      <c r="I83" s="66">
        <f>+SUM(I84:I87)</f>
        <v>1084</v>
      </c>
      <c r="J83" s="61">
        <f>+I83/$I$2</f>
        <v>9.3920306367346225E-3</v>
      </c>
      <c r="K83" s="1"/>
    </row>
    <row r="84" spans="1:11">
      <c r="A84" s="5" t="s">
        <v>266</v>
      </c>
      <c r="B84" s="17" t="s">
        <v>129</v>
      </c>
      <c r="C84" s="6" t="s">
        <v>395</v>
      </c>
      <c r="D84" s="6">
        <v>87</v>
      </c>
      <c r="E84" s="6">
        <v>94981.96</v>
      </c>
      <c r="F84" s="6">
        <v>19</v>
      </c>
      <c r="G84" s="6">
        <v>29057.02</v>
      </c>
      <c r="H84" s="62">
        <v>6348</v>
      </c>
      <c r="I84" s="63">
        <f t="shared" si="16"/>
        <v>106</v>
      </c>
      <c r="J84" s="67">
        <f>+I84/$I$83</f>
        <v>9.7785977859778592E-2</v>
      </c>
      <c r="K84" s="1">
        <v>3</v>
      </c>
    </row>
    <row r="85" spans="1:11">
      <c r="A85" s="5" t="s">
        <v>406</v>
      </c>
      <c r="B85" s="17"/>
      <c r="C85" s="6" t="s">
        <v>393</v>
      </c>
      <c r="D85" s="6">
        <v>417</v>
      </c>
      <c r="E85" s="6">
        <v>215910.92</v>
      </c>
      <c r="F85" s="6">
        <v>72</v>
      </c>
      <c r="G85" s="6">
        <v>63952.55</v>
      </c>
      <c r="H85" s="62"/>
      <c r="I85" s="63">
        <f t="shared" si="16"/>
        <v>489</v>
      </c>
      <c r="J85" s="67">
        <f>+I85/$I$83</f>
        <v>0.4511070110701107</v>
      </c>
      <c r="K85" s="1"/>
    </row>
    <row r="86" spans="1:11">
      <c r="A86" s="5" t="s">
        <v>406</v>
      </c>
      <c r="B86" s="17">
        <v>11785</v>
      </c>
      <c r="C86" s="6" t="s">
        <v>393</v>
      </c>
      <c r="D86" s="6">
        <v>416</v>
      </c>
      <c r="E86" s="6">
        <v>215768.95999999999</v>
      </c>
      <c r="F86" s="6">
        <v>72</v>
      </c>
      <c r="G86" s="6">
        <v>63952.55</v>
      </c>
      <c r="H86" s="62">
        <v>11300</v>
      </c>
      <c r="I86" s="63">
        <f t="shared" si="16"/>
        <v>488</v>
      </c>
      <c r="J86" s="67">
        <f t="shared" ref="J86:J87" si="20">+I86/$I$83</f>
        <v>0.45018450184501846</v>
      </c>
      <c r="K86" s="1">
        <v>1</v>
      </c>
    </row>
    <row r="87" spans="1:11">
      <c r="A87" s="5" t="s">
        <v>265</v>
      </c>
      <c r="B87" s="17">
        <v>11487</v>
      </c>
      <c r="C87" s="6" t="s">
        <v>395</v>
      </c>
      <c r="D87" s="6">
        <v>1</v>
      </c>
      <c r="E87" s="6">
        <v>141.96</v>
      </c>
      <c r="F87" s="6"/>
      <c r="G87" s="6"/>
      <c r="H87" s="62">
        <v>402</v>
      </c>
      <c r="I87" s="63">
        <f t="shared" si="16"/>
        <v>1</v>
      </c>
      <c r="J87" s="67">
        <f t="shared" si="20"/>
        <v>9.225092250922509E-4</v>
      </c>
      <c r="K87" s="1">
        <v>2</v>
      </c>
    </row>
    <row r="88" spans="1:11" ht="15">
      <c r="A88" s="58" t="s">
        <v>281</v>
      </c>
      <c r="B88" s="69"/>
      <c r="C88" s="59"/>
      <c r="D88" s="59">
        <f>SUM(D89:D92)</f>
        <v>779</v>
      </c>
      <c r="E88" s="59">
        <f t="shared" ref="E88:G88" si="21">SUM(E89:E92)</f>
        <v>608726.12</v>
      </c>
      <c r="F88" s="59">
        <f t="shared" si="21"/>
        <v>104</v>
      </c>
      <c r="G88" s="59">
        <f t="shared" si="21"/>
        <v>42784.08</v>
      </c>
      <c r="H88" s="60"/>
      <c r="I88" s="66">
        <f>+SUM(I89:I92)</f>
        <v>883</v>
      </c>
      <c r="J88" s="61">
        <f>+I88/$I$2</f>
        <v>7.6505194208825386E-3</v>
      </c>
      <c r="K88" s="1"/>
    </row>
    <row r="89" spans="1:11">
      <c r="A89" s="5" t="s">
        <v>266</v>
      </c>
      <c r="B89" s="17" t="s">
        <v>53</v>
      </c>
      <c r="C89" s="6" t="s">
        <v>393</v>
      </c>
      <c r="D89" s="6">
        <v>331</v>
      </c>
      <c r="E89" s="6">
        <v>303476.03000000003</v>
      </c>
      <c r="F89" s="6">
        <v>44</v>
      </c>
      <c r="G89" s="6">
        <v>19318.96</v>
      </c>
      <c r="H89" s="62">
        <v>16373</v>
      </c>
      <c r="I89" s="63">
        <f t="shared" si="16"/>
        <v>375</v>
      </c>
      <c r="J89" s="67">
        <f>+I89/$I$88</f>
        <v>0.42468856172140429</v>
      </c>
      <c r="K89" s="1">
        <v>3</v>
      </c>
    </row>
    <row r="90" spans="1:11">
      <c r="A90" s="5" t="s">
        <v>406</v>
      </c>
      <c r="B90" s="17">
        <v>11787</v>
      </c>
      <c r="C90" s="6" t="s">
        <v>399</v>
      </c>
      <c r="D90" s="6">
        <v>245</v>
      </c>
      <c r="E90" s="6">
        <v>185981.16</v>
      </c>
      <c r="F90" s="6">
        <v>31</v>
      </c>
      <c r="G90" s="6">
        <v>12767.75</v>
      </c>
      <c r="H90" s="62">
        <v>10500</v>
      </c>
      <c r="I90" s="63">
        <f t="shared" si="16"/>
        <v>276</v>
      </c>
      <c r="J90" s="67">
        <f t="shared" ref="J90:J92" si="22">+I90/$I$88</f>
        <v>0.31257078142695355</v>
      </c>
      <c r="K90" s="1">
        <v>1</v>
      </c>
    </row>
    <row r="91" spans="1:11">
      <c r="A91" s="5" t="s">
        <v>398</v>
      </c>
      <c r="B91" s="17">
        <v>10793</v>
      </c>
      <c r="C91" s="6" t="s">
        <v>397</v>
      </c>
      <c r="D91" s="6">
        <v>195</v>
      </c>
      <c r="E91" s="6">
        <v>117906.09</v>
      </c>
      <c r="F91" s="6">
        <v>29</v>
      </c>
      <c r="G91" s="6">
        <v>10697.37</v>
      </c>
      <c r="H91" s="62">
        <v>1003.4</v>
      </c>
      <c r="I91" s="63">
        <f t="shared" si="16"/>
        <v>224</v>
      </c>
      <c r="J91" s="67">
        <f t="shared" si="22"/>
        <v>0.25368063420158549</v>
      </c>
      <c r="K91" s="1">
        <v>1</v>
      </c>
    </row>
    <row r="92" spans="1:11">
      <c r="A92" s="5" t="s">
        <v>265</v>
      </c>
      <c r="B92" s="34">
        <v>11387</v>
      </c>
      <c r="C92" s="6" t="s">
        <v>395</v>
      </c>
      <c r="D92" s="6">
        <v>8</v>
      </c>
      <c r="E92" s="6">
        <v>1362.84</v>
      </c>
      <c r="F92" s="6"/>
      <c r="G92" s="6"/>
      <c r="H92" s="62">
        <v>370</v>
      </c>
      <c r="I92" s="63">
        <f t="shared" si="16"/>
        <v>8</v>
      </c>
      <c r="J92" s="67">
        <f t="shared" si="22"/>
        <v>9.0600226500566258E-3</v>
      </c>
      <c r="K92" s="1">
        <v>2</v>
      </c>
    </row>
    <row r="93" spans="1:11" ht="15">
      <c r="A93" s="58" t="s">
        <v>38</v>
      </c>
      <c r="B93" s="69"/>
      <c r="C93" s="59"/>
      <c r="D93" s="59">
        <f>SUM(D94:D96)</f>
        <v>856</v>
      </c>
      <c r="E93" s="59">
        <f t="shared" ref="E93:G93" si="23">SUM(E94:E96)</f>
        <v>663310.94999999995</v>
      </c>
      <c r="F93" s="59">
        <f t="shared" si="23"/>
        <v>220</v>
      </c>
      <c r="G93" s="59">
        <f t="shared" si="23"/>
        <v>272265.58</v>
      </c>
      <c r="H93" s="60"/>
      <c r="I93" s="66">
        <f>+SUM(I94:I96)</f>
        <v>1076</v>
      </c>
      <c r="J93" s="61">
        <f>+I93/$I$2</f>
        <v>9.3227167574967285E-3</v>
      </c>
      <c r="K93" s="1"/>
    </row>
    <row r="94" spans="1:11">
      <c r="A94" s="5" t="s">
        <v>406</v>
      </c>
      <c r="B94" s="17">
        <v>11943</v>
      </c>
      <c r="C94" s="6" t="s">
        <v>393</v>
      </c>
      <c r="D94" s="6">
        <v>496</v>
      </c>
      <c r="E94" s="6">
        <v>395034.69</v>
      </c>
      <c r="F94" s="6">
        <v>80</v>
      </c>
      <c r="G94" s="6">
        <v>125756.48</v>
      </c>
      <c r="H94" s="62">
        <v>17900</v>
      </c>
      <c r="I94" s="63">
        <f t="shared" si="16"/>
        <v>576</v>
      </c>
      <c r="J94" s="67">
        <f>+I94/$I$93</f>
        <v>0.53531598513011147</v>
      </c>
      <c r="K94" s="1">
        <v>1</v>
      </c>
    </row>
    <row r="95" spans="1:11">
      <c r="A95" s="5" t="s">
        <v>403</v>
      </c>
      <c r="B95" s="17">
        <v>10502</v>
      </c>
      <c r="C95" s="6" t="s">
        <v>393</v>
      </c>
      <c r="D95" s="6">
        <v>352</v>
      </c>
      <c r="E95" s="6">
        <v>265578.96999999997</v>
      </c>
      <c r="F95" s="6">
        <v>140</v>
      </c>
      <c r="G95" s="6">
        <v>146509.1</v>
      </c>
      <c r="H95" s="62">
        <v>9833</v>
      </c>
      <c r="I95" s="63">
        <f t="shared" si="16"/>
        <v>492</v>
      </c>
      <c r="J95" s="67">
        <f t="shared" ref="J95:J96" si="24">+I95/$I$93</f>
        <v>0.45724907063197023</v>
      </c>
      <c r="K95" s="1">
        <v>1</v>
      </c>
    </row>
    <row r="96" spans="1:11">
      <c r="A96" s="5" t="s">
        <v>265</v>
      </c>
      <c r="B96" s="17">
        <v>11782</v>
      </c>
      <c r="C96" s="6" t="s">
        <v>395</v>
      </c>
      <c r="D96" s="6">
        <v>8</v>
      </c>
      <c r="E96" s="6">
        <v>2697.29</v>
      </c>
      <c r="F96" s="6"/>
      <c r="G96" s="6"/>
      <c r="H96" s="62">
        <v>173</v>
      </c>
      <c r="I96" s="63">
        <f t="shared" si="16"/>
        <v>8</v>
      </c>
      <c r="J96" s="67">
        <f t="shared" si="24"/>
        <v>7.4349442379182153E-3</v>
      </c>
      <c r="K96" s="1">
        <v>2</v>
      </c>
    </row>
    <row r="97" spans="1:11" ht="15">
      <c r="A97" s="58" t="s">
        <v>414</v>
      </c>
      <c r="B97" s="69"/>
      <c r="C97" s="59"/>
      <c r="D97" s="59">
        <f>SUM(D98)</f>
        <v>339</v>
      </c>
      <c r="E97" s="59">
        <f t="shared" ref="E97:G97" si="25">SUM(E98)</f>
        <v>244550.23</v>
      </c>
      <c r="F97" s="59">
        <f t="shared" si="25"/>
        <v>90</v>
      </c>
      <c r="G97" s="59">
        <f t="shared" si="25"/>
        <v>61201.99</v>
      </c>
      <c r="H97" s="60"/>
      <c r="I97" s="66">
        <f t="shared" si="16"/>
        <v>429</v>
      </c>
      <c r="J97" s="68">
        <f>+I97/$I$2</f>
        <v>3.7169567741320601E-3</v>
      </c>
      <c r="K97" s="1"/>
    </row>
    <row r="98" spans="1:11">
      <c r="A98" s="5" t="s">
        <v>403</v>
      </c>
      <c r="B98" s="17">
        <v>10510</v>
      </c>
      <c r="C98" s="6" t="s">
        <v>399</v>
      </c>
      <c r="D98" s="6">
        <v>339</v>
      </c>
      <c r="E98" s="6">
        <v>244550.23</v>
      </c>
      <c r="F98" s="6">
        <v>90</v>
      </c>
      <c r="G98" s="6">
        <v>61201.99</v>
      </c>
      <c r="H98" s="62">
        <v>17840</v>
      </c>
      <c r="I98" s="63">
        <f t="shared" si="16"/>
        <v>429</v>
      </c>
      <c r="J98" s="67">
        <f>+I98/I97</f>
        <v>1</v>
      </c>
      <c r="K98" s="1">
        <v>2</v>
      </c>
    </row>
    <row r="99" spans="1:11" ht="15">
      <c r="A99" s="58" t="s">
        <v>0</v>
      </c>
      <c r="B99" s="69"/>
      <c r="C99" s="59"/>
      <c r="D99" s="59">
        <f>SUM(D100:D104)</f>
        <v>5167</v>
      </c>
      <c r="E99" s="59">
        <f>SUM(E100:E104)</f>
        <v>3703062.7</v>
      </c>
      <c r="F99" s="59">
        <f>SUM(F100:F104)</f>
        <v>454</v>
      </c>
      <c r="G99" s="59">
        <f>SUM(G100:G104)</f>
        <v>223183.15</v>
      </c>
      <c r="H99" s="60"/>
      <c r="I99" s="66">
        <f>+SUM(I100:I104)</f>
        <v>5621</v>
      </c>
      <c r="J99" s="61">
        <f>+I99/$I$2</f>
        <v>4.8701664399525203E-2</v>
      </c>
      <c r="K99" s="1"/>
    </row>
    <row r="100" spans="1:11">
      <c r="A100" s="5" t="s">
        <v>266</v>
      </c>
      <c r="B100" s="17" t="s">
        <v>127</v>
      </c>
      <c r="C100" s="6" t="s">
        <v>395</v>
      </c>
      <c r="D100" s="6">
        <v>140</v>
      </c>
      <c r="E100" s="6">
        <v>120974.74</v>
      </c>
      <c r="F100" s="6">
        <v>9</v>
      </c>
      <c r="G100" s="6">
        <v>1859</v>
      </c>
      <c r="H100" s="62">
        <v>2000</v>
      </c>
      <c r="I100" s="63">
        <f t="shared" si="16"/>
        <v>149</v>
      </c>
      <c r="J100" s="67">
        <f>+I100/$I$99</f>
        <v>2.6507738836505961E-2</v>
      </c>
      <c r="K100" s="1">
        <v>3</v>
      </c>
    </row>
    <row r="101" spans="1:11">
      <c r="A101" s="5" t="s">
        <v>263</v>
      </c>
      <c r="B101" s="17" t="s">
        <v>96</v>
      </c>
      <c r="C101" s="6" t="s">
        <v>393</v>
      </c>
      <c r="D101" s="6">
        <v>2684</v>
      </c>
      <c r="E101" s="6">
        <v>1691183.83</v>
      </c>
      <c r="F101" s="6">
        <v>171</v>
      </c>
      <c r="G101" s="6">
        <v>93663.61</v>
      </c>
      <c r="H101" s="62">
        <v>59565</v>
      </c>
      <c r="I101" s="63">
        <f t="shared" si="16"/>
        <v>2855</v>
      </c>
      <c r="J101" s="67">
        <f>+I101/$I$99</f>
        <v>0.50791674079345317</v>
      </c>
      <c r="K101" s="1">
        <v>3</v>
      </c>
    </row>
    <row r="102" spans="1:11">
      <c r="A102" s="5" t="s">
        <v>402</v>
      </c>
      <c r="B102" s="17">
        <v>10714</v>
      </c>
      <c r="C102" s="6" t="s">
        <v>397</v>
      </c>
      <c r="D102" s="6">
        <v>470</v>
      </c>
      <c r="E102" s="6">
        <v>252665.47</v>
      </c>
      <c r="F102" s="6">
        <v>87</v>
      </c>
      <c r="G102" s="6">
        <v>32672.04</v>
      </c>
      <c r="H102" s="62">
        <v>12905</v>
      </c>
      <c r="I102" s="63">
        <f t="shared" si="16"/>
        <v>557</v>
      </c>
      <c r="J102" s="67">
        <f>+I102/$I$99</f>
        <v>9.9092688133784024E-2</v>
      </c>
      <c r="K102" s="1">
        <v>1</v>
      </c>
    </row>
    <row r="103" spans="1:11">
      <c r="A103" s="5" t="s">
        <v>265</v>
      </c>
      <c r="B103" s="34">
        <v>10121</v>
      </c>
      <c r="C103" s="6" t="s">
        <v>395</v>
      </c>
      <c r="D103" s="6">
        <v>103</v>
      </c>
      <c r="E103" s="6">
        <v>42905.32</v>
      </c>
      <c r="F103" s="6"/>
      <c r="G103" s="6"/>
      <c r="H103" s="62"/>
      <c r="I103" s="63">
        <f t="shared" si="16"/>
        <v>103</v>
      </c>
      <c r="J103" s="67">
        <f>+I103/$I$99</f>
        <v>1.8324141611812846E-2</v>
      </c>
      <c r="K103" s="1"/>
    </row>
    <row r="104" spans="1:11">
      <c r="A104" s="5" t="s">
        <v>400</v>
      </c>
      <c r="B104" s="34">
        <v>11443</v>
      </c>
      <c r="C104" s="6" t="s">
        <v>399</v>
      </c>
      <c r="D104" s="6">
        <v>1770</v>
      </c>
      <c r="E104" s="6">
        <v>1595333.34</v>
      </c>
      <c r="F104" s="6">
        <v>187</v>
      </c>
      <c r="G104" s="6">
        <v>94988.5</v>
      </c>
      <c r="H104" s="62">
        <v>133199</v>
      </c>
      <c r="I104" s="63">
        <f t="shared" si="16"/>
        <v>1957</v>
      </c>
      <c r="J104" s="67">
        <f>+I104/$I$99</f>
        <v>0.34815869062444404</v>
      </c>
      <c r="K104" s="1">
        <v>1</v>
      </c>
    </row>
    <row r="105" spans="1:11" ht="15">
      <c r="A105" s="58" t="s">
        <v>415</v>
      </c>
      <c r="B105" s="69"/>
      <c r="C105" s="59"/>
      <c r="D105" s="59">
        <f>SUM(D106:D110)</f>
        <v>4764</v>
      </c>
      <c r="E105" s="59">
        <f>SUM(E106:E110)</f>
        <v>3692865.85</v>
      </c>
      <c r="F105" s="59">
        <f>SUM(F106:F110)</f>
        <v>1618</v>
      </c>
      <c r="G105" s="59">
        <f>SUM(G106:G110)</f>
        <v>1722074.12</v>
      </c>
      <c r="H105" s="60"/>
      <c r="I105" s="66">
        <f>+SUM(I106:I110)</f>
        <v>6382</v>
      </c>
      <c r="J105" s="61">
        <f>+I105/$I$2</f>
        <v>5.5295147162029858E-2</v>
      </c>
      <c r="K105" s="1"/>
    </row>
    <row r="106" spans="1:11">
      <c r="A106" s="5" t="s">
        <v>263</v>
      </c>
      <c r="B106" s="17" t="s">
        <v>17</v>
      </c>
      <c r="C106" s="6" t="s">
        <v>399</v>
      </c>
      <c r="D106" s="6">
        <v>1028</v>
      </c>
      <c r="E106" s="6">
        <v>795020.51</v>
      </c>
      <c r="F106" s="6">
        <v>305</v>
      </c>
      <c r="G106" s="6">
        <v>402531.83</v>
      </c>
      <c r="H106" s="62">
        <v>42475.392</v>
      </c>
      <c r="I106" s="63">
        <f t="shared" si="16"/>
        <v>1333</v>
      </c>
      <c r="J106" s="67">
        <f>+I106/$I$105</f>
        <v>0.20886869319962395</v>
      </c>
      <c r="K106" s="1">
        <v>7</v>
      </c>
    </row>
    <row r="107" spans="1:11">
      <c r="A107" s="5" t="s">
        <v>396</v>
      </c>
      <c r="B107" s="34">
        <v>10837</v>
      </c>
      <c r="C107" s="6" t="s">
        <v>395</v>
      </c>
      <c r="D107" s="6">
        <v>124</v>
      </c>
      <c r="E107" s="6">
        <v>95302.44</v>
      </c>
      <c r="F107" s="6">
        <v>81</v>
      </c>
      <c r="G107" s="6">
        <v>151414.04999999999</v>
      </c>
      <c r="H107" s="62"/>
      <c r="I107" s="63">
        <f t="shared" si="16"/>
        <v>205</v>
      </c>
      <c r="J107" s="67">
        <f>+I107/$I$105</f>
        <v>3.2121591977436539E-2</v>
      </c>
      <c r="K107" s="1"/>
    </row>
    <row r="108" spans="1:11">
      <c r="A108" s="5" t="s">
        <v>264</v>
      </c>
      <c r="B108" s="17">
        <v>11141</v>
      </c>
      <c r="C108" s="6" t="s">
        <v>397</v>
      </c>
      <c r="D108" s="6">
        <v>458</v>
      </c>
      <c r="E108" s="6">
        <v>444934.34</v>
      </c>
      <c r="F108" s="6">
        <v>165</v>
      </c>
      <c r="G108" s="6">
        <v>137730.76999999999</v>
      </c>
      <c r="H108" s="62">
        <v>23098.646000000001</v>
      </c>
      <c r="I108" s="63">
        <f t="shared" si="16"/>
        <v>623</v>
      </c>
      <c r="J108" s="67">
        <f>+I108/$I$105</f>
        <v>9.7618301472892507E-2</v>
      </c>
      <c r="K108" s="1">
        <v>3</v>
      </c>
    </row>
    <row r="109" spans="1:11">
      <c r="A109" s="5" t="s">
        <v>398</v>
      </c>
      <c r="B109" s="17">
        <v>11201</v>
      </c>
      <c r="C109" s="6" t="s">
        <v>393</v>
      </c>
      <c r="D109" s="6">
        <v>2026</v>
      </c>
      <c r="E109" s="6">
        <v>1385137.29</v>
      </c>
      <c r="F109" s="6">
        <v>563</v>
      </c>
      <c r="G109" s="6">
        <v>562938.41</v>
      </c>
      <c r="H109" s="62">
        <v>18764</v>
      </c>
      <c r="I109" s="63">
        <f t="shared" si="16"/>
        <v>2589</v>
      </c>
      <c r="J109" s="67">
        <f>+I109/$I$105</f>
        <v>0.40567220307113755</v>
      </c>
      <c r="K109" s="1">
        <v>4</v>
      </c>
    </row>
    <row r="110" spans="1:11">
      <c r="A110" s="5" t="s">
        <v>400</v>
      </c>
      <c r="B110" s="34">
        <v>11447</v>
      </c>
      <c r="C110" s="6" t="s">
        <v>399</v>
      </c>
      <c r="D110" s="6">
        <v>1128</v>
      </c>
      <c r="E110" s="6">
        <v>972471.27</v>
      </c>
      <c r="F110" s="6">
        <v>504</v>
      </c>
      <c r="G110" s="6">
        <v>467459.06</v>
      </c>
      <c r="H110" s="62">
        <v>169900.95187000002</v>
      </c>
      <c r="I110" s="63">
        <f t="shared" si="16"/>
        <v>1632</v>
      </c>
      <c r="J110" s="67">
        <f>+I110/$I$105</f>
        <v>0.25571921027890943</v>
      </c>
      <c r="K110" s="1">
        <v>3</v>
      </c>
    </row>
    <row r="111" spans="1:11" ht="15">
      <c r="A111" s="58" t="s">
        <v>416</v>
      </c>
      <c r="B111" s="69"/>
      <c r="C111" s="59"/>
      <c r="D111" s="59">
        <f>SUM(D112:D114)</f>
        <v>1473</v>
      </c>
      <c r="E111" s="59">
        <f t="shared" ref="E111:G111" si="26">SUM(E112:E114)</f>
        <v>1157778.53</v>
      </c>
      <c r="F111" s="59">
        <f t="shared" si="26"/>
        <v>520</v>
      </c>
      <c r="G111" s="59">
        <f t="shared" si="26"/>
        <v>545933.28</v>
      </c>
      <c r="H111" s="60"/>
      <c r="I111" s="66">
        <f>+SUM(I112:I114)</f>
        <v>1993</v>
      </c>
      <c r="J111" s="61">
        <f>+I111/$I$2</f>
        <v>1.7267820165140318E-2</v>
      </c>
      <c r="K111" s="1"/>
    </row>
    <row r="112" spans="1:11">
      <c r="A112" s="5" t="s">
        <v>266</v>
      </c>
      <c r="B112" s="17" t="s">
        <v>114</v>
      </c>
      <c r="C112" s="6" t="s">
        <v>393</v>
      </c>
      <c r="D112" s="6">
        <v>733</v>
      </c>
      <c r="E112" s="6">
        <v>563666.36</v>
      </c>
      <c r="F112" s="6">
        <v>373</v>
      </c>
      <c r="G112" s="6">
        <v>270279.76</v>
      </c>
      <c r="H112" s="62">
        <v>720288</v>
      </c>
      <c r="I112" s="63">
        <f t="shared" si="16"/>
        <v>1106</v>
      </c>
      <c r="J112" s="67">
        <f>+I112/$I$111</f>
        <v>0.55494229804315098</v>
      </c>
      <c r="K112" s="1">
        <v>3</v>
      </c>
    </row>
    <row r="113" spans="1:11">
      <c r="A113" s="5" t="s">
        <v>406</v>
      </c>
      <c r="B113" s="17">
        <v>10447</v>
      </c>
      <c r="C113" s="6" t="s">
        <v>393</v>
      </c>
      <c r="D113" s="6">
        <v>726</v>
      </c>
      <c r="E113" s="6">
        <v>583321.59999999998</v>
      </c>
      <c r="F113" s="6">
        <v>147</v>
      </c>
      <c r="G113" s="6">
        <v>275653.52</v>
      </c>
      <c r="H113" s="62">
        <v>30200</v>
      </c>
      <c r="I113" s="63">
        <f t="shared" si="16"/>
        <v>873</v>
      </c>
      <c r="J113" s="67">
        <f t="shared" ref="J113:J114" si="27">+I113/$I$111</f>
        <v>0.43803311590566985</v>
      </c>
      <c r="K113" s="1">
        <v>1</v>
      </c>
    </row>
    <row r="114" spans="1:11">
      <c r="A114" s="5" t="s">
        <v>265</v>
      </c>
      <c r="B114" s="17">
        <v>11488</v>
      </c>
      <c r="C114" s="6" t="s">
        <v>395</v>
      </c>
      <c r="D114" s="6">
        <v>14</v>
      </c>
      <c r="E114" s="6">
        <v>10790.57</v>
      </c>
      <c r="F114" s="6"/>
      <c r="G114" s="6"/>
      <c r="H114" s="62">
        <v>290.98192999999998</v>
      </c>
      <c r="I114" s="63">
        <f t="shared" si="16"/>
        <v>14</v>
      </c>
      <c r="J114" s="67">
        <f t="shared" si="27"/>
        <v>7.0245860511791271E-3</v>
      </c>
      <c r="K114" s="1">
        <v>3</v>
      </c>
    </row>
    <row r="115" spans="1:11" ht="15">
      <c r="A115" s="58" t="s">
        <v>417</v>
      </c>
      <c r="B115" s="69"/>
      <c r="C115" s="59"/>
      <c r="D115" s="59">
        <f>SUM(D116:D119)</f>
        <v>10897</v>
      </c>
      <c r="E115" s="59">
        <f t="shared" ref="E115:G115" si="28">SUM(E116:E119)</f>
        <v>7532566.7200000007</v>
      </c>
      <c r="F115" s="59">
        <f t="shared" si="28"/>
        <v>1501</v>
      </c>
      <c r="G115" s="59">
        <f t="shared" si="28"/>
        <v>1512165.66</v>
      </c>
      <c r="H115" s="60"/>
      <c r="I115" s="66">
        <f>+SUM(I116:I119)</f>
        <v>12398</v>
      </c>
      <c r="J115" s="61">
        <f>+I115/$I$2</f>
        <v>0.10741918434892607</v>
      </c>
      <c r="K115" s="1"/>
    </row>
    <row r="116" spans="1:11">
      <c r="A116" s="5" t="s">
        <v>266</v>
      </c>
      <c r="B116" s="17" t="s">
        <v>118</v>
      </c>
      <c r="C116" s="6" t="s">
        <v>395</v>
      </c>
      <c r="D116" s="6">
        <v>657</v>
      </c>
      <c r="E116" s="6">
        <v>452997.78</v>
      </c>
      <c r="F116" s="6">
        <v>77</v>
      </c>
      <c r="G116" s="6">
        <v>159277.74</v>
      </c>
      <c r="H116" s="62">
        <v>28822</v>
      </c>
      <c r="I116" s="63">
        <f t="shared" si="16"/>
        <v>734</v>
      </c>
      <c r="J116" s="67">
        <f>+I116/$I$115</f>
        <v>5.9203097273753828E-2</v>
      </c>
      <c r="K116" s="1">
        <v>3</v>
      </c>
    </row>
    <row r="117" spans="1:11">
      <c r="A117" s="5" t="s">
        <v>401</v>
      </c>
      <c r="B117" s="70"/>
      <c r="C117" s="6" t="s">
        <v>393</v>
      </c>
      <c r="D117" s="6">
        <v>5120</v>
      </c>
      <c r="E117" s="6">
        <v>3539784.47</v>
      </c>
      <c r="F117" s="6">
        <v>712</v>
      </c>
      <c r="G117" s="6">
        <v>676443.96</v>
      </c>
      <c r="H117" s="62"/>
      <c r="I117" s="63">
        <f t="shared" si="16"/>
        <v>5832</v>
      </c>
      <c r="J117" s="67">
        <f>+I117/$I$115</f>
        <v>0.47039845136312308</v>
      </c>
      <c r="K117" s="1"/>
    </row>
    <row r="118" spans="1:11">
      <c r="A118" s="5" t="s">
        <v>264</v>
      </c>
      <c r="B118" s="34">
        <v>11255</v>
      </c>
      <c r="C118" s="6" t="s">
        <v>393</v>
      </c>
      <c r="D118" s="6">
        <v>4963</v>
      </c>
      <c r="E118" s="6">
        <v>3475554.97</v>
      </c>
      <c r="F118" s="6">
        <v>712</v>
      </c>
      <c r="G118" s="6">
        <v>676443.96</v>
      </c>
      <c r="H118" s="62">
        <v>131059</v>
      </c>
      <c r="I118" s="63">
        <f t="shared" si="16"/>
        <v>5675</v>
      </c>
      <c r="J118" s="67">
        <f t="shared" ref="J118:J119" si="29">+I118/$I$115</f>
        <v>0.45773511856751087</v>
      </c>
      <c r="K118" s="1">
        <v>4</v>
      </c>
    </row>
    <row r="119" spans="1:11">
      <c r="A119" s="5" t="s">
        <v>265</v>
      </c>
      <c r="B119" s="17">
        <v>11349</v>
      </c>
      <c r="C119" s="6" t="s">
        <v>395</v>
      </c>
      <c r="D119" s="6">
        <v>157</v>
      </c>
      <c r="E119" s="6">
        <v>64229.5</v>
      </c>
      <c r="F119" s="6"/>
      <c r="G119" s="6"/>
      <c r="H119" s="62">
        <v>1691.89922</v>
      </c>
      <c r="I119" s="63">
        <f t="shared" si="16"/>
        <v>157</v>
      </c>
      <c r="J119" s="67">
        <f t="shared" si="29"/>
        <v>1.2663332795612195E-2</v>
      </c>
      <c r="K119" s="1">
        <v>3</v>
      </c>
    </row>
    <row r="120" spans="1:11" ht="15">
      <c r="A120" s="58" t="s">
        <v>418</v>
      </c>
      <c r="B120" s="69"/>
      <c r="C120" s="59"/>
      <c r="D120" s="59">
        <f>SUM(D121:D123)</f>
        <v>9021</v>
      </c>
      <c r="E120" s="59">
        <f>SUM(E121:E123)</f>
        <v>6756745.5</v>
      </c>
      <c r="F120" s="59">
        <f>SUM(F121:F123)</f>
        <v>1564</v>
      </c>
      <c r="G120" s="59">
        <f>SUM(G121:G123)</f>
        <v>1367640.84</v>
      </c>
      <c r="H120" s="60"/>
      <c r="I120" s="66">
        <f>+SUM(I121:I123)</f>
        <v>10585</v>
      </c>
      <c r="J120" s="61">
        <f>+I120/$I$2</f>
        <v>9.1710926466638365E-2</v>
      </c>
      <c r="K120" s="1"/>
    </row>
    <row r="121" spans="1:11">
      <c r="A121" s="5" t="s">
        <v>401</v>
      </c>
      <c r="B121" s="17">
        <v>10820</v>
      </c>
      <c r="C121" s="6" t="s">
        <v>397</v>
      </c>
      <c r="D121" s="6">
        <v>2496</v>
      </c>
      <c r="E121" s="6">
        <v>1706451.04</v>
      </c>
      <c r="F121" s="6">
        <v>256</v>
      </c>
      <c r="G121" s="6">
        <v>200481.71</v>
      </c>
      <c r="H121" s="62">
        <v>5788</v>
      </c>
      <c r="I121" s="63">
        <f t="shared" si="16"/>
        <v>2752</v>
      </c>
      <c r="J121" s="67">
        <f>+I121/$I$120</f>
        <v>0.25999055266887106</v>
      </c>
      <c r="K121" s="1">
        <v>5</v>
      </c>
    </row>
    <row r="122" spans="1:11">
      <c r="A122" s="5" t="s">
        <v>268</v>
      </c>
      <c r="B122" s="17" t="s">
        <v>109</v>
      </c>
      <c r="C122" s="6" t="s">
        <v>393</v>
      </c>
      <c r="D122" s="6">
        <v>3646</v>
      </c>
      <c r="E122" s="6">
        <v>2696561.22</v>
      </c>
      <c r="F122" s="6">
        <v>697</v>
      </c>
      <c r="G122" s="6">
        <v>673162.8</v>
      </c>
      <c r="H122" s="62">
        <v>111135.23121</v>
      </c>
      <c r="I122" s="63">
        <f t="shared" si="16"/>
        <v>4343</v>
      </c>
      <c r="J122" s="67">
        <f t="shared" ref="J122:J123" si="30">+I122/$I$120</f>
        <v>0.41029759093056212</v>
      </c>
      <c r="K122" s="1">
        <v>5</v>
      </c>
    </row>
    <row r="123" spans="1:11">
      <c r="A123" s="5" t="s">
        <v>400</v>
      </c>
      <c r="B123" s="17">
        <v>11444</v>
      </c>
      <c r="C123" s="6" t="s">
        <v>399</v>
      </c>
      <c r="D123" s="6">
        <v>2879</v>
      </c>
      <c r="E123" s="6">
        <v>2353733.2400000002</v>
      </c>
      <c r="F123" s="6">
        <v>611</v>
      </c>
      <c r="G123" s="6">
        <v>493996.33</v>
      </c>
      <c r="H123" s="62">
        <v>150543</v>
      </c>
      <c r="I123" s="63">
        <f t="shared" si="16"/>
        <v>3490</v>
      </c>
      <c r="J123" s="67">
        <f t="shared" si="30"/>
        <v>0.32971185640056683</v>
      </c>
      <c r="K123" s="1">
        <v>3</v>
      </c>
    </row>
  </sheetData>
  <autoFilter ref="A1:J123">
    <filterColumn colId="3" showButton="0"/>
    <filterColumn colId="4" showButton="0"/>
    <filterColumn colId="5" showButton="0"/>
  </autoFilter>
  <mergeCells count="10">
    <mergeCell ref="K2:K4"/>
    <mergeCell ref="I2:I4"/>
    <mergeCell ref="J2:J4"/>
    <mergeCell ref="H2:H4"/>
    <mergeCell ref="A1:A3"/>
    <mergeCell ref="B1:B3"/>
    <mergeCell ref="C1:C3"/>
    <mergeCell ref="D1:G1"/>
    <mergeCell ref="D2:E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XPO</vt:lpstr>
      <vt:lpstr>Bank kesim</vt:lpstr>
      <vt:lpstr>ҳудуд кесими</vt:lpstr>
      <vt:lpstr>филиал кес.</vt:lpstr>
      <vt:lpstr>валюта кес.</vt:lpstr>
      <vt:lpstr>давлатлар кес.</vt:lpstr>
      <vt:lpstr>топ банк филиал</vt:lpstr>
      <vt:lpstr>топ давлатлар</vt:lpstr>
      <vt:lpstr>норезидент</vt:lpstr>
      <vt:lpstr>ойлар кес.</vt:lpstr>
      <vt:lpstr>Banklar daromadi</vt:lpstr>
      <vt:lpstr>Toifa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Davronbekov Javlon Kamol o'g'li</cp:lastModifiedBy>
  <dcterms:created xsi:type="dcterms:W3CDTF">2025-12-23T04:40:56Z</dcterms:created>
  <dcterms:modified xsi:type="dcterms:W3CDTF">2026-05-23T09:37:14Z</dcterms:modified>
</cp:coreProperties>
</file>