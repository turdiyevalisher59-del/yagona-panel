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.davronbekov\Desktop\"/>
    </mc:Choice>
  </mc:AlternateContent>
  <bookViews>
    <workbookView xWindow="-105" yWindow="-105" windowWidth="23250" windowHeight="12570"/>
  </bookViews>
  <sheets>
    <sheet name="банк ва ҳудуд кесимида" sheetId="4" r:id="rId1"/>
  </sheets>
  <externalReferences>
    <externalReference r:id="rId2"/>
  </externalReferences>
  <definedNames>
    <definedName name="_xlnm._FilterDatabase" localSheetId="0" hidden="1">'банк ва ҳудуд кесимида'!$A$6:$AX$309</definedName>
    <definedName name="_xlnm.Print_Area" localSheetId="0">'банк ва ҳудуд кесимида'!$C$1:$AX$309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6" i="4" s="1"/>
  <c r="AW89" i="4" l="1"/>
  <c r="AT89" i="4"/>
  <c r="AW86" i="4"/>
  <c r="AW83" i="4"/>
  <c r="AW77" i="4"/>
  <c r="AW73" i="4"/>
  <c r="AW70" i="4"/>
  <c r="AW67" i="4"/>
  <c r="AT67" i="4"/>
  <c r="AW63" i="4"/>
  <c r="AT63" i="4"/>
  <c r="AW39" i="4"/>
  <c r="AT39" i="4"/>
  <c r="AS7" i="4"/>
  <c r="AO86" i="4"/>
  <c r="AN86" i="4"/>
  <c r="AM86" i="4"/>
  <c r="AL86" i="4"/>
  <c r="AG86" i="4"/>
  <c r="AF86" i="4"/>
  <c r="AE86" i="4"/>
  <c r="AD86" i="4"/>
  <c r="AC86" i="4"/>
  <c r="AB86" i="4"/>
  <c r="T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AP86" i="4"/>
  <c r="AP83" i="4"/>
  <c r="AO83" i="4"/>
  <c r="AN83" i="4"/>
  <c r="AM83" i="4"/>
  <c r="AL83" i="4"/>
  <c r="AG83" i="4"/>
  <c r="AF83" i="4"/>
  <c r="AE83" i="4"/>
  <c r="AD83" i="4"/>
  <c r="AC83" i="4"/>
  <c r="AB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AW13" i="4"/>
  <c r="AW7" i="4"/>
  <c r="AT7" i="4"/>
  <c r="AT73" i="4"/>
  <c r="AS77" i="4"/>
  <c r="AP77" i="4"/>
  <c r="AO77" i="4"/>
  <c r="AN77" i="4"/>
  <c r="AM77" i="4"/>
  <c r="AL77" i="4"/>
  <c r="AG77" i="4"/>
  <c r="AF77" i="4"/>
  <c r="AE77" i="4"/>
  <c r="AD77" i="4"/>
  <c r="AC77" i="4"/>
  <c r="AB77" i="4"/>
  <c r="T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AT77" i="4"/>
  <c r="AO73" i="4"/>
  <c r="AN73" i="4"/>
  <c r="AM73" i="4"/>
  <c r="AL73" i="4"/>
  <c r="AG73" i="4"/>
  <c r="AF73" i="4"/>
  <c r="AE73" i="4"/>
  <c r="AD73" i="4"/>
  <c r="AC73" i="4"/>
  <c r="AB73" i="4"/>
  <c r="T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AN70" i="4"/>
  <c r="AM70" i="4"/>
  <c r="AL70" i="4"/>
  <c r="AG70" i="4"/>
  <c r="AF70" i="4"/>
  <c r="AE70" i="4"/>
  <c r="AD70" i="4"/>
  <c r="AC70" i="4"/>
  <c r="AB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O70" i="4"/>
  <c r="AS67" i="4"/>
  <c r="AP67" i="4"/>
  <c r="AO67" i="4"/>
  <c r="AN67" i="4"/>
  <c r="AM67" i="4"/>
  <c r="AL67" i="4"/>
  <c r="AG67" i="4"/>
  <c r="AF67" i="4"/>
  <c r="AE67" i="4"/>
  <c r="AD67" i="4"/>
  <c r="AC67" i="4"/>
  <c r="AB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AW61" i="4"/>
  <c r="AT61" i="4"/>
  <c r="AP61" i="4"/>
  <c r="AO61" i="4"/>
  <c r="AN61" i="4"/>
  <c r="AM61" i="4"/>
  <c r="AL61" i="4"/>
  <c r="AG61" i="4"/>
  <c r="AF61" i="4"/>
  <c r="AE61" i="4"/>
  <c r="AD61" i="4"/>
  <c r="AC61" i="4"/>
  <c r="AB61" i="4"/>
  <c r="AA61" i="4"/>
  <c r="Z61" i="4"/>
  <c r="T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W58" i="4"/>
  <c r="AT58" i="4"/>
  <c r="AS58" i="4"/>
  <c r="AP58" i="4"/>
  <c r="AO58" i="4"/>
  <c r="AN58" i="4"/>
  <c r="AM58" i="4"/>
  <c r="AL58" i="4"/>
  <c r="AG58" i="4"/>
  <c r="AF58" i="4"/>
  <c r="AE58" i="4"/>
  <c r="AD58" i="4"/>
  <c r="AC58" i="4"/>
  <c r="AB58" i="4"/>
  <c r="AA58" i="4"/>
  <c r="Z58" i="4"/>
  <c r="T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W53" i="4"/>
  <c r="AT53" i="4"/>
  <c r="AS53" i="4"/>
  <c r="AO53" i="4"/>
  <c r="AN53" i="4"/>
  <c r="AM53" i="4"/>
  <c r="AL53" i="4"/>
  <c r="AG53" i="4"/>
  <c r="AF53" i="4"/>
  <c r="AE53" i="4"/>
  <c r="AD53" i="4"/>
  <c r="AC53" i="4"/>
  <c r="AB53" i="4"/>
  <c r="AA53" i="4"/>
  <c r="Z53" i="4"/>
  <c r="T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P53" i="4"/>
  <c r="AW50" i="4"/>
  <c r="AT50" i="4"/>
  <c r="AS50" i="4"/>
  <c r="AO50" i="4"/>
  <c r="AN50" i="4"/>
  <c r="AM50" i="4"/>
  <c r="AL50" i="4"/>
  <c r="AG50" i="4"/>
  <c r="AF50" i="4"/>
  <c r="AE50" i="4"/>
  <c r="AD50" i="4"/>
  <c r="AC50" i="4"/>
  <c r="AB50" i="4"/>
  <c r="T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P50" i="4"/>
  <c r="AP41" i="4"/>
  <c r="AO41" i="4"/>
  <c r="AN41" i="4"/>
  <c r="AM41" i="4"/>
  <c r="AL41" i="4"/>
  <c r="AG41" i="4"/>
  <c r="AF41" i="4"/>
  <c r="AE41" i="4"/>
  <c r="AD41" i="4"/>
  <c r="AC41" i="4"/>
  <c r="AB41" i="4"/>
  <c r="AA41" i="4"/>
  <c r="Z41" i="4"/>
  <c r="T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W41" i="4"/>
  <c r="AT41" i="4"/>
  <c r="AS41" i="4"/>
  <c r="AS39" i="4"/>
  <c r="AP39" i="4"/>
  <c r="AO39" i="4"/>
  <c r="AN39" i="4"/>
  <c r="AM39" i="4"/>
  <c r="AL39" i="4"/>
  <c r="AG39" i="4"/>
  <c r="AF39" i="4"/>
  <c r="AE39" i="4"/>
  <c r="AD39" i="4"/>
  <c r="AC39" i="4"/>
  <c r="AB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AW35" i="4"/>
  <c r="AT35" i="4"/>
  <c r="AS35" i="4"/>
  <c r="AP35" i="4"/>
  <c r="AO35" i="4"/>
  <c r="AN35" i="4"/>
  <c r="AM35" i="4"/>
  <c r="AL35" i="4"/>
  <c r="AG35" i="4"/>
  <c r="AF35" i="4"/>
  <c r="AE35" i="4"/>
  <c r="AD35" i="4"/>
  <c r="AC35" i="4"/>
  <c r="AB35" i="4"/>
  <c r="T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AP28" i="4"/>
  <c r="AO28" i="4"/>
  <c r="AW28" i="4"/>
  <c r="AT28" i="4"/>
  <c r="AS28" i="4"/>
  <c r="AN28" i="4"/>
  <c r="AM28" i="4"/>
  <c r="AL28" i="4"/>
  <c r="AG28" i="4"/>
  <c r="AF28" i="4"/>
  <c r="AE28" i="4"/>
  <c r="AD28" i="4"/>
  <c r="AC28" i="4"/>
  <c r="AB28" i="4"/>
  <c r="T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AW23" i="4"/>
  <c r="AT23" i="4"/>
  <c r="AS23" i="4"/>
  <c r="AP23" i="4"/>
  <c r="AO23" i="4"/>
  <c r="AN23" i="4"/>
  <c r="AM23" i="4"/>
  <c r="AL23" i="4"/>
  <c r="AG23" i="4"/>
  <c r="AF23" i="4"/>
  <c r="AE23" i="4"/>
  <c r="AD23" i="4"/>
  <c r="AC23" i="4"/>
  <c r="AB23" i="4"/>
  <c r="T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AW20" i="4"/>
  <c r="AT20" i="4"/>
  <c r="AS20" i="4"/>
  <c r="AP20" i="4"/>
  <c r="AO20" i="4"/>
  <c r="AN20" i="4"/>
  <c r="AM20" i="4"/>
  <c r="AL20" i="4"/>
  <c r="AG20" i="4"/>
  <c r="AF20" i="4"/>
  <c r="AE20" i="4"/>
  <c r="AD20" i="4"/>
  <c r="AC20" i="4"/>
  <c r="AB20" i="4"/>
  <c r="T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AW16" i="4"/>
  <c r="AV16" i="4"/>
  <c r="AU16" i="4"/>
  <c r="AT16" i="4"/>
  <c r="AS16" i="4"/>
  <c r="AP16" i="4"/>
  <c r="AO16" i="4"/>
  <c r="AN16" i="4"/>
  <c r="AM16" i="4"/>
  <c r="AL16" i="4"/>
  <c r="AG16" i="4"/>
  <c r="AF16" i="4"/>
  <c r="AE16" i="4"/>
  <c r="AD16" i="4"/>
  <c r="AC16" i="4"/>
  <c r="AB16" i="4"/>
  <c r="AA16" i="4"/>
  <c r="Z16" i="4"/>
  <c r="T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AG13" i="4"/>
  <c r="AF13" i="4"/>
  <c r="AE13" i="4"/>
  <c r="AD13" i="4"/>
  <c r="AC13" i="4"/>
  <c r="AB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P13" i="4"/>
  <c r="AO13" i="4"/>
  <c r="AN13" i="4"/>
  <c r="AM13" i="4"/>
  <c r="AL13" i="4"/>
  <c r="P246" i="4" l="1"/>
  <c r="O246" i="4"/>
  <c r="N246" i="4"/>
  <c r="M246" i="4"/>
  <c r="L246" i="4"/>
  <c r="K246" i="4"/>
  <c r="J246" i="4"/>
  <c r="I246" i="4"/>
  <c r="P94" i="4"/>
  <c r="O94" i="4"/>
  <c r="N94" i="4"/>
  <c r="M94" i="4"/>
  <c r="L94" i="4"/>
  <c r="K94" i="4"/>
  <c r="J94" i="4"/>
  <c r="I94" i="4"/>
  <c r="P89" i="4"/>
  <c r="O89" i="4"/>
  <c r="N89" i="4"/>
  <c r="M89" i="4"/>
  <c r="L89" i="4"/>
  <c r="K89" i="4"/>
  <c r="J89" i="4"/>
  <c r="I89" i="4"/>
  <c r="P63" i="4"/>
  <c r="O63" i="4"/>
  <c r="N63" i="4"/>
  <c r="M63" i="4"/>
  <c r="L63" i="4"/>
  <c r="K63" i="4"/>
  <c r="J63" i="4"/>
  <c r="I63" i="4"/>
  <c r="P7" i="4"/>
  <c r="O7" i="4"/>
  <c r="N7" i="4"/>
  <c r="M7" i="4"/>
  <c r="L7" i="4"/>
  <c r="K7" i="4"/>
  <c r="J7" i="4"/>
  <c r="I7" i="4"/>
  <c r="H7" i="4"/>
  <c r="H6" i="4" s="1"/>
  <c r="G7" i="4"/>
  <c r="E7" i="4"/>
  <c r="G6" i="4" l="1"/>
  <c r="J6" i="4"/>
  <c r="AK309" i="4"/>
  <c r="AJ309" i="4"/>
  <c r="AI309" i="4"/>
  <c r="AH309" i="4"/>
  <c r="AK308" i="4"/>
  <c r="AJ308" i="4"/>
  <c r="AI308" i="4"/>
  <c r="AH308" i="4"/>
  <c r="AK307" i="4"/>
  <c r="AJ307" i="4"/>
  <c r="AI307" i="4"/>
  <c r="AH307" i="4"/>
  <c r="AK306" i="4"/>
  <c r="AJ306" i="4"/>
  <c r="AI306" i="4"/>
  <c r="AH306" i="4"/>
  <c r="AK305" i="4"/>
  <c r="AJ305" i="4"/>
  <c r="AI305" i="4"/>
  <c r="AH305" i="4"/>
  <c r="AK304" i="4"/>
  <c r="AJ304" i="4"/>
  <c r="AI304" i="4"/>
  <c r="AH304" i="4"/>
  <c r="AK303" i="4"/>
  <c r="AJ303" i="4"/>
  <c r="AI303" i="4"/>
  <c r="AH303" i="4"/>
  <c r="AK302" i="4"/>
  <c r="AJ302" i="4"/>
  <c r="AI302" i="4"/>
  <c r="AH302" i="4"/>
  <c r="AK301" i="4"/>
  <c r="AJ301" i="4"/>
  <c r="AI301" i="4"/>
  <c r="AH301" i="4"/>
  <c r="AK300" i="4"/>
  <c r="AJ300" i="4"/>
  <c r="AI300" i="4"/>
  <c r="AH300" i="4"/>
  <c r="AK299" i="4"/>
  <c r="AJ299" i="4"/>
  <c r="AI299" i="4"/>
  <c r="AH299" i="4"/>
  <c r="AK298" i="4"/>
  <c r="AJ298" i="4"/>
  <c r="AI298" i="4"/>
  <c r="AH298" i="4"/>
  <c r="AK297" i="4"/>
  <c r="AJ297" i="4"/>
  <c r="AI297" i="4"/>
  <c r="AH297" i="4"/>
  <c r="AK296" i="4"/>
  <c r="AJ296" i="4"/>
  <c r="AI296" i="4"/>
  <c r="AH296" i="4"/>
  <c r="AK295" i="4"/>
  <c r="AJ295" i="4"/>
  <c r="AI295" i="4"/>
  <c r="AH295" i="4"/>
  <c r="AK294" i="4"/>
  <c r="AJ294" i="4"/>
  <c r="AI294" i="4"/>
  <c r="AH294" i="4"/>
  <c r="AK293" i="4"/>
  <c r="AJ293" i="4"/>
  <c r="AI293" i="4"/>
  <c r="AH293" i="4"/>
  <c r="AK292" i="4"/>
  <c r="AJ292" i="4"/>
  <c r="AI292" i="4"/>
  <c r="AH292" i="4"/>
  <c r="AK291" i="4"/>
  <c r="AJ291" i="4"/>
  <c r="AI291" i="4"/>
  <c r="AH291" i="4"/>
  <c r="AK290" i="4"/>
  <c r="AJ290" i="4"/>
  <c r="AI290" i="4"/>
  <c r="AH290" i="4"/>
  <c r="AK289" i="4"/>
  <c r="AJ289" i="4"/>
  <c r="AI289" i="4"/>
  <c r="AH289" i="4"/>
  <c r="AK288" i="4"/>
  <c r="AJ288" i="4"/>
  <c r="AI288" i="4"/>
  <c r="AH288" i="4"/>
  <c r="AK287" i="4"/>
  <c r="AJ287" i="4"/>
  <c r="AI287" i="4"/>
  <c r="AH287" i="4"/>
  <c r="AK286" i="4"/>
  <c r="AJ286" i="4"/>
  <c r="AI286" i="4"/>
  <c r="AH286" i="4"/>
  <c r="AK285" i="4"/>
  <c r="AJ285" i="4"/>
  <c r="AI285" i="4"/>
  <c r="AH285" i="4"/>
  <c r="AK284" i="4"/>
  <c r="AJ284" i="4"/>
  <c r="AI284" i="4"/>
  <c r="AH284" i="4"/>
  <c r="AK283" i="4"/>
  <c r="AJ283" i="4"/>
  <c r="AI283" i="4"/>
  <c r="AH283" i="4"/>
  <c r="AK282" i="4"/>
  <c r="AJ282" i="4"/>
  <c r="AI282" i="4"/>
  <c r="AH282" i="4"/>
  <c r="AK281" i="4"/>
  <c r="AJ281" i="4"/>
  <c r="AI281" i="4"/>
  <c r="AH281" i="4"/>
  <c r="AK280" i="4"/>
  <c r="AJ280" i="4"/>
  <c r="AI280" i="4"/>
  <c r="AH280" i="4"/>
  <c r="AK279" i="4"/>
  <c r="AJ279" i="4"/>
  <c r="AI279" i="4"/>
  <c r="AH279" i="4"/>
  <c r="AK278" i="4"/>
  <c r="AJ278" i="4"/>
  <c r="AI278" i="4"/>
  <c r="AH278" i="4"/>
  <c r="AK277" i="4"/>
  <c r="AJ277" i="4"/>
  <c r="AI277" i="4"/>
  <c r="AH277" i="4"/>
  <c r="AK276" i="4"/>
  <c r="AJ276" i="4"/>
  <c r="AI276" i="4"/>
  <c r="AH276" i="4"/>
  <c r="AK275" i="4"/>
  <c r="AJ275" i="4"/>
  <c r="AI275" i="4"/>
  <c r="AH275" i="4"/>
  <c r="AK274" i="4"/>
  <c r="AJ274" i="4"/>
  <c r="AI274" i="4"/>
  <c r="AH274" i="4"/>
  <c r="AK273" i="4"/>
  <c r="AJ273" i="4"/>
  <c r="AI273" i="4"/>
  <c r="AH273" i="4"/>
  <c r="AK272" i="4"/>
  <c r="AJ272" i="4"/>
  <c r="AI272" i="4"/>
  <c r="AH272" i="4"/>
  <c r="AK271" i="4"/>
  <c r="AJ271" i="4"/>
  <c r="AI271" i="4"/>
  <c r="AH271" i="4"/>
  <c r="AK270" i="4"/>
  <c r="AJ270" i="4"/>
  <c r="AI270" i="4"/>
  <c r="AH270" i="4"/>
  <c r="AK269" i="4"/>
  <c r="AJ269" i="4"/>
  <c r="AI269" i="4"/>
  <c r="AH269" i="4"/>
  <c r="AK268" i="4"/>
  <c r="AJ268" i="4"/>
  <c r="AI268" i="4"/>
  <c r="AH268" i="4"/>
  <c r="AK267" i="4"/>
  <c r="AJ267" i="4"/>
  <c r="AI267" i="4"/>
  <c r="AH267" i="4"/>
  <c r="AK266" i="4"/>
  <c r="AJ266" i="4"/>
  <c r="AI266" i="4"/>
  <c r="AH266" i="4"/>
  <c r="AK265" i="4"/>
  <c r="AJ265" i="4"/>
  <c r="AI265" i="4"/>
  <c r="AH265" i="4"/>
  <c r="AK264" i="4"/>
  <c r="AJ264" i="4"/>
  <c r="AI264" i="4"/>
  <c r="AH264" i="4"/>
  <c r="AK263" i="4"/>
  <c r="AJ263" i="4"/>
  <c r="AI263" i="4"/>
  <c r="AH263" i="4"/>
  <c r="AK262" i="4"/>
  <c r="AJ262" i="4"/>
  <c r="AI262" i="4"/>
  <c r="AH262" i="4"/>
  <c r="AK261" i="4"/>
  <c r="AJ261" i="4"/>
  <c r="AI261" i="4"/>
  <c r="AH261" i="4"/>
  <c r="AK260" i="4"/>
  <c r="AJ260" i="4"/>
  <c r="AI260" i="4"/>
  <c r="AH260" i="4"/>
  <c r="AK259" i="4"/>
  <c r="AJ259" i="4"/>
  <c r="AI259" i="4"/>
  <c r="AH259" i="4"/>
  <c r="AK258" i="4"/>
  <c r="AJ258" i="4"/>
  <c r="AI258" i="4"/>
  <c r="AH258" i="4"/>
  <c r="AK257" i="4"/>
  <c r="AJ257" i="4"/>
  <c r="AI257" i="4"/>
  <c r="AH257" i="4"/>
  <c r="AK256" i="4"/>
  <c r="AJ256" i="4"/>
  <c r="AI256" i="4"/>
  <c r="AH256" i="4"/>
  <c r="AK255" i="4"/>
  <c r="AJ255" i="4"/>
  <c r="AI255" i="4"/>
  <c r="AH255" i="4"/>
  <c r="AK254" i="4"/>
  <c r="AJ254" i="4"/>
  <c r="AI254" i="4"/>
  <c r="AH254" i="4"/>
  <c r="AK253" i="4"/>
  <c r="AJ253" i="4"/>
  <c r="AI253" i="4"/>
  <c r="AH253" i="4"/>
  <c r="AK252" i="4"/>
  <c r="AJ252" i="4"/>
  <c r="AI252" i="4"/>
  <c r="AH252" i="4"/>
  <c r="AK251" i="4"/>
  <c r="AJ251" i="4"/>
  <c r="AI251" i="4"/>
  <c r="AH251" i="4"/>
  <c r="AK250" i="4"/>
  <c r="AJ250" i="4"/>
  <c r="AI250" i="4"/>
  <c r="AH250" i="4"/>
  <c r="AK249" i="4"/>
  <c r="AJ249" i="4"/>
  <c r="AI249" i="4"/>
  <c r="AH249" i="4"/>
  <c r="AK248" i="4"/>
  <c r="AJ248" i="4"/>
  <c r="AI248" i="4"/>
  <c r="AH248" i="4"/>
  <c r="AK247" i="4"/>
  <c r="AJ247" i="4"/>
  <c r="AI247" i="4"/>
  <c r="AH247" i="4"/>
  <c r="AK245" i="4"/>
  <c r="AJ245" i="4"/>
  <c r="AI245" i="4"/>
  <c r="AH245" i="4"/>
  <c r="AK244" i="4"/>
  <c r="AJ244" i="4"/>
  <c r="AI244" i="4"/>
  <c r="AH244" i="4"/>
  <c r="AK243" i="4"/>
  <c r="AJ243" i="4"/>
  <c r="AI243" i="4"/>
  <c r="AH243" i="4"/>
  <c r="AK242" i="4"/>
  <c r="AJ242" i="4"/>
  <c r="AI242" i="4"/>
  <c r="AH242" i="4"/>
  <c r="AK241" i="4"/>
  <c r="AJ241" i="4"/>
  <c r="AI241" i="4"/>
  <c r="AH241" i="4"/>
  <c r="AK240" i="4"/>
  <c r="AJ240" i="4"/>
  <c r="AI240" i="4"/>
  <c r="AH240" i="4"/>
  <c r="AK239" i="4"/>
  <c r="AJ239" i="4"/>
  <c r="AI239" i="4"/>
  <c r="AH239" i="4"/>
  <c r="AK238" i="4"/>
  <c r="AJ238" i="4"/>
  <c r="AI238" i="4"/>
  <c r="AH238" i="4"/>
  <c r="AK237" i="4"/>
  <c r="AJ237" i="4"/>
  <c r="AI237" i="4"/>
  <c r="AH237" i="4"/>
  <c r="AK236" i="4"/>
  <c r="AJ236" i="4"/>
  <c r="AI236" i="4"/>
  <c r="AH236" i="4"/>
  <c r="AK235" i="4"/>
  <c r="AJ235" i="4"/>
  <c r="AI235" i="4"/>
  <c r="AH235" i="4"/>
  <c r="AK234" i="4"/>
  <c r="AJ234" i="4"/>
  <c r="AI234" i="4"/>
  <c r="AH234" i="4"/>
  <c r="AK233" i="4"/>
  <c r="AJ233" i="4"/>
  <c r="AI233" i="4"/>
  <c r="AH233" i="4"/>
  <c r="AK232" i="4"/>
  <c r="AJ232" i="4"/>
  <c r="AI232" i="4"/>
  <c r="AH232" i="4"/>
  <c r="AK231" i="4"/>
  <c r="AJ231" i="4"/>
  <c r="AI231" i="4"/>
  <c r="AH231" i="4"/>
  <c r="AK230" i="4"/>
  <c r="AJ230" i="4"/>
  <c r="AI230" i="4"/>
  <c r="AH230" i="4"/>
  <c r="AK229" i="4"/>
  <c r="AJ229" i="4"/>
  <c r="AI229" i="4"/>
  <c r="AH229" i="4"/>
  <c r="AK228" i="4"/>
  <c r="AJ228" i="4"/>
  <c r="AI228" i="4"/>
  <c r="AH228" i="4"/>
  <c r="AK227" i="4"/>
  <c r="AJ227" i="4"/>
  <c r="AI227" i="4"/>
  <c r="AH227" i="4"/>
  <c r="AK226" i="4"/>
  <c r="AJ226" i="4"/>
  <c r="AI226" i="4"/>
  <c r="AH226" i="4"/>
  <c r="AK225" i="4"/>
  <c r="AJ225" i="4"/>
  <c r="AI225" i="4"/>
  <c r="AH225" i="4"/>
  <c r="AK224" i="4"/>
  <c r="AJ224" i="4"/>
  <c r="AI224" i="4"/>
  <c r="AH224" i="4"/>
  <c r="AK223" i="4"/>
  <c r="AJ223" i="4"/>
  <c r="AI223" i="4"/>
  <c r="AH223" i="4"/>
  <c r="AK222" i="4"/>
  <c r="AJ222" i="4"/>
  <c r="AI222" i="4"/>
  <c r="AH222" i="4"/>
  <c r="AK221" i="4"/>
  <c r="AJ221" i="4"/>
  <c r="AI221" i="4"/>
  <c r="AH221" i="4"/>
  <c r="AK220" i="4"/>
  <c r="AJ220" i="4"/>
  <c r="AI220" i="4"/>
  <c r="AH220" i="4"/>
  <c r="AK219" i="4"/>
  <c r="AJ219" i="4"/>
  <c r="AI219" i="4"/>
  <c r="AH219" i="4"/>
  <c r="AK218" i="4"/>
  <c r="AJ218" i="4"/>
  <c r="AI218" i="4"/>
  <c r="AH218" i="4"/>
  <c r="AK217" i="4"/>
  <c r="AJ217" i="4"/>
  <c r="AI217" i="4"/>
  <c r="AH217" i="4"/>
  <c r="AK216" i="4"/>
  <c r="AJ216" i="4"/>
  <c r="AI216" i="4"/>
  <c r="AH216" i="4"/>
  <c r="AK215" i="4"/>
  <c r="AJ215" i="4"/>
  <c r="AI215" i="4"/>
  <c r="AH215" i="4"/>
  <c r="AK214" i="4"/>
  <c r="AJ214" i="4"/>
  <c r="AI214" i="4"/>
  <c r="AH214" i="4"/>
  <c r="AK213" i="4"/>
  <c r="AJ213" i="4"/>
  <c r="AI213" i="4"/>
  <c r="AH213" i="4"/>
  <c r="AK212" i="4"/>
  <c r="AJ212" i="4"/>
  <c r="AI212" i="4"/>
  <c r="AH212" i="4"/>
  <c r="AK211" i="4"/>
  <c r="AJ211" i="4"/>
  <c r="AI211" i="4"/>
  <c r="AH211" i="4"/>
  <c r="AK210" i="4"/>
  <c r="AJ210" i="4"/>
  <c r="AI210" i="4"/>
  <c r="AH210" i="4"/>
  <c r="AK209" i="4"/>
  <c r="AJ209" i="4"/>
  <c r="AI209" i="4"/>
  <c r="AH209" i="4"/>
  <c r="AK208" i="4"/>
  <c r="AJ208" i="4"/>
  <c r="AI208" i="4"/>
  <c r="AH208" i="4"/>
  <c r="AK207" i="4"/>
  <c r="AJ207" i="4"/>
  <c r="AI207" i="4"/>
  <c r="AH207" i="4"/>
  <c r="AK206" i="4"/>
  <c r="AJ206" i="4"/>
  <c r="AI206" i="4"/>
  <c r="AH206" i="4"/>
  <c r="AK205" i="4"/>
  <c r="AJ205" i="4"/>
  <c r="AI205" i="4"/>
  <c r="AH205" i="4"/>
  <c r="AK204" i="4"/>
  <c r="AJ204" i="4"/>
  <c r="AI204" i="4"/>
  <c r="AH204" i="4"/>
  <c r="AK203" i="4"/>
  <c r="AJ203" i="4"/>
  <c r="AI203" i="4"/>
  <c r="AH203" i="4"/>
  <c r="AK202" i="4"/>
  <c r="AJ202" i="4"/>
  <c r="AI202" i="4"/>
  <c r="AH202" i="4"/>
  <c r="AK201" i="4"/>
  <c r="AJ201" i="4"/>
  <c r="AI201" i="4"/>
  <c r="AH201" i="4"/>
  <c r="AK200" i="4"/>
  <c r="AJ200" i="4"/>
  <c r="AI200" i="4"/>
  <c r="AH200" i="4"/>
  <c r="AK199" i="4"/>
  <c r="AJ199" i="4"/>
  <c r="AI199" i="4"/>
  <c r="AH199" i="4"/>
  <c r="AK198" i="4"/>
  <c r="AJ198" i="4"/>
  <c r="AI198" i="4"/>
  <c r="AH198" i="4"/>
  <c r="AK197" i="4"/>
  <c r="AJ197" i="4"/>
  <c r="AI197" i="4"/>
  <c r="AH197" i="4"/>
  <c r="AK196" i="4"/>
  <c r="AJ196" i="4"/>
  <c r="AI196" i="4"/>
  <c r="AH196" i="4"/>
  <c r="AK195" i="4"/>
  <c r="AJ195" i="4"/>
  <c r="AI195" i="4"/>
  <c r="AH195" i="4"/>
  <c r="AK194" i="4"/>
  <c r="AJ194" i="4"/>
  <c r="AI194" i="4"/>
  <c r="AH194" i="4"/>
  <c r="AK193" i="4"/>
  <c r="AJ193" i="4"/>
  <c r="AI193" i="4"/>
  <c r="AH193" i="4"/>
  <c r="AK192" i="4"/>
  <c r="AJ192" i="4"/>
  <c r="AI192" i="4"/>
  <c r="AH192" i="4"/>
  <c r="AK191" i="4"/>
  <c r="AJ191" i="4"/>
  <c r="AI191" i="4"/>
  <c r="AH191" i="4"/>
  <c r="AK190" i="4"/>
  <c r="AJ190" i="4"/>
  <c r="AI190" i="4"/>
  <c r="AH190" i="4"/>
  <c r="AK189" i="4"/>
  <c r="AJ189" i="4"/>
  <c r="AI189" i="4"/>
  <c r="AH189" i="4"/>
  <c r="AK188" i="4"/>
  <c r="AJ188" i="4"/>
  <c r="AI188" i="4"/>
  <c r="AH188" i="4"/>
  <c r="AK187" i="4"/>
  <c r="AJ187" i="4"/>
  <c r="AI187" i="4"/>
  <c r="AH187" i="4"/>
  <c r="AK186" i="4"/>
  <c r="AJ186" i="4"/>
  <c r="AI186" i="4"/>
  <c r="AH186" i="4"/>
  <c r="AK185" i="4"/>
  <c r="AJ185" i="4"/>
  <c r="AI185" i="4"/>
  <c r="AH185" i="4"/>
  <c r="AK184" i="4"/>
  <c r="AJ184" i="4"/>
  <c r="AI184" i="4"/>
  <c r="AH184" i="4"/>
  <c r="AK183" i="4"/>
  <c r="AJ183" i="4"/>
  <c r="AI183" i="4"/>
  <c r="AH183" i="4"/>
  <c r="AK182" i="4"/>
  <c r="AJ182" i="4"/>
  <c r="AI182" i="4"/>
  <c r="AH182" i="4"/>
  <c r="AK181" i="4"/>
  <c r="AJ181" i="4"/>
  <c r="AI181" i="4"/>
  <c r="AH181" i="4"/>
  <c r="AK180" i="4"/>
  <c r="AJ180" i="4"/>
  <c r="AI180" i="4"/>
  <c r="AH180" i="4"/>
  <c r="AK179" i="4"/>
  <c r="AJ179" i="4"/>
  <c r="AI179" i="4"/>
  <c r="AH179" i="4"/>
  <c r="AK178" i="4"/>
  <c r="AJ178" i="4"/>
  <c r="AI178" i="4"/>
  <c r="AH178" i="4"/>
  <c r="AK177" i="4"/>
  <c r="AJ177" i="4"/>
  <c r="AI177" i="4"/>
  <c r="AH177" i="4"/>
  <c r="AK176" i="4"/>
  <c r="AJ176" i="4"/>
  <c r="AI176" i="4"/>
  <c r="AH176" i="4"/>
  <c r="AK175" i="4"/>
  <c r="AJ175" i="4"/>
  <c r="AI175" i="4"/>
  <c r="AH175" i="4"/>
  <c r="AK174" i="4"/>
  <c r="AJ174" i="4"/>
  <c r="AI174" i="4"/>
  <c r="AH174" i="4"/>
  <c r="AK173" i="4"/>
  <c r="AJ173" i="4"/>
  <c r="AI173" i="4"/>
  <c r="AH173" i="4"/>
  <c r="AK172" i="4"/>
  <c r="AJ172" i="4"/>
  <c r="AI172" i="4"/>
  <c r="AH172" i="4"/>
  <c r="AK171" i="4"/>
  <c r="AJ171" i="4"/>
  <c r="AI171" i="4"/>
  <c r="AH171" i="4"/>
  <c r="AK170" i="4"/>
  <c r="AJ170" i="4"/>
  <c r="AI170" i="4"/>
  <c r="AH170" i="4"/>
  <c r="AK169" i="4"/>
  <c r="AJ169" i="4"/>
  <c r="AI169" i="4"/>
  <c r="AH169" i="4"/>
  <c r="AK168" i="4"/>
  <c r="AJ168" i="4"/>
  <c r="AI168" i="4"/>
  <c r="AH168" i="4"/>
  <c r="AK167" i="4"/>
  <c r="AJ167" i="4"/>
  <c r="AI167" i="4"/>
  <c r="AH167" i="4"/>
  <c r="AK166" i="4"/>
  <c r="AJ166" i="4"/>
  <c r="AI166" i="4"/>
  <c r="AH166" i="4"/>
  <c r="AK165" i="4"/>
  <c r="AJ165" i="4"/>
  <c r="AI165" i="4"/>
  <c r="AH165" i="4"/>
  <c r="AK164" i="4"/>
  <c r="AJ164" i="4"/>
  <c r="AI164" i="4"/>
  <c r="AH164" i="4"/>
  <c r="AK163" i="4"/>
  <c r="AJ163" i="4"/>
  <c r="AI163" i="4"/>
  <c r="AH163" i="4"/>
  <c r="AK162" i="4"/>
  <c r="AJ162" i="4"/>
  <c r="AI162" i="4"/>
  <c r="AH162" i="4"/>
  <c r="AK161" i="4"/>
  <c r="AJ161" i="4"/>
  <c r="AI161" i="4"/>
  <c r="AH161" i="4"/>
  <c r="AK160" i="4"/>
  <c r="AJ160" i="4"/>
  <c r="AI160" i="4"/>
  <c r="AH160" i="4"/>
  <c r="AK159" i="4"/>
  <c r="AJ159" i="4"/>
  <c r="AI159" i="4"/>
  <c r="AH159" i="4"/>
  <c r="AK158" i="4"/>
  <c r="AJ158" i="4"/>
  <c r="AI158" i="4"/>
  <c r="AH158" i="4"/>
  <c r="AK157" i="4"/>
  <c r="AJ157" i="4"/>
  <c r="AI157" i="4"/>
  <c r="AH157" i="4"/>
  <c r="AK156" i="4"/>
  <c r="AJ156" i="4"/>
  <c r="AI156" i="4"/>
  <c r="AH156" i="4"/>
  <c r="AK155" i="4"/>
  <c r="AJ155" i="4"/>
  <c r="AI155" i="4"/>
  <c r="AH155" i="4"/>
  <c r="AK154" i="4"/>
  <c r="AJ154" i="4"/>
  <c r="AI154" i="4"/>
  <c r="AH154" i="4"/>
  <c r="AK153" i="4"/>
  <c r="AJ153" i="4"/>
  <c r="AI153" i="4"/>
  <c r="AH153" i="4"/>
  <c r="AK152" i="4"/>
  <c r="AJ152" i="4"/>
  <c r="AI152" i="4"/>
  <c r="AH152" i="4"/>
  <c r="AK151" i="4"/>
  <c r="AJ151" i="4"/>
  <c r="AI151" i="4"/>
  <c r="AH151" i="4"/>
  <c r="AK150" i="4"/>
  <c r="AJ150" i="4"/>
  <c r="AI150" i="4"/>
  <c r="AH150" i="4"/>
  <c r="AK149" i="4"/>
  <c r="AJ149" i="4"/>
  <c r="AI149" i="4"/>
  <c r="AH149" i="4"/>
  <c r="AK148" i="4"/>
  <c r="AJ148" i="4"/>
  <c r="AI148" i="4"/>
  <c r="AH148" i="4"/>
  <c r="AK147" i="4"/>
  <c r="AJ147" i="4"/>
  <c r="AI147" i="4"/>
  <c r="AH147" i="4"/>
  <c r="AK146" i="4"/>
  <c r="AJ146" i="4"/>
  <c r="AI146" i="4"/>
  <c r="AH146" i="4"/>
  <c r="AK145" i="4"/>
  <c r="AJ145" i="4"/>
  <c r="AI145" i="4"/>
  <c r="AH145" i="4"/>
  <c r="AK144" i="4"/>
  <c r="AJ144" i="4"/>
  <c r="AI144" i="4"/>
  <c r="AH144" i="4"/>
  <c r="AK143" i="4"/>
  <c r="AJ143" i="4"/>
  <c r="AI143" i="4"/>
  <c r="AH143" i="4"/>
  <c r="AK142" i="4"/>
  <c r="AJ142" i="4"/>
  <c r="AI142" i="4"/>
  <c r="AH142" i="4"/>
  <c r="AK141" i="4"/>
  <c r="AJ141" i="4"/>
  <c r="AI141" i="4"/>
  <c r="AH141" i="4"/>
  <c r="AK140" i="4"/>
  <c r="AJ140" i="4"/>
  <c r="AI140" i="4"/>
  <c r="AH140" i="4"/>
  <c r="AK139" i="4"/>
  <c r="AJ139" i="4"/>
  <c r="AI139" i="4"/>
  <c r="AH139" i="4"/>
  <c r="AK138" i="4"/>
  <c r="AJ138" i="4"/>
  <c r="AI138" i="4"/>
  <c r="AH138" i="4"/>
  <c r="AK137" i="4"/>
  <c r="AJ137" i="4"/>
  <c r="AI137" i="4"/>
  <c r="AH137" i="4"/>
  <c r="AK136" i="4"/>
  <c r="AJ136" i="4"/>
  <c r="AI136" i="4"/>
  <c r="AH136" i="4"/>
  <c r="AK135" i="4"/>
  <c r="AJ135" i="4"/>
  <c r="AI135" i="4"/>
  <c r="AH135" i="4"/>
  <c r="AK134" i="4"/>
  <c r="AJ134" i="4"/>
  <c r="AI134" i="4"/>
  <c r="AH134" i="4"/>
  <c r="AK133" i="4"/>
  <c r="AJ133" i="4"/>
  <c r="AI133" i="4"/>
  <c r="AH133" i="4"/>
  <c r="AK132" i="4"/>
  <c r="AJ132" i="4"/>
  <c r="AI132" i="4"/>
  <c r="AH132" i="4"/>
  <c r="AK131" i="4"/>
  <c r="AJ131" i="4"/>
  <c r="AI131" i="4"/>
  <c r="AH131" i="4"/>
  <c r="AK130" i="4"/>
  <c r="AJ130" i="4"/>
  <c r="AI130" i="4"/>
  <c r="AH130" i="4"/>
  <c r="AK129" i="4"/>
  <c r="AJ129" i="4"/>
  <c r="AI129" i="4"/>
  <c r="AH129" i="4"/>
  <c r="AK128" i="4"/>
  <c r="AJ128" i="4"/>
  <c r="AI128" i="4"/>
  <c r="AH128" i="4"/>
  <c r="AK127" i="4"/>
  <c r="AJ127" i="4"/>
  <c r="AI127" i="4"/>
  <c r="AH127" i="4"/>
  <c r="AK126" i="4"/>
  <c r="AJ126" i="4"/>
  <c r="AI126" i="4"/>
  <c r="AH126" i="4"/>
  <c r="AK125" i="4"/>
  <c r="AJ125" i="4"/>
  <c r="AI125" i="4"/>
  <c r="AH125" i="4"/>
  <c r="AK124" i="4"/>
  <c r="AJ124" i="4"/>
  <c r="AI124" i="4"/>
  <c r="AH124" i="4"/>
  <c r="AK123" i="4"/>
  <c r="AJ123" i="4"/>
  <c r="AI123" i="4"/>
  <c r="AH123" i="4"/>
  <c r="AK122" i="4"/>
  <c r="AJ122" i="4"/>
  <c r="AI122" i="4"/>
  <c r="AH122" i="4"/>
  <c r="AK121" i="4"/>
  <c r="AJ121" i="4"/>
  <c r="AI121" i="4"/>
  <c r="AH121" i="4"/>
  <c r="AK120" i="4"/>
  <c r="AJ120" i="4"/>
  <c r="AI120" i="4"/>
  <c r="AH120" i="4"/>
  <c r="AK119" i="4"/>
  <c r="AJ119" i="4"/>
  <c r="AI119" i="4"/>
  <c r="AH119" i="4"/>
  <c r="AK118" i="4"/>
  <c r="AJ118" i="4"/>
  <c r="AI118" i="4"/>
  <c r="AH118" i="4"/>
  <c r="AK117" i="4"/>
  <c r="AJ117" i="4"/>
  <c r="AI117" i="4"/>
  <c r="AH117" i="4"/>
  <c r="AK116" i="4"/>
  <c r="AJ116" i="4"/>
  <c r="AI116" i="4"/>
  <c r="AH116" i="4"/>
  <c r="AK115" i="4"/>
  <c r="AJ115" i="4"/>
  <c r="AI115" i="4"/>
  <c r="AH115" i="4"/>
  <c r="AK114" i="4"/>
  <c r="AJ114" i="4"/>
  <c r="AI114" i="4"/>
  <c r="AH114" i="4"/>
  <c r="AK113" i="4"/>
  <c r="AJ113" i="4"/>
  <c r="AI113" i="4"/>
  <c r="AH113" i="4"/>
  <c r="AK112" i="4"/>
  <c r="AJ112" i="4"/>
  <c r="AI112" i="4"/>
  <c r="AH112" i="4"/>
  <c r="AK111" i="4"/>
  <c r="AJ111" i="4"/>
  <c r="AI111" i="4"/>
  <c r="AH111" i="4"/>
  <c r="AK110" i="4"/>
  <c r="AJ110" i="4"/>
  <c r="AI110" i="4"/>
  <c r="AH110" i="4"/>
  <c r="AK109" i="4"/>
  <c r="AJ109" i="4"/>
  <c r="AI109" i="4"/>
  <c r="AH109" i="4"/>
  <c r="AK108" i="4"/>
  <c r="AJ108" i="4"/>
  <c r="AI108" i="4"/>
  <c r="AH108" i="4"/>
  <c r="AK107" i="4"/>
  <c r="AJ107" i="4"/>
  <c r="AI107" i="4"/>
  <c r="AH107" i="4"/>
  <c r="AK106" i="4"/>
  <c r="AJ106" i="4"/>
  <c r="AI106" i="4"/>
  <c r="AH106" i="4"/>
  <c r="AK105" i="4"/>
  <c r="AJ105" i="4"/>
  <c r="AI105" i="4"/>
  <c r="AH105" i="4"/>
  <c r="AK104" i="4"/>
  <c r="AJ104" i="4"/>
  <c r="AI104" i="4"/>
  <c r="AH104" i="4"/>
  <c r="AK103" i="4"/>
  <c r="AJ103" i="4"/>
  <c r="AI103" i="4"/>
  <c r="AH103" i="4"/>
  <c r="AK102" i="4"/>
  <c r="AJ102" i="4"/>
  <c r="AI102" i="4"/>
  <c r="AH102" i="4"/>
  <c r="AK101" i="4"/>
  <c r="AJ101" i="4"/>
  <c r="AI101" i="4"/>
  <c r="AH101" i="4"/>
  <c r="AK100" i="4"/>
  <c r="AJ100" i="4"/>
  <c r="AI100" i="4"/>
  <c r="AH100" i="4"/>
  <c r="AK99" i="4"/>
  <c r="AJ99" i="4"/>
  <c r="AI99" i="4"/>
  <c r="AH99" i="4"/>
  <c r="AK98" i="4"/>
  <c r="AJ98" i="4"/>
  <c r="AI98" i="4"/>
  <c r="AH98" i="4"/>
  <c r="AK97" i="4"/>
  <c r="AJ97" i="4"/>
  <c r="AI97" i="4"/>
  <c r="AH97" i="4"/>
  <c r="AK96" i="4"/>
  <c r="AJ96" i="4"/>
  <c r="AI96" i="4"/>
  <c r="AH96" i="4"/>
  <c r="AK95" i="4"/>
  <c r="AJ95" i="4"/>
  <c r="AI95" i="4"/>
  <c r="AH95" i="4"/>
  <c r="AK93" i="4"/>
  <c r="AJ93" i="4"/>
  <c r="AI93" i="4"/>
  <c r="AH93" i="4"/>
  <c r="AK92" i="4"/>
  <c r="AJ92" i="4"/>
  <c r="AI92" i="4"/>
  <c r="AH92" i="4"/>
  <c r="AK91" i="4"/>
  <c r="AJ91" i="4"/>
  <c r="AI91" i="4"/>
  <c r="AX91" i="4" s="1"/>
  <c r="AH91" i="4"/>
  <c r="AK90" i="4"/>
  <c r="AJ90" i="4"/>
  <c r="AI90" i="4"/>
  <c r="AX90" i="4" s="1"/>
  <c r="AH90" i="4"/>
  <c r="AK89" i="4"/>
  <c r="AJ89" i="4"/>
  <c r="AI89" i="4"/>
  <c r="AH89" i="4"/>
  <c r="AK88" i="4"/>
  <c r="AJ88" i="4"/>
  <c r="AI88" i="4"/>
  <c r="AX88" i="4" s="1"/>
  <c r="AH88" i="4"/>
  <c r="AK87" i="4"/>
  <c r="AJ87" i="4"/>
  <c r="AJ86" i="4" s="1"/>
  <c r="AI87" i="4"/>
  <c r="AH87" i="4"/>
  <c r="AK85" i="4"/>
  <c r="AJ85" i="4"/>
  <c r="AI85" i="4"/>
  <c r="AH85" i="4"/>
  <c r="AK84" i="4"/>
  <c r="AJ84" i="4"/>
  <c r="AI84" i="4"/>
  <c r="AH84" i="4"/>
  <c r="AK82" i="4"/>
  <c r="AJ82" i="4"/>
  <c r="AI82" i="4"/>
  <c r="AX82" i="4" s="1"/>
  <c r="AH82" i="4"/>
  <c r="AK81" i="4"/>
  <c r="AJ81" i="4"/>
  <c r="AI81" i="4"/>
  <c r="AH81" i="4"/>
  <c r="AK80" i="4"/>
  <c r="AJ80" i="4"/>
  <c r="AI80" i="4"/>
  <c r="AX80" i="4" s="1"/>
  <c r="AH80" i="4"/>
  <c r="AK79" i="4"/>
  <c r="AJ79" i="4"/>
  <c r="AI79" i="4"/>
  <c r="AX79" i="4" s="1"/>
  <c r="AH79" i="4"/>
  <c r="AK78" i="4"/>
  <c r="AK77" i="4" s="1"/>
  <c r="AJ78" i="4"/>
  <c r="AJ77" i="4" s="1"/>
  <c r="AI78" i="4"/>
  <c r="AH78" i="4"/>
  <c r="AK76" i="4"/>
  <c r="AJ76" i="4"/>
  <c r="AI76" i="4"/>
  <c r="AX76" i="4" s="1"/>
  <c r="AH76" i="4"/>
  <c r="AK75" i="4"/>
  <c r="AJ75" i="4"/>
  <c r="AI75" i="4"/>
  <c r="AX75" i="4" s="1"/>
  <c r="AH75" i="4"/>
  <c r="AK74" i="4"/>
  <c r="AK73" i="4" s="1"/>
  <c r="AJ74" i="4"/>
  <c r="AJ73" i="4" s="1"/>
  <c r="AI74" i="4"/>
  <c r="AH74" i="4"/>
  <c r="AK72" i="4"/>
  <c r="AJ72" i="4"/>
  <c r="AI72" i="4"/>
  <c r="AX72" i="4" s="1"/>
  <c r="AH72" i="4"/>
  <c r="AK71" i="4"/>
  <c r="AK70" i="4" s="1"/>
  <c r="AJ71" i="4"/>
  <c r="AJ70" i="4" s="1"/>
  <c r="AI71" i="4"/>
  <c r="AH71" i="4"/>
  <c r="AK69" i="4"/>
  <c r="AJ69" i="4"/>
  <c r="AI69" i="4"/>
  <c r="AH69" i="4"/>
  <c r="AK68" i="4"/>
  <c r="AJ68" i="4"/>
  <c r="AI68" i="4"/>
  <c r="AH68" i="4"/>
  <c r="AK66" i="4"/>
  <c r="AJ66" i="4"/>
  <c r="AI66" i="4"/>
  <c r="AX66" i="4" s="1"/>
  <c r="AH66" i="4"/>
  <c r="AK65" i="4"/>
  <c r="AJ65" i="4"/>
  <c r="AI65" i="4"/>
  <c r="AH65" i="4"/>
  <c r="AK64" i="4"/>
  <c r="AJ64" i="4"/>
  <c r="AI64" i="4"/>
  <c r="AX64" i="4" s="1"/>
  <c r="AH64" i="4"/>
  <c r="AK63" i="4"/>
  <c r="AJ63" i="4"/>
  <c r="AI63" i="4"/>
  <c r="AH63" i="4"/>
  <c r="AK62" i="4"/>
  <c r="AK61" i="4" s="1"/>
  <c r="AJ62" i="4"/>
  <c r="AJ61" i="4" s="1"/>
  <c r="AI62" i="4"/>
  <c r="AH62" i="4"/>
  <c r="AH61" i="4" s="1"/>
  <c r="AK60" i="4"/>
  <c r="AJ60" i="4"/>
  <c r="AI60" i="4"/>
  <c r="AX60" i="4" s="1"/>
  <c r="AH60" i="4"/>
  <c r="AK59" i="4"/>
  <c r="AK58" i="4" s="1"/>
  <c r="AJ59" i="4"/>
  <c r="AJ58" i="4" s="1"/>
  <c r="AI59" i="4"/>
  <c r="AH59" i="4"/>
  <c r="AH58" i="4" s="1"/>
  <c r="AK57" i="4"/>
  <c r="AJ57" i="4"/>
  <c r="AI57" i="4"/>
  <c r="AH57" i="4"/>
  <c r="AK56" i="4"/>
  <c r="AJ56" i="4"/>
  <c r="AI56" i="4"/>
  <c r="AX56" i="4" s="1"/>
  <c r="AH56" i="4"/>
  <c r="AK55" i="4"/>
  <c r="AJ55" i="4"/>
  <c r="AI55" i="4"/>
  <c r="AX55" i="4" s="1"/>
  <c r="AH55" i="4"/>
  <c r="AK54" i="4"/>
  <c r="AK53" i="4" s="1"/>
  <c r="AJ54" i="4"/>
  <c r="AI54" i="4"/>
  <c r="AH54" i="4"/>
  <c r="AH53" i="4" s="1"/>
  <c r="AK52" i="4"/>
  <c r="AJ52" i="4"/>
  <c r="AI52" i="4"/>
  <c r="AX52" i="4" s="1"/>
  <c r="AH52" i="4"/>
  <c r="AK51" i="4"/>
  <c r="AK50" i="4" s="1"/>
  <c r="AJ51" i="4"/>
  <c r="AJ50" i="4" s="1"/>
  <c r="AI51" i="4"/>
  <c r="AH51" i="4"/>
  <c r="AH50" i="4" s="1"/>
  <c r="AK49" i="4"/>
  <c r="AJ49" i="4"/>
  <c r="AI49" i="4"/>
  <c r="AH49" i="4"/>
  <c r="AK48" i="4"/>
  <c r="AJ48" i="4"/>
  <c r="AI48" i="4"/>
  <c r="AX48" i="4" s="1"/>
  <c r="AH48" i="4"/>
  <c r="AK47" i="4"/>
  <c r="AJ47" i="4"/>
  <c r="AI47" i="4"/>
  <c r="AX47" i="4" s="1"/>
  <c r="AH47" i="4"/>
  <c r="AK46" i="4"/>
  <c r="AJ46" i="4"/>
  <c r="AI46" i="4"/>
  <c r="AH46" i="4"/>
  <c r="AK45" i="4"/>
  <c r="AJ45" i="4"/>
  <c r="AI45" i="4"/>
  <c r="AX45" i="4" s="1"/>
  <c r="AH45" i="4"/>
  <c r="AK44" i="4"/>
  <c r="AJ44" i="4"/>
  <c r="AI44" i="4"/>
  <c r="AX44" i="4" s="1"/>
  <c r="AH44" i="4"/>
  <c r="AK43" i="4"/>
  <c r="AJ43" i="4"/>
  <c r="AI43" i="4"/>
  <c r="AH43" i="4"/>
  <c r="AK42" i="4"/>
  <c r="AJ42" i="4"/>
  <c r="AI42" i="4"/>
  <c r="AH42" i="4"/>
  <c r="AK40" i="4"/>
  <c r="AK39" i="4" s="1"/>
  <c r="AJ40" i="4"/>
  <c r="AJ39" i="4" s="1"/>
  <c r="AI40" i="4"/>
  <c r="AH40" i="4"/>
  <c r="AH39" i="4" s="1"/>
  <c r="AK38" i="4"/>
  <c r="AJ38" i="4"/>
  <c r="AI38" i="4"/>
  <c r="AH38" i="4"/>
  <c r="AK37" i="4"/>
  <c r="AJ37" i="4"/>
  <c r="AI37" i="4"/>
  <c r="AX37" i="4" s="1"/>
  <c r="AH37" i="4"/>
  <c r="AK36" i="4"/>
  <c r="AJ36" i="4"/>
  <c r="AI36" i="4"/>
  <c r="AH36" i="4"/>
  <c r="AK34" i="4"/>
  <c r="AJ34" i="4"/>
  <c r="AI34" i="4"/>
  <c r="AH34" i="4"/>
  <c r="AK33" i="4"/>
  <c r="AJ33" i="4"/>
  <c r="AI33" i="4"/>
  <c r="AX33" i="4" s="1"/>
  <c r="AH33" i="4"/>
  <c r="AK32" i="4"/>
  <c r="AJ32" i="4"/>
  <c r="AI32" i="4"/>
  <c r="AH32" i="4"/>
  <c r="AK31" i="4"/>
  <c r="AJ31" i="4"/>
  <c r="AI31" i="4"/>
  <c r="AH31" i="4"/>
  <c r="AK30" i="4"/>
  <c r="AJ30" i="4"/>
  <c r="AI30" i="4"/>
  <c r="AX30" i="4" s="1"/>
  <c r="AH30" i="4"/>
  <c r="AK29" i="4"/>
  <c r="AJ29" i="4"/>
  <c r="AI29" i="4"/>
  <c r="AH29" i="4"/>
  <c r="AK27" i="4"/>
  <c r="AJ27" i="4"/>
  <c r="AI27" i="4"/>
  <c r="AH27" i="4"/>
  <c r="AK26" i="4"/>
  <c r="AJ26" i="4"/>
  <c r="AI26" i="4"/>
  <c r="AX26" i="4" s="1"/>
  <c r="AH26" i="4"/>
  <c r="AK25" i="4"/>
  <c r="AJ25" i="4"/>
  <c r="AI25" i="4"/>
  <c r="AX25" i="4" s="1"/>
  <c r="AH25" i="4"/>
  <c r="AK24" i="4"/>
  <c r="AJ24" i="4"/>
  <c r="AJ23" i="4" s="1"/>
  <c r="AI24" i="4"/>
  <c r="AH24" i="4"/>
  <c r="AH23" i="4" s="1"/>
  <c r="AK22" i="4"/>
  <c r="AJ22" i="4"/>
  <c r="AI22" i="4"/>
  <c r="AX22" i="4" s="1"/>
  <c r="AH22" i="4"/>
  <c r="AK21" i="4"/>
  <c r="AK20" i="4" s="1"/>
  <c r="AJ21" i="4"/>
  <c r="AJ20" i="4" s="1"/>
  <c r="AI21" i="4"/>
  <c r="AH21" i="4"/>
  <c r="AH20" i="4" s="1"/>
  <c r="AK19" i="4"/>
  <c r="AJ19" i="4"/>
  <c r="AI19" i="4"/>
  <c r="AH19" i="4"/>
  <c r="AK18" i="4"/>
  <c r="AJ18" i="4"/>
  <c r="AI18" i="4"/>
  <c r="AX18" i="4" s="1"/>
  <c r="AH18" i="4"/>
  <c r="AK17" i="4"/>
  <c r="AJ17" i="4"/>
  <c r="AI17" i="4"/>
  <c r="AH17" i="4"/>
  <c r="AH16" i="4" s="1"/>
  <c r="AK15" i="4"/>
  <c r="AJ15" i="4"/>
  <c r="AI15" i="4"/>
  <c r="AH15" i="4"/>
  <c r="AK14" i="4"/>
  <c r="AJ14" i="4"/>
  <c r="AI14" i="4"/>
  <c r="AH14" i="4"/>
  <c r="AH13" i="4" s="1"/>
  <c r="AK12" i="4"/>
  <c r="AJ12" i="4"/>
  <c r="AI12" i="4"/>
  <c r="AH12" i="4"/>
  <c r="AK11" i="4"/>
  <c r="AJ11" i="4"/>
  <c r="AI11" i="4"/>
  <c r="AH11" i="4"/>
  <c r="AK10" i="4"/>
  <c r="AJ10" i="4"/>
  <c r="AI10" i="4"/>
  <c r="AX10" i="4" s="1"/>
  <c r="AH10" i="4"/>
  <c r="AK9" i="4"/>
  <c r="AJ9" i="4"/>
  <c r="AI9" i="4"/>
  <c r="AX9" i="4" s="1"/>
  <c r="AH9" i="4"/>
  <c r="AK8" i="4"/>
  <c r="AJ8" i="4"/>
  <c r="AI8" i="4"/>
  <c r="AH8" i="4"/>
  <c r="X246" i="4"/>
  <c r="W308" i="4"/>
  <c r="V308" i="4"/>
  <c r="W306" i="4"/>
  <c r="V306" i="4"/>
  <c r="W305" i="4"/>
  <c r="V305" i="4"/>
  <c r="W304" i="4"/>
  <c r="V304" i="4"/>
  <c r="W303" i="4"/>
  <c r="V303" i="4"/>
  <c r="W302" i="4"/>
  <c r="V302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1" i="4"/>
  <c r="V281" i="4"/>
  <c r="W279" i="4"/>
  <c r="V279" i="4"/>
  <c r="W277" i="4"/>
  <c r="V277" i="4"/>
  <c r="W276" i="4"/>
  <c r="V276" i="4"/>
  <c r="W275" i="4"/>
  <c r="V275" i="4"/>
  <c r="W274" i="4"/>
  <c r="V274" i="4"/>
  <c r="W272" i="4"/>
  <c r="V272" i="4"/>
  <c r="W271" i="4"/>
  <c r="V271" i="4"/>
  <c r="W270" i="4"/>
  <c r="V270" i="4"/>
  <c r="W268" i="4"/>
  <c r="V268" i="4"/>
  <c r="W267" i="4"/>
  <c r="V267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8" i="4"/>
  <c r="V248" i="4"/>
  <c r="W247" i="4"/>
  <c r="V247" i="4"/>
  <c r="Y309" i="4"/>
  <c r="X309" i="4"/>
  <c r="Y308" i="4"/>
  <c r="X308" i="4"/>
  <c r="Y307" i="4"/>
  <c r="X307" i="4"/>
  <c r="Y306" i="4"/>
  <c r="X306" i="4"/>
  <c r="Y305" i="4"/>
  <c r="X305" i="4"/>
  <c r="Y304" i="4"/>
  <c r="X304" i="4"/>
  <c r="Y303" i="4"/>
  <c r="X303" i="4"/>
  <c r="Y302" i="4"/>
  <c r="X302" i="4"/>
  <c r="Y301" i="4"/>
  <c r="X301" i="4"/>
  <c r="Y300" i="4"/>
  <c r="X300" i="4"/>
  <c r="Y299" i="4"/>
  <c r="X299" i="4"/>
  <c r="Y298" i="4"/>
  <c r="X298" i="4"/>
  <c r="Y297" i="4"/>
  <c r="X297" i="4"/>
  <c r="Y296" i="4"/>
  <c r="X296" i="4"/>
  <c r="Y295" i="4"/>
  <c r="X295" i="4"/>
  <c r="Y294" i="4"/>
  <c r="X294" i="4"/>
  <c r="Y293" i="4"/>
  <c r="X293" i="4"/>
  <c r="Y292" i="4"/>
  <c r="X292" i="4"/>
  <c r="Y291" i="4"/>
  <c r="X291" i="4"/>
  <c r="Y290" i="4"/>
  <c r="X290" i="4"/>
  <c r="Y289" i="4"/>
  <c r="X289" i="4"/>
  <c r="Y288" i="4"/>
  <c r="X288" i="4"/>
  <c r="Y287" i="4"/>
  <c r="X287" i="4"/>
  <c r="Y286" i="4"/>
  <c r="X286" i="4"/>
  <c r="Y285" i="4"/>
  <c r="X285" i="4"/>
  <c r="Y284" i="4"/>
  <c r="X284" i="4"/>
  <c r="Y283" i="4"/>
  <c r="X283" i="4"/>
  <c r="Y282" i="4"/>
  <c r="X282" i="4"/>
  <c r="Y281" i="4"/>
  <c r="X281" i="4"/>
  <c r="Y280" i="4"/>
  <c r="X280" i="4"/>
  <c r="Y279" i="4"/>
  <c r="X279" i="4"/>
  <c r="Y278" i="4"/>
  <c r="X278" i="4"/>
  <c r="Y277" i="4"/>
  <c r="X277" i="4"/>
  <c r="Y276" i="4"/>
  <c r="X276" i="4"/>
  <c r="Y275" i="4"/>
  <c r="X275" i="4"/>
  <c r="Y274" i="4"/>
  <c r="X274" i="4"/>
  <c r="Y273" i="4"/>
  <c r="X273" i="4"/>
  <c r="Y272" i="4"/>
  <c r="X272" i="4"/>
  <c r="Y271" i="4"/>
  <c r="X271" i="4"/>
  <c r="Y270" i="4"/>
  <c r="X270" i="4"/>
  <c r="Y269" i="4"/>
  <c r="X269" i="4"/>
  <c r="Y268" i="4"/>
  <c r="X268" i="4"/>
  <c r="Y267" i="4"/>
  <c r="X267" i="4"/>
  <c r="Y266" i="4"/>
  <c r="X266" i="4"/>
  <c r="Y265" i="4"/>
  <c r="X265" i="4"/>
  <c r="Y264" i="4"/>
  <c r="X264" i="4"/>
  <c r="Y263" i="4"/>
  <c r="X263" i="4"/>
  <c r="Y262" i="4"/>
  <c r="X262" i="4"/>
  <c r="Y261" i="4"/>
  <c r="X261" i="4"/>
  <c r="Y260" i="4"/>
  <c r="X260" i="4"/>
  <c r="Y259" i="4"/>
  <c r="X259" i="4"/>
  <c r="Y258" i="4"/>
  <c r="X258" i="4"/>
  <c r="Y257" i="4"/>
  <c r="X257" i="4"/>
  <c r="Y256" i="4"/>
  <c r="X256" i="4"/>
  <c r="Y255" i="4"/>
  <c r="X255" i="4"/>
  <c r="Y254" i="4"/>
  <c r="X254" i="4"/>
  <c r="Y253" i="4"/>
  <c r="X253" i="4"/>
  <c r="Y252" i="4"/>
  <c r="X252" i="4"/>
  <c r="Y251" i="4"/>
  <c r="X251" i="4"/>
  <c r="Y250" i="4"/>
  <c r="X250" i="4"/>
  <c r="Y249" i="4"/>
  <c r="X249" i="4"/>
  <c r="Y248" i="4"/>
  <c r="X248" i="4"/>
  <c r="Y247" i="4"/>
  <c r="X247" i="4"/>
  <c r="Y246" i="4"/>
  <c r="Y245" i="4"/>
  <c r="X245" i="4"/>
  <c r="Y244" i="4"/>
  <c r="X244" i="4"/>
  <c r="Y243" i="4"/>
  <c r="X243" i="4"/>
  <c r="Y242" i="4"/>
  <c r="X242" i="4"/>
  <c r="Y241" i="4"/>
  <c r="X241" i="4"/>
  <c r="Y240" i="4"/>
  <c r="X240" i="4"/>
  <c r="Y239" i="4"/>
  <c r="X239" i="4"/>
  <c r="Y238" i="4"/>
  <c r="X238" i="4"/>
  <c r="Y237" i="4"/>
  <c r="X237" i="4"/>
  <c r="Y236" i="4"/>
  <c r="X236" i="4"/>
  <c r="Y235" i="4"/>
  <c r="X235" i="4"/>
  <c r="Y234" i="4"/>
  <c r="X234" i="4"/>
  <c r="Y233" i="4"/>
  <c r="X233" i="4"/>
  <c r="Y232" i="4"/>
  <c r="X232" i="4"/>
  <c r="Y231" i="4"/>
  <c r="X231" i="4"/>
  <c r="Y230" i="4"/>
  <c r="X230" i="4"/>
  <c r="Y229" i="4"/>
  <c r="X229" i="4"/>
  <c r="Y228" i="4"/>
  <c r="X228" i="4"/>
  <c r="Y227" i="4"/>
  <c r="X227" i="4"/>
  <c r="Y226" i="4"/>
  <c r="X226" i="4"/>
  <c r="Y225" i="4"/>
  <c r="X225" i="4"/>
  <c r="Y224" i="4"/>
  <c r="X224" i="4"/>
  <c r="Y223" i="4"/>
  <c r="X223" i="4"/>
  <c r="Y222" i="4"/>
  <c r="X222" i="4"/>
  <c r="Y221" i="4"/>
  <c r="X221" i="4"/>
  <c r="Y220" i="4"/>
  <c r="X220" i="4"/>
  <c r="Y219" i="4"/>
  <c r="X219" i="4"/>
  <c r="Y218" i="4"/>
  <c r="X218" i="4"/>
  <c r="Y217" i="4"/>
  <c r="X217" i="4"/>
  <c r="Y216" i="4"/>
  <c r="X216" i="4"/>
  <c r="Y215" i="4"/>
  <c r="X215" i="4"/>
  <c r="Y214" i="4"/>
  <c r="X214" i="4"/>
  <c r="Y213" i="4"/>
  <c r="X213" i="4"/>
  <c r="Y212" i="4"/>
  <c r="X212" i="4"/>
  <c r="Y211" i="4"/>
  <c r="X211" i="4"/>
  <c r="Y210" i="4"/>
  <c r="X210" i="4"/>
  <c r="Y209" i="4"/>
  <c r="X209" i="4"/>
  <c r="Y208" i="4"/>
  <c r="X208" i="4"/>
  <c r="Y207" i="4"/>
  <c r="X207" i="4"/>
  <c r="Y206" i="4"/>
  <c r="X206" i="4"/>
  <c r="Y205" i="4"/>
  <c r="X205" i="4"/>
  <c r="Y204" i="4"/>
  <c r="X204" i="4"/>
  <c r="Y203" i="4"/>
  <c r="X203" i="4"/>
  <c r="Y202" i="4"/>
  <c r="X202" i="4"/>
  <c r="Y201" i="4"/>
  <c r="X201" i="4"/>
  <c r="Y200" i="4"/>
  <c r="X200" i="4"/>
  <c r="Y199" i="4"/>
  <c r="X199" i="4"/>
  <c r="Y198" i="4"/>
  <c r="X198" i="4"/>
  <c r="Y197" i="4"/>
  <c r="X197" i="4"/>
  <c r="Y196" i="4"/>
  <c r="X196" i="4"/>
  <c r="Y195" i="4"/>
  <c r="X195" i="4"/>
  <c r="Y194" i="4"/>
  <c r="X194" i="4"/>
  <c r="Y193" i="4"/>
  <c r="X193" i="4"/>
  <c r="Y192" i="4"/>
  <c r="X192" i="4"/>
  <c r="Y191" i="4"/>
  <c r="X191" i="4"/>
  <c r="Y190" i="4"/>
  <c r="X190" i="4"/>
  <c r="Y189" i="4"/>
  <c r="X189" i="4"/>
  <c r="Y188" i="4"/>
  <c r="X188" i="4"/>
  <c r="Y187" i="4"/>
  <c r="X187" i="4"/>
  <c r="Y186" i="4"/>
  <c r="X186" i="4"/>
  <c r="Y185" i="4"/>
  <c r="X185" i="4"/>
  <c r="Y184" i="4"/>
  <c r="X184" i="4"/>
  <c r="Y183" i="4"/>
  <c r="X183" i="4"/>
  <c r="Y182" i="4"/>
  <c r="X182" i="4"/>
  <c r="Y181" i="4"/>
  <c r="X181" i="4"/>
  <c r="Y180" i="4"/>
  <c r="X180" i="4"/>
  <c r="Y179" i="4"/>
  <c r="X179" i="4"/>
  <c r="Y178" i="4"/>
  <c r="X178" i="4"/>
  <c r="Y177" i="4"/>
  <c r="X177" i="4"/>
  <c r="Y176" i="4"/>
  <c r="X176" i="4"/>
  <c r="Y175" i="4"/>
  <c r="X175" i="4"/>
  <c r="Y174" i="4"/>
  <c r="X174" i="4"/>
  <c r="Y173" i="4"/>
  <c r="X173" i="4"/>
  <c r="Y172" i="4"/>
  <c r="X172" i="4"/>
  <c r="Y171" i="4"/>
  <c r="X171" i="4"/>
  <c r="Y170" i="4"/>
  <c r="X170" i="4"/>
  <c r="Y169" i="4"/>
  <c r="X169" i="4"/>
  <c r="Y168" i="4"/>
  <c r="X168" i="4"/>
  <c r="Y167" i="4"/>
  <c r="X167" i="4"/>
  <c r="Y166" i="4"/>
  <c r="X166" i="4"/>
  <c r="Y165" i="4"/>
  <c r="X165" i="4"/>
  <c r="Y164" i="4"/>
  <c r="X164" i="4"/>
  <c r="Y163" i="4"/>
  <c r="X163" i="4"/>
  <c r="Y162" i="4"/>
  <c r="X162" i="4"/>
  <c r="Y161" i="4"/>
  <c r="X161" i="4"/>
  <c r="Y160" i="4"/>
  <c r="X160" i="4"/>
  <c r="Y159" i="4"/>
  <c r="X159" i="4"/>
  <c r="Y158" i="4"/>
  <c r="X158" i="4"/>
  <c r="Y157" i="4"/>
  <c r="X157" i="4"/>
  <c r="Y156" i="4"/>
  <c r="X156" i="4"/>
  <c r="Y155" i="4"/>
  <c r="X155" i="4"/>
  <c r="Y154" i="4"/>
  <c r="X154" i="4"/>
  <c r="Y153" i="4"/>
  <c r="X153" i="4"/>
  <c r="Y152" i="4"/>
  <c r="X152" i="4"/>
  <c r="Y151" i="4"/>
  <c r="X151" i="4"/>
  <c r="Y150" i="4"/>
  <c r="X150" i="4"/>
  <c r="Y149" i="4"/>
  <c r="X149" i="4"/>
  <c r="Y148" i="4"/>
  <c r="X148" i="4"/>
  <c r="Y147" i="4"/>
  <c r="X147" i="4"/>
  <c r="Y146" i="4"/>
  <c r="X146" i="4"/>
  <c r="Y145" i="4"/>
  <c r="X145" i="4"/>
  <c r="Y144" i="4"/>
  <c r="X144" i="4"/>
  <c r="Y143" i="4"/>
  <c r="X143" i="4"/>
  <c r="Y142" i="4"/>
  <c r="X142" i="4"/>
  <c r="Y141" i="4"/>
  <c r="X141" i="4"/>
  <c r="Y140" i="4"/>
  <c r="X140" i="4"/>
  <c r="Y139" i="4"/>
  <c r="X139" i="4"/>
  <c r="Y138" i="4"/>
  <c r="X138" i="4"/>
  <c r="Y137" i="4"/>
  <c r="X137" i="4"/>
  <c r="Y136" i="4"/>
  <c r="X136" i="4"/>
  <c r="Y135" i="4"/>
  <c r="X135" i="4"/>
  <c r="Y134" i="4"/>
  <c r="X134" i="4"/>
  <c r="Y133" i="4"/>
  <c r="X133" i="4"/>
  <c r="Y132" i="4"/>
  <c r="X132" i="4"/>
  <c r="Y131" i="4"/>
  <c r="X131" i="4"/>
  <c r="Y130" i="4"/>
  <c r="X130" i="4"/>
  <c r="Y129" i="4"/>
  <c r="X129" i="4"/>
  <c r="Y128" i="4"/>
  <c r="X128" i="4"/>
  <c r="Y127" i="4"/>
  <c r="X127" i="4"/>
  <c r="Y126" i="4"/>
  <c r="X126" i="4"/>
  <c r="Y125" i="4"/>
  <c r="X125" i="4"/>
  <c r="Y124" i="4"/>
  <c r="X124" i="4"/>
  <c r="Y123" i="4"/>
  <c r="X123" i="4"/>
  <c r="Y122" i="4"/>
  <c r="X122" i="4"/>
  <c r="Y121" i="4"/>
  <c r="X121" i="4"/>
  <c r="Y120" i="4"/>
  <c r="X120" i="4"/>
  <c r="Y119" i="4"/>
  <c r="X119" i="4"/>
  <c r="Y118" i="4"/>
  <c r="X118" i="4"/>
  <c r="Y117" i="4"/>
  <c r="X117" i="4"/>
  <c r="Y116" i="4"/>
  <c r="X116" i="4"/>
  <c r="Y115" i="4"/>
  <c r="X115" i="4"/>
  <c r="Y114" i="4"/>
  <c r="X114" i="4"/>
  <c r="Y113" i="4"/>
  <c r="X113" i="4"/>
  <c r="Y112" i="4"/>
  <c r="X112" i="4"/>
  <c r="Y111" i="4"/>
  <c r="X111" i="4"/>
  <c r="Y110" i="4"/>
  <c r="X110" i="4"/>
  <c r="Y109" i="4"/>
  <c r="X109" i="4"/>
  <c r="Y108" i="4"/>
  <c r="X108" i="4"/>
  <c r="Y107" i="4"/>
  <c r="X107" i="4"/>
  <c r="Y106" i="4"/>
  <c r="X106" i="4"/>
  <c r="Y105" i="4"/>
  <c r="X105" i="4"/>
  <c r="Y104" i="4"/>
  <c r="X104" i="4"/>
  <c r="Y103" i="4"/>
  <c r="X103" i="4"/>
  <c r="Y102" i="4"/>
  <c r="X102" i="4"/>
  <c r="Y101" i="4"/>
  <c r="X101" i="4"/>
  <c r="Y100" i="4"/>
  <c r="X100" i="4"/>
  <c r="Y99" i="4"/>
  <c r="X99" i="4"/>
  <c r="Y98" i="4"/>
  <c r="X98" i="4"/>
  <c r="Y97" i="4"/>
  <c r="X97" i="4"/>
  <c r="Y96" i="4"/>
  <c r="X96" i="4"/>
  <c r="Y95" i="4"/>
  <c r="X95" i="4"/>
  <c r="Y94" i="4"/>
  <c r="X94" i="4"/>
  <c r="Y93" i="4"/>
  <c r="X93" i="4"/>
  <c r="Y92" i="4"/>
  <c r="X92" i="4"/>
  <c r="Y91" i="4"/>
  <c r="X91" i="4"/>
  <c r="Y90" i="4"/>
  <c r="X90" i="4"/>
  <c r="Y89" i="4"/>
  <c r="X89" i="4"/>
  <c r="Y88" i="4"/>
  <c r="X88" i="4"/>
  <c r="Y87" i="4"/>
  <c r="X87" i="4"/>
  <c r="Y85" i="4"/>
  <c r="X85" i="4"/>
  <c r="Y84" i="4"/>
  <c r="X84" i="4"/>
  <c r="Y82" i="4"/>
  <c r="X82" i="4"/>
  <c r="Y81" i="4"/>
  <c r="X81" i="4"/>
  <c r="Y80" i="4"/>
  <c r="X80" i="4"/>
  <c r="Y79" i="4"/>
  <c r="X79" i="4"/>
  <c r="Y78" i="4"/>
  <c r="Y77" i="4" s="1"/>
  <c r="X78" i="4"/>
  <c r="X77" i="4" s="1"/>
  <c r="Y76" i="4"/>
  <c r="X76" i="4"/>
  <c r="Y75" i="4"/>
  <c r="X75" i="4"/>
  <c r="Y74" i="4"/>
  <c r="Y73" i="4" s="1"/>
  <c r="X74" i="4"/>
  <c r="X73" i="4" s="1"/>
  <c r="Y72" i="4"/>
  <c r="X72" i="4"/>
  <c r="Y71" i="4"/>
  <c r="Y70" i="4" s="1"/>
  <c r="X71" i="4"/>
  <c r="Y69" i="4"/>
  <c r="X69" i="4"/>
  <c r="Y68" i="4"/>
  <c r="X68" i="4"/>
  <c r="Y66" i="4"/>
  <c r="X66" i="4"/>
  <c r="Y65" i="4"/>
  <c r="X65" i="4"/>
  <c r="Y64" i="4"/>
  <c r="X64" i="4"/>
  <c r="Y63" i="4"/>
  <c r="X63" i="4"/>
  <c r="Y62" i="4"/>
  <c r="Y61" i="4" s="1"/>
  <c r="X62" i="4"/>
  <c r="X61" i="4" s="1"/>
  <c r="Y60" i="4"/>
  <c r="X60" i="4"/>
  <c r="Y59" i="4"/>
  <c r="Y58" i="4" s="1"/>
  <c r="X59" i="4"/>
  <c r="X58" i="4" s="1"/>
  <c r="Y57" i="4"/>
  <c r="X57" i="4"/>
  <c r="Y56" i="4"/>
  <c r="X56" i="4"/>
  <c r="Y55" i="4"/>
  <c r="X55" i="4"/>
  <c r="Y54" i="4"/>
  <c r="Y53" i="4" s="1"/>
  <c r="X54" i="4"/>
  <c r="X53" i="4" s="1"/>
  <c r="Y52" i="4"/>
  <c r="X52" i="4"/>
  <c r="Y51" i="4"/>
  <c r="Y50" i="4" s="1"/>
  <c r="X51" i="4"/>
  <c r="X50" i="4" s="1"/>
  <c r="Y49" i="4"/>
  <c r="X49" i="4"/>
  <c r="Y48" i="4"/>
  <c r="X48" i="4"/>
  <c r="Y47" i="4"/>
  <c r="X47" i="4"/>
  <c r="Y46" i="4"/>
  <c r="X46" i="4"/>
  <c r="Y45" i="4"/>
  <c r="X45" i="4"/>
  <c r="Y44" i="4"/>
  <c r="X44" i="4"/>
  <c r="Y43" i="4"/>
  <c r="X43" i="4"/>
  <c r="Y42" i="4"/>
  <c r="X42" i="4"/>
  <c r="Y40" i="4"/>
  <c r="Y39" i="4" s="1"/>
  <c r="X40" i="4"/>
  <c r="X39" i="4" s="1"/>
  <c r="Y38" i="4"/>
  <c r="X38" i="4"/>
  <c r="Y37" i="4"/>
  <c r="X37" i="4"/>
  <c r="Y36" i="4"/>
  <c r="X36" i="4"/>
  <c r="Y34" i="4"/>
  <c r="X34" i="4"/>
  <c r="Y33" i="4"/>
  <c r="X33" i="4"/>
  <c r="Y32" i="4"/>
  <c r="X32" i="4"/>
  <c r="Y31" i="4"/>
  <c r="X31" i="4"/>
  <c r="Y30" i="4"/>
  <c r="X30" i="4"/>
  <c r="Y29" i="4"/>
  <c r="X29" i="4"/>
  <c r="Y27" i="4"/>
  <c r="X27" i="4"/>
  <c r="Y26" i="4"/>
  <c r="X26" i="4"/>
  <c r="Y25" i="4"/>
  <c r="X25" i="4"/>
  <c r="Y24" i="4"/>
  <c r="Y23" i="4" s="1"/>
  <c r="X24" i="4"/>
  <c r="X23" i="4" s="1"/>
  <c r="Y22" i="4"/>
  <c r="X22" i="4"/>
  <c r="Y21" i="4"/>
  <c r="Y20" i="4" s="1"/>
  <c r="X21" i="4"/>
  <c r="X20" i="4" s="1"/>
  <c r="Y19" i="4"/>
  <c r="X19" i="4"/>
  <c r="Y18" i="4"/>
  <c r="X18" i="4"/>
  <c r="Y17" i="4"/>
  <c r="X17" i="4"/>
  <c r="Y15" i="4"/>
  <c r="X15" i="4"/>
  <c r="Y14" i="4"/>
  <c r="X14" i="4"/>
  <c r="Y12" i="4"/>
  <c r="X12" i="4"/>
  <c r="Y11" i="4"/>
  <c r="X11" i="4"/>
  <c r="Y10" i="4"/>
  <c r="X10" i="4"/>
  <c r="Y9" i="4"/>
  <c r="X9" i="4"/>
  <c r="Y8" i="4"/>
  <c r="X8" i="4"/>
  <c r="Y7" i="4"/>
  <c r="X7" i="4"/>
  <c r="V245" i="4"/>
  <c r="V232" i="4"/>
  <c r="V230" i="4"/>
  <c r="V228" i="4"/>
  <c r="V227" i="4"/>
  <c r="V226" i="4"/>
  <c r="V225" i="4"/>
  <c r="V222" i="4"/>
  <c r="V217" i="4"/>
  <c r="V214" i="4"/>
  <c r="V213" i="4"/>
  <c r="V207" i="4"/>
  <c r="V206" i="4"/>
  <c r="V205" i="4"/>
  <c r="V204" i="4"/>
  <c r="V193" i="4"/>
  <c r="V190" i="4"/>
  <c r="V189" i="4"/>
  <c r="V181" i="4"/>
  <c r="V180" i="4"/>
  <c r="V179" i="4"/>
  <c r="V178" i="4"/>
  <c r="V168" i="4"/>
  <c r="V164" i="4"/>
  <c r="V163" i="4"/>
  <c r="V161" i="4"/>
  <c r="V158" i="4"/>
  <c r="V144" i="4"/>
  <c r="V117" i="4"/>
  <c r="V116" i="4"/>
  <c r="V111" i="4"/>
  <c r="V96" i="4"/>
  <c r="V87" i="4"/>
  <c r="V85" i="4"/>
  <c r="V84" i="4"/>
  <c r="V79" i="4"/>
  <c r="V74" i="4"/>
  <c r="V72" i="4"/>
  <c r="V71" i="4"/>
  <c r="V70" i="4" s="1"/>
  <c r="V69" i="4"/>
  <c r="V68" i="4"/>
  <c r="V66" i="4"/>
  <c r="V65" i="4"/>
  <c r="V51" i="4"/>
  <c r="V40" i="4"/>
  <c r="V39" i="4" s="1"/>
  <c r="V38" i="4"/>
  <c r="V34" i="4"/>
  <c r="V27" i="4"/>
  <c r="V21" i="4"/>
  <c r="V15" i="4"/>
  <c r="V14" i="4"/>
  <c r="V13" i="4" s="1"/>
  <c r="V11" i="4"/>
  <c r="W245" i="4"/>
  <c r="W232" i="4"/>
  <c r="W230" i="4"/>
  <c r="W228" i="4"/>
  <c r="W227" i="4"/>
  <c r="W226" i="4"/>
  <c r="W225" i="4"/>
  <c r="W222" i="4"/>
  <c r="W217" i="4"/>
  <c r="W214" i="4"/>
  <c r="W213" i="4"/>
  <c r="W207" i="4"/>
  <c r="W206" i="4"/>
  <c r="W205" i="4"/>
  <c r="W204" i="4"/>
  <c r="W193" i="4"/>
  <c r="W190" i="4"/>
  <c r="W189" i="4"/>
  <c r="W181" i="4"/>
  <c r="W180" i="4"/>
  <c r="W179" i="4"/>
  <c r="W178" i="4"/>
  <c r="W168" i="4"/>
  <c r="W164" i="4"/>
  <c r="W163" i="4"/>
  <c r="W161" i="4"/>
  <c r="W158" i="4"/>
  <c r="W144" i="4"/>
  <c r="W117" i="4"/>
  <c r="W116" i="4"/>
  <c r="W111" i="4"/>
  <c r="W96" i="4"/>
  <c r="W87" i="4"/>
  <c r="W85" i="4"/>
  <c r="W84" i="4"/>
  <c r="W83" i="4" s="1"/>
  <c r="W79" i="4"/>
  <c r="W74" i="4"/>
  <c r="W72" i="4"/>
  <c r="W71" i="4"/>
  <c r="W69" i="4"/>
  <c r="W68" i="4"/>
  <c r="W67" i="4" s="1"/>
  <c r="W66" i="4"/>
  <c r="W65" i="4"/>
  <c r="W51" i="4"/>
  <c r="W40" i="4"/>
  <c r="W39" i="4" s="1"/>
  <c r="W38" i="4"/>
  <c r="W34" i="4"/>
  <c r="W27" i="4"/>
  <c r="W21" i="4"/>
  <c r="W15" i="4"/>
  <c r="W14" i="4"/>
  <c r="W11" i="4"/>
  <c r="AE246" i="4"/>
  <c r="AH246" i="4" s="1"/>
  <c r="AD246" i="4"/>
  <c r="AJ246" i="4" s="1"/>
  <c r="AE94" i="4"/>
  <c r="AH94" i="4" s="1"/>
  <c r="AD94" i="4"/>
  <c r="AJ94" i="4" s="1"/>
  <c r="AO246" i="4"/>
  <c r="AN246" i="4"/>
  <c r="AM246" i="4"/>
  <c r="AL246" i="4"/>
  <c r="AG246" i="4"/>
  <c r="AI246" i="4" s="1"/>
  <c r="AF246" i="4"/>
  <c r="AK246" i="4" s="1"/>
  <c r="AO94" i="4"/>
  <c r="AN94" i="4"/>
  <c r="AM94" i="4"/>
  <c r="AL94" i="4"/>
  <c r="AG94" i="4"/>
  <c r="AI94" i="4" s="1"/>
  <c r="AF94" i="4"/>
  <c r="AK94" i="4" s="1"/>
  <c r="AH28" i="4" l="1"/>
  <c r="AH35" i="4"/>
  <c r="AH41" i="4"/>
  <c r="AH67" i="4"/>
  <c r="AH83" i="4"/>
  <c r="X16" i="4"/>
  <c r="X70" i="4"/>
  <c r="X86" i="4"/>
  <c r="AH70" i="4"/>
  <c r="AH86" i="4"/>
  <c r="W13" i="4"/>
  <c r="W70" i="4"/>
  <c r="Y16" i="4"/>
  <c r="Y86" i="4"/>
  <c r="AX12" i="4"/>
  <c r="AI16" i="4"/>
  <c r="AX16" i="4" s="1"/>
  <c r="AX17" i="4"/>
  <c r="AI20" i="4"/>
  <c r="AX20" i="4" s="1"/>
  <c r="AX21" i="4"/>
  <c r="AI28" i="4"/>
  <c r="AX29" i="4"/>
  <c r="AX32" i="4"/>
  <c r="AX36" i="4"/>
  <c r="AI35" i="4"/>
  <c r="AX40" i="4"/>
  <c r="AI39" i="4"/>
  <c r="AX39" i="4" s="1"/>
  <c r="AI50" i="4"/>
  <c r="AX50" i="4" s="1"/>
  <c r="AX51" i="4"/>
  <c r="AX59" i="4"/>
  <c r="AI58" i="4"/>
  <c r="AX58" i="4" s="1"/>
  <c r="AX71" i="4"/>
  <c r="AI70" i="4"/>
  <c r="AX70" i="4" s="1"/>
  <c r="AR75" i="4"/>
  <c r="AI86" i="4"/>
  <c r="AX87" i="4"/>
  <c r="AX93" i="4"/>
  <c r="AJ53" i="4"/>
  <c r="X41" i="4"/>
  <c r="AJ16" i="4"/>
  <c r="AJ28" i="4"/>
  <c r="AJ35" i="4"/>
  <c r="V67" i="4"/>
  <c r="Y41" i="4"/>
  <c r="AK16" i="4"/>
  <c r="AK28" i="4"/>
  <c r="AK35" i="4"/>
  <c r="AK86" i="4"/>
  <c r="AX14" i="4"/>
  <c r="AI13" i="4"/>
  <c r="AI41" i="4"/>
  <c r="AX42" i="4"/>
  <c r="AX68" i="4"/>
  <c r="AI67" i="4"/>
  <c r="AI83" i="4"/>
  <c r="AX84" i="4"/>
  <c r="X28" i="4"/>
  <c r="X35" i="4"/>
  <c r="AJ13" i="4"/>
  <c r="AJ41" i="4"/>
  <c r="AJ67" i="4"/>
  <c r="AJ83" i="4"/>
  <c r="Y28" i="4"/>
  <c r="Y35" i="4"/>
  <c r="AK13" i="4"/>
  <c r="AK41" i="4"/>
  <c r="AK67" i="4"/>
  <c r="AK83" i="4"/>
  <c r="AK23" i="4"/>
  <c r="X13" i="4"/>
  <c r="X67" i="4"/>
  <c r="X83" i="4"/>
  <c r="AH73" i="4"/>
  <c r="AH77" i="4"/>
  <c r="V83" i="4"/>
  <c r="Y13" i="4"/>
  <c r="Y67" i="4"/>
  <c r="Y83" i="4"/>
  <c r="AX8" i="4"/>
  <c r="AX11" i="4"/>
  <c r="AX15" i="4"/>
  <c r="AX19" i="4"/>
  <c r="AX24" i="4"/>
  <c r="AI23" i="4"/>
  <c r="AX27" i="4"/>
  <c r="AX31" i="4"/>
  <c r="AX34" i="4"/>
  <c r="AX38" i="4"/>
  <c r="AX43" i="4"/>
  <c r="AX46" i="4"/>
  <c r="AX49" i="4"/>
  <c r="AI53" i="4"/>
  <c r="AX53" i="4" s="1"/>
  <c r="AX54" i="4"/>
  <c r="AX57" i="4"/>
  <c r="AI61" i="4"/>
  <c r="AX61" i="4" s="1"/>
  <c r="AX62" i="4"/>
  <c r="AX65" i="4"/>
  <c r="AX69" i="4"/>
  <c r="AX74" i="4"/>
  <c r="AI73" i="4"/>
  <c r="AX73" i="4" s="1"/>
  <c r="AR76" i="4" s="1"/>
  <c r="AX78" i="4"/>
  <c r="AI77" i="4"/>
  <c r="AX77" i="4" s="1"/>
  <c r="AR80" i="4" s="1"/>
  <c r="AX81" i="4"/>
  <c r="AX85" i="4"/>
  <c r="AX92" i="4"/>
  <c r="AF7" i="4"/>
  <c r="AV6" i="4"/>
  <c r="AU6" i="4"/>
  <c r="AR81" i="4" l="1"/>
  <c r="AX83" i="4"/>
  <c r="AR79" i="4"/>
  <c r="AR17" i="4"/>
  <c r="AX41" i="4"/>
  <c r="AR18" i="4"/>
  <c r="AX23" i="4"/>
  <c r="AR19" i="4"/>
  <c r="AX67" i="4"/>
  <c r="AR68" i="4" s="1"/>
  <c r="AR87" i="4"/>
  <c r="AX86" i="4"/>
  <c r="AR82" i="4"/>
  <c r="AX35" i="4"/>
  <c r="AX13" i="4"/>
  <c r="AR71" i="4"/>
  <c r="AX28" i="4"/>
  <c r="AR74" i="4"/>
  <c r="AR78" i="4"/>
  <c r="AR69" i="4"/>
  <c r="AF6" i="4"/>
  <c r="AK7" i="4"/>
  <c r="E6" i="4"/>
  <c r="AO89" i="4"/>
  <c r="AN89" i="4"/>
  <c r="AM89" i="4"/>
  <c r="AX89" i="4" s="1"/>
  <c r="AL89" i="4"/>
  <c r="AO63" i="4"/>
  <c r="AN63" i="4"/>
  <c r="AM63" i="4"/>
  <c r="AL63" i="4"/>
  <c r="AO7" i="4"/>
  <c r="AN7" i="4"/>
  <c r="AM7" i="4"/>
  <c r="AL7" i="4"/>
  <c r="AA308" i="4"/>
  <c r="Z308" i="4"/>
  <c r="AA306" i="4"/>
  <c r="Z306" i="4"/>
  <c r="AA305" i="4"/>
  <c r="Z305" i="4"/>
  <c r="AA304" i="4"/>
  <c r="Z304" i="4"/>
  <c r="AA303" i="4"/>
  <c r="Z303" i="4"/>
  <c r="AA302" i="4"/>
  <c r="Z302" i="4"/>
  <c r="AA299" i="4"/>
  <c r="Z299" i="4"/>
  <c r="AA298" i="4"/>
  <c r="Z298" i="4"/>
  <c r="AA297" i="4"/>
  <c r="Z297" i="4"/>
  <c r="AA296" i="4"/>
  <c r="Z296" i="4"/>
  <c r="AA295" i="4"/>
  <c r="Z295" i="4"/>
  <c r="AA294" i="4"/>
  <c r="Z294" i="4"/>
  <c r="AA292" i="4"/>
  <c r="Z292" i="4"/>
  <c r="AA291" i="4"/>
  <c r="Z291" i="4"/>
  <c r="AA290" i="4"/>
  <c r="Z290" i="4"/>
  <c r="AA289" i="4"/>
  <c r="Z289" i="4"/>
  <c r="AA288" i="4"/>
  <c r="Z288" i="4"/>
  <c r="AA287" i="4"/>
  <c r="Z287" i="4"/>
  <c r="AA286" i="4"/>
  <c r="Z286" i="4"/>
  <c r="AA285" i="4"/>
  <c r="Z285" i="4"/>
  <c r="AA284" i="4"/>
  <c r="Z284" i="4"/>
  <c r="AA283" i="4"/>
  <c r="Z283" i="4"/>
  <c r="AA281" i="4"/>
  <c r="Z281" i="4"/>
  <c r="AA279" i="4"/>
  <c r="Z279" i="4"/>
  <c r="AA277" i="4"/>
  <c r="Z277" i="4"/>
  <c r="AA276" i="4"/>
  <c r="Z276" i="4"/>
  <c r="AA275" i="4"/>
  <c r="Z275" i="4"/>
  <c r="AA274" i="4"/>
  <c r="Z274" i="4"/>
  <c r="AA272" i="4"/>
  <c r="Z272" i="4"/>
  <c r="AA271" i="4"/>
  <c r="Z271" i="4"/>
  <c r="AA270" i="4"/>
  <c r="Z270" i="4"/>
  <c r="AA268" i="4"/>
  <c r="Z268" i="4"/>
  <c r="AA267" i="4"/>
  <c r="Z267" i="4"/>
  <c r="AA265" i="4"/>
  <c r="Z265" i="4"/>
  <c r="AA264" i="4"/>
  <c r="Z264" i="4"/>
  <c r="AA263" i="4"/>
  <c r="Z263" i="4"/>
  <c r="AA262" i="4"/>
  <c r="Z262" i="4"/>
  <c r="AA261" i="4"/>
  <c r="Z261" i="4"/>
  <c r="AA260" i="4"/>
  <c r="Z260" i="4"/>
  <c r="AA259" i="4"/>
  <c r="Z259" i="4"/>
  <c r="AA258" i="4"/>
  <c r="Z258" i="4"/>
  <c r="AA257" i="4"/>
  <c r="Z257" i="4"/>
  <c r="AA256" i="4"/>
  <c r="Z256" i="4"/>
  <c r="AA255" i="4"/>
  <c r="Z255" i="4"/>
  <c r="AA254" i="4"/>
  <c r="Z254" i="4"/>
  <c r="AA253" i="4"/>
  <c r="Z253" i="4"/>
  <c r="AA252" i="4"/>
  <c r="Z252" i="4"/>
  <c r="AA251" i="4"/>
  <c r="Z251" i="4"/>
  <c r="AA250" i="4"/>
  <c r="Z250" i="4"/>
  <c r="AA248" i="4"/>
  <c r="Z248" i="4"/>
  <c r="AA247" i="4"/>
  <c r="Z247" i="4"/>
  <c r="AA245" i="4"/>
  <c r="Z245" i="4"/>
  <c r="AA232" i="4"/>
  <c r="Z232" i="4"/>
  <c r="AA230" i="4"/>
  <c r="Z230" i="4"/>
  <c r="AA228" i="4"/>
  <c r="Z228" i="4"/>
  <c r="AA227" i="4"/>
  <c r="Z227" i="4"/>
  <c r="AA226" i="4"/>
  <c r="Z226" i="4"/>
  <c r="AA225" i="4"/>
  <c r="Z225" i="4"/>
  <c r="AA222" i="4"/>
  <c r="Z222" i="4"/>
  <c r="AA217" i="4"/>
  <c r="Z217" i="4"/>
  <c r="AA214" i="4"/>
  <c r="Z214" i="4"/>
  <c r="AA213" i="4"/>
  <c r="Z213" i="4"/>
  <c r="AA207" i="4"/>
  <c r="Z207" i="4"/>
  <c r="AA206" i="4"/>
  <c r="Z206" i="4"/>
  <c r="AA205" i="4"/>
  <c r="Z205" i="4"/>
  <c r="AA204" i="4"/>
  <c r="Z204" i="4"/>
  <c r="AA193" i="4"/>
  <c r="Z193" i="4"/>
  <c r="AA190" i="4"/>
  <c r="Z190" i="4"/>
  <c r="AA189" i="4"/>
  <c r="Z189" i="4"/>
  <c r="AA181" i="4"/>
  <c r="Z181" i="4"/>
  <c r="AA180" i="4"/>
  <c r="Z180" i="4"/>
  <c r="AA179" i="4"/>
  <c r="Z179" i="4"/>
  <c r="AA178" i="4"/>
  <c r="Z178" i="4"/>
  <c r="AA168" i="4"/>
  <c r="Z168" i="4"/>
  <c r="AA164" i="4"/>
  <c r="Z164" i="4"/>
  <c r="AA163" i="4"/>
  <c r="Z163" i="4"/>
  <c r="AA161" i="4"/>
  <c r="Z161" i="4"/>
  <c r="AA158" i="4"/>
  <c r="Z158" i="4"/>
  <c r="AA144" i="4"/>
  <c r="Z144" i="4"/>
  <c r="AA117" i="4"/>
  <c r="Z117" i="4"/>
  <c r="AA116" i="4"/>
  <c r="Z116" i="4"/>
  <c r="AA111" i="4"/>
  <c r="Z111" i="4"/>
  <c r="AA96" i="4"/>
  <c r="Z96" i="4"/>
  <c r="AA89" i="4"/>
  <c r="Z89" i="4"/>
  <c r="AA87" i="4"/>
  <c r="AA86" i="4" s="1"/>
  <c r="Z87" i="4"/>
  <c r="Z86" i="4" s="1"/>
  <c r="AA85" i="4"/>
  <c r="Z85" i="4"/>
  <c r="AA84" i="4"/>
  <c r="Z84" i="4"/>
  <c r="Z83" i="4" s="1"/>
  <c r="AA79" i="4"/>
  <c r="AA77" i="4" s="1"/>
  <c r="Z79" i="4"/>
  <c r="Z77" i="4" s="1"/>
  <c r="AA74" i="4"/>
  <c r="AA73" i="4" s="1"/>
  <c r="Z74" i="4"/>
  <c r="Z73" i="4" s="1"/>
  <c r="AA72" i="4"/>
  <c r="Z72" i="4"/>
  <c r="AA71" i="4"/>
  <c r="Z71" i="4"/>
  <c r="AA69" i="4"/>
  <c r="Z69" i="4"/>
  <c r="AA68" i="4"/>
  <c r="Z68" i="4"/>
  <c r="Z67" i="4" s="1"/>
  <c r="AA66" i="4"/>
  <c r="Z66" i="4"/>
  <c r="AA65" i="4"/>
  <c r="Z65" i="4"/>
  <c r="AA51" i="4"/>
  <c r="AA50" i="4" s="1"/>
  <c r="Z51" i="4"/>
  <c r="Z50" i="4" s="1"/>
  <c r="AA40" i="4"/>
  <c r="AA39" i="4" s="1"/>
  <c r="Z40" i="4"/>
  <c r="Z39" i="4" s="1"/>
  <c r="AA38" i="4"/>
  <c r="AA35" i="4" s="1"/>
  <c r="Z38" i="4"/>
  <c r="Z35" i="4" s="1"/>
  <c r="AA34" i="4"/>
  <c r="AA28" i="4" s="1"/>
  <c r="Z34" i="4"/>
  <c r="Z28" i="4" s="1"/>
  <c r="AA27" i="4"/>
  <c r="AA23" i="4" s="1"/>
  <c r="Z27" i="4"/>
  <c r="Z23" i="4" s="1"/>
  <c r="AA21" i="4"/>
  <c r="AA20" i="4" s="1"/>
  <c r="Z21" i="4"/>
  <c r="Z20" i="4" s="1"/>
  <c r="AA15" i="4"/>
  <c r="Z15" i="4"/>
  <c r="AA14" i="4"/>
  <c r="Z14" i="4"/>
  <c r="AA11" i="4"/>
  <c r="AA7" i="4" s="1"/>
  <c r="Z11" i="4"/>
  <c r="Z7" i="4" s="1"/>
  <c r="AR85" i="4" l="1"/>
  <c r="AR88" i="4"/>
  <c r="AR14" i="4"/>
  <c r="AR84" i="4"/>
  <c r="AA67" i="4"/>
  <c r="AA83" i="4"/>
  <c r="AR29" i="4"/>
  <c r="AX63" i="4"/>
  <c r="Z13" i="4"/>
  <c r="Z70" i="4"/>
  <c r="AA13" i="4"/>
  <c r="AA70" i="4"/>
  <c r="AL6" i="4"/>
  <c r="AC6" i="4"/>
  <c r="AB6" i="4"/>
  <c r="I6" i="4"/>
  <c r="AN6" i="4"/>
  <c r="AO6" i="4"/>
  <c r="AM6" i="4"/>
  <c r="K6" i="4"/>
  <c r="L6" i="4"/>
  <c r="Z63" i="4"/>
  <c r="AA63" i="4"/>
  <c r="AR91" i="4" l="1"/>
  <c r="AR90" i="4"/>
  <c r="AR92" i="4"/>
  <c r="AR93" i="4"/>
  <c r="Q246" i="4"/>
  <c r="Q94" i="4"/>
  <c r="Q89" i="4"/>
  <c r="Q63" i="4"/>
  <c r="Q7" i="4"/>
  <c r="P6" i="4" l="1"/>
  <c r="Q6" i="4"/>
  <c r="O6" i="4"/>
  <c r="N6" i="4"/>
  <c r="M6" i="4"/>
  <c r="AT86" i="4"/>
  <c r="AT83" i="4"/>
  <c r="AT70" i="4"/>
  <c r="AT13" i="4"/>
  <c r="AS89" i="4"/>
  <c r="AS86" i="4"/>
  <c r="AS83" i="4"/>
  <c r="AS73" i="4"/>
  <c r="AS70" i="4"/>
  <c r="AS63" i="4"/>
  <c r="AS61" i="4"/>
  <c r="AS13" i="4"/>
  <c r="AP246" i="4"/>
  <c r="AS246" i="4"/>
  <c r="AP94" i="4"/>
  <c r="AP89" i="4"/>
  <c r="AP73" i="4"/>
  <c r="AP70" i="4"/>
  <c r="AP63" i="4"/>
  <c r="AP7" i="4"/>
  <c r="AD7" i="4"/>
  <c r="AE7" i="4"/>
  <c r="AG7" i="4"/>
  <c r="AG6" i="4" s="1"/>
  <c r="AK6" i="4"/>
  <c r="AI7" i="4" l="1"/>
  <c r="AD6" i="4"/>
  <c r="AJ7" i="4"/>
  <c r="AJ6" i="4" s="1"/>
  <c r="AE6" i="4"/>
  <c r="AH7" i="4"/>
  <c r="AH6" i="4" s="1"/>
  <c r="AS6" i="4"/>
  <c r="AP6" i="4"/>
  <c r="AI6" i="4" l="1"/>
  <c r="AX7" i="4"/>
  <c r="AW6" i="4"/>
  <c r="U55" i="4"/>
  <c r="W55" i="4" s="1"/>
  <c r="S55" i="4"/>
  <c r="V55" i="4" s="1"/>
  <c r="AX6" i="4" l="1"/>
  <c r="AR10" i="4"/>
  <c r="AR9" i="4"/>
  <c r="AR12" i="4"/>
  <c r="AR8" i="4"/>
  <c r="AR11" i="4"/>
  <c r="T6" i="4"/>
  <c r="R6" i="4"/>
  <c r="AY39" i="4" l="1"/>
  <c r="AY70" i="4"/>
  <c r="AY16" i="4"/>
  <c r="AY53" i="4"/>
  <c r="AY58" i="4"/>
  <c r="AY20" i="4"/>
  <c r="AY77" i="4"/>
  <c r="AY61" i="4"/>
  <c r="AY73" i="4"/>
  <c r="AY50" i="4"/>
  <c r="AY83" i="4"/>
  <c r="AY28" i="4"/>
  <c r="AY35" i="4"/>
  <c r="AY23" i="4"/>
  <c r="AY86" i="4"/>
  <c r="AY89" i="4"/>
  <c r="AY13" i="4"/>
  <c r="AY41" i="4"/>
  <c r="AY67" i="4"/>
  <c r="AY63" i="4"/>
  <c r="AY7" i="4"/>
  <c r="AT246" i="4"/>
  <c r="AT6" i="4" s="1"/>
  <c r="AR7" i="4" l="1"/>
  <c r="U309" i="4"/>
  <c r="U307" i="4"/>
  <c r="U301" i="4"/>
  <c r="U300" i="4"/>
  <c r="U293" i="4"/>
  <c r="U282" i="4"/>
  <c r="U280" i="4"/>
  <c r="U278" i="4"/>
  <c r="U273" i="4"/>
  <c r="U269" i="4"/>
  <c r="U266" i="4"/>
  <c r="U249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1" i="4"/>
  <c r="U229" i="4"/>
  <c r="U224" i="4"/>
  <c r="U223" i="4"/>
  <c r="U221" i="4"/>
  <c r="U220" i="4"/>
  <c r="U219" i="4"/>
  <c r="U218" i="4"/>
  <c r="U216" i="4"/>
  <c r="U215" i="4"/>
  <c r="U212" i="4"/>
  <c r="U211" i="4"/>
  <c r="U210" i="4"/>
  <c r="U209" i="4"/>
  <c r="U208" i="4"/>
  <c r="U203" i="4"/>
  <c r="U202" i="4"/>
  <c r="U201" i="4"/>
  <c r="U200" i="4"/>
  <c r="U199" i="4"/>
  <c r="U198" i="4"/>
  <c r="U197" i="4"/>
  <c r="U196" i="4"/>
  <c r="U195" i="4"/>
  <c r="U194" i="4"/>
  <c r="U192" i="4"/>
  <c r="U191" i="4"/>
  <c r="U188" i="4"/>
  <c r="U187" i="4"/>
  <c r="U186" i="4"/>
  <c r="U185" i="4"/>
  <c r="U184" i="4"/>
  <c r="U183" i="4"/>
  <c r="U182" i="4"/>
  <c r="U177" i="4"/>
  <c r="U176" i="4"/>
  <c r="U175" i="4"/>
  <c r="U174" i="4"/>
  <c r="U173" i="4"/>
  <c r="U172" i="4"/>
  <c r="U171" i="4"/>
  <c r="U170" i="4"/>
  <c r="U169" i="4"/>
  <c r="U167" i="4"/>
  <c r="U166" i="4"/>
  <c r="U165" i="4"/>
  <c r="U162" i="4"/>
  <c r="U160" i="4"/>
  <c r="U159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3" i="4"/>
  <c r="U142" i="4"/>
  <c r="U141" i="4"/>
  <c r="U140" i="4"/>
  <c r="U139" i="4"/>
  <c r="U138" i="4"/>
  <c r="U137" i="4"/>
  <c r="W137" i="4" s="1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5" i="4"/>
  <c r="U114" i="4"/>
  <c r="U113" i="4"/>
  <c r="U112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5" i="4"/>
  <c r="U93" i="4"/>
  <c r="W93" i="4" s="1"/>
  <c r="U92" i="4"/>
  <c r="W92" i="4" s="1"/>
  <c r="U91" i="4"/>
  <c r="W91" i="4" s="1"/>
  <c r="U90" i="4"/>
  <c r="W90" i="4" s="1"/>
  <c r="U88" i="4"/>
  <c r="U86" i="4" s="1"/>
  <c r="U82" i="4"/>
  <c r="W82" i="4" s="1"/>
  <c r="U81" i="4"/>
  <c r="W81" i="4" s="1"/>
  <c r="U80" i="4"/>
  <c r="W80" i="4" s="1"/>
  <c r="U78" i="4"/>
  <c r="U76" i="4"/>
  <c r="W76" i="4" s="1"/>
  <c r="U75" i="4"/>
  <c r="U64" i="4"/>
  <c r="U62" i="4"/>
  <c r="U61" i="4" s="1"/>
  <c r="U60" i="4"/>
  <c r="W60" i="4" s="1"/>
  <c r="U59" i="4"/>
  <c r="U57" i="4"/>
  <c r="W57" i="4" s="1"/>
  <c r="U56" i="4"/>
  <c r="W56" i="4" s="1"/>
  <c r="U54" i="4"/>
  <c r="U52" i="4"/>
  <c r="U50" i="4" s="1"/>
  <c r="U49" i="4"/>
  <c r="W49" i="4" s="1"/>
  <c r="U48" i="4"/>
  <c r="W48" i="4" s="1"/>
  <c r="U47" i="4"/>
  <c r="W47" i="4" s="1"/>
  <c r="U46" i="4"/>
  <c r="W46" i="4" s="1"/>
  <c r="U45" i="4"/>
  <c r="W45" i="4" s="1"/>
  <c r="U44" i="4"/>
  <c r="W44" i="4" s="1"/>
  <c r="U43" i="4"/>
  <c r="W43" i="4" s="1"/>
  <c r="U42" i="4"/>
  <c r="U37" i="4"/>
  <c r="W37" i="4" s="1"/>
  <c r="U36" i="4"/>
  <c r="U33" i="4"/>
  <c r="W33" i="4" s="1"/>
  <c r="U32" i="4"/>
  <c r="W32" i="4" s="1"/>
  <c r="U31" i="4"/>
  <c r="W31" i="4" s="1"/>
  <c r="U30" i="4"/>
  <c r="W30" i="4" s="1"/>
  <c r="U29" i="4"/>
  <c r="U26" i="4"/>
  <c r="W26" i="4" s="1"/>
  <c r="U25" i="4"/>
  <c r="W25" i="4" s="1"/>
  <c r="U24" i="4"/>
  <c r="U22" i="4"/>
  <c r="U20" i="4" s="1"/>
  <c r="U19" i="4"/>
  <c r="W19" i="4" s="1"/>
  <c r="U18" i="4"/>
  <c r="W18" i="4" s="1"/>
  <c r="U17" i="4"/>
  <c r="U12" i="4"/>
  <c r="W12" i="4" s="1"/>
  <c r="U10" i="4"/>
  <c r="W10" i="4" s="1"/>
  <c r="U9" i="4"/>
  <c r="W9" i="4" s="1"/>
  <c r="U8" i="4"/>
  <c r="W8" i="4" s="1"/>
  <c r="S309" i="4"/>
  <c r="S307" i="4"/>
  <c r="S301" i="4"/>
  <c r="S300" i="4"/>
  <c r="S293" i="4"/>
  <c r="S282" i="4"/>
  <c r="S280" i="4"/>
  <c r="S278" i="4"/>
  <c r="S273" i="4"/>
  <c r="S269" i="4"/>
  <c r="S266" i="4"/>
  <c r="S249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1" i="4"/>
  <c r="S229" i="4"/>
  <c r="S224" i="4"/>
  <c r="S223" i="4"/>
  <c r="S221" i="4"/>
  <c r="S220" i="4"/>
  <c r="S219" i="4"/>
  <c r="S218" i="4"/>
  <c r="S216" i="4"/>
  <c r="S215" i="4"/>
  <c r="S212" i="4"/>
  <c r="S211" i="4"/>
  <c r="S210" i="4"/>
  <c r="S209" i="4"/>
  <c r="S208" i="4"/>
  <c r="S203" i="4"/>
  <c r="S202" i="4"/>
  <c r="S201" i="4"/>
  <c r="S200" i="4"/>
  <c r="S199" i="4"/>
  <c r="S198" i="4"/>
  <c r="S197" i="4"/>
  <c r="S196" i="4"/>
  <c r="S195" i="4"/>
  <c r="S194" i="4"/>
  <c r="S192" i="4"/>
  <c r="S191" i="4"/>
  <c r="S188" i="4"/>
  <c r="S187" i="4"/>
  <c r="S186" i="4"/>
  <c r="S185" i="4"/>
  <c r="S184" i="4"/>
  <c r="S183" i="4"/>
  <c r="S182" i="4"/>
  <c r="S177" i="4"/>
  <c r="S176" i="4"/>
  <c r="S175" i="4"/>
  <c r="S174" i="4"/>
  <c r="S173" i="4"/>
  <c r="S172" i="4"/>
  <c r="S171" i="4"/>
  <c r="S170" i="4"/>
  <c r="S169" i="4"/>
  <c r="S167" i="4"/>
  <c r="S166" i="4"/>
  <c r="S165" i="4"/>
  <c r="S162" i="4"/>
  <c r="S160" i="4"/>
  <c r="S159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3" i="4"/>
  <c r="S142" i="4"/>
  <c r="S141" i="4"/>
  <c r="S140" i="4"/>
  <c r="S139" i="4"/>
  <c r="S138" i="4"/>
  <c r="S137" i="4"/>
  <c r="V137" i="4" s="1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5" i="4"/>
  <c r="S114" i="4"/>
  <c r="S113" i="4"/>
  <c r="S112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5" i="4"/>
  <c r="S93" i="4"/>
  <c r="V93" i="4" s="1"/>
  <c r="S92" i="4"/>
  <c r="V92" i="4" s="1"/>
  <c r="S91" i="4"/>
  <c r="V91" i="4" s="1"/>
  <c r="S90" i="4"/>
  <c r="V90" i="4" s="1"/>
  <c r="S88" i="4"/>
  <c r="S86" i="4" s="1"/>
  <c r="S82" i="4"/>
  <c r="V82" i="4" s="1"/>
  <c r="S81" i="4"/>
  <c r="V81" i="4" s="1"/>
  <c r="S80" i="4"/>
  <c r="V80" i="4" s="1"/>
  <c r="S78" i="4"/>
  <c r="S76" i="4"/>
  <c r="V76" i="4" s="1"/>
  <c r="S75" i="4"/>
  <c r="S64" i="4"/>
  <c r="S62" i="4"/>
  <c r="S61" i="4" s="1"/>
  <c r="S60" i="4"/>
  <c r="V60" i="4" s="1"/>
  <c r="S59" i="4"/>
  <c r="S57" i="4"/>
  <c r="V57" i="4" s="1"/>
  <c r="S56" i="4"/>
  <c r="V56" i="4" s="1"/>
  <c r="S54" i="4"/>
  <c r="S52" i="4"/>
  <c r="S50" i="4" s="1"/>
  <c r="S49" i="4"/>
  <c r="V49" i="4" s="1"/>
  <c r="S48" i="4"/>
  <c r="V48" i="4" s="1"/>
  <c r="S47" i="4"/>
  <c r="V47" i="4" s="1"/>
  <c r="S46" i="4"/>
  <c r="V46" i="4" s="1"/>
  <c r="S45" i="4"/>
  <c r="V45" i="4" s="1"/>
  <c r="S44" i="4"/>
  <c r="V44" i="4" s="1"/>
  <c r="S43" i="4"/>
  <c r="V43" i="4" s="1"/>
  <c r="S42" i="4"/>
  <c r="S37" i="4"/>
  <c r="V37" i="4" s="1"/>
  <c r="S36" i="4"/>
  <c r="S33" i="4"/>
  <c r="V33" i="4" s="1"/>
  <c r="S32" i="4"/>
  <c r="V32" i="4" s="1"/>
  <c r="S31" i="4"/>
  <c r="V31" i="4" s="1"/>
  <c r="S30" i="4"/>
  <c r="V30" i="4" s="1"/>
  <c r="S29" i="4"/>
  <c r="S26" i="4"/>
  <c r="V26" i="4" s="1"/>
  <c r="S25" i="4"/>
  <c r="V25" i="4" s="1"/>
  <c r="S24" i="4"/>
  <c r="S22" i="4"/>
  <c r="S20" i="4" s="1"/>
  <c r="S19" i="4"/>
  <c r="V19" i="4" s="1"/>
  <c r="S18" i="4"/>
  <c r="V18" i="4" s="1"/>
  <c r="S17" i="4"/>
  <c r="S12" i="4"/>
  <c r="V12" i="4" s="1"/>
  <c r="S10" i="4"/>
  <c r="V10" i="4" s="1"/>
  <c r="S9" i="4"/>
  <c r="V9" i="4" s="1"/>
  <c r="S8" i="4"/>
  <c r="V8" i="4" s="1"/>
  <c r="W29" i="4" l="1"/>
  <c r="W28" i="4" s="1"/>
  <c r="U28" i="4"/>
  <c r="V24" i="4"/>
  <c r="V23" i="4" s="1"/>
  <c r="S23" i="4"/>
  <c r="W78" i="4"/>
  <c r="W77" i="4" s="1"/>
  <c r="U77" i="4"/>
  <c r="V75" i="4"/>
  <c r="V73" i="4" s="1"/>
  <c r="S73" i="4"/>
  <c r="V29" i="4"/>
  <c r="V28" i="4" s="1"/>
  <c r="S28" i="4"/>
  <c r="W54" i="4"/>
  <c r="W53" i="4" s="1"/>
  <c r="U53" i="4"/>
  <c r="V59" i="4"/>
  <c r="V58" i="4" s="1"/>
  <c r="S58" i="4"/>
  <c r="W75" i="4"/>
  <c r="W73" i="4" s="1"/>
  <c r="U73" i="4"/>
  <c r="V78" i="4"/>
  <c r="V77" i="4" s="1"/>
  <c r="S77" i="4"/>
  <c r="W17" i="4"/>
  <c r="W16" i="4" s="1"/>
  <c r="U16" i="4"/>
  <c r="W36" i="4"/>
  <c r="W35" i="4" s="1"/>
  <c r="U35" i="4"/>
  <c r="V42" i="4"/>
  <c r="V41" i="4" s="1"/>
  <c r="S41" i="4"/>
  <c r="W42" i="4"/>
  <c r="W41" i="4" s="1"/>
  <c r="U41" i="4"/>
  <c r="W59" i="4"/>
  <c r="W58" i="4" s="1"/>
  <c r="U58" i="4"/>
  <c r="V54" i="4"/>
  <c r="V53" i="4" s="1"/>
  <c r="S53" i="4"/>
  <c r="V17" i="4"/>
  <c r="V16" i="4" s="1"/>
  <c r="S16" i="4"/>
  <c r="V36" i="4"/>
  <c r="V35" i="4" s="1"/>
  <c r="S35" i="4"/>
  <c r="W24" i="4"/>
  <c r="W23" i="4" s="1"/>
  <c r="U23" i="4"/>
  <c r="AA307" i="4"/>
  <c r="W307" i="4"/>
  <c r="Z293" i="4"/>
  <c r="V293" i="4"/>
  <c r="AA309" i="4"/>
  <c r="W309" i="4"/>
  <c r="Z280" i="4"/>
  <c r="V280" i="4"/>
  <c r="Z300" i="4"/>
  <c r="V300" i="4"/>
  <c r="Z301" i="4"/>
  <c r="V301" i="4"/>
  <c r="AA266" i="4"/>
  <c r="W266" i="4"/>
  <c r="AA301" i="4"/>
  <c r="W301" i="4"/>
  <c r="Z307" i="4"/>
  <c r="V307" i="4"/>
  <c r="AA269" i="4"/>
  <c r="W269" i="4"/>
  <c r="Z278" i="4"/>
  <c r="V278" i="4"/>
  <c r="AA300" i="4"/>
  <c r="W300" i="4"/>
  <c r="Z282" i="4"/>
  <c r="V282" i="4"/>
  <c r="Z309" i="4"/>
  <c r="V309" i="4"/>
  <c r="AA273" i="4"/>
  <c r="W273" i="4"/>
  <c r="Z249" i="4"/>
  <c r="V249" i="4"/>
  <c r="AA278" i="4"/>
  <c r="W278" i="4"/>
  <c r="Z273" i="4"/>
  <c r="V273" i="4"/>
  <c r="AA293" i="4"/>
  <c r="W293" i="4"/>
  <c r="AA249" i="4"/>
  <c r="W249" i="4"/>
  <c r="Z266" i="4"/>
  <c r="V266" i="4"/>
  <c r="AA280" i="4"/>
  <c r="W280" i="4"/>
  <c r="Z269" i="4"/>
  <c r="V269" i="4"/>
  <c r="AA282" i="4"/>
  <c r="W282" i="4"/>
  <c r="Z166" i="4"/>
  <c r="V166" i="4"/>
  <c r="AA102" i="4"/>
  <c r="W102" i="4"/>
  <c r="AA129" i="4"/>
  <c r="W129" i="4"/>
  <c r="AA141" i="4"/>
  <c r="W141" i="4"/>
  <c r="Z112" i="4"/>
  <c r="V112" i="4"/>
  <c r="AA118" i="4"/>
  <c r="W118" i="4"/>
  <c r="AA130" i="4"/>
  <c r="W130" i="4"/>
  <c r="AA188" i="4"/>
  <c r="W188" i="4"/>
  <c r="Z169" i="4"/>
  <c r="V169" i="4"/>
  <c r="Z128" i="4"/>
  <c r="V128" i="4"/>
  <c r="Z239" i="4"/>
  <c r="V239" i="4"/>
  <c r="AA120" i="4"/>
  <c r="W120" i="4"/>
  <c r="AA174" i="4"/>
  <c r="W174" i="4"/>
  <c r="AA192" i="4"/>
  <c r="W192" i="4"/>
  <c r="AA229" i="4"/>
  <c r="W229" i="4"/>
  <c r="Z102" i="4"/>
  <c r="V102" i="4"/>
  <c r="Z115" i="4"/>
  <c r="V115" i="4"/>
  <c r="Z129" i="4"/>
  <c r="V129" i="4"/>
  <c r="Z141" i="4"/>
  <c r="V141" i="4"/>
  <c r="Z154" i="4"/>
  <c r="V154" i="4"/>
  <c r="Z171" i="4"/>
  <c r="V171" i="4"/>
  <c r="Z187" i="4"/>
  <c r="V187" i="4"/>
  <c r="Z202" i="4"/>
  <c r="V202" i="4"/>
  <c r="Z221" i="4"/>
  <c r="V221" i="4"/>
  <c r="Z240" i="4"/>
  <c r="V240" i="4"/>
  <c r="W22" i="4"/>
  <c r="W20" i="4" s="1"/>
  <c r="AA106" i="4"/>
  <c r="W106" i="4"/>
  <c r="AA121" i="4"/>
  <c r="W121" i="4"/>
  <c r="AA133" i="4"/>
  <c r="W133" i="4"/>
  <c r="AA146" i="4"/>
  <c r="W146" i="4"/>
  <c r="AA159" i="4"/>
  <c r="W159" i="4"/>
  <c r="AA175" i="4"/>
  <c r="W175" i="4"/>
  <c r="AA194" i="4"/>
  <c r="W194" i="4"/>
  <c r="AA210" i="4"/>
  <c r="W210" i="4"/>
  <c r="AA231" i="4"/>
  <c r="W231" i="4"/>
  <c r="AA244" i="4"/>
  <c r="W244" i="4"/>
  <c r="Z98" i="4"/>
  <c r="V98" i="4"/>
  <c r="Z236" i="4"/>
  <c r="V236" i="4"/>
  <c r="AA187" i="4"/>
  <c r="W187" i="4"/>
  <c r="Z138" i="4"/>
  <c r="V138" i="4"/>
  <c r="Z100" i="4"/>
  <c r="V100" i="4"/>
  <c r="Z238" i="4"/>
  <c r="V238" i="4"/>
  <c r="AA119" i="4"/>
  <c r="W119" i="4"/>
  <c r="AA191" i="4"/>
  <c r="W191" i="4"/>
  <c r="Z201" i="4"/>
  <c r="V201" i="4"/>
  <c r="AA105" i="4"/>
  <c r="W105" i="4"/>
  <c r="AA132" i="4"/>
  <c r="W132" i="4"/>
  <c r="AA145" i="4"/>
  <c r="W145" i="4"/>
  <c r="AA157" i="4"/>
  <c r="W157" i="4"/>
  <c r="AA209" i="4"/>
  <c r="W209" i="4"/>
  <c r="AA243" i="4"/>
  <c r="W243" i="4"/>
  <c r="V88" i="4"/>
  <c r="V86" i="4" s="1"/>
  <c r="Z103" i="4"/>
  <c r="V103" i="4"/>
  <c r="Z118" i="4"/>
  <c r="V118" i="4"/>
  <c r="Z130" i="4"/>
  <c r="V130" i="4"/>
  <c r="Z142" i="4"/>
  <c r="V142" i="4"/>
  <c r="Z155" i="4"/>
  <c r="V155" i="4"/>
  <c r="Z172" i="4"/>
  <c r="V172" i="4"/>
  <c r="Z188" i="4"/>
  <c r="V188" i="4"/>
  <c r="Z203" i="4"/>
  <c r="V203" i="4"/>
  <c r="Z223" i="4"/>
  <c r="V223" i="4"/>
  <c r="Z241" i="4"/>
  <c r="V241" i="4"/>
  <c r="W62" i="4"/>
  <c r="W61" i="4" s="1"/>
  <c r="AA107" i="4"/>
  <c r="W107" i="4"/>
  <c r="AA122" i="4"/>
  <c r="W122" i="4"/>
  <c r="AA134" i="4"/>
  <c r="W134" i="4"/>
  <c r="AA147" i="4"/>
  <c r="W147" i="4"/>
  <c r="AA160" i="4"/>
  <c r="W160" i="4"/>
  <c r="AA176" i="4"/>
  <c r="W176" i="4"/>
  <c r="AA195" i="4"/>
  <c r="W195" i="4"/>
  <c r="AA211" i="4"/>
  <c r="W211" i="4"/>
  <c r="AA233" i="4"/>
  <c r="W233" i="4"/>
  <c r="AA115" i="4"/>
  <c r="W115" i="4"/>
  <c r="Z237" i="4"/>
  <c r="V237" i="4"/>
  <c r="AA172" i="4"/>
  <c r="W172" i="4"/>
  <c r="Z152" i="4"/>
  <c r="V152" i="4"/>
  <c r="AA104" i="4"/>
  <c r="W104" i="4"/>
  <c r="AA143" i="4"/>
  <c r="W143" i="4"/>
  <c r="Z101" i="4"/>
  <c r="V101" i="4"/>
  <c r="Z220" i="4"/>
  <c r="V220" i="4"/>
  <c r="Z104" i="4"/>
  <c r="V104" i="4"/>
  <c r="Z119" i="4"/>
  <c r="V119" i="4"/>
  <c r="Z131" i="4"/>
  <c r="V131" i="4"/>
  <c r="Z143" i="4"/>
  <c r="V143" i="4"/>
  <c r="Z156" i="4"/>
  <c r="V156" i="4"/>
  <c r="Z173" i="4"/>
  <c r="V173" i="4"/>
  <c r="Z191" i="4"/>
  <c r="V191" i="4"/>
  <c r="Z208" i="4"/>
  <c r="V208" i="4"/>
  <c r="Z224" i="4"/>
  <c r="V224" i="4"/>
  <c r="Z242" i="4"/>
  <c r="V242" i="4"/>
  <c r="U63" i="4"/>
  <c r="W63" i="4" s="1"/>
  <c r="W64" i="4"/>
  <c r="AA95" i="4"/>
  <c r="W95" i="4"/>
  <c r="AA108" i="4"/>
  <c r="W108" i="4"/>
  <c r="AA123" i="4"/>
  <c r="W123" i="4"/>
  <c r="AA135" i="4"/>
  <c r="W135" i="4"/>
  <c r="AA148" i="4"/>
  <c r="W148" i="4"/>
  <c r="AA162" i="4"/>
  <c r="W162" i="4"/>
  <c r="AA177" i="4"/>
  <c r="W177" i="4"/>
  <c r="AA196" i="4"/>
  <c r="W196" i="4"/>
  <c r="AA212" i="4"/>
  <c r="W212" i="4"/>
  <c r="AA234" i="4"/>
  <c r="W234" i="4"/>
  <c r="Z125" i="4"/>
  <c r="V125" i="4"/>
  <c r="AA154" i="4"/>
  <c r="W154" i="4"/>
  <c r="Z151" i="4"/>
  <c r="V151" i="4"/>
  <c r="Z199" i="4"/>
  <c r="V199" i="4"/>
  <c r="AA241" i="4"/>
  <c r="W241" i="4"/>
  <c r="Z113" i="4"/>
  <c r="V113" i="4"/>
  <c r="AA131" i="4"/>
  <c r="W131" i="4"/>
  <c r="AA224" i="4"/>
  <c r="W224" i="4"/>
  <c r="Z170" i="4"/>
  <c r="V170" i="4"/>
  <c r="Z105" i="4"/>
  <c r="V105" i="4"/>
  <c r="Z120" i="4"/>
  <c r="V120" i="4"/>
  <c r="Z132" i="4"/>
  <c r="V132" i="4"/>
  <c r="Z145" i="4"/>
  <c r="V145" i="4"/>
  <c r="Z157" i="4"/>
  <c r="V157" i="4"/>
  <c r="Z174" i="4"/>
  <c r="V174" i="4"/>
  <c r="Z192" i="4"/>
  <c r="V192" i="4"/>
  <c r="Z209" i="4"/>
  <c r="V209" i="4"/>
  <c r="Z229" i="4"/>
  <c r="V229" i="4"/>
  <c r="Z243" i="4"/>
  <c r="V243" i="4"/>
  <c r="AA97" i="4"/>
  <c r="W97" i="4"/>
  <c r="AA109" i="4"/>
  <c r="W109" i="4"/>
  <c r="AA124" i="4"/>
  <c r="W124" i="4"/>
  <c r="AA136" i="4"/>
  <c r="W136" i="4"/>
  <c r="AA149" i="4"/>
  <c r="W149" i="4"/>
  <c r="AA165" i="4"/>
  <c r="W165" i="4"/>
  <c r="AA182" i="4"/>
  <c r="W182" i="4"/>
  <c r="AA197" i="4"/>
  <c r="W197" i="4"/>
  <c r="AA215" i="4"/>
  <c r="W215" i="4"/>
  <c r="AA235" i="4"/>
  <c r="W235" i="4"/>
  <c r="Z110" i="4"/>
  <c r="V110" i="4"/>
  <c r="Z216" i="4"/>
  <c r="V216" i="4"/>
  <c r="AA171" i="4"/>
  <c r="W171" i="4"/>
  <c r="Z126" i="4"/>
  <c r="V126" i="4"/>
  <c r="AA103" i="4"/>
  <c r="W103" i="4"/>
  <c r="AA203" i="4"/>
  <c r="W203" i="4"/>
  <c r="Z139" i="4"/>
  <c r="V139" i="4"/>
  <c r="AA242" i="4"/>
  <c r="W242" i="4"/>
  <c r="Z114" i="4"/>
  <c r="V114" i="4"/>
  <c r="Z140" i="4"/>
  <c r="V140" i="4"/>
  <c r="V22" i="4"/>
  <c r="V20" i="4" s="1"/>
  <c r="Z106" i="4"/>
  <c r="V106" i="4"/>
  <c r="Z121" i="4"/>
  <c r="V121" i="4"/>
  <c r="Z133" i="4"/>
  <c r="V133" i="4"/>
  <c r="Z146" i="4"/>
  <c r="V146" i="4"/>
  <c r="Z159" i="4"/>
  <c r="V159" i="4"/>
  <c r="Z175" i="4"/>
  <c r="V175" i="4"/>
  <c r="Z194" i="4"/>
  <c r="V194" i="4"/>
  <c r="Z210" i="4"/>
  <c r="V210" i="4"/>
  <c r="Z231" i="4"/>
  <c r="V231" i="4"/>
  <c r="Z244" i="4"/>
  <c r="V244" i="4"/>
  <c r="AA98" i="4"/>
  <c r="W98" i="4"/>
  <c r="AA110" i="4"/>
  <c r="W110" i="4"/>
  <c r="AA125" i="4"/>
  <c r="W125" i="4"/>
  <c r="AA150" i="4"/>
  <c r="W150" i="4"/>
  <c r="AA166" i="4"/>
  <c r="W166" i="4"/>
  <c r="AA183" i="4"/>
  <c r="W183" i="4"/>
  <c r="AA198" i="4"/>
  <c r="W198" i="4"/>
  <c r="AA216" i="4"/>
  <c r="W216" i="4"/>
  <c r="AA236" i="4"/>
  <c r="W236" i="4"/>
  <c r="Z198" i="4"/>
  <c r="V198" i="4"/>
  <c r="AA221" i="4"/>
  <c r="W221" i="4"/>
  <c r="Z184" i="4"/>
  <c r="V184" i="4"/>
  <c r="AA155" i="4"/>
  <c r="W155" i="4"/>
  <c r="Z219" i="4"/>
  <c r="V219" i="4"/>
  <c r="AA173" i="4"/>
  <c r="W173" i="4"/>
  <c r="V52" i="4"/>
  <c r="V50" i="4" s="1"/>
  <c r="Z153" i="4"/>
  <c r="V153" i="4"/>
  <c r="V62" i="4"/>
  <c r="V61" i="4" s="1"/>
  <c r="Z107" i="4"/>
  <c r="V107" i="4"/>
  <c r="Z122" i="4"/>
  <c r="V122" i="4"/>
  <c r="Z134" i="4"/>
  <c r="V134" i="4"/>
  <c r="Z147" i="4"/>
  <c r="V147" i="4"/>
  <c r="Z160" i="4"/>
  <c r="V160" i="4"/>
  <c r="Z176" i="4"/>
  <c r="V176" i="4"/>
  <c r="Z195" i="4"/>
  <c r="V195" i="4"/>
  <c r="Z211" i="4"/>
  <c r="V211" i="4"/>
  <c r="Z233" i="4"/>
  <c r="V233" i="4"/>
  <c r="AA99" i="4"/>
  <c r="W99" i="4"/>
  <c r="AA112" i="4"/>
  <c r="W112" i="4"/>
  <c r="AA126" i="4"/>
  <c r="W126" i="4"/>
  <c r="AA138" i="4"/>
  <c r="W138" i="4"/>
  <c r="AA151" i="4"/>
  <c r="W151" i="4"/>
  <c r="AA167" i="4"/>
  <c r="W167" i="4"/>
  <c r="AA184" i="4"/>
  <c r="W184" i="4"/>
  <c r="AA199" i="4"/>
  <c r="W199" i="4"/>
  <c r="AA218" i="4"/>
  <c r="W218" i="4"/>
  <c r="AA237" i="4"/>
  <c r="W237" i="4"/>
  <c r="Z150" i="4"/>
  <c r="V150" i="4"/>
  <c r="AA202" i="4"/>
  <c r="W202" i="4"/>
  <c r="Z167" i="4"/>
  <c r="V167" i="4"/>
  <c r="W88" i="4"/>
  <c r="W86" i="4" s="1"/>
  <c r="AA142" i="4"/>
  <c r="W142" i="4"/>
  <c r="Z127" i="4"/>
  <c r="V127" i="4"/>
  <c r="Z200" i="4"/>
  <c r="V200" i="4"/>
  <c r="AA208" i="4"/>
  <c r="W208" i="4"/>
  <c r="Z186" i="4"/>
  <c r="V186" i="4"/>
  <c r="S63" i="4"/>
  <c r="V63" i="4" s="1"/>
  <c r="V64" i="4"/>
  <c r="Z95" i="4"/>
  <c r="V95" i="4"/>
  <c r="Z123" i="4"/>
  <c r="V123" i="4"/>
  <c r="Z162" i="4"/>
  <c r="V162" i="4"/>
  <c r="Z177" i="4"/>
  <c r="V177" i="4"/>
  <c r="Z196" i="4"/>
  <c r="V196" i="4"/>
  <c r="Z212" i="4"/>
  <c r="V212" i="4"/>
  <c r="Z234" i="4"/>
  <c r="V234" i="4"/>
  <c r="AA100" i="4"/>
  <c r="W100" i="4"/>
  <c r="AA113" i="4"/>
  <c r="W113" i="4"/>
  <c r="AA127" i="4"/>
  <c r="W127" i="4"/>
  <c r="AA139" i="4"/>
  <c r="W139" i="4"/>
  <c r="AA152" i="4"/>
  <c r="W152" i="4"/>
  <c r="AA169" i="4"/>
  <c r="W169" i="4"/>
  <c r="AA185" i="4"/>
  <c r="W185" i="4"/>
  <c r="AA200" i="4"/>
  <c r="W200" i="4"/>
  <c r="AA219" i="4"/>
  <c r="W219" i="4"/>
  <c r="AA238" i="4"/>
  <c r="W238" i="4"/>
  <c r="Z183" i="4"/>
  <c r="V183" i="4"/>
  <c r="AA240" i="4"/>
  <c r="W240" i="4"/>
  <c r="Z99" i="4"/>
  <c r="V99" i="4"/>
  <c r="Z218" i="4"/>
  <c r="V218" i="4"/>
  <c r="AA223" i="4"/>
  <c r="W223" i="4"/>
  <c r="Z185" i="4"/>
  <c r="V185" i="4"/>
  <c r="AA156" i="4"/>
  <c r="W156" i="4"/>
  <c r="Z108" i="4"/>
  <c r="V108" i="4"/>
  <c r="Z135" i="4"/>
  <c r="V135" i="4"/>
  <c r="Z148" i="4"/>
  <c r="V148" i="4"/>
  <c r="Z97" i="4"/>
  <c r="V97" i="4"/>
  <c r="Z109" i="4"/>
  <c r="V109" i="4"/>
  <c r="Z124" i="4"/>
  <c r="V124" i="4"/>
  <c r="Z136" i="4"/>
  <c r="V136" i="4"/>
  <c r="Z149" i="4"/>
  <c r="V149" i="4"/>
  <c r="Z165" i="4"/>
  <c r="V165" i="4"/>
  <c r="Z182" i="4"/>
  <c r="V182" i="4"/>
  <c r="Z197" i="4"/>
  <c r="V197" i="4"/>
  <c r="Z215" i="4"/>
  <c r="V215" i="4"/>
  <c r="Z235" i="4"/>
  <c r="V235" i="4"/>
  <c r="W52" i="4"/>
  <c r="W50" i="4" s="1"/>
  <c r="AA101" i="4"/>
  <c r="W101" i="4"/>
  <c r="AA114" i="4"/>
  <c r="W114" i="4"/>
  <c r="AA128" i="4"/>
  <c r="W128" i="4"/>
  <c r="AA140" i="4"/>
  <c r="W140" i="4"/>
  <c r="AA153" i="4"/>
  <c r="W153" i="4"/>
  <c r="AA170" i="4"/>
  <c r="W170" i="4"/>
  <c r="AA186" i="4"/>
  <c r="W186" i="4"/>
  <c r="AA201" i="4"/>
  <c r="W201" i="4"/>
  <c r="AA220" i="4"/>
  <c r="W220" i="4"/>
  <c r="AA239" i="4"/>
  <c r="W239" i="4"/>
  <c r="Y6" i="4"/>
  <c r="X6" i="4"/>
  <c r="S7" i="4"/>
  <c r="V7" i="4" s="1"/>
  <c r="AR65" i="4"/>
  <c r="AR57" i="4"/>
  <c r="AR62" i="4"/>
  <c r="AR37" i="4"/>
  <c r="AR51" i="4"/>
  <c r="AR15" i="4"/>
  <c r="AR21" i="4"/>
  <c r="AR22" i="4"/>
  <c r="AR26" i="4"/>
  <c r="AR27" i="4"/>
  <c r="AR24" i="4"/>
  <c r="AR25" i="4"/>
  <c r="S89" i="4"/>
  <c r="V89" i="4" s="1"/>
  <c r="U7" i="4"/>
  <c r="U246" i="4"/>
  <c r="W246" i="4" s="1"/>
  <c r="S246" i="4"/>
  <c r="V246" i="4" s="1"/>
  <c r="U89" i="4"/>
  <c r="W89" i="4" s="1"/>
  <c r="U94" i="4"/>
  <c r="W94" i="4" s="1"/>
  <c r="S94" i="4"/>
  <c r="V94" i="4" s="1"/>
  <c r="AR20" i="4" l="1"/>
  <c r="AR23" i="4"/>
  <c r="AA246" i="4"/>
  <c r="Z246" i="4"/>
  <c r="W7" i="4"/>
  <c r="W6" i="4" s="1"/>
  <c r="U6" i="4"/>
  <c r="AA94" i="4"/>
  <c r="Z94" i="4"/>
  <c r="AR54" i="4"/>
  <c r="S6" i="4"/>
  <c r="V6" i="4" s="1"/>
  <c r="AR66" i="4"/>
  <c r="AR64" i="4"/>
  <c r="AR55" i="4"/>
  <c r="AR56" i="4"/>
  <c r="AR38" i="4"/>
  <c r="AR36" i="4"/>
  <c r="AR35" i="4" s="1"/>
  <c r="AR52" i="4"/>
  <c r="AR42" i="4"/>
  <c r="AR45" i="4"/>
  <c r="AR46" i="4"/>
  <c r="AR48" i="4"/>
  <c r="AR47" i="4"/>
  <c r="AR43" i="4"/>
  <c r="AR49" i="4"/>
  <c r="AR44" i="4"/>
  <c r="AR72" i="4"/>
  <c r="AR33" i="4"/>
  <c r="AR30" i="4"/>
  <c r="AR31" i="4"/>
  <c r="AR32" i="4"/>
  <c r="AR34" i="4"/>
  <c r="AR59" i="4"/>
  <c r="AR60" i="4"/>
  <c r="AR77" i="4" l="1"/>
  <c r="Z6" i="4"/>
  <c r="AA6" i="4"/>
  <c r="AR6" i="4"/>
</calcChain>
</file>

<file path=xl/sharedStrings.xml><?xml version="1.0" encoding="utf-8"?>
<sst xmlns="http://schemas.openxmlformats.org/spreadsheetml/2006/main" count="894" uniqueCount="200">
  <si>
    <t>Тошкент шаҳар банклари</t>
  </si>
  <si>
    <t>Бошқа ҳудуд банклари</t>
  </si>
  <si>
    <t>Банк бўлинмаси номи</t>
  </si>
  <si>
    <t>Вилоят ҳудудида рўйҳатдан ўтган корхоналар</t>
  </si>
  <si>
    <t>Экспорт тушуми</t>
  </si>
  <si>
    <t>Шартнома сони</t>
  </si>
  <si>
    <t>Суммаси</t>
  </si>
  <si>
    <t>Импорт тўлови</t>
  </si>
  <si>
    <t>Экспорт шартнома сони</t>
  </si>
  <si>
    <t>Импорт шартнома сони</t>
  </si>
  <si>
    <t>Импорт учун тўлов</t>
  </si>
  <si>
    <t>Вилоят ҳудудида рўйҳатдан ўтган ва бошқа худуд банкларида фаолият юритаётган корхоналар</t>
  </si>
  <si>
    <t>Капиталбанк</t>
  </si>
  <si>
    <t>Ипак йўли банк</t>
  </si>
  <si>
    <t>Агробанк</t>
  </si>
  <si>
    <t>Миллийбанк</t>
  </si>
  <si>
    <t>Ипотека банк</t>
  </si>
  <si>
    <t>Трастбанк</t>
  </si>
  <si>
    <t>Халқ банк</t>
  </si>
  <si>
    <t>Ўзсаноатқурилишбанк</t>
  </si>
  <si>
    <t>Ҳамкорбанк</t>
  </si>
  <si>
    <t>Туронбанк</t>
  </si>
  <si>
    <t>Инфинбанк</t>
  </si>
  <si>
    <t>Гарант банк</t>
  </si>
  <si>
    <t>Ориент финанс банк</t>
  </si>
  <si>
    <t>Асия аллианс банк</t>
  </si>
  <si>
    <t>Асакабанк</t>
  </si>
  <si>
    <t>Микрокредитбанк</t>
  </si>
  <si>
    <t>КДБ Банк</t>
  </si>
  <si>
    <t>Давр банк</t>
  </si>
  <si>
    <t>Зираат банк</t>
  </si>
  <si>
    <t>Алоқабанк</t>
  </si>
  <si>
    <t>Тене банк</t>
  </si>
  <si>
    <t>Мадад инвест банк</t>
  </si>
  <si>
    <t>Бизнесни ривожлантириш банки</t>
  </si>
  <si>
    <t>Универсалбанк</t>
  </si>
  <si>
    <t>Апекс банк</t>
  </si>
  <si>
    <t>Анор банк</t>
  </si>
  <si>
    <t>Янги банк</t>
  </si>
  <si>
    <t>Ҳаёт банк</t>
  </si>
  <si>
    <t>Осто банк</t>
  </si>
  <si>
    <t>Содерат банк</t>
  </si>
  <si>
    <t>Пойтахт банк</t>
  </si>
  <si>
    <t>Ангрен шаҳар</t>
  </si>
  <si>
    <t>Бекобод тумани</t>
  </si>
  <si>
    <t>Бекобод шаҳар</t>
  </si>
  <si>
    <t>Бўка тумани</t>
  </si>
  <si>
    <t>Бўстонлиқ тумани</t>
  </si>
  <si>
    <t>Зангиота тумани</t>
  </si>
  <si>
    <t>Қибрай тумани</t>
  </si>
  <si>
    <t>Қуйичирчиқ тумани</t>
  </si>
  <si>
    <t>Нурафшон шаҳар</t>
  </si>
  <si>
    <t>Оққўрғон тумани</t>
  </si>
  <si>
    <t>Олмалиқ шаҳар</t>
  </si>
  <si>
    <t>Оҳангарон тумани</t>
  </si>
  <si>
    <t>Оҳангарон шаҳар</t>
  </si>
  <si>
    <t>Паркент тумани</t>
  </si>
  <si>
    <t>Пскент тумани</t>
  </si>
  <si>
    <t>Тошкент тумани</t>
  </si>
  <si>
    <t>Чиноз тумани</t>
  </si>
  <si>
    <t>Чирчиқ шаҳар</t>
  </si>
  <si>
    <t>Юқоричирчиқ тумани</t>
  </si>
  <si>
    <t>Янгийўл тумани</t>
  </si>
  <si>
    <t>Янгийўл шаҳар</t>
  </si>
  <si>
    <t>Ҳамкорбанк Чиноз БХО</t>
  </si>
  <si>
    <t>Миллийбанк Бекобод БХМ</t>
  </si>
  <si>
    <t>Ипотека банк Олмалиқ филиали</t>
  </si>
  <si>
    <t>Ипак йўли банк Янгийўл филиали</t>
  </si>
  <si>
    <t>Ипотека банк Чирчиқ филиали</t>
  </si>
  <si>
    <t>Инфинбанк Зангиота филиали</t>
  </si>
  <si>
    <t>Асакабанк Нурафшон БХМ</t>
  </si>
  <si>
    <t>Микрокредитбанк Чирчиқ БХМ</t>
  </si>
  <si>
    <t>Ипотека банк Бекобод филиали</t>
  </si>
  <si>
    <t>Ҳамкорбанк Янгийўл БХО</t>
  </si>
  <si>
    <t>Миллийбанк Ангрен БХМ</t>
  </si>
  <si>
    <t>Миллийбанк Чирчиқ БХМ</t>
  </si>
  <si>
    <t>Ипотека банк Зангиота филиали</t>
  </si>
  <si>
    <t>Халқ банк Янгийўл БХМ</t>
  </si>
  <si>
    <t>Ҳамкорбанк Олмалиқ БХО</t>
  </si>
  <si>
    <t>Ўзсаноатқурилишбанк Чирчиқ БХМ</t>
  </si>
  <si>
    <t>Ипотека банк Чиноз филиали</t>
  </si>
  <si>
    <t>Ўзсаноатқурилишбанк Бўка БХМ</t>
  </si>
  <si>
    <t>Ўзсаноатқурилишбанк Қибрай БХМ</t>
  </si>
  <si>
    <t>Ипотека банк Ангрен филиали</t>
  </si>
  <si>
    <t>Ўзсаноатқурилишбанк Олмалиқ БХМ</t>
  </si>
  <si>
    <t>Ипотека банк Оҳангарон филиали</t>
  </si>
  <si>
    <t>Агробанк Янгийўл филиали</t>
  </si>
  <si>
    <t>Ўзсаноатқурилишбанк Ангрен БХМ</t>
  </si>
  <si>
    <t>Миллийбанк Янгийўл БХМ</t>
  </si>
  <si>
    <t>Бизнесни ривожлантириш банки Янгийўл БХМ</t>
  </si>
  <si>
    <t>Бизнесни ривожлантириш банки Оҳангарон БХМ</t>
  </si>
  <si>
    <t>Ўзсаноатқурилишбанк Бекобод БХМ</t>
  </si>
  <si>
    <t>Агробанк Оҳангарон филиали</t>
  </si>
  <si>
    <t>Агробанк Бекобод филиали</t>
  </si>
  <si>
    <t>Агробанк Паркент филиали</t>
  </si>
  <si>
    <t>Миллийбанк Олмалиқ БХМ</t>
  </si>
  <si>
    <t>Агробанк Бўка филиали</t>
  </si>
  <si>
    <t>Халқ банк Зангиота БХМ</t>
  </si>
  <si>
    <t>Халқ банк Қибрай БХМ</t>
  </si>
  <si>
    <t>Агробанк Қуйичирчиқ филиали</t>
  </si>
  <si>
    <t>Халқ банк Келес БХМ</t>
  </si>
  <si>
    <t>Агробанк Юқоричирчиқ филиали</t>
  </si>
  <si>
    <t>Мавжуд ходимлар</t>
  </si>
  <si>
    <t>Белгиланган тоифа</t>
  </si>
  <si>
    <t>Опен банк</t>
  </si>
  <si>
    <t>Ҳудуд ва банк номи</t>
  </si>
  <si>
    <t>Ҳамкорбанк Ангрен филиали</t>
  </si>
  <si>
    <t>Халқ банк Бекобод БХМ</t>
  </si>
  <si>
    <t>Бизнесни ривожлантириш банки Бўстонлиқ БХМ</t>
  </si>
  <si>
    <t>Гарант банк Бўстонлиқ БХМ</t>
  </si>
  <si>
    <t>Микрокредитбанк Бўстонлиқ БХМ</t>
  </si>
  <si>
    <t>Миллийбанк Бўстонлиқ БХМ</t>
  </si>
  <si>
    <t>Гарант банк Зангиота БХМ</t>
  </si>
  <si>
    <t>Туронбанк Зангиота филиали</t>
  </si>
  <si>
    <t>Универсалбанк Зангиота филиали</t>
  </si>
  <si>
    <t>Инфинбанк Қибрай филиали</t>
  </si>
  <si>
    <t>Алоқабанк Нурафшон БХМ</t>
  </si>
  <si>
    <t>Бизнесни ривожлантириш банки Нурафшон БХМ</t>
  </si>
  <si>
    <t>Микрокредитбанк Нурафшон БХМ</t>
  </si>
  <si>
    <t>Миллийбанк Нурафшон БХМ</t>
  </si>
  <si>
    <t>Ўзсаноатқурилишбанк Нурафшон БХМ</t>
  </si>
  <si>
    <t>Ҳамкорбанк Нурафшон БХМ</t>
  </si>
  <si>
    <t>Агробанк Оққўрғон филиали</t>
  </si>
  <si>
    <t>Микрокредитбанк Оққўрғон БХМ</t>
  </si>
  <si>
    <t>Микрокредитбанк Паркент БХМ</t>
  </si>
  <si>
    <t>Халқ банк Паркент БХМ</t>
  </si>
  <si>
    <t>Ўзсаноатқурилишбанк Пскент БХМ</t>
  </si>
  <si>
    <t>Халқ банк Пскент БХМ</t>
  </si>
  <si>
    <t>Микрокредитбанк Келес БХМ</t>
  </si>
  <si>
    <t>Агробанк Чиноз филиали</t>
  </si>
  <si>
    <t>Ҳамкорбанк Чирчиқ БХМ</t>
  </si>
  <si>
    <t>Халқ банк Юқоричирчиқ БХМ</t>
  </si>
  <si>
    <t>Агробанк Тошкент шаҳар</t>
  </si>
  <si>
    <t>Алоқабанк Тошкент шаҳар</t>
  </si>
  <si>
    <t>Анор банк Тошкент шаҳар</t>
  </si>
  <si>
    <t>Апекс банк Тошкент шаҳар</t>
  </si>
  <si>
    <t>Асакабанк Тошкент шаҳар</t>
  </si>
  <si>
    <t>Асия аллианс банк Тошкент шаҳар</t>
  </si>
  <si>
    <t>Бизнесни ривожлантириш банки Тошкент шаҳар</t>
  </si>
  <si>
    <t>Гарант банк Тошкент шаҳар</t>
  </si>
  <si>
    <t>Давр банк Тошкент шаҳар</t>
  </si>
  <si>
    <t>Зираат банк Тошкент шаҳар</t>
  </si>
  <si>
    <t>Инфинбанк Тошкент шаҳар</t>
  </si>
  <si>
    <t>Ипак йўли банк Тошкент шаҳар</t>
  </si>
  <si>
    <t>Ипотека банк Тошкент шаҳар</t>
  </si>
  <si>
    <t>Капиталбанк Тошкент шаҳар</t>
  </si>
  <si>
    <t>КДБ Банк Тошкент шаҳар</t>
  </si>
  <si>
    <t>Мадад инвест банк Тошкент шаҳар</t>
  </si>
  <si>
    <t>Микрокредитбанк Тошкент шаҳар</t>
  </si>
  <si>
    <t>Миллийбанк Тошкент шаҳар</t>
  </si>
  <si>
    <t>Опен банк Тошкент шаҳар</t>
  </si>
  <si>
    <t>Ориент финанс банк Тошкент шаҳар</t>
  </si>
  <si>
    <t>Осто банк Тошкент шаҳар</t>
  </si>
  <si>
    <t>Пойтахт банк Тошкент шаҳар</t>
  </si>
  <si>
    <t>Содерат банк Тошкент шаҳар</t>
  </si>
  <si>
    <t>Тене банк Тошкент шаҳар</t>
  </si>
  <si>
    <t>Трастбанк Тошкент шаҳар</t>
  </si>
  <si>
    <t>Туронбанк Тошкент шаҳар</t>
  </si>
  <si>
    <t>Ўзсаноатқурилишбанк Тошкент шаҳар</t>
  </si>
  <si>
    <t>Универсалбанк Тошкент шаҳар</t>
  </si>
  <si>
    <t>Халқ банк Тошкент шаҳар</t>
  </si>
  <si>
    <t>Ҳаёт банк Тошкент шаҳар</t>
  </si>
  <si>
    <t>Ҳамкорбанк Тошкент шаҳар</t>
  </si>
  <si>
    <t>Янги банк Тошкент шаҳар</t>
  </si>
  <si>
    <t>Агробанк Бошқа ҳудуд</t>
  </si>
  <si>
    <t>Алоқабанк Бошқа ҳудуд</t>
  </si>
  <si>
    <t>Асакабанк Бошқа ҳудуд</t>
  </si>
  <si>
    <t>Асия аллианс банк Бошқа ҳудуд</t>
  </si>
  <si>
    <t>Бизнесни ривожлантириш банки Бошқа ҳудуд</t>
  </si>
  <si>
    <t>Инфинбанк Бошқа ҳудуд</t>
  </si>
  <si>
    <t>Ипак йўли банк Бошқа ҳудуд</t>
  </si>
  <si>
    <t>Ипотека банк Бошқа ҳудуд</t>
  </si>
  <si>
    <t>Капиталбанк Бошқа ҳудуд</t>
  </si>
  <si>
    <t>Микрокредитбанк Бошқа ҳудуд</t>
  </si>
  <si>
    <t>Миллийбанк Бошқа ҳудуд</t>
  </si>
  <si>
    <t>Трастбанк Бошқа ҳудуд</t>
  </si>
  <si>
    <t>Туронбанк Бошқа ҳудуд</t>
  </si>
  <si>
    <t>Ўзсаноатқурилишбанк Бошқа ҳудуд</t>
  </si>
  <si>
    <t>Универсалбанк Бошқа ҳудуд</t>
  </si>
  <si>
    <t>Халқ банк Бошқа ҳудуд</t>
  </si>
  <si>
    <t>Ҳамкорбанк Бошқа ҳудуд</t>
  </si>
  <si>
    <r>
      <t xml:space="preserve">2026 йилда ҳудуддаги улуши </t>
    </r>
    <r>
      <rPr>
        <b/>
        <i/>
        <sz val="11"/>
        <color theme="1"/>
        <rFont val="Aptos Narrow"/>
        <charset val="204"/>
        <scheme val="minor"/>
      </rPr>
      <t>(фоизда)</t>
    </r>
  </si>
  <si>
    <t>Агробанк ҳудудий филиали</t>
  </si>
  <si>
    <t>Халқ банк Ангрен БХМ</t>
  </si>
  <si>
    <t>Бор</t>
  </si>
  <si>
    <t>Йуқ</t>
  </si>
  <si>
    <t xml:space="preserve">Аккредитив хисобрақам очиш </t>
  </si>
  <si>
    <t xml:space="preserve">Факторинг хизмати мавжудлиги </t>
  </si>
  <si>
    <t>Қамрови</t>
  </si>
  <si>
    <t>2026 йил 1-май ҳолатига</t>
  </si>
  <si>
    <t>Дебиторка 2026 йил 1 май ҳолатига</t>
  </si>
  <si>
    <r>
      <t xml:space="preserve">2026 йил 1 май ҳолатига олинган банк даромади </t>
    </r>
    <r>
      <rPr>
        <b/>
        <i/>
        <sz val="11"/>
        <color theme="1"/>
        <rFont val="Aptos Narrow"/>
        <charset val="204"/>
        <scheme val="minor"/>
      </rPr>
      <t>(минг сўмда)</t>
    </r>
  </si>
  <si>
    <r>
      <t xml:space="preserve">2025 йил 1 май ҳолатга олинган банк даромади </t>
    </r>
    <r>
      <rPr>
        <b/>
        <i/>
        <sz val="11"/>
        <color theme="1"/>
        <rFont val="Aptos Narrow"/>
        <charset val="204"/>
        <scheme val="minor"/>
      </rPr>
      <t>(минг сўмда)</t>
    </r>
  </si>
  <si>
    <t>2025 йил 1 май ҳолатига</t>
  </si>
  <si>
    <t>Дебиторка 2025 йил 1 май ҳолатига</t>
  </si>
  <si>
    <t>2026 йил 1 январъ ҳолатига</t>
  </si>
  <si>
    <t>Барқарор</t>
  </si>
  <si>
    <t>Самарадор</t>
  </si>
  <si>
    <t>Ўртача</t>
  </si>
  <si>
    <t>Самарадорлиги паст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</si>
</sst>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charset val="204"/>
      <scheme val="minor"/>
    </font>
    <font>
      <b/>
      <i/>
      <sz val="11"/>
      <color theme="1"/>
      <name val="Aptos Narrow"/>
      <charset val="204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  <charset val="204"/>
    </font>
    <font>
      <sz val="11"/>
      <color theme="1"/>
      <name val="Aptos Narrow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3" fontId="0" fillId="0" borderId="0" xfId="0" applyNumberForma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3" fontId="11" fillId="4" borderId="1" xfId="0" applyNumberFormat="1" applyFont="1" applyFill="1" applyBorder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/>
    </xf>
    <xf numFmtId="9" fontId="0" fillId="4" borderId="0" xfId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/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vertical="center" wrapText="1"/>
    </xf>
    <xf numFmtId="3" fontId="7" fillId="2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left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7" fillId="4" borderId="7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11" fillId="4" borderId="9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9" fontId="7" fillId="3" borderId="0" xfId="1" applyFont="1" applyFill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3" fontId="7" fillId="4" borderId="8" xfId="0" applyNumberFormat="1" applyFont="1" applyFill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9" fontId="7" fillId="4" borderId="1" xfId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2"/>
    <cellStyle name="Процентный" xfId="1" builtinId="5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buser/Desktop/&#1063;&#1086;&#1088;&#1072;&#1082;&#1083;&#1080;&#1082;/2025%204-&#1095;&#1086;&#1088;&#1072;&#1082;/503_&#1054;&#1087;&#1077;&#1088;&#1072;&#1090;&#1080;&#1074;&#1085;&#1099;&#1077;_&#1089;&#1074;&#1077;&#1076;&#1077;&#1085;&#1080;&#1103;_&#1086;&#1073;_&#1086;&#1073;&#1098;&#1105;&#1084;&#1072;&#1093;_&#1074;&#1099;&#1088;&#1091;&#1095;&#1082;&#1080;_&#1086;&#1090;_&#1101;&#1082;&#1089;&#1087;&#1086;&#1088;&#1090;&#1072;_23b3bd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База"/>
      <sheetName val="Лист4"/>
      <sheetName val="2"/>
    </sheetNames>
    <sheetDataSet>
      <sheetData sheetId="0" refreshError="1">
        <row r="4">
          <cell r="A4">
            <v>119</v>
          </cell>
          <cell r="B4">
            <v>1</v>
          </cell>
          <cell r="C4">
            <v>473.38</v>
          </cell>
        </row>
        <row r="5">
          <cell r="A5">
            <v>197</v>
          </cell>
          <cell r="B5">
            <v>1</v>
          </cell>
          <cell r="C5">
            <v>1212</v>
          </cell>
        </row>
        <row r="6">
          <cell r="A6">
            <v>394</v>
          </cell>
          <cell r="B6">
            <v>37</v>
          </cell>
          <cell r="C6">
            <v>1870991.0599999998</v>
          </cell>
        </row>
        <row r="7">
          <cell r="A7">
            <v>395</v>
          </cell>
          <cell r="B7">
            <v>167</v>
          </cell>
          <cell r="C7">
            <v>13802386.590000004</v>
          </cell>
        </row>
        <row r="8">
          <cell r="A8">
            <v>401</v>
          </cell>
          <cell r="B8">
            <v>38</v>
          </cell>
          <cell r="C8">
            <v>1932995.9299999997</v>
          </cell>
        </row>
        <row r="9">
          <cell r="A9">
            <v>408</v>
          </cell>
          <cell r="B9">
            <v>8</v>
          </cell>
          <cell r="C9">
            <v>126118.54999999999</v>
          </cell>
        </row>
        <row r="10">
          <cell r="A10">
            <v>413</v>
          </cell>
          <cell r="B10">
            <v>3</v>
          </cell>
          <cell r="C10">
            <v>187976</v>
          </cell>
        </row>
        <row r="11">
          <cell r="A11">
            <v>419</v>
          </cell>
          <cell r="B11">
            <v>241</v>
          </cell>
          <cell r="C11">
            <v>4557814.8499999996</v>
          </cell>
        </row>
        <row r="12">
          <cell r="A12">
            <v>420</v>
          </cell>
          <cell r="B12">
            <v>18</v>
          </cell>
          <cell r="C12">
            <v>3678662.3</v>
          </cell>
        </row>
        <row r="13">
          <cell r="A13">
            <v>421</v>
          </cell>
          <cell r="B13">
            <v>41</v>
          </cell>
          <cell r="C13">
            <v>801374.71000000008</v>
          </cell>
        </row>
        <row r="14">
          <cell r="A14">
            <v>423</v>
          </cell>
          <cell r="B14">
            <v>56</v>
          </cell>
          <cell r="C14">
            <v>918575.31999999983</v>
          </cell>
        </row>
        <row r="15">
          <cell r="A15">
            <v>425</v>
          </cell>
          <cell r="B15">
            <v>16</v>
          </cell>
          <cell r="C15">
            <v>914369.82000000007</v>
          </cell>
        </row>
        <row r="16">
          <cell r="A16">
            <v>433</v>
          </cell>
          <cell r="B16">
            <v>25</v>
          </cell>
          <cell r="C16">
            <v>330814.05000000005</v>
          </cell>
        </row>
        <row r="17">
          <cell r="A17">
            <v>439</v>
          </cell>
          <cell r="B17">
            <v>7</v>
          </cell>
          <cell r="C17">
            <v>158206.34999999998</v>
          </cell>
        </row>
        <row r="18">
          <cell r="A18">
            <v>444</v>
          </cell>
          <cell r="B18">
            <v>389</v>
          </cell>
          <cell r="C18">
            <v>15496193.599999996</v>
          </cell>
        </row>
        <row r="19">
          <cell r="A19">
            <v>445</v>
          </cell>
          <cell r="B19">
            <v>377</v>
          </cell>
          <cell r="C19">
            <v>8696744.2699999996</v>
          </cell>
        </row>
        <row r="20">
          <cell r="A20">
            <v>446</v>
          </cell>
          <cell r="B20">
            <v>34</v>
          </cell>
          <cell r="C20">
            <v>1269317.8</v>
          </cell>
        </row>
        <row r="21">
          <cell r="A21">
            <v>459</v>
          </cell>
          <cell r="B21">
            <v>103</v>
          </cell>
          <cell r="C21">
            <v>260439884.61000001</v>
          </cell>
        </row>
        <row r="22">
          <cell r="A22">
            <v>461</v>
          </cell>
          <cell r="B22">
            <v>44</v>
          </cell>
          <cell r="C22">
            <v>392003.3</v>
          </cell>
        </row>
        <row r="23">
          <cell r="A23">
            <v>472</v>
          </cell>
          <cell r="B23">
            <v>3</v>
          </cell>
          <cell r="C23">
            <v>21520</v>
          </cell>
        </row>
        <row r="24">
          <cell r="A24">
            <v>475</v>
          </cell>
          <cell r="B24">
            <v>3</v>
          </cell>
          <cell r="C24">
            <v>89088.13</v>
          </cell>
        </row>
        <row r="25">
          <cell r="A25">
            <v>478</v>
          </cell>
          <cell r="B25">
            <v>72</v>
          </cell>
          <cell r="C25">
            <v>705549.54000000027</v>
          </cell>
        </row>
        <row r="26">
          <cell r="A26">
            <v>482</v>
          </cell>
          <cell r="B26">
            <v>4</v>
          </cell>
          <cell r="C26">
            <v>158233.54999999999</v>
          </cell>
        </row>
        <row r="27">
          <cell r="A27">
            <v>487</v>
          </cell>
          <cell r="B27">
            <v>39</v>
          </cell>
          <cell r="C27">
            <v>2328161.2800000003</v>
          </cell>
        </row>
        <row r="28">
          <cell r="A28">
            <v>489</v>
          </cell>
          <cell r="B28">
            <v>25</v>
          </cell>
          <cell r="C28">
            <v>1232167.7299999997</v>
          </cell>
        </row>
        <row r="29">
          <cell r="A29">
            <v>491</v>
          </cell>
          <cell r="B29">
            <v>58</v>
          </cell>
          <cell r="C29">
            <v>1820601.8699999996</v>
          </cell>
        </row>
        <row r="30">
          <cell r="A30">
            <v>580</v>
          </cell>
          <cell r="B30">
            <v>2</v>
          </cell>
          <cell r="C30">
            <v>11330</v>
          </cell>
        </row>
        <row r="31">
          <cell r="A31">
            <v>837</v>
          </cell>
          <cell r="B31">
            <v>14</v>
          </cell>
          <cell r="C31">
            <v>479858.5</v>
          </cell>
        </row>
        <row r="32">
          <cell r="A32">
            <v>842</v>
          </cell>
          <cell r="B32">
            <v>285</v>
          </cell>
          <cell r="C32">
            <v>8223963.9699999979</v>
          </cell>
        </row>
        <row r="33">
          <cell r="A33">
            <v>873</v>
          </cell>
          <cell r="B33">
            <v>7</v>
          </cell>
          <cell r="C33">
            <v>265451.25</v>
          </cell>
        </row>
        <row r="34">
          <cell r="A34">
            <v>901</v>
          </cell>
          <cell r="B34">
            <v>25</v>
          </cell>
          <cell r="C34">
            <v>3733205.3</v>
          </cell>
        </row>
        <row r="35">
          <cell r="A35">
            <v>959</v>
          </cell>
          <cell r="B35">
            <v>8</v>
          </cell>
          <cell r="C35">
            <v>5532989.7700000005</v>
          </cell>
        </row>
        <row r="36">
          <cell r="A36">
            <v>974</v>
          </cell>
          <cell r="B36">
            <v>200</v>
          </cell>
          <cell r="C36">
            <v>8203790.5700000068</v>
          </cell>
        </row>
        <row r="37">
          <cell r="A37">
            <v>978</v>
          </cell>
          <cell r="B37">
            <v>48</v>
          </cell>
          <cell r="C37">
            <v>1390504.3299999998</v>
          </cell>
        </row>
        <row r="38">
          <cell r="A38">
            <v>980</v>
          </cell>
          <cell r="B38">
            <v>8</v>
          </cell>
          <cell r="C38">
            <v>868152.1</v>
          </cell>
        </row>
        <row r="39">
          <cell r="A39">
            <v>981</v>
          </cell>
          <cell r="B39">
            <v>9</v>
          </cell>
          <cell r="C39">
            <v>129337.03</v>
          </cell>
        </row>
        <row r="40">
          <cell r="A40">
            <v>997</v>
          </cell>
          <cell r="B40">
            <v>32</v>
          </cell>
          <cell r="C40">
            <v>552289.97</v>
          </cell>
        </row>
        <row r="41">
          <cell r="A41">
            <v>999</v>
          </cell>
          <cell r="B41">
            <v>19</v>
          </cell>
          <cell r="C41">
            <v>289328.54000000004</v>
          </cell>
        </row>
        <row r="42">
          <cell r="A42">
            <v>1017</v>
          </cell>
          <cell r="B42">
            <v>67</v>
          </cell>
          <cell r="C42">
            <v>2264123.21</v>
          </cell>
        </row>
        <row r="43">
          <cell r="A43">
            <v>1018</v>
          </cell>
          <cell r="B43">
            <v>88</v>
          </cell>
          <cell r="C43">
            <v>4255414.51</v>
          </cell>
        </row>
        <row r="44">
          <cell r="A44">
            <v>1028</v>
          </cell>
          <cell r="B44">
            <v>41</v>
          </cell>
          <cell r="C44">
            <v>1676998.49</v>
          </cell>
        </row>
        <row r="45">
          <cell r="A45">
            <v>1033</v>
          </cell>
          <cell r="B45">
            <v>122</v>
          </cell>
          <cell r="C45">
            <v>6675805.7599999988</v>
          </cell>
        </row>
        <row r="46">
          <cell r="A46">
            <v>1036</v>
          </cell>
          <cell r="B46">
            <v>10</v>
          </cell>
          <cell r="C46">
            <v>341172.95999999996</v>
          </cell>
        </row>
        <row r="47">
          <cell r="A47">
            <v>1039</v>
          </cell>
          <cell r="B47">
            <v>2</v>
          </cell>
          <cell r="C47">
            <v>7605.65</v>
          </cell>
        </row>
        <row r="48">
          <cell r="A48">
            <v>1041</v>
          </cell>
          <cell r="B48">
            <v>62</v>
          </cell>
          <cell r="C48">
            <v>2550715.7800000003</v>
          </cell>
        </row>
        <row r="49">
          <cell r="A49">
            <v>1042</v>
          </cell>
          <cell r="B49">
            <v>47</v>
          </cell>
          <cell r="C49">
            <v>4332623.4900000012</v>
          </cell>
        </row>
        <row r="50">
          <cell r="A50">
            <v>1043</v>
          </cell>
          <cell r="B50">
            <v>45</v>
          </cell>
          <cell r="C50">
            <v>1624238.6400000001</v>
          </cell>
        </row>
        <row r="51">
          <cell r="A51">
            <v>1046</v>
          </cell>
          <cell r="B51">
            <v>28</v>
          </cell>
          <cell r="C51">
            <v>334247.56999999995</v>
          </cell>
        </row>
        <row r="52">
          <cell r="A52">
            <v>1056</v>
          </cell>
          <cell r="B52">
            <v>138</v>
          </cell>
          <cell r="C52">
            <v>10797419.330000002</v>
          </cell>
        </row>
        <row r="53">
          <cell r="A53">
            <v>1067</v>
          </cell>
          <cell r="B53">
            <v>99</v>
          </cell>
          <cell r="C53">
            <v>2030668.6299999997</v>
          </cell>
        </row>
        <row r="54">
          <cell r="A54">
            <v>1069</v>
          </cell>
          <cell r="B54">
            <v>14</v>
          </cell>
          <cell r="C54">
            <v>152895.85</v>
          </cell>
        </row>
        <row r="55">
          <cell r="A55">
            <v>1070</v>
          </cell>
          <cell r="B55">
            <v>11</v>
          </cell>
          <cell r="C55">
            <v>22590</v>
          </cell>
        </row>
        <row r="56">
          <cell r="A56">
            <v>1071</v>
          </cell>
          <cell r="B56">
            <v>108</v>
          </cell>
          <cell r="C56">
            <v>6226467.7200000025</v>
          </cell>
        </row>
        <row r="57">
          <cell r="A57">
            <v>1072</v>
          </cell>
          <cell r="B57">
            <v>13</v>
          </cell>
          <cell r="C57">
            <v>232943.47999999998</v>
          </cell>
        </row>
        <row r="58">
          <cell r="A58">
            <v>1080</v>
          </cell>
          <cell r="B58">
            <v>50</v>
          </cell>
          <cell r="C58">
            <v>3216836.1899999995</v>
          </cell>
        </row>
        <row r="59">
          <cell r="A59">
            <v>1081</v>
          </cell>
          <cell r="B59">
            <v>96</v>
          </cell>
          <cell r="C59">
            <v>7432013.7600000007</v>
          </cell>
        </row>
        <row r="60">
          <cell r="A60">
            <v>1086</v>
          </cell>
          <cell r="B60">
            <v>3</v>
          </cell>
          <cell r="C60">
            <v>20957</v>
          </cell>
        </row>
        <row r="61">
          <cell r="A61">
            <v>1088</v>
          </cell>
          <cell r="B61">
            <v>31</v>
          </cell>
          <cell r="C61">
            <v>817532.4099999998</v>
          </cell>
        </row>
        <row r="62">
          <cell r="A62">
            <v>1091</v>
          </cell>
          <cell r="B62">
            <v>55</v>
          </cell>
          <cell r="C62">
            <v>1418776.2100000002</v>
          </cell>
        </row>
        <row r="63">
          <cell r="A63">
            <v>1095</v>
          </cell>
          <cell r="B63">
            <v>62</v>
          </cell>
          <cell r="C63">
            <v>1964919.42</v>
          </cell>
        </row>
        <row r="64">
          <cell r="A64">
            <v>1101</v>
          </cell>
          <cell r="B64">
            <v>60</v>
          </cell>
          <cell r="C64">
            <v>1564347.1699999995</v>
          </cell>
        </row>
        <row r="65">
          <cell r="A65">
            <v>1121</v>
          </cell>
          <cell r="B65">
            <v>87</v>
          </cell>
          <cell r="C65">
            <v>2154910.0200000005</v>
          </cell>
        </row>
        <row r="66">
          <cell r="A66">
            <v>1122</v>
          </cell>
          <cell r="B66">
            <v>27</v>
          </cell>
          <cell r="C66">
            <v>737052.79</v>
          </cell>
        </row>
        <row r="67">
          <cell r="A67">
            <v>1125</v>
          </cell>
          <cell r="B67">
            <v>17</v>
          </cell>
          <cell r="C67">
            <v>125622.50000000001</v>
          </cell>
        </row>
        <row r="68">
          <cell r="A68">
            <v>1130</v>
          </cell>
          <cell r="B68">
            <v>11</v>
          </cell>
          <cell r="C68">
            <v>1492716.63</v>
          </cell>
        </row>
        <row r="69">
          <cell r="A69">
            <v>1136</v>
          </cell>
          <cell r="B69">
            <v>149</v>
          </cell>
          <cell r="C69">
            <v>7852229.8000000017</v>
          </cell>
        </row>
        <row r="70">
          <cell r="A70">
            <v>1142</v>
          </cell>
          <cell r="B70">
            <v>7</v>
          </cell>
          <cell r="C70">
            <v>2851067.7400000007</v>
          </cell>
        </row>
        <row r="71">
          <cell r="A71">
            <v>1145</v>
          </cell>
          <cell r="B71">
            <v>64</v>
          </cell>
          <cell r="C71">
            <v>2173247.4100000006</v>
          </cell>
        </row>
        <row r="72">
          <cell r="A72">
            <v>1158</v>
          </cell>
          <cell r="B72">
            <v>532</v>
          </cell>
          <cell r="C72">
            <v>24589437.649999991</v>
          </cell>
        </row>
        <row r="73">
          <cell r="A73">
            <v>1165</v>
          </cell>
          <cell r="B73">
            <v>3</v>
          </cell>
          <cell r="C73">
            <v>348304.05</v>
          </cell>
        </row>
        <row r="74">
          <cell r="A74">
            <v>1176</v>
          </cell>
          <cell r="B74">
            <v>25</v>
          </cell>
          <cell r="C74">
            <v>2440881.65</v>
          </cell>
        </row>
        <row r="75">
          <cell r="A75">
            <v>1183</v>
          </cell>
          <cell r="B75">
            <v>11</v>
          </cell>
          <cell r="C75">
            <v>364377.8</v>
          </cell>
        </row>
        <row r="76">
          <cell r="A76">
            <v>1196</v>
          </cell>
          <cell r="B76">
            <v>7</v>
          </cell>
          <cell r="C76">
            <v>201444.33000000002</v>
          </cell>
        </row>
        <row r="77">
          <cell r="A77">
            <v>1198</v>
          </cell>
          <cell r="B77">
            <v>172</v>
          </cell>
          <cell r="C77">
            <v>18908895.629999999</v>
          </cell>
        </row>
        <row r="78">
          <cell r="A78">
            <v>10463</v>
          </cell>
          <cell r="B78">
            <v>11</v>
          </cell>
          <cell r="C78">
            <v>61310</v>
          </cell>
        </row>
        <row r="79">
          <cell r="A79">
            <v>10489</v>
          </cell>
          <cell r="B79">
            <v>9</v>
          </cell>
          <cell r="C79">
            <v>15850</v>
          </cell>
        </row>
        <row r="80">
          <cell r="A80">
            <v>10706</v>
          </cell>
          <cell r="B80">
            <v>15</v>
          </cell>
          <cell r="C80">
            <v>912689.8</v>
          </cell>
        </row>
        <row r="81">
          <cell r="A81">
            <v>10723</v>
          </cell>
          <cell r="B81">
            <v>4</v>
          </cell>
          <cell r="C81">
            <v>191698.8</v>
          </cell>
        </row>
        <row r="82">
          <cell r="A82">
            <v>10729</v>
          </cell>
          <cell r="B82">
            <v>2</v>
          </cell>
          <cell r="C82">
            <v>65425</v>
          </cell>
        </row>
        <row r="83">
          <cell r="A83">
            <v>10792</v>
          </cell>
          <cell r="B83">
            <v>7</v>
          </cell>
          <cell r="C83">
            <v>431626.06000000006</v>
          </cell>
        </row>
        <row r="84">
          <cell r="A84">
            <v>10818</v>
          </cell>
          <cell r="B84">
            <v>3</v>
          </cell>
          <cell r="C84">
            <v>171679</v>
          </cell>
        </row>
        <row r="85">
          <cell r="A85">
            <v>10819</v>
          </cell>
          <cell r="B85">
            <v>6</v>
          </cell>
          <cell r="C85">
            <v>79784.890000000014</v>
          </cell>
        </row>
        <row r="86">
          <cell r="A86">
            <v>10820</v>
          </cell>
          <cell r="B86">
            <v>10</v>
          </cell>
          <cell r="C86">
            <v>66463.28</v>
          </cell>
        </row>
        <row r="87">
          <cell r="A87">
            <v>10830</v>
          </cell>
          <cell r="B87">
            <v>1</v>
          </cell>
          <cell r="C87">
            <v>18379.41</v>
          </cell>
        </row>
        <row r="88">
          <cell r="A88">
            <v>10831</v>
          </cell>
          <cell r="B88">
            <v>8</v>
          </cell>
          <cell r="C88">
            <v>209943.63</v>
          </cell>
        </row>
        <row r="89">
          <cell r="A89">
            <v>11083</v>
          </cell>
          <cell r="B89">
            <v>7</v>
          </cell>
          <cell r="C89">
            <v>186376.27</v>
          </cell>
        </row>
        <row r="90">
          <cell r="A90">
            <v>11141</v>
          </cell>
          <cell r="B90">
            <v>88</v>
          </cell>
          <cell r="C90">
            <v>5680045.0099999998</v>
          </cell>
        </row>
        <row r="91">
          <cell r="A91">
            <v>11142</v>
          </cell>
          <cell r="B91">
            <v>1</v>
          </cell>
          <cell r="C91">
            <v>31294.44</v>
          </cell>
        </row>
        <row r="92">
          <cell r="A92">
            <v>11184</v>
          </cell>
          <cell r="B92">
            <v>15</v>
          </cell>
          <cell r="C92">
            <v>313563.84999999998</v>
          </cell>
        </row>
        <row r="93">
          <cell r="A93">
            <v>11185</v>
          </cell>
          <cell r="B93">
            <v>24</v>
          </cell>
          <cell r="C93">
            <v>378176.06</v>
          </cell>
        </row>
        <row r="94">
          <cell r="A94">
            <v>11187</v>
          </cell>
          <cell r="B94">
            <v>20</v>
          </cell>
          <cell r="C94">
            <v>1007179.3899999999</v>
          </cell>
        </row>
        <row r="95">
          <cell r="A95">
            <v>11188</v>
          </cell>
          <cell r="B95">
            <v>6</v>
          </cell>
          <cell r="C95">
            <v>337942</v>
          </cell>
        </row>
        <row r="96">
          <cell r="A96">
            <v>11189</v>
          </cell>
          <cell r="B96">
            <v>5</v>
          </cell>
          <cell r="C96">
            <v>5326.83</v>
          </cell>
        </row>
        <row r="97">
          <cell r="A97">
            <v>11190</v>
          </cell>
          <cell r="B97">
            <v>2</v>
          </cell>
          <cell r="C97">
            <v>6710</v>
          </cell>
        </row>
        <row r="98">
          <cell r="A98">
            <v>11193</v>
          </cell>
          <cell r="B98">
            <v>3</v>
          </cell>
          <cell r="C98">
            <v>6809</v>
          </cell>
        </row>
        <row r="99">
          <cell r="A99">
            <v>11194</v>
          </cell>
          <cell r="B99">
            <v>18</v>
          </cell>
          <cell r="C99">
            <v>486909.39</v>
          </cell>
        </row>
        <row r="100">
          <cell r="A100">
            <v>11196</v>
          </cell>
          <cell r="B100">
            <v>141</v>
          </cell>
          <cell r="C100">
            <v>12775385.060000001</v>
          </cell>
        </row>
        <row r="101">
          <cell r="A101">
            <v>11198</v>
          </cell>
          <cell r="B101">
            <v>7</v>
          </cell>
          <cell r="C101">
            <v>229390.48</v>
          </cell>
        </row>
        <row r="102">
          <cell r="A102">
            <v>11199</v>
          </cell>
          <cell r="B102">
            <v>28</v>
          </cell>
          <cell r="C102">
            <v>460973.8</v>
          </cell>
        </row>
        <row r="103">
          <cell r="A103">
            <v>11200</v>
          </cell>
          <cell r="B103">
            <v>10</v>
          </cell>
          <cell r="C103">
            <v>188575</v>
          </cell>
        </row>
        <row r="104">
          <cell r="A104">
            <v>11201</v>
          </cell>
          <cell r="B104">
            <v>24</v>
          </cell>
          <cell r="C104">
            <v>636271.2699999999</v>
          </cell>
        </row>
        <row r="105">
          <cell r="A105">
            <v>11202</v>
          </cell>
          <cell r="B105">
            <v>10</v>
          </cell>
          <cell r="C105">
            <v>100881.36</v>
          </cell>
        </row>
        <row r="106">
          <cell r="A106">
            <v>11203</v>
          </cell>
          <cell r="B106">
            <v>16</v>
          </cell>
          <cell r="C106">
            <v>61285.95</v>
          </cell>
        </row>
        <row r="107">
          <cell r="A107">
            <v>11205</v>
          </cell>
          <cell r="B107">
            <v>26</v>
          </cell>
          <cell r="C107">
            <v>3149938.1399999997</v>
          </cell>
        </row>
        <row r="108">
          <cell r="A108">
            <v>11206</v>
          </cell>
          <cell r="B108">
            <v>1</v>
          </cell>
          <cell r="C108">
            <v>6160.2</v>
          </cell>
        </row>
        <row r="109">
          <cell r="A109">
            <v>11207</v>
          </cell>
          <cell r="B109">
            <v>22</v>
          </cell>
          <cell r="C109">
            <v>1737928</v>
          </cell>
        </row>
        <row r="110">
          <cell r="A110">
            <v>11225</v>
          </cell>
          <cell r="B110">
            <v>6</v>
          </cell>
          <cell r="C110">
            <v>456549.32</v>
          </cell>
        </row>
        <row r="111">
          <cell r="A111">
            <v>11253</v>
          </cell>
          <cell r="B111">
            <v>99</v>
          </cell>
          <cell r="C111">
            <v>902082.14999999991</v>
          </cell>
        </row>
        <row r="112">
          <cell r="A112">
            <v>11254</v>
          </cell>
          <cell r="B112">
            <v>31</v>
          </cell>
          <cell r="C112">
            <v>626407.15000000014</v>
          </cell>
        </row>
        <row r="113">
          <cell r="A113">
            <v>11255</v>
          </cell>
          <cell r="B113">
            <v>13</v>
          </cell>
          <cell r="C113">
            <v>90815.37</v>
          </cell>
        </row>
        <row r="114">
          <cell r="A114">
            <v>11256</v>
          </cell>
          <cell r="B114">
            <v>61</v>
          </cell>
          <cell r="C114">
            <v>3285989.1100000003</v>
          </cell>
        </row>
        <row r="115">
          <cell r="A115">
            <v>11279</v>
          </cell>
          <cell r="B115">
            <v>1</v>
          </cell>
          <cell r="C115">
            <v>52325</v>
          </cell>
        </row>
        <row r="116">
          <cell r="A116">
            <v>11281</v>
          </cell>
          <cell r="B116">
            <v>2</v>
          </cell>
          <cell r="C116">
            <v>13448</v>
          </cell>
        </row>
        <row r="117">
          <cell r="A117">
            <v>11291</v>
          </cell>
          <cell r="B117">
            <v>47</v>
          </cell>
          <cell r="C117">
            <v>811033.88000000012</v>
          </cell>
        </row>
        <row r="118">
          <cell r="A118">
            <v>11349</v>
          </cell>
          <cell r="B118">
            <v>5</v>
          </cell>
          <cell r="C118">
            <v>68106</v>
          </cell>
        </row>
        <row r="119">
          <cell r="A119">
            <v>11377</v>
          </cell>
          <cell r="B119">
            <v>7</v>
          </cell>
          <cell r="C119">
            <v>46160</v>
          </cell>
        </row>
        <row r="120">
          <cell r="A120">
            <v>11412</v>
          </cell>
          <cell r="B120">
            <v>19</v>
          </cell>
          <cell r="C120">
            <v>497396.06999999995</v>
          </cell>
        </row>
        <row r="121">
          <cell r="A121">
            <v>11413</v>
          </cell>
          <cell r="B121">
            <v>1</v>
          </cell>
          <cell r="C121">
            <v>80000</v>
          </cell>
        </row>
        <row r="122">
          <cell r="A122">
            <v>11423</v>
          </cell>
          <cell r="B122">
            <v>48</v>
          </cell>
          <cell r="C122">
            <v>915478.94000000006</v>
          </cell>
        </row>
        <row r="123">
          <cell r="A123">
            <v>11424</v>
          </cell>
          <cell r="B123">
            <v>1</v>
          </cell>
          <cell r="C123">
            <v>7381</v>
          </cell>
        </row>
        <row r="124">
          <cell r="A124">
            <v>11429</v>
          </cell>
          <cell r="B124">
            <v>9</v>
          </cell>
          <cell r="C124">
            <v>355358.27</v>
          </cell>
        </row>
        <row r="125">
          <cell r="A125">
            <v>11443</v>
          </cell>
          <cell r="B125">
            <v>69</v>
          </cell>
          <cell r="C125">
            <v>5209911.0099999988</v>
          </cell>
        </row>
        <row r="126">
          <cell r="A126">
            <v>11444</v>
          </cell>
          <cell r="B126">
            <v>96</v>
          </cell>
          <cell r="C126">
            <v>1326387.3400000001</v>
          </cell>
        </row>
        <row r="127">
          <cell r="A127">
            <v>11445</v>
          </cell>
          <cell r="B127">
            <v>31</v>
          </cell>
          <cell r="C127">
            <v>3439318.93</v>
          </cell>
        </row>
        <row r="128">
          <cell r="A128">
            <v>11446</v>
          </cell>
          <cell r="B128">
            <v>410</v>
          </cell>
          <cell r="C128">
            <v>9897753.3900000043</v>
          </cell>
        </row>
        <row r="129">
          <cell r="A129">
            <v>11447</v>
          </cell>
          <cell r="B129">
            <v>61</v>
          </cell>
          <cell r="C129">
            <v>1788320.03</v>
          </cell>
        </row>
        <row r="130">
          <cell r="A130">
            <v>11448</v>
          </cell>
          <cell r="B130">
            <v>38</v>
          </cell>
          <cell r="C130">
            <v>246736.76999999996</v>
          </cell>
        </row>
        <row r="131">
          <cell r="A131">
            <v>11451</v>
          </cell>
          <cell r="B131">
            <v>2</v>
          </cell>
          <cell r="C131">
            <v>248060</v>
          </cell>
        </row>
        <row r="132">
          <cell r="A132">
            <v>11463</v>
          </cell>
          <cell r="B132">
            <v>19</v>
          </cell>
          <cell r="C132">
            <v>263057.42</v>
          </cell>
        </row>
        <row r="133">
          <cell r="A133">
            <v>11464</v>
          </cell>
          <cell r="B133">
            <v>22</v>
          </cell>
          <cell r="C133">
            <v>1155364</v>
          </cell>
        </row>
        <row r="134">
          <cell r="A134">
            <v>11465</v>
          </cell>
          <cell r="B134">
            <v>7</v>
          </cell>
          <cell r="C134">
            <v>4126.18</v>
          </cell>
        </row>
        <row r="135">
          <cell r="A135">
            <v>11466</v>
          </cell>
          <cell r="B135">
            <v>104</v>
          </cell>
          <cell r="C135">
            <v>5364775.330000001</v>
          </cell>
        </row>
        <row r="136">
          <cell r="A136">
            <v>11467</v>
          </cell>
          <cell r="B136">
            <v>47</v>
          </cell>
          <cell r="C136">
            <v>364042.80000000005</v>
          </cell>
        </row>
        <row r="137">
          <cell r="A137">
            <v>11468</v>
          </cell>
          <cell r="B137">
            <v>30</v>
          </cell>
          <cell r="C137">
            <v>728770.77999999991</v>
          </cell>
        </row>
        <row r="138">
          <cell r="A138">
            <v>11469</v>
          </cell>
          <cell r="B138">
            <v>6</v>
          </cell>
          <cell r="C138">
            <v>132050.48000000001</v>
          </cell>
        </row>
        <row r="139">
          <cell r="A139">
            <v>11470</v>
          </cell>
          <cell r="B139">
            <v>6</v>
          </cell>
          <cell r="C139">
            <v>147692.62</v>
          </cell>
        </row>
        <row r="140">
          <cell r="A140">
            <v>11471</v>
          </cell>
          <cell r="B140">
            <v>51</v>
          </cell>
          <cell r="C140">
            <v>3136147.42</v>
          </cell>
        </row>
        <row r="141">
          <cell r="A141">
            <v>11485</v>
          </cell>
          <cell r="B141">
            <v>2</v>
          </cell>
          <cell r="C141">
            <v>5000</v>
          </cell>
        </row>
        <row r="142">
          <cell r="A142">
            <v>11610</v>
          </cell>
          <cell r="B142">
            <v>2</v>
          </cell>
          <cell r="C142">
            <v>23576.55</v>
          </cell>
        </row>
        <row r="143">
          <cell r="A143">
            <v>11613</v>
          </cell>
          <cell r="B143">
            <v>10</v>
          </cell>
          <cell r="C143">
            <v>360388.64</v>
          </cell>
        </row>
        <row r="144">
          <cell r="A144">
            <v>11640</v>
          </cell>
          <cell r="B144">
            <v>131</v>
          </cell>
          <cell r="C144">
            <v>5614358.7499999991</v>
          </cell>
        </row>
        <row r="145">
          <cell r="A145">
            <v>11649</v>
          </cell>
          <cell r="B145">
            <v>3</v>
          </cell>
          <cell r="C145">
            <v>211271.5</v>
          </cell>
        </row>
        <row r="146">
          <cell r="A146">
            <v>11673</v>
          </cell>
          <cell r="B146">
            <v>35</v>
          </cell>
          <cell r="C146">
            <v>359499.87</v>
          </cell>
        </row>
        <row r="147">
          <cell r="A147">
            <v>11703</v>
          </cell>
          <cell r="B147">
            <v>1</v>
          </cell>
          <cell r="C147">
            <v>6000</v>
          </cell>
        </row>
        <row r="148">
          <cell r="A148">
            <v>11736</v>
          </cell>
          <cell r="B148">
            <v>25</v>
          </cell>
          <cell r="C148">
            <v>615823.25</v>
          </cell>
        </row>
        <row r="149">
          <cell r="A149">
            <v>11751</v>
          </cell>
          <cell r="B149">
            <v>54</v>
          </cell>
          <cell r="C149">
            <v>6186238.6899999995</v>
          </cell>
        </row>
        <row r="150">
          <cell r="A150">
            <v>11752</v>
          </cell>
          <cell r="B150">
            <v>21</v>
          </cell>
          <cell r="C150">
            <v>768749.76000000013</v>
          </cell>
        </row>
        <row r="151">
          <cell r="A151">
            <v>11753</v>
          </cell>
          <cell r="B151">
            <v>56</v>
          </cell>
          <cell r="C151">
            <v>17694781.389999997</v>
          </cell>
        </row>
        <row r="152">
          <cell r="A152">
            <v>11755</v>
          </cell>
          <cell r="B152">
            <v>19</v>
          </cell>
          <cell r="C152">
            <v>505265.89</v>
          </cell>
        </row>
        <row r="153">
          <cell r="A153">
            <v>11756</v>
          </cell>
          <cell r="B153">
            <v>25</v>
          </cell>
          <cell r="C153">
            <v>812947.79</v>
          </cell>
        </row>
        <row r="154">
          <cell r="A154">
            <v>11757</v>
          </cell>
          <cell r="B154">
            <v>3</v>
          </cell>
          <cell r="C154">
            <v>3514000</v>
          </cell>
        </row>
        <row r="155">
          <cell r="A155">
            <v>11758</v>
          </cell>
          <cell r="B155">
            <v>115</v>
          </cell>
          <cell r="C155">
            <v>6110743.2199999997</v>
          </cell>
        </row>
        <row r="156">
          <cell r="A156">
            <v>11759</v>
          </cell>
          <cell r="B156">
            <v>122</v>
          </cell>
          <cell r="C156">
            <v>6340794.0700000022</v>
          </cell>
        </row>
        <row r="157">
          <cell r="A157">
            <v>11760</v>
          </cell>
          <cell r="B157">
            <v>33</v>
          </cell>
          <cell r="C157">
            <v>1130916.01</v>
          </cell>
        </row>
        <row r="158">
          <cell r="A158">
            <v>11761</v>
          </cell>
          <cell r="B158">
            <v>47</v>
          </cell>
          <cell r="C158">
            <v>546591.14</v>
          </cell>
        </row>
        <row r="159">
          <cell r="A159">
            <v>11762</v>
          </cell>
          <cell r="B159">
            <v>1</v>
          </cell>
          <cell r="C159">
            <v>3000</v>
          </cell>
        </row>
        <row r="160">
          <cell r="A160">
            <v>11763</v>
          </cell>
          <cell r="B160">
            <v>18</v>
          </cell>
          <cell r="C160">
            <v>3246750.19</v>
          </cell>
        </row>
        <row r="161">
          <cell r="A161">
            <v>11786</v>
          </cell>
          <cell r="B161">
            <v>23</v>
          </cell>
          <cell r="C161">
            <v>405546.91000000003</v>
          </cell>
        </row>
        <row r="162">
          <cell r="A162">
            <v>11787</v>
          </cell>
          <cell r="B162">
            <v>1</v>
          </cell>
          <cell r="C162">
            <v>3312</v>
          </cell>
        </row>
        <row r="163">
          <cell r="A163">
            <v>11790</v>
          </cell>
          <cell r="B163">
            <v>14</v>
          </cell>
          <cell r="C163">
            <v>85147.07</v>
          </cell>
        </row>
        <row r="164">
          <cell r="A164">
            <v>11791</v>
          </cell>
          <cell r="B164">
            <v>12</v>
          </cell>
          <cell r="C164">
            <v>348746.77</v>
          </cell>
        </row>
        <row r="165">
          <cell r="A165">
            <v>11792</v>
          </cell>
          <cell r="B165">
            <v>235</v>
          </cell>
          <cell r="C165">
            <v>17813846.010000002</v>
          </cell>
        </row>
        <row r="166">
          <cell r="A166">
            <v>11794</v>
          </cell>
          <cell r="B166">
            <v>2</v>
          </cell>
          <cell r="C166">
            <v>190206.56</v>
          </cell>
        </row>
        <row r="167">
          <cell r="A167">
            <v>11795</v>
          </cell>
          <cell r="B167">
            <v>12</v>
          </cell>
          <cell r="C167">
            <v>538005.55000000005</v>
          </cell>
        </row>
        <row r="168">
          <cell r="A168">
            <v>11852</v>
          </cell>
          <cell r="B168">
            <v>18</v>
          </cell>
          <cell r="C168">
            <v>506282.98000000004</v>
          </cell>
        </row>
        <row r="169">
          <cell r="A169">
            <v>11853</v>
          </cell>
          <cell r="B169">
            <v>10</v>
          </cell>
          <cell r="C169">
            <v>333552.99</v>
          </cell>
        </row>
        <row r="170">
          <cell r="A170">
            <v>11944</v>
          </cell>
          <cell r="B170">
            <v>7</v>
          </cell>
          <cell r="C170">
            <v>1210857.6599999999</v>
          </cell>
        </row>
        <row r="171">
          <cell r="A171">
            <v>11956</v>
          </cell>
          <cell r="B171">
            <v>26</v>
          </cell>
          <cell r="C171">
            <v>800192.73</v>
          </cell>
        </row>
        <row r="172">
          <cell r="A172">
            <v>11958</v>
          </cell>
          <cell r="B172">
            <v>9</v>
          </cell>
          <cell r="C172">
            <v>451837.5</v>
          </cell>
        </row>
        <row r="173">
          <cell r="A173">
            <v>11959</v>
          </cell>
          <cell r="B173">
            <v>9</v>
          </cell>
          <cell r="C173">
            <v>383954.63</v>
          </cell>
        </row>
        <row r="174">
          <cell r="A174">
            <v>11960</v>
          </cell>
          <cell r="B174">
            <v>11</v>
          </cell>
          <cell r="C174">
            <v>101780.54</v>
          </cell>
        </row>
        <row r="175">
          <cell r="A175">
            <v>11966</v>
          </cell>
          <cell r="B175">
            <v>87</v>
          </cell>
          <cell r="C175">
            <v>2034938.4800000002</v>
          </cell>
        </row>
        <row r="176">
          <cell r="A176">
            <v>11967</v>
          </cell>
          <cell r="B176">
            <v>8</v>
          </cell>
          <cell r="C176">
            <v>2186258</v>
          </cell>
        </row>
        <row r="177">
          <cell r="A177">
            <v>11970</v>
          </cell>
          <cell r="B177">
            <v>146</v>
          </cell>
          <cell r="C177">
            <v>6602456.8299999982</v>
          </cell>
        </row>
        <row r="178">
          <cell r="A178">
            <v>11971</v>
          </cell>
          <cell r="B178">
            <v>29</v>
          </cell>
          <cell r="C178">
            <v>482169.28</v>
          </cell>
        </row>
        <row r="179">
          <cell r="A179">
            <v>11987</v>
          </cell>
          <cell r="B179">
            <v>108</v>
          </cell>
          <cell r="C179">
            <v>9770639.5899999999</v>
          </cell>
        </row>
        <row r="180">
          <cell r="A180">
            <v>12008</v>
          </cell>
          <cell r="B180">
            <v>24</v>
          </cell>
          <cell r="C180">
            <v>1079647.46</v>
          </cell>
        </row>
        <row r="181">
          <cell r="A181">
            <v>12009</v>
          </cell>
          <cell r="B181">
            <v>72</v>
          </cell>
          <cell r="C181">
            <v>2018971.1600000001</v>
          </cell>
        </row>
        <row r="182">
          <cell r="A182">
            <v>12010</v>
          </cell>
          <cell r="B182">
            <v>34</v>
          </cell>
          <cell r="C182">
            <v>1762770.0700000003</v>
          </cell>
        </row>
        <row r="183">
          <cell r="A183">
            <v>12015</v>
          </cell>
          <cell r="B183">
            <v>30</v>
          </cell>
          <cell r="C183">
            <v>3555172.8499999996</v>
          </cell>
        </row>
        <row r="184">
          <cell r="A184">
            <v>12016</v>
          </cell>
          <cell r="B184">
            <v>71</v>
          </cell>
          <cell r="C184">
            <v>142401.14000000001</v>
          </cell>
        </row>
        <row r="185">
          <cell r="A185">
            <v>12090</v>
          </cell>
          <cell r="B185">
            <v>3</v>
          </cell>
          <cell r="C185">
            <v>18788.98</v>
          </cell>
        </row>
        <row r="186">
          <cell r="A186">
            <v>12091</v>
          </cell>
          <cell r="B186">
            <v>1</v>
          </cell>
          <cell r="C186">
            <v>30000</v>
          </cell>
        </row>
        <row r="187">
          <cell r="A187">
            <v>12129</v>
          </cell>
          <cell r="B187">
            <v>1</v>
          </cell>
          <cell r="C187">
            <v>2000</v>
          </cell>
        </row>
        <row r="188">
          <cell r="A188" t="str">
            <v>Общий итог</v>
          </cell>
          <cell r="B188">
            <v>8456</v>
          </cell>
          <cell r="C188">
            <v>654402335.7299999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309"/>
  <sheetViews>
    <sheetView tabSelected="1" view="pageBreakPreview" zoomScale="70" zoomScaleNormal="100" zoomScaleSheetLayoutView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8" sqref="F8"/>
    </sheetView>
  </sheetViews>
  <sheetFormatPr defaultColWidth="9" defaultRowHeight="15"/>
  <cols>
    <col min="1" max="1" width="16.125" style="2" customWidth="1"/>
    <col min="2" max="2" width="9" style="1"/>
    <col min="3" max="3" width="19.875" style="7" customWidth="1"/>
    <col min="4" max="4" width="28.375" style="7" customWidth="1"/>
    <col min="5" max="5" width="15.75" style="3" customWidth="1"/>
    <col min="6" max="6" width="14.5" style="3" customWidth="1"/>
    <col min="7" max="7" width="15" style="3" customWidth="1"/>
    <col min="8" max="8" width="17" style="3" customWidth="1"/>
    <col min="9" max="9" width="12.625" style="3" customWidth="1"/>
    <col min="10" max="10" width="17.125" style="3" customWidth="1"/>
    <col min="11" max="11" width="12.625" style="3" customWidth="1"/>
    <col min="12" max="12" width="14.375" style="3" customWidth="1"/>
    <col min="13" max="13" width="12.625" style="3" customWidth="1"/>
    <col min="14" max="14" width="16.25" style="3" customWidth="1"/>
    <col min="15" max="15" width="12.625" style="3" customWidth="1"/>
    <col min="16" max="16" width="16.375" style="3" customWidth="1"/>
    <col min="17" max="17" width="13.5" style="3" customWidth="1"/>
    <col min="18" max="18" width="15.75" style="3" customWidth="1"/>
    <col min="19" max="19" width="14.5" style="3" customWidth="1"/>
    <col min="20" max="20" width="15" style="3" customWidth="1"/>
    <col min="21" max="21" width="17" style="3" customWidth="1"/>
    <col min="22" max="24" width="12.625" style="3" customWidth="1"/>
    <col min="25" max="25" width="14.375" style="3" customWidth="1"/>
    <col min="26" max="26" width="12.625" style="3" customWidth="1"/>
    <col min="27" max="27" width="16.25" style="3" customWidth="1"/>
    <col min="28" max="28" width="12.625" style="3" customWidth="1"/>
    <col min="29" max="29" width="16.375" style="3" customWidth="1"/>
    <col min="30" max="30" width="15.75" style="4" customWidth="1"/>
    <col min="31" max="31" width="14.5" style="4" customWidth="1"/>
    <col min="32" max="32" width="15" style="4" customWidth="1"/>
    <col min="33" max="33" width="17" style="4" customWidth="1"/>
    <col min="34" max="36" width="12.625" style="4" customWidth="1"/>
    <col min="37" max="37" width="14.375" style="4" customWidth="1"/>
    <col min="38" max="38" width="12.625" style="4" customWidth="1"/>
    <col min="39" max="39" width="16.25" style="4" customWidth="1"/>
    <col min="40" max="40" width="12.625" style="4" customWidth="1"/>
    <col min="41" max="41" width="16.375" style="4" customWidth="1"/>
    <col min="42" max="42" width="13.5" style="6" customWidth="1"/>
    <col min="43" max="43" width="28.75" style="9" customWidth="1"/>
    <col min="44" max="44" width="13.125" style="10" customWidth="1"/>
    <col min="45" max="48" width="18.625" style="9" customWidth="1"/>
    <col min="49" max="50" width="13.5" style="9" customWidth="1"/>
    <col min="51" max="51" width="13.875" style="1" customWidth="1"/>
    <col min="52" max="16384" width="9" style="1"/>
  </cols>
  <sheetData>
    <row r="1" spans="1:51" s="9" customFormat="1">
      <c r="A1" s="17"/>
      <c r="C1" s="18"/>
      <c r="D1" s="18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7"/>
      <c r="R1" s="19"/>
      <c r="S1" s="20"/>
      <c r="T1" s="20"/>
      <c r="U1" s="20"/>
      <c r="V1" s="20"/>
      <c r="W1" s="20"/>
      <c r="X1" s="20"/>
      <c r="Y1" s="20"/>
      <c r="Z1" s="20"/>
      <c r="AA1" s="20"/>
      <c r="AB1" s="20">
        <v>4</v>
      </c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1"/>
      <c r="AR1" s="10"/>
    </row>
    <row r="2" spans="1:51" s="2" customFormat="1" ht="15" customHeight="1">
      <c r="C2" s="44" t="s">
        <v>105</v>
      </c>
      <c r="D2" s="44" t="s">
        <v>2</v>
      </c>
      <c r="E2" s="46" t="s">
        <v>193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R2" s="44" t="s">
        <v>195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 t="s">
        <v>189</v>
      </c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15"/>
      <c r="AR2" s="15"/>
      <c r="AS2" s="15"/>
      <c r="AT2" s="15"/>
      <c r="AU2" s="15"/>
      <c r="AV2" s="15"/>
      <c r="AW2" s="15"/>
      <c r="AX2" s="15"/>
    </row>
    <row r="3" spans="1:51" s="2" customFormat="1" ht="33" customHeight="1">
      <c r="C3" s="44"/>
      <c r="D3" s="44"/>
      <c r="E3" s="49" t="s">
        <v>9</v>
      </c>
      <c r="F3" s="45" t="s">
        <v>8</v>
      </c>
      <c r="G3" s="45" t="s">
        <v>10</v>
      </c>
      <c r="H3" s="45" t="s">
        <v>4</v>
      </c>
      <c r="I3" s="45" t="s">
        <v>3</v>
      </c>
      <c r="J3" s="45"/>
      <c r="K3" s="45"/>
      <c r="L3" s="45"/>
      <c r="M3" s="45" t="s">
        <v>11</v>
      </c>
      <c r="N3" s="45"/>
      <c r="O3" s="45"/>
      <c r="P3" s="45"/>
      <c r="Q3" s="50" t="s">
        <v>194</v>
      </c>
      <c r="R3" s="44" t="s">
        <v>9</v>
      </c>
      <c r="S3" s="44" t="s">
        <v>8</v>
      </c>
      <c r="T3" s="44" t="s">
        <v>10</v>
      </c>
      <c r="U3" s="44" t="s">
        <v>4</v>
      </c>
      <c r="V3" s="44" t="s">
        <v>3</v>
      </c>
      <c r="W3" s="44"/>
      <c r="X3" s="44"/>
      <c r="Y3" s="44"/>
      <c r="Z3" s="44" t="s">
        <v>11</v>
      </c>
      <c r="AA3" s="44"/>
      <c r="AB3" s="44"/>
      <c r="AC3" s="44"/>
      <c r="AD3" s="44" t="s">
        <v>9</v>
      </c>
      <c r="AE3" s="44" t="s">
        <v>8</v>
      </c>
      <c r="AF3" s="44" t="s">
        <v>10</v>
      </c>
      <c r="AG3" s="44" t="s">
        <v>4</v>
      </c>
      <c r="AH3" s="44" t="s">
        <v>3</v>
      </c>
      <c r="AI3" s="44"/>
      <c r="AJ3" s="44"/>
      <c r="AK3" s="44"/>
      <c r="AL3" s="44" t="s">
        <v>11</v>
      </c>
      <c r="AM3" s="44"/>
      <c r="AN3" s="44"/>
      <c r="AO3" s="44"/>
      <c r="AP3" s="44" t="s">
        <v>190</v>
      </c>
      <c r="AQ3" s="44" t="s">
        <v>103</v>
      </c>
      <c r="AR3" s="51" t="s">
        <v>181</v>
      </c>
      <c r="AS3" s="44" t="s">
        <v>191</v>
      </c>
      <c r="AT3" s="44" t="s">
        <v>192</v>
      </c>
      <c r="AU3" s="44" t="s">
        <v>186</v>
      </c>
      <c r="AV3" s="44" t="s">
        <v>187</v>
      </c>
      <c r="AW3" s="44" t="s">
        <v>102</v>
      </c>
      <c r="AX3" s="44" t="s">
        <v>188</v>
      </c>
    </row>
    <row r="4" spans="1:51" s="2" customFormat="1" ht="27" customHeight="1">
      <c r="C4" s="44"/>
      <c r="D4" s="44"/>
      <c r="E4" s="49"/>
      <c r="F4" s="45"/>
      <c r="G4" s="45"/>
      <c r="H4" s="45"/>
      <c r="I4" s="45" t="s">
        <v>4</v>
      </c>
      <c r="J4" s="45"/>
      <c r="K4" s="45" t="s">
        <v>7</v>
      </c>
      <c r="L4" s="45"/>
      <c r="M4" s="45" t="s">
        <v>4</v>
      </c>
      <c r="N4" s="45"/>
      <c r="O4" s="45" t="s">
        <v>7</v>
      </c>
      <c r="P4" s="45"/>
      <c r="Q4" s="50"/>
      <c r="R4" s="44"/>
      <c r="S4" s="44"/>
      <c r="T4" s="44"/>
      <c r="U4" s="44"/>
      <c r="V4" s="44" t="s">
        <v>4</v>
      </c>
      <c r="W4" s="44"/>
      <c r="X4" s="44" t="s">
        <v>7</v>
      </c>
      <c r="Y4" s="44"/>
      <c r="Z4" s="44" t="s">
        <v>4</v>
      </c>
      <c r="AA4" s="44"/>
      <c r="AB4" s="44" t="s">
        <v>7</v>
      </c>
      <c r="AC4" s="44"/>
      <c r="AD4" s="44"/>
      <c r="AE4" s="44"/>
      <c r="AF4" s="44"/>
      <c r="AG4" s="44"/>
      <c r="AH4" s="44" t="s">
        <v>4</v>
      </c>
      <c r="AI4" s="44"/>
      <c r="AJ4" s="44" t="s">
        <v>7</v>
      </c>
      <c r="AK4" s="44"/>
      <c r="AL4" s="44" t="s">
        <v>4</v>
      </c>
      <c r="AM4" s="44"/>
      <c r="AN4" s="44" t="s">
        <v>7</v>
      </c>
      <c r="AO4" s="44"/>
      <c r="AP4" s="44"/>
      <c r="AQ4" s="44"/>
      <c r="AR4" s="51"/>
      <c r="AS4" s="44"/>
      <c r="AT4" s="44"/>
      <c r="AU4" s="44"/>
      <c r="AV4" s="44"/>
      <c r="AW4" s="44"/>
      <c r="AX4" s="44"/>
    </row>
    <row r="5" spans="1:51" s="2" customFormat="1" ht="38.25" customHeight="1">
      <c r="B5" s="2">
        <v>1</v>
      </c>
      <c r="C5" s="44"/>
      <c r="D5" s="44"/>
      <c r="E5" s="49"/>
      <c r="F5" s="45"/>
      <c r="G5" s="45"/>
      <c r="H5" s="45"/>
      <c r="I5" s="24" t="s">
        <v>5</v>
      </c>
      <c r="J5" s="24" t="s">
        <v>6</v>
      </c>
      <c r="K5" s="24" t="s">
        <v>5</v>
      </c>
      <c r="L5" s="24" t="s">
        <v>6</v>
      </c>
      <c r="M5" s="24" t="s">
        <v>5</v>
      </c>
      <c r="N5" s="24" t="s">
        <v>6</v>
      </c>
      <c r="O5" s="24" t="s">
        <v>5</v>
      </c>
      <c r="P5" s="24" t="s">
        <v>6</v>
      </c>
      <c r="Q5" s="50"/>
      <c r="R5" s="44"/>
      <c r="S5" s="44"/>
      <c r="T5" s="44"/>
      <c r="U5" s="44"/>
      <c r="V5" s="23" t="s">
        <v>5</v>
      </c>
      <c r="W5" s="23" t="s">
        <v>6</v>
      </c>
      <c r="X5" s="23" t="s">
        <v>5</v>
      </c>
      <c r="Y5" s="23" t="s">
        <v>6</v>
      </c>
      <c r="Z5" s="23" t="s">
        <v>5</v>
      </c>
      <c r="AA5" s="23" t="s">
        <v>6</v>
      </c>
      <c r="AB5" s="23" t="s">
        <v>5</v>
      </c>
      <c r="AC5" s="23" t="s">
        <v>6</v>
      </c>
      <c r="AD5" s="44"/>
      <c r="AE5" s="44"/>
      <c r="AF5" s="44"/>
      <c r="AG5" s="44"/>
      <c r="AH5" s="23" t="s">
        <v>5</v>
      </c>
      <c r="AI5" s="23" t="s">
        <v>6</v>
      </c>
      <c r="AJ5" s="23" t="s">
        <v>5</v>
      </c>
      <c r="AK5" s="23" t="s">
        <v>6</v>
      </c>
      <c r="AL5" s="23" t="s">
        <v>5</v>
      </c>
      <c r="AM5" s="23" t="s">
        <v>6</v>
      </c>
      <c r="AN5" s="23" t="s">
        <v>5</v>
      </c>
      <c r="AO5" s="23" t="s">
        <v>6</v>
      </c>
      <c r="AP5" s="44"/>
      <c r="AQ5" s="44"/>
      <c r="AR5" s="51"/>
      <c r="AS5" s="44"/>
      <c r="AT5" s="44"/>
      <c r="AU5" s="44"/>
      <c r="AV5" s="44"/>
      <c r="AW5" s="44"/>
      <c r="AX5" s="44"/>
    </row>
    <row r="6" spans="1:51" s="2" customFormat="1" ht="38.25" customHeight="1">
      <c r="C6" s="23"/>
      <c r="D6" s="23"/>
      <c r="E6" s="31">
        <f>+E7+E13+E16+E20+E23+E28+E35+E39+E41+E50+E53+E58+E61+E63+E67+E70+E73+E77+E83+E86+E89+E94+E246</f>
        <v>15744.666666666666</v>
      </c>
      <c r="F6" s="31">
        <f>+F7+F13+F16+F20+F23+F28+F35+F39+F41+F50+F53+F58+F61+F63+F67+F70+F73+F77+F83+F86+F89+F94+F246</f>
        <v>7784.7777777777774</v>
      </c>
      <c r="G6" s="31">
        <f>+G7+G13+G16+G20+G23+G28+G35+G39+G41+G50+G53+G58+G61+G63+G67+G70+G73+G77+G83+G86+G89+G94+G246</f>
        <v>1351540151.6722221</v>
      </c>
      <c r="H6" s="31">
        <f>+H7+H13+H16+H20+H23+H28+H35+H39+H41+H50+H53+H58+H61+H63+H67+H70+H73+H77+H83+H86+H89+H94+H246</f>
        <v>554065164.12333322</v>
      </c>
      <c r="I6" s="31">
        <f t="shared" ref="I6:AW6" si="0">+I7+I13+I16+I20+I23+I28+I35+I39+I41+I50+I53+I58+I61+I63+I67+I70+I73+I77+I83+I86+I89+I94+I246</f>
        <v>1844.7777777777778</v>
      </c>
      <c r="J6" s="31">
        <f>+J7+J13+J16+J20+J23+J28+J35+J39+J41+J50+J53+J58+J61+J63+J67+J70+J73+J77+J83+J86+J89+J94+J246</f>
        <v>162035735.24666664</v>
      </c>
      <c r="K6" s="31">
        <f t="shared" si="0"/>
        <v>2113.6666666666665</v>
      </c>
      <c r="L6" s="31">
        <f t="shared" si="0"/>
        <v>285927024.27222222</v>
      </c>
      <c r="M6" s="31">
        <f t="shared" si="0"/>
        <v>5174</v>
      </c>
      <c r="N6" s="31">
        <f t="shared" si="0"/>
        <v>336740244.31999987</v>
      </c>
      <c r="O6" s="31">
        <f t="shared" si="0"/>
        <v>12900</v>
      </c>
      <c r="P6" s="31">
        <f t="shared" si="0"/>
        <v>1025719835.9599999</v>
      </c>
      <c r="Q6" s="31">
        <f t="shared" si="0"/>
        <v>624728.30521666666</v>
      </c>
      <c r="R6" s="31">
        <f t="shared" si="0"/>
        <v>18523</v>
      </c>
      <c r="S6" s="31">
        <f t="shared" si="0"/>
        <v>8495.2222222222226</v>
      </c>
      <c r="T6" s="31">
        <f>+T7+T13+T16+T20+T23+T28+T35+T39+T41+T50+T53+T58+T61+T63+T67+T70+T73+T77+T83+T86+T89+T94+T246</f>
        <v>1918995161.4833329</v>
      </c>
      <c r="U6" s="31">
        <f>+U7+U13+U16+U20+U23+U28+U35+U39+U41+U50+U53+U58+U61+U63+U67+U70+U73+U77+U83+U86+U89+U94+U246</f>
        <v>658300062.69333327</v>
      </c>
      <c r="V6" s="31">
        <f>+S6</f>
        <v>8495.2222222222226</v>
      </c>
      <c r="W6" s="31">
        <f>+W7+W13+W16+W20+W23+W28+W35+W39+W41+W50+W53+W58+W61+W63+W67+W70+W73+W77+W83+W86+W89+W94+W246</f>
        <v>658300062.69333327</v>
      </c>
      <c r="X6" s="31">
        <f t="shared" si="0"/>
        <v>18523</v>
      </c>
      <c r="Y6" s="31">
        <f t="shared" si="0"/>
        <v>1918995161.4833329</v>
      </c>
      <c r="Z6" s="31">
        <f>+Z7+Z13+Z16+Z20+Z23+Z28+Z35+Z39+Z41+Z50+Z53+Z58+Z61+Z63+Z67+Z70+Z73+Z77+Z83+Z86+Z89+Z94+Z246</f>
        <v>11697.777777777781</v>
      </c>
      <c r="AA6" s="31">
        <f t="shared" si="0"/>
        <v>579701107.89333332</v>
      </c>
      <c r="AB6" s="31">
        <f t="shared" si="0"/>
        <v>20920</v>
      </c>
      <c r="AC6" s="31">
        <f t="shared" si="0"/>
        <v>1490662013.9999998</v>
      </c>
      <c r="AD6" s="31">
        <f t="shared" si="0"/>
        <v>15868.888888888889</v>
      </c>
      <c r="AE6" s="31">
        <f t="shared" si="0"/>
        <v>8194.2222222222226</v>
      </c>
      <c r="AF6" s="31">
        <f>+AF7+AF13+AF16+AF20+AF23+AF28+AF35+AF39+AF41+AF50+AF53+AF58+AF61+AF63+AF67+AF70+AF73+AF77+AF83+AF86+AF89+AF94+AF246</f>
        <v>1294661519.7466667</v>
      </c>
      <c r="AG6" s="31">
        <f>+AG7+AG13+AG16+AG20+AG23+AG28+AG35+AG39+AG41+AG50+AG53+AG58+AG61+AG63+AG67+AG70+AG73+AG77+AG83+AG86+AG89+AG94+AG246</f>
        <v>662407928.87999988</v>
      </c>
      <c r="AH6" s="31">
        <f>+AH7+AH13+AH16+AH20+AH23+AH28+AH35+AH39+AH41+AH50+AH53+AH58+AH61+AH63+AH67+AH70+AH73+AH77+AH83+AH86+AH89+AH94+AH246</f>
        <v>8194.2222222222226</v>
      </c>
      <c r="AI6" s="31">
        <f>+AI7+AI13+AI16+AI20+AI23+AI28+AI35+AI39+AI41+AI50+AI53+AI58+AI61+AI63+AI67+AI70+AI73+AI77+AI83+AI86+AI89+AI94+AI246</f>
        <v>662407928.87999988</v>
      </c>
      <c r="AJ6" s="31">
        <f t="shared" si="0"/>
        <v>15868.888888888889</v>
      </c>
      <c r="AK6" s="31">
        <f t="shared" si="0"/>
        <v>1294661519.7466667</v>
      </c>
      <c r="AL6" s="31">
        <f>+AL7+AL13+AL16+AL20+AL23+AL28+AL35+AL39+AL41+AL50+AL53+AL58+AL61+AL63+AL67+AL70+AL73+AL77+AL83+AL86+AL89+AL94+AL246</f>
        <v>5837</v>
      </c>
      <c r="AM6" s="31">
        <f t="shared" si="0"/>
        <v>326277550.44999987</v>
      </c>
      <c r="AN6" s="31">
        <f t="shared" si="0"/>
        <v>12373</v>
      </c>
      <c r="AO6" s="31">
        <f t="shared" si="0"/>
        <v>981157002.47000015</v>
      </c>
      <c r="AP6" s="31">
        <f t="shared" si="0"/>
        <v>787692.4577100001</v>
      </c>
      <c r="AQ6" s="31"/>
      <c r="AR6" s="31">
        <f t="shared" si="0"/>
        <v>5</v>
      </c>
      <c r="AS6" s="31">
        <f t="shared" si="0"/>
        <v>8769391.8637333326</v>
      </c>
      <c r="AT6" s="31">
        <f t="shared" si="0"/>
        <v>2682628.7549833329</v>
      </c>
      <c r="AU6" s="31">
        <f t="shared" si="0"/>
        <v>0</v>
      </c>
      <c r="AV6" s="31">
        <f t="shared" si="0"/>
        <v>0</v>
      </c>
      <c r="AW6" s="31">
        <f t="shared" si="0"/>
        <v>122</v>
      </c>
      <c r="AX6" s="31">
        <f>+AX7+AX13+AX16+AX20+AX23+AX28+AX35+AX39+AX41+AX50+AX53+AX58+AX61+AX63+AX67+AX70+AX73+AX77+AX83+AX86+AX89+AX94+AX246</f>
        <v>649067402.48666656</v>
      </c>
    </row>
    <row r="7" spans="1:51" s="6" customFormat="1" ht="38.25" customHeight="1">
      <c r="A7" s="2" t="s">
        <v>43</v>
      </c>
      <c r="C7" s="5" t="s">
        <v>43</v>
      </c>
      <c r="D7" s="5"/>
      <c r="E7" s="5">
        <f>+SUM(E8:E12)</f>
        <v>215</v>
      </c>
      <c r="F7" s="5">
        <f>+SUM(F8:F12)</f>
        <v>604</v>
      </c>
      <c r="G7" s="5">
        <f>+SUM(G8:G12)</f>
        <v>12397252.239999998</v>
      </c>
      <c r="H7" s="5">
        <f>+SUM(H8:H12)</f>
        <v>7569987.070000004</v>
      </c>
      <c r="I7" s="36">
        <f t="shared" ref="F7:P7" si="1">+SUM(I8:I12)</f>
        <v>441</v>
      </c>
      <c r="J7" s="36">
        <f t="shared" si="1"/>
        <v>5393874.4700000035</v>
      </c>
      <c r="K7" s="36">
        <f t="shared" si="1"/>
        <v>156</v>
      </c>
      <c r="L7" s="36">
        <f>+SUM(L8:L12)</f>
        <v>9458328.379999999</v>
      </c>
      <c r="M7" s="36">
        <f t="shared" si="1"/>
        <v>0</v>
      </c>
      <c r="N7" s="36">
        <f t="shared" si="1"/>
        <v>0</v>
      </c>
      <c r="O7" s="36">
        <f t="shared" si="1"/>
        <v>0</v>
      </c>
      <c r="P7" s="36">
        <f t="shared" si="1"/>
        <v>0</v>
      </c>
      <c r="Q7" s="28">
        <f>+SUM(Q8:Q12)</f>
        <v>557.16440999999998</v>
      </c>
      <c r="R7" s="5">
        <v>239</v>
      </c>
      <c r="S7" s="5">
        <f>+SUM(S8:S12)</f>
        <v>513</v>
      </c>
      <c r="T7" s="5">
        <v>11614722.23</v>
      </c>
      <c r="U7" s="5">
        <f t="shared" ref="U7:AE7" si="2">+SUM(U8:U12)</f>
        <v>11377137.640000004</v>
      </c>
      <c r="V7" s="5">
        <f>+S7</f>
        <v>513</v>
      </c>
      <c r="W7" s="5">
        <f>+U7</f>
        <v>11377137.640000004</v>
      </c>
      <c r="X7" s="5">
        <f>+R7</f>
        <v>239</v>
      </c>
      <c r="Y7" s="5">
        <f>+T7</f>
        <v>11614722.23</v>
      </c>
      <c r="Z7" s="5">
        <f>((+SUM(Z8:Z12))/3)*4</f>
        <v>0</v>
      </c>
      <c r="AA7" s="5">
        <f>((+SUM(AA8:AA12))/3)*4</f>
        <v>0</v>
      </c>
      <c r="AB7" s="5">
        <v>0</v>
      </c>
      <c r="AC7" s="5">
        <v>0</v>
      </c>
      <c r="AD7" s="5">
        <f>+SUM(AD8:AD12)</f>
        <v>310</v>
      </c>
      <c r="AE7" s="5">
        <f t="shared" si="2"/>
        <v>676</v>
      </c>
      <c r="AF7" s="5">
        <f>+SUM(AF8:AF12)</f>
        <v>11386291.140000001</v>
      </c>
      <c r="AG7" s="5">
        <f>+SUM(AG8:AG12)</f>
        <v>12623818.869999997</v>
      </c>
      <c r="AH7" s="5">
        <f>+AE7</f>
        <v>676</v>
      </c>
      <c r="AI7" s="5">
        <f>+AG7</f>
        <v>12623818.869999997</v>
      </c>
      <c r="AJ7" s="5">
        <f>+AD7</f>
        <v>310</v>
      </c>
      <c r="AK7" s="5">
        <f>+AF7</f>
        <v>11386291.140000001</v>
      </c>
      <c r="AL7" s="5">
        <f>((((+SUM(AL8:AL12))/3)*4)/3)*4</f>
        <v>0</v>
      </c>
      <c r="AM7" s="5">
        <f>((((+SUM(AM8:AM12))/3)*4)/3)*4</f>
        <v>0</v>
      </c>
      <c r="AN7" s="5">
        <f>((((+SUM(AN8:AN12))/3)*4)/3)*4</f>
        <v>0</v>
      </c>
      <c r="AO7" s="5">
        <f>((((+SUM(AO8:AO12))/3)*4)/3)*4</f>
        <v>0</v>
      </c>
      <c r="AP7" s="5">
        <f>+SUM(AP8:AP12)</f>
        <v>2430.2686100000001</v>
      </c>
      <c r="AQ7" s="5" t="s">
        <v>198</v>
      </c>
      <c r="AR7" s="5">
        <f>+SUM(AR8:AR12)</f>
        <v>1</v>
      </c>
      <c r="AS7" s="5">
        <f>+SUM(AS8:AS12)</f>
        <v>440834.87677333335</v>
      </c>
      <c r="AT7" s="5">
        <f>+SUM(AT8:AT12)</f>
        <v>252011.18256666636</v>
      </c>
      <c r="AU7" s="5"/>
      <c r="AV7" s="5"/>
      <c r="AW7" s="5">
        <f>+SUM(AW8:AW12)</f>
        <v>9</v>
      </c>
      <c r="AX7" s="5">
        <f>+AI7+AK7+AM7+AO7</f>
        <v>24010110.009999998</v>
      </c>
      <c r="AY7" s="43">
        <f>+AX7/$AX$6</f>
        <v>3.6991705203518098E-2</v>
      </c>
    </row>
    <row r="8" spans="1:51" ht="38.25" customHeight="1">
      <c r="B8" s="12">
        <v>461</v>
      </c>
      <c r="C8" s="11" t="s">
        <v>16</v>
      </c>
      <c r="D8" s="11" t="s">
        <v>83</v>
      </c>
      <c r="E8" s="25">
        <v>36</v>
      </c>
      <c r="F8" s="25">
        <v>68</v>
      </c>
      <c r="G8" s="25">
        <v>895568.28000000026</v>
      </c>
      <c r="H8" s="25">
        <v>1157013.1400000001</v>
      </c>
      <c r="I8" s="39">
        <v>49</v>
      </c>
      <c r="J8" s="22">
        <v>788896.95000000019</v>
      </c>
      <c r="K8" s="22">
        <v>33</v>
      </c>
      <c r="L8" s="22">
        <v>859902.38000000024</v>
      </c>
      <c r="M8" s="37">
        <v>0</v>
      </c>
      <c r="N8" s="37">
        <v>0</v>
      </c>
      <c r="O8" s="37">
        <v>0</v>
      </c>
      <c r="P8" s="37">
        <v>0</v>
      </c>
      <c r="Q8" s="29">
        <v>88.693640000000002</v>
      </c>
      <c r="R8" s="8">
        <v>37</v>
      </c>
      <c r="S8" s="8">
        <f>+VLOOKUP(B8,[1]Лист2!$A$4:$B$188,2,0)</f>
        <v>44</v>
      </c>
      <c r="T8" s="8">
        <v>436727.73</v>
      </c>
      <c r="U8" s="8">
        <f>+VLOOKUP(B8,[1]Лист2!$A$4:$C$188,3,0)</f>
        <v>392003.3</v>
      </c>
      <c r="V8" s="30">
        <f t="shared" ref="V8:V71" si="3">+S8</f>
        <v>44</v>
      </c>
      <c r="W8" s="30">
        <f t="shared" ref="W8:W71" si="4">+U8</f>
        <v>392003.3</v>
      </c>
      <c r="X8" s="30">
        <f t="shared" ref="X8:X71" si="5">+R8</f>
        <v>37</v>
      </c>
      <c r="Y8" s="30">
        <f t="shared" ref="Y8:Y71" si="6">+T8</f>
        <v>436727.73</v>
      </c>
      <c r="Z8" s="30">
        <v>0</v>
      </c>
      <c r="AA8" s="30">
        <v>0</v>
      </c>
      <c r="AB8" s="30">
        <v>0</v>
      </c>
      <c r="AC8" s="30">
        <v>0</v>
      </c>
      <c r="AD8" s="25">
        <v>30</v>
      </c>
      <c r="AE8" s="25">
        <v>106</v>
      </c>
      <c r="AF8" s="25">
        <v>518681.83</v>
      </c>
      <c r="AG8" s="25">
        <v>1014168.64</v>
      </c>
      <c r="AH8" s="23">
        <f t="shared" ref="AH8:AH71" si="7">+AE8</f>
        <v>106</v>
      </c>
      <c r="AI8" s="23">
        <f t="shared" ref="AI8:AI71" si="8">+AG8</f>
        <v>1014168.64</v>
      </c>
      <c r="AJ8" s="23">
        <f t="shared" ref="AJ8:AJ71" si="9">+AD8</f>
        <v>30</v>
      </c>
      <c r="AK8" s="23">
        <f t="shared" ref="AK8:AK71" si="10">+AF8</f>
        <v>518681.83</v>
      </c>
      <c r="AL8" s="13">
        <v>0</v>
      </c>
      <c r="AM8" s="13">
        <v>0</v>
      </c>
      <c r="AN8" s="13">
        <v>0</v>
      </c>
      <c r="AO8" s="13">
        <v>0</v>
      </c>
      <c r="AP8" s="26">
        <v>248.98247999999998</v>
      </c>
      <c r="AQ8" s="35" t="s">
        <v>198</v>
      </c>
      <c r="AR8" s="14">
        <f>+AX8/$AX$7</f>
        <v>6.3841876166397457E-2</v>
      </c>
      <c r="AS8" s="25">
        <v>0</v>
      </c>
      <c r="AT8" s="25">
        <v>141802.46337333301</v>
      </c>
      <c r="AU8" s="13" t="s">
        <v>184</v>
      </c>
      <c r="AV8" s="13" t="s">
        <v>184</v>
      </c>
      <c r="AW8" s="13">
        <v>2</v>
      </c>
      <c r="AX8" s="5">
        <f>+AI8+AK8</f>
        <v>1532850.47</v>
      </c>
    </row>
    <row r="9" spans="1:51" s="2" customFormat="1">
      <c r="B9" s="12">
        <v>11254</v>
      </c>
      <c r="C9" s="11" t="s">
        <v>15</v>
      </c>
      <c r="D9" s="11" t="s">
        <v>74</v>
      </c>
      <c r="E9" s="25">
        <v>24</v>
      </c>
      <c r="F9" s="25">
        <v>7</v>
      </c>
      <c r="G9" s="25">
        <v>4566399.91</v>
      </c>
      <c r="H9" s="25">
        <v>275309.24</v>
      </c>
      <c r="I9" s="39">
        <v>3</v>
      </c>
      <c r="J9" s="22">
        <v>121969.72</v>
      </c>
      <c r="K9" s="22">
        <v>17</v>
      </c>
      <c r="L9" s="22">
        <v>3772518.2100000004</v>
      </c>
      <c r="M9" s="37">
        <v>0</v>
      </c>
      <c r="N9" s="37">
        <v>0</v>
      </c>
      <c r="O9" s="37">
        <v>0</v>
      </c>
      <c r="P9" s="37">
        <v>0</v>
      </c>
      <c r="Q9" s="29">
        <v>0</v>
      </c>
      <c r="R9" s="8">
        <v>26</v>
      </c>
      <c r="S9" s="8">
        <f>+VLOOKUP(B9,[1]Лист2!$A$4:$B$188,2,0)</f>
        <v>31</v>
      </c>
      <c r="T9" s="8">
        <v>2366204.94</v>
      </c>
      <c r="U9" s="8">
        <f>+VLOOKUP(B9,[1]Лист2!$A$4:$C$188,3,0)</f>
        <v>626407.15000000014</v>
      </c>
      <c r="V9" s="30">
        <f t="shared" si="3"/>
        <v>31</v>
      </c>
      <c r="W9" s="30">
        <f t="shared" si="4"/>
        <v>626407.15000000014</v>
      </c>
      <c r="X9" s="30">
        <f t="shared" si="5"/>
        <v>26</v>
      </c>
      <c r="Y9" s="30">
        <f t="shared" si="6"/>
        <v>2366204.94</v>
      </c>
      <c r="Z9" s="30">
        <v>0</v>
      </c>
      <c r="AA9" s="30">
        <v>0</v>
      </c>
      <c r="AB9" s="30">
        <v>0</v>
      </c>
      <c r="AC9" s="30">
        <v>0</v>
      </c>
      <c r="AD9" s="25">
        <v>34</v>
      </c>
      <c r="AE9" s="25">
        <v>34</v>
      </c>
      <c r="AF9" s="25">
        <v>1138513.9400000002</v>
      </c>
      <c r="AG9" s="25">
        <v>921146.93000000017</v>
      </c>
      <c r="AH9" s="23">
        <f t="shared" si="7"/>
        <v>34</v>
      </c>
      <c r="AI9" s="23">
        <f t="shared" si="8"/>
        <v>921146.93000000017</v>
      </c>
      <c r="AJ9" s="23">
        <f t="shared" si="9"/>
        <v>34</v>
      </c>
      <c r="AK9" s="23">
        <f t="shared" si="10"/>
        <v>1138513.9400000002</v>
      </c>
      <c r="AL9" s="13">
        <v>0</v>
      </c>
      <c r="AM9" s="13">
        <v>0</v>
      </c>
      <c r="AN9" s="13">
        <v>0</v>
      </c>
      <c r="AO9" s="13">
        <v>0</v>
      </c>
      <c r="AP9" s="26">
        <v>48.684340000000006</v>
      </c>
      <c r="AQ9" s="42" t="s">
        <v>196</v>
      </c>
      <c r="AR9" s="14">
        <f>+AX9/$AX$7</f>
        <v>8.5783066764049384E-2</v>
      </c>
      <c r="AS9" s="25">
        <v>15117.543440000001</v>
      </c>
      <c r="AT9" s="25">
        <v>3779.3858600000003</v>
      </c>
      <c r="AU9" s="13" t="s">
        <v>184</v>
      </c>
      <c r="AV9" s="13" t="s">
        <v>184</v>
      </c>
      <c r="AW9" s="13">
        <v>2</v>
      </c>
      <c r="AX9" s="5">
        <f t="shared" ref="AX9:AX14" si="11">+AI9+AK9</f>
        <v>2059660.8700000003</v>
      </c>
    </row>
    <row r="10" spans="1:51" ht="30">
      <c r="B10" s="12">
        <v>11199</v>
      </c>
      <c r="C10" s="11" t="s">
        <v>19</v>
      </c>
      <c r="D10" s="11" t="s">
        <v>87</v>
      </c>
      <c r="E10" s="25">
        <v>11</v>
      </c>
      <c r="F10" s="25">
        <v>31</v>
      </c>
      <c r="G10" s="25">
        <v>311060</v>
      </c>
      <c r="H10" s="25">
        <v>702627.35000000009</v>
      </c>
      <c r="I10" s="39">
        <v>26</v>
      </c>
      <c r="J10" s="22">
        <v>667205.59000000008</v>
      </c>
      <c r="K10" s="22">
        <v>8</v>
      </c>
      <c r="L10" s="22">
        <v>265220</v>
      </c>
      <c r="M10" s="37">
        <v>0</v>
      </c>
      <c r="N10" s="37">
        <v>0</v>
      </c>
      <c r="O10" s="37">
        <v>0</v>
      </c>
      <c r="P10" s="37">
        <v>0</v>
      </c>
      <c r="Q10" s="29">
        <v>259.64940999999999</v>
      </c>
      <c r="R10" s="8">
        <v>9</v>
      </c>
      <c r="S10" s="8">
        <f>+VLOOKUP(B10,[1]Лист2!$A$4:$B$188,2,0)</f>
        <v>28</v>
      </c>
      <c r="T10" s="8">
        <v>240800</v>
      </c>
      <c r="U10" s="8">
        <f>+VLOOKUP(B10,[1]Лист2!$A$4:$C$188,3,0)</f>
        <v>460973.8</v>
      </c>
      <c r="V10" s="30">
        <f t="shared" si="3"/>
        <v>28</v>
      </c>
      <c r="W10" s="30">
        <f t="shared" si="4"/>
        <v>460973.8</v>
      </c>
      <c r="X10" s="30">
        <f t="shared" si="5"/>
        <v>9</v>
      </c>
      <c r="Y10" s="30">
        <f t="shared" si="6"/>
        <v>240800</v>
      </c>
      <c r="Z10" s="30">
        <v>0</v>
      </c>
      <c r="AA10" s="30">
        <v>0</v>
      </c>
      <c r="AB10" s="30">
        <v>0</v>
      </c>
      <c r="AC10" s="30">
        <v>0</v>
      </c>
      <c r="AD10" s="25">
        <v>18</v>
      </c>
      <c r="AE10" s="25">
        <v>40</v>
      </c>
      <c r="AF10" s="25">
        <v>255476.4</v>
      </c>
      <c r="AG10" s="25">
        <v>479915.01</v>
      </c>
      <c r="AH10" s="23">
        <f t="shared" si="7"/>
        <v>40</v>
      </c>
      <c r="AI10" s="23">
        <f t="shared" si="8"/>
        <v>479915.01</v>
      </c>
      <c r="AJ10" s="23">
        <f t="shared" si="9"/>
        <v>18</v>
      </c>
      <c r="AK10" s="23">
        <f t="shared" si="10"/>
        <v>255476.4</v>
      </c>
      <c r="AL10" s="13">
        <v>0</v>
      </c>
      <c r="AM10" s="13">
        <v>0</v>
      </c>
      <c r="AN10" s="13">
        <v>0</v>
      </c>
      <c r="AO10" s="13">
        <v>0</v>
      </c>
      <c r="AP10" s="26">
        <v>285.95141000000001</v>
      </c>
      <c r="AQ10" s="35" t="s">
        <v>199</v>
      </c>
      <c r="AR10" s="14">
        <f>+AX10/$AX$7</f>
        <v>3.0628406520991202E-2</v>
      </c>
      <c r="AS10" s="25">
        <v>8333.3333333333339</v>
      </c>
      <c r="AT10" s="25">
        <v>2083.3333333333335</v>
      </c>
      <c r="AU10" s="13" t="s">
        <v>185</v>
      </c>
      <c r="AV10" s="13" t="s">
        <v>185</v>
      </c>
      <c r="AW10" s="13">
        <v>2</v>
      </c>
      <c r="AX10" s="5">
        <f t="shared" si="11"/>
        <v>735391.41</v>
      </c>
    </row>
    <row r="11" spans="1:51">
      <c r="B11" s="12">
        <v>11581</v>
      </c>
      <c r="C11" s="11" t="s">
        <v>18</v>
      </c>
      <c r="D11" s="11" t="s">
        <v>183</v>
      </c>
      <c r="E11" s="25">
        <v>0</v>
      </c>
      <c r="F11" s="25">
        <v>1</v>
      </c>
      <c r="G11" s="25">
        <v>0</v>
      </c>
      <c r="H11" s="25">
        <v>20000</v>
      </c>
      <c r="I11" s="39">
        <v>1</v>
      </c>
      <c r="J11" s="22">
        <v>20000</v>
      </c>
      <c r="K11" s="22">
        <v>0</v>
      </c>
      <c r="L11" s="22">
        <v>0</v>
      </c>
      <c r="M11" s="37">
        <v>0</v>
      </c>
      <c r="N11" s="37">
        <v>0</v>
      </c>
      <c r="O11" s="37">
        <v>0</v>
      </c>
      <c r="P11" s="37">
        <v>0</v>
      </c>
      <c r="Q11" s="29">
        <v>0</v>
      </c>
      <c r="R11" s="8"/>
      <c r="S11" s="8"/>
      <c r="T11" s="8"/>
      <c r="U11" s="8"/>
      <c r="V11" s="30">
        <f t="shared" si="3"/>
        <v>0</v>
      </c>
      <c r="W11" s="30">
        <f t="shared" si="4"/>
        <v>0</v>
      </c>
      <c r="X11" s="30">
        <f t="shared" si="5"/>
        <v>0</v>
      </c>
      <c r="Y11" s="30">
        <f t="shared" si="6"/>
        <v>0</v>
      </c>
      <c r="Z11" s="30">
        <f>((+S11)/3)*4</f>
        <v>0</v>
      </c>
      <c r="AA11" s="30">
        <f>((+U11)/3)*4</f>
        <v>0</v>
      </c>
      <c r="AB11" s="30">
        <v>0</v>
      </c>
      <c r="AC11" s="30">
        <v>0</v>
      </c>
      <c r="AD11" s="25">
        <v>0</v>
      </c>
      <c r="AE11" s="25">
        <v>0</v>
      </c>
      <c r="AF11" s="25">
        <v>0</v>
      </c>
      <c r="AG11" s="25">
        <v>0</v>
      </c>
      <c r="AH11" s="23">
        <f t="shared" si="7"/>
        <v>0</v>
      </c>
      <c r="AI11" s="23">
        <f t="shared" si="8"/>
        <v>0</v>
      </c>
      <c r="AJ11" s="23">
        <f t="shared" si="9"/>
        <v>0</v>
      </c>
      <c r="AK11" s="23">
        <f t="shared" si="10"/>
        <v>0</v>
      </c>
      <c r="AL11" s="13">
        <v>0</v>
      </c>
      <c r="AM11" s="13">
        <v>0</v>
      </c>
      <c r="AN11" s="13">
        <v>0</v>
      </c>
      <c r="AO11" s="13">
        <v>0</v>
      </c>
      <c r="AP11" s="26">
        <v>0</v>
      </c>
      <c r="AQ11" s="35" t="s">
        <v>199</v>
      </c>
      <c r="AR11" s="14">
        <f>+AX11/$AX$7</f>
        <v>0</v>
      </c>
      <c r="AS11" s="25">
        <v>0</v>
      </c>
      <c r="AT11" s="25">
        <v>0</v>
      </c>
      <c r="AU11" s="13" t="s">
        <v>184</v>
      </c>
      <c r="AV11" s="13" t="s">
        <v>184</v>
      </c>
      <c r="AW11" s="13">
        <v>2</v>
      </c>
      <c r="AX11" s="5">
        <f t="shared" si="11"/>
        <v>0</v>
      </c>
    </row>
    <row r="12" spans="1:51">
      <c r="B12" s="12">
        <v>11446</v>
      </c>
      <c r="C12" s="11" t="s">
        <v>20</v>
      </c>
      <c r="D12" s="11" t="s">
        <v>106</v>
      </c>
      <c r="E12" s="25">
        <v>144</v>
      </c>
      <c r="F12" s="25">
        <v>497</v>
      </c>
      <c r="G12" s="25">
        <v>6624224.0499999989</v>
      </c>
      <c r="H12" s="25">
        <v>5415037.3400000036</v>
      </c>
      <c r="I12" s="39">
        <v>362</v>
      </c>
      <c r="J12" s="22">
        <v>3795802.2100000032</v>
      </c>
      <c r="K12" s="22">
        <v>98</v>
      </c>
      <c r="L12" s="22">
        <v>4560687.7899999991</v>
      </c>
      <c r="M12" s="37">
        <v>0</v>
      </c>
      <c r="N12" s="37">
        <v>0</v>
      </c>
      <c r="O12" s="37">
        <v>0</v>
      </c>
      <c r="P12" s="37">
        <v>0</v>
      </c>
      <c r="Q12" s="29">
        <v>208.82136</v>
      </c>
      <c r="R12" s="8">
        <v>167</v>
      </c>
      <c r="S12" s="8">
        <f>+VLOOKUP(B12,[1]Лист2!$A$4:$B$188,2,0)</f>
        <v>410</v>
      </c>
      <c r="T12" s="8">
        <v>8570989.5600000005</v>
      </c>
      <c r="U12" s="8">
        <f>+VLOOKUP(B12,[1]Лист2!$A$4:$C$188,3,0)</f>
        <v>9897753.3900000043</v>
      </c>
      <c r="V12" s="30">
        <f t="shared" si="3"/>
        <v>410</v>
      </c>
      <c r="W12" s="30">
        <f t="shared" si="4"/>
        <v>9897753.3900000043</v>
      </c>
      <c r="X12" s="30">
        <f t="shared" si="5"/>
        <v>167</v>
      </c>
      <c r="Y12" s="30">
        <f t="shared" si="6"/>
        <v>8570989.5600000005</v>
      </c>
      <c r="Z12" s="30">
        <v>0</v>
      </c>
      <c r="AA12" s="30">
        <v>0</v>
      </c>
      <c r="AB12" s="30">
        <v>0</v>
      </c>
      <c r="AC12" s="30">
        <v>0</v>
      </c>
      <c r="AD12" s="25">
        <v>228</v>
      </c>
      <c r="AE12" s="25">
        <v>496</v>
      </c>
      <c r="AF12" s="25">
        <v>9473618.9700000007</v>
      </c>
      <c r="AG12" s="25">
        <v>10208588.289999997</v>
      </c>
      <c r="AH12" s="23">
        <f t="shared" si="7"/>
        <v>496</v>
      </c>
      <c r="AI12" s="23">
        <f t="shared" si="8"/>
        <v>10208588.289999997</v>
      </c>
      <c r="AJ12" s="23">
        <f t="shared" si="9"/>
        <v>228</v>
      </c>
      <c r="AK12" s="23">
        <f t="shared" si="10"/>
        <v>9473618.9700000007</v>
      </c>
      <c r="AL12" s="13">
        <v>0</v>
      </c>
      <c r="AM12" s="13">
        <v>0</v>
      </c>
      <c r="AN12" s="13">
        <v>0</v>
      </c>
      <c r="AO12" s="13">
        <v>0</v>
      </c>
      <c r="AP12" s="26">
        <v>1846.6503800000003</v>
      </c>
      <c r="AQ12" s="35" t="s">
        <v>197</v>
      </c>
      <c r="AR12" s="14">
        <f>+AX12/$AX$7</f>
        <v>0.81974665054856199</v>
      </c>
      <c r="AS12" s="25">
        <v>417384</v>
      </c>
      <c r="AT12" s="25">
        <v>104346</v>
      </c>
      <c r="AU12" s="13" t="s">
        <v>184</v>
      </c>
      <c r="AV12" s="13" t="s">
        <v>184</v>
      </c>
      <c r="AW12" s="13">
        <v>1</v>
      </c>
      <c r="AX12" s="5">
        <f t="shared" si="11"/>
        <v>19682207.259999998</v>
      </c>
    </row>
    <row r="13" spans="1:51" s="6" customFormat="1" ht="38.25" customHeight="1">
      <c r="A13" s="2" t="s">
        <v>44</v>
      </c>
      <c r="C13" s="5" t="s">
        <v>44</v>
      </c>
      <c r="D13" s="5"/>
      <c r="E13" s="5">
        <f t="shared" ref="E13:AG13" si="12">+SUM(E14:E15)</f>
        <v>5</v>
      </c>
      <c r="F13" s="5">
        <f t="shared" si="12"/>
        <v>7</v>
      </c>
      <c r="G13" s="5">
        <f t="shared" si="12"/>
        <v>93135</v>
      </c>
      <c r="H13" s="5">
        <f t="shared" si="12"/>
        <v>166500</v>
      </c>
      <c r="I13" s="5">
        <f t="shared" si="12"/>
        <v>5</v>
      </c>
      <c r="J13" s="5">
        <f t="shared" si="12"/>
        <v>133500</v>
      </c>
      <c r="K13" s="5">
        <f t="shared" si="12"/>
        <v>3</v>
      </c>
      <c r="L13" s="5">
        <f t="shared" si="12"/>
        <v>83036</v>
      </c>
      <c r="M13" s="5">
        <f t="shared" si="12"/>
        <v>0</v>
      </c>
      <c r="N13" s="5">
        <f t="shared" si="12"/>
        <v>0</v>
      </c>
      <c r="O13" s="5">
        <f t="shared" si="12"/>
        <v>0</v>
      </c>
      <c r="P13" s="5">
        <f t="shared" si="12"/>
        <v>0</v>
      </c>
      <c r="Q13" s="5">
        <f t="shared" si="12"/>
        <v>4.4625000000000004</v>
      </c>
      <c r="R13" s="5">
        <f t="shared" si="12"/>
        <v>3</v>
      </c>
      <c r="S13" s="5">
        <f t="shared" si="12"/>
        <v>0</v>
      </c>
      <c r="T13" s="5">
        <f t="shared" si="12"/>
        <v>38275</v>
      </c>
      <c r="U13" s="5">
        <f t="shared" si="12"/>
        <v>0</v>
      </c>
      <c r="V13" s="5">
        <f t="shared" si="12"/>
        <v>0</v>
      </c>
      <c r="W13" s="5">
        <f t="shared" si="12"/>
        <v>0</v>
      </c>
      <c r="X13" s="5">
        <f t="shared" si="12"/>
        <v>3</v>
      </c>
      <c r="Y13" s="5">
        <f t="shared" si="12"/>
        <v>38275</v>
      </c>
      <c r="Z13" s="5">
        <f t="shared" si="12"/>
        <v>0</v>
      </c>
      <c r="AA13" s="5">
        <f t="shared" si="12"/>
        <v>0</v>
      </c>
      <c r="AB13" s="5">
        <f t="shared" si="12"/>
        <v>0</v>
      </c>
      <c r="AC13" s="5">
        <f t="shared" si="12"/>
        <v>0</v>
      </c>
      <c r="AD13" s="5">
        <f t="shared" si="12"/>
        <v>4</v>
      </c>
      <c r="AE13" s="5">
        <f t="shared" si="12"/>
        <v>2</v>
      </c>
      <c r="AF13" s="5">
        <f t="shared" si="12"/>
        <v>294250</v>
      </c>
      <c r="AG13" s="5">
        <f t="shared" si="12"/>
        <v>60000</v>
      </c>
      <c r="AH13" s="5">
        <f>+SUM(AH14:AH15)</f>
        <v>2</v>
      </c>
      <c r="AI13" s="5">
        <f t="shared" ref="AI13:AP13" si="13">+SUM(AI14:AI15)</f>
        <v>60000</v>
      </c>
      <c r="AJ13" s="5">
        <f t="shared" si="13"/>
        <v>4</v>
      </c>
      <c r="AK13" s="5">
        <f t="shared" si="13"/>
        <v>294250</v>
      </c>
      <c r="AL13" s="5">
        <f t="shared" si="13"/>
        <v>0</v>
      </c>
      <c r="AM13" s="5">
        <f t="shared" si="13"/>
        <v>0</v>
      </c>
      <c r="AN13" s="5">
        <f t="shared" si="13"/>
        <v>0</v>
      </c>
      <c r="AO13" s="5">
        <f t="shared" si="13"/>
        <v>0</v>
      </c>
      <c r="AP13" s="5">
        <f t="shared" si="13"/>
        <v>11.4975</v>
      </c>
      <c r="AQ13" s="5" t="s">
        <v>199</v>
      </c>
      <c r="AR13" s="5"/>
      <c r="AS13" s="5">
        <f>+SUM(AS14:AS15)</f>
        <v>0</v>
      </c>
      <c r="AT13" s="5">
        <f>+SUM(AT14:AT15)</f>
        <v>0</v>
      </c>
      <c r="AU13" s="5"/>
      <c r="AV13" s="5"/>
      <c r="AW13" s="5">
        <f>+SUM(AW14:AW15)</f>
        <v>4</v>
      </c>
      <c r="AX13" s="5">
        <f>+AI13+AK13+AM13+AO13</f>
        <v>354250</v>
      </c>
      <c r="AY13" s="43">
        <f>+AX13/$AX$6</f>
        <v>5.457830706684999E-4</v>
      </c>
    </row>
    <row r="14" spans="1:51">
      <c r="B14" s="12">
        <v>468</v>
      </c>
      <c r="C14" s="11" t="s">
        <v>14</v>
      </c>
      <c r="D14" s="11" t="s">
        <v>93</v>
      </c>
      <c r="E14" s="25">
        <v>5</v>
      </c>
      <c r="F14" s="25">
        <v>7</v>
      </c>
      <c r="G14" s="25">
        <v>93135</v>
      </c>
      <c r="H14" s="25">
        <v>166500</v>
      </c>
      <c r="I14" s="39">
        <v>5</v>
      </c>
      <c r="J14" s="22">
        <v>133500</v>
      </c>
      <c r="K14" s="22">
        <v>3</v>
      </c>
      <c r="L14" s="22">
        <v>83036</v>
      </c>
      <c r="M14" s="37">
        <v>0</v>
      </c>
      <c r="N14" s="37">
        <v>0</v>
      </c>
      <c r="O14" s="37">
        <v>0</v>
      </c>
      <c r="P14" s="37">
        <v>0</v>
      </c>
      <c r="Q14" s="29">
        <v>0</v>
      </c>
      <c r="R14" s="8">
        <v>3</v>
      </c>
      <c r="S14" s="8"/>
      <c r="T14" s="8">
        <v>38275</v>
      </c>
      <c r="U14" s="8"/>
      <c r="V14" s="30">
        <f t="shared" si="3"/>
        <v>0</v>
      </c>
      <c r="W14" s="30">
        <f t="shared" si="4"/>
        <v>0</v>
      </c>
      <c r="X14" s="30">
        <f t="shared" si="5"/>
        <v>3</v>
      </c>
      <c r="Y14" s="30">
        <f t="shared" si="6"/>
        <v>38275</v>
      </c>
      <c r="Z14" s="30">
        <f>((+S14)/3)*4</f>
        <v>0</v>
      </c>
      <c r="AA14" s="30">
        <f>((+U14)/3)*4</f>
        <v>0</v>
      </c>
      <c r="AB14" s="30">
        <v>0</v>
      </c>
      <c r="AC14" s="30">
        <v>0</v>
      </c>
      <c r="AD14" s="25">
        <v>2</v>
      </c>
      <c r="AE14" s="25">
        <v>2</v>
      </c>
      <c r="AF14" s="25">
        <v>38250</v>
      </c>
      <c r="AG14" s="25">
        <v>60000</v>
      </c>
      <c r="AH14" s="23">
        <f t="shared" si="7"/>
        <v>2</v>
      </c>
      <c r="AI14" s="23">
        <f t="shared" si="8"/>
        <v>60000</v>
      </c>
      <c r="AJ14" s="23">
        <f t="shared" si="9"/>
        <v>2</v>
      </c>
      <c r="AK14" s="23">
        <f t="shared" si="10"/>
        <v>38250</v>
      </c>
      <c r="AL14" s="13">
        <v>0</v>
      </c>
      <c r="AM14" s="13">
        <v>0</v>
      </c>
      <c r="AN14" s="13">
        <v>0</v>
      </c>
      <c r="AO14" s="13">
        <v>0</v>
      </c>
      <c r="AP14" s="26">
        <v>7.0350000000000001</v>
      </c>
      <c r="AQ14" s="42" t="s">
        <v>196</v>
      </c>
      <c r="AR14" s="14">
        <f>+AX14/$AX$13</f>
        <v>0.27734650670430488</v>
      </c>
      <c r="AS14" s="25">
        <v>0</v>
      </c>
      <c r="AT14" s="25">
        <v>0</v>
      </c>
      <c r="AU14" s="13" t="s">
        <v>184</v>
      </c>
      <c r="AV14" s="13" t="s">
        <v>184</v>
      </c>
      <c r="AW14" s="13">
        <v>2</v>
      </c>
      <c r="AX14" s="5">
        <f t="shared" si="11"/>
        <v>98250</v>
      </c>
    </row>
    <row r="15" spans="1:51" s="2" customFormat="1">
      <c r="B15" s="12">
        <v>11634</v>
      </c>
      <c r="C15" s="11" t="s">
        <v>18</v>
      </c>
      <c r="D15" s="11" t="s">
        <v>107</v>
      </c>
      <c r="E15" s="25">
        <v>0</v>
      </c>
      <c r="F15" s="25">
        <v>0</v>
      </c>
      <c r="G15" s="25">
        <v>0</v>
      </c>
      <c r="H15" s="25">
        <v>0</v>
      </c>
      <c r="I15" s="40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29">
        <v>4.4625000000000004</v>
      </c>
      <c r="R15" s="8"/>
      <c r="S15" s="8"/>
      <c r="T15" s="8"/>
      <c r="U15" s="8"/>
      <c r="V15" s="30">
        <f t="shared" si="3"/>
        <v>0</v>
      </c>
      <c r="W15" s="30">
        <f t="shared" si="4"/>
        <v>0</v>
      </c>
      <c r="X15" s="30">
        <f t="shared" si="5"/>
        <v>0</v>
      </c>
      <c r="Y15" s="30">
        <f t="shared" si="6"/>
        <v>0</v>
      </c>
      <c r="Z15" s="30">
        <f>((+S15)/3)*4</f>
        <v>0</v>
      </c>
      <c r="AA15" s="30">
        <f>((+U15)/3)*4</f>
        <v>0</v>
      </c>
      <c r="AB15" s="30">
        <v>0</v>
      </c>
      <c r="AC15" s="30">
        <v>0</v>
      </c>
      <c r="AD15" s="25">
        <v>2</v>
      </c>
      <c r="AE15" s="25">
        <v>0</v>
      </c>
      <c r="AF15" s="25">
        <v>256000</v>
      </c>
      <c r="AG15" s="25">
        <v>0</v>
      </c>
      <c r="AH15" s="23">
        <f t="shared" si="7"/>
        <v>0</v>
      </c>
      <c r="AI15" s="23">
        <f t="shared" si="8"/>
        <v>0</v>
      </c>
      <c r="AJ15" s="23">
        <f t="shared" si="9"/>
        <v>2</v>
      </c>
      <c r="AK15" s="23">
        <f t="shared" si="10"/>
        <v>256000</v>
      </c>
      <c r="AL15" s="13">
        <v>0</v>
      </c>
      <c r="AM15" s="13">
        <v>0</v>
      </c>
      <c r="AN15" s="13">
        <v>0</v>
      </c>
      <c r="AO15" s="13">
        <v>0</v>
      </c>
      <c r="AP15" s="26">
        <v>4.4625000000000004</v>
      </c>
      <c r="AQ15" s="35" t="s">
        <v>197</v>
      </c>
      <c r="AR15" s="14">
        <f>+AX15/$AX$13</f>
        <v>0.72265349329569517</v>
      </c>
      <c r="AS15" s="25">
        <v>0</v>
      </c>
      <c r="AT15" s="25">
        <v>0</v>
      </c>
      <c r="AU15" s="13" t="s">
        <v>184</v>
      </c>
      <c r="AV15" s="13" t="s">
        <v>184</v>
      </c>
      <c r="AW15" s="13">
        <v>2</v>
      </c>
      <c r="AX15" s="5">
        <f>+AI15+AK15</f>
        <v>256000</v>
      </c>
    </row>
    <row r="16" spans="1:51" s="6" customFormat="1" ht="38.25" customHeight="1">
      <c r="A16" s="2" t="s">
        <v>45</v>
      </c>
      <c r="C16" s="5" t="s">
        <v>45</v>
      </c>
      <c r="D16" s="5"/>
      <c r="E16" s="5">
        <f>+SUM(E17:E19)</f>
        <v>173</v>
      </c>
      <c r="F16" s="5">
        <f t="shared" ref="F16:AW16" si="14">+SUM(F17:F19)</f>
        <v>164</v>
      </c>
      <c r="G16" s="5">
        <f t="shared" si="14"/>
        <v>44957951.749999963</v>
      </c>
      <c r="H16" s="5">
        <f t="shared" si="14"/>
        <v>7024960.419999999</v>
      </c>
      <c r="I16" s="5">
        <f t="shared" si="14"/>
        <v>111</v>
      </c>
      <c r="J16" s="5">
        <f t="shared" si="14"/>
        <v>4263441.96</v>
      </c>
      <c r="K16" s="5">
        <f t="shared" si="14"/>
        <v>125</v>
      </c>
      <c r="L16" s="5">
        <f t="shared" si="14"/>
        <v>42582190.869999968</v>
      </c>
      <c r="M16" s="5">
        <f t="shared" si="14"/>
        <v>0</v>
      </c>
      <c r="N16" s="5">
        <f t="shared" si="14"/>
        <v>0</v>
      </c>
      <c r="O16" s="5">
        <f t="shared" si="14"/>
        <v>0</v>
      </c>
      <c r="P16" s="5">
        <f t="shared" si="14"/>
        <v>0</v>
      </c>
      <c r="Q16" s="5">
        <f t="shared" si="14"/>
        <v>2101.9532799999997</v>
      </c>
      <c r="R16" s="5">
        <f t="shared" si="14"/>
        <v>174</v>
      </c>
      <c r="S16" s="5">
        <f t="shared" si="14"/>
        <v>102</v>
      </c>
      <c r="T16" s="5">
        <f t="shared" si="14"/>
        <v>24854667.100000001</v>
      </c>
      <c r="U16" s="5">
        <f t="shared" si="14"/>
        <v>4579442.79</v>
      </c>
      <c r="V16" s="5">
        <f t="shared" si="14"/>
        <v>102</v>
      </c>
      <c r="W16" s="5">
        <f t="shared" si="14"/>
        <v>4579442.79</v>
      </c>
      <c r="X16" s="5">
        <f t="shared" si="14"/>
        <v>174</v>
      </c>
      <c r="Y16" s="5">
        <f t="shared" si="14"/>
        <v>24854667.100000001</v>
      </c>
      <c r="Z16" s="5">
        <f t="shared" si="14"/>
        <v>0</v>
      </c>
      <c r="AA16" s="5">
        <f t="shared" si="14"/>
        <v>0</v>
      </c>
      <c r="AB16" s="5">
        <f t="shared" si="14"/>
        <v>0</v>
      </c>
      <c r="AC16" s="5">
        <f t="shared" si="14"/>
        <v>0</v>
      </c>
      <c r="AD16" s="5">
        <f t="shared" si="14"/>
        <v>180</v>
      </c>
      <c r="AE16" s="5">
        <f t="shared" si="14"/>
        <v>134</v>
      </c>
      <c r="AF16" s="5">
        <f t="shared" si="14"/>
        <v>41137022.980000004</v>
      </c>
      <c r="AG16" s="5">
        <f t="shared" si="14"/>
        <v>5510208.6899999995</v>
      </c>
      <c r="AH16" s="5">
        <f t="shared" si="14"/>
        <v>134</v>
      </c>
      <c r="AI16" s="5">
        <f t="shared" si="14"/>
        <v>5510208.6899999995</v>
      </c>
      <c r="AJ16" s="5">
        <f t="shared" si="14"/>
        <v>180</v>
      </c>
      <c r="AK16" s="5">
        <f t="shared" si="14"/>
        <v>41137022.980000004</v>
      </c>
      <c r="AL16" s="5">
        <f t="shared" si="14"/>
        <v>0</v>
      </c>
      <c r="AM16" s="5">
        <f t="shared" si="14"/>
        <v>0</v>
      </c>
      <c r="AN16" s="5">
        <f t="shared" si="14"/>
        <v>0</v>
      </c>
      <c r="AO16" s="5">
        <f t="shared" si="14"/>
        <v>0</v>
      </c>
      <c r="AP16" s="5">
        <f t="shared" si="14"/>
        <v>6340.3611099999989</v>
      </c>
      <c r="AQ16" s="5" t="s">
        <v>196</v>
      </c>
      <c r="AR16" s="5"/>
      <c r="AS16" s="5">
        <f t="shared" si="14"/>
        <v>347622.68871999998</v>
      </c>
      <c r="AT16" s="5">
        <f t="shared" si="14"/>
        <v>220626.33884666665</v>
      </c>
      <c r="AU16" s="5">
        <f t="shared" si="14"/>
        <v>0</v>
      </c>
      <c r="AV16" s="5">
        <f t="shared" si="14"/>
        <v>0</v>
      </c>
      <c r="AW16" s="5">
        <f t="shared" si="14"/>
        <v>6</v>
      </c>
      <c r="AX16" s="5">
        <f>+AI16+AK16+AM16+AO16</f>
        <v>46647231.670000002</v>
      </c>
      <c r="AY16" s="43">
        <f>+AX16/$AX$6</f>
        <v>7.1868085643013405E-2</v>
      </c>
    </row>
    <row r="17" spans="1:51" s="2" customFormat="1">
      <c r="B17" s="12">
        <v>489</v>
      </c>
      <c r="C17" s="11" t="s">
        <v>16</v>
      </c>
      <c r="D17" s="11" t="s">
        <v>72</v>
      </c>
      <c r="E17" s="25">
        <v>43</v>
      </c>
      <c r="F17" s="25">
        <v>76</v>
      </c>
      <c r="G17" s="25">
        <v>3058598.33</v>
      </c>
      <c r="H17" s="25">
        <v>4475589.2699999996</v>
      </c>
      <c r="I17" s="39">
        <v>53</v>
      </c>
      <c r="J17" s="22">
        <v>2950376.44</v>
      </c>
      <c r="K17" s="22">
        <v>37</v>
      </c>
      <c r="L17" s="22">
        <v>2873448.33</v>
      </c>
      <c r="M17" s="37">
        <v>0</v>
      </c>
      <c r="N17" s="37">
        <v>0</v>
      </c>
      <c r="O17" s="37">
        <v>0</v>
      </c>
      <c r="P17" s="37">
        <v>0</v>
      </c>
      <c r="Q17" s="29">
        <v>206.62576999999996</v>
      </c>
      <c r="R17" s="8">
        <v>27</v>
      </c>
      <c r="S17" s="8">
        <f>+VLOOKUP(B17,[1]Лист2!$A$4:$B$188,2,0)</f>
        <v>25</v>
      </c>
      <c r="T17" s="8">
        <v>1670879.6400000001</v>
      </c>
      <c r="U17" s="8">
        <f>+VLOOKUP(B17,[1]Лист2!$A$4:$C$188,3,0)</f>
        <v>1232167.7299999997</v>
      </c>
      <c r="V17" s="30">
        <f t="shared" si="3"/>
        <v>25</v>
      </c>
      <c r="W17" s="30">
        <f t="shared" si="4"/>
        <v>1232167.7299999997</v>
      </c>
      <c r="X17" s="30">
        <f t="shared" si="5"/>
        <v>27</v>
      </c>
      <c r="Y17" s="30">
        <f t="shared" si="6"/>
        <v>1670879.6400000001</v>
      </c>
      <c r="Z17" s="30">
        <v>0</v>
      </c>
      <c r="AA17" s="30">
        <v>0</v>
      </c>
      <c r="AB17" s="30">
        <v>0</v>
      </c>
      <c r="AC17" s="30">
        <v>0</v>
      </c>
      <c r="AD17" s="25">
        <v>29</v>
      </c>
      <c r="AE17" s="25">
        <v>31</v>
      </c>
      <c r="AF17" s="25">
        <v>2832942.33</v>
      </c>
      <c r="AG17" s="25">
        <v>925115.22</v>
      </c>
      <c r="AH17" s="23">
        <f t="shared" si="7"/>
        <v>31</v>
      </c>
      <c r="AI17" s="23">
        <f t="shared" si="8"/>
        <v>925115.22</v>
      </c>
      <c r="AJ17" s="23">
        <f t="shared" si="9"/>
        <v>29</v>
      </c>
      <c r="AK17" s="23">
        <f t="shared" si="10"/>
        <v>2832942.33</v>
      </c>
      <c r="AL17" s="13">
        <v>0</v>
      </c>
      <c r="AM17" s="13">
        <v>0</v>
      </c>
      <c r="AN17" s="13">
        <v>0</v>
      </c>
      <c r="AO17" s="13">
        <v>0</v>
      </c>
      <c r="AP17" s="26">
        <v>2307.3477099999991</v>
      </c>
      <c r="AQ17" s="42" t="s">
        <v>198</v>
      </c>
      <c r="AR17" s="14">
        <f>+AX17/$AX$16</f>
        <v>8.0563356397779562E-2</v>
      </c>
      <c r="AS17" s="25">
        <v>102562.66666666667</v>
      </c>
      <c r="AT17" s="25">
        <v>159361.33333333334</v>
      </c>
      <c r="AU17" s="13" t="s">
        <v>184</v>
      </c>
      <c r="AV17" s="13" t="s">
        <v>184</v>
      </c>
      <c r="AW17" s="13">
        <v>2</v>
      </c>
      <c r="AX17" s="5">
        <f t="shared" ref="AX17:AX22" si="15">+AI17+AK17</f>
        <v>3758057.55</v>
      </c>
    </row>
    <row r="18" spans="1:51">
      <c r="B18" s="12">
        <v>11256</v>
      </c>
      <c r="C18" s="11" t="s">
        <v>15</v>
      </c>
      <c r="D18" s="11" t="s">
        <v>65</v>
      </c>
      <c r="E18" s="25">
        <v>112</v>
      </c>
      <c r="F18" s="25">
        <v>58</v>
      </c>
      <c r="G18" s="25">
        <v>41641915.349999964</v>
      </c>
      <c r="H18" s="25">
        <v>2442977.85</v>
      </c>
      <c r="I18" s="39">
        <v>31</v>
      </c>
      <c r="J18" s="22">
        <v>1225942.22</v>
      </c>
      <c r="K18" s="22">
        <v>77</v>
      </c>
      <c r="L18" s="22">
        <v>39575775.449999966</v>
      </c>
      <c r="M18" s="37">
        <v>0</v>
      </c>
      <c r="N18" s="37">
        <v>0</v>
      </c>
      <c r="O18" s="37">
        <v>0</v>
      </c>
      <c r="P18" s="37">
        <v>0</v>
      </c>
      <c r="Q18" s="29">
        <v>854.08927999999992</v>
      </c>
      <c r="R18" s="8">
        <v>139</v>
      </c>
      <c r="S18" s="8">
        <f>+VLOOKUP(B18,[1]Лист2!$A$4:$B$188,2,0)</f>
        <v>61</v>
      </c>
      <c r="T18" s="8">
        <v>23003054.460000001</v>
      </c>
      <c r="U18" s="8">
        <f>+VLOOKUP(B18,[1]Лист2!$A$4:$C$188,3,0)</f>
        <v>3285989.1100000003</v>
      </c>
      <c r="V18" s="30">
        <f t="shared" si="3"/>
        <v>61</v>
      </c>
      <c r="W18" s="30">
        <f t="shared" si="4"/>
        <v>3285989.1100000003</v>
      </c>
      <c r="X18" s="30">
        <f t="shared" si="5"/>
        <v>139</v>
      </c>
      <c r="Y18" s="30">
        <f t="shared" si="6"/>
        <v>23003054.460000001</v>
      </c>
      <c r="Z18" s="30">
        <v>0</v>
      </c>
      <c r="AA18" s="30">
        <v>0</v>
      </c>
      <c r="AB18" s="30">
        <v>0</v>
      </c>
      <c r="AC18" s="30">
        <v>0</v>
      </c>
      <c r="AD18" s="25">
        <v>130</v>
      </c>
      <c r="AE18" s="25">
        <v>81</v>
      </c>
      <c r="AF18" s="25">
        <v>37918545.510000005</v>
      </c>
      <c r="AG18" s="25">
        <v>4498509.8599999994</v>
      </c>
      <c r="AH18" s="23">
        <f t="shared" si="7"/>
        <v>81</v>
      </c>
      <c r="AI18" s="23">
        <f t="shared" si="8"/>
        <v>4498509.8599999994</v>
      </c>
      <c r="AJ18" s="23">
        <f t="shared" si="9"/>
        <v>130</v>
      </c>
      <c r="AK18" s="23">
        <f t="shared" si="10"/>
        <v>37918545.510000005</v>
      </c>
      <c r="AL18" s="13">
        <v>0</v>
      </c>
      <c r="AM18" s="13">
        <v>0</v>
      </c>
      <c r="AN18" s="13">
        <v>0</v>
      </c>
      <c r="AO18" s="13">
        <v>0</v>
      </c>
      <c r="AP18" s="26">
        <v>3116.4955299999992</v>
      </c>
      <c r="AQ18" s="35" t="s">
        <v>197</v>
      </c>
      <c r="AR18" s="14">
        <f>+AX18/$AX$16</f>
        <v>0.90931559819185304</v>
      </c>
      <c r="AS18" s="25">
        <v>235657.35538666663</v>
      </c>
      <c r="AT18" s="25">
        <v>58914.338846666658</v>
      </c>
      <c r="AU18" s="13" t="s">
        <v>184</v>
      </c>
      <c r="AV18" s="13" t="s">
        <v>184</v>
      </c>
      <c r="AW18" s="13">
        <v>2</v>
      </c>
      <c r="AX18" s="5">
        <f t="shared" si="15"/>
        <v>42417055.370000005</v>
      </c>
    </row>
    <row r="19" spans="1:51" ht="30">
      <c r="B19" s="12">
        <v>11203</v>
      </c>
      <c r="C19" s="11" t="s">
        <v>19</v>
      </c>
      <c r="D19" s="11" t="s">
        <v>91</v>
      </c>
      <c r="E19" s="25">
        <v>18</v>
      </c>
      <c r="F19" s="25">
        <v>30</v>
      </c>
      <c r="G19" s="25">
        <v>257438.07</v>
      </c>
      <c r="H19" s="25">
        <v>106393.29999999997</v>
      </c>
      <c r="I19" s="39">
        <v>27</v>
      </c>
      <c r="J19" s="22">
        <v>87123.299999999974</v>
      </c>
      <c r="K19" s="22">
        <v>11</v>
      </c>
      <c r="L19" s="22">
        <v>132967.09</v>
      </c>
      <c r="M19" s="37">
        <v>0</v>
      </c>
      <c r="N19" s="37">
        <v>0</v>
      </c>
      <c r="O19" s="37">
        <v>0</v>
      </c>
      <c r="P19" s="37">
        <v>0</v>
      </c>
      <c r="Q19" s="29">
        <v>1041.2382300000002</v>
      </c>
      <c r="R19" s="8">
        <v>8</v>
      </c>
      <c r="S19" s="8">
        <f>+VLOOKUP(B19,[1]Лист2!$A$4:$B$188,2,0)</f>
        <v>16</v>
      </c>
      <c r="T19" s="8">
        <v>180733</v>
      </c>
      <c r="U19" s="8">
        <f>+VLOOKUP(B19,[1]Лист2!$A$4:$C$188,3,0)</f>
        <v>61285.95</v>
      </c>
      <c r="V19" s="30">
        <f t="shared" si="3"/>
        <v>16</v>
      </c>
      <c r="W19" s="30">
        <f t="shared" si="4"/>
        <v>61285.95</v>
      </c>
      <c r="X19" s="30">
        <f t="shared" si="5"/>
        <v>8</v>
      </c>
      <c r="Y19" s="30">
        <f t="shared" si="6"/>
        <v>180733</v>
      </c>
      <c r="Z19" s="30">
        <v>0</v>
      </c>
      <c r="AA19" s="30">
        <v>0</v>
      </c>
      <c r="AB19" s="30">
        <v>0</v>
      </c>
      <c r="AC19" s="30">
        <v>0</v>
      </c>
      <c r="AD19" s="25">
        <v>21</v>
      </c>
      <c r="AE19" s="25">
        <v>22</v>
      </c>
      <c r="AF19" s="25">
        <v>385535.14</v>
      </c>
      <c r="AG19" s="25">
        <v>86583.61</v>
      </c>
      <c r="AH19" s="23">
        <f t="shared" si="7"/>
        <v>22</v>
      </c>
      <c r="AI19" s="23">
        <f t="shared" si="8"/>
        <v>86583.61</v>
      </c>
      <c r="AJ19" s="23">
        <f t="shared" si="9"/>
        <v>21</v>
      </c>
      <c r="AK19" s="23">
        <f t="shared" si="10"/>
        <v>385535.14</v>
      </c>
      <c r="AL19" s="13">
        <v>0</v>
      </c>
      <c r="AM19" s="13">
        <v>0</v>
      </c>
      <c r="AN19" s="13">
        <v>0</v>
      </c>
      <c r="AO19" s="13">
        <v>0</v>
      </c>
      <c r="AP19" s="26">
        <v>916.51787000000024</v>
      </c>
      <c r="AQ19" s="35" t="s">
        <v>199</v>
      </c>
      <c r="AR19" s="14">
        <f>+AX19/$AX$16</f>
        <v>1.0121045410367435E-2</v>
      </c>
      <c r="AS19" s="25">
        <v>9402.6666666666661</v>
      </c>
      <c r="AT19" s="25">
        <v>2350.6666666666665</v>
      </c>
      <c r="AU19" s="13" t="s">
        <v>184</v>
      </c>
      <c r="AV19" s="13" t="s">
        <v>184</v>
      </c>
      <c r="AW19" s="13">
        <v>2</v>
      </c>
      <c r="AX19" s="5">
        <f t="shared" si="15"/>
        <v>472118.75</v>
      </c>
    </row>
    <row r="20" spans="1:51" s="6" customFormat="1" ht="38.25" customHeight="1">
      <c r="A20" s="2" t="s">
        <v>46</v>
      </c>
      <c r="C20" s="5" t="s">
        <v>46</v>
      </c>
      <c r="D20" s="5"/>
      <c r="E20" s="5">
        <f>+E21+E22</f>
        <v>4</v>
      </c>
      <c r="F20" s="5">
        <f t="shared" ref="F20:AW20" si="16">+F21+F22</f>
        <v>7</v>
      </c>
      <c r="G20" s="5">
        <f t="shared" si="16"/>
        <v>105870</v>
      </c>
      <c r="H20" s="5">
        <f t="shared" si="16"/>
        <v>190051.13</v>
      </c>
      <c r="I20" s="5">
        <f t="shared" si="16"/>
        <v>6</v>
      </c>
      <c r="J20" s="5">
        <f t="shared" si="16"/>
        <v>160603.13</v>
      </c>
      <c r="K20" s="5">
        <f t="shared" si="16"/>
        <v>2</v>
      </c>
      <c r="L20" s="5">
        <f t="shared" si="16"/>
        <v>59970</v>
      </c>
      <c r="M20" s="5">
        <f t="shared" si="16"/>
        <v>0</v>
      </c>
      <c r="N20" s="5">
        <f t="shared" si="16"/>
        <v>0</v>
      </c>
      <c r="O20" s="5">
        <f t="shared" si="16"/>
        <v>0</v>
      </c>
      <c r="P20" s="5">
        <f t="shared" si="16"/>
        <v>0</v>
      </c>
      <c r="Q20" s="5">
        <f t="shared" si="16"/>
        <v>21.00188</v>
      </c>
      <c r="R20" s="5">
        <f t="shared" si="16"/>
        <v>2</v>
      </c>
      <c r="S20" s="5">
        <f t="shared" si="16"/>
        <v>7</v>
      </c>
      <c r="T20" s="5">
        <f t="shared" si="16"/>
        <v>24727.95</v>
      </c>
      <c r="U20" s="5">
        <f t="shared" si="16"/>
        <v>431626.06000000006</v>
      </c>
      <c r="V20" s="5">
        <f t="shared" si="16"/>
        <v>7</v>
      </c>
      <c r="W20" s="5">
        <f t="shared" si="16"/>
        <v>431626.06000000006</v>
      </c>
      <c r="X20" s="5">
        <f t="shared" si="16"/>
        <v>2</v>
      </c>
      <c r="Y20" s="5">
        <f t="shared" si="16"/>
        <v>24727.95</v>
      </c>
      <c r="Z20" s="5">
        <f t="shared" si="16"/>
        <v>0</v>
      </c>
      <c r="AA20" s="5">
        <f t="shared" si="16"/>
        <v>0</v>
      </c>
      <c r="AB20" s="5">
        <f t="shared" si="16"/>
        <v>0</v>
      </c>
      <c r="AC20" s="5">
        <f t="shared" si="16"/>
        <v>0</v>
      </c>
      <c r="AD20" s="5">
        <f t="shared" si="16"/>
        <v>6</v>
      </c>
      <c r="AE20" s="5">
        <f t="shared" si="16"/>
        <v>11</v>
      </c>
      <c r="AF20" s="5">
        <f t="shared" si="16"/>
        <v>148594.94</v>
      </c>
      <c r="AG20" s="5">
        <f t="shared" si="16"/>
        <v>394784.3</v>
      </c>
      <c r="AH20" s="5">
        <f t="shared" si="16"/>
        <v>11</v>
      </c>
      <c r="AI20" s="5">
        <f t="shared" si="16"/>
        <v>394784.3</v>
      </c>
      <c r="AJ20" s="5">
        <f t="shared" si="16"/>
        <v>6</v>
      </c>
      <c r="AK20" s="5">
        <f t="shared" si="16"/>
        <v>148594.94</v>
      </c>
      <c r="AL20" s="5">
        <f t="shared" si="16"/>
        <v>0</v>
      </c>
      <c r="AM20" s="5">
        <f t="shared" si="16"/>
        <v>0</v>
      </c>
      <c r="AN20" s="5">
        <f t="shared" si="16"/>
        <v>0</v>
      </c>
      <c r="AO20" s="5">
        <f t="shared" si="16"/>
        <v>0</v>
      </c>
      <c r="AP20" s="5">
        <f t="shared" si="16"/>
        <v>6.1018800000000004</v>
      </c>
      <c r="AQ20" s="5" t="s">
        <v>199</v>
      </c>
      <c r="AR20" s="5">
        <f t="shared" si="16"/>
        <v>1</v>
      </c>
      <c r="AS20" s="5">
        <f t="shared" si="16"/>
        <v>7066.666666666667</v>
      </c>
      <c r="AT20" s="5">
        <f t="shared" si="16"/>
        <v>0</v>
      </c>
      <c r="AU20" s="5"/>
      <c r="AV20" s="5"/>
      <c r="AW20" s="5">
        <f t="shared" si="16"/>
        <v>4</v>
      </c>
      <c r="AX20" s="5">
        <f>+AI20+AK20+AM20+AO20</f>
        <v>543379.24</v>
      </c>
      <c r="AY20" s="43">
        <f>+AX20/$AX$6</f>
        <v>8.371692029490918E-4</v>
      </c>
    </row>
    <row r="21" spans="1:51">
      <c r="B21" s="12">
        <v>463</v>
      </c>
      <c r="C21" s="11" t="s">
        <v>14</v>
      </c>
      <c r="D21" s="11" t="s">
        <v>96</v>
      </c>
      <c r="E21" s="25">
        <v>0</v>
      </c>
      <c r="F21" s="25">
        <v>0</v>
      </c>
      <c r="G21" s="25">
        <v>0</v>
      </c>
      <c r="H21" s="25">
        <v>0</v>
      </c>
      <c r="I21" s="40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29">
        <v>0</v>
      </c>
      <c r="R21" s="8"/>
      <c r="S21" s="8"/>
      <c r="T21" s="8"/>
      <c r="U21" s="8"/>
      <c r="V21" s="30">
        <f t="shared" si="3"/>
        <v>0</v>
      </c>
      <c r="W21" s="30">
        <f t="shared" si="4"/>
        <v>0</v>
      </c>
      <c r="X21" s="30">
        <f t="shared" si="5"/>
        <v>0</v>
      </c>
      <c r="Y21" s="30">
        <f t="shared" si="6"/>
        <v>0</v>
      </c>
      <c r="Z21" s="30">
        <f>((+S21)/3)*4</f>
        <v>0</v>
      </c>
      <c r="AA21" s="30">
        <f>((+U21)/3)*4</f>
        <v>0</v>
      </c>
      <c r="AB21" s="30">
        <v>0</v>
      </c>
      <c r="AC21" s="30">
        <v>0</v>
      </c>
      <c r="AD21" s="25">
        <v>5</v>
      </c>
      <c r="AE21" s="25">
        <v>0</v>
      </c>
      <c r="AF21" s="25">
        <v>52474.94</v>
      </c>
      <c r="AG21" s="25">
        <v>0</v>
      </c>
      <c r="AH21" s="23">
        <f t="shared" si="7"/>
        <v>0</v>
      </c>
      <c r="AI21" s="23">
        <f t="shared" si="8"/>
        <v>0</v>
      </c>
      <c r="AJ21" s="23">
        <f t="shared" si="9"/>
        <v>5</v>
      </c>
      <c r="AK21" s="23">
        <f t="shared" si="10"/>
        <v>52474.94</v>
      </c>
      <c r="AL21" s="13">
        <v>0</v>
      </c>
      <c r="AM21" s="13">
        <v>0</v>
      </c>
      <c r="AN21" s="13">
        <v>0</v>
      </c>
      <c r="AO21" s="13">
        <v>0</v>
      </c>
      <c r="AP21" s="26">
        <v>0</v>
      </c>
      <c r="AQ21" s="42" t="s">
        <v>198</v>
      </c>
      <c r="AR21" s="14">
        <f>+AX21/$AX$20</f>
        <v>9.6571484770010721E-2</v>
      </c>
      <c r="AS21" s="25">
        <v>0</v>
      </c>
      <c r="AT21" s="25">
        <v>0</v>
      </c>
      <c r="AU21" s="13" t="s">
        <v>184</v>
      </c>
      <c r="AV21" s="13" t="s">
        <v>184</v>
      </c>
      <c r="AW21" s="13">
        <v>2</v>
      </c>
      <c r="AX21" s="5">
        <f>+AI21+AK21</f>
        <v>52474.94</v>
      </c>
    </row>
    <row r="22" spans="1:51">
      <c r="B22" s="12">
        <v>10792</v>
      </c>
      <c r="C22" s="11" t="s">
        <v>19</v>
      </c>
      <c r="D22" s="11" t="s">
        <v>81</v>
      </c>
      <c r="E22" s="25">
        <v>4</v>
      </c>
      <c r="F22" s="25">
        <v>7</v>
      </c>
      <c r="G22" s="25">
        <v>105870</v>
      </c>
      <c r="H22" s="25">
        <v>190051.13</v>
      </c>
      <c r="I22" s="39">
        <v>6</v>
      </c>
      <c r="J22" s="22">
        <v>160603.13</v>
      </c>
      <c r="K22" s="22">
        <v>2</v>
      </c>
      <c r="L22" s="22">
        <v>59970</v>
      </c>
      <c r="M22" s="37">
        <v>0</v>
      </c>
      <c r="N22" s="37">
        <v>0</v>
      </c>
      <c r="O22" s="37">
        <v>0</v>
      </c>
      <c r="P22" s="37">
        <v>0</v>
      </c>
      <c r="Q22" s="29">
        <v>21.00188</v>
      </c>
      <c r="R22" s="8">
        <v>2</v>
      </c>
      <c r="S22" s="8">
        <f>+VLOOKUP(B22,[1]Лист2!$A$4:$B$188,2,0)</f>
        <v>7</v>
      </c>
      <c r="T22" s="8">
        <v>24727.95</v>
      </c>
      <c r="U22" s="8">
        <f>+VLOOKUP(B22,[1]Лист2!$A$4:$C$188,3,0)</f>
        <v>431626.06000000006</v>
      </c>
      <c r="V22" s="30">
        <f t="shared" si="3"/>
        <v>7</v>
      </c>
      <c r="W22" s="30">
        <f t="shared" si="4"/>
        <v>431626.06000000006</v>
      </c>
      <c r="X22" s="30">
        <f t="shared" si="5"/>
        <v>2</v>
      </c>
      <c r="Y22" s="30">
        <f t="shared" si="6"/>
        <v>24727.95</v>
      </c>
      <c r="Z22" s="30">
        <v>0</v>
      </c>
      <c r="AA22" s="30">
        <v>0</v>
      </c>
      <c r="AB22" s="30">
        <v>0</v>
      </c>
      <c r="AC22" s="30">
        <v>0</v>
      </c>
      <c r="AD22" s="25">
        <v>1</v>
      </c>
      <c r="AE22" s="25">
        <v>11</v>
      </c>
      <c r="AF22" s="25">
        <v>96120</v>
      </c>
      <c r="AG22" s="25">
        <v>394784.3</v>
      </c>
      <c r="AH22" s="23">
        <f t="shared" si="7"/>
        <v>11</v>
      </c>
      <c r="AI22" s="23">
        <f t="shared" si="8"/>
        <v>394784.3</v>
      </c>
      <c r="AJ22" s="23">
        <f t="shared" si="9"/>
        <v>1</v>
      </c>
      <c r="AK22" s="23">
        <f t="shared" si="10"/>
        <v>96120</v>
      </c>
      <c r="AL22" s="13">
        <v>0</v>
      </c>
      <c r="AM22" s="13">
        <v>0</v>
      </c>
      <c r="AN22" s="13">
        <v>0</v>
      </c>
      <c r="AO22" s="13">
        <v>0</v>
      </c>
      <c r="AP22" s="26">
        <v>6.1018800000000004</v>
      </c>
      <c r="AQ22" s="35" t="s">
        <v>197</v>
      </c>
      <c r="AR22" s="14">
        <f>+AX22/$AX$20</f>
        <v>0.90342851522998924</v>
      </c>
      <c r="AS22" s="25">
        <v>7066.666666666667</v>
      </c>
      <c r="AT22" s="25">
        <v>0</v>
      </c>
      <c r="AU22" s="13" t="s">
        <v>185</v>
      </c>
      <c r="AV22" s="13" t="s">
        <v>185</v>
      </c>
      <c r="AW22" s="13">
        <v>2</v>
      </c>
      <c r="AX22" s="5">
        <f t="shared" si="15"/>
        <v>490904.3</v>
      </c>
    </row>
    <row r="23" spans="1:51" s="6" customFormat="1" ht="38.25" customHeight="1">
      <c r="A23" s="2" t="s">
        <v>47</v>
      </c>
      <c r="C23" s="5" t="s">
        <v>47</v>
      </c>
      <c r="D23" s="5"/>
      <c r="E23" s="5">
        <f>+SUM(E24:E27)</f>
        <v>24</v>
      </c>
      <c r="F23" s="5">
        <f t="shared" ref="F23:AW23" si="17">+SUM(F24:F27)</f>
        <v>1</v>
      </c>
      <c r="G23" s="5">
        <f t="shared" si="17"/>
        <v>1176373.26</v>
      </c>
      <c r="H23" s="5">
        <f t="shared" si="17"/>
        <v>8000</v>
      </c>
      <c r="I23" s="5">
        <f t="shared" si="17"/>
        <v>1</v>
      </c>
      <c r="J23" s="5">
        <f t="shared" si="17"/>
        <v>8000</v>
      </c>
      <c r="K23" s="5">
        <f t="shared" si="17"/>
        <v>7</v>
      </c>
      <c r="L23" s="5">
        <f t="shared" si="17"/>
        <v>144831.91999999998</v>
      </c>
      <c r="M23" s="5">
        <f t="shared" si="17"/>
        <v>0</v>
      </c>
      <c r="N23" s="5">
        <f t="shared" si="17"/>
        <v>0</v>
      </c>
      <c r="O23" s="5">
        <f t="shared" si="17"/>
        <v>13</v>
      </c>
      <c r="P23" s="5">
        <f t="shared" si="17"/>
        <v>711771.53</v>
      </c>
      <c r="Q23" s="5">
        <f t="shared" si="17"/>
        <v>54.812600000000003</v>
      </c>
      <c r="R23" s="5">
        <f t="shared" si="17"/>
        <v>13</v>
      </c>
      <c r="S23" s="5">
        <f t="shared" si="17"/>
        <v>5</v>
      </c>
      <c r="T23" s="5">
        <f t="shared" si="17"/>
        <v>901511.46</v>
      </c>
      <c r="U23" s="5">
        <f t="shared" si="17"/>
        <v>100788.98</v>
      </c>
      <c r="V23" s="5">
        <f t="shared" si="17"/>
        <v>5</v>
      </c>
      <c r="W23" s="5">
        <f t="shared" si="17"/>
        <v>100788.98</v>
      </c>
      <c r="X23" s="5">
        <f t="shared" si="17"/>
        <v>13</v>
      </c>
      <c r="Y23" s="5">
        <f t="shared" si="17"/>
        <v>901511.46</v>
      </c>
      <c r="Z23" s="5">
        <f t="shared" si="17"/>
        <v>0</v>
      </c>
      <c r="AA23" s="5">
        <f t="shared" si="17"/>
        <v>0</v>
      </c>
      <c r="AB23" s="5">
        <f t="shared" si="17"/>
        <v>0</v>
      </c>
      <c r="AC23" s="5">
        <f t="shared" si="17"/>
        <v>0</v>
      </c>
      <c r="AD23" s="5">
        <f t="shared" si="17"/>
        <v>10</v>
      </c>
      <c r="AE23" s="5">
        <f t="shared" si="17"/>
        <v>6</v>
      </c>
      <c r="AF23" s="5">
        <f t="shared" si="17"/>
        <v>383682.8</v>
      </c>
      <c r="AG23" s="5">
        <f t="shared" si="17"/>
        <v>69214.7</v>
      </c>
      <c r="AH23" s="5">
        <f t="shared" si="17"/>
        <v>6</v>
      </c>
      <c r="AI23" s="5">
        <f t="shared" si="17"/>
        <v>69214.7</v>
      </c>
      <c r="AJ23" s="5">
        <f t="shared" si="17"/>
        <v>10</v>
      </c>
      <c r="AK23" s="5">
        <f t="shared" si="17"/>
        <v>383682.8</v>
      </c>
      <c r="AL23" s="5">
        <f t="shared" si="17"/>
        <v>0</v>
      </c>
      <c r="AM23" s="5">
        <f t="shared" si="17"/>
        <v>0</v>
      </c>
      <c r="AN23" s="5">
        <f t="shared" si="17"/>
        <v>0</v>
      </c>
      <c r="AO23" s="5">
        <f t="shared" si="17"/>
        <v>0</v>
      </c>
      <c r="AP23" s="5">
        <f t="shared" si="17"/>
        <v>266.42876000000001</v>
      </c>
      <c r="AQ23" s="5" t="s">
        <v>199</v>
      </c>
      <c r="AR23" s="5">
        <f t="shared" si="17"/>
        <v>1</v>
      </c>
      <c r="AS23" s="5">
        <f t="shared" si="17"/>
        <v>145900.00000000003</v>
      </c>
      <c r="AT23" s="5">
        <f t="shared" si="17"/>
        <v>36475.000000000007</v>
      </c>
      <c r="AU23" s="5"/>
      <c r="AV23" s="5"/>
      <c r="AW23" s="5">
        <f t="shared" si="17"/>
        <v>8</v>
      </c>
      <c r="AX23" s="5">
        <f>+AI23+AK23+AM23+AO23</f>
        <v>452897.5</v>
      </c>
      <c r="AY23" s="43">
        <f>+AX23/$AX$6</f>
        <v>6.9776651587321649E-4</v>
      </c>
    </row>
    <row r="24" spans="1:51" ht="30">
      <c r="B24" s="12">
        <v>12129</v>
      </c>
      <c r="C24" s="11" t="s">
        <v>34</v>
      </c>
      <c r="D24" s="11" t="s">
        <v>108</v>
      </c>
      <c r="E24" s="25">
        <v>8</v>
      </c>
      <c r="F24" s="25">
        <v>1</v>
      </c>
      <c r="G24" s="25">
        <v>145131.72999999998</v>
      </c>
      <c r="H24" s="25">
        <v>8000</v>
      </c>
      <c r="I24" s="39">
        <v>1</v>
      </c>
      <c r="J24" s="22">
        <v>8000</v>
      </c>
      <c r="K24" s="22">
        <v>7</v>
      </c>
      <c r="L24" s="22">
        <v>144831.91999999998</v>
      </c>
      <c r="M24" s="37">
        <v>0</v>
      </c>
      <c r="N24" s="37">
        <v>0</v>
      </c>
      <c r="O24" s="37">
        <v>0</v>
      </c>
      <c r="P24" s="37">
        <v>0</v>
      </c>
      <c r="Q24" s="29">
        <v>30.844000000000001</v>
      </c>
      <c r="R24" s="8"/>
      <c r="S24" s="8">
        <f>+VLOOKUP(B24,[1]Лист2!$A$4:$B$188,2,0)</f>
        <v>1</v>
      </c>
      <c r="T24" s="8"/>
      <c r="U24" s="8">
        <f>+VLOOKUP(B24,[1]Лист2!$A$4:$C$188,3,0)</f>
        <v>2000</v>
      </c>
      <c r="V24" s="30">
        <f t="shared" si="3"/>
        <v>1</v>
      </c>
      <c r="W24" s="30">
        <f t="shared" si="4"/>
        <v>2000</v>
      </c>
      <c r="X24" s="30">
        <f t="shared" si="5"/>
        <v>0</v>
      </c>
      <c r="Y24" s="30">
        <f t="shared" si="6"/>
        <v>0</v>
      </c>
      <c r="Z24" s="30">
        <v>0</v>
      </c>
      <c r="AA24" s="30">
        <v>0</v>
      </c>
      <c r="AB24" s="30">
        <v>0</v>
      </c>
      <c r="AC24" s="30">
        <v>0</v>
      </c>
      <c r="AD24" s="25">
        <v>0</v>
      </c>
      <c r="AE24" s="25">
        <v>0</v>
      </c>
      <c r="AF24" s="25">
        <v>0</v>
      </c>
      <c r="AG24" s="25">
        <v>0</v>
      </c>
      <c r="AH24" s="23">
        <f t="shared" si="7"/>
        <v>0</v>
      </c>
      <c r="AI24" s="23">
        <f t="shared" si="8"/>
        <v>0</v>
      </c>
      <c r="AJ24" s="23">
        <f t="shared" si="9"/>
        <v>0</v>
      </c>
      <c r="AK24" s="23">
        <f t="shared" si="10"/>
        <v>0</v>
      </c>
      <c r="AL24" s="13">
        <v>0</v>
      </c>
      <c r="AM24" s="13">
        <v>0</v>
      </c>
      <c r="AN24" s="13">
        <v>0</v>
      </c>
      <c r="AO24" s="13">
        <v>0</v>
      </c>
      <c r="AP24" s="26">
        <v>66.258979999999994</v>
      </c>
      <c r="AQ24" s="35" t="s">
        <v>199</v>
      </c>
      <c r="AR24" s="14">
        <f>+AX24/$AX$23</f>
        <v>0</v>
      </c>
      <c r="AS24" s="25">
        <v>73354.666666666672</v>
      </c>
      <c r="AT24" s="25">
        <v>18338.666666666668</v>
      </c>
      <c r="AU24" s="13" t="s">
        <v>185</v>
      </c>
      <c r="AV24" s="13" t="s">
        <v>185</v>
      </c>
      <c r="AW24" s="13">
        <v>2</v>
      </c>
      <c r="AX24" s="5">
        <f>+AI24+AK24</f>
        <v>0</v>
      </c>
    </row>
    <row r="25" spans="1:51" s="2" customFormat="1">
      <c r="B25" s="12">
        <v>12090</v>
      </c>
      <c r="C25" s="11" t="s">
        <v>23</v>
      </c>
      <c r="D25" s="11" t="s">
        <v>109</v>
      </c>
      <c r="E25" s="25">
        <v>5</v>
      </c>
      <c r="F25" s="25">
        <v>0</v>
      </c>
      <c r="G25" s="25">
        <v>305464.73</v>
      </c>
      <c r="H25" s="25">
        <v>0</v>
      </c>
      <c r="I25" s="40">
        <v>0</v>
      </c>
      <c r="J25" s="37">
        <v>0</v>
      </c>
      <c r="K25" s="37">
        <v>0</v>
      </c>
      <c r="L25" s="37">
        <v>0</v>
      </c>
      <c r="M25" s="22">
        <v>0</v>
      </c>
      <c r="N25" s="22">
        <v>0</v>
      </c>
      <c r="O25" s="22">
        <v>4</v>
      </c>
      <c r="P25" s="22">
        <v>266420.73</v>
      </c>
      <c r="Q25" s="29">
        <v>6.3304</v>
      </c>
      <c r="R25" s="8">
        <v>9</v>
      </c>
      <c r="S25" s="8">
        <f>+VLOOKUP(B25,[1]Лист2!$A$4:$B$188,2,0)</f>
        <v>3</v>
      </c>
      <c r="T25" s="8">
        <v>811077.46</v>
      </c>
      <c r="U25" s="8">
        <f>+VLOOKUP(B25,[1]Лист2!$A$4:$C$188,3,0)</f>
        <v>18788.98</v>
      </c>
      <c r="V25" s="30">
        <f t="shared" si="3"/>
        <v>3</v>
      </c>
      <c r="W25" s="30">
        <f t="shared" si="4"/>
        <v>18788.98</v>
      </c>
      <c r="X25" s="30">
        <f t="shared" si="5"/>
        <v>9</v>
      </c>
      <c r="Y25" s="30">
        <f t="shared" si="6"/>
        <v>811077.46</v>
      </c>
      <c r="Z25" s="30">
        <v>0</v>
      </c>
      <c r="AA25" s="30">
        <v>0</v>
      </c>
      <c r="AB25" s="30">
        <v>0</v>
      </c>
      <c r="AC25" s="30">
        <v>0</v>
      </c>
      <c r="AD25" s="25">
        <v>4</v>
      </c>
      <c r="AE25" s="25">
        <v>5</v>
      </c>
      <c r="AF25" s="25">
        <v>338044</v>
      </c>
      <c r="AG25" s="25">
        <v>66854.7</v>
      </c>
      <c r="AH25" s="23">
        <f t="shared" si="7"/>
        <v>5</v>
      </c>
      <c r="AI25" s="23">
        <f t="shared" si="8"/>
        <v>66854.7</v>
      </c>
      <c r="AJ25" s="23">
        <f t="shared" si="9"/>
        <v>4</v>
      </c>
      <c r="AK25" s="23">
        <f t="shared" si="10"/>
        <v>338044</v>
      </c>
      <c r="AL25" s="13">
        <v>0</v>
      </c>
      <c r="AM25" s="13">
        <v>0</v>
      </c>
      <c r="AN25" s="13">
        <v>0</v>
      </c>
      <c r="AO25" s="13">
        <v>0</v>
      </c>
      <c r="AP25" s="26">
        <v>32.841859999999997</v>
      </c>
      <c r="AQ25" s="35" t="s">
        <v>197</v>
      </c>
      <c r="AR25" s="14">
        <f t="shared" ref="AR25:AR27" si="18">+AX25/$AX$23</f>
        <v>0.8940184037226967</v>
      </c>
      <c r="AS25" s="25">
        <v>62812</v>
      </c>
      <c r="AT25" s="25">
        <v>15703</v>
      </c>
      <c r="AU25" s="13" t="s">
        <v>184</v>
      </c>
      <c r="AV25" s="13" t="s">
        <v>184</v>
      </c>
      <c r="AW25" s="13">
        <v>2</v>
      </c>
      <c r="AX25" s="5">
        <f>+AI25+AK25</f>
        <v>404898.7</v>
      </c>
    </row>
    <row r="26" spans="1:51" ht="30">
      <c r="B26" s="12">
        <v>11413</v>
      </c>
      <c r="C26" s="11" t="s">
        <v>27</v>
      </c>
      <c r="D26" s="11" t="s">
        <v>110</v>
      </c>
      <c r="E26" s="25">
        <v>6</v>
      </c>
      <c r="F26" s="25">
        <v>0</v>
      </c>
      <c r="G26" s="25">
        <v>370187.8</v>
      </c>
      <c r="H26" s="25">
        <v>0</v>
      </c>
      <c r="I26" s="40">
        <v>0</v>
      </c>
      <c r="J26" s="37">
        <v>0</v>
      </c>
      <c r="K26" s="37">
        <v>0</v>
      </c>
      <c r="L26" s="37">
        <v>0</v>
      </c>
      <c r="M26" s="22">
        <v>0</v>
      </c>
      <c r="N26" s="22">
        <v>0</v>
      </c>
      <c r="O26" s="22">
        <v>4</v>
      </c>
      <c r="P26" s="22">
        <v>89761.799999999988</v>
      </c>
      <c r="Q26" s="29">
        <v>17.638200000000001</v>
      </c>
      <c r="R26" s="8">
        <v>4</v>
      </c>
      <c r="S26" s="8">
        <f>+VLOOKUP(B26,[1]Лист2!$A$4:$B$188,2,0)</f>
        <v>1</v>
      </c>
      <c r="T26" s="8">
        <v>90434</v>
      </c>
      <c r="U26" s="8">
        <f>+VLOOKUP(B26,[1]Лист2!$A$4:$C$188,3,0)</f>
        <v>80000</v>
      </c>
      <c r="V26" s="30">
        <f t="shared" si="3"/>
        <v>1</v>
      </c>
      <c r="W26" s="30">
        <f t="shared" si="4"/>
        <v>80000</v>
      </c>
      <c r="X26" s="30">
        <f t="shared" si="5"/>
        <v>4</v>
      </c>
      <c r="Y26" s="30">
        <f t="shared" si="6"/>
        <v>90434</v>
      </c>
      <c r="Z26" s="30">
        <v>0</v>
      </c>
      <c r="AA26" s="30">
        <v>0</v>
      </c>
      <c r="AB26" s="30">
        <v>0</v>
      </c>
      <c r="AC26" s="30">
        <v>0</v>
      </c>
      <c r="AD26" s="25">
        <v>6</v>
      </c>
      <c r="AE26" s="25">
        <v>0</v>
      </c>
      <c r="AF26" s="25">
        <v>45638.8</v>
      </c>
      <c r="AG26" s="25">
        <v>0</v>
      </c>
      <c r="AH26" s="23">
        <f t="shared" si="7"/>
        <v>0</v>
      </c>
      <c r="AI26" s="23">
        <f t="shared" si="8"/>
        <v>0</v>
      </c>
      <c r="AJ26" s="23">
        <f t="shared" si="9"/>
        <v>6</v>
      </c>
      <c r="AK26" s="23">
        <f t="shared" si="10"/>
        <v>45638.8</v>
      </c>
      <c r="AL26" s="13">
        <v>0</v>
      </c>
      <c r="AM26" s="13">
        <v>0</v>
      </c>
      <c r="AN26" s="13">
        <v>0</v>
      </c>
      <c r="AO26" s="13">
        <v>0</v>
      </c>
      <c r="AP26" s="26">
        <v>167.32792000000001</v>
      </c>
      <c r="AQ26" s="42" t="s">
        <v>198</v>
      </c>
      <c r="AR26" s="14">
        <f t="shared" si="18"/>
        <v>0.10077070418803372</v>
      </c>
      <c r="AS26" s="25">
        <v>9733.3333333333339</v>
      </c>
      <c r="AT26" s="25">
        <v>2433.3333333333335</v>
      </c>
      <c r="AU26" s="13" t="s">
        <v>185</v>
      </c>
      <c r="AV26" s="13" t="s">
        <v>185</v>
      </c>
      <c r="AW26" s="13">
        <v>2</v>
      </c>
      <c r="AX26" s="5">
        <f>+AI26+AK26</f>
        <v>45638.8</v>
      </c>
    </row>
    <row r="27" spans="1:51" s="2" customFormat="1">
      <c r="B27" s="12">
        <v>11183</v>
      </c>
      <c r="C27" s="11" t="s">
        <v>15</v>
      </c>
      <c r="D27" s="11" t="s">
        <v>111</v>
      </c>
      <c r="E27" s="25">
        <v>5</v>
      </c>
      <c r="F27" s="25">
        <v>0</v>
      </c>
      <c r="G27" s="25">
        <v>355589</v>
      </c>
      <c r="H27" s="25">
        <v>0</v>
      </c>
      <c r="I27" s="40">
        <v>0</v>
      </c>
      <c r="J27" s="37">
        <v>0</v>
      </c>
      <c r="K27" s="37">
        <v>0</v>
      </c>
      <c r="L27" s="37">
        <v>0</v>
      </c>
      <c r="M27" s="22">
        <v>0</v>
      </c>
      <c r="N27" s="22">
        <v>0</v>
      </c>
      <c r="O27" s="22">
        <v>5</v>
      </c>
      <c r="P27" s="22">
        <v>355589</v>
      </c>
      <c r="Q27" s="29">
        <v>0</v>
      </c>
      <c r="R27" s="8"/>
      <c r="S27" s="8"/>
      <c r="T27" s="8"/>
      <c r="U27" s="8"/>
      <c r="V27" s="30">
        <f t="shared" si="3"/>
        <v>0</v>
      </c>
      <c r="W27" s="30">
        <f t="shared" si="4"/>
        <v>0</v>
      </c>
      <c r="X27" s="30">
        <f t="shared" si="5"/>
        <v>0</v>
      </c>
      <c r="Y27" s="30">
        <f t="shared" si="6"/>
        <v>0</v>
      </c>
      <c r="Z27" s="30">
        <f>((+S27)/3)*4</f>
        <v>0</v>
      </c>
      <c r="AA27" s="30">
        <f>((+U27)/3)*4</f>
        <v>0</v>
      </c>
      <c r="AB27" s="30">
        <v>0</v>
      </c>
      <c r="AC27" s="30">
        <v>0</v>
      </c>
      <c r="AD27" s="25">
        <v>0</v>
      </c>
      <c r="AE27" s="25">
        <v>1</v>
      </c>
      <c r="AF27" s="25">
        <v>0</v>
      </c>
      <c r="AG27" s="25">
        <v>2360</v>
      </c>
      <c r="AH27" s="23">
        <f t="shared" si="7"/>
        <v>1</v>
      </c>
      <c r="AI27" s="23">
        <f t="shared" si="8"/>
        <v>2360</v>
      </c>
      <c r="AJ27" s="23">
        <f t="shared" si="9"/>
        <v>0</v>
      </c>
      <c r="AK27" s="23">
        <f t="shared" si="10"/>
        <v>0</v>
      </c>
      <c r="AL27" s="13">
        <v>0</v>
      </c>
      <c r="AM27" s="13">
        <v>0</v>
      </c>
      <c r="AN27" s="13">
        <v>0</v>
      </c>
      <c r="AO27" s="13">
        <v>0</v>
      </c>
      <c r="AP27" s="26">
        <v>0</v>
      </c>
      <c r="AQ27" s="35" t="s">
        <v>199</v>
      </c>
      <c r="AR27" s="14">
        <f t="shared" si="18"/>
        <v>5.2108920892696472E-3</v>
      </c>
      <c r="AS27" s="25">
        <v>0</v>
      </c>
      <c r="AT27" s="25">
        <v>0</v>
      </c>
      <c r="AU27" s="13" t="s">
        <v>184</v>
      </c>
      <c r="AV27" s="13" t="s">
        <v>184</v>
      </c>
      <c r="AW27" s="13">
        <v>2</v>
      </c>
      <c r="AX27" s="5">
        <f>+AI27+AK27</f>
        <v>2360</v>
      </c>
    </row>
    <row r="28" spans="1:51" s="6" customFormat="1" ht="38.25" customHeight="1">
      <c r="A28" s="2" t="s">
        <v>48</v>
      </c>
      <c r="C28" s="5" t="s">
        <v>48</v>
      </c>
      <c r="D28" s="5"/>
      <c r="E28" s="5">
        <f>+SUM(E29:E34)</f>
        <v>794</v>
      </c>
      <c r="F28" s="5">
        <f t="shared" ref="F28:AT28" si="19">+SUM(F29:F34)</f>
        <v>98</v>
      </c>
      <c r="G28" s="5">
        <f t="shared" si="19"/>
        <v>31944779.259999998</v>
      </c>
      <c r="H28" s="5">
        <f t="shared" si="19"/>
        <v>2491610.7800000003</v>
      </c>
      <c r="I28" s="5">
        <f t="shared" si="19"/>
        <v>71</v>
      </c>
      <c r="J28" s="5">
        <f t="shared" si="19"/>
        <v>2022301.36</v>
      </c>
      <c r="K28" s="5">
        <f t="shared" si="19"/>
        <v>565</v>
      </c>
      <c r="L28" s="5">
        <f t="shared" si="19"/>
        <v>22035465.939999998</v>
      </c>
      <c r="M28" s="5">
        <f t="shared" si="19"/>
        <v>0</v>
      </c>
      <c r="N28" s="5">
        <f t="shared" si="19"/>
        <v>0</v>
      </c>
      <c r="O28" s="5">
        <f t="shared" si="19"/>
        <v>28</v>
      </c>
      <c r="P28" s="5">
        <f t="shared" si="19"/>
        <v>706132.7</v>
      </c>
      <c r="Q28" s="5">
        <f t="shared" si="19"/>
        <v>5439.1162199999999</v>
      </c>
      <c r="R28" s="5">
        <f t="shared" si="19"/>
        <v>797</v>
      </c>
      <c r="S28" s="5">
        <f t="shared" si="19"/>
        <v>119</v>
      </c>
      <c r="T28" s="5">
        <f t="shared" si="19"/>
        <v>28026870.709999997</v>
      </c>
      <c r="U28" s="5">
        <f t="shared" si="19"/>
        <v>5884139.6899999995</v>
      </c>
      <c r="V28" s="5">
        <f t="shared" si="19"/>
        <v>119</v>
      </c>
      <c r="W28" s="5">
        <f t="shared" si="19"/>
        <v>5884139.6899999995</v>
      </c>
      <c r="X28" s="5">
        <f t="shared" si="19"/>
        <v>797</v>
      </c>
      <c r="Y28" s="5">
        <f t="shared" si="19"/>
        <v>28026870.709999997</v>
      </c>
      <c r="Z28" s="5">
        <f t="shared" si="19"/>
        <v>0</v>
      </c>
      <c r="AA28" s="5">
        <f t="shared" si="19"/>
        <v>0</v>
      </c>
      <c r="AB28" s="5">
        <f t="shared" si="19"/>
        <v>0</v>
      </c>
      <c r="AC28" s="5">
        <f t="shared" si="19"/>
        <v>0</v>
      </c>
      <c r="AD28" s="5">
        <f t="shared" si="19"/>
        <v>1136</v>
      </c>
      <c r="AE28" s="5">
        <f t="shared" si="19"/>
        <v>146</v>
      </c>
      <c r="AF28" s="5">
        <f t="shared" si="19"/>
        <v>40490218.149999999</v>
      </c>
      <c r="AG28" s="5">
        <f t="shared" si="19"/>
        <v>8342416.5600000005</v>
      </c>
      <c r="AH28" s="5">
        <f t="shared" si="19"/>
        <v>146</v>
      </c>
      <c r="AI28" s="5">
        <f t="shared" si="19"/>
        <v>8342416.5600000005</v>
      </c>
      <c r="AJ28" s="5">
        <f t="shared" si="19"/>
        <v>1136</v>
      </c>
      <c r="AK28" s="5">
        <f t="shared" si="19"/>
        <v>40490218.149999999</v>
      </c>
      <c r="AL28" s="5">
        <f t="shared" si="19"/>
        <v>0</v>
      </c>
      <c r="AM28" s="5">
        <f t="shared" si="19"/>
        <v>0</v>
      </c>
      <c r="AN28" s="5">
        <f t="shared" si="19"/>
        <v>0</v>
      </c>
      <c r="AO28" s="5">
        <f>+SUM(AO29:AO34)</f>
        <v>0</v>
      </c>
      <c r="AP28" s="5">
        <f>+SUM(AP29:AP34)</f>
        <v>8437.1089300000003</v>
      </c>
      <c r="AQ28" s="5" t="s">
        <v>196</v>
      </c>
      <c r="AR28" s="5"/>
      <c r="AS28" s="5">
        <f t="shared" si="19"/>
        <v>1565485.9793733333</v>
      </c>
      <c r="AT28" s="5">
        <f t="shared" si="19"/>
        <v>415689.02718666662</v>
      </c>
      <c r="AU28" s="5"/>
      <c r="AV28" s="5"/>
      <c r="AW28" s="5">
        <f>+SUM(AW29:AW34)</f>
        <v>10</v>
      </c>
      <c r="AX28" s="5">
        <f>+AI28+AK28+AM28+AO28</f>
        <v>48832634.710000001</v>
      </c>
      <c r="AY28" s="43">
        <f>+AX28/$AX$6</f>
        <v>7.5235075005947699E-2</v>
      </c>
    </row>
    <row r="29" spans="1:51">
      <c r="B29" s="12">
        <v>12091</v>
      </c>
      <c r="C29" s="11" t="s">
        <v>23</v>
      </c>
      <c r="D29" s="11" t="s">
        <v>112</v>
      </c>
      <c r="E29" s="25">
        <v>54</v>
      </c>
      <c r="F29" s="25">
        <v>1</v>
      </c>
      <c r="G29" s="25">
        <v>5363899.8</v>
      </c>
      <c r="H29" s="25">
        <v>7796.71</v>
      </c>
      <c r="I29" s="40">
        <v>0</v>
      </c>
      <c r="J29" s="37">
        <v>0</v>
      </c>
      <c r="K29" s="37">
        <v>0</v>
      </c>
      <c r="L29" s="37">
        <v>0</v>
      </c>
      <c r="M29" s="22">
        <v>0</v>
      </c>
      <c r="N29" s="22">
        <v>0</v>
      </c>
      <c r="O29" s="22">
        <v>28</v>
      </c>
      <c r="P29" s="22">
        <v>706132.7</v>
      </c>
      <c r="Q29" s="29">
        <v>87.863399999999999</v>
      </c>
      <c r="R29" s="8">
        <v>28</v>
      </c>
      <c r="S29" s="8">
        <f>+VLOOKUP(B29,[1]Лист2!$A$4:$B$188,2,0)</f>
        <v>1</v>
      </c>
      <c r="T29" s="8">
        <v>1229327.43</v>
      </c>
      <c r="U29" s="8">
        <f>+VLOOKUP(B29,[1]Лист2!$A$4:$C$188,3,0)</f>
        <v>30000</v>
      </c>
      <c r="V29" s="30">
        <f t="shared" si="3"/>
        <v>1</v>
      </c>
      <c r="W29" s="30">
        <f t="shared" si="4"/>
        <v>30000</v>
      </c>
      <c r="X29" s="30">
        <f t="shared" si="5"/>
        <v>28</v>
      </c>
      <c r="Y29" s="30">
        <f t="shared" si="6"/>
        <v>1229327.43</v>
      </c>
      <c r="Z29" s="30">
        <v>0</v>
      </c>
      <c r="AA29" s="30">
        <v>0</v>
      </c>
      <c r="AB29" s="30">
        <v>0</v>
      </c>
      <c r="AC29" s="30">
        <v>0</v>
      </c>
      <c r="AD29" s="25">
        <v>75</v>
      </c>
      <c r="AE29" s="25">
        <v>1</v>
      </c>
      <c r="AF29" s="25">
        <v>8996046.7700000014</v>
      </c>
      <c r="AG29" s="25">
        <v>12000</v>
      </c>
      <c r="AH29" s="23">
        <f t="shared" si="7"/>
        <v>1</v>
      </c>
      <c r="AI29" s="23">
        <f t="shared" si="8"/>
        <v>12000</v>
      </c>
      <c r="AJ29" s="23">
        <f t="shared" si="9"/>
        <v>75</v>
      </c>
      <c r="AK29" s="23">
        <f t="shared" si="10"/>
        <v>8996046.7700000014</v>
      </c>
      <c r="AL29" s="13">
        <v>0</v>
      </c>
      <c r="AM29" s="13">
        <v>0</v>
      </c>
      <c r="AN29" s="13">
        <v>0</v>
      </c>
      <c r="AO29" s="13">
        <v>0</v>
      </c>
      <c r="AP29" s="26">
        <v>714.71053000000018</v>
      </c>
      <c r="AQ29" s="42" t="s">
        <v>196</v>
      </c>
      <c r="AR29" s="14">
        <f>+AX29/$AX$28</f>
        <v>0.18446776061737508</v>
      </c>
      <c r="AS29" s="25">
        <v>433102.53866666666</v>
      </c>
      <c r="AT29" s="25">
        <v>108275.63466666666</v>
      </c>
      <c r="AU29" s="13" t="s">
        <v>184</v>
      </c>
      <c r="AV29" s="13" t="s">
        <v>184</v>
      </c>
      <c r="AW29" s="13">
        <v>2</v>
      </c>
      <c r="AX29" s="5">
        <f t="shared" ref="AX29:AX49" si="20">+AI29+AK29</f>
        <v>9008046.7700000014</v>
      </c>
    </row>
    <row r="30" spans="1:51">
      <c r="B30" s="12">
        <v>1080</v>
      </c>
      <c r="C30" s="11" t="s">
        <v>22</v>
      </c>
      <c r="D30" s="11" t="s">
        <v>69</v>
      </c>
      <c r="E30" s="25">
        <v>167</v>
      </c>
      <c r="F30" s="25">
        <v>55</v>
      </c>
      <c r="G30" s="25">
        <v>5144261.5799999991</v>
      </c>
      <c r="H30" s="25">
        <v>1187320.6100000001</v>
      </c>
      <c r="I30" s="39">
        <v>38</v>
      </c>
      <c r="J30" s="22">
        <v>903333.57000000007</v>
      </c>
      <c r="K30" s="22">
        <v>84</v>
      </c>
      <c r="L30" s="22">
        <v>2870939.8299999996</v>
      </c>
      <c r="M30" s="37">
        <v>0</v>
      </c>
      <c r="N30" s="37">
        <v>0</v>
      </c>
      <c r="O30" s="37">
        <v>0</v>
      </c>
      <c r="P30" s="37">
        <v>0</v>
      </c>
      <c r="Q30" s="29">
        <v>345.01249999999999</v>
      </c>
      <c r="R30" s="8">
        <v>147</v>
      </c>
      <c r="S30" s="8">
        <f>+VLOOKUP(B30,[1]Лист2!$A$4:$B$188,2,0)</f>
        <v>50</v>
      </c>
      <c r="T30" s="8">
        <v>7282514.0699999984</v>
      </c>
      <c r="U30" s="8">
        <f>+VLOOKUP(B30,[1]Лист2!$A$4:$C$188,3,0)</f>
        <v>3216836.1899999995</v>
      </c>
      <c r="V30" s="30">
        <f t="shared" si="3"/>
        <v>50</v>
      </c>
      <c r="W30" s="30">
        <f t="shared" si="4"/>
        <v>3216836.1899999995</v>
      </c>
      <c r="X30" s="30">
        <f t="shared" si="5"/>
        <v>147</v>
      </c>
      <c r="Y30" s="30">
        <f t="shared" si="6"/>
        <v>7282514.0699999984</v>
      </c>
      <c r="Z30" s="30">
        <v>0</v>
      </c>
      <c r="AA30" s="30">
        <v>0</v>
      </c>
      <c r="AB30" s="30">
        <v>0</v>
      </c>
      <c r="AC30" s="30">
        <v>0</v>
      </c>
      <c r="AD30" s="25">
        <v>186</v>
      </c>
      <c r="AE30" s="25">
        <v>52</v>
      </c>
      <c r="AF30" s="25">
        <v>8171521.2899999991</v>
      </c>
      <c r="AG30" s="25">
        <v>2218514.85</v>
      </c>
      <c r="AH30" s="23">
        <f t="shared" si="7"/>
        <v>52</v>
      </c>
      <c r="AI30" s="23">
        <f t="shared" si="8"/>
        <v>2218514.85</v>
      </c>
      <c r="AJ30" s="23">
        <f t="shared" si="9"/>
        <v>186</v>
      </c>
      <c r="AK30" s="23">
        <f t="shared" si="10"/>
        <v>8171521.2899999991</v>
      </c>
      <c r="AL30" s="13">
        <v>0</v>
      </c>
      <c r="AM30" s="13">
        <v>0</v>
      </c>
      <c r="AN30" s="13">
        <v>0</v>
      </c>
      <c r="AO30" s="13">
        <v>0</v>
      </c>
      <c r="AP30" s="26">
        <v>331.11327999999997</v>
      </c>
      <c r="AQ30" s="42" t="s">
        <v>196</v>
      </c>
      <c r="AR30" s="14">
        <f t="shared" ref="AR30:AR34" si="21">+AX30/$AX$28</f>
        <v>0.21276828911040338</v>
      </c>
      <c r="AS30" s="25">
        <v>391470.66666666669</v>
      </c>
      <c r="AT30" s="25">
        <v>97867.666666666672</v>
      </c>
      <c r="AU30" s="13" t="s">
        <v>185</v>
      </c>
      <c r="AV30" s="13" t="s">
        <v>185</v>
      </c>
      <c r="AW30" s="13">
        <v>1</v>
      </c>
      <c r="AX30" s="5">
        <f t="shared" si="20"/>
        <v>10390036.139999999</v>
      </c>
    </row>
    <row r="31" spans="1:51">
      <c r="B31" s="12">
        <v>1130</v>
      </c>
      <c r="C31" s="11" t="s">
        <v>16</v>
      </c>
      <c r="D31" s="11" t="s">
        <v>76</v>
      </c>
      <c r="E31" s="25">
        <v>19</v>
      </c>
      <c r="F31" s="25">
        <v>6</v>
      </c>
      <c r="G31" s="25">
        <v>319698.75</v>
      </c>
      <c r="H31" s="25">
        <v>117586.61</v>
      </c>
      <c r="I31" s="39">
        <v>2</v>
      </c>
      <c r="J31" s="22">
        <v>42312</v>
      </c>
      <c r="K31" s="22">
        <v>16</v>
      </c>
      <c r="L31" s="22">
        <v>254198.75</v>
      </c>
      <c r="M31" s="37">
        <v>0</v>
      </c>
      <c r="N31" s="37">
        <v>0</v>
      </c>
      <c r="O31" s="37">
        <v>0</v>
      </c>
      <c r="P31" s="37">
        <v>0</v>
      </c>
      <c r="Q31" s="29">
        <v>3646.1080199999992</v>
      </c>
      <c r="R31" s="8">
        <v>54</v>
      </c>
      <c r="S31" s="8">
        <f>+VLOOKUP(B31,[1]Лист2!$A$4:$B$188,2,0)</f>
        <v>11</v>
      </c>
      <c r="T31" s="8">
        <v>2834041.2899999996</v>
      </c>
      <c r="U31" s="8">
        <f>+VLOOKUP(B31,[1]Лист2!$A$4:$C$188,3,0)</f>
        <v>1492716.63</v>
      </c>
      <c r="V31" s="30">
        <f t="shared" si="3"/>
        <v>11</v>
      </c>
      <c r="W31" s="30">
        <f t="shared" si="4"/>
        <v>1492716.63</v>
      </c>
      <c r="X31" s="30">
        <f t="shared" si="5"/>
        <v>54</v>
      </c>
      <c r="Y31" s="30">
        <f t="shared" si="6"/>
        <v>2834041.2899999996</v>
      </c>
      <c r="Z31" s="30">
        <v>0</v>
      </c>
      <c r="AA31" s="30">
        <v>0</v>
      </c>
      <c r="AB31" s="30">
        <v>0</v>
      </c>
      <c r="AC31" s="30">
        <v>0</v>
      </c>
      <c r="AD31" s="25">
        <v>45</v>
      </c>
      <c r="AE31" s="25">
        <v>11</v>
      </c>
      <c r="AF31" s="25">
        <v>1430822.5299999998</v>
      </c>
      <c r="AG31" s="25">
        <v>766822.55</v>
      </c>
      <c r="AH31" s="23">
        <f t="shared" si="7"/>
        <v>11</v>
      </c>
      <c r="AI31" s="23">
        <f t="shared" si="8"/>
        <v>766822.55</v>
      </c>
      <c r="AJ31" s="23">
        <f t="shared" si="9"/>
        <v>45</v>
      </c>
      <c r="AK31" s="23">
        <f t="shared" si="10"/>
        <v>1430822.5299999998</v>
      </c>
      <c r="AL31" s="13">
        <v>0</v>
      </c>
      <c r="AM31" s="13">
        <v>0</v>
      </c>
      <c r="AN31" s="13">
        <v>0</v>
      </c>
      <c r="AO31" s="13">
        <v>0</v>
      </c>
      <c r="AP31" s="26">
        <v>3707.5004599999993</v>
      </c>
      <c r="AQ31" s="42" t="s">
        <v>198</v>
      </c>
      <c r="AR31" s="14">
        <f t="shared" si="21"/>
        <v>4.5003614755809274E-2</v>
      </c>
      <c r="AS31" s="25">
        <v>27754.107373333336</v>
      </c>
      <c r="AT31" s="25">
        <v>31256.059186666665</v>
      </c>
      <c r="AU31" s="13" t="s">
        <v>184</v>
      </c>
      <c r="AV31" s="13" t="s">
        <v>184</v>
      </c>
      <c r="AW31" s="8">
        <v>2</v>
      </c>
      <c r="AX31" s="5">
        <f t="shared" si="20"/>
        <v>2197645.08</v>
      </c>
    </row>
    <row r="32" spans="1:51">
      <c r="B32" s="12">
        <v>11291</v>
      </c>
      <c r="C32" s="11" t="s">
        <v>21</v>
      </c>
      <c r="D32" s="11" t="s">
        <v>113</v>
      </c>
      <c r="E32" s="25">
        <v>127</v>
      </c>
      <c r="F32" s="25">
        <v>16</v>
      </c>
      <c r="G32" s="25">
        <v>3797021.58</v>
      </c>
      <c r="H32" s="25">
        <v>890187.23</v>
      </c>
      <c r="I32" s="39">
        <v>16</v>
      </c>
      <c r="J32" s="22">
        <v>890187.23</v>
      </c>
      <c r="K32" s="22">
        <v>127</v>
      </c>
      <c r="L32" s="22">
        <v>3797021.58</v>
      </c>
      <c r="M32" s="37">
        <v>0</v>
      </c>
      <c r="N32" s="37">
        <v>0</v>
      </c>
      <c r="O32" s="37">
        <v>0</v>
      </c>
      <c r="P32" s="37">
        <v>0</v>
      </c>
      <c r="Q32" s="29">
        <v>0</v>
      </c>
      <c r="R32" s="8">
        <v>172</v>
      </c>
      <c r="S32" s="8">
        <f>+VLOOKUP(B32,[1]Лист2!$A$4:$B$188,2,0)</f>
        <v>47</v>
      </c>
      <c r="T32" s="8">
        <v>7047594.8900000015</v>
      </c>
      <c r="U32" s="8">
        <f>+VLOOKUP(B32,[1]Лист2!$A$4:$C$188,3,0)</f>
        <v>811033.88000000012</v>
      </c>
      <c r="V32" s="30">
        <f t="shared" si="3"/>
        <v>47</v>
      </c>
      <c r="W32" s="30">
        <f t="shared" si="4"/>
        <v>811033.88000000012</v>
      </c>
      <c r="X32" s="30">
        <f t="shared" si="5"/>
        <v>172</v>
      </c>
      <c r="Y32" s="30">
        <f t="shared" si="6"/>
        <v>7047594.8900000015</v>
      </c>
      <c r="Z32" s="30">
        <v>0</v>
      </c>
      <c r="AA32" s="30">
        <v>0</v>
      </c>
      <c r="AB32" s="30">
        <v>0</v>
      </c>
      <c r="AC32" s="30">
        <v>0</v>
      </c>
      <c r="AD32" s="25">
        <v>148</v>
      </c>
      <c r="AE32" s="25">
        <v>80</v>
      </c>
      <c r="AF32" s="25">
        <v>9022267.0599999987</v>
      </c>
      <c r="AG32" s="25">
        <v>5333256.76</v>
      </c>
      <c r="AH32" s="23">
        <f t="shared" si="7"/>
        <v>80</v>
      </c>
      <c r="AI32" s="23">
        <f t="shared" si="8"/>
        <v>5333256.76</v>
      </c>
      <c r="AJ32" s="23">
        <f t="shared" si="9"/>
        <v>148</v>
      </c>
      <c r="AK32" s="23">
        <f t="shared" si="10"/>
        <v>9022267.0599999987</v>
      </c>
      <c r="AL32" s="13">
        <v>0</v>
      </c>
      <c r="AM32" s="13">
        <v>0</v>
      </c>
      <c r="AN32" s="13">
        <v>0</v>
      </c>
      <c r="AO32" s="13">
        <v>0</v>
      </c>
      <c r="AP32" s="26">
        <v>960.30550000000005</v>
      </c>
      <c r="AQ32" s="35" t="s">
        <v>197</v>
      </c>
      <c r="AR32" s="14">
        <f t="shared" si="21"/>
        <v>0.29397397673200415</v>
      </c>
      <c r="AS32" s="25">
        <v>451129.33333333331</v>
      </c>
      <c r="AT32" s="25">
        <v>112782.33333333333</v>
      </c>
      <c r="AU32" s="13" t="s">
        <v>184</v>
      </c>
      <c r="AV32" s="13" t="s">
        <v>184</v>
      </c>
      <c r="AW32" s="13">
        <v>2</v>
      </c>
      <c r="AX32" s="5">
        <f t="shared" si="20"/>
        <v>14355523.819999998</v>
      </c>
    </row>
    <row r="33" spans="1:51" s="2" customFormat="1">
      <c r="B33" s="12">
        <v>11853</v>
      </c>
      <c r="C33" s="11" t="s">
        <v>35</v>
      </c>
      <c r="D33" s="11" t="s">
        <v>114</v>
      </c>
      <c r="E33" s="25">
        <v>419</v>
      </c>
      <c r="F33" s="25">
        <v>13</v>
      </c>
      <c r="G33" s="25">
        <v>17106718.369999997</v>
      </c>
      <c r="H33" s="25">
        <v>240623.46</v>
      </c>
      <c r="I33" s="39">
        <v>10</v>
      </c>
      <c r="J33" s="22">
        <v>151629.78</v>
      </c>
      <c r="K33" s="22">
        <v>335</v>
      </c>
      <c r="L33" s="22">
        <v>15004505.779999999</v>
      </c>
      <c r="M33" s="37">
        <v>0</v>
      </c>
      <c r="N33" s="37">
        <v>0</v>
      </c>
      <c r="O33" s="37">
        <v>0</v>
      </c>
      <c r="P33" s="37">
        <v>0</v>
      </c>
      <c r="Q33" s="29">
        <v>279.16266999999999</v>
      </c>
      <c r="R33" s="8">
        <v>393</v>
      </c>
      <c r="S33" s="8">
        <f>+VLOOKUP(B33,[1]Лист2!$A$4:$B$188,2,0)</f>
        <v>10</v>
      </c>
      <c r="T33" s="8">
        <v>9483793.0299999975</v>
      </c>
      <c r="U33" s="8">
        <f>+VLOOKUP(B33,[1]Лист2!$A$4:$C$188,3,0)</f>
        <v>333552.99</v>
      </c>
      <c r="V33" s="30">
        <f t="shared" si="3"/>
        <v>10</v>
      </c>
      <c r="W33" s="30">
        <f t="shared" si="4"/>
        <v>333552.99</v>
      </c>
      <c r="X33" s="30">
        <f t="shared" si="5"/>
        <v>393</v>
      </c>
      <c r="Y33" s="30">
        <f t="shared" si="6"/>
        <v>9483793.0299999975</v>
      </c>
      <c r="Z33" s="30">
        <v>0</v>
      </c>
      <c r="AA33" s="30">
        <v>0</v>
      </c>
      <c r="AB33" s="30">
        <v>0</v>
      </c>
      <c r="AC33" s="30">
        <v>0</v>
      </c>
      <c r="AD33" s="25">
        <v>679</v>
      </c>
      <c r="AE33" s="25">
        <v>2</v>
      </c>
      <c r="AF33" s="25">
        <v>12693158.999999998</v>
      </c>
      <c r="AG33" s="25">
        <v>11822.4</v>
      </c>
      <c r="AH33" s="23">
        <f t="shared" si="7"/>
        <v>2</v>
      </c>
      <c r="AI33" s="23">
        <f t="shared" si="8"/>
        <v>11822.4</v>
      </c>
      <c r="AJ33" s="23">
        <f t="shared" si="9"/>
        <v>679</v>
      </c>
      <c r="AK33" s="23">
        <f t="shared" si="10"/>
        <v>12693158.999999998</v>
      </c>
      <c r="AL33" s="13">
        <v>0</v>
      </c>
      <c r="AM33" s="13">
        <v>0</v>
      </c>
      <c r="AN33" s="13">
        <v>0</v>
      </c>
      <c r="AO33" s="13">
        <v>0</v>
      </c>
      <c r="AP33" s="26">
        <v>2498.8372400000007</v>
      </c>
      <c r="AQ33" s="35" t="s">
        <v>197</v>
      </c>
      <c r="AR33" s="14">
        <f t="shared" si="21"/>
        <v>0.26017398969870159</v>
      </c>
      <c r="AS33" s="25">
        <v>262029.33333333334</v>
      </c>
      <c r="AT33" s="25">
        <v>65507.333333333336</v>
      </c>
      <c r="AU33" s="13" t="s">
        <v>184</v>
      </c>
      <c r="AV33" s="13" t="s">
        <v>185</v>
      </c>
      <c r="AW33" s="13">
        <v>1</v>
      </c>
      <c r="AX33" s="5">
        <f t="shared" si="20"/>
        <v>12704981.399999999</v>
      </c>
    </row>
    <row r="34" spans="1:51">
      <c r="B34" s="12">
        <v>11579</v>
      </c>
      <c r="C34" s="11" t="s">
        <v>18</v>
      </c>
      <c r="D34" s="11" t="s">
        <v>97</v>
      </c>
      <c r="E34" s="25">
        <v>8</v>
      </c>
      <c r="F34" s="25">
        <v>7</v>
      </c>
      <c r="G34" s="25">
        <v>213179.18</v>
      </c>
      <c r="H34" s="25">
        <v>48096.160000000003</v>
      </c>
      <c r="I34" s="39">
        <v>5</v>
      </c>
      <c r="J34" s="22">
        <v>34838.78</v>
      </c>
      <c r="K34" s="22">
        <v>3</v>
      </c>
      <c r="L34" s="22">
        <v>108800</v>
      </c>
      <c r="M34" s="37">
        <v>0</v>
      </c>
      <c r="N34" s="37">
        <v>0</v>
      </c>
      <c r="O34" s="37">
        <v>0</v>
      </c>
      <c r="P34" s="37">
        <v>0</v>
      </c>
      <c r="Q34" s="29">
        <v>1080.9696300000001</v>
      </c>
      <c r="R34" s="8">
        <v>3</v>
      </c>
      <c r="S34" s="8"/>
      <c r="T34" s="8">
        <v>149600</v>
      </c>
      <c r="U34" s="8"/>
      <c r="V34" s="30">
        <f t="shared" si="3"/>
        <v>0</v>
      </c>
      <c r="W34" s="30">
        <f t="shared" si="4"/>
        <v>0</v>
      </c>
      <c r="X34" s="30">
        <f t="shared" si="5"/>
        <v>3</v>
      </c>
      <c r="Y34" s="30">
        <f t="shared" si="6"/>
        <v>149600</v>
      </c>
      <c r="Z34" s="30">
        <f>((+S34)/3)*4</f>
        <v>0</v>
      </c>
      <c r="AA34" s="30">
        <f>((+U34)/3)*4</f>
        <v>0</v>
      </c>
      <c r="AB34" s="30">
        <v>0</v>
      </c>
      <c r="AC34" s="30">
        <v>0</v>
      </c>
      <c r="AD34" s="25">
        <v>3</v>
      </c>
      <c r="AE34" s="25">
        <v>0</v>
      </c>
      <c r="AF34" s="25">
        <v>176401.5</v>
      </c>
      <c r="AG34" s="25">
        <v>0</v>
      </c>
      <c r="AH34" s="23">
        <f t="shared" si="7"/>
        <v>0</v>
      </c>
      <c r="AI34" s="23">
        <f t="shared" si="8"/>
        <v>0</v>
      </c>
      <c r="AJ34" s="23">
        <f t="shared" si="9"/>
        <v>3</v>
      </c>
      <c r="AK34" s="23">
        <f t="shared" si="10"/>
        <v>176401.5</v>
      </c>
      <c r="AL34" s="13">
        <v>0</v>
      </c>
      <c r="AM34" s="13">
        <v>0</v>
      </c>
      <c r="AN34" s="13">
        <v>0</v>
      </c>
      <c r="AO34" s="13">
        <v>0</v>
      </c>
      <c r="AP34" s="26">
        <v>224.64192</v>
      </c>
      <c r="AQ34" s="35" t="s">
        <v>199</v>
      </c>
      <c r="AR34" s="14">
        <f t="shared" si="21"/>
        <v>3.6123690857064548E-3</v>
      </c>
      <c r="AS34" s="25">
        <v>0</v>
      </c>
      <c r="AT34" s="25">
        <v>0</v>
      </c>
      <c r="AU34" s="13" t="s">
        <v>184</v>
      </c>
      <c r="AV34" s="13" t="s">
        <v>184</v>
      </c>
      <c r="AW34" s="13">
        <v>2</v>
      </c>
      <c r="AX34" s="5">
        <f t="shared" si="20"/>
        <v>176401.5</v>
      </c>
    </row>
    <row r="35" spans="1:51" s="6" customFormat="1" ht="38.25" customHeight="1">
      <c r="A35" s="2" t="s">
        <v>49</v>
      </c>
      <c r="C35" s="5" t="s">
        <v>49</v>
      </c>
      <c r="D35" s="5"/>
      <c r="E35" s="5">
        <f>+SUM(E36:E38)</f>
        <v>177</v>
      </c>
      <c r="F35" s="5">
        <f t="shared" ref="F35:AW35" si="22">+SUM(F36:F38)</f>
        <v>205</v>
      </c>
      <c r="G35" s="5">
        <f t="shared" si="22"/>
        <v>5871250.8299999991</v>
      </c>
      <c r="H35" s="5">
        <f t="shared" si="22"/>
        <v>19816751.350000001</v>
      </c>
      <c r="I35" s="5">
        <f t="shared" si="22"/>
        <v>140</v>
      </c>
      <c r="J35" s="5">
        <f t="shared" si="22"/>
        <v>14115374.290000001</v>
      </c>
      <c r="K35" s="5">
        <f t="shared" si="22"/>
        <v>97</v>
      </c>
      <c r="L35" s="5">
        <f t="shared" si="22"/>
        <v>2387557.6399999997</v>
      </c>
      <c r="M35" s="5">
        <f t="shared" si="22"/>
        <v>0</v>
      </c>
      <c r="N35" s="5">
        <f t="shared" si="22"/>
        <v>0</v>
      </c>
      <c r="O35" s="5">
        <f t="shared" si="22"/>
        <v>0</v>
      </c>
      <c r="P35" s="5">
        <f t="shared" si="22"/>
        <v>0</v>
      </c>
      <c r="Q35" s="5">
        <f t="shared" si="22"/>
        <v>10066.235000000001</v>
      </c>
      <c r="R35" s="5">
        <f t="shared" si="22"/>
        <v>118</v>
      </c>
      <c r="S35" s="5">
        <f t="shared" si="22"/>
        <v>148</v>
      </c>
      <c r="T35" s="5">
        <f t="shared" si="22"/>
        <v>2516913.88</v>
      </c>
      <c r="U35" s="5">
        <f t="shared" si="22"/>
        <v>10898300.690000001</v>
      </c>
      <c r="V35" s="5">
        <f t="shared" si="22"/>
        <v>148</v>
      </c>
      <c r="W35" s="5">
        <f t="shared" si="22"/>
        <v>10898300.690000001</v>
      </c>
      <c r="X35" s="5">
        <f t="shared" si="22"/>
        <v>118</v>
      </c>
      <c r="Y35" s="5">
        <f t="shared" si="22"/>
        <v>2516913.88</v>
      </c>
      <c r="Z35" s="5">
        <f t="shared" si="22"/>
        <v>0</v>
      </c>
      <c r="AA35" s="5">
        <f t="shared" si="22"/>
        <v>0</v>
      </c>
      <c r="AB35" s="5">
        <f t="shared" si="22"/>
        <v>0</v>
      </c>
      <c r="AC35" s="5">
        <f t="shared" si="22"/>
        <v>0</v>
      </c>
      <c r="AD35" s="5">
        <f t="shared" si="22"/>
        <v>137</v>
      </c>
      <c r="AE35" s="5">
        <f t="shared" si="22"/>
        <v>189</v>
      </c>
      <c r="AF35" s="5">
        <f t="shared" si="22"/>
        <v>3964434.17</v>
      </c>
      <c r="AG35" s="5">
        <f t="shared" si="22"/>
        <v>12309342.279999997</v>
      </c>
      <c r="AH35" s="5">
        <f t="shared" si="22"/>
        <v>189</v>
      </c>
      <c r="AI35" s="5">
        <f t="shared" si="22"/>
        <v>12309342.279999997</v>
      </c>
      <c r="AJ35" s="5">
        <f t="shared" si="22"/>
        <v>137</v>
      </c>
      <c r="AK35" s="5">
        <f t="shared" si="22"/>
        <v>3964434.17</v>
      </c>
      <c r="AL35" s="5">
        <f t="shared" si="22"/>
        <v>0</v>
      </c>
      <c r="AM35" s="5">
        <f t="shared" si="22"/>
        <v>0</v>
      </c>
      <c r="AN35" s="5">
        <f t="shared" si="22"/>
        <v>0</v>
      </c>
      <c r="AO35" s="5">
        <f t="shared" si="22"/>
        <v>0</v>
      </c>
      <c r="AP35" s="5">
        <f t="shared" si="22"/>
        <v>13998.910460000003</v>
      </c>
      <c r="AQ35" s="5" t="s">
        <v>198</v>
      </c>
      <c r="AR35" s="5">
        <f t="shared" si="22"/>
        <v>1.0000000000000002</v>
      </c>
      <c r="AS35" s="5">
        <f t="shared" si="22"/>
        <v>255719.02666666664</v>
      </c>
      <c r="AT35" s="5">
        <f t="shared" si="22"/>
        <v>63929.756666666661</v>
      </c>
      <c r="AU35" s="5"/>
      <c r="AV35" s="5"/>
      <c r="AW35" s="5">
        <f t="shared" si="22"/>
        <v>5</v>
      </c>
      <c r="AX35" s="5">
        <f>+AI35+AK35+AM35+AO35</f>
        <v>16273776.449999997</v>
      </c>
      <c r="AY35" s="43">
        <f>+AX35/$AX$6</f>
        <v>2.5072552384625881E-2</v>
      </c>
    </row>
    <row r="36" spans="1:51">
      <c r="B36" s="12">
        <v>1056</v>
      </c>
      <c r="C36" s="11" t="s">
        <v>22</v>
      </c>
      <c r="D36" s="11" t="s">
        <v>115</v>
      </c>
      <c r="E36" s="25">
        <v>159</v>
      </c>
      <c r="F36" s="25">
        <v>192</v>
      </c>
      <c r="G36" s="25">
        <v>5404388.5499999989</v>
      </c>
      <c r="H36" s="25">
        <v>19227676.34</v>
      </c>
      <c r="I36" s="39">
        <v>129</v>
      </c>
      <c r="J36" s="22">
        <v>13736299.280000001</v>
      </c>
      <c r="K36" s="22">
        <v>87</v>
      </c>
      <c r="L36" s="22">
        <v>2059412.9599999997</v>
      </c>
      <c r="M36" s="37">
        <v>0</v>
      </c>
      <c r="N36" s="37">
        <v>0</v>
      </c>
      <c r="O36" s="37">
        <v>0</v>
      </c>
      <c r="P36" s="37">
        <v>0</v>
      </c>
      <c r="Q36" s="29">
        <v>8315.4250700000011</v>
      </c>
      <c r="R36" s="8">
        <v>96</v>
      </c>
      <c r="S36" s="8">
        <f>+VLOOKUP(B36,[1]Лист2!$A$4:$B$188,2,0)</f>
        <v>138</v>
      </c>
      <c r="T36" s="8">
        <v>1333145.47</v>
      </c>
      <c r="U36" s="8">
        <f>+VLOOKUP(B36,[1]Лист2!$A$4:$C$188,3,0)</f>
        <v>10797419.330000002</v>
      </c>
      <c r="V36" s="30">
        <f t="shared" si="3"/>
        <v>138</v>
      </c>
      <c r="W36" s="30">
        <f t="shared" si="4"/>
        <v>10797419.330000002</v>
      </c>
      <c r="X36" s="30">
        <f t="shared" si="5"/>
        <v>96</v>
      </c>
      <c r="Y36" s="30">
        <f t="shared" si="6"/>
        <v>1333145.47</v>
      </c>
      <c r="Z36" s="30">
        <v>0</v>
      </c>
      <c r="AA36" s="30">
        <v>0</v>
      </c>
      <c r="AB36" s="30">
        <v>0</v>
      </c>
      <c r="AC36" s="30">
        <v>0</v>
      </c>
      <c r="AD36" s="25">
        <v>104</v>
      </c>
      <c r="AE36" s="25">
        <v>179</v>
      </c>
      <c r="AF36" s="25">
        <v>2900235.04</v>
      </c>
      <c r="AG36" s="25">
        <v>12102515.659999998</v>
      </c>
      <c r="AH36" s="23">
        <f t="shared" si="7"/>
        <v>179</v>
      </c>
      <c r="AI36" s="23">
        <f t="shared" si="8"/>
        <v>12102515.659999998</v>
      </c>
      <c r="AJ36" s="23">
        <f t="shared" si="9"/>
        <v>104</v>
      </c>
      <c r="AK36" s="23">
        <f t="shared" si="10"/>
        <v>2900235.04</v>
      </c>
      <c r="AL36" s="13">
        <v>0</v>
      </c>
      <c r="AM36" s="13">
        <v>0</v>
      </c>
      <c r="AN36" s="13">
        <v>0</v>
      </c>
      <c r="AO36" s="13">
        <v>0</v>
      </c>
      <c r="AP36" s="26">
        <v>8356.3287300000011</v>
      </c>
      <c r="AQ36" s="42" t="s">
        <v>197</v>
      </c>
      <c r="AR36" s="14">
        <f>+AX36/$AX$35</f>
        <v>0.92189730798471192</v>
      </c>
      <c r="AS36" s="25">
        <v>235083.02666666664</v>
      </c>
      <c r="AT36" s="25">
        <v>58770.756666666661</v>
      </c>
      <c r="AU36" s="13" t="s">
        <v>185</v>
      </c>
      <c r="AV36" s="13" t="s">
        <v>184</v>
      </c>
      <c r="AW36" s="13">
        <v>1</v>
      </c>
      <c r="AX36" s="5">
        <f t="shared" si="20"/>
        <v>15002750.699999999</v>
      </c>
    </row>
    <row r="37" spans="1:51" ht="30">
      <c r="B37" s="12">
        <v>11202</v>
      </c>
      <c r="C37" s="11" t="s">
        <v>19</v>
      </c>
      <c r="D37" s="11" t="s">
        <v>82</v>
      </c>
      <c r="E37" s="25">
        <v>18</v>
      </c>
      <c r="F37" s="25">
        <v>13</v>
      </c>
      <c r="G37" s="25">
        <v>466862.28</v>
      </c>
      <c r="H37" s="25">
        <v>589075.01</v>
      </c>
      <c r="I37" s="39">
        <v>11</v>
      </c>
      <c r="J37" s="22">
        <v>379075.01</v>
      </c>
      <c r="K37" s="22">
        <v>10</v>
      </c>
      <c r="L37" s="22">
        <v>328144.68</v>
      </c>
      <c r="M37" s="37">
        <v>0</v>
      </c>
      <c r="N37" s="37">
        <v>0</v>
      </c>
      <c r="O37" s="37">
        <v>0</v>
      </c>
      <c r="P37" s="37">
        <v>0</v>
      </c>
      <c r="Q37" s="29">
        <v>809.2098400000001</v>
      </c>
      <c r="R37" s="8">
        <v>11</v>
      </c>
      <c r="S37" s="8">
        <f>+VLOOKUP(B37,[1]Лист2!$A$4:$B$188,2,0)</f>
        <v>10</v>
      </c>
      <c r="T37" s="8">
        <v>132868.46</v>
      </c>
      <c r="U37" s="8">
        <f>+VLOOKUP(B37,[1]Лист2!$A$4:$C$188,3,0)</f>
        <v>100881.36</v>
      </c>
      <c r="V37" s="30">
        <f t="shared" si="3"/>
        <v>10</v>
      </c>
      <c r="W37" s="30">
        <f t="shared" si="4"/>
        <v>100881.36</v>
      </c>
      <c r="X37" s="30">
        <f t="shared" si="5"/>
        <v>11</v>
      </c>
      <c r="Y37" s="30">
        <f t="shared" si="6"/>
        <v>132868.46</v>
      </c>
      <c r="Z37" s="30">
        <v>0</v>
      </c>
      <c r="AA37" s="30">
        <v>0</v>
      </c>
      <c r="AB37" s="30">
        <v>0</v>
      </c>
      <c r="AC37" s="30">
        <v>0</v>
      </c>
      <c r="AD37" s="25">
        <v>27</v>
      </c>
      <c r="AE37" s="25">
        <v>10</v>
      </c>
      <c r="AF37" s="25">
        <v>534136.23</v>
      </c>
      <c r="AG37" s="25">
        <v>206826.62000000002</v>
      </c>
      <c r="AH37" s="23">
        <f t="shared" si="7"/>
        <v>10</v>
      </c>
      <c r="AI37" s="23">
        <f t="shared" si="8"/>
        <v>206826.62000000002</v>
      </c>
      <c r="AJ37" s="23">
        <f t="shared" si="9"/>
        <v>27</v>
      </c>
      <c r="AK37" s="23">
        <f t="shared" si="10"/>
        <v>534136.23</v>
      </c>
      <c r="AL37" s="13">
        <v>0</v>
      </c>
      <c r="AM37" s="13">
        <v>0</v>
      </c>
      <c r="AN37" s="13">
        <v>0</v>
      </c>
      <c r="AO37" s="13">
        <v>0</v>
      </c>
      <c r="AP37" s="26">
        <v>5409.6016000000018</v>
      </c>
      <c r="AQ37" s="35" t="s">
        <v>199</v>
      </c>
      <c r="AR37" s="14">
        <f t="shared" ref="AR37:AR38" si="23">+AX37/$AX$35</f>
        <v>4.5531094290041089E-2</v>
      </c>
      <c r="AS37" s="25">
        <v>20636</v>
      </c>
      <c r="AT37" s="25">
        <v>5159</v>
      </c>
      <c r="AU37" s="13" t="s">
        <v>184</v>
      </c>
      <c r="AV37" s="13" t="s">
        <v>184</v>
      </c>
      <c r="AW37" s="13">
        <v>2</v>
      </c>
      <c r="AX37" s="5">
        <f t="shared" si="20"/>
        <v>740962.85</v>
      </c>
    </row>
    <row r="38" spans="1:51" s="2" customFormat="1">
      <c r="B38" s="12">
        <v>11490</v>
      </c>
      <c r="C38" s="11" t="s">
        <v>18</v>
      </c>
      <c r="D38" s="11" t="s">
        <v>98</v>
      </c>
      <c r="E38" s="25">
        <v>0</v>
      </c>
      <c r="F38" s="25">
        <v>0</v>
      </c>
      <c r="G38" s="25">
        <v>0</v>
      </c>
      <c r="H38" s="25">
        <v>0</v>
      </c>
      <c r="I38" s="40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29">
        <v>941.60009000000002</v>
      </c>
      <c r="R38" s="8">
        <v>11</v>
      </c>
      <c r="S38" s="8"/>
      <c r="T38" s="8">
        <v>1050899.95</v>
      </c>
      <c r="U38" s="8"/>
      <c r="V38" s="30">
        <f t="shared" si="3"/>
        <v>0</v>
      </c>
      <c r="W38" s="30">
        <f t="shared" si="4"/>
        <v>0</v>
      </c>
      <c r="X38" s="30">
        <f t="shared" si="5"/>
        <v>11</v>
      </c>
      <c r="Y38" s="30">
        <f t="shared" si="6"/>
        <v>1050899.95</v>
      </c>
      <c r="Z38" s="30">
        <f>((+S38)/3)*4</f>
        <v>0</v>
      </c>
      <c r="AA38" s="30">
        <f>((+U38)/3)*4</f>
        <v>0</v>
      </c>
      <c r="AB38" s="30">
        <v>0</v>
      </c>
      <c r="AC38" s="30">
        <v>0</v>
      </c>
      <c r="AD38" s="25">
        <v>6</v>
      </c>
      <c r="AE38" s="25">
        <v>0</v>
      </c>
      <c r="AF38" s="25">
        <v>530062.9</v>
      </c>
      <c r="AG38" s="25">
        <v>0</v>
      </c>
      <c r="AH38" s="23">
        <f t="shared" si="7"/>
        <v>0</v>
      </c>
      <c r="AI38" s="23">
        <f t="shared" si="8"/>
        <v>0</v>
      </c>
      <c r="AJ38" s="23">
        <f t="shared" si="9"/>
        <v>6</v>
      </c>
      <c r="AK38" s="23">
        <f t="shared" si="10"/>
        <v>530062.9</v>
      </c>
      <c r="AL38" s="13">
        <v>0</v>
      </c>
      <c r="AM38" s="13">
        <v>0</v>
      </c>
      <c r="AN38" s="13">
        <v>0</v>
      </c>
      <c r="AO38" s="13">
        <v>0</v>
      </c>
      <c r="AP38" s="26">
        <v>232.98013</v>
      </c>
      <c r="AQ38" s="35" t="s">
        <v>199</v>
      </c>
      <c r="AR38" s="14">
        <f t="shared" si="23"/>
        <v>3.257159772524712E-2</v>
      </c>
      <c r="AS38" s="25">
        <v>0</v>
      </c>
      <c r="AT38" s="25">
        <v>0</v>
      </c>
      <c r="AU38" s="13" t="s">
        <v>184</v>
      </c>
      <c r="AV38" s="13" t="s">
        <v>184</v>
      </c>
      <c r="AW38" s="13">
        <v>2</v>
      </c>
      <c r="AX38" s="5">
        <f>+AI38+AK38</f>
        <v>530062.9</v>
      </c>
    </row>
    <row r="39" spans="1:51" s="6" customFormat="1" ht="38.25" customHeight="1">
      <c r="A39" s="2" t="s">
        <v>50</v>
      </c>
      <c r="C39" s="5" t="s">
        <v>50</v>
      </c>
      <c r="D39" s="5"/>
      <c r="E39" s="5">
        <f>+E40</f>
        <v>1</v>
      </c>
      <c r="F39" s="5">
        <f t="shared" ref="F39:AS39" si="24">+F40</f>
        <v>0</v>
      </c>
      <c r="G39" s="5">
        <f t="shared" si="24"/>
        <v>14040</v>
      </c>
      <c r="H39" s="5">
        <f t="shared" si="24"/>
        <v>0</v>
      </c>
      <c r="I39" s="5">
        <f t="shared" si="24"/>
        <v>0</v>
      </c>
      <c r="J39" s="5">
        <f t="shared" si="24"/>
        <v>0</v>
      </c>
      <c r="K39" s="5">
        <f t="shared" si="24"/>
        <v>0</v>
      </c>
      <c r="L39" s="5">
        <f t="shared" si="24"/>
        <v>0</v>
      </c>
      <c r="M39" s="5">
        <f t="shared" si="24"/>
        <v>0</v>
      </c>
      <c r="N39" s="5">
        <f t="shared" si="24"/>
        <v>0</v>
      </c>
      <c r="O39" s="5">
        <f t="shared" si="24"/>
        <v>1</v>
      </c>
      <c r="P39" s="5">
        <f t="shared" si="24"/>
        <v>14040</v>
      </c>
      <c r="Q39" s="5">
        <f t="shared" si="24"/>
        <v>1.573</v>
      </c>
      <c r="R39" s="5">
        <f t="shared" si="24"/>
        <v>1</v>
      </c>
      <c r="S39" s="5">
        <f t="shared" si="24"/>
        <v>0</v>
      </c>
      <c r="T39" s="5">
        <f t="shared" si="24"/>
        <v>20000</v>
      </c>
      <c r="U39" s="5">
        <f t="shared" si="24"/>
        <v>0</v>
      </c>
      <c r="V39" s="5">
        <f t="shared" si="24"/>
        <v>0</v>
      </c>
      <c r="W39" s="5">
        <f t="shared" si="24"/>
        <v>0</v>
      </c>
      <c r="X39" s="5">
        <f t="shared" si="24"/>
        <v>1</v>
      </c>
      <c r="Y39" s="5">
        <f t="shared" si="24"/>
        <v>20000</v>
      </c>
      <c r="Z39" s="5">
        <f t="shared" si="24"/>
        <v>0</v>
      </c>
      <c r="AA39" s="5">
        <f t="shared" si="24"/>
        <v>0</v>
      </c>
      <c r="AB39" s="5">
        <f t="shared" si="24"/>
        <v>0</v>
      </c>
      <c r="AC39" s="5">
        <f t="shared" si="24"/>
        <v>0</v>
      </c>
      <c r="AD39" s="5">
        <f t="shared" si="24"/>
        <v>0</v>
      </c>
      <c r="AE39" s="5">
        <f t="shared" si="24"/>
        <v>0</v>
      </c>
      <c r="AF39" s="5">
        <f t="shared" si="24"/>
        <v>0</v>
      </c>
      <c r="AG39" s="5">
        <f t="shared" si="24"/>
        <v>0</v>
      </c>
      <c r="AH39" s="5">
        <f t="shared" si="24"/>
        <v>0</v>
      </c>
      <c r="AI39" s="5">
        <f t="shared" si="24"/>
        <v>0</v>
      </c>
      <c r="AJ39" s="5">
        <f t="shared" si="24"/>
        <v>0</v>
      </c>
      <c r="AK39" s="5">
        <f t="shared" si="24"/>
        <v>0</v>
      </c>
      <c r="AL39" s="5">
        <f t="shared" si="24"/>
        <v>0</v>
      </c>
      <c r="AM39" s="5">
        <f t="shared" si="24"/>
        <v>0</v>
      </c>
      <c r="AN39" s="5">
        <f t="shared" si="24"/>
        <v>0</v>
      </c>
      <c r="AO39" s="5">
        <f t="shared" si="24"/>
        <v>0</v>
      </c>
      <c r="AP39" s="5">
        <f t="shared" si="24"/>
        <v>30.139779999999998</v>
      </c>
      <c r="AQ39" s="5" t="s">
        <v>199</v>
      </c>
      <c r="AR39" s="5"/>
      <c r="AS39" s="5">
        <f t="shared" si="24"/>
        <v>0</v>
      </c>
      <c r="AT39" s="5">
        <f>+AT40</f>
        <v>0</v>
      </c>
      <c r="AU39" s="5"/>
      <c r="AV39" s="5"/>
      <c r="AW39" s="5">
        <f>+AW40</f>
        <v>2</v>
      </c>
      <c r="AX39" s="5">
        <f>+AI39+AK39+AM39+AO39</f>
        <v>0</v>
      </c>
      <c r="AY39" s="43">
        <f>+AX39/$AX$6</f>
        <v>0</v>
      </c>
    </row>
    <row r="40" spans="1:51" s="3" customFormat="1">
      <c r="A40" s="16"/>
      <c r="B40" s="12">
        <v>474</v>
      </c>
      <c r="C40" s="11" t="s">
        <v>14</v>
      </c>
      <c r="D40" s="11" t="s">
        <v>99</v>
      </c>
      <c r="E40" s="25">
        <v>1</v>
      </c>
      <c r="F40" s="25">
        <v>0</v>
      </c>
      <c r="G40" s="25">
        <v>14040</v>
      </c>
      <c r="H40" s="25">
        <v>0</v>
      </c>
      <c r="I40" s="40">
        <v>0</v>
      </c>
      <c r="J40" s="37">
        <v>0</v>
      </c>
      <c r="K40" s="37">
        <v>0</v>
      </c>
      <c r="L40" s="37">
        <v>0</v>
      </c>
      <c r="M40" s="22">
        <v>0</v>
      </c>
      <c r="N40" s="22">
        <v>0</v>
      </c>
      <c r="O40" s="22">
        <v>1</v>
      </c>
      <c r="P40" s="22">
        <v>14040</v>
      </c>
      <c r="Q40" s="29">
        <v>1.573</v>
      </c>
      <c r="R40" s="8">
        <v>1</v>
      </c>
      <c r="S40" s="8"/>
      <c r="T40" s="8">
        <v>20000</v>
      </c>
      <c r="U40" s="8"/>
      <c r="V40" s="30">
        <f t="shared" si="3"/>
        <v>0</v>
      </c>
      <c r="W40" s="30">
        <f t="shared" si="4"/>
        <v>0</v>
      </c>
      <c r="X40" s="30">
        <f t="shared" si="5"/>
        <v>1</v>
      </c>
      <c r="Y40" s="30">
        <f t="shared" si="6"/>
        <v>20000</v>
      </c>
      <c r="Z40" s="30">
        <f>((+S40)/3)*4</f>
        <v>0</v>
      </c>
      <c r="AA40" s="30">
        <f>((+U40)/3)*4</f>
        <v>0</v>
      </c>
      <c r="AB40" s="30">
        <v>0</v>
      </c>
      <c r="AC40" s="30">
        <v>0</v>
      </c>
      <c r="AD40" s="25">
        <v>0</v>
      </c>
      <c r="AE40" s="25">
        <v>0</v>
      </c>
      <c r="AF40" s="25">
        <v>0</v>
      </c>
      <c r="AG40" s="25">
        <v>0</v>
      </c>
      <c r="AH40" s="23">
        <f t="shared" si="7"/>
        <v>0</v>
      </c>
      <c r="AI40" s="23">
        <f t="shared" si="8"/>
        <v>0</v>
      </c>
      <c r="AJ40" s="23">
        <f t="shared" si="9"/>
        <v>0</v>
      </c>
      <c r="AK40" s="23">
        <f t="shared" si="10"/>
        <v>0</v>
      </c>
      <c r="AL40" s="13">
        <v>0</v>
      </c>
      <c r="AM40" s="13">
        <v>0</v>
      </c>
      <c r="AN40" s="13">
        <v>0</v>
      </c>
      <c r="AO40" s="13">
        <v>0</v>
      </c>
      <c r="AP40" s="26">
        <v>30.139779999999998</v>
      </c>
      <c r="AQ40" s="35" t="s">
        <v>199</v>
      </c>
      <c r="AR40" s="14"/>
      <c r="AS40" s="25">
        <v>0</v>
      </c>
      <c r="AT40" s="25">
        <v>0</v>
      </c>
      <c r="AU40" s="13" t="s">
        <v>184</v>
      </c>
      <c r="AV40" s="13" t="s">
        <v>184</v>
      </c>
      <c r="AW40" s="13">
        <v>2</v>
      </c>
      <c r="AX40" s="5">
        <f>+AI40+AK40</f>
        <v>0</v>
      </c>
    </row>
    <row r="41" spans="1:51" s="6" customFormat="1" ht="38.25" customHeight="1">
      <c r="A41" s="2" t="s">
        <v>51</v>
      </c>
      <c r="C41" s="5" t="s">
        <v>51</v>
      </c>
      <c r="D41" s="5"/>
      <c r="E41" s="5">
        <f t="shared" ref="E41:AP41" si="25">+SUM(E42:E49)</f>
        <v>408</v>
      </c>
      <c r="F41" s="5">
        <f t="shared" si="25"/>
        <v>399</v>
      </c>
      <c r="G41" s="5">
        <f t="shared" si="25"/>
        <v>28428307.150000006</v>
      </c>
      <c r="H41" s="5">
        <f t="shared" si="25"/>
        <v>8695745.6500000004</v>
      </c>
      <c r="I41" s="5">
        <f t="shared" si="25"/>
        <v>253</v>
      </c>
      <c r="J41" s="5">
        <f t="shared" si="25"/>
        <v>5065425.4700000007</v>
      </c>
      <c r="K41" s="5">
        <f t="shared" si="25"/>
        <v>260</v>
      </c>
      <c r="L41" s="5">
        <f t="shared" si="25"/>
        <v>14373064.600000001</v>
      </c>
      <c r="M41" s="5">
        <f t="shared" si="25"/>
        <v>0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15434.596880000003</v>
      </c>
      <c r="R41" s="5">
        <f t="shared" si="25"/>
        <v>318</v>
      </c>
      <c r="S41" s="5">
        <f t="shared" si="25"/>
        <v>199</v>
      </c>
      <c r="T41" s="5">
        <f t="shared" si="25"/>
        <v>22572275.260000002</v>
      </c>
      <c r="U41" s="5">
        <f t="shared" si="25"/>
        <v>3189595.9</v>
      </c>
      <c r="V41" s="5">
        <f t="shared" si="25"/>
        <v>199</v>
      </c>
      <c r="W41" s="5">
        <f t="shared" si="25"/>
        <v>3189595.9</v>
      </c>
      <c r="X41" s="5">
        <f t="shared" si="25"/>
        <v>318</v>
      </c>
      <c r="Y41" s="5">
        <f t="shared" si="25"/>
        <v>22572275.260000002</v>
      </c>
      <c r="Z41" s="5">
        <f t="shared" si="25"/>
        <v>0</v>
      </c>
      <c r="AA41" s="5">
        <f t="shared" si="25"/>
        <v>0</v>
      </c>
      <c r="AB41" s="5">
        <f t="shared" si="25"/>
        <v>0</v>
      </c>
      <c r="AC41" s="5">
        <f t="shared" si="25"/>
        <v>0</v>
      </c>
      <c r="AD41" s="5">
        <f t="shared" si="25"/>
        <v>388</v>
      </c>
      <c r="AE41" s="5">
        <f t="shared" si="25"/>
        <v>303</v>
      </c>
      <c r="AF41" s="5">
        <f t="shared" si="25"/>
        <v>20102175.239999998</v>
      </c>
      <c r="AG41" s="5">
        <f t="shared" si="25"/>
        <v>6748486.4199999999</v>
      </c>
      <c r="AH41" s="5">
        <f t="shared" si="25"/>
        <v>303</v>
      </c>
      <c r="AI41" s="5">
        <f t="shared" si="25"/>
        <v>6748486.4199999999</v>
      </c>
      <c r="AJ41" s="5">
        <f t="shared" si="25"/>
        <v>388</v>
      </c>
      <c r="AK41" s="5">
        <f t="shared" si="25"/>
        <v>20102175.239999998</v>
      </c>
      <c r="AL41" s="5">
        <f t="shared" si="25"/>
        <v>0</v>
      </c>
      <c r="AM41" s="5">
        <f t="shared" si="25"/>
        <v>0</v>
      </c>
      <c r="AN41" s="5">
        <f t="shared" si="25"/>
        <v>0</v>
      </c>
      <c r="AO41" s="5">
        <f t="shared" si="25"/>
        <v>0</v>
      </c>
      <c r="AP41" s="5">
        <f t="shared" si="25"/>
        <v>16200.966319999998</v>
      </c>
      <c r="AQ41" s="5" t="s">
        <v>198</v>
      </c>
      <c r="AR41" s="5"/>
      <c r="AS41" s="5">
        <f>+SUM(AS42:AS49)</f>
        <v>1002436.7442533334</v>
      </c>
      <c r="AT41" s="5">
        <f t="shared" ref="AT41:AW41" si="26">+SUM(AT42:AT49)</f>
        <v>250609.18606333333</v>
      </c>
      <c r="AU41" s="5"/>
      <c r="AV41" s="5"/>
      <c r="AW41" s="5">
        <f t="shared" si="26"/>
        <v>15</v>
      </c>
      <c r="AX41" s="5">
        <f>+AI41+AK41+AM41+AO41</f>
        <v>26850661.659999996</v>
      </c>
      <c r="AY41" s="43">
        <f>+AX41/$AX$6</f>
        <v>4.1368063712846181E-2</v>
      </c>
    </row>
    <row r="42" spans="1:51">
      <c r="B42" s="12">
        <v>475</v>
      </c>
      <c r="C42" s="11" t="s">
        <v>14</v>
      </c>
      <c r="D42" s="11" t="s">
        <v>182</v>
      </c>
      <c r="E42" s="25">
        <v>28</v>
      </c>
      <c r="F42" s="25">
        <v>13</v>
      </c>
      <c r="G42" s="25">
        <v>5922213.7600000007</v>
      </c>
      <c r="H42" s="25">
        <v>401536.81999999995</v>
      </c>
      <c r="I42" s="39">
        <v>10</v>
      </c>
      <c r="J42" s="22">
        <v>371673.44999999995</v>
      </c>
      <c r="K42" s="22">
        <v>20</v>
      </c>
      <c r="L42" s="22">
        <v>4437933.0200000005</v>
      </c>
      <c r="M42" s="37">
        <v>0</v>
      </c>
      <c r="N42" s="37">
        <v>0</v>
      </c>
      <c r="O42" s="37">
        <v>0</v>
      </c>
      <c r="P42" s="37">
        <v>0</v>
      </c>
      <c r="Q42" s="29">
        <v>11728.970150000001</v>
      </c>
      <c r="R42" s="8">
        <v>10</v>
      </c>
      <c r="S42" s="8">
        <f>+VLOOKUP(B42,[1]Лист2!$A$4:$B$188,2,0)</f>
        <v>3</v>
      </c>
      <c r="T42" s="8">
        <v>786195.02</v>
      </c>
      <c r="U42" s="8">
        <f>+VLOOKUP(B42,[1]Лист2!$A$4:$C$188,3,0)</f>
        <v>89088.13</v>
      </c>
      <c r="V42" s="30">
        <f t="shared" si="3"/>
        <v>3</v>
      </c>
      <c r="W42" s="30">
        <f t="shared" si="4"/>
        <v>89088.13</v>
      </c>
      <c r="X42" s="30">
        <f t="shared" si="5"/>
        <v>10</v>
      </c>
      <c r="Y42" s="30">
        <f t="shared" si="6"/>
        <v>786195.02</v>
      </c>
      <c r="Z42" s="30">
        <v>0</v>
      </c>
      <c r="AA42" s="30">
        <v>0</v>
      </c>
      <c r="AB42" s="30">
        <v>0</v>
      </c>
      <c r="AC42" s="30">
        <v>0</v>
      </c>
      <c r="AD42" s="25">
        <v>2</v>
      </c>
      <c r="AE42" s="25">
        <v>7</v>
      </c>
      <c r="AF42" s="25">
        <v>59500</v>
      </c>
      <c r="AG42" s="25">
        <v>618915.71</v>
      </c>
      <c r="AH42" s="23">
        <f t="shared" si="7"/>
        <v>7</v>
      </c>
      <c r="AI42" s="23">
        <f t="shared" si="8"/>
        <v>618915.71</v>
      </c>
      <c r="AJ42" s="23">
        <f t="shared" si="9"/>
        <v>2</v>
      </c>
      <c r="AK42" s="23">
        <f t="shared" si="10"/>
        <v>59500</v>
      </c>
      <c r="AL42" s="13">
        <v>0</v>
      </c>
      <c r="AM42" s="13">
        <v>0</v>
      </c>
      <c r="AN42" s="13">
        <v>0</v>
      </c>
      <c r="AO42" s="13">
        <v>0</v>
      </c>
      <c r="AP42" s="26">
        <v>10966.834459999998</v>
      </c>
      <c r="AQ42" s="35" t="s">
        <v>196</v>
      </c>
      <c r="AR42" s="14">
        <f>+AX42/$AX$41</f>
        <v>2.5266256697526763E-2</v>
      </c>
      <c r="AS42" s="25">
        <v>11480</v>
      </c>
      <c r="AT42" s="25">
        <v>2870</v>
      </c>
      <c r="AU42" s="13" t="s">
        <v>184</v>
      </c>
      <c r="AV42" s="13" t="s">
        <v>184</v>
      </c>
      <c r="AW42" s="8">
        <v>2</v>
      </c>
      <c r="AX42" s="5">
        <f>+AI42+AK42</f>
        <v>678415.71</v>
      </c>
    </row>
    <row r="43" spans="1:51">
      <c r="B43" s="12">
        <v>10729</v>
      </c>
      <c r="C43" s="11" t="s">
        <v>31</v>
      </c>
      <c r="D43" s="11" t="s">
        <v>116</v>
      </c>
      <c r="E43" s="25">
        <v>7</v>
      </c>
      <c r="F43" s="25">
        <v>4</v>
      </c>
      <c r="G43" s="25">
        <v>239295</v>
      </c>
      <c r="H43" s="25">
        <v>35400</v>
      </c>
      <c r="I43" s="39">
        <v>4</v>
      </c>
      <c r="J43" s="22">
        <v>35400</v>
      </c>
      <c r="K43" s="22">
        <v>3</v>
      </c>
      <c r="L43" s="22">
        <v>114250</v>
      </c>
      <c r="M43" s="37">
        <v>0</v>
      </c>
      <c r="N43" s="37">
        <v>0</v>
      </c>
      <c r="O43" s="37">
        <v>0</v>
      </c>
      <c r="P43" s="37">
        <v>0</v>
      </c>
      <c r="Q43" s="29">
        <v>0</v>
      </c>
      <c r="R43" s="8">
        <v>5</v>
      </c>
      <c r="S43" s="8">
        <f>+VLOOKUP(B43,[1]Лист2!$A$4:$B$188,2,0)</f>
        <v>2</v>
      </c>
      <c r="T43" s="8">
        <v>54571.92</v>
      </c>
      <c r="U43" s="8">
        <f>+VLOOKUP(B43,[1]Лист2!$A$4:$C$188,3,0)</f>
        <v>65425</v>
      </c>
      <c r="V43" s="30">
        <f t="shared" si="3"/>
        <v>2</v>
      </c>
      <c r="W43" s="30">
        <f t="shared" si="4"/>
        <v>65425</v>
      </c>
      <c r="X43" s="30">
        <f t="shared" si="5"/>
        <v>5</v>
      </c>
      <c r="Y43" s="30">
        <f t="shared" si="6"/>
        <v>54571.92</v>
      </c>
      <c r="Z43" s="30">
        <v>0</v>
      </c>
      <c r="AA43" s="30">
        <v>0</v>
      </c>
      <c r="AB43" s="30">
        <v>0</v>
      </c>
      <c r="AC43" s="30">
        <v>0</v>
      </c>
      <c r="AD43" s="25">
        <v>2</v>
      </c>
      <c r="AE43" s="25">
        <v>1</v>
      </c>
      <c r="AF43" s="25">
        <v>44160</v>
      </c>
      <c r="AG43" s="25">
        <v>11661.57</v>
      </c>
      <c r="AH43" s="23">
        <f t="shared" si="7"/>
        <v>1</v>
      </c>
      <c r="AI43" s="23">
        <f t="shared" si="8"/>
        <v>11661.57</v>
      </c>
      <c r="AJ43" s="23">
        <f t="shared" si="9"/>
        <v>2</v>
      </c>
      <c r="AK43" s="23">
        <f t="shared" si="10"/>
        <v>44160</v>
      </c>
      <c r="AL43" s="13">
        <v>0</v>
      </c>
      <c r="AM43" s="13">
        <v>0</v>
      </c>
      <c r="AN43" s="13">
        <v>0</v>
      </c>
      <c r="AO43" s="13">
        <v>0</v>
      </c>
      <c r="AP43" s="26">
        <v>552.63402999999994</v>
      </c>
      <c r="AQ43" s="35" t="s">
        <v>199</v>
      </c>
      <c r="AR43" s="14">
        <f t="shared" ref="AR43:AR49" si="27">+AX43/$AX$41</f>
        <v>2.0789644108904245E-3</v>
      </c>
      <c r="AS43" s="25">
        <v>43126.666666666664</v>
      </c>
      <c r="AT43" s="25">
        <v>10781.666666666666</v>
      </c>
      <c r="AU43" s="13" t="s">
        <v>184</v>
      </c>
      <c r="AV43" s="13" t="s">
        <v>184</v>
      </c>
      <c r="AW43" s="13">
        <v>2</v>
      </c>
      <c r="AX43" s="5">
        <f>+AI43+AK43</f>
        <v>55821.57</v>
      </c>
    </row>
    <row r="44" spans="1:51">
      <c r="B44" s="12">
        <v>12008</v>
      </c>
      <c r="C44" s="11" t="s">
        <v>26</v>
      </c>
      <c r="D44" s="11" t="s">
        <v>70</v>
      </c>
      <c r="E44" s="25">
        <v>152</v>
      </c>
      <c r="F44" s="25">
        <v>66</v>
      </c>
      <c r="G44" s="25">
        <v>6635786.0899999999</v>
      </c>
      <c r="H44" s="25">
        <v>2373795.5500000003</v>
      </c>
      <c r="I44" s="39">
        <v>42</v>
      </c>
      <c r="J44" s="22">
        <v>1678153.82</v>
      </c>
      <c r="K44" s="22">
        <v>84</v>
      </c>
      <c r="L44" s="22">
        <v>2877274.709999999</v>
      </c>
      <c r="M44" s="37">
        <v>0</v>
      </c>
      <c r="N44" s="37">
        <v>0</v>
      </c>
      <c r="O44" s="37">
        <v>0</v>
      </c>
      <c r="P44" s="37">
        <v>0</v>
      </c>
      <c r="Q44" s="29">
        <v>216.51929999999999</v>
      </c>
      <c r="R44" s="8">
        <v>101</v>
      </c>
      <c r="S44" s="8">
        <f>+VLOOKUP(B44,[1]Лист2!$A$4:$B$188,2,0)</f>
        <v>24</v>
      </c>
      <c r="T44" s="8">
        <v>5153119.67</v>
      </c>
      <c r="U44" s="8">
        <f>+VLOOKUP(B44,[1]Лист2!$A$4:$C$188,3,0)</f>
        <v>1079647.46</v>
      </c>
      <c r="V44" s="30">
        <f t="shared" si="3"/>
        <v>24</v>
      </c>
      <c r="W44" s="30">
        <f t="shared" si="4"/>
        <v>1079647.46</v>
      </c>
      <c r="X44" s="30">
        <f t="shared" si="5"/>
        <v>101</v>
      </c>
      <c r="Y44" s="30">
        <f t="shared" si="6"/>
        <v>5153119.67</v>
      </c>
      <c r="Z44" s="30">
        <v>0</v>
      </c>
      <c r="AA44" s="30">
        <v>0</v>
      </c>
      <c r="AB44" s="30">
        <v>0</v>
      </c>
      <c r="AC44" s="30">
        <v>0</v>
      </c>
      <c r="AD44" s="25">
        <v>107</v>
      </c>
      <c r="AE44" s="25">
        <v>27</v>
      </c>
      <c r="AF44" s="25">
        <v>4642105.01</v>
      </c>
      <c r="AG44" s="25">
        <v>1178684.6000000001</v>
      </c>
      <c r="AH44" s="23">
        <f t="shared" si="7"/>
        <v>27</v>
      </c>
      <c r="AI44" s="23">
        <f t="shared" si="8"/>
        <v>1178684.6000000001</v>
      </c>
      <c r="AJ44" s="23">
        <f t="shared" si="9"/>
        <v>107</v>
      </c>
      <c r="AK44" s="23">
        <f t="shared" si="10"/>
        <v>4642105.01</v>
      </c>
      <c r="AL44" s="13">
        <v>0</v>
      </c>
      <c r="AM44" s="13">
        <v>0</v>
      </c>
      <c r="AN44" s="13">
        <v>0</v>
      </c>
      <c r="AO44" s="13">
        <v>0</v>
      </c>
      <c r="AP44" s="26">
        <v>212.27072999999999</v>
      </c>
      <c r="AQ44" s="35" t="s">
        <v>196</v>
      </c>
      <c r="AR44" s="14">
        <f t="shared" si="27"/>
        <v>0.21678384256248531</v>
      </c>
      <c r="AS44" s="25">
        <v>139600</v>
      </c>
      <c r="AT44" s="25">
        <v>34900</v>
      </c>
      <c r="AU44" s="13" t="s">
        <v>184</v>
      </c>
      <c r="AV44" s="13" t="s">
        <v>184</v>
      </c>
      <c r="AW44" s="13">
        <v>2</v>
      </c>
      <c r="AX44" s="5">
        <f t="shared" si="20"/>
        <v>5820789.6099999994</v>
      </c>
    </row>
    <row r="45" spans="1:51" ht="30">
      <c r="B45" s="12">
        <v>10818</v>
      </c>
      <c r="C45" s="11" t="s">
        <v>34</v>
      </c>
      <c r="D45" s="11" t="s">
        <v>117</v>
      </c>
      <c r="E45" s="25">
        <v>3</v>
      </c>
      <c r="F45" s="25">
        <v>5</v>
      </c>
      <c r="G45" s="25">
        <v>45625</v>
      </c>
      <c r="H45" s="25">
        <v>165183.44</v>
      </c>
      <c r="I45" s="39">
        <v>2</v>
      </c>
      <c r="J45" s="22">
        <v>144011.5</v>
      </c>
      <c r="K45" s="22">
        <v>1</v>
      </c>
      <c r="L45" s="22">
        <v>21625</v>
      </c>
      <c r="M45" s="37">
        <v>0</v>
      </c>
      <c r="N45" s="37">
        <v>0</v>
      </c>
      <c r="O45" s="37">
        <v>0</v>
      </c>
      <c r="P45" s="37">
        <v>0</v>
      </c>
      <c r="Q45" s="29">
        <v>1267.3441599999999</v>
      </c>
      <c r="R45" s="8">
        <v>10</v>
      </c>
      <c r="S45" s="8">
        <f>+VLOOKUP(B45,[1]Лист2!$A$4:$B$188,2,0)</f>
        <v>3</v>
      </c>
      <c r="T45" s="8">
        <v>321679</v>
      </c>
      <c r="U45" s="8">
        <f>+VLOOKUP(B45,[1]Лист2!$A$4:$C$188,3,0)</f>
        <v>171679</v>
      </c>
      <c r="V45" s="30">
        <f t="shared" si="3"/>
        <v>3</v>
      </c>
      <c r="W45" s="30">
        <f t="shared" si="4"/>
        <v>171679</v>
      </c>
      <c r="X45" s="30">
        <f t="shared" si="5"/>
        <v>10</v>
      </c>
      <c r="Y45" s="30">
        <f t="shared" si="6"/>
        <v>321679</v>
      </c>
      <c r="Z45" s="30">
        <v>0</v>
      </c>
      <c r="AA45" s="30">
        <v>0</v>
      </c>
      <c r="AB45" s="30">
        <v>0</v>
      </c>
      <c r="AC45" s="30">
        <v>0</v>
      </c>
      <c r="AD45" s="25">
        <v>13</v>
      </c>
      <c r="AE45" s="25">
        <v>20</v>
      </c>
      <c r="AF45" s="25">
        <v>403638.88</v>
      </c>
      <c r="AG45" s="25">
        <v>1348816</v>
      </c>
      <c r="AH45" s="23">
        <f t="shared" si="7"/>
        <v>20</v>
      </c>
      <c r="AI45" s="23">
        <f t="shared" si="8"/>
        <v>1348816</v>
      </c>
      <c r="AJ45" s="23">
        <f t="shared" si="9"/>
        <v>13</v>
      </c>
      <c r="AK45" s="23">
        <f t="shared" si="10"/>
        <v>403638.88</v>
      </c>
      <c r="AL45" s="13">
        <v>0</v>
      </c>
      <c r="AM45" s="13">
        <v>0</v>
      </c>
      <c r="AN45" s="13">
        <v>0</v>
      </c>
      <c r="AO45" s="13">
        <v>0</v>
      </c>
      <c r="AP45" s="26">
        <v>1301.7675499999998</v>
      </c>
      <c r="AQ45" s="35" t="s">
        <v>199</v>
      </c>
      <c r="AR45" s="14">
        <f t="shared" si="27"/>
        <v>6.5266729818083749E-2</v>
      </c>
      <c r="AS45" s="25">
        <v>6866.666666666667</v>
      </c>
      <c r="AT45" s="25">
        <v>1716.6666666666667</v>
      </c>
      <c r="AU45" s="13" t="s">
        <v>184</v>
      </c>
      <c r="AV45" s="13" t="s">
        <v>184</v>
      </c>
      <c r="AW45" s="13">
        <v>2</v>
      </c>
      <c r="AX45" s="5">
        <f t="shared" si="20"/>
        <v>1752454.88</v>
      </c>
    </row>
    <row r="46" spans="1:51" ht="30">
      <c r="B46" s="12">
        <v>11786</v>
      </c>
      <c r="C46" s="11" t="s">
        <v>27</v>
      </c>
      <c r="D46" s="11" t="s">
        <v>118</v>
      </c>
      <c r="E46" s="25">
        <v>86</v>
      </c>
      <c r="F46" s="25">
        <v>43</v>
      </c>
      <c r="G46" s="25">
        <v>4994908.1700000009</v>
      </c>
      <c r="H46" s="25">
        <v>1577643.9</v>
      </c>
      <c r="I46" s="39">
        <v>18</v>
      </c>
      <c r="J46" s="22">
        <v>512615.54</v>
      </c>
      <c r="K46" s="22">
        <v>55</v>
      </c>
      <c r="L46" s="22">
        <v>3661325.9300000011</v>
      </c>
      <c r="M46" s="37">
        <v>0</v>
      </c>
      <c r="N46" s="37">
        <v>0</v>
      </c>
      <c r="O46" s="37">
        <v>0</v>
      </c>
      <c r="P46" s="37">
        <v>0</v>
      </c>
      <c r="Q46" s="29">
        <v>39.654199999999996</v>
      </c>
      <c r="R46" s="8">
        <v>44</v>
      </c>
      <c r="S46" s="8">
        <f>+VLOOKUP(B46,[1]Лист2!$A$4:$B$188,2,0)</f>
        <v>23</v>
      </c>
      <c r="T46" s="8">
        <v>1824870.4500000002</v>
      </c>
      <c r="U46" s="8">
        <f>+VLOOKUP(B46,[1]Лист2!$A$4:$C$188,3,0)</f>
        <v>405546.91000000003</v>
      </c>
      <c r="V46" s="30">
        <f t="shared" si="3"/>
        <v>23</v>
      </c>
      <c r="W46" s="30">
        <f t="shared" si="4"/>
        <v>405546.91000000003</v>
      </c>
      <c r="X46" s="30">
        <f t="shared" si="5"/>
        <v>44</v>
      </c>
      <c r="Y46" s="30">
        <f t="shared" si="6"/>
        <v>1824870.4500000002</v>
      </c>
      <c r="Z46" s="30">
        <v>0</v>
      </c>
      <c r="AA46" s="30">
        <v>0</v>
      </c>
      <c r="AB46" s="30">
        <v>0</v>
      </c>
      <c r="AC46" s="30">
        <v>0</v>
      </c>
      <c r="AD46" s="25">
        <v>74</v>
      </c>
      <c r="AE46" s="25">
        <v>27</v>
      </c>
      <c r="AF46" s="25">
        <v>5819396.1499999994</v>
      </c>
      <c r="AG46" s="25">
        <v>741096.88</v>
      </c>
      <c r="AH46" s="23">
        <f t="shared" si="7"/>
        <v>27</v>
      </c>
      <c r="AI46" s="23">
        <f t="shared" si="8"/>
        <v>741096.88</v>
      </c>
      <c r="AJ46" s="23">
        <f t="shared" si="9"/>
        <v>74</v>
      </c>
      <c r="AK46" s="23">
        <f t="shared" si="10"/>
        <v>5819396.1499999994</v>
      </c>
      <c r="AL46" s="13">
        <v>0</v>
      </c>
      <c r="AM46" s="13">
        <v>0</v>
      </c>
      <c r="AN46" s="13">
        <v>0</v>
      </c>
      <c r="AO46" s="13">
        <v>0</v>
      </c>
      <c r="AP46" s="26">
        <v>0</v>
      </c>
      <c r="AQ46" s="35" t="s">
        <v>197</v>
      </c>
      <c r="AR46" s="14">
        <f t="shared" si="27"/>
        <v>0.24433263928737017</v>
      </c>
      <c r="AS46" s="25">
        <v>271840</v>
      </c>
      <c r="AT46" s="25">
        <v>67960</v>
      </c>
      <c r="AU46" s="13" t="s">
        <v>185</v>
      </c>
      <c r="AV46" s="13" t="s">
        <v>185</v>
      </c>
      <c r="AW46" s="13">
        <v>2</v>
      </c>
      <c r="AX46" s="5">
        <f t="shared" si="20"/>
        <v>6560493.0299999993</v>
      </c>
    </row>
    <row r="47" spans="1:51">
      <c r="B47" s="12">
        <v>11253</v>
      </c>
      <c r="C47" s="11" t="s">
        <v>15</v>
      </c>
      <c r="D47" s="11" t="s">
        <v>119</v>
      </c>
      <c r="E47" s="25">
        <v>64</v>
      </c>
      <c r="F47" s="25">
        <v>192</v>
      </c>
      <c r="G47" s="25">
        <v>8540501.9199999999</v>
      </c>
      <c r="H47" s="25">
        <v>2074738.19</v>
      </c>
      <c r="I47" s="39">
        <v>121</v>
      </c>
      <c r="J47" s="22">
        <v>742657.03000000014</v>
      </c>
      <c r="K47" s="22">
        <v>58</v>
      </c>
      <c r="L47" s="22">
        <v>2154524.7400000002</v>
      </c>
      <c r="M47" s="37">
        <v>0</v>
      </c>
      <c r="N47" s="37">
        <v>0</v>
      </c>
      <c r="O47" s="37">
        <v>0</v>
      </c>
      <c r="P47" s="37">
        <v>0</v>
      </c>
      <c r="Q47" s="29">
        <v>1013.5177199999997</v>
      </c>
      <c r="R47" s="8">
        <v>84</v>
      </c>
      <c r="S47" s="8">
        <f>+VLOOKUP(B47,[1]Лист2!$A$4:$B$188,2,0)</f>
        <v>99</v>
      </c>
      <c r="T47" s="8">
        <v>12836849.910000002</v>
      </c>
      <c r="U47" s="8">
        <f>+VLOOKUP(B47,[1]Лист2!$A$4:$C$188,3,0)</f>
        <v>902082.14999999991</v>
      </c>
      <c r="V47" s="30">
        <f t="shared" si="3"/>
        <v>99</v>
      </c>
      <c r="W47" s="30">
        <f t="shared" si="4"/>
        <v>902082.14999999991</v>
      </c>
      <c r="X47" s="30">
        <f t="shared" si="5"/>
        <v>84</v>
      </c>
      <c r="Y47" s="30">
        <f t="shared" si="6"/>
        <v>12836849.910000002</v>
      </c>
      <c r="Z47" s="30">
        <v>0</v>
      </c>
      <c r="AA47" s="30">
        <v>0</v>
      </c>
      <c r="AB47" s="30">
        <v>0</v>
      </c>
      <c r="AC47" s="30">
        <v>0</v>
      </c>
      <c r="AD47" s="25">
        <v>107</v>
      </c>
      <c r="AE47" s="25">
        <v>131</v>
      </c>
      <c r="AF47" s="25">
        <v>6605876.2599999998</v>
      </c>
      <c r="AG47" s="25">
        <v>1030629.5900000001</v>
      </c>
      <c r="AH47" s="23">
        <f t="shared" si="7"/>
        <v>131</v>
      </c>
      <c r="AI47" s="23">
        <f t="shared" si="8"/>
        <v>1030629.5900000001</v>
      </c>
      <c r="AJ47" s="23">
        <f t="shared" si="9"/>
        <v>107</v>
      </c>
      <c r="AK47" s="23">
        <f t="shared" si="10"/>
        <v>6605876.2599999998</v>
      </c>
      <c r="AL47" s="13">
        <v>0</v>
      </c>
      <c r="AM47" s="13">
        <v>0</v>
      </c>
      <c r="AN47" s="13">
        <v>0</v>
      </c>
      <c r="AO47" s="13">
        <v>0</v>
      </c>
      <c r="AP47" s="26">
        <v>1377.7687999999994</v>
      </c>
      <c r="AQ47" s="35" t="s">
        <v>197</v>
      </c>
      <c r="AR47" s="14">
        <f t="shared" si="27"/>
        <v>0.28440661711425402</v>
      </c>
      <c r="AS47" s="25">
        <v>460705.45050666673</v>
      </c>
      <c r="AT47" s="25">
        <v>115176.36262666667</v>
      </c>
      <c r="AU47" s="13" t="s">
        <v>184</v>
      </c>
      <c r="AV47" s="13" t="s">
        <v>184</v>
      </c>
      <c r="AW47" s="13">
        <v>2</v>
      </c>
      <c r="AX47" s="5">
        <f t="shared" si="20"/>
        <v>7636505.8499999996</v>
      </c>
    </row>
    <row r="48" spans="1:51" ht="30">
      <c r="B48" s="12">
        <v>11198</v>
      </c>
      <c r="C48" s="11" t="s">
        <v>19</v>
      </c>
      <c r="D48" s="11" t="s">
        <v>120</v>
      </c>
      <c r="E48" s="25">
        <v>15</v>
      </c>
      <c r="F48" s="25">
        <v>12</v>
      </c>
      <c r="G48" s="25">
        <v>343215.02</v>
      </c>
      <c r="H48" s="25">
        <v>131070.21</v>
      </c>
      <c r="I48" s="39">
        <v>11</v>
      </c>
      <c r="J48" s="22">
        <v>126265.21</v>
      </c>
      <c r="K48" s="22">
        <v>5</v>
      </c>
      <c r="L48" s="22">
        <v>187114.8</v>
      </c>
      <c r="M48" s="37">
        <v>0</v>
      </c>
      <c r="N48" s="37">
        <v>0</v>
      </c>
      <c r="O48" s="37">
        <v>0</v>
      </c>
      <c r="P48" s="37">
        <v>0</v>
      </c>
      <c r="Q48" s="29">
        <v>1053.1203500000001</v>
      </c>
      <c r="R48" s="8">
        <v>12</v>
      </c>
      <c r="S48" s="8">
        <f>+VLOOKUP(B48,[1]Лист2!$A$4:$B$188,2,0)</f>
        <v>7</v>
      </c>
      <c r="T48" s="8">
        <v>256281.91</v>
      </c>
      <c r="U48" s="8">
        <f>+VLOOKUP(B48,[1]Лист2!$A$4:$C$188,3,0)</f>
        <v>229390.48</v>
      </c>
      <c r="V48" s="30">
        <f t="shared" si="3"/>
        <v>7</v>
      </c>
      <c r="W48" s="30">
        <f t="shared" si="4"/>
        <v>229390.48</v>
      </c>
      <c r="X48" s="30">
        <f t="shared" si="5"/>
        <v>12</v>
      </c>
      <c r="Y48" s="30">
        <f t="shared" si="6"/>
        <v>256281.91</v>
      </c>
      <c r="Z48" s="30">
        <v>0</v>
      </c>
      <c r="AA48" s="30">
        <v>0</v>
      </c>
      <c r="AB48" s="30">
        <v>0</v>
      </c>
      <c r="AC48" s="30">
        <v>0</v>
      </c>
      <c r="AD48" s="25">
        <v>18</v>
      </c>
      <c r="AE48" s="25">
        <v>30</v>
      </c>
      <c r="AF48" s="25">
        <v>379574</v>
      </c>
      <c r="AG48" s="25">
        <v>1074631</v>
      </c>
      <c r="AH48" s="23">
        <f t="shared" si="7"/>
        <v>30</v>
      </c>
      <c r="AI48" s="23">
        <f t="shared" si="8"/>
        <v>1074631</v>
      </c>
      <c r="AJ48" s="23">
        <f t="shared" si="9"/>
        <v>18</v>
      </c>
      <c r="AK48" s="23">
        <f t="shared" si="10"/>
        <v>379574</v>
      </c>
      <c r="AL48" s="13">
        <v>0</v>
      </c>
      <c r="AM48" s="13">
        <v>0</v>
      </c>
      <c r="AN48" s="13">
        <v>0</v>
      </c>
      <c r="AO48" s="13">
        <v>0</v>
      </c>
      <c r="AP48" s="26">
        <v>1413.0690999999999</v>
      </c>
      <c r="AQ48" s="35" t="s">
        <v>199</v>
      </c>
      <c r="AR48" s="14">
        <f t="shared" si="27"/>
        <v>5.4159000564457604E-2</v>
      </c>
      <c r="AS48" s="25">
        <v>1260</v>
      </c>
      <c r="AT48" s="25">
        <v>315</v>
      </c>
      <c r="AU48" s="13" t="s">
        <v>184</v>
      </c>
      <c r="AV48" s="13" t="s">
        <v>184</v>
      </c>
      <c r="AW48" s="13">
        <v>2</v>
      </c>
      <c r="AX48" s="5">
        <f t="shared" si="20"/>
        <v>1454205</v>
      </c>
    </row>
    <row r="49" spans="1:51">
      <c r="B49" s="12">
        <v>11448</v>
      </c>
      <c r="C49" s="11" t="s">
        <v>20</v>
      </c>
      <c r="D49" s="11" t="s">
        <v>121</v>
      </c>
      <c r="E49" s="25">
        <v>53</v>
      </c>
      <c r="F49" s="25">
        <v>64</v>
      </c>
      <c r="G49" s="25">
        <v>1706762.1900000004</v>
      </c>
      <c r="H49" s="25">
        <v>1936377.54</v>
      </c>
      <c r="I49" s="39">
        <v>45</v>
      </c>
      <c r="J49" s="22">
        <v>1454648.92</v>
      </c>
      <c r="K49" s="22">
        <v>34</v>
      </c>
      <c r="L49" s="22">
        <v>919016.40000000037</v>
      </c>
      <c r="M49" s="37">
        <v>0</v>
      </c>
      <c r="N49" s="37">
        <v>0</v>
      </c>
      <c r="O49" s="37">
        <v>0</v>
      </c>
      <c r="P49" s="37">
        <v>0</v>
      </c>
      <c r="Q49" s="29">
        <v>115.471</v>
      </c>
      <c r="R49" s="8">
        <v>52</v>
      </c>
      <c r="S49" s="8">
        <f>+VLOOKUP(B49,[1]Лист2!$A$4:$B$188,2,0)</f>
        <v>38</v>
      </c>
      <c r="T49" s="8">
        <v>1338707.3800000001</v>
      </c>
      <c r="U49" s="8">
        <f>+VLOOKUP(B49,[1]Лист2!$A$4:$C$188,3,0)</f>
        <v>246736.76999999996</v>
      </c>
      <c r="V49" s="30">
        <f t="shared" si="3"/>
        <v>38</v>
      </c>
      <c r="W49" s="30">
        <f t="shared" si="4"/>
        <v>246736.76999999996</v>
      </c>
      <c r="X49" s="30">
        <f t="shared" si="5"/>
        <v>52</v>
      </c>
      <c r="Y49" s="30">
        <f t="shared" si="6"/>
        <v>1338707.3800000001</v>
      </c>
      <c r="Z49" s="30">
        <v>0</v>
      </c>
      <c r="AA49" s="30">
        <v>0</v>
      </c>
      <c r="AB49" s="30">
        <v>0</v>
      </c>
      <c r="AC49" s="30">
        <v>0</v>
      </c>
      <c r="AD49" s="25">
        <v>65</v>
      </c>
      <c r="AE49" s="25">
        <v>60</v>
      </c>
      <c r="AF49" s="25">
        <v>2147924.94</v>
      </c>
      <c r="AG49" s="25">
        <v>744051.06999999983</v>
      </c>
      <c r="AH49" s="23">
        <f t="shared" si="7"/>
        <v>60</v>
      </c>
      <c r="AI49" s="23">
        <f t="shared" si="8"/>
        <v>744051.06999999983</v>
      </c>
      <c r="AJ49" s="23">
        <f t="shared" si="9"/>
        <v>65</v>
      </c>
      <c r="AK49" s="23">
        <f t="shared" si="10"/>
        <v>2147924.94</v>
      </c>
      <c r="AL49" s="13">
        <v>0</v>
      </c>
      <c r="AM49" s="13">
        <v>0</v>
      </c>
      <c r="AN49" s="13">
        <v>0</v>
      </c>
      <c r="AO49" s="13">
        <v>0</v>
      </c>
      <c r="AP49" s="26">
        <v>376.62164999999999</v>
      </c>
      <c r="AQ49" s="35" t="s">
        <v>198</v>
      </c>
      <c r="AR49" s="14">
        <f t="shared" si="27"/>
        <v>0.107705949544932</v>
      </c>
      <c r="AS49" s="25">
        <v>67557.960413333334</v>
      </c>
      <c r="AT49" s="25">
        <v>16889.490103333334</v>
      </c>
      <c r="AU49" s="13" t="s">
        <v>184</v>
      </c>
      <c r="AV49" s="13" t="s">
        <v>184</v>
      </c>
      <c r="AW49" s="13">
        <v>1</v>
      </c>
      <c r="AX49" s="5">
        <f t="shared" si="20"/>
        <v>2891976.01</v>
      </c>
    </row>
    <row r="50" spans="1:51" s="6" customFormat="1" ht="38.25" customHeight="1">
      <c r="A50" s="2" t="s">
        <v>52</v>
      </c>
      <c r="C50" s="5" t="s">
        <v>52</v>
      </c>
      <c r="D50" s="5"/>
      <c r="E50" s="5">
        <f t="shared" ref="E50:AO50" si="28">+SUM(E51:E52)</f>
        <v>2</v>
      </c>
      <c r="F50" s="5">
        <f t="shared" si="28"/>
        <v>5</v>
      </c>
      <c r="G50" s="5">
        <f t="shared" si="28"/>
        <v>45944</v>
      </c>
      <c r="H50" s="5">
        <f t="shared" si="28"/>
        <v>79065.37000000001</v>
      </c>
      <c r="I50" s="5">
        <f t="shared" si="28"/>
        <v>4</v>
      </c>
      <c r="J50" s="5">
        <f t="shared" si="28"/>
        <v>7355.3</v>
      </c>
      <c r="K50" s="5">
        <f t="shared" si="28"/>
        <v>1</v>
      </c>
      <c r="L50" s="5">
        <f t="shared" si="28"/>
        <v>28452</v>
      </c>
      <c r="M50" s="5">
        <f t="shared" si="28"/>
        <v>0</v>
      </c>
      <c r="N50" s="5">
        <f t="shared" si="28"/>
        <v>0</v>
      </c>
      <c r="O50" s="5">
        <f t="shared" si="28"/>
        <v>0</v>
      </c>
      <c r="P50" s="5">
        <f t="shared" si="28"/>
        <v>0</v>
      </c>
      <c r="Q50" s="5">
        <f t="shared" si="28"/>
        <v>3184.1325300000003</v>
      </c>
      <c r="R50" s="5">
        <f t="shared" si="28"/>
        <v>5</v>
      </c>
      <c r="S50" s="5">
        <f t="shared" si="28"/>
        <v>19</v>
      </c>
      <c r="T50" s="5">
        <f t="shared" si="28"/>
        <v>128519.03999999999</v>
      </c>
      <c r="U50" s="5">
        <f t="shared" si="28"/>
        <v>497396.06999999995</v>
      </c>
      <c r="V50" s="5">
        <f t="shared" si="28"/>
        <v>19</v>
      </c>
      <c r="W50" s="5">
        <f t="shared" si="28"/>
        <v>497396.06999999995</v>
      </c>
      <c r="X50" s="5">
        <f t="shared" si="28"/>
        <v>5</v>
      </c>
      <c r="Y50" s="5">
        <f t="shared" si="28"/>
        <v>128519.03999999999</v>
      </c>
      <c r="Z50" s="5">
        <f t="shared" si="28"/>
        <v>0</v>
      </c>
      <c r="AA50" s="5">
        <f t="shared" si="28"/>
        <v>0</v>
      </c>
      <c r="AB50" s="5">
        <f t="shared" si="28"/>
        <v>0</v>
      </c>
      <c r="AC50" s="5">
        <f t="shared" si="28"/>
        <v>0</v>
      </c>
      <c r="AD50" s="5">
        <f t="shared" si="28"/>
        <v>1</v>
      </c>
      <c r="AE50" s="5">
        <f t="shared" si="28"/>
        <v>21</v>
      </c>
      <c r="AF50" s="5">
        <f t="shared" si="28"/>
        <v>19000</v>
      </c>
      <c r="AG50" s="5">
        <f t="shared" si="28"/>
        <v>358654.25</v>
      </c>
      <c r="AH50" s="5">
        <f t="shared" si="28"/>
        <v>21</v>
      </c>
      <c r="AI50" s="5">
        <f t="shared" si="28"/>
        <v>358654.25</v>
      </c>
      <c r="AJ50" s="5">
        <f t="shared" si="28"/>
        <v>1</v>
      </c>
      <c r="AK50" s="5">
        <f t="shared" si="28"/>
        <v>19000</v>
      </c>
      <c r="AL50" s="5">
        <f t="shared" si="28"/>
        <v>0</v>
      </c>
      <c r="AM50" s="5">
        <f t="shared" si="28"/>
        <v>0</v>
      </c>
      <c r="AN50" s="5">
        <f t="shared" si="28"/>
        <v>0</v>
      </c>
      <c r="AO50" s="5">
        <f t="shared" si="28"/>
        <v>0</v>
      </c>
      <c r="AP50" s="5">
        <f>+SUM(AP51:AP52)</f>
        <v>2986.6763400000004</v>
      </c>
      <c r="AQ50" s="5" t="s">
        <v>199</v>
      </c>
      <c r="AR50" s="5"/>
      <c r="AS50" s="5">
        <f t="shared" ref="AS50:AT50" si="29">+SUM(AS51:AS52)</f>
        <v>0</v>
      </c>
      <c r="AT50" s="5">
        <f t="shared" si="29"/>
        <v>0</v>
      </c>
      <c r="AU50" s="5"/>
      <c r="AV50" s="5"/>
      <c r="AW50" s="5">
        <f t="shared" ref="AW50" si="30">+SUM(AW51:AW52)</f>
        <v>4</v>
      </c>
      <c r="AX50" s="5">
        <f>+AI50+AK50+AM50+AO50</f>
        <v>377654.25</v>
      </c>
      <c r="AY50" s="43">
        <f>+AX50/$AX$6</f>
        <v>5.818413442936043E-4</v>
      </c>
    </row>
    <row r="51" spans="1:51">
      <c r="B51" s="12">
        <v>457</v>
      </c>
      <c r="C51" s="11" t="s">
        <v>14</v>
      </c>
      <c r="D51" s="11" t="s">
        <v>122</v>
      </c>
      <c r="E51" s="25">
        <v>0</v>
      </c>
      <c r="F51" s="25">
        <v>0</v>
      </c>
      <c r="G51" s="25">
        <v>0</v>
      </c>
      <c r="H51" s="25">
        <v>0</v>
      </c>
      <c r="I51" s="40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29">
        <v>567.43459999999993</v>
      </c>
      <c r="R51" s="8"/>
      <c r="S51" s="8"/>
      <c r="T51" s="8"/>
      <c r="U51" s="8"/>
      <c r="V51" s="30">
        <f t="shared" si="3"/>
        <v>0</v>
      </c>
      <c r="W51" s="30">
        <f t="shared" si="4"/>
        <v>0</v>
      </c>
      <c r="X51" s="30">
        <f t="shared" si="5"/>
        <v>0</v>
      </c>
      <c r="Y51" s="30">
        <f t="shared" si="6"/>
        <v>0</v>
      </c>
      <c r="Z51" s="30">
        <f>((+S51)/3)*4</f>
        <v>0</v>
      </c>
      <c r="AA51" s="30">
        <f>((+U51)/3)*4</f>
        <v>0</v>
      </c>
      <c r="AB51" s="30">
        <v>0</v>
      </c>
      <c r="AC51" s="30">
        <v>0</v>
      </c>
      <c r="AD51" s="25">
        <v>1</v>
      </c>
      <c r="AE51" s="25">
        <v>0</v>
      </c>
      <c r="AF51" s="25">
        <v>19000</v>
      </c>
      <c r="AG51" s="25">
        <v>0</v>
      </c>
      <c r="AH51" s="23">
        <f t="shared" si="7"/>
        <v>0</v>
      </c>
      <c r="AI51" s="23">
        <f t="shared" si="8"/>
        <v>0</v>
      </c>
      <c r="AJ51" s="23">
        <f t="shared" si="9"/>
        <v>1</v>
      </c>
      <c r="AK51" s="23">
        <f t="shared" si="10"/>
        <v>19000</v>
      </c>
      <c r="AL51" s="13">
        <v>0</v>
      </c>
      <c r="AM51" s="13">
        <v>0</v>
      </c>
      <c r="AN51" s="13">
        <v>0</v>
      </c>
      <c r="AO51" s="13">
        <v>0</v>
      </c>
      <c r="AP51" s="26">
        <v>21.9</v>
      </c>
      <c r="AQ51" s="35" t="s">
        <v>199</v>
      </c>
      <c r="AR51" s="14">
        <f>+AX51/$AX$50</f>
        <v>5.0310568463084952E-2</v>
      </c>
      <c r="AS51" s="25">
        <v>0</v>
      </c>
      <c r="AT51" s="25">
        <v>0</v>
      </c>
      <c r="AU51" s="13" t="s">
        <v>184</v>
      </c>
      <c r="AV51" s="13" t="s">
        <v>184</v>
      </c>
      <c r="AW51" s="13">
        <v>2</v>
      </c>
      <c r="AX51" s="5">
        <f>+AI51+AK51</f>
        <v>19000</v>
      </c>
    </row>
    <row r="52" spans="1:51">
      <c r="B52" s="12">
        <v>11412</v>
      </c>
      <c r="C52" s="11" t="s">
        <v>27</v>
      </c>
      <c r="D52" s="11" t="s">
        <v>123</v>
      </c>
      <c r="E52" s="25">
        <v>2</v>
      </c>
      <c r="F52" s="25">
        <v>5</v>
      </c>
      <c r="G52" s="25">
        <v>45944</v>
      </c>
      <c r="H52" s="25">
        <v>79065.37000000001</v>
      </c>
      <c r="I52" s="39">
        <v>4</v>
      </c>
      <c r="J52" s="22">
        <v>7355.3</v>
      </c>
      <c r="K52" s="22">
        <v>1</v>
      </c>
      <c r="L52" s="22">
        <v>28452</v>
      </c>
      <c r="M52" s="37">
        <v>0</v>
      </c>
      <c r="N52" s="37">
        <v>0</v>
      </c>
      <c r="O52" s="37">
        <v>0</v>
      </c>
      <c r="P52" s="37">
        <v>0</v>
      </c>
      <c r="Q52" s="29">
        <v>2616.6979300000003</v>
      </c>
      <c r="R52" s="8">
        <v>5</v>
      </c>
      <c r="S52" s="8">
        <f>+VLOOKUP(B52,[1]Лист2!$A$4:$B$188,2,0)</f>
        <v>19</v>
      </c>
      <c r="T52" s="8">
        <v>128519.03999999999</v>
      </c>
      <c r="U52" s="8">
        <f>+VLOOKUP(B52,[1]Лист2!$A$4:$C$188,3,0)</f>
        <v>497396.06999999995</v>
      </c>
      <c r="V52" s="30">
        <f t="shared" si="3"/>
        <v>19</v>
      </c>
      <c r="W52" s="30">
        <f t="shared" si="4"/>
        <v>497396.06999999995</v>
      </c>
      <c r="X52" s="30">
        <f t="shared" si="5"/>
        <v>5</v>
      </c>
      <c r="Y52" s="30">
        <f t="shared" si="6"/>
        <v>128519.03999999999</v>
      </c>
      <c r="Z52" s="30">
        <v>0</v>
      </c>
      <c r="AA52" s="30">
        <v>0</v>
      </c>
      <c r="AB52" s="30">
        <v>0</v>
      </c>
      <c r="AC52" s="30">
        <v>0</v>
      </c>
      <c r="AD52" s="25">
        <v>0</v>
      </c>
      <c r="AE52" s="25">
        <v>21</v>
      </c>
      <c r="AF52" s="25">
        <v>0</v>
      </c>
      <c r="AG52" s="25">
        <v>358654.25</v>
      </c>
      <c r="AH52" s="23">
        <f t="shared" si="7"/>
        <v>21</v>
      </c>
      <c r="AI52" s="23">
        <f t="shared" si="8"/>
        <v>358654.25</v>
      </c>
      <c r="AJ52" s="23">
        <f t="shared" si="9"/>
        <v>0</v>
      </c>
      <c r="AK52" s="23">
        <f t="shared" si="10"/>
        <v>0</v>
      </c>
      <c r="AL52" s="13">
        <v>0</v>
      </c>
      <c r="AM52" s="13">
        <v>0</v>
      </c>
      <c r="AN52" s="13">
        <v>0</v>
      </c>
      <c r="AO52" s="13">
        <v>0</v>
      </c>
      <c r="AP52" s="26">
        <v>2964.7763400000003</v>
      </c>
      <c r="AQ52" s="42" t="s">
        <v>197</v>
      </c>
      <c r="AR52" s="14">
        <f t="shared" ref="AR52" si="31">+AX52/$AX$50</f>
        <v>0.9496894315369151</v>
      </c>
      <c r="AS52" s="25">
        <v>0</v>
      </c>
      <c r="AT52" s="25">
        <v>0</v>
      </c>
      <c r="AU52" s="13" t="s">
        <v>185</v>
      </c>
      <c r="AV52" s="13" t="s">
        <v>185</v>
      </c>
      <c r="AW52" s="13">
        <v>2</v>
      </c>
      <c r="AX52" s="5">
        <f>+AI52+AK52</f>
        <v>358654.25</v>
      </c>
    </row>
    <row r="53" spans="1:51" s="6" customFormat="1" ht="38.25" customHeight="1">
      <c r="A53" s="2" t="s">
        <v>53</v>
      </c>
      <c r="C53" s="5" t="s">
        <v>53</v>
      </c>
      <c r="D53" s="5"/>
      <c r="E53" s="5">
        <f t="shared" ref="E53:AO53" si="32">+SUM(E54:E57)</f>
        <v>319</v>
      </c>
      <c r="F53" s="5">
        <f t="shared" si="32"/>
        <v>256</v>
      </c>
      <c r="G53" s="5">
        <f t="shared" si="32"/>
        <v>262574261.17000005</v>
      </c>
      <c r="H53" s="5">
        <f t="shared" si="32"/>
        <v>110370619.56999999</v>
      </c>
      <c r="I53" s="5">
        <f t="shared" si="32"/>
        <v>177</v>
      </c>
      <c r="J53" s="5">
        <f t="shared" si="32"/>
        <v>87329389.099999979</v>
      </c>
      <c r="K53" s="5">
        <f t="shared" si="32"/>
        <v>271</v>
      </c>
      <c r="L53" s="5">
        <f t="shared" si="32"/>
        <v>175468064.31</v>
      </c>
      <c r="M53" s="5">
        <f t="shared" si="32"/>
        <v>0</v>
      </c>
      <c r="N53" s="5">
        <f t="shared" si="32"/>
        <v>0</v>
      </c>
      <c r="O53" s="5">
        <f t="shared" si="32"/>
        <v>24</v>
      </c>
      <c r="P53" s="5">
        <f t="shared" si="32"/>
        <v>86456787.230000004</v>
      </c>
      <c r="Q53" s="5">
        <f t="shared" si="32"/>
        <v>814.34634999999992</v>
      </c>
      <c r="R53" s="5">
        <f t="shared" si="32"/>
        <v>304</v>
      </c>
      <c r="S53" s="5">
        <f t="shared" si="32"/>
        <v>152</v>
      </c>
      <c r="T53" s="5">
        <f t="shared" si="32"/>
        <v>674048977.13999987</v>
      </c>
      <c r="U53" s="5">
        <f t="shared" si="32"/>
        <v>265309930.64000002</v>
      </c>
      <c r="V53" s="5">
        <f t="shared" si="32"/>
        <v>152</v>
      </c>
      <c r="W53" s="5">
        <f t="shared" si="32"/>
        <v>265309930.64000002</v>
      </c>
      <c r="X53" s="5">
        <f t="shared" si="32"/>
        <v>304</v>
      </c>
      <c r="Y53" s="5">
        <f t="shared" si="32"/>
        <v>674048977.13999987</v>
      </c>
      <c r="Z53" s="5">
        <f t="shared" si="32"/>
        <v>0</v>
      </c>
      <c r="AA53" s="5">
        <f t="shared" si="32"/>
        <v>0</v>
      </c>
      <c r="AB53" s="5">
        <f t="shared" si="32"/>
        <v>0</v>
      </c>
      <c r="AC53" s="5">
        <f t="shared" si="32"/>
        <v>0</v>
      </c>
      <c r="AD53" s="5">
        <f t="shared" si="32"/>
        <v>329</v>
      </c>
      <c r="AE53" s="5">
        <f t="shared" si="32"/>
        <v>143</v>
      </c>
      <c r="AF53" s="5">
        <f t="shared" si="32"/>
        <v>152992736.60000002</v>
      </c>
      <c r="AG53" s="5">
        <f t="shared" si="32"/>
        <v>264336127.68000001</v>
      </c>
      <c r="AH53" s="5">
        <f t="shared" si="32"/>
        <v>143</v>
      </c>
      <c r="AI53" s="5">
        <f t="shared" si="32"/>
        <v>264336127.68000001</v>
      </c>
      <c r="AJ53" s="5">
        <f t="shared" si="32"/>
        <v>329</v>
      </c>
      <c r="AK53" s="5">
        <f t="shared" si="32"/>
        <v>152992736.60000002</v>
      </c>
      <c r="AL53" s="5">
        <f t="shared" si="32"/>
        <v>0</v>
      </c>
      <c r="AM53" s="5">
        <f t="shared" si="32"/>
        <v>0</v>
      </c>
      <c r="AN53" s="5">
        <f t="shared" si="32"/>
        <v>0</v>
      </c>
      <c r="AO53" s="5">
        <f t="shared" si="32"/>
        <v>0</v>
      </c>
      <c r="AP53" s="5">
        <f>+SUM(AP54:AP57)</f>
        <v>910.70044999999982</v>
      </c>
      <c r="AQ53" s="5" t="s">
        <v>197</v>
      </c>
      <c r="AR53" s="5"/>
      <c r="AS53" s="5">
        <f t="shared" ref="AS53:AT53" si="33">+SUM(AS54:AS57)</f>
        <v>475311.46728000004</v>
      </c>
      <c r="AT53" s="5">
        <f t="shared" si="33"/>
        <v>170600.53348666665</v>
      </c>
      <c r="AU53" s="5"/>
      <c r="AV53" s="5"/>
      <c r="AW53" s="5">
        <f t="shared" ref="AW53" si="34">+SUM(AW54:AW57)</f>
        <v>7</v>
      </c>
      <c r="AX53" s="5">
        <f>+AI53+AK53+AM53+AO53</f>
        <v>417328864.28000003</v>
      </c>
      <c r="AY53" s="43">
        <f>+AX53/$AX$6</f>
        <v>0.64296691326841515</v>
      </c>
    </row>
    <row r="54" spans="1:51">
      <c r="B54" s="12">
        <v>459</v>
      </c>
      <c r="C54" s="11" t="s">
        <v>16</v>
      </c>
      <c r="D54" s="11" t="s">
        <v>66</v>
      </c>
      <c r="E54" s="25">
        <v>230</v>
      </c>
      <c r="F54" s="25">
        <v>177</v>
      </c>
      <c r="G54" s="25">
        <v>173434098.19000003</v>
      </c>
      <c r="H54" s="25">
        <v>106886788.47999999</v>
      </c>
      <c r="I54" s="39">
        <v>120</v>
      </c>
      <c r="J54" s="22">
        <v>84645979.529999986</v>
      </c>
      <c r="K54" s="22">
        <v>221</v>
      </c>
      <c r="L54" s="22">
        <v>173258433.42000002</v>
      </c>
      <c r="M54" s="37">
        <v>0</v>
      </c>
      <c r="N54" s="37">
        <v>0</v>
      </c>
      <c r="O54" s="37">
        <v>0</v>
      </c>
      <c r="P54" s="37">
        <v>0</v>
      </c>
      <c r="Q54" s="29">
        <v>242.94608999999997</v>
      </c>
      <c r="R54" s="8">
        <v>176</v>
      </c>
      <c r="S54" s="8">
        <f>+VLOOKUP(B54,[1]Лист2!$A$4:$B$188,2,0)</f>
        <v>103</v>
      </c>
      <c r="T54" s="8">
        <v>576238389.75999987</v>
      </c>
      <c r="U54" s="8">
        <f>+VLOOKUP(B54,[1]Лист2!$A$4:$C$188,3,0)</f>
        <v>260439884.61000001</v>
      </c>
      <c r="V54" s="30">
        <f t="shared" si="3"/>
        <v>103</v>
      </c>
      <c r="W54" s="30">
        <f t="shared" si="4"/>
        <v>260439884.61000001</v>
      </c>
      <c r="X54" s="30">
        <f t="shared" si="5"/>
        <v>176</v>
      </c>
      <c r="Y54" s="30">
        <f t="shared" si="6"/>
        <v>576238389.75999987</v>
      </c>
      <c r="Z54" s="30">
        <v>0</v>
      </c>
      <c r="AA54" s="30">
        <v>0</v>
      </c>
      <c r="AB54" s="30">
        <v>0</v>
      </c>
      <c r="AC54" s="30">
        <v>0</v>
      </c>
      <c r="AD54" s="25">
        <v>194</v>
      </c>
      <c r="AE54" s="25">
        <v>55</v>
      </c>
      <c r="AF54" s="25">
        <v>131849022.61000001</v>
      </c>
      <c r="AG54" s="25">
        <v>261996379.22</v>
      </c>
      <c r="AH54" s="23">
        <f t="shared" si="7"/>
        <v>55</v>
      </c>
      <c r="AI54" s="23">
        <f t="shared" si="8"/>
        <v>261996379.22</v>
      </c>
      <c r="AJ54" s="23">
        <f t="shared" si="9"/>
        <v>194</v>
      </c>
      <c r="AK54" s="23">
        <f t="shared" si="10"/>
        <v>131849022.61000001</v>
      </c>
      <c r="AL54" s="13">
        <v>0</v>
      </c>
      <c r="AM54" s="13">
        <v>0</v>
      </c>
      <c r="AN54" s="13">
        <v>0</v>
      </c>
      <c r="AO54" s="13">
        <v>0</v>
      </c>
      <c r="AP54" s="26">
        <v>202.38522</v>
      </c>
      <c r="AQ54" s="42" t="s">
        <v>197</v>
      </c>
      <c r="AR54" s="14">
        <f>+AX54/$AX$53</f>
        <v>0.94372911998187559</v>
      </c>
      <c r="AS54" s="25">
        <v>349453.33333333331</v>
      </c>
      <c r="AT54" s="25">
        <v>139136</v>
      </c>
      <c r="AU54" s="13" t="s">
        <v>184</v>
      </c>
      <c r="AV54" s="13" t="s">
        <v>185</v>
      </c>
      <c r="AW54" s="13">
        <v>2</v>
      </c>
      <c r="AX54" s="5">
        <f>+AI54+AK54</f>
        <v>393845401.83000004</v>
      </c>
    </row>
    <row r="55" spans="1:51">
      <c r="B55" s="12">
        <v>11142</v>
      </c>
      <c r="C55" s="11" t="s">
        <v>15</v>
      </c>
      <c r="D55" s="11" t="s">
        <v>95</v>
      </c>
      <c r="E55" s="25">
        <v>28</v>
      </c>
      <c r="F55" s="25">
        <v>2</v>
      </c>
      <c r="G55" s="25">
        <v>86524706.079999998</v>
      </c>
      <c r="H55" s="25">
        <v>66070.22</v>
      </c>
      <c r="I55" s="39">
        <v>2</v>
      </c>
      <c r="J55" s="22">
        <v>66070.22</v>
      </c>
      <c r="K55" s="22">
        <v>4</v>
      </c>
      <c r="L55" s="22">
        <v>67918.850000000006</v>
      </c>
      <c r="M55" s="37">
        <v>0</v>
      </c>
      <c r="N55" s="37">
        <v>0</v>
      </c>
      <c r="O55" s="37">
        <v>24</v>
      </c>
      <c r="P55" s="37">
        <v>86456787.230000004</v>
      </c>
      <c r="Q55" s="29">
        <v>0</v>
      </c>
      <c r="R55" s="8">
        <v>29</v>
      </c>
      <c r="S55" s="8">
        <f>(+VLOOKUP(B55,[1]Лист2!$A$4:$B$188,2,0))+7</f>
        <v>8</v>
      </c>
      <c r="T55" s="8">
        <v>92382614.170000032</v>
      </c>
      <c r="U55" s="8">
        <f>(+VLOOKUP(B55,[1]Лист2!$A$4:$C$188,3,0))+1210857.66</f>
        <v>1242152.0999999999</v>
      </c>
      <c r="V55" s="30">
        <f t="shared" si="3"/>
        <v>8</v>
      </c>
      <c r="W55" s="30">
        <f t="shared" si="4"/>
        <v>1242152.0999999999</v>
      </c>
      <c r="X55" s="30">
        <f t="shared" si="5"/>
        <v>29</v>
      </c>
      <c r="Y55" s="30">
        <f t="shared" si="6"/>
        <v>92382614.170000032</v>
      </c>
      <c r="Z55" s="30">
        <v>0</v>
      </c>
      <c r="AA55" s="30">
        <v>0</v>
      </c>
      <c r="AB55" s="30">
        <v>0</v>
      </c>
      <c r="AC55" s="30">
        <v>0</v>
      </c>
      <c r="AD55" s="25">
        <v>11</v>
      </c>
      <c r="AE55" s="25">
        <v>3</v>
      </c>
      <c r="AF55" s="25">
        <v>16121963.83</v>
      </c>
      <c r="AG55" s="25">
        <v>69256.400000000009</v>
      </c>
      <c r="AH55" s="23">
        <f t="shared" si="7"/>
        <v>3</v>
      </c>
      <c r="AI55" s="23">
        <f t="shared" si="8"/>
        <v>69256.400000000009</v>
      </c>
      <c r="AJ55" s="23">
        <f t="shared" si="9"/>
        <v>11</v>
      </c>
      <c r="AK55" s="23">
        <f t="shared" si="10"/>
        <v>16121963.83</v>
      </c>
      <c r="AL55" s="13">
        <v>0</v>
      </c>
      <c r="AM55" s="13">
        <v>0</v>
      </c>
      <c r="AN55" s="13">
        <v>0</v>
      </c>
      <c r="AO55" s="13">
        <v>0</v>
      </c>
      <c r="AP55" s="26">
        <v>0</v>
      </c>
      <c r="AQ55" s="35" t="s">
        <v>198</v>
      </c>
      <c r="AR55" s="14">
        <f t="shared" ref="AR55:AR57" si="35">+AX55/$AX$53</f>
        <v>3.8797269050474217E-2</v>
      </c>
      <c r="AS55" s="25">
        <v>618.34994666666671</v>
      </c>
      <c r="AT55" s="25">
        <v>154.58748666666668</v>
      </c>
      <c r="AU55" s="13" t="s">
        <v>184</v>
      </c>
      <c r="AV55" s="13" t="s">
        <v>184</v>
      </c>
      <c r="AW55" s="13">
        <v>2</v>
      </c>
      <c r="AX55" s="5">
        <f t="shared" ref="AX55:AX57" si="36">+AI55+AK55</f>
        <v>16191220.23</v>
      </c>
    </row>
    <row r="56" spans="1:51" ht="30">
      <c r="B56" s="12">
        <v>11200</v>
      </c>
      <c r="C56" s="11" t="s">
        <v>19</v>
      </c>
      <c r="D56" s="11" t="s">
        <v>84</v>
      </c>
      <c r="E56" s="25">
        <v>7</v>
      </c>
      <c r="F56" s="25">
        <v>8</v>
      </c>
      <c r="G56" s="25">
        <v>145370.63</v>
      </c>
      <c r="H56" s="25">
        <v>83290</v>
      </c>
      <c r="I56" s="39">
        <v>5</v>
      </c>
      <c r="J56" s="22">
        <v>50060</v>
      </c>
      <c r="K56" s="22">
        <v>5</v>
      </c>
      <c r="L56" s="22">
        <v>136183.72</v>
      </c>
      <c r="M56" s="37">
        <v>0</v>
      </c>
      <c r="N56" s="37">
        <v>0</v>
      </c>
      <c r="O56" s="37">
        <v>0</v>
      </c>
      <c r="P56" s="37">
        <v>0</v>
      </c>
      <c r="Q56" s="29">
        <v>185.22852999999998</v>
      </c>
      <c r="R56" s="8">
        <v>19</v>
      </c>
      <c r="S56" s="8">
        <f>+VLOOKUP(B56,[1]Лист2!$A$4:$B$188,2,0)</f>
        <v>10</v>
      </c>
      <c r="T56" s="8">
        <v>1088076.17</v>
      </c>
      <c r="U56" s="8">
        <f>+VLOOKUP(B56,[1]Лист2!$A$4:$C$188,3,0)</f>
        <v>188575</v>
      </c>
      <c r="V56" s="30">
        <f t="shared" si="3"/>
        <v>10</v>
      </c>
      <c r="W56" s="30">
        <f t="shared" si="4"/>
        <v>188575</v>
      </c>
      <c r="X56" s="30">
        <f t="shared" si="5"/>
        <v>19</v>
      </c>
      <c r="Y56" s="30">
        <f t="shared" si="6"/>
        <v>1088076.17</v>
      </c>
      <c r="Z56" s="30">
        <v>0</v>
      </c>
      <c r="AA56" s="30">
        <v>0</v>
      </c>
      <c r="AB56" s="30">
        <v>0</v>
      </c>
      <c r="AC56" s="30">
        <v>0</v>
      </c>
      <c r="AD56" s="25">
        <v>15</v>
      </c>
      <c r="AE56" s="25">
        <v>18</v>
      </c>
      <c r="AF56" s="25">
        <v>264517.31999999995</v>
      </c>
      <c r="AG56" s="25">
        <v>269799.45999999996</v>
      </c>
      <c r="AH56" s="23">
        <f t="shared" si="7"/>
        <v>18</v>
      </c>
      <c r="AI56" s="23">
        <f t="shared" si="8"/>
        <v>269799.45999999996</v>
      </c>
      <c r="AJ56" s="23">
        <f t="shared" si="9"/>
        <v>15</v>
      </c>
      <c r="AK56" s="23">
        <f t="shared" si="10"/>
        <v>264517.31999999995</v>
      </c>
      <c r="AL56" s="13">
        <v>0</v>
      </c>
      <c r="AM56" s="13">
        <v>0</v>
      </c>
      <c r="AN56" s="13">
        <v>0</v>
      </c>
      <c r="AO56" s="13">
        <v>0</v>
      </c>
      <c r="AP56" s="26">
        <v>332.56384999999995</v>
      </c>
      <c r="AQ56" s="35" t="s">
        <v>199</v>
      </c>
      <c r="AR56" s="14">
        <f t="shared" si="35"/>
        <v>1.2803254836490504E-3</v>
      </c>
      <c r="AS56" s="25">
        <v>2866.6666666666665</v>
      </c>
      <c r="AT56" s="25">
        <v>716.66666666666663</v>
      </c>
      <c r="AU56" s="13" t="s">
        <v>184</v>
      </c>
      <c r="AV56" s="13" t="s">
        <v>185</v>
      </c>
      <c r="AW56" s="13">
        <v>2</v>
      </c>
      <c r="AX56" s="5">
        <f t="shared" si="36"/>
        <v>534316.77999999991</v>
      </c>
    </row>
    <row r="57" spans="1:51">
      <c r="B57" s="12">
        <v>11445</v>
      </c>
      <c r="C57" s="11" t="s">
        <v>20</v>
      </c>
      <c r="D57" s="11" t="s">
        <v>78</v>
      </c>
      <c r="E57" s="25">
        <v>54</v>
      </c>
      <c r="F57" s="25">
        <v>69</v>
      </c>
      <c r="G57" s="25">
        <v>2470086.2699999996</v>
      </c>
      <c r="H57" s="25">
        <v>3334470.87</v>
      </c>
      <c r="I57" s="39">
        <v>50</v>
      </c>
      <c r="J57" s="22">
        <v>2567279.35</v>
      </c>
      <c r="K57" s="22">
        <v>41</v>
      </c>
      <c r="L57" s="22">
        <v>2005528.3199999996</v>
      </c>
      <c r="M57" s="37">
        <v>0</v>
      </c>
      <c r="N57" s="37">
        <v>0</v>
      </c>
      <c r="O57" s="37">
        <v>0</v>
      </c>
      <c r="P57" s="37">
        <v>0</v>
      </c>
      <c r="Q57" s="29">
        <v>386.17172999999997</v>
      </c>
      <c r="R57" s="8">
        <v>80</v>
      </c>
      <c r="S57" s="8">
        <f>+VLOOKUP(B57,[1]Лист2!$A$4:$B$188,2,0)</f>
        <v>31</v>
      </c>
      <c r="T57" s="8">
        <v>4339897.04</v>
      </c>
      <c r="U57" s="8">
        <f>+VLOOKUP(B57,[1]Лист2!$A$4:$C$188,3,0)</f>
        <v>3439318.93</v>
      </c>
      <c r="V57" s="30">
        <f t="shared" si="3"/>
        <v>31</v>
      </c>
      <c r="W57" s="30">
        <f t="shared" si="4"/>
        <v>3439318.93</v>
      </c>
      <c r="X57" s="30">
        <f t="shared" si="5"/>
        <v>80</v>
      </c>
      <c r="Y57" s="30">
        <f t="shared" si="6"/>
        <v>4339897.04</v>
      </c>
      <c r="Z57" s="30">
        <v>0</v>
      </c>
      <c r="AA57" s="30">
        <v>0</v>
      </c>
      <c r="AB57" s="30">
        <v>0</v>
      </c>
      <c r="AC57" s="30">
        <v>0</v>
      </c>
      <c r="AD57" s="25">
        <v>109</v>
      </c>
      <c r="AE57" s="25">
        <v>67</v>
      </c>
      <c r="AF57" s="25">
        <v>4757232.84</v>
      </c>
      <c r="AG57" s="25">
        <v>2000692.5999999996</v>
      </c>
      <c r="AH57" s="23">
        <f t="shared" si="7"/>
        <v>67</v>
      </c>
      <c r="AI57" s="23">
        <f t="shared" si="8"/>
        <v>2000692.5999999996</v>
      </c>
      <c r="AJ57" s="23">
        <f t="shared" si="9"/>
        <v>109</v>
      </c>
      <c r="AK57" s="23">
        <f t="shared" si="10"/>
        <v>4757232.84</v>
      </c>
      <c r="AL57" s="13">
        <v>0</v>
      </c>
      <c r="AM57" s="13">
        <v>0</v>
      </c>
      <c r="AN57" s="13">
        <v>0</v>
      </c>
      <c r="AO57" s="13">
        <v>0</v>
      </c>
      <c r="AP57" s="26">
        <v>375.75137999999998</v>
      </c>
      <c r="AQ57" s="35" t="s">
        <v>199</v>
      </c>
      <c r="AR57" s="14">
        <f t="shared" si="35"/>
        <v>1.6193285484001122E-2</v>
      </c>
      <c r="AS57" s="25">
        <v>122373.11733333334</v>
      </c>
      <c r="AT57" s="25">
        <v>30593.279333333336</v>
      </c>
      <c r="AU57" s="13" t="s">
        <v>184</v>
      </c>
      <c r="AV57" s="13" t="s">
        <v>184</v>
      </c>
      <c r="AW57" s="13">
        <v>1</v>
      </c>
      <c r="AX57" s="5">
        <f t="shared" si="36"/>
        <v>6757925.4399999995</v>
      </c>
    </row>
    <row r="58" spans="1:51" s="6" customFormat="1" ht="38.25" customHeight="1">
      <c r="A58" s="2" t="s">
        <v>54</v>
      </c>
      <c r="C58" s="5" t="s">
        <v>54</v>
      </c>
      <c r="D58" s="5"/>
      <c r="E58" s="5">
        <f t="shared" ref="E58:AO58" si="37">+SUM(E59:E60)</f>
        <v>39</v>
      </c>
      <c r="F58" s="5">
        <f t="shared" si="37"/>
        <v>32</v>
      </c>
      <c r="G58" s="5">
        <f t="shared" si="37"/>
        <v>1130566.4100000001</v>
      </c>
      <c r="H58" s="5">
        <f t="shared" si="37"/>
        <v>1124831.8999999999</v>
      </c>
      <c r="I58" s="5">
        <f t="shared" si="37"/>
        <v>17</v>
      </c>
      <c r="J58" s="5">
        <f t="shared" si="37"/>
        <v>466719.45</v>
      </c>
      <c r="K58" s="5">
        <f t="shared" si="37"/>
        <v>33</v>
      </c>
      <c r="L58" s="5">
        <f t="shared" si="37"/>
        <v>956011.41</v>
      </c>
      <c r="M58" s="5">
        <f t="shared" si="37"/>
        <v>0</v>
      </c>
      <c r="N58" s="5">
        <f t="shared" si="37"/>
        <v>0</v>
      </c>
      <c r="O58" s="5">
        <f t="shared" si="37"/>
        <v>1</v>
      </c>
      <c r="P58" s="5">
        <f t="shared" si="37"/>
        <v>20000</v>
      </c>
      <c r="Q58" s="5">
        <f t="shared" si="37"/>
        <v>743.33455000000004</v>
      </c>
      <c r="R58" s="5">
        <f t="shared" si="37"/>
        <v>97</v>
      </c>
      <c r="S58" s="5">
        <f t="shared" si="37"/>
        <v>42</v>
      </c>
      <c r="T58" s="5">
        <f t="shared" si="37"/>
        <v>6037716.9800000014</v>
      </c>
      <c r="U58" s="5">
        <f t="shared" si="37"/>
        <v>2516137.2800000003</v>
      </c>
      <c r="V58" s="5">
        <f t="shared" si="37"/>
        <v>42</v>
      </c>
      <c r="W58" s="5">
        <f t="shared" si="37"/>
        <v>2516137.2800000003</v>
      </c>
      <c r="X58" s="5">
        <f t="shared" si="37"/>
        <v>97</v>
      </c>
      <c r="Y58" s="5">
        <f t="shared" si="37"/>
        <v>6037716.9800000014</v>
      </c>
      <c r="Z58" s="5">
        <f t="shared" si="37"/>
        <v>0</v>
      </c>
      <c r="AA58" s="5">
        <f t="shared" si="37"/>
        <v>0</v>
      </c>
      <c r="AB58" s="5">
        <f t="shared" si="37"/>
        <v>0</v>
      </c>
      <c r="AC58" s="5">
        <f t="shared" si="37"/>
        <v>0</v>
      </c>
      <c r="AD58" s="5">
        <f t="shared" si="37"/>
        <v>74</v>
      </c>
      <c r="AE58" s="5">
        <f t="shared" si="37"/>
        <v>39</v>
      </c>
      <c r="AF58" s="5">
        <f t="shared" si="37"/>
        <v>3359587.6700000004</v>
      </c>
      <c r="AG58" s="5">
        <f t="shared" si="37"/>
        <v>1064308.98</v>
      </c>
      <c r="AH58" s="5">
        <f t="shared" si="37"/>
        <v>39</v>
      </c>
      <c r="AI58" s="5">
        <f t="shared" si="37"/>
        <v>1064308.98</v>
      </c>
      <c r="AJ58" s="5">
        <f t="shared" si="37"/>
        <v>74</v>
      </c>
      <c r="AK58" s="5">
        <f>+SUM(AK59:AK60)</f>
        <v>3359587.6700000004</v>
      </c>
      <c r="AL58" s="5">
        <f t="shared" si="37"/>
        <v>0</v>
      </c>
      <c r="AM58" s="5">
        <f t="shared" si="37"/>
        <v>0</v>
      </c>
      <c r="AN58" s="5">
        <f t="shared" si="37"/>
        <v>0</v>
      </c>
      <c r="AO58" s="5">
        <f t="shared" si="37"/>
        <v>0</v>
      </c>
      <c r="AP58" s="5">
        <f>+SUM(AP59:AP60)</f>
        <v>1338.9645800000001</v>
      </c>
      <c r="AQ58" s="5" t="s">
        <v>198</v>
      </c>
      <c r="AR58" s="5"/>
      <c r="AS58" s="5">
        <f t="shared" ref="AS58:AT58" si="38">+SUM(AS59:AS60)</f>
        <v>47308.647999999994</v>
      </c>
      <c r="AT58" s="5">
        <f t="shared" si="38"/>
        <v>41520.058666666664</v>
      </c>
      <c r="AU58" s="5"/>
      <c r="AV58" s="5"/>
      <c r="AW58" s="5">
        <f t="shared" ref="AW58" si="39">+SUM(AW59:AW60)</f>
        <v>4</v>
      </c>
      <c r="AX58" s="5">
        <f>+AI58+AK58+AM58+AO58</f>
        <v>4423896.6500000004</v>
      </c>
      <c r="AY58" s="43">
        <f>+AX58/$AX$6</f>
        <v>6.8157738827299653E-3</v>
      </c>
    </row>
    <row r="59" spans="1:51">
      <c r="B59" s="12">
        <v>413</v>
      </c>
      <c r="C59" s="11" t="s">
        <v>14</v>
      </c>
      <c r="D59" s="11" t="s">
        <v>92</v>
      </c>
      <c r="E59" s="25">
        <v>1</v>
      </c>
      <c r="F59" s="25">
        <v>0</v>
      </c>
      <c r="G59" s="25">
        <v>20000</v>
      </c>
      <c r="H59" s="25">
        <v>0</v>
      </c>
      <c r="I59" s="40">
        <v>0</v>
      </c>
      <c r="J59" s="37">
        <v>0</v>
      </c>
      <c r="K59" s="37">
        <v>0</v>
      </c>
      <c r="L59" s="37">
        <v>0</v>
      </c>
      <c r="M59" s="22">
        <v>0</v>
      </c>
      <c r="N59" s="22">
        <v>0</v>
      </c>
      <c r="O59" s="22">
        <v>1</v>
      </c>
      <c r="P59" s="22">
        <v>20000</v>
      </c>
      <c r="Q59" s="29">
        <v>120.22802999999999</v>
      </c>
      <c r="R59" s="8">
        <v>4</v>
      </c>
      <c r="S59" s="8">
        <f>+VLOOKUP(B59,[1]Лист2!$A$4:$B$188,2,0)</f>
        <v>3</v>
      </c>
      <c r="T59" s="8">
        <v>77134.510000000009</v>
      </c>
      <c r="U59" s="8">
        <f>+VLOOKUP(B59,[1]Лист2!$A$4:$C$188,3,0)</f>
        <v>187976</v>
      </c>
      <c r="V59" s="30">
        <f t="shared" si="3"/>
        <v>3</v>
      </c>
      <c r="W59" s="30">
        <f t="shared" si="4"/>
        <v>187976</v>
      </c>
      <c r="X59" s="30">
        <f t="shared" si="5"/>
        <v>4</v>
      </c>
      <c r="Y59" s="30">
        <f t="shared" si="6"/>
        <v>77134.510000000009</v>
      </c>
      <c r="Z59" s="30">
        <v>0</v>
      </c>
      <c r="AA59" s="30">
        <v>0</v>
      </c>
      <c r="AB59" s="30">
        <v>0</v>
      </c>
      <c r="AC59" s="30">
        <v>0</v>
      </c>
      <c r="AD59" s="25">
        <v>2</v>
      </c>
      <c r="AE59" s="25">
        <v>1</v>
      </c>
      <c r="AF59" s="25">
        <v>18235.47</v>
      </c>
      <c r="AG59" s="25">
        <v>49988</v>
      </c>
      <c r="AH59" s="23">
        <f t="shared" si="7"/>
        <v>1</v>
      </c>
      <c r="AI59" s="23">
        <f t="shared" si="8"/>
        <v>49988</v>
      </c>
      <c r="AJ59" s="23">
        <f t="shared" si="9"/>
        <v>2</v>
      </c>
      <c r="AK59" s="23">
        <f t="shared" si="10"/>
        <v>18235.47</v>
      </c>
      <c r="AL59" s="13">
        <v>0</v>
      </c>
      <c r="AM59" s="13">
        <v>0</v>
      </c>
      <c r="AN59" s="13">
        <v>0</v>
      </c>
      <c r="AO59" s="13">
        <v>0</v>
      </c>
      <c r="AP59" s="26">
        <v>112.18971999999999</v>
      </c>
      <c r="AQ59" s="35" t="s">
        <v>199</v>
      </c>
      <c r="AR59" s="14">
        <f>+AX59/$AX$58</f>
        <v>1.5421578621191341E-2</v>
      </c>
      <c r="AS59" s="25">
        <v>1010.6666666666666</v>
      </c>
      <c r="AT59" s="25">
        <v>252.66666666666666</v>
      </c>
      <c r="AU59" s="13" t="s">
        <v>184</v>
      </c>
      <c r="AV59" s="13" t="s">
        <v>184</v>
      </c>
      <c r="AW59" s="13">
        <v>2</v>
      </c>
      <c r="AX59" s="5">
        <f>+AI59+AK59</f>
        <v>68223.47</v>
      </c>
    </row>
    <row r="60" spans="1:51">
      <c r="B60" s="12">
        <v>487</v>
      </c>
      <c r="C60" s="11" t="s">
        <v>16</v>
      </c>
      <c r="D60" s="11" t="s">
        <v>85</v>
      </c>
      <c r="E60" s="25">
        <v>38</v>
      </c>
      <c r="F60" s="25">
        <v>32</v>
      </c>
      <c r="G60" s="25">
        <v>1110566.4100000001</v>
      </c>
      <c r="H60" s="25">
        <v>1124831.8999999999</v>
      </c>
      <c r="I60" s="39">
        <v>17</v>
      </c>
      <c r="J60" s="22">
        <v>466719.45</v>
      </c>
      <c r="K60" s="22">
        <v>33</v>
      </c>
      <c r="L60" s="22">
        <v>956011.41</v>
      </c>
      <c r="M60" s="37">
        <v>0</v>
      </c>
      <c r="N60" s="37">
        <v>0</v>
      </c>
      <c r="O60" s="37">
        <v>0</v>
      </c>
      <c r="P60" s="37">
        <v>0</v>
      </c>
      <c r="Q60" s="29">
        <v>623.10652000000005</v>
      </c>
      <c r="R60" s="8">
        <v>93</v>
      </c>
      <c r="S60" s="8">
        <f>+VLOOKUP(B60,[1]Лист2!$A$4:$B$188,2,0)</f>
        <v>39</v>
      </c>
      <c r="T60" s="8">
        <v>5960582.4700000016</v>
      </c>
      <c r="U60" s="8">
        <f>+VLOOKUP(B60,[1]Лист2!$A$4:$C$188,3,0)</f>
        <v>2328161.2800000003</v>
      </c>
      <c r="V60" s="30">
        <f t="shared" si="3"/>
        <v>39</v>
      </c>
      <c r="W60" s="30">
        <f t="shared" si="4"/>
        <v>2328161.2800000003</v>
      </c>
      <c r="X60" s="30">
        <f t="shared" si="5"/>
        <v>93</v>
      </c>
      <c r="Y60" s="30">
        <f t="shared" si="6"/>
        <v>5960582.4700000016</v>
      </c>
      <c r="Z60" s="30">
        <v>0</v>
      </c>
      <c r="AA60" s="30">
        <v>0</v>
      </c>
      <c r="AB60" s="30">
        <v>0</v>
      </c>
      <c r="AC60" s="30">
        <v>0</v>
      </c>
      <c r="AD60" s="25">
        <v>72</v>
      </c>
      <c r="AE60" s="25">
        <v>38</v>
      </c>
      <c r="AF60" s="25">
        <v>3341352.2</v>
      </c>
      <c r="AG60" s="25">
        <v>1014320.98</v>
      </c>
      <c r="AH60" s="23">
        <f t="shared" si="7"/>
        <v>38</v>
      </c>
      <c r="AI60" s="23">
        <f t="shared" si="8"/>
        <v>1014320.98</v>
      </c>
      <c r="AJ60" s="23">
        <f t="shared" si="9"/>
        <v>72</v>
      </c>
      <c r="AK60" s="23">
        <f t="shared" si="10"/>
        <v>3341352.2</v>
      </c>
      <c r="AL60" s="13">
        <v>0</v>
      </c>
      <c r="AM60" s="13">
        <v>0</v>
      </c>
      <c r="AN60" s="13">
        <v>0</v>
      </c>
      <c r="AO60" s="13">
        <v>0</v>
      </c>
      <c r="AP60" s="26">
        <v>1226.77486</v>
      </c>
      <c r="AQ60" s="42" t="s">
        <v>197</v>
      </c>
      <c r="AR60" s="14">
        <f>+AX60/$AX$58</f>
        <v>0.98457842137880847</v>
      </c>
      <c r="AS60" s="25">
        <v>46297.98133333333</v>
      </c>
      <c r="AT60" s="25">
        <v>41267.392</v>
      </c>
      <c r="AU60" s="13" t="s">
        <v>184</v>
      </c>
      <c r="AV60" s="13" t="s">
        <v>184</v>
      </c>
      <c r="AW60" s="13">
        <v>2</v>
      </c>
      <c r="AX60" s="5">
        <f>+AI60+AK60</f>
        <v>4355673.18</v>
      </c>
    </row>
    <row r="61" spans="1:51" s="6" customFormat="1" ht="38.25" customHeight="1">
      <c r="A61" s="2" t="s">
        <v>55</v>
      </c>
      <c r="C61" s="5" t="s">
        <v>55</v>
      </c>
      <c r="D61" s="5"/>
      <c r="E61" s="5">
        <f t="shared" ref="E61:AO61" si="40">+SUM(E62)</f>
        <v>2</v>
      </c>
      <c r="F61" s="5">
        <f t="shared" si="40"/>
        <v>6</v>
      </c>
      <c r="G61" s="5">
        <f t="shared" si="40"/>
        <v>108609.81</v>
      </c>
      <c r="H61" s="5">
        <f t="shared" si="40"/>
        <v>279618.63</v>
      </c>
      <c r="I61" s="5">
        <f t="shared" si="40"/>
        <v>3</v>
      </c>
      <c r="J61" s="5">
        <f t="shared" si="40"/>
        <v>204372.63</v>
      </c>
      <c r="K61" s="5">
        <f t="shared" si="40"/>
        <v>1</v>
      </c>
      <c r="L61" s="5">
        <f t="shared" si="40"/>
        <v>22200</v>
      </c>
      <c r="M61" s="5">
        <f t="shared" si="40"/>
        <v>0</v>
      </c>
      <c r="N61" s="5">
        <f t="shared" si="40"/>
        <v>0</v>
      </c>
      <c r="O61" s="5">
        <f t="shared" si="40"/>
        <v>0</v>
      </c>
      <c r="P61" s="5">
        <f t="shared" si="40"/>
        <v>0</v>
      </c>
      <c r="Q61" s="5">
        <f t="shared" si="40"/>
        <v>302.06221999999997</v>
      </c>
      <c r="R61" s="5">
        <f t="shared" si="40"/>
        <v>6</v>
      </c>
      <c r="S61" s="5">
        <f t="shared" si="40"/>
        <v>6</v>
      </c>
      <c r="T61" s="5">
        <f t="shared" si="40"/>
        <v>87274.98</v>
      </c>
      <c r="U61" s="5">
        <f t="shared" si="40"/>
        <v>79784.890000000014</v>
      </c>
      <c r="V61" s="5">
        <f t="shared" si="40"/>
        <v>6</v>
      </c>
      <c r="W61" s="5">
        <f t="shared" si="40"/>
        <v>79784.890000000014</v>
      </c>
      <c r="X61" s="5">
        <f t="shared" si="40"/>
        <v>6</v>
      </c>
      <c r="Y61" s="5">
        <f t="shared" si="40"/>
        <v>87274.98</v>
      </c>
      <c r="Z61" s="5">
        <f t="shared" si="40"/>
        <v>0</v>
      </c>
      <c r="AA61" s="5">
        <f t="shared" si="40"/>
        <v>0</v>
      </c>
      <c r="AB61" s="5">
        <f t="shared" si="40"/>
        <v>0</v>
      </c>
      <c r="AC61" s="5">
        <f t="shared" si="40"/>
        <v>0</v>
      </c>
      <c r="AD61" s="5">
        <f t="shared" si="40"/>
        <v>14</v>
      </c>
      <c r="AE61" s="5">
        <f t="shared" si="40"/>
        <v>32</v>
      </c>
      <c r="AF61" s="5">
        <f t="shared" si="40"/>
        <v>808594.4</v>
      </c>
      <c r="AG61" s="5">
        <f t="shared" si="40"/>
        <v>852827.72000000009</v>
      </c>
      <c r="AH61" s="5">
        <f t="shared" si="40"/>
        <v>32</v>
      </c>
      <c r="AI61" s="5">
        <f t="shared" si="40"/>
        <v>852827.72000000009</v>
      </c>
      <c r="AJ61" s="5">
        <f t="shared" si="40"/>
        <v>14</v>
      </c>
      <c r="AK61" s="5">
        <f t="shared" si="40"/>
        <v>808594.4</v>
      </c>
      <c r="AL61" s="5">
        <f t="shared" si="40"/>
        <v>0</v>
      </c>
      <c r="AM61" s="5">
        <f t="shared" si="40"/>
        <v>0</v>
      </c>
      <c r="AN61" s="5">
        <f t="shared" si="40"/>
        <v>0</v>
      </c>
      <c r="AO61" s="5">
        <f t="shared" si="40"/>
        <v>0</v>
      </c>
      <c r="AP61" s="5">
        <f>+SUM(AP62)</f>
        <v>306.18017999999995</v>
      </c>
      <c r="AQ61" s="5" t="s">
        <v>199</v>
      </c>
      <c r="AR61" s="5"/>
      <c r="AS61" s="5">
        <f t="shared" ref="AS61" si="41">+SUM(AS62)</f>
        <v>3570.6666666666665</v>
      </c>
      <c r="AT61" s="5">
        <f>+SUM(AT62)</f>
        <v>892.66666666666663</v>
      </c>
      <c r="AU61" s="5"/>
      <c r="AV61" s="5"/>
      <c r="AW61" s="5">
        <f>+SUM(AW62)</f>
        <v>2</v>
      </c>
      <c r="AX61" s="5">
        <f>+AI61+AK61+AM61+AO61</f>
        <v>1661422.12</v>
      </c>
      <c r="AY61" s="43">
        <f>+AX61/$AX$6</f>
        <v>2.559706609259475E-3</v>
      </c>
    </row>
    <row r="62" spans="1:51" ht="30">
      <c r="B62" s="12">
        <v>10819</v>
      </c>
      <c r="C62" s="11" t="s">
        <v>34</v>
      </c>
      <c r="D62" s="11" t="s">
        <v>90</v>
      </c>
      <c r="E62" s="25">
        <v>2</v>
      </c>
      <c r="F62" s="25">
        <v>6</v>
      </c>
      <c r="G62" s="25">
        <v>108609.81</v>
      </c>
      <c r="H62" s="25">
        <v>279618.63</v>
      </c>
      <c r="I62" s="39">
        <v>3</v>
      </c>
      <c r="J62" s="22">
        <v>204372.63</v>
      </c>
      <c r="K62" s="22">
        <v>1</v>
      </c>
      <c r="L62" s="22">
        <v>22200</v>
      </c>
      <c r="M62" s="37">
        <v>0</v>
      </c>
      <c r="N62" s="37">
        <v>0</v>
      </c>
      <c r="O62" s="37">
        <v>0</v>
      </c>
      <c r="P62" s="37">
        <v>0</v>
      </c>
      <c r="Q62" s="29">
        <v>302.06221999999997</v>
      </c>
      <c r="R62" s="8">
        <v>6</v>
      </c>
      <c r="S62" s="8">
        <f>+VLOOKUP(B62,[1]Лист2!$A$4:$B$188,2,0)</f>
        <v>6</v>
      </c>
      <c r="T62" s="8">
        <v>87274.98</v>
      </c>
      <c r="U62" s="8">
        <f>+VLOOKUP(B62,[1]Лист2!$A$4:$C$188,3,0)</f>
        <v>79784.890000000014</v>
      </c>
      <c r="V62" s="30">
        <f t="shared" si="3"/>
        <v>6</v>
      </c>
      <c r="W62" s="30">
        <f t="shared" si="4"/>
        <v>79784.890000000014</v>
      </c>
      <c r="X62" s="30">
        <f t="shared" si="5"/>
        <v>6</v>
      </c>
      <c r="Y62" s="30">
        <f t="shared" si="6"/>
        <v>87274.98</v>
      </c>
      <c r="Z62" s="30">
        <v>0</v>
      </c>
      <c r="AA62" s="30">
        <v>0</v>
      </c>
      <c r="AB62" s="30">
        <v>0</v>
      </c>
      <c r="AC62" s="30">
        <v>0</v>
      </c>
      <c r="AD62" s="25">
        <v>14</v>
      </c>
      <c r="AE62" s="25">
        <v>32</v>
      </c>
      <c r="AF62" s="25">
        <v>808594.4</v>
      </c>
      <c r="AG62" s="25">
        <v>852827.72000000009</v>
      </c>
      <c r="AH62" s="23">
        <f t="shared" si="7"/>
        <v>32</v>
      </c>
      <c r="AI62" s="23">
        <f t="shared" si="8"/>
        <v>852827.72000000009</v>
      </c>
      <c r="AJ62" s="23">
        <f t="shared" si="9"/>
        <v>14</v>
      </c>
      <c r="AK62" s="23">
        <f t="shared" si="10"/>
        <v>808594.4</v>
      </c>
      <c r="AL62" s="13">
        <v>0</v>
      </c>
      <c r="AM62" s="13">
        <v>0</v>
      </c>
      <c r="AN62" s="13">
        <v>0</v>
      </c>
      <c r="AO62" s="13">
        <v>0</v>
      </c>
      <c r="AP62" s="26">
        <v>306.18017999999995</v>
      </c>
      <c r="AQ62" s="42" t="s">
        <v>197</v>
      </c>
      <c r="AR62" s="14">
        <f>+AX62/$AX$61</f>
        <v>1</v>
      </c>
      <c r="AS62" s="25">
        <v>3570.6666666666665</v>
      </c>
      <c r="AT62" s="25">
        <v>892.66666666666663</v>
      </c>
      <c r="AU62" s="13" t="s">
        <v>184</v>
      </c>
      <c r="AV62" s="13" t="s">
        <v>184</v>
      </c>
      <c r="AW62" s="13">
        <v>2</v>
      </c>
      <c r="AX62" s="5">
        <f>+AI62+AK62</f>
        <v>1661422.12</v>
      </c>
    </row>
    <row r="63" spans="1:51" s="6" customFormat="1" ht="38.25" customHeight="1">
      <c r="A63" s="2" t="s">
        <v>56</v>
      </c>
      <c r="C63" s="5" t="s">
        <v>56</v>
      </c>
      <c r="D63" s="5"/>
      <c r="E63" s="5">
        <v>5</v>
      </c>
      <c r="F63" s="5">
        <v>2</v>
      </c>
      <c r="G63" s="5">
        <v>75110</v>
      </c>
      <c r="H63" s="5">
        <v>41600</v>
      </c>
      <c r="I63" s="31">
        <f t="shared" ref="I63:P63" si="42">+SUM(I64:I66)</f>
        <v>2</v>
      </c>
      <c r="J63" s="36">
        <f t="shared" si="42"/>
        <v>41600</v>
      </c>
      <c r="K63" s="36">
        <f t="shared" si="42"/>
        <v>0</v>
      </c>
      <c r="L63" s="36">
        <f t="shared" si="42"/>
        <v>0</v>
      </c>
      <c r="M63" s="36">
        <f t="shared" si="42"/>
        <v>0</v>
      </c>
      <c r="N63" s="36">
        <f t="shared" si="42"/>
        <v>0</v>
      </c>
      <c r="O63" s="36">
        <f t="shared" si="42"/>
        <v>5</v>
      </c>
      <c r="P63" s="36">
        <f t="shared" si="42"/>
        <v>75110</v>
      </c>
      <c r="Q63" s="28">
        <f t="shared" ref="Q63:AS63" si="43">+SUM(Q64:Q66)</f>
        <v>499.44032000000004</v>
      </c>
      <c r="R63" s="5">
        <v>3</v>
      </c>
      <c r="S63" s="5">
        <f t="shared" si="43"/>
        <v>4</v>
      </c>
      <c r="T63" s="5">
        <v>190000</v>
      </c>
      <c r="U63" s="5">
        <f t="shared" si="43"/>
        <v>158233.54999999999</v>
      </c>
      <c r="V63" s="5">
        <f t="shared" si="3"/>
        <v>4</v>
      </c>
      <c r="W63" s="5">
        <f t="shared" si="4"/>
        <v>158233.54999999999</v>
      </c>
      <c r="X63" s="5">
        <f t="shared" si="5"/>
        <v>3</v>
      </c>
      <c r="Y63" s="5">
        <f t="shared" si="6"/>
        <v>190000</v>
      </c>
      <c r="Z63" s="5">
        <f>((+SUM(Z64:Z66))/3)*4</f>
        <v>0</v>
      </c>
      <c r="AA63" s="5">
        <f>((+SUM(AA64:AA66))/3)*4</f>
        <v>0</v>
      </c>
      <c r="AB63" s="5">
        <v>0</v>
      </c>
      <c r="AC63" s="5">
        <v>0</v>
      </c>
      <c r="AD63" s="5">
        <v>6</v>
      </c>
      <c r="AE63" s="5">
        <v>3</v>
      </c>
      <c r="AF63" s="5">
        <v>307500</v>
      </c>
      <c r="AG63" s="5">
        <v>5100</v>
      </c>
      <c r="AH63" s="5">
        <f t="shared" si="7"/>
        <v>3</v>
      </c>
      <c r="AI63" s="5">
        <f t="shared" si="8"/>
        <v>5100</v>
      </c>
      <c r="AJ63" s="5">
        <f t="shared" si="9"/>
        <v>6</v>
      </c>
      <c r="AK63" s="5">
        <f t="shared" si="10"/>
        <v>307500</v>
      </c>
      <c r="AL63" s="5">
        <f>((((+SUM(AL64:AL66))/3)*4)/3)*4</f>
        <v>0</v>
      </c>
      <c r="AM63" s="5">
        <f>((((+SUM(AM64:AM66))/3)*4)/3)*4</f>
        <v>0</v>
      </c>
      <c r="AN63" s="5">
        <f>((((+SUM(AN64:AN66))/3)*4)/3)*4</f>
        <v>0</v>
      </c>
      <c r="AO63" s="5">
        <f>((((+SUM(AO64:AO66))/3)*4)/3)*4</f>
        <v>0</v>
      </c>
      <c r="AP63" s="5">
        <f t="shared" si="43"/>
        <v>274.44549000000001</v>
      </c>
      <c r="AQ63" s="5" t="s">
        <v>199</v>
      </c>
      <c r="AR63" s="5"/>
      <c r="AS63" s="5">
        <f t="shared" si="43"/>
        <v>2974.6666666666665</v>
      </c>
      <c r="AT63" s="5">
        <f>+SUM(AT64:AT66)</f>
        <v>743.66666666666663</v>
      </c>
      <c r="AU63" s="5"/>
      <c r="AV63" s="5"/>
      <c r="AW63" s="5">
        <f>+SUM(AW64:AW66)</f>
        <v>6</v>
      </c>
      <c r="AX63" s="5">
        <f>+AI63+AK63+AM63+AO63</f>
        <v>312600</v>
      </c>
      <c r="AY63" s="43">
        <f>+AX63/$AX$6</f>
        <v>4.8161408014389011E-4</v>
      </c>
    </row>
    <row r="64" spans="1:51">
      <c r="B64" s="12">
        <v>482</v>
      </c>
      <c r="C64" s="11" t="s">
        <v>14</v>
      </c>
      <c r="D64" s="11" t="s">
        <v>94</v>
      </c>
      <c r="E64" s="25">
        <v>4</v>
      </c>
      <c r="F64" s="25">
        <v>0</v>
      </c>
      <c r="G64" s="25">
        <v>41400</v>
      </c>
      <c r="H64" s="25">
        <v>0</v>
      </c>
      <c r="I64" s="40">
        <v>0</v>
      </c>
      <c r="J64" s="37">
        <v>0</v>
      </c>
      <c r="K64" s="37">
        <v>0</v>
      </c>
      <c r="L64" s="37">
        <v>0</v>
      </c>
      <c r="M64" s="22">
        <v>0</v>
      </c>
      <c r="N64" s="22">
        <v>0</v>
      </c>
      <c r="O64" s="22">
        <v>4</v>
      </c>
      <c r="P64" s="22">
        <v>41400</v>
      </c>
      <c r="Q64" s="29">
        <v>365.59012000000001</v>
      </c>
      <c r="R64" s="8"/>
      <c r="S64" s="8">
        <f>+VLOOKUP(B64,[1]Лист2!$A$4:$B$188,2,0)</f>
        <v>4</v>
      </c>
      <c r="T64" s="8"/>
      <c r="U64" s="8">
        <f>+VLOOKUP(B64,[1]Лист2!$A$4:$C$188,3,0)</f>
        <v>158233.54999999999</v>
      </c>
      <c r="V64" s="30">
        <f t="shared" si="3"/>
        <v>4</v>
      </c>
      <c r="W64" s="30">
        <f t="shared" si="4"/>
        <v>158233.54999999999</v>
      </c>
      <c r="X64" s="30">
        <f t="shared" si="5"/>
        <v>0</v>
      </c>
      <c r="Y64" s="30">
        <f t="shared" si="6"/>
        <v>0</v>
      </c>
      <c r="Z64" s="30">
        <v>0</v>
      </c>
      <c r="AA64" s="30">
        <v>0</v>
      </c>
      <c r="AB64" s="30">
        <v>0</v>
      </c>
      <c r="AC64" s="30">
        <v>0</v>
      </c>
      <c r="AD64" s="25">
        <v>7</v>
      </c>
      <c r="AE64" s="25">
        <v>7</v>
      </c>
      <c r="AF64" s="25">
        <v>228909.22</v>
      </c>
      <c r="AG64" s="25">
        <v>53230.95</v>
      </c>
      <c r="AH64" s="23">
        <f t="shared" si="7"/>
        <v>7</v>
      </c>
      <c r="AI64" s="23">
        <f t="shared" si="8"/>
        <v>53230.95</v>
      </c>
      <c r="AJ64" s="23">
        <f t="shared" si="9"/>
        <v>7</v>
      </c>
      <c r="AK64" s="23">
        <f t="shared" si="10"/>
        <v>228909.22</v>
      </c>
      <c r="AL64" s="13">
        <v>0</v>
      </c>
      <c r="AM64" s="13">
        <v>0</v>
      </c>
      <c r="AN64" s="13">
        <v>0</v>
      </c>
      <c r="AO64" s="13">
        <v>0</v>
      </c>
      <c r="AP64" s="26">
        <v>240.92138</v>
      </c>
      <c r="AQ64" s="35" t="s">
        <v>197</v>
      </c>
      <c r="AR64" s="14">
        <f>+AX64/$AX$63</f>
        <v>0.90255972488803582</v>
      </c>
      <c r="AS64" s="25">
        <v>2974.6666666666665</v>
      </c>
      <c r="AT64" s="25">
        <v>743.66666666666663</v>
      </c>
      <c r="AU64" s="13" t="s">
        <v>184</v>
      </c>
      <c r="AV64" s="13" t="s">
        <v>184</v>
      </c>
      <c r="AW64" s="13">
        <v>2</v>
      </c>
      <c r="AX64" s="5">
        <f t="shared" ref="AX64:AX68" si="44">+AI64+AK64</f>
        <v>282140.17</v>
      </c>
    </row>
    <row r="65" spans="1:51">
      <c r="B65" s="12">
        <v>11785</v>
      </c>
      <c r="C65" s="11" t="s">
        <v>27</v>
      </c>
      <c r="D65" s="11" t="s">
        <v>124</v>
      </c>
      <c r="E65" s="25">
        <v>0</v>
      </c>
      <c r="F65" s="25">
        <v>2</v>
      </c>
      <c r="G65" s="25">
        <v>0</v>
      </c>
      <c r="H65" s="25">
        <v>41600</v>
      </c>
      <c r="I65" s="39">
        <v>2</v>
      </c>
      <c r="J65" s="22">
        <v>41600</v>
      </c>
      <c r="K65" s="22">
        <v>0</v>
      </c>
      <c r="L65" s="22">
        <v>0</v>
      </c>
      <c r="M65" s="37">
        <v>0</v>
      </c>
      <c r="N65" s="37">
        <v>0</v>
      </c>
      <c r="O65" s="37">
        <v>0</v>
      </c>
      <c r="P65" s="37">
        <v>0</v>
      </c>
      <c r="Q65" s="29">
        <v>0</v>
      </c>
      <c r="R65" s="8"/>
      <c r="S65" s="8"/>
      <c r="T65" s="8"/>
      <c r="U65" s="8"/>
      <c r="V65" s="30">
        <f t="shared" si="3"/>
        <v>0</v>
      </c>
      <c r="W65" s="30">
        <f t="shared" si="4"/>
        <v>0</v>
      </c>
      <c r="X65" s="30">
        <f t="shared" si="5"/>
        <v>0</v>
      </c>
      <c r="Y65" s="30">
        <f t="shared" si="6"/>
        <v>0</v>
      </c>
      <c r="Z65" s="30">
        <f>((+S65)/3)*4</f>
        <v>0</v>
      </c>
      <c r="AA65" s="30">
        <f>((+U65)/3)*4</f>
        <v>0</v>
      </c>
      <c r="AB65" s="30">
        <v>0</v>
      </c>
      <c r="AC65" s="30">
        <v>0</v>
      </c>
      <c r="AD65" s="25">
        <v>0</v>
      </c>
      <c r="AE65" s="25">
        <v>0</v>
      </c>
      <c r="AF65" s="25">
        <v>0</v>
      </c>
      <c r="AG65" s="25">
        <v>0</v>
      </c>
      <c r="AH65" s="23">
        <f t="shared" si="7"/>
        <v>0</v>
      </c>
      <c r="AI65" s="23">
        <f t="shared" si="8"/>
        <v>0</v>
      </c>
      <c r="AJ65" s="23">
        <f t="shared" si="9"/>
        <v>0</v>
      </c>
      <c r="AK65" s="23">
        <f t="shared" si="10"/>
        <v>0</v>
      </c>
      <c r="AL65" s="13">
        <v>0</v>
      </c>
      <c r="AM65" s="13">
        <v>0</v>
      </c>
      <c r="AN65" s="13">
        <v>0</v>
      </c>
      <c r="AO65" s="13">
        <v>0</v>
      </c>
      <c r="AP65" s="26">
        <v>0</v>
      </c>
      <c r="AQ65" s="35" t="s">
        <v>199</v>
      </c>
      <c r="AR65" s="14">
        <f t="shared" ref="AR65:AR66" si="45">+AX65/$AX$63</f>
        <v>0</v>
      </c>
      <c r="AS65" s="25">
        <v>0</v>
      </c>
      <c r="AT65" s="25">
        <v>0</v>
      </c>
      <c r="AU65" s="13" t="s">
        <v>185</v>
      </c>
      <c r="AV65" s="13" t="s">
        <v>185</v>
      </c>
      <c r="AW65" s="13">
        <v>2</v>
      </c>
      <c r="AX65" s="5">
        <f t="shared" si="44"/>
        <v>0</v>
      </c>
    </row>
    <row r="66" spans="1:51">
      <c r="B66" s="12">
        <v>11487</v>
      </c>
      <c r="C66" s="11" t="s">
        <v>18</v>
      </c>
      <c r="D66" s="11" t="s">
        <v>125</v>
      </c>
      <c r="E66" s="25">
        <v>1</v>
      </c>
      <c r="F66" s="25">
        <v>0</v>
      </c>
      <c r="G66" s="25">
        <v>33710</v>
      </c>
      <c r="H66" s="25">
        <v>0</v>
      </c>
      <c r="I66" s="40">
        <v>0</v>
      </c>
      <c r="J66" s="37">
        <v>0</v>
      </c>
      <c r="K66" s="37">
        <v>0</v>
      </c>
      <c r="L66" s="37">
        <v>0</v>
      </c>
      <c r="M66" s="22">
        <v>0</v>
      </c>
      <c r="N66" s="22">
        <v>0</v>
      </c>
      <c r="O66" s="22">
        <v>1</v>
      </c>
      <c r="P66" s="22">
        <v>33710</v>
      </c>
      <c r="Q66" s="29">
        <v>133.8502</v>
      </c>
      <c r="R66" s="8">
        <v>3</v>
      </c>
      <c r="S66" s="8"/>
      <c r="T66" s="8">
        <v>190000</v>
      </c>
      <c r="U66" s="8"/>
      <c r="V66" s="30">
        <f t="shared" si="3"/>
        <v>0</v>
      </c>
      <c r="W66" s="30">
        <f t="shared" si="4"/>
        <v>0</v>
      </c>
      <c r="X66" s="30">
        <f t="shared" si="5"/>
        <v>3</v>
      </c>
      <c r="Y66" s="30">
        <f t="shared" si="6"/>
        <v>190000</v>
      </c>
      <c r="Z66" s="30">
        <f>((+S66)/3)*4</f>
        <v>0</v>
      </c>
      <c r="AA66" s="30">
        <f>((+U66)/3)*4</f>
        <v>0</v>
      </c>
      <c r="AB66" s="30">
        <v>0</v>
      </c>
      <c r="AC66" s="30">
        <v>0</v>
      </c>
      <c r="AD66" s="25">
        <v>2</v>
      </c>
      <c r="AE66" s="25">
        <v>0</v>
      </c>
      <c r="AF66" s="25">
        <v>123000</v>
      </c>
      <c r="AG66" s="25">
        <v>0</v>
      </c>
      <c r="AH66" s="23">
        <f t="shared" si="7"/>
        <v>0</v>
      </c>
      <c r="AI66" s="23">
        <f t="shared" si="8"/>
        <v>0</v>
      </c>
      <c r="AJ66" s="23">
        <f t="shared" si="9"/>
        <v>2</v>
      </c>
      <c r="AK66" s="23">
        <f t="shared" si="10"/>
        <v>123000</v>
      </c>
      <c r="AL66" s="13">
        <v>0</v>
      </c>
      <c r="AM66" s="13">
        <v>0</v>
      </c>
      <c r="AN66" s="13">
        <v>0</v>
      </c>
      <c r="AO66" s="13">
        <v>0</v>
      </c>
      <c r="AP66" s="26">
        <v>33.52411</v>
      </c>
      <c r="AQ66" s="42" t="s">
        <v>196</v>
      </c>
      <c r="AR66" s="14">
        <f t="shared" si="45"/>
        <v>0.39347408829174663</v>
      </c>
      <c r="AS66" s="25">
        <v>0</v>
      </c>
      <c r="AT66" s="25">
        <v>0</v>
      </c>
      <c r="AU66" s="13" t="s">
        <v>184</v>
      </c>
      <c r="AV66" s="13" t="s">
        <v>184</v>
      </c>
      <c r="AW66" s="13">
        <v>2</v>
      </c>
      <c r="AX66" s="5">
        <f t="shared" si="44"/>
        <v>123000</v>
      </c>
    </row>
    <row r="67" spans="1:51" s="6" customFormat="1" ht="38.25" customHeight="1">
      <c r="A67" s="2" t="s">
        <v>57</v>
      </c>
      <c r="C67" s="5" t="s">
        <v>57</v>
      </c>
      <c r="D67" s="5"/>
      <c r="E67" s="5">
        <f t="shared" ref="E67:AO67" si="46">+SUM(E68:E69)</f>
        <v>0</v>
      </c>
      <c r="F67" s="5">
        <f t="shared" si="46"/>
        <v>0</v>
      </c>
      <c r="G67" s="5">
        <f t="shared" si="46"/>
        <v>0</v>
      </c>
      <c r="H67" s="5">
        <f t="shared" si="46"/>
        <v>0</v>
      </c>
      <c r="I67" s="5">
        <f t="shared" si="46"/>
        <v>0</v>
      </c>
      <c r="J67" s="5">
        <f t="shared" si="46"/>
        <v>0</v>
      </c>
      <c r="K67" s="5">
        <f t="shared" si="46"/>
        <v>0</v>
      </c>
      <c r="L67" s="5">
        <f t="shared" si="46"/>
        <v>0</v>
      </c>
      <c r="M67" s="5">
        <f t="shared" si="46"/>
        <v>0</v>
      </c>
      <c r="N67" s="5">
        <f t="shared" si="46"/>
        <v>0</v>
      </c>
      <c r="O67" s="5">
        <f t="shared" si="46"/>
        <v>0</v>
      </c>
      <c r="P67" s="5">
        <f t="shared" si="46"/>
        <v>0</v>
      </c>
      <c r="Q67" s="5">
        <f t="shared" si="46"/>
        <v>518.67289000000005</v>
      </c>
      <c r="R67" s="5">
        <f t="shared" si="46"/>
        <v>2</v>
      </c>
      <c r="S67" s="5">
        <f t="shared" si="46"/>
        <v>0</v>
      </c>
      <c r="T67" s="5">
        <f t="shared" si="46"/>
        <v>80127.350000000006</v>
      </c>
      <c r="U67" s="5">
        <f t="shared" si="46"/>
        <v>0</v>
      </c>
      <c r="V67" s="5">
        <f t="shared" si="46"/>
        <v>0</v>
      </c>
      <c r="W67" s="5">
        <f t="shared" si="46"/>
        <v>0</v>
      </c>
      <c r="X67" s="5">
        <f t="shared" si="46"/>
        <v>2</v>
      </c>
      <c r="Y67" s="5">
        <f t="shared" si="46"/>
        <v>80127.350000000006</v>
      </c>
      <c r="Z67" s="5">
        <f t="shared" si="46"/>
        <v>0</v>
      </c>
      <c r="AA67" s="5">
        <f t="shared" si="46"/>
        <v>0</v>
      </c>
      <c r="AB67" s="5">
        <f t="shared" si="46"/>
        <v>0</v>
      </c>
      <c r="AC67" s="5">
        <f t="shared" si="46"/>
        <v>0</v>
      </c>
      <c r="AD67" s="5">
        <f t="shared" si="46"/>
        <v>13</v>
      </c>
      <c r="AE67" s="5">
        <f t="shared" si="46"/>
        <v>9</v>
      </c>
      <c r="AF67" s="5">
        <f t="shared" si="46"/>
        <v>196120.15000000002</v>
      </c>
      <c r="AG67" s="5">
        <f t="shared" si="46"/>
        <v>285716.06</v>
      </c>
      <c r="AH67" s="5">
        <f t="shared" si="46"/>
        <v>9</v>
      </c>
      <c r="AI67" s="5">
        <f t="shared" si="46"/>
        <v>285716.06</v>
      </c>
      <c r="AJ67" s="5">
        <f t="shared" si="46"/>
        <v>13</v>
      </c>
      <c r="AK67" s="5">
        <f t="shared" si="46"/>
        <v>196120.15000000002</v>
      </c>
      <c r="AL67" s="5">
        <f t="shared" si="46"/>
        <v>0</v>
      </c>
      <c r="AM67" s="5">
        <f t="shared" si="46"/>
        <v>0</v>
      </c>
      <c r="AN67" s="5">
        <f t="shared" si="46"/>
        <v>0</v>
      </c>
      <c r="AO67" s="5">
        <f t="shared" si="46"/>
        <v>0</v>
      </c>
      <c r="AP67" s="5">
        <f>+SUM(AP68:AP69)</f>
        <v>518.67289000000005</v>
      </c>
      <c r="AQ67" s="5" t="s">
        <v>199</v>
      </c>
      <c r="AR67" s="5"/>
      <c r="AS67" s="5">
        <f>+SUM(AS68:AS69)</f>
        <v>1129.8666666666666</v>
      </c>
      <c r="AT67" s="5">
        <f>+SUM(AT68:AT69)</f>
        <v>282.46666666666664</v>
      </c>
      <c r="AU67" s="5"/>
      <c r="AV67" s="5"/>
      <c r="AW67" s="5">
        <f>+SUM(AW68:AW69)</f>
        <v>4</v>
      </c>
      <c r="AX67" s="5">
        <f>+AI67+AK67+AM67+AO67</f>
        <v>481836.21</v>
      </c>
      <c r="AY67" s="43">
        <f>+AX67/$AX$6</f>
        <v>7.4235157728460741E-4</v>
      </c>
    </row>
    <row r="68" spans="1:51" ht="30">
      <c r="B68" s="12">
        <v>10793</v>
      </c>
      <c r="C68" s="11" t="s">
        <v>19</v>
      </c>
      <c r="D68" s="11" t="s">
        <v>126</v>
      </c>
      <c r="E68" s="25">
        <v>0</v>
      </c>
      <c r="F68" s="25">
        <v>0</v>
      </c>
      <c r="G68" s="25">
        <v>0</v>
      </c>
      <c r="H68" s="25">
        <v>0</v>
      </c>
      <c r="I68" s="40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29">
        <v>11.103</v>
      </c>
      <c r="R68" s="8">
        <v>2</v>
      </c>
      <c r="S68" s="8"/>
      <c r="T68" s="8">
        <v>80127.350000000006</v>
      </c>
      <c r="U68" s="8"/>
      <c r="V68" s="30">
        <f t="shared" si="3"/>
        <v>0</v>
      </c>
      <c r="W68" s="30">
        <f t="shared" si="4"/>
        <v>0</v>
      </c>
      <c r="X68" s="30">
        <f t="shared" si="5"/>
        <v>2</v>
      </c>
      <c r="Y68" s="30">
        <f t="shared" si="6"/>
        <v>80127.350000000006</v>
      </c>
      <c r="Z68" s="30">
        <f>((+S68)/3)*4</f>
        <v>0</v>
      </c>
      <c r="AA68" s="30">
        <f>((+U68)/3)*4</f>
        <v>0</v>
      </c>
      <c r="AB68" s="30">
        <v>0</v>
      </c>
      <c r="AC68" s="30">
        <v>0</v>
      </c>
      <c r="AD68" s="25">
        <v>11</v>
      </c>
      <c r="AE68" s="25">
        <v>6</v>
      </c>
      <c r="AF68" s="25">
        <v>96010.83</v>
      </c>
      <c r="AG68" s="25">
        <v>69901.58</v>
      </c>
      <c r="AH68" s="23">
        <f t="shared" si="7"/>
        <v>6</v>
      </c>
      <c r="AI68" s="23">
        <f t="shared" si="8"/>
        <v>69901.58</v>
      </c>
      <c r="AJ68" s="23">
        <f t="shared" si="9"/>
        <v>11</v>
      </c>
      <c r="AK68" s="23">
        <f t="shared" si="10"/>
        <v>96010.83</v>
      </c>
      <c r="AL68" s="13">
        <v>0</v>
      </c>
      <c r="AM68" s="13">
        <v>0</v>
      </c>
      <c r="AN68" s="13">
        <v>0</v>
      </c>
      <c r="AO68" s="13">
        <v>0</v>
      </c>
      <c r="AP68" s="26">
        <v>11.103</v>
      </c>
      <c r="AQ68" s="42" t="s">
        <v>196</v>
      </c>
      <c r="AR68" s="14">
        <f>+AX68/$AX$67</f>
        <v>0.34433362739591528</v>
      </c>
      <c r="AS68" s="25">
        <v>1129.8666666666666</v>
      </c>
      <c r="AT68" s="25">
        <v>282.46666666666664</v>
      </c>
      <c r="AU68" s="13" t="s">
        <v>185</v>
      </c>
      <c r="AV68" s="13" t="s">
        <v>185</v>
      </c>
      <c r="AW68" s="13">
        <v>2</v>
      </c>
      <c r="AX68" s="5">
        <f t="shared" si="44"/>
        <v>165912.41</v>
      </c>
    </row>
    <row r="69" spans="1:51">
      <c r="B69" s="12">
        <v>11387</v>
      </c>
      <c r="C69" s="11" t="s">
        <v>18</v>
      </c>
      <c r="D69" s="11" t="s">
        <v>127</v>
      </c>
      <c r="E69" s="25">
        <v>0</v>
      </c>
      <c r="F69" s="25">
        <v>0</v>
      </c>
      <c r="G69" s="25">
        <v>0</v>
      </c>
      <c r="H69" s="25">
        <v>0</v>
      </c>
      <c r="I69" s="40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29">
        <v>507.56989000000004</v>
      </c>
      <c r="R69" s="8"/>
      <c r="S69" s="8"/>
      <c r="T69" s="8"/>
      <c r="U69" s="8"/>
      <c r="V69" s="30">
        <f t="shared" si="3"/>
        <v>0</v>
      </c>
      <c r="W69" s="30">
        <f t="shared" si="4"/>
        <v>0</v>
      </c>
      <c r="X69" s="30">
        <f t="shared" si="5"/>
        <v>0</v>
      </c>
      <c r="Y69" s="30">
        <f t="shared" si="6"/>
        <v>0</v>
      </c>
      <c r="Z69" s="30">
        <f>((+S69)/3)*4</f>
        <v>0</v>
      </c>
      <c r="AA69" s="30">
        <f>((+U69)/3)*4</f>
        <v>0</v>
      </c>
      <c r="AB69" s="30">
        <v>0</v>
      </c>
      <c r="AC69" s="30">
        <v>0</v>
      </c>
      <c r="AD69" s="25">
        <v>2</v>
      </c>
      <c r="AE69" s="25">
        <v>3</v>
      </c>
      <c r="AF69" s="25">
        <v>100109.32</v>
      </c>
      <c r="AG69" s="25">
        <v>215814.47999999998</v>
      </c>
      <c r="AH69" s="23">
        <f t="shared" si="7"/>
        <v>3</v>
      </c>
      <c r="AI69" s="23">
        <f t="shared" si="8"/>
        <v>215814.47999999998</v>
      </c>
      <c r="AJ69" s="23">
        <f t="shared" si="9"/>
        <v>2</v>
      </c>
      <c r="AK69" s="23">
        <f t="shared" si="10"/>
        <v>100109.32</v>
      </c>
      <c r="AL69" s="13">
        <v>0</v>
      </c>
      <c r="AM69" s="13">
        <v>0</v>
      </c>
      <c r="AN69" s="13">
        <v>0</v>
      </c>
      <c r="AO69" s="13">
        <v>0</v>
      </c>
      <c r="AP69" s="26">
        <v>507.56989000000004</v>
      </c>
      <c r="AQ69" s="35" t="s">
        <v>197</v>
      </c>
      <c r="AR69" s="14">
        <f>+AX69/$AX$67</f>
        <v>0.65566637260408467</v>
      </c>
      <c r="AS69" s="25">
        <v>0</v>
      </c>
      <c r="AT69" s="25">
        <v>0</v>
      </c>
      <c r="AU69" s="13" t="s">
        <v>184</v>
      </c>
      <c r="AV69" s="13" t="s">
        <v>184</v>
      </c>
      <c r="AW69" s="13">
        <v>2</v>
      </c>
      <c r="AX69" s="5">
        <f>+AI69+AK69</f>
        <v>315923.8</v>
      </c>
    </row>
    <row r="70" spans="1:51" s="6" customFormat="1" ht="38.25" customHeight="1">
      <c r="A70" s="2" t="s">
        <v>58</v>
      </c>
      <c r="C70" s="5" t="s">
        <v>58</v>
      </c>
      <c r="D70" s="5"/>
      <c r="E70" s="5">
        <f t="shared" ref="E70:AN70" si="47">((((+SUM(E71:E72))/3)*4)/3)*4</f>
        <v>124.44444444444444</v>
      </c>
      <c r="F70" s="5">
        <f t="shared" si="47"/>
        <v>1.7777777777777777</v>
      </c>
      <c r="G70" s="5">
        <f t="shared" si="47"/>
        <v>2007166.8622222219</v>
      </c>
      <c r="H70" s="5">
        <f t="shared" si="47"/>
        <v>5313.7777777777783</v>
      </c>
      <c r="I70" s="5">
        <f t="shared" si="47"/>
        <v>1.7777777777777777</v>
      </c>
      <c r="J70" s="5">
        <f t="shared" si="47"/>
        <v>5313.7777777777783</v>
      </c>
      <c r="K70" s="5">
        <f t="shared" si="47"/>
        <v>110.22222222222223</v>
      </c>
      <c r="L70" s="5">
        <f t="shared" si="47"/>
        <v>1759107.4311111111</v>
      </c>
      <c r="M70" s="5">
        <f t="shared" si="47"/>
        <v>0</v>
      </c>
      <c r="N70" s="5">
        <f t="shared" si="47"/>
        <v>0</v>
      </c>
      <c r="O70" s="5">
        <f t="shared" si="47"/>
        <v>0</v>
      </c>
      <c r="P70" s="5">
        <f t="shared" si="47"/>
        <v>0</v>
      </c>
      <c r="Q70" s="5">
        <f t="shared" si="47"/>
        <v>399.85733333333332</v>
      </c>
      <c r="R70" s="5">
        <f t="shared" si="47"/>
        <v>39.111111111111107</v>
      </c>
      <c r="S70" s="5">
        <f t="shared" si="47"/>
        <v>0</v>
      </c>
      <c r="T70" s="5">
        <f t="shared" si="47"/>
        <v>802302.22222222213</v>
      </c>
      <c r="U70" s="5">
        <f t="shared" si="47"/>
        <v>0</v>
      </c>
      <c r="V70" s="5">
        <f t="shared" si="47"/>
        <v>0</v>
      </c>
      <c r="W70" s="5">
        <f t="shared" si="47"/>
        <v>0</v>
      </c>
      <c r="X70" s="5">
        <f t="shared" si="47"/>
        <v>39.111111111111107</v>
      </c>
      <c r="Y70" s="5">
        <f t="shared" si="47"/>
        <v>802302.22222222213</v>
      </c>
      <c r="Z70" s="5">
        <f t="shared" si="47"/>
        <v>0</v>
      </c>
      <c r="AA70" s="5">
        <f t="shared" si="47"/>
        <v>0</v>
      </c>
      <c r="AB70" s="5">
        <f t="shared" si="47"/>
        <v>0</v>
      </c>
      <c r="AC70" s="5">
        <f t="shared" si="47"/>
        <v>0</v>
      </c>
      <c r="AD70" s="5">
        <f t="shared" si="47"/>
        <v>103.1111111111111</v>
      </c>
      <c r="AE70" s="5">
        <f t="shared" si="47"/>
        <v>7.1111111111111107</v>
      </c>
      <c r="AF70" s="5">
        <f t="shared" si="47"/>
        <v>2491737.2088888893</v>
      </c>
      <c r="AG70" s="5">
        <f t="shared" si="47"/>
        <v>253493.36888888886</v>
      </c>
      <c r="AH70" s="5">
        <f t="shared" si="47"/>
        <v>7.1111111111111107</v>
      </c>
      <c r="AI70" s="5">
        <f t="shared" si="47"/>
        <v>253493.36888888886</v>
      </c>
      <c r="AJ70" s="5">
        <f t="shared" si="47"/>
        <v>103.1111111111111</v>
      </c>
      <c r="AK70" s="5">
        <f t="shared" si="47"/>
        <v>2491737.2088888893</v>
      </c>
      <c r="AL70" s="5">
        <f t="shared" si="47"/>
        <v>0</v>
      </c>
      <c r="AM70" s="5">
        <f t="shared" si="47"/>
        <v>0</v>
      </c>
      <c r="AN70" s="5">
        <f t="shared" si="47"/>
        <v>0</v>
      </c>
      <c r="AO70" s="5">
        <f>((((+SUM(AO71:AO72))/3)*4)/3)*4</f>
        <v>0</v>
      </c>
      <c r="AP70" s="5">
        <f t="shared" ref="AP70:AT70" si="48">+SUM(AP71:AP72)</f>
        <v>212.10192000000001</v>
      </c>
      <c r="AQ70" s="5" t="s">
        <v>199</v>
      </c>
      <c r="AR70" s="5"/>
      <c r="AS70" s="5">
        <f t="shared" si="48"/>
        <v>77906.666666666672</v>
      </c>
      <c r="AT70" s="5">
        <f t="shared" si="48"/>
        <v>19476.666666666668</v>
      </c>
      <c r="AU70" s="5"/>
      <c r="AV70" s="5"/>
      <c r="AW70" s="5">
        <f>+SUM(AW71:AW72)</f>
        <v>4</v>
      </c>
      <c r="AX70" s="5">
        <f>+AI70+AK70+AM70+AO70</f>
        <v>2745230.5777777783</v>
      </c>
      <c r="AY70" s="43">
        <f>+AX70/$AX$6</f>
        <v>4.2294999983983513E-3</v>
      </c>
    </row>
    <row r="71" spans="1:51">
      <c r="B71" s="12">
        <v>11943</v>
      </c>
      <c r="C71" s="11" t="s">
        <v>27</v>
      </c>
      <c r="D71" s="11" t="s">
        <v>128</v>
      </c>
      <c r="E71" s="25">
        <v>69</v>
      </c>
      <c r="F71" s="25">
        <v>1</v>
      </c>
      <c r="G71" s="25">
        <v>1103567.93</v>
      </c>
      <c r="H71" s="25">
        <v>2989</v>
      </c>
      <c r="I71" s="39">
        <v>1</v>
      </c>
      <c r="J71" s="22">
        <v>2989</v>
      </c>
      <c r="K71" s="22">
        <v>62</v>
      </c>
      <c r="L71" s="22">
        <v>989497.92999999993</v>
      </c>
      <c r="M71" s="37">
        <v>0</v>
      </c>
      <c r="N71" s="37">
        <v>0</v>
      </c>
      <c r="O71" s="37">
        <v>0</v>
      </c>
      <c r="P71" s="37">
        <v>0</v>
      </c>
      <c r="Q71" s="29">
        <v>162.10490999999999</v>
      </c>
      <c r="R71" s="8">
        <v>22</v>
      </c>
      <c r="S71" s="8"/>
      <c r="T71" s="8">
        <v>451295</v>
      </c>
      <c r="U71" s="8"/>
      <c r="V71" s="30">
        <f t="shared" si="3"/>
        <v>0</v>
      </c>
      <c r="W71" s="30">
        <f t="shared" si="4"/>
        <v>0</v>
      </c>
      <c r="X71" s="30">
        <f t="shared" si="5"/>
        <v>22</v>
      </c>
      <c r="Y71" s="30">
        <f t="shared" si="6"/>
        <v>451295</v>
      </c>
      <c r="Z71" s="30">
        <f>((+S71)/3)*4</f>
        <v>0</v>
      </c>
      <c r="AA71" s="30">
        <f>((+U71)/3)*4</f>
        <v>0</v>
      </c>
      <c r="AB71" s="30">
        <v>0</v>
      </c>
      <c r="AC71" s="30">
        <v>0</v>
      </c>
      <c r="AD71" s="25">
        <v>56</v>
      </c>
      <c r="AE71" s="25">
        <v>4</v>
      </c>
      <c r="AF71" s="25">
        <v>1377384.1800000002</v>
      </c>
      <c r="AG71" s="25">
        <v>142590.01999999999</v>
      </c>
      <c r="AH71" s="23">
        <f t="shared" si="7"/>
        <v>4</v>
      </c>
      <c r="AI71" s="23">
        <f t="shared" si="8"/>
        <v>142590.01999999999</v>
      </c>
      <c r="AJ71" s="23">
        <f t="shared" si="9"/>
        <v>56</v>
      </c>
      <c r="AK71" s="23">
        <f t="shared" si="10"/>
        <v>1377384.1800000002</v>
      </c>
      <c r="AL71" s="13">
        <v>0</v>
      </c>
      <c r="AM71" s="13">
        <v>0</v>
      </c>
      <c r="AN71" s="13">
        <v>0</v>
      </c>
      <c r="AO71" s="13">
        <v>0</v>
      </c>
      <c r="AP71" s="26">
        <v>147.43520000000001</v>
      </c>
      <c r="AQ71" s="35" t="s">
        <v>197</v>
      </c>
      <c r="AR71" s="14">
        <f>+AX71/$AX$70</f>
        <v>0.55367815450693247</v>
      </c>
      <c r="AS71" s="25">
        <v>77906.666666666672</v>
      </c>
      <c r="AT71" s="25">
        <v>19476.666666666668</v>
      </c>
      <c r="AU71" s="13" t="s">
        <v>185</v>
      </c>
      <c r="AV71" s="13" t="s">
        <v>185</v>
      </c>
      <c r="AW71" s="13">
        <v>2</v>
      </c>
      <c r="AX71" s="5">
        <f>+AI71+AK71</f>
        <v>1519974.2000000002</v>
      </c>
    </row>
    <row r="72" spans="1:51">
      <c r="B72" s="12">
        <v>11782</v>
      </c>
      <c r="C72" s="11" t="s">
        <v>18</v>
      </c>
      <c r="D72" s="11" t="s">
        <v>100</v>
      </c>
      <c r="E72" s="25">
        <v>1</v>
      </c>
      <c r="F72" s="25">
        <v>0</v>
      </c>
      <c r="G72" s="25">
        <v>25463.43</v>
      </c>
      <c r="H72" s="25">
        <v>0</v>
      </c>
      <c r="I72" s="40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29">
        <v>62.814839999999997</v>
      </c>
      <c r="R72" s="8"/>
      <c r="S72" s="8"/>
      <c r="T72" s="8"/>
      <c r="U72" s="8"/>
      <c r="V72" s="30">
        <f t="shared" ref="V72:V135" si="49">+S72</f>
        <v>0</v>
      </c>
      <c r="W72" s="30">
        <f t="shared" ref="W72:W135" si="50">+U72</f>
        <v>0</v>
      </c>
      <c r="X72" s="30">
        <f t="shared" ref="X72:X135" si="51">+R72</f>
        <v>0</v>
      </c>
      <c r="Y72" s="30">
        <f t="shared" ref="Y72:Y135" si="52">+T72</f>
        <v>0</v>
      </c>
      <c r="Z72" s="30">
        <f>((+S72)/3)*4</f>
        <v>0</v>
      </c>
      <c r="AA72" s="30">
        <f>((+U72)/3)*4</f>
        <v>0</v>
      </c>
      <c r="AB72" s="30">
        <v>0</v>
      </c>
      <c r="AC72" s="30">
        <v>0</v>
      </c>
      <c r="AD72" s="25">
        <v>2</v>
      </c>
      <c r="AE72" s="25">
        <v>0</v>
      </c>
      <c r="AF72" s="25">
        <v>24218</v>
      </c>
      <c r="AG72" s="25">
        <v>0</v>
      </c>
      <c r="AH72" s="23">
        <f t="shared" ref="AH72:AH135" si="53">+AE72</f>
        <v>0</v>
      </c>
      <c r="AI72" s="23">
        <f t="shared" ref="AI72:AI135" si="54">+AG72</f>
        <v>0</v>
      </c>
      <c r="AJ72" s="23">
        <f t="shared" ref="AJ72:AJ135" si="55">+AD72</f>
        <v>2</v>
      </c>
      <c r="AK72" s="23">
        <f t="shared" ref="AK72:AK135" si="56">+AF72</f>
        <v>24218</v>
      </c>
      <c r="AL72" s="13">
        <v>0</v>
      </c>
      <c r="AM72" s="13">
        <v>0</v>
      </c>
      <c r="AN72" s="13">
        <v>0</v>
      </c>
      <c r="AO72" s="13">
        <v>0</v>
      </c>
      <c r="AP72" s="26">
        <v>64.666719999999998</v>
      </c>
      <c r="AQ72" s="35" t="s">
        <v>199</v>
      </c>
      <c r="AR72" s="14">
        <f>+AX72/$AX$70</f>
        <v>8.821845493067507E-3</v>
      </c>
      <c r="AS72" s="25">
        <v>0</v>
      </c>
      <c r="AT72" s="25">
        <v>0</v>
      </c>
      <c r="AU72" s="13" t="s">
        <v>184</v>
      </c>
      <c r="AV72" s="13" t="s">
        <v>184</v>
      </c>
      <c r="AW72" s="13">
        <v>2</v>
      </c>
      <c r="AX72" s="5">
        <f>+AI72+AK72</f>
        <v>24218</v>
      </c>
    </row>
    <row r="73" spans="1:51" s="6" customFormat="1" ht="38.25" customHeight="1">
      <c r="A73" s="2" t="s">
        <v>59</v>
      </c>
      <c r="C73" s="5" t="s">
        <v>59</v>
      </c>
      <c r="D73" s="5"/>
      <c r="E73" s="5">
        <f t="shared" ref="E73:AN73" si="57">((((+SUM(E74:E76))/3)*4)/3)*4</f>
        <v>110.22222222222223</v>
      </c>
      <c r="F73" s="5">
        <f t="shared" si="57"/>
        <v>160</v>
      </c>
      <c r="G73" s="5">
        <f t="shared" si="57"/>
        <v>10556740.639999999</v>
      </c>
      <c r="H73" s="5">
        <f t="shared" si="57"/>
        <v>10229564.515555555</v>
      </c>
      <c r="I73" s="5">
        <f t="shared" si="57"/>
        <v>80</v>
      </c>
      <c r="J73" s="5">
        <f t="shared" si="57"/>
        <v>3767151.2888888889</v>
      </c>
      <c r="K73" s="5">
        <f t="shared" si="57"/>
        <v>44.44444444444445</v>
      </c>
      <c r="L73" s="5">
        <f t="shared" si="57"/>
        <v>6206638.151111111</v>
      </c>
      <c r="M73" s="5">
        <f t="shared" si="57"/>
        <v>0</v>
      </c>
      <c r="N73" s="5">
        <f t="shared" si="57"/>
        <v>0</v>
      </c>
      <c r="O73" s="5">
        <f t="shared" si="57"/>
        <v>0</v>
      </c>
      <c r="P73" s="5">
        <f t="shared" si="57"/>
        <v>0</v>
      </c>
      <c r="Q73" s="5">
        <f t="shared" si="57"/>
        <v>2782.1664533333337</v>
      </c>
      <c r="R73" s="5">
        <f t="shared" si="57"/>
        <v>104.8888888888889</v>
      </c>
      <c r="S73" s="5">
        <f t="shared" si="57"/>
        <v>126.22222222222223</v>
      </c>
      <c r="T73" s="5">
        <f t="shared" si="57"/>
        <v>10715257.03111111</v>
      </c>
      <c r="U73" s="5">
        <f t="shared" si="57"/>
        <v>9275585.1733333319</v>
      </c>
      <c r="V73" s="5">
        <f t="shared" si="57"/>
        <v>126.22222222222223</v>
      </c>
      <c r="W73" s="5">
        <f t="shared" si="57"/>
        <v>9275585.1733333319</v>
      </c>
      <c r="X73" s="5">
        <f t="shared" si="57"/>
        <v>104.8888888888889</v>
      </c>
      <c r="Y73" s="5">
        <f t="shared" si="57"/>
        <v>10715257.03111111</v>
      </c>
      <c r="Z73" s="5">
        <f t="shared" si="57"/>
        <v>0</v>
      </c>
      <c r="AA73" s="5">
        <f t="shared" si="57"/>
        <v>0</v>
      </c>
      <c r="AB73" s="5">
        <f t="shared" si="57"/>
        <v>0</v>
      </c>
      <c r="AC73" s="5">
        <f t="shared" si="57"/>
        <v>0</v>
      </c>
      <c r="AD73" s="5">
        <f t="shared" si="57"/>
        <v>161.77777777777777</v>
      </c>
      <c r="AE73" s="5">
        <f t="shared" si="57"/>
        <v>183.11111111111111</v>
      </c>
      <c r="AF73" s="5">
        <f t="shared" si="57"/>
        <v>12236560.337777779</v>
      </c>
      <c r="AG73" s="5">
        <f t="shared" si="57"/>
        <v>9720766.6311111115</v>
      </c>
      <c r="AH73" s="5">
        <f t="shared" si="57"/>
        <v>183.11111111111111</v>
      </c>
      <c r="AI73" s="5">
        <f t="shared" si="57"/>
        <v>9720766.6311111115</v>
      </c>
      <c r="AJ73" s="5">
        <f t="shared" si="57"/>
        <v>161.77777777777777</v>
      </c>
      <c r="AK73" s="5">
        <f>((((+SUM(AK74:AK76))/3)*4)/3)*4</f>
        <v>12236560.337777779</v>
      </c>
      <c r="AL73" s="5">
        <f t="shared" si="57"/>
        <v>0</v>
      </c>
      <c r="AM73" s="5">
        <f t="shared" si="57"/>
        <v>0</v>
      </c>
      <c r="AN73" s="5">
        <f t="shared" si="57"/>
        <v>0</v>
      </c>
      <c r="AO73" s="5">
        <f>((((+SUM(AO74:AO76))/3)*4)/3)*4</f>
        <v>0</v>
      </c>
      <c r="AP73" s="5">
        <f t="shared" ref="AP73:AS73" si="58">+SUM(AP74:AP76)</f>
        <v>2536.9653699999999</v>
      </c>
      <c r="AQ73" s="5" t="s">
        <v>198</v>
      </c>
      <c r="AR73" s="5"/>
      <c r="AS73" s="5">
        <f t="shared" si="58"/>
        <v>1125317.3333333333</v>
      </c>
      <c r="AT73" s="5">
        <f>+SUM(AT74:AT76)</f>
        <v>360749.33333333331</v>
      </c>
      <c r="AU73" s="5"/>
      <c r="AV73" s="5"/>
      <c r="AW73" s="5">
        <f>+SUM(AW74:AW76)</f>
        <v>5</v>
      </c>
      <c r="AX73" s="5">
        <f>+AI73+AK73+AM73+AO73</f>
        <v>21957326.96888889</v>
      </c>
      <c r="AY73" s="43">
        <f>+AX73/$AX$6</f>
        <v>3.3829039765003371E-2</v>
      </c>
    </row>
    <row r="74" spans="1:51">
      <c r="B74" s="12">
        <v>476</v>
      </c>
      <c r="C74" s="11" t="s">
        <v>14</v>
      </c>
      <c r="D74" s="11" t="s">
        <v>129</v>
      </c>
      <c r="E74" s="25">
        <v>0</v>
      </c>
      <c r="F74" s="25">
        <v>6</v>
      </c>
      <c r="G74" s="25">
        <v>0</v>
      </c>
      <c r="H74" s="25">
        <v>2809.42</v>
      </c>
      <c r="I74" s="39">
        <v>6</v>
      </c>
      <c r="J74" s="22">
        <v>2809.42</v>
      </c>
      <c r="K74" s="22">
        <v>0</v>
      </c>
      <c r="L74" s="22">
        <v>0</v>
      </c>
      <c r="M74" s="37">
        <v>0</v>
      </c>
      <c r="N74" s="37">
        <v>0</v>
      </c>
      <c r="O74" s="37">
        <v>0</v>
      </c>
      <c r="P74" s="37">
        <v>0</v>
      </c>
      <c r="Q74" s="29">
        <v>802.55325000000005</v>
      </c>
      <c r="R74" s="8"/>
      <c r="S74" s="8"/>
      <c r="T74" s="8"/>
      <c r="U74" s="8"/>
      <c r="V74" s="30">
        <f t="shared" si="49"/>
        <v>0</v>
      </c>
      <c r="W74" s="30">
        <f t="shared" si="50"/>
        <v>0</v>
      </c>
      <c r="X74" s="30">
        <f t="shared" si="51"/>
        <v>0</v>
      </c>
      <c r="Y74" s="30">
        <f t="shared" si="52"/>
        <v>0</v>
      </c>
      <c r="Z74" s="30">
        <f>((+S74)/3)*4</f>
        <v>0</v>
      </c>
      <c r="AA74" s="30">
        <f>((+U74)/3)*4</f>
        <v>0</v>
      </c>
      <c r="AB74" s="30">
        <v>0</v>
      </c>
      <c r="AC74" s="30">
        <v>0</v>
      </c>
      <c r="AD74" s="25">
        <v>2</v>
      </c>
      <c r="AE74" s="25">
        <v>0</v>
      </c>
      <c r="AF74" s="25">
        <v>4000</v>
      </c>
      <c r="AG74" s="25">
        <v>0</v>
      </c>
      <c r="AH74" s="23">
        <f t="shared" si="53"/>
        <v>0</v>
      </c>
      <c r="AI74" s="23">
        <f t="shared" si="54"/>
        <v>0</v>
      </c>
      <c r="AJ74" s="23">
        <f t="shared" si="55"/>
        <v>2</v>
      </c>
      <c r="AK74" s="23">
        <f t="shared" si="56"/>
        <v>4000</v>
      </c>
      <c r="AL74" s="13">
        <v>0</v>
      </c>
      <c r="AM74" s="13">
        <v>0</v>
      </c>
      <c r="AN74" s="13">
        <v>0</v>
      </c>
      <c r="AO74" s="13">
        <v>0</v>
      </c>
      <c r="AP74" s="26">
        <v>802.55325000000005</v>
      </c>
      <c r="AQ74" s="35" t="s">
        <v>199</v>
      </c>
      <c r="AR74" s="14">
        <f>+AX74/$AX$73</f>
        <v>1.8217153689370106E-4</v>
      </c>
      <c r="AS74" s="25">
        <v>0</v>
      </c>
      <c r="AT74" s="25">
        <v>0</v>
      </c>
      <c r="AU74" s="13" t="s">
        <v>184</v>
      </c>
      <c r="AV74" s="13" t="s">
        <v>184</v>
      </c>
      <c r="AW74" s="13">
        <v>2</v>
      </c>
      <c r="AX74" s="5">
        <f>+AI74+AK74</f>
        <v>4000</v>
      </c>
    </row>
    <row r="75" spans="1:51">
      <c r="B75" s="12">
        <v>1039</v>
      </c>
      <c r="C75" s="11" t="s">
        <v>16</v>
      </c>
      <c r="D75" s="11" t="s">
        <v>80</v>
      </c>
      <c r="E75" s="25">
        <v>3</v>
      </c>
      <c r="F75" s="25">
        <v>1</v>
      </c>
      <c r="G75" s="25">
        <v>96777</v>
      </c>
      <c r="H75" s="25">
        <v>99969</v>
      </c>
      <c r="I75" s="39">
        <v>1</v>
      </c>
      <c r="J75" s="22">
        <v>99969</v>
      </c>
      <c r="K75" s="22">
        <v>3</v>
      </c>
      <c r="L75" s="22">
        <v>96777</v>
      </c>
      <c r="M75" s="37">
        <v>0</v>
      </c>
      <c r="N75" s="37">
        <v>0</v>
      </c>
      <c r="O75" s="37">
        <v>0</v>
      </c>
      <c r="P75" s="37">
        <v>0</v>
      </c>
      <c r="Q75" s="29">
        <v>28.370839999999998</v>
      </c>
      <c r="R75" s="8">
        <v>1</v>
      </c>
      <c r="S75" s="8">
        <f>+VLOOKUP(B75,[1]Лист2!$A$4:$B$188,2,0)</f>
        <v>2</v>
      </c>
      <c r="T75" s="8">
        <v>5000</v>
      </c>
      <c r="U75" s="8">
        <f>+VLOOKUP(B75,[1]Лист2!$A$4:$C$188,3,0)</f>
        <v>7605.65</v>
      </c>
      <c r="V75" s="30">
        <f t="shared" si="49"/>
        <v>2</v>
      </c>
      <c r="W75" s="30">
        <f t="shared" si="50"/>
        <v>7605.65</v>
      </c>
      <c r="X75" s="30">
        <f t="shared" si="51"/>
        <v>1</v>
      </c>
      <c r="Y75" s="30">
        <f t="shared" si="52"/>
        <v>5000</v>
      </c>
      <c r="Z75" s="30">
        <v>0</v>
      </c>
      <c r="AA75" s="30">
        <v>0</v>
      </c>
      <c r="AB75" s="30">
        <v>0</v>
      </c>
      <c r="AC75" s="30">
        <v>0</v>
      </c>
      <c r="AD75" s="25">
        <v>0</v>
      </c>
      <c r="AE75" s="25">
        <v>0</v>
      </c>
      <c r="AF75" s="25">
        <v>0</v>
      </c>
      <c r="AG75" s="25">
        <v>0</v>
      </c>
      <c r="AH75" s="23">
        <f t="shared" si="53"/>
        <v>0</v>
      </c>
      <c r="AI75" s="23">
        <f t="shared" si="54"/>
        <v>0</v>
      </c>
      <c r="AJ75" s="23">
        <f t="shared" si="55"/>
        <v>0</v>
      </c>
      <c r="AK75" s="23">
        <f t="shared" si="56"/>
        <v>0</v>
      </c>
      <c r="AL75" s="13">
        <v>0</v>
      </c>
      <c r="AM75" s="13">
        <v>0</v>
      </c>
      <c r="AN75" s="13">
        <v>0</v>
      </c>
      <c r="AO75" s="13">
        <v>0</v>
      </c>
      <c r="AP75" s="26">
        <v>175.26120999999998</v>
      </c>
      <c r="AQ75" s="35" t="s">
        <v>199</v>
      </c>
      <c r="AR75" s="14">
        <f>+AX75/$AX$73</f>
        <v>0</v>
      </c>
      <c r="AS75" s="25">
        <v>0</v>
      </c>
      <c r="AT75" s="25">
        <v>79420</v>
      </c>
      <c r="AU75" s="13" t="s">
        <v>184</v>
      </c>
      <c r="AV75" s="13" t="s">
        <v>184</v>
      </c>
      <c r="AW75" s="13">
        <v>2</v>
      </c>
      <c r="AX75" s="5">
        <f t="shared" ref="AX75:AX76" si="59">+AI75+AK75</f>
        <v>0</v>
      </c>
    </row>
    <row r="76" spans="1:51">
      <c r="B76" s="12">
        <v>11443</v>
      </c>
      <c r="C76" s="11" t="s">
        <v>20</v>
      </c>
      <c r="D76" s="11" t="s">
        <v>64</v>
      </c>
      <c r="E76" s="25">
        <v>59</v>
      </c>
      <c r="F76" s="25">
        <v>83</v>
      </c>
      <c r="G76" s="25">
        <v>5841389.6099999994</v>
      </c>
      <c r="H76" s="25">
        <v>5651351.6200000001</v>
      </c>
      <c r="I76" s="39">
        <v>38</v>
      </c>
      <c r="J76" s="22">
        <v>2016244.1800000002</v>
      </c>
      <c r="K76" s="22">
        <v>22</v>
      </c>
      <c r="L76" s="22">
        <v>3394456.96</v>
      </c>
      <c r="M76" s="37">
        <v>0</v>
      </c>
      <c r="N76" s="37">
        <v>0</v>
      </c>
      <c r="O76" s="37">
        <v>0</v>
      </c>
      <c r="P76" s="37">
        <v>0</v>
      </c>
      <c r="Q76" s="29">
        <v>734.0445400000001</v>
      </c>
      <c r="R76" s="8">
        <v>58</v>
      </c>
      <c r="S76" s="8">
        <f>+VLOOKUP(B76,[1]Лист2!$A$4:$B$188,2,0)</f>
        <v>69</v>
      </c>
      <c r="T76" s="8">
        <v>6022332.0799999991</v>
      </c>
      <c r="U76" s="8">
        <f>+VLOOKUP(B76,[1]Лист2!$A$4:$C$188,3,0)</f>
        <v>5209911.0099999988</v>
      </c>
      <c r="V76" s="30">
        <f t="shared" si="49"/>
        <v>69</v>
      </c>
      <c r="W76" s="30">
        <f t="shared" si="50"/>
        <v>5209911.0099999988</v>
      </c>
      <c r="X76" s="30">
        <f t="shared" si="51"/>
        <v>58</v>
      </c>
      <c r="Y76" s="30">
        <f t="shared" si="52"/>
        <v>6022332.0799999991</v>
      </c>
      <c r="Z76" s="30">
        <v>0</v>
      </c>
      <c r="AA76" s="30">
        <v>0</v>
      </c>
      <c r="AB76" s="30">
        <v>0</v>
      </c>
      <c r="AC76" s="30">
        <v>0</v>
      </c>
      <c r="AD76" s="25">
        <v>89</v>
      </c>
      <c r="AE76" s="25">
        <v>103</v>
      </c>
      <c r="AF76" s="25">
        <v>6879065.1900000004</v>
      </c>
      <c r="AG76" s="25">
        <v>5467931.2300000004</v>
      </c>
      <c r="AH76" s="23">
        <f t="shared" si="53"/>
        <v>103</v>
      </c>
      <c r="AI76" s="23">
        <f t="shared" si="54"/>
        <v>5467931.2300000004</v>
      </c>
      <c r="AJ76" s="23">
        <f t="shared" si="55"/>
        <v>89</v>
      </c>
      <c r="AK76" s="23">
        <f t="shared" si="56"/>
        <v>6879065.1900000004</v>
      </c>
      <c r="AL76" s="13">
        <v>0</v>
      </c>
      <c r="AM76" s="13">
        <v>0</v>
      </c>
      <c r="AN76" s="13">
        <v>0</v>
      </c>
      <c r="AO76" s="13">
        <v>0</v>
      </c>
      <c r="AP76" s="26">
        <v>1559.1509100000001</v>
      </c>
      <c r="AQ76" s="35" t="s">
        <v>197</v>
      </c>
      <c r="AR76" s="14">
        <f>+AX76/$AX$73</f>
        <v>0.56231782846310641</v>
      </c>
      <c r="AS76" s="25">
        <v>1125317.3333333333</v>
      </c>
      <c r="AT76" s="25">
        <v>281329.33333333331</v>
      </c>
      <c r="AU76" s="13" t="s">
        <v>184</v>
      </c>
      <c r="AV76" s="13" t="s">
        <v>184</v>
      </c>
      <c r="AW76" s="13">
        <v>1</v>
      </c>
      <c r="AX76" s="5">
        <f t="shared" si="59"/>
        <v>12346996.420000002</v>
      </c>
    </row>
    <row r="77" spans="1:51" s="6" customFormat="1" ht="38.25" customHeight="1">
      <c r="A77" s="2" t="s">
        <v>60</v>
      </c>
      <c r="C77" s="5" t="s">
        <v>60</v>
      </c>
      <c r="D77" s="5"/>
      <c r="E77" s="5">
        <f t="shared" ref="E77:AS77" si="60">+SUM(E78:E82)</f>
        <v>305</v>
      </c>
      <c r="F77" s="5">
        <f t="shared" si="60"/>
        <v>473</v>
      </c>
      <c r="G77" s="5">
        <f t="shared" si="60"/>
        <v>5541803.8499999996</v>
      </c>
      <c r="H77" s="5">
        <f t="shared" si="60"/>
        <v>40810086.62999998</v>
      </c>
      <c r="I77" s="5">
        <f t="shared" si="60"/>
        <v>342</v>
      </c>
      <c r="J77" s="5">
        <f t="shared" si="60"/>
        <v>30630700.009999994</v>
      </c>
      <c r="K77" s="5">
        <f t="shared" si="60"/>
        <v>233</v>
      </c>
      <c r="L77" s="5">
        <f t="shared" si="60"/>
        <v>3887942.5200000005</v>
      </c>
      <c r="M77" s="5">
        <f t="shared" si="60"/>
        <v>0</v>
      </c>
      <c r="N77" s="5">
        <f t="shared" si="60"/>
        <v>0</v>
      </c>
      <c r="O77" s="5">
        <f t="shared" si="60"/>
        <v>0</v>
      </c>
      <c r="P77" s="5">
        <f t="shared" si="60"/>
        <v>0</v>
      </c>
      <c r="Q77" s="5">
        <f t="shared" si="60"/>
        <v>5328.66302</v>
      </c>
      <c r="R77" s="5">
        <f t="shared" si="60"/>
        <v>277</v>
      </c>
      <c r="S77" s="5">
        <f t="shared" si="60"/>
        <v>245</v>
      </c>
      <c r="T77" s="5">
        <f t="shared" si="60"/>
        <v>6965304.5199999996</v>
      </c>
      <c r="U77" s="5">
        <f t="shared" si="60"/>
        <v>8810185.8499999996</v>
      </c>
      <c r="V77" s="5">
        <f t="shared" si="60"/>
        <v>245</v>
      </c>
      <c r="W77" s="5">
        <f t="shared" si="60"/>
        <v>8810185.8499999996</v>
      </c>
      <c r="X77" s="5">
        <f t="shared" si="60"/>
        <v>277</v>
      </c>
      <c r="Y77" s="5">
        <f t="shared" si="60"/>
        <v>6965304.5199999996</v>
      </c>
      <c r="Z77" s="5">
        <f t="shared" si="60"/>
        <v>0</v>
      </c>
      <c r="AA77" s="5">
        <f t="shared" si="60"/>
        <v>0</v>
      </c>
      <c r="AB77" s="5">
        <f t="shared" si="60"/>
        <v>0</v>
      </c>
      <c r="AC77" s="5">
        <f t="shared" si="60"/>
        <v>0</v>
      </c>
      <c r="AD77" s="5">
        <f t="shared" si="60"/>
        <v>318</v>
      </c>
      <c r="AE77" s="5">
        <f t="shared" si="60"/>
        <v>274</v>
      </c>
      <c r="AF77" s="5">
        <f t="shared" si="60"/>
        <v>11186134.77</v>
      </c>
      <c r="AG77" s="5">
        <f t="shared" si="60"/>
        <v>10548727.66</v>
      </c>
      <c r="AH77" s="5">
        <f t="shared" si="60"/>
        <v>274</v>
      </c>
      <c r="AI77" s="5">
        <f t="shared" si="60"/>
        <v>10548727.66</v>
      </c>
      <c r="AJ77" s="5">
        <f t="shared" si="60"/>
        <v>318</v>
      </c>
      <c r="AK77" s="5">
        <f t="shared" si="60"/>
        <v>11186134.77</v>
      </c>
      <c r="AL77" s="5">
        <f t="shared" si="60"/>
        <v>0</v>
      </c>
      <c r="AM77" s="5">
        <f t="shared" si="60"/>
        <v>0</v>
      </c>
      <c r="AN77" s="5">
        <f t="shared" si="60"/>
        <v>0</v>
      </c>
      <c r="AO77" s="5">
        <f t="shared" si="60"/>
        <v>0</v>
      </c>
      <c r="AP77" s="5">
        <f t="shared" si="60"/>
        <v>6162.264000000001</v>
      </c>
      <c r="AQ77" s="5" t="s">
        <v>198</v>
      </c>
      <c r="AR77" s="5">
        <f t="shared" si="60"/>
        <v>1</v>
      </c>
      <c r="AS77" s="5">
        <f t="shared" si="60"/>
        <v>1206140.5861733332</v>
      </c>
      <c r="AT77" s="5">
        <f>+SUM(AT78:AT82)</f>
        <v>332856.37654333335</v>
      </c>
      <c r="AU77" s="5"/>
      <c r="AV77" s="5"/>
      <c r="AW77" s="5">
        <f>+SUM(AW78:AW82)</f>
        <v>9</v>
      </c>
      <c r="AX77" s="5">
        <f>+AI77+AK77+AM77+AO77</f>
        <v>21734862.43</v>
      </c>
      <c r="AY77" s="43">
        <f>+AX77/$AX$6</f>
        <v>3.3486294869732709E-2</v>
      </c>
    </row>
    <row r="78" spans="1:51">
      <c r="B78" s="12">
        <v>478</v>
      </c>
      <c r="C78" s="11" t="s">
        <v>16</v>
      </c>
      <c r="D78" s="11" t="s">
        <v>68</v>
      </c>
      <c r="E78" s="25">
        <v>107</v>
      </c>
      <c r="F78" s="25">
        <v>130</v>
      </c>
      <c r="G78" s="25">
        <v>1594990.98</v>
      </c>
      <c r="H78" s="25">
        <v>14543675.239999998</v>
      </c>
      <c r="I78" s="39">
        <v>87</v>
      </c>
      <c r="J78" s="22">
        <v>10237702.869999999</v>
      </c>
      <c r="K78" s="22">
        <v>92</v>
      </c>
      <c r="L78" s="22">
        <v>966780.63</v>
      </c>
      <c r="M78" s="37">
        <v>0</v>
      </c>
      <c r="N78" s="37">
        <v>0</v>
      </c>
      <c r="O78" s="37">
        <v>0</v>
      </c>
      <c r="P78" s="37">
        <v>0</v>
      </c>
      <c r="Q78" s="29">
        <v>3450.0574099999994</v>
      </c>
      <c r="R78" s="8">
        <v>113</v>
      </c>
      <c r="S78" s="8">
        <f>+VLOOKUP(B78,[1]Лист2!$A$4:$B$188,2,0)</f>
        <v>72</v>
      </c>
      <c r="T78" s="8">
        <v>3757156.2899999996</v>
      </c>
      <c r="U78" s="8">
        <f>+VLOOKUP(B78,[1]Лист2!$A$4:$C$188,3,0)</f>
        <v>705549.54000000027</v>
      </c>
      <c r="V78" s="30">
        <f t="shared" si="49"/>
        <v>72</v>
      </c>
      <c r="W78" s="30">
        <f t="shared" si="50"/>
        <v>705549.54000000027</v>
      </c>
      <c r="X78" s="30">
        <f t="shared" si="51"/>
        <v>113</v>
      </c>
      <c r="Y78" s="30">
        <f t="shared" si="52"/>
        <v>3757156.2899999996</v>
      </c>
      <c r="Z78" s="30">
        <v>0</v>
      </c>
      <c r="AA78" s="30">
        <v>0</v>
      </c>
      <c r="AB78" s="30">
        <v>0</v>
      </c>
      <c r="AC78" s="30">
        <v>0</v>
      </c>
      <c r="AD78" s="25">
        <v>143</v>
      </c>
      <c r="AE78" s="25">
        <v>110</v>
      </c>
      <c r="AF78" s="25">
        <v>6900037.2999999998</v>
      </c>
      <c r="AG78" s="25">
        <v>1596809.4000000001</v>
      </c>
      <c r="AH78" s="23">
        <f t="shared" si="53"/>
        <v>110</v>
      </c>
      <c r="AI78" s="23">
        <f t="shared" si="54"/>
        <v>1596809.4000000001</v>
      </c>
      <c r="AJ78" s="23">
        <f t="shared" si="55"/>
        <v>143</v>
      </c>
      <c r="AK78" s="23">
        <f t="shared" si="56"/>
        <v>6900037.2999999998</v>
      </c>
      <c r="AL78" s="13">
        <v>0</v>
      </c>
      <c r="AM78" s="13">
        <v>0</v>
      </c>
      <c r="AN78" s="13">
        <v>0</v>
      </c>
      <c r="AO78" s="13">
        <v>0</v>
      </c>
      <c r="AP78" s="26">
        <v>3650.8628100000005</v>
      </c>
      <c r="AQ78" s="35" t="s">
        <v>197</v>
      </c>
      <c r="AR78" s="14">
        <f>+AX78/$AX$77</f>
        <v>0.39093169912463066</v>
      </c>
      <c r="AS78" s="25">
        <v>101250.504</v>
      </c>
      <c r="AT78" s="25">
        <v>56633.856</v>
      </c>
      <c r="AU78" s="13" t="s">
        <v>184</v>
      </c>
      <c r="AV78" s="13" t="s">
        <v>184</v>
      </c>
      <c r="AW78" s="13">
        <v>2</v>
      </c>
      <c r="AX78" s="5">
        <f>+AI78+AK78</f>
        <v>8496846.6999999993</v>
      </c>
    </row>
    <row r="79" spans="1:51">
      <c r="B79" s="12">
        <v>10443</v>
      </c>
      <c r="C79" s="11" t="s">
        <v>27</v>
      </c>
      <c r="D79" s="11" t="s">
        <v>71</v>
      </c>
      <c r="E79" s="25">
        <v>1</v>
      </c>
      <c r="F79" s="25">
        <v>2</v>
      </c>
      <c r="G79" s="25">
        <v>4654</v>
      </c>
      <c r="H79" s="25">
        <v>20849.109999999997</v>
      </c>
      <c r="I79" s="39">
        <v>1</v>
      </c>
      <c r="J79" s="22">
        <v>2261.1</v>
      </c>
      <c r="K79" s="22">
        <v>0</v>
      </c>
      <c r="L79" s="22">
        <v>0</v>
      </c>
      <c r="M79" s="37">
        <v>0</v>
      </c>
      <c r="N79" s="37">
        <v>0</v>
      </c>
      <c r="O79" s="37">
        <v>0</v>
      </c>
      <c r="P79" s="37">
        <v>0</v>
      </c>
      <c r="Q79" s="29">
        <v>359.20938000000001</v>
      </c>
      <c r="R79" s="8"/>
      <c r="S79" s="8"/>
      <c r="T79" s="8"/>
      <c r="U79" s="8"/>
      <c r="V79" s="30">
        <f t="shared" si="49"/>
        <v>0</v>
      </c>
      <c r="W79" s="30">
        <f t="shared" si="50"/>
        <v>0</v>
      </c>
      <c r="X79" s="30">
        <f t="shared" si="51"/>
        <v>0</v>
      </c>
      <c r="Y79" s="30">
        <f t="shared" si="52"/>
        <v>0</v>
      </c>
      <c r="Z79" s="30">
        <f>((+S79)/3)*4</f>
        <v>0</v>
      </c>
      <c r="AA79" s="30">
        <f>((+U79)/3)*4</f>
        <v>0</v>
      </c>
      <c r="AB79" s="30">
        <v>0</v>
      </c>
      <c r="AC79" s="30">
        <v>0</v>
      </c>
      <c r="AD79" s="25">
        <v>0</v>
      </c>
      <c r="AE79" s="25">
        <v>0</v>
      </c>
      <c r="AF79" s="25">
        <v>0</v>
      </c>
      <c r="AG79" s="25">
        <v>0</v>
      </c>
      <c r="AH79" s="23">
        <f t="shared" si="53"/>
        <v>0</v>
      </c>
      <c r="AI79" s="23">
        <f t="shared" si="54"/>
        <v>0</v>
      </c>
      <c r="AJ79" s="23">
        <f t="shared" si="55"/>
        <v>0</v>
      </c>
      <c r="AK79" s="23">
        <f t="shared" si="56"/>
        <v>0</v>
      </c>
      <c r="AL79" s="13">
        <v>0</v>
      </c>
      <c r="AM79" s="13">
        <v>0</v>
      </c>
      <c r="AN79" s="13">
        <v>0</v>
      </c>
      <c r="AO79" s="13">
        <v>0</v>
      </c>
      <c r="AP79" s="26">
        <v>0</v>
      </c>
      <c r="AQ79" s="35" t="s">
        <v>199</v>
      </c>
      <c r="AR79" s="14">
        <f>+AX79/$AX$77</f>
        <v>0</v>
      </c>
      <c r="AS79" s="25">
        <v>0</v>
      </c>
      <c r="AT79" s="25">
        <v>0</v>
      </c>
      <c r="AU79" s="13" t="s">
        <v>185</v>
      </c>
      <c r="AV79" s="13" t="s">
        <v>185</v>
      </c>
      <c r="AW79" s="13">
        <v>2</v>
      </c>
      <c r="AX79" s="5">
        <f>+AI79+AK79</f>
        <v>0</v>
      </c>
    </row>
    <row r="80" spans="1:51">
      <c r="B80" s="12">
        <v>11141</v>
      </c>
      <c r="C80" s="11" t="s">
        <v>15</v>
      </c>
      <c r="D80" s="11" t="s">
        <v>75</v>
      </c>
      <c r="E80" s="25">
        <v>19</v>
      </c>
      <c r="F80" s="25">
        <v>241</v>
      </c>
      <c r="G80" s="25">
        <v>962200.52000000014</v>
      </c>
      <c r="H80" s="25">
        <v>22260678.569999993</v>
      </c>
      <c r="I80" s="39">
        <v>183</v>
      </c>
      <c r="J80" s="22">
        <v>17190088.649999995</v>
      </c>
      <c r="K80" s="22">
        <v>15</v>
      </c>
      <c r="L80" s="22">
        <v>845862.62000000011</v>
      </c>
      <c r="M80" s="37">
        <v>0</v>
      </c>
      <c r="N80" s="37">
        <v>0</v>
      </c>
      <c r="O80" s="37">
        <v>0</v>
      </c>
      <c r="P80" s="37">
        <v>0</v>
      </c>
      <c r="Q80" s="29">
        <v>0</v>
      </c>
      <c r="R80" s="8">
        <v>1</v>
      </c>
      <c r="S80" s="8">
        <f>+VLOOKUP(B80,[1]Лист2!$A$4:$B$188,2,0)</f>
        <v>88</v>
      </c>
      <c r="T80" s="8">
        <v>258000</v>
      </c>
      <c r="U80" s="8">
        <f>+VLOOKUP(B80,[1]Лист2!$A$4:$C$188,3,0)</f>
        <v>5680045.0099999998</v>
      </c>
      <c r="V80" s="30">
        <f t="shared" si="49"/>
        <v>88</v>
      </c>
      <c r="W80" s="30">
        <f t="shared" si="50"/>
        <v>5680045.0099999998</v>
      </c>
      <c r="X80" s="30">
        <f t="shared" si="51"/>
        <v>1</v>
      </c>
      <c r="Y80" s="30">
        <f t="shared" si="52"/>
        <v>258000</v>
      </c>
      <c r="Z80" s="30">
        <v>0</v>
      </c>
      <c r="AA80" s="30">
        <v>0</v>
      </c>
      <c r="AB80" s="30">
        <v>0</v>
      </c>
      <c r="AC80" s="30">
        <v>0</v>
      </c>
      <c r="AD80" s="25">
        <v>2</v>
      </c>
      <c r="AE80" s="25">
        <v>66</v>
      </c>
      <c r="AF80" s="25">
        <v>4839.4400000000005</v>
      </c>
      <c r="AG80" s="25">
        <v>7052671.5199999996</v>
      </c>
      <c r="AH80" s="23">
        <f t="shared" si="53"/>
        <v>66</v>
      </c>
      <c r="AI80" s="23">
        <f t="shared" si="54"/>
        <v>7052671.5199999996</v>
      </c>
      <c r="AJ80" s="23">
        <f t="shared" si="55"/>
        <v>2</v>
      </c>
      <c r="AK80" s="23">
        <f t="shared" si="56"/>
        <v>4839.4400000000005</v>
      </c>
      <c r="AL80" s="13">
        <v>0</v>
      </c>
      <c r="AM80" s="13">
        <v>0</v>
      </c>
      <c r="AN80" s="13">
        <v>0</v>
      </c>
      <c r="AO80" s="13">
        <v>0</v>
      </c>
      <c r="AP80" s="26">
        <v>1874.2515799999999</v>
      </c>
      <c r="AQ80" s="35" t="s">
        <v>196</v>
      </c>
      <c r="AR80" s="14">
        <f>+AX80/$AX$77</f>
        <v>0.32470925374980625</v>
      </c>
      <c r="AS80" s="25">
        <v>0</v>
      </c>
      <c r="AT80" s="25">
        <v>0</v>
      </c>
      <c r="AU80" s="13" t="s">
        <v>184</v>
      </c>
      <c r="AV80" s="13" t="s">
        <v>184</v>
      </c>
      <c r="AW80" s="13">
        <v>2</v>
      </c>
      <c r="AX80" s="5">
        <f>+AI80+AK80</f>
        <v>7057510.96</v>
      </c>
    </row>
    <row r="81" spans="1:51" ht="30">
      <c r="B81" s="12">
        <v>11201</v>
      </c>
      <c r="C81" s="11" t="s">
        <v>19</v>
      </c>
      <c r="D81" s="11" t="s">
        <v>79</v>
      </c>
      <c r="E81" s="25">
        <v>66</v>
      </c>
      <c r="F81" s="25">
        <v>16</v>
      </c>
      <c r="G81" s="25">
        <v>1204276.22</v>
      </c>
      <c r="H81" s="25">
        <v>919332.73</v>
      </c>
      <c r="I81" s="39">
        <v>9</v>
      </c>
      <c r="J81" s="22">
        <v>641084.67999999993</v>
      </c>
      <c r="K81" s="22">
        <v>48</v>
      </c>
      <c r="L81" s="22">
        <v>810668.67999999993</v>
      </c>
      <c r="M81" s="37">
        <v>0</v>
      </c>
      <c r="N81" s="37">
        <v>0</v>
      </c>
      <c r="O81" s="37">
        <v>0</v>
      </c>
      <c r="P81" s="37">
        <v>0</v>
      </c>
      <c r="Q81" s="29">
        <v>1243.4355300000002</v>
      </c>
      <c r="R81" s="8">
        <v>71</v>
      </c>
      <c r="S81" s="8">
        <f>+VLOOKUP(B81,[1]Лист2!$A$4:$B$188,2,0)</f>
        <v>24</v>
      </c>
      <c r="T81" s="8">
        <v>1450858.6199999996</v>
      </c>
      <c r="U81" s="8">
        <f>+VLOOKUP(B81,[1]Лист2!$A$4:$C$188,3,0)</f>
        <v>636271.2699999999</v>
      </c>
      <c r="V81" s="30">
        <f t="shared" si="49"/>
        <v>24</v>
      </c>
      <c r="W81" s="30">
        <f t="shared" si="50"/>
        <v>636271.2699999999</v>
      </c>
      <c r="X81" s="30">
        <f t="shared" si="51"/>
        <v>71</v>
      </c>
      <c r="Y81" s="30">
        <f t="shared" si="52"/>
        <v>1450858.6199999996</v>
      </c>
      <c r="Z81" s="30">
        <v>0</v>
      </c>
      <c r="AA81" s="30">
        <v>0</v>
      </c>
      <c r="AB81" s="30">
        <v>0</v>
      </c>
      <c r="AC81" s="30">
        <v>0</v>
      </c>
      <c r="AD81" s="25">
        <v>75</v>
      </c>
      <c r="AE81" s="25">
        <v>32</v>
      </c>
      <c r="AF81" s="25">
        <v>1888539.43</v>
      </c>
      <c r="AG81" s="25">
        <v>628449.72</v>
      </c>
      <c r="AH81" s="23">
        <f t="shared" si="53"/>
        <v>32</v>
      </c>
      <c r="AI81" s="23">
        <f t="shared" si="54"/>
        <v>628449.72</v>
      </c>
      <c r="AJ81" s="23">
        <f t="shared" si="55"/>
        <v>75</v>
      </c>
      <c r="AK81" s="23">
        <f t="shared" si="56"/>
        <v>1888539.43</v>
      </c>
      <c r="AL81" s="13">
        <v>0</v>
      </c>
      <c r="AM81" s="13">
        <v>0</v>
      </c>
      <c r="AN81" s="13">
        <v>0</v>
      </c>
      <c r="AO81" s="13">
        <v>0</v>
      </c>
      <c r="AP81" s="26">
        <v>489.65428999999995</v>
      </c>
      <c r="AQ81" s="35" t="s">
        <v>199</v>
      </c>
      <c r="AR81" s="14">
        <f>+AX81/$AX$77</f>
        <v>0.11580423653962828</v>
      </c>
      <c r="AS81" s="25">
        <v>87590.666666666672</v>
      </c>
      <c r="AT81" s="25">
        <v>21897.666666666668</v>
      </c>
      <c r="AU81" s="13" t="s">
        <v>184</v>
      </c>
      <c r="AV81" s="13" t="s">
        <v>184</v>
      </c>
      <c r="AW81" s="13">
        <v>2</v>
      </c>
      <c r="AX81" s="5">
        <f>+AI81+AK81</f>
        <v>2516989.15</v>
      </c>
    </row>
    <row r="82" spans="1:51">
      <c r="B82" s="12">
        <v>11447</v>
      </c>
      <c r="C82" s="11" t="s">
        <v>20</v>
      </c>
      <c r="D82" s="11" t="s">
        <v>130</v>
      </c>
      <c r="E82" s="25">
        <v>112</v>
      </c>
      <c r="F82" s="25">
        <v>84</v>
      </c>
      <c r="G82" s="25">
        <v>1775682.1300000004</v>
      </c>
      <c r="H82" s="25">
        <v>3065550.98</v>
      </c>
      <c r="I82" s="39">
        <v>62</v>
      </c>
      <c r="J82" s="22">
        <v>2559562.71</v>
      </c>
      <c r="K82" s="22">
        <v>78</v>
      </c>
      <c r="L82" s="22">
        <v>1264630.5900000005</v>
      </c>
      <c r="M82" s="37">
        <v>0</v>
      </c>
      <c r="N82" s="37">
        <v>0</v>
      </c>
      <c r="O82" s="37">
        <v>0</v>
      </c>
      <c r="P82" s="37">
        <v>0</v>
      </c>
      <c r="Q82" s="29">
        <v>275.96069999999997</v>
      </c>
      <c r="R82" s="8">
        <v>92</v>
      </c>
      <c r="S82" s="8">
        <f>+VLOOKUP(B82,[1]Лист2!$A$4:$B$188,2,0)</f>
        <v>61</v>
      </c>
      <c r="T82" s="8">
        <v>1499289.6099999999</v>
      </c>
      <c r="U82" s="8">
        <f>+VLOOKUP(B82,[1]Лист2!$A$4:$C$188,3,0)</f>
        <v>1788320.03</v>
      </c>
      <c r="V82" s="30">
        <f t="shared" si="49"/>
        <v>61</v>
      </c>
      <c r="W82" s="30">
        <f t="shared" si="50"/>
        <v>1788320.03</v>
      </c>
      <c r="X82" s="30">
        <f t="shared" si="51"/>
        <v>92</v>
      </c>
      <c r="Y82" s="30">
        <f t="shared" si="52"/>
        <v>1499289.6099999999</v>
      </c>
      <c r="Z82" s="30">
        <v>0</v>
      </c>
      <c r="AA82" s="30">
        <v>0</v>
      </c>
      <c r="AB82" s="30">
        <v>0</v>
      </c>
      <c r="AC82" s="30">
        <v>0</v>
      </c>
      <c r="AD82" s="25">
        <v>98</v>
      </c>
      <c r="AE82" s="25">
        <v>66</v>
      </c>
      <c r="AF82" s="25">
        <v>2392718.6000000006</v>
      </c>
      <c r="AG82" s="25">
        <v>1270797.0199999996</v>
      </c>
      <c r="AH82" s="23">
        <f t="shared" si="53"/>
        <v>66</v>
      </c>
      <c r="AI82" s="23">
        <f t="shared" si="54"/>
        <v>1270797.0199999996</v>
      </c>
      <c r="AJ82" s="23">
        <f t="shared" si="55"/>
        <v>98</v>
      </c>
      <c r="AK82" s="23">
        <f t="shared" si="56"/>
        <v>2392718.6000000006</v>
      </c>
      <c r="AL82" s="13">
        <v>0</v>
      </c>
      <c r="AM82" s="13">
        <v>0</v>
      </c>
      <c r="AN82" s="13">
        <v>0</v>
      </c>
      <c r="AO82" s="13">
        <v>0</v>
      </c>
      <c r="AP82" s="26">
        <v>147.49531999999994</v>
      </c>
      <c r="AQ82" s="35" t="s">
        <v>198</v>
      </c>
      <c r="AR82" s="14">
        <f>+AX82/$AX$77</f>
        <v>0.16855481058593477</v>
      </c>
      <c r="AS82" s="25">
        <v>1017299.4155066666</v>
      </c>
      <c r="AT82" s="25">
        <v>254324.85387666666</v>
      </c>
      <c r="AU82" s="13" t="s">
        <v>184</v>
      </c>
      <c r="AV82" s="13" t="s">
        <v>184</v>
      </c>
      <c r="AW82" s="13">
        <v>1</v>
      </c>
      <c r="AX82" s="5">
        <f>+AI82+AK82</f>
        <v>3663515.62</v>
      </c>
    </row>
    <row r="83" spans="1:51" s="6" customFormat="1" ht="38.25" customHeight="1">
      <c r="A83" s="2" t="s">
        <v>61</v>
      </c>
      <c r="C83" s="5" t="s">
        <v>61</v>
      </c>
      <c r="D83" s="5"/>
      <c r="E83" s="5">
        <f t="shared" ref="E83:AO83" si="61">+SUM(E84:E85)</f>
        <v>0</v>
      </c>
      <c r="F83" s="5">
        <f t="shared" si="61"/>
        <v>0</v>
      </c>
      <c r="G83" s="5">
        <f t="shared" si="61"/>
        <v>0</v>
      </c>
      <c r="H83" s="5">
        <f t="shared" si="61"/>
        <v>0</v>
      </c>
      <c r="I83" s="5">
        <f t="shared" si="61"/>
        <v>0</v>
      </c>
      <c r="J83" s="5">
        <f t="shared" si="61"/>
        <v>0</v>
      </c>
      <c r="K83" s="5">
        <f t="shared" si="61"/>
        <v>0</v>
      </c>
      <c r="L83" s="5">
        <f t="shared" si="61"/>
        <v>0</v>
      </c>
      <c r="M83" s="5">
        <f t="shared" si="61"/>
        <v>0</v>
      </c>
      <c r="N83" s="5">
        <f t="shared" si="61"/>
        <v>0</v>
      </c>
      <c r="O83" s="5">
        <f t="shared" si="61"/>
        <v>0</v>
      </c>
      <c r="P83" s="5">
        <f t="shared" si="61"/>
        <v>0</v>
      </c>
      <c r="Q83" s="5">
        <f t="shared" si="61"/>
        <v>1273.11565</v>
      </c>
      <c r="R83" s="5">
        <f t="shared" si="61"/>
        <v>0</v>
      </c>
      <c r="S83" s="5">
        <f t="shared" si="61"/>
        <v>0</v>
      </c>
      <c r="T83" s="5">
        <f t="shared" si="61"/>
        <v>0</v>
      </c>
      <c r="U83" s="5">
        <f t="shared" si="61"/>
        <v>0</v>
      </c>
      <c r="V83" s="5">
        <f t="shared" si="61"/>
        <v>0</v>
      </c>
      <c r="W83" s="5">
        <f t="shared" si="61"/>
        <v>0</v>
      </c>
      <c r="X83" s="5">
        <f t="shared" si="61"/>
        <v>0</v>
      </c>
      <c r="Y83" s="5">
        <f t="shared" si="61"/>
        <v>0</v>
      </c>
      <c r="Z83" s="5">
        <f t="shared" si="61"/>
        <v>0</v>
      </c>
      <c r="AA83" s="5">
        <f t="shared" si="61"/>
        <v>0</v>
      </c>
      <c r="AB83" s="5">
        <f t="shared" si="61"/>
        <v>0</v>
      </c>
      <c r="AC83" s="5">
        <f t="shared" si="61"/>
        <v>0</v>
      </c>
      <c r="AD83" s="5">
        <f t="shared" si="61"/>
        <v>6</v>
      </c>
      <c r="AE83" s="5">
        <f t="shared" si="61"/>
        <v>0</v>
      </c>
      <c r="AF83" s="5">
        <f t="shared" si="61"/>
        <v>126095</v>
      </c>
      <c r="AG83" s="5">
        <f t="shared" si="61"/>
        <v>0</v>
      </c>
      <c r="AH83" s="5">
        <f t="shared" si="61"/>
        <v>0</v>
      </c>
      <c r="AI83" s="5">
        <f t="shared" si="61"/>
        <v>0</v>
      </c>
      <c r="AJ83" s="5">
        <f t="shared" si="61"/>
        <v>6</v>
      </c>
      <c r="AK83" s="5">
        <f>+SUM(AK84:AK85)</f>
        <v>126095</v>
      </c>
      <c r="AL83" s="5">
        <f t="shared" si="61"/>
        <v>0</v>
      </c>
      <c r="AM83" s="5">
        <f t="shared" si="61"/>
        <v>0</v>
      </c>
      <c r="AN83" s="5">
        <f t="shared" si="61"/>
        <v>0</v>
      </c>
      <c r="AO83" s="5">
        <f t="shared" si="61"/>
        <v>0</v>
      </c>
      <c r="AP83" s="5">
        <f>+SUM(AP84:AP85)</f>
        <v>50.4</v>
      </c>
      <c r="AQ83" s="5" t="s">
        <v>199</v>
      </c>
      <c r="AR83" s="5"/>
      <c r="AS83" s="5">
        <f>+SUM(AS84:AS85)</f>
        <v>720009.6</v>
      </c>
      <c r="AT83" s="5">
        <f>+SUM(AT84:AT85)</f>
        <v>180002.4</v>
      </c>
      <c r="AU83" s="5"/>
      <c r="AV83" s="5"/>
      <c r="AW83" s="5">
        <f>+SUM(AW84:AW85)</f>
        <v>4</v>
      </c>
      <c r="AX83" s="5">
        <f>+AI83+AK83+AM83+AO83</f>
        <v>126095</v>
      </c>
      <c r="AY83" s="43">
        <f>+AX83/$AX$6</f>
        <v>1.9427104106124063E-4</v>
      </c>
    </row>
    <row r="84" spans="1:51">
      <c r="B84" s="12">
        <v>480</v>
      </c>
      <c r="C84" s="11" t="s">
        <v>14</v>
      </c>
      <c r="D84" s="11" t="s">
        <v>101</v>
      </c>
      <c r="E84" s="25">
        <v>0</v>
      </c>
      <c r="F84" s="25">
        <v>0</v>
      </c>
      <c r="G84" s="25">
        <v>0</v>
      </c>
      <c r="H84" s="25">
        <v>0</v>
      </c>
      <c r="I84" s="40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29">
        <v>344.90287000000001</v>
      </c>
      <c r="R84" s="8"/>
      <c r="S84" s="8"/>
      <c r="T84" s="8"/>
      <c r="U84" s="8"/>
      <c r="V84" s="30">
        <f t="shared" si="49"/>
        <v>0</v>
      </c>
      <c r="W84" s="30">
        <f t="shared" si="50"/>
        <v>0</v>
      </c>
      <c r="X84" s="30">
        <f t="shared" si="51"/>
        <v>0</v>
      </c>
      <c r="Y84" s="30">
        <f t="shared" si="52"/>
        <v>0</v>
      </c>
      <c r="Z84" s="30">
        <f>((+S84)/3)*4</f>
        <v>0</v>
      </c>
      <c r="AA84" s="30">
        <f>((+U84)/3)*4</f>
        <v>0</v>
      </c>
      <c r="AB84" s="30">
        <v>0</v>
      </c>
      <c r="AC84" s="30">
        <v>0</v>
      </c>
      <c r="AD84" s="25">
        <v>5</v>
      </c>
      <c r="AE84" s="25">
        <v>0</v>
      </c>
      <c r="AF84" s="25">
        <v>96775</v>
      </c>
      <c r="AG84" s="25">
        <v>0</v>
      </c>
      <c r="AH84" s="23">
        <f t="shared" si="53"/>
        <v>0</v>
      </c>
      <c r="AI84" s="23">
        <f t="shared" si="54"/>
        <v>0</v>
      </c>
      <c r="AJ84" s="23">
        <f t="shared" si="55"/>
        <v>5</v>
      </c>
      <c r="AK84" s="23">
        <f t="shared" si="56"/>
        <v>96775</v>
      </c>
      <c r="AL84" s="13">
        <v>0</v>
      </c>
      <c r="AM84" s="13">
        <v>0</v>
      </c>
      <c r="AN84" s="13">
        <v>0</v>
      </c>
      <c r="AO84" s="13">
        <v>0</v>
      </c>
      <c r="AP84" s="26">
        <v>0</v>
      </c>
      <c r="AQ84" s="35" t="s">
        <v>197</v>
      </c>
      <c r="AR84" s="14">
        <f>+AX84/$AX$83</f>
        <v>0.76747690233554067</v>
      </c>
      <c r="AS84" s="25">
        <v>719856</v>
      </c>
      <c r="AT84" s="25">
        <v>179964</v>
      </c>
      <c r="AU84" s="13" t="s">
        <v>184</v>
      </c>
      <c r="AV84" s="13" t="s">
        <v>184</v>
      </c>
      <c r="AW84" s="13">
        <v>2</v>
      </c>
      <c r="AX84" s="5">
        <f t="shared" ref="AX84:AX85" si="62">+AI84+AK84</f>
        <v>96775</v>
      </c>
    </row>
    <row r="85" spans="1:51">
      <c r="B85" s="12">
        <v>11488</v>
      </c>
      <c r="C85" s="11" t="s">
        <v>18</v>
      </c>
      <c r="D85" s="11" t="s">
        <v>131</v>
      </c>
      <c r="E85" s="25">
        <v>0</v>
      </c>
      <c r="F85" s="25">
        <v>0</v>
      </c>
      <c r="G85" s="25">
        <v>0</v>
      </c>
      <c r="H85" s="25">
        <v>0</v>
      </c>
      <c r="I85" s="40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29">
        <v>928.21277999999995</v>
      </c>
      <c r="R85" s="8"/>
      <c r="S85" s="8"/>
      <c r="T85" s="8"/>
      <c r="U85" s="8"/>
      <c r="V85" s="30">
        <f t="shared" si="49"/>
        <v>0</v>
      </c>
      <c r="W85" s="30">
        <f t="shared" si="50"/>
        <v>0</v>
      </c>
      <c r="X85" s="30">
        <f t="shared" si="51"/>
        <v>0</v>
      </c>
      <c r="Y85" s="30">
        <f t="shared" si="52"/>
        <v>0</v>
      </c>
      <c r="Z85" s="30">
        <f>((+S85)/3)*4</f>
        <v>0</v>
      </c>
      <c r="AA85" s="30">
        <f>((+U85)/3)*4</f>
        <v>0</v>
      </c>
      <c r="AB85" s="30">
        <v>0</v>
      </c>
      <c r="AC85" s="30">
        <v>0</v>
      </c>
      <c r="AD85" s="25">
        <v>1</v>
      </c>
      <c r="AE85" s="25">
        <v>0</v>
      </c>
      <c r="AF85" s="25">
        <v>29320</v>
      </c>
      <c r="AG85" s="25">
        <v>0</v>
      </c>
      <c r="AH85" s="23">
        <f t="shared" si="53"/>
        <v>0</v>
      </c>
      <c r="AI85" s="23">
        <f t="shared" si="54"/>
        <v>0</v>
      </c>
      <c r="AJ85" s="23">
        <f t="shared" si="55"/>
        <v>1</v>
      </c>
      <c r="AK85" s="23">
        <f t="shared" si="56"/>
        <v>29320</v>
      </c>
      <c r="AL85" s="13">
        <v>0</v>
      </c>
      <c r="AM85" s="13">
        <v>0</v>
      </c>
      <c r="AN85" s="13">
        <v>0</v>
      </c>
      <c r="AO85" s="13">
        <v>0</v>
      </c>
      <c r="AP85" s="26">
        <v>50.4</v>
      </c>
      <c r="AQ85" s="35" t="s">
        <v>198</v>
      </c>
      <c r="AR85" s="14">
        <f>+AX85/$AX$83</f>
        <v>0.23252309766445933</v>
      </c>
      <c r="AS85" s="25">
        <v>153.6</v>
      </c>
      <c r="AT85" s="25">
        <v>38.4</v>
      </c>
      <c r="AU85" s="13" t="s">
        <v>184</v>
      </c>
      <c r="AV85" s="13" t="s">
        <v>184</v>
      </c>
      <c r="AW85" s="13">
        <v>2</v>
      </c>
      <c r="AX85" s="5">
        <f t="shared" si="62"/>
        <v>29320</v>
      </c>
    </row>
    <row r="86" spans="1:51" s="6" customFormat="1" ht="38.25" customHeight="1">
      <c r="A86" s="2" t="s">
        <v>62</v>
      </c>
      <c r="C86" s="5" t="s">
        <v>62</v>
      </c>
      <c r="D86" s="5"/>
      <c r="E86" s="5">
        <f t="shared" ref="E86:AO86" si="63">+E87+E88</f>
        <v>12</v>
      </c>
      <c r="F86" s="5">
        <f t="shared" si="63"/>
        <v>5</v>
      </c>
      <c r="G86" s="5">
        <f t="shared" si="63"/>
        <v>718847</v>
      </c>
      <c r="H86" s="5">
        <f t="shared" si="63"/>
        <v>73180</v>
      </c>
      <c r="I86" s="5">
        <f t="shared" si="63"/>
        <v>5</v>
      </c>
      <c r="J86" s="5">
        <f t="shared" si="63"/>
        <v>73180</v>
      </c>
      <c r="K86" s="5">
        <f t="shared" si="63"/>
        <v>1</v>
      </c>
      <c r="L86" s="5">
        <f t="shared" si="63"/>
        <v>8500</v>
      </c>
      <c r="M86" s="5">
        <f t="shared" si="63"/>
        <v>0</v>
      </c>
      <c r="N86" s="5">
        <f t="shared" si="63"/>
        <v>0</v>
      </c>
      <c r="O86" s="5">
        <f t="shared" si="63"/>
        <v>7</v>
      </c>
      <c r="P86" s="5">
        <f t="shared" si="63"/>
        <v>409515.16000000003</v>
      </c>
      <c r="Q86" s="5">
        <f t="shared" si="63"/>
        <v>5166.5011699999995</v>
      </c>
      <c r="R86" s="5">
        <f t="shared" si="63"/>
        <v>9</v>
      </c>
      <c r="S86" s="5">
        <f t="shared" si="63"/>
        <v>5</v>
      </c>
      <c r="T86" s="5">
        <f t="shared" si="63"/>
        <v>67753.429999999993</v>
      </c>
      <c r="U86" s="5">
        <f t="shared" si="63"/>
        <v>68106</v>
      </c>
      <c r="V86" s="5">
        <f t="shared" si="63"/>
        <v>5</v>
      </c>
      <c r="W86" s="5">
        <f t="shared" si="63"/>
        <v>68106</v>
      </c>
      <c r="X86" s="5">
        <f t="shared" si="63"/>
        <v>9</v>
      </c>
      <c r="Y86" s="5">
        <f t="shared" si="63"/>
        <v>67753.429999999993</v>
      </c>
      <c r="Z86" s="5">
        <f t="shared" si="63"/>
        <v>0</v>
      </c>
      <c r="AA86" s="5">
        <f t="shared" si="63"/>
        <v>0</v>
      </c>
      <c r="AB86" s="5">
        <f t="shared" si="63"/>
        <v>0</v>
      </c>
      <c r="AC86" s="5">
        <f t="shared" si="63"/>
        <v>0</v>
      </c>
      <c r="AD86" s="5">
        <f t="shared" si="63"/>
        <v>10</v>
      </c>
      <c r="AE86" s="5">
        <f t="shared" si="63"/>
        <v>4</v>
      </c>
      <c r="AF86" s="5">
        <f t="shared" si="63"/>
        <v>109906.18000000001</v>
      </c>
      <c r="AG86" s="5">
        <f t="shared" si="63"/>
        <v>61547.59</v>
      </c>
      <c r="AH86" s="5">
        <f t="shared" si="63"/>
        <v>4</v>
      </c>
      <c r="AI86" s="5">
        <f t="shared" si="63"/>
        <v>61547.59</v>
      </c>
      <c r="AJ86" s="5">
        <f t="shared" si="63"/>
        <v>10</v>
      </c>
      <c r="AK86" s="5">
        <f t="shared" si="63"/>
        <v>109906.18000000001</v>
      </c>
      <c r="AL86" s="5">
        <f t="shared" si="63"/>
        <v>0</v>
      </c>
      <c r="AM86" s="5">
        <f t="shared" si="63"/>
        <v>0</v>
      </c>
      <c r="AN86" s="5">
        <f t="shared" si="63"/>
        <v>0</v>
      </c>
      <c r="AO86" s="5">
        <f t="shared" si="63"/>
        <v>0</v>
      </c>
      <c r="AP86" s="5">
        <f>+AP87+AP88</f>
        <v>3151.3878399999999</v>
      </c>
      <c r="AQ86" s="5" t="s">
        <v>199</v>
      </c>
      <c r="AR86" s="5"/>
      <c r="AS86" s="5">
        <f t="shared" ref="AS86:AT86" si="64">+AS87+AS88</f>
        <v>2355.5333333333333</v>
      </c>
      <c r="AT86" s="5">
        <f t="shared" si="64"/>
        <v>588.88333333333333</v>
      </c>
      <c r="AU86" s="5"/>
      <c r="AV86" s="5"/>
      <c r="AW86" s="5">
        <f>+AW87+AW88</f>
        <v>4</v>
      </c>
      <c r="AX86" s="5">
        <f>+AI86+AK86+AM86+AO86</f>
        <v>171453.77000000002</v>
      </c>
      <c r="AY86" s="43">
        <f>+AX86/$AX$6</f>
        <v>2.6415402983286025E-4</v>
      </c>
    </row>
    <row r="87" spans="1:51">
      <c r="B87" s="12">
        <v>485</v>
      </c>
      <c r="C87" s="11" t="s">
        <v>14</v>
      </c>
      <c r="D87" s="11" t="s">
        <v>86</v>
      </c>
      <c r="E87" s="25">
        <v>11</v>
      </c>
      <c r="F87" s="25">
        <v>0</v>
      </c>
      <c r="G87" s="25">
        <v>710347</v>
      </c>
      <c r="H87" s="25">
        <v>0</v>
      </c>
      <c r="I87" s="40">
        <v>0</v>
      </c>
      <c r="J87" s="37">
        <v>0</v>
      </c>
      <c r="K87" s="37">
        <v>0</v>
      </c>
      <c r="L87" s="37">
        <v>0</v>
      </c>
      <c r="M87" s="22">
        <v>0</v>
      </c>
      <c r="N87" s="22">
        <v>0</v>
      </c>
      <c r="O87" s="22">
        <v>7</v>
      </c>
      <c r="P87" s="22">
        <v>409515.16000000003</v>
      </c>
      <c r="Q87" s="29">
        <v>4554.9767999999995</v>
      </c>
      <c r="R87" s="8">
        <v>7</v>
      </c>
      <c r="S87" s="8"/>
      <c r="T87" s="8">
        <v>41753.43</v>
      </c>
      <c r="U87" s="8"/>
      <c r="V87" s="30">
        <f t="shared" si="49"/>
        <v>0</v>
      </c>
      <c r="W87" s="30">
        <f t="shared" si="50"/>
        <v>0</v>
      </c>
      <c r="X87" s="30">
        <f t="shared" si="51"/>
        <v>7</v>
      </c>
      <c r="Y87" s="30">
        <f t="shared" si="52"/>
        <v>41753.43</v>
      </c>
      <c r="Z87" s="30">
        <f>((+S87)/3)*4</f>
        <v>0</v>
      </c>
      <c r="AA87" s="30">
        <f>((+U87)/3)*4</f>
        <v>0</v>
      </c>
      <c r="AB87" s="30">
        <v>0</v>
      </c>
      <c r="AC87" s="30">
        <v>0</v>
      </c>
      <c r="AD87" s="25">
        <v>9</v>
      </c>
      <c r="AE87" s="25">
        <v>1</v>
      </c>
      <c r="AF87" s="25">
        <v>94906.180000000008</v>
      </c>
      <c r="AG87" s="25">
        <v>19477.59</v>
      </c>
      <c r="AH87" s="23">
        <f t="shared" si="53"/>
        <v>1</v>
      </c>
      <c r="AI87" s="23">
        <f t="shared" si="54"/>
        <v>19477.59</v>
      </c>
      <c r="AJ87" s="23">
        <f t="shared" si="55"/>
        <v>9</v>
      </c>
      <c r="AK87" s="23">
        <f t="shared" si="56"/>
        <v>94906.180000000008</v>
      </c>
      <c r="AL87" s="13">
        <v>0</v>
      </c>
      <c r="AM87" s="13">
        <v>0</v>
      </c>
      <c r="AN87" s="13">
        <v>0</v>
      </c>
      <c r="AO87" s="13">
        <v>0</v>
      </c>
      <c r="AP87" s="26">
        <v>2562.6614299999997</v>
      </c>
      <c r="AQ87" s="42" t="s">
        <v>197</v>
      </c>
      <c r="AR87" s="14">
        <f>+AX87/$AX$86</f>
        <v>0.6671405942254871</v>
      </c>
      <c r="AS87" s="25">
        <v>1961.3333333333333</v>
      </c>
      <c r="AT87" s="25">
        <v>490.33333333333331</v>
      </c>
      <c r="AU87" s="13" t="s">
        <v>184</v>
      </c>
      <c r="AV87" s="13" t="s">
        <v>184</v>
      </c>
      <c r="AW87" s="13">
        <v>2</v>
      </c>
      <c r="AX87" s="5">
        <f t="shared" ref="AX87:AX88" si="65">+AI87+AK87</f>
        <v>114383.77</v>
      </c>
    </row>
    <row r="88" spans="1:51">
      <c r="B88" s="12">
        <v>11349</v>
      </c>
      <c r="C88" s="11" t="s">
        <v>18</v>
      </c>
      <c r="D88" s="11" t="s">
        <v>77</v>
      </c>
      <c r="E88" s="25">
        <v>1</v>
      </c>
      <c r="F88" s="25">
        <v>5</v>
      </c>
      <c r="G88" s="25">
        <v>8500</v>
      </c>
      <c r="H88" s="25">
        <v>73180</v>
      </c>
      <c r="I88" s="39">
        <v>5</v>
      </c>
      <c r="J88" s="22">
        <v>73180</v>
      </c>
      <c r="K88" s="22">
        <v>1</v>
      </c>
      <c r="L88" s="22">
        <v>8500</v>
      </c>
      <c r="M88" s="37">
        <v>0</v>
      </c>
      <c r="N88" s="37">
        <v>0</v>
      </c>
      <c r="O88" s="37">
        <v>0</v>
      </c>
      <c r="P88" s="37">
        <v>0</v>
      </c>
      <c r="Q88" s="29">
        <v>611.5243700000002</v>
      </c>
      <c r="R88" s="8">
        <v>2</v>
      </c>
      <c r="S88" s="8">
        <f>+VLOOKUP(B88,[1]Лист2!$A$4:$B$188,2,0)</f>
        <v>5</v>
      </c>
      <c r="T88" s="8">
        <v>26000</v>
      </c>
      <c r="U88" s="8">
        <f>+VLOOKUP(B88,[1]Лист2!$A$4:$C$188,3,0)</f>
        <v>68106</v>
      </c>
      <c r="V88" s="30">
        <f t="shared" si="49"/>
        <v>5</v>
      </c>
      <c r="W88" s="30">
        <f t="shared" si="50"/>
        <v>68106</v>
      </c>
      <c r="X88" s="30">
        <f t="shared" si="51"/>
        <v>2</v>
      </c>
      <c r="Y88" s="30">
        <f t="shared" si="52"/>
        <v>26000</v>
      </c>
      <c r="Z88" s="30">
        <v>0</v>
      </c>
      <c r="AA88" s="30">
        <v>0</v>
      </c>
      <c r="AB88" s="30">
        <v>0</v>
      </c>
      <c r="AC88" s="30">
        <v>0</v>
      </c>
      <c r="AD88" s="25">
        <v>1</v>
      </c>
      <c r="AE88" s="25">
        <v>3</v>
      </c>
      <c r="AF88" s="25">
        <v>15000</v>
      </c>
      <c r="AG88" s="25">
        <v>42070</v>
      </c>
      <c r="AH88" s="23">
        <f t="shared" si="53"/>
        <v>3</v>
      </c>
      <c r="AI88" s="23">
        <f t="shared" si="54"/>
        <v>42070</v>
      </c>
      <c r="AJ88" s="23">
        <f t="shared" si="55"/>
        <v>1</v>
      </c>
      <c r="AK88" s="23">
        <f t="shared" si="56"/>
        <v>15000</v>
      </c>
      <c r="AL88" s="13">
        <v>0</v>
      </c>
      <c r="AM88" s="13">
        <v>0</v>
      </c>
      <c r="AN88" s="13">
        <v>0</v>
      </c>
      <c r="AO88" s="13">
        <v>0</v>
      </c>
      <c r="AP88" s="26">
        <v>588.72641000000021</v>
      </c>
      <c r="AQ88" s="42" t="s">
        <v>199</v>
      </c>
      <c r="AR88" s="14">
        <f>+AX88/$AX$86</f>
        <v>0.33285940577451284</v>
      </c>
      <c r="AS88" s="25">
        <v>394.2</v>
      </c>
      <c r="AT88" s="25">
        <v>98.55</v>
      </c>
      <c r="AU88" s="13" t="s">
        <v>184</v>
      </c>
      <c r="AV88" s="13" t="s">
        <v>184</v>
      </c>
      <c r="AW88" s="13">
        <v>2</v>
      </c>
      <c r="AX88" s="5">
        <f t="shared" si="65"/>
        <v>57070</v>
      </c>
    </row>
    <row r="89" spans="1:51" s="6" customFormat="1" ht="38.25" customHeight="1">
      <c r="A89" s="2" t="s">
        <v>63</v>
      </c>
      <c r="C89" s="5" t="s">
        <v>63</v>
      </c>
      <c r="D89" s="5"/>
      <c r="E89" s="5">
        <v>204</v>
      </c>
      <c r="F89" s="5">
        <v>185</v>
      </c>
      <c r="G89" s="5">
        <v>6465663.1000000015</v>
      </c>
      <c r="H89" s="5">
        <v>8347433.0099999998</v>
      </c>
      <c r="I89" s="31">
        <f t="shared" ref="I89:P89" si="66">+SUM(I90:I93)</f>
        <v>185</v>
      </c>
      <c r="J89" s="36">
        <f t="shared" si="66"/>
        <v>8347433.0099999998</v>
      </c>
      <c r="K89" s="36">
        <f t="shared" si="66"/>
        <v>204</v>
      </c>
      <c r="L89" s="36">
        <f t="shared" si="66"/>
        <v>6465663.1000000015</v>
      </c>
      <c r="M89" s="36">
        <f t="shared" si="66"/>
        <v>0</v>
      </c>
      <c r="N89" s="36">
        <f t="shared" si="66"/>
        <v>0</v>
      </c>
      <c r="O89" s="36">
        <f t="shared" si="66"/>
        <v>0</v>
      </c>
      <c r="P89" s="36">
        <f t="shared" si="66"/>
        <v>0</v>
      </c>
      <c r="Q89" s="28">
        <f t="shared" ref="Q89:AS89" si="67">+SUM(Q90:Q93)</f>
        <v>1786.72471</v>
      </c>
      <c r="R89" s="5">
        <v>272</v>
      </c>
      <c r="S89" s="5">
        <f t="shared" si="67"/>
        <v>215</v>
      </c>
      <c r="T89" s="5">
        <v>9829752.3199999984</v>
      </c>
      <c r="U89" s="5">
        <f t="shared" si="67"/>
        <v>8915679.7500000019</v>
      </c>
      <c r="V89" s="5">
        <f t="shared" si="49"/>
        <v>215</v>
      </c>
      <c r="W89" s="5">
        <f t="shared" si="50"/>
        <v>8915679.7500000019</v>
      </c>
      <c r="X89" s="5">
        <f t="shared" si="51"/>
        <v>272</v>
      </c>
      <c r="Y89" s="5">
        <f t="shared" si="52"/>
        <v>9829752.3199999984</v>
      </c>
      <c r="Z89" s="5">
        <f>((+SUM(Z90:Z93))/3)*4</f>
        <v>0</v>
      </c>
      <c r="AA89" s="5">
        <f>((+SUM(AA90:AA93))/3)*4</f>
        <v>0</v>
      </c>
      <c r="AB89" s="5">
        <v>0</v>
      </c>
      <c r="AC89" s="5">
        <v>0</v>
      </c>
      <c r="AD89" s="5">
        <v>262</v>
      </c>
      <c r="AE89" s="5">
        <v>168</v>
      </c>
      <c r="AF89" s="5">
        <v>11301052.08</v>
      </c>
      <c r="AG89" s="5">
        <v>2480166.9100000006</v>
      </c>
      <c r="AH89" s="5">
        <f t="shared" si="53"/>
        <v>168</v>
      </c>
      <c r="AI89" s="5">
        <f t="shared" si="54"/>
        <v>2480166.9100000006</v>
      </c>
      <c r="AJ89" s="5">
        <f t="shared" si="55"/>
        <v>262</v>
      </c>
      <c r="AK89" s="5">
        <f t="shared" si="56"/>
        <v>11301052.08</v>
      </c>
      <c r="AL89" s="5">
        <f>((((+SUM(AL90:AL93))/3)*4)/3)*4</f>
        <v>0</v>
      </c>
      <c r="AM89" s="5">
        <f>((((+SUM(AM90:AM93))/3)*4)/3)*4</f>
        <v>0</v>
      </c>
      <c r="AN89" s="5">
        <f>((((+SUM(AN90:AN93))/3)*4)/3)*4</f>
        <v>0</v>
      </c>
      <c r="AO89" s="5">
        <f>((((+SUM(AO90:AO93))/3)*4)/3)*4</f>
        <v>0</v>
      </c>
      <c r="AP89" s="5">
        <f t="shared" si="67"/>
        <v>6852.363150000001</v>
      </c>
      <c r="AQ89" s="5" t="s">
        <v>198</v>
      </c>
      <c r="AR89" s="5"/>
      <c r="AS89" s="5">
        <f t="shared" si="67"/>
        <v>1342300.8464933331</v>
      </c>
      <c r="AT89" s="5">
        <f>+SUM(AT90:AT93)</f>
        <v>335575.21162333328</v>
      </c>
      <c r="AU89" s="5"/>
      <c r="AV89" s="5"/>
      <c r="AW89" s="5">
        <f>+SUM(AW90:AW93)</f>
        <v>6</v>
      </c>
      <c r="AX89" s="5">
        <f>+AI89+AK89+AM89+AO89</f>
        <v>13781218.99</v>
      </c>
      <c r="AY89" s="43">
        <f>+AX89/$AX$6</f>
        <v>2.1232338794402943E-2</v>
      </c>
    </row>
    <row r="90" spans="1:51">
      <c r="B90" s="12">
        <v>1081</v>
      </c>
      <c r="C90" s="11" t="s">
        <v>13</v>
      </c>
      <c r="D90" s="11" t="s">
        <v>67</v>
      </c>
      <c r="E90" s="25">
        <v>93</v>
      </c>
      <c r="F90" s="25">
        <v>110</v>
      </c>
      <c r="G90" s="25">
        <v>4847944.9100000011</v>
      </c>
      <c r="H90" s="25">
        <v>10187508.42</v>
      </c>
      <c r="I90" s="39">
        <v>81</v>
      </c>
      <c r="J90" s="22">
        <v>6784618.1499999994</v>
      </c>
      <c r="K90" s="22">
        <v>55</v>
      </c>
      <c r="L90" s="22">
        <v>2254523.4200000004</v>
      </c>
      <c r="M90" s="37">
        <v>0</v>
      </c>
      <c r="N90" s="37">
        <v>0</v>
      </c>
      <c r="O90" s="37">
        <v>0</v>
      </c>
      <c r="P90" s="37">
        <v>0</v>
      </c>
      <c r="Q90" s="29">
        <v>203.51944</v>
      </c>
      <c r="R90" s="8">
        <v>83</v>
      </c>
      <c r="S90" s="8">
        <f>+VLOOKUP(B90,[1]Лист2!$A$4:$B$188,2,0)</f>
        <v>96</v>
      </c>
      <c r="T90" s="8">
        <v>3497672.1</v>
      </c>
      <c r="U90" s="8">
        <f>+VLOOKUP(B90,[1]Лист2!$A$4:$C$188,3,0)</f>
        <v>7432013.7600000007</v>
      </c>
      <c r="V90" s="30">
        <f t="shared" si="49"/>
        <v>96</v>
      </c>
      <c r="W90" s="30">
        <f t="shared" si="50"/>
        <v>7432013.7600000007</v>
      </c>
      <c r="X90" s="30">
        <f t="shared" si="51"/>
        <v>83</v>
      </c>
      <c r="Y90" s="30">
        <f t="shared" si="52"/>
        <v>3497672.1</v>
      </c>
      <c r="Z90" s="30">
        <v>0</v>
      </c>
      <c r="AA90" s="30">
        <v>0</v>
      </c>
      <c r="AB90" s="30">
        <v>0</v>
      </c>
      <c r="AC90" s="30">
        <v>0</v>
      </c>
      <c r="AD90" s="25">
        <v>111</v>
      </c>
      <c r="AE90" s="25">
        <v>112</v>
      </c>
      <c r="AF90" s="25">
        <v>7205710.2200000007</v>
      </c>
      <c r="AG90" s="25">
        <v>2449352.6500000004</v>
      </c>
      <c r="AH90" s="23">
        <f t="shared" si="53"/>
        <v>112</v>
      </c>
      <c r="AI90" s="23">
        <f t="shared" si="54"/>
        <v>2449352.6500000004</v>
      </c>
      <c r="AJ90" s="23">
        <f t="shared" si="55"/>
        <v>111</v>
      </c>
      <c r="AK90" s="23">
        <f t="shared" si="56"/>
        <v>7205710.2200000007</v>
      </c>
      <c r="AL90" s="13">
        <v>0</v>
      </c>
      <c r="AM90" s="13">
        <v>0</v>
      </c>
      <c r="AN90" s="13">
        <v>0</v>
      </c>
      <c r="AO90" s="13">
        <v>0</v>
      </c>
      <c r="AP90" s="26">
        <v>5390.6381300000003</v>
      </c>
      <c r="AQ90" s="42" t="s">
        <v>197</v>
      </c>
      <c r="AR90" s="14">
        <f>+AX90/$AX$89</f>
        <v>0.70059570760801049</v>
      </c>
      <c r="AS90" s="25">
        <v>744508.86730666657</v>
      </c>
      <c r="AT90" s="25">
        <v>186127.21682666664</v>
      </c>
      <c r="AU90" s="13" t="s">
        <v>184</v>
      </c>
      <c r="AV90" s="13" t="s">
        <v>184</v>
      </c>
      <c r="AW90" s="8">
        <v>1</v>
      </c>
      <c r="AX90" s="5">
        <f t="shared" ref="AX90:AX93" si="68">+AI90+AK90</f>
        <v>9655062.870000001</v>
      </c>
    </row>
    <row r="91" spans="1:51" ht="30">
      <c r="B91" s="12">
        <v>10820</v>
      </c>
      <c r="C91" s="11" t="s">
        <v>34</v>
      </c>
      <c r="D91" s="11" t="s">
        <v>89</v>
      </c>
      <c r="E91" s="25">
        <v>8</v>
      </c>
      <c r="F91" s="25">
        <v>6</v>
      </c>
      <c r="G91" s="25">
        <v>164606.85999999999</v>
      </c>
      <c r="H91" s="25">
        <v>45982.380000000005</v>
      </c>
      <c r="I91" s="39">
        <v>1</v>
      </c>
      <c r="J91" s="22">
        <v>2847.67</v>
      </c>
      <c r="K91" s="22">
        <v>1</v>
      </c>
      <c r="L91" s="22">
        <v>20000</v>
      </c>
      <c r="M91" s="37">
        <v>0</v>
      </c>
      <c r="N91" s="37">
        <v>0</v>
      </c>
      <c r="O91" s="37">
        <v>0</v>
      </c>
      <c r="P91" s="37">
        <v>0</v>
      </c>
      <c r="Q91" s="29">
        <v>38.230420000000002</v>
      </c>
      <c r="R91" s="8">
        <v>8</v>
      </c>
      <c r="S91" s="8">
        <f>+VLOOKUP(B91,[1]Лист2!$A$4:$B$188,2,0)</f>
        <v>10</v>
      </c>
      <c r="T91" s="8">
        <v>483857</v>
      </c>
      <c r="U91" s="8">
        <f>+VLOOKUP(B91,[1]Лист2!$A$4:$C$188,3,0)</f>
        <v>66463.28</v>
      </c>
      <c r="V91" s="30">
        <f t="shared" si="49"/>
        <v>10</v>
      </c>
      <c r="W91" s="30">
        <f t="shared" si="50"/>
        <v>66463.28</v>
      </c>
      <c r="X91" s="30">
        <f t="shared" si="51"/>
        <v>8</v>
      </c>
      <c r="Y91" s="30">
        <f t="shared" si="52"/>
        <v>483857</v>
      </c>
      <c r="Z91" s="30">
        <v>0</v>
      </c>
      <c r="AA91" s="30">
        <v>0</v>
      </c>
      <c r="AB91" s="30">
        <v>0</v>
      </c>
      <c r="AC91" s="30">
        <v>0</v>
      </c>
      <c r="AD91" s="25">
        <v>16</v>
      </c>
      <c r="AE91" s="25">
        <v>8</v>
      </c>
      <c r="AF91" s="25">
        <v>1047194.8</v>
      </c>
      <c r="AG91" s="25">
        <v>93876.76999999999</v>
      </c>
      <c r="AH91" s="23">
        <f t="shared" si="53"/>
        <v>8</v>
      </c>
      <c r="AI91" s="23">
        <f t="shared" si="54"/>
        <v>93876.76999999999</v>
      </c>
      <c r="AJ91" s="23">
        <f t="shared" si="55"/>
        <v>16</v>
      </c>
      <c r="AK91" s="23">
        <f t="shared" si="56"/>
        <v>1047194.8</v>
      </c>
      <c r="AL91" s="13">
        <v>0</v>
      </c>
      <c r="AM91" s="13">
        <v>0</v>
      </c>
      <c r="AN91" s="13">
        <v>0</v>
      </c>
      <c r="AO91" s="13">
        <v>0</v>
      </c>
      <c r="AP91" s="26">
        <v>64.236379999999997</v>
      </c>
      <c r="AQ91" s="35" t="s">
        <v>199</v>
      </c>
      <c r="AR91" s="14">
        <f>+AX91/$AX$89</f>
        <v>8.2799030392593745E-2</v>
      </c>
      <c r="AS91" s="25">
        <v>34077.333333333336</v>
      </c>
      <c r="AT91" s="25">
        <v>8519.3333333333339</v>
      </c>
      <c r="AU91" s="13" t="s">
        <v>185</v>
      </c>
      <c r="AV91" s="13" t="s">
        <v>185</v>
      </c>
      <c r="AW91" s="13">
        <v>2</v>
      </c>
      <c r="AX91" s="5">
        <f t="shared" si="68"/>
        <v>1141071.57</v>
      </c>
    </row>
    <row r="92" spans="1:51">
      <c r="B92" s="12">
        <v>11255</v>
      </c>
      <c r="C92" s="11" t="s">
        <v>15</v>
      </c>
      <c r="D92" s="11" t="s">
        <v>88</v>
      </c>
      <c r="E92" s="25">
        <v>14</v>
      </c>
      <c r="F92" s="25">
        <v>2</v>
      </c>
      <c r="G92" s="25">
        <v>417912.42000000004</v>
      </c>
      <c r="H92" s="25">
        <v>8720</v>
      </c>
      <c r="I92" s="39">
        <v>1</v>
      </c>
      <c r="J92" s="22">
        <v>8000</v>
      </c>
      <c r="K92" s="22">
        <v>9</v>
      </c>
      <c r="L92" s="22">
        <v>296321.21000000008</v>
      </c>
      <c r="M92" s="37">
        <v>0</v>
      </c>
      <c r="N92" s="37">
        <v>0</v>
      </c>
      <c r="O92" s="37">
        <v>0</v>
      </c>
      <c r="P92" s="37">
        <v>0</v>
      </c>
      <c r="Q92" s="29">
        <v>8.2779299999999996</v>
      </c>
      <c r="R92" s="8">
        <v>2</v>
      </c>
      <c r="S92" s="8">
        <f>+VLOOKUP(B92,[1]Лист2!$A$4:$B$188,2,0)</f>
        <v>13</v>
      </c>
      <c r="T92" s="8">
        <v>33000</v>
      </c>
      <c r="U92" s="8">
        <f>+VLOOKUP(B92,[1]Лист2!$A$4:$C$188,3,0)</f>
        <v>90815.37</v>
      </c>
      <c r="V92" s="30">
        <f t="shared" si="49"/>
        <v>13</v>
      </c>
      <c r="W92" s="30">
        <f t="shared" si="50"/>
        <v>90815.37</v>
      </c>
      <c r="X92" s="30">
        <f t="shared" si="51"/>
        <v>2</v>
      </c>
      <c r="Y92" s="30">
        <f t="shared" si="52"/>
        <v>33000</v>
      </c>
      <c r="Z92" s="30">
        <v>0</v>
      </c>
      <c r="AA92" s="30">
        <v>0</v>
      </c>
      <c r="AB92" s="30">
        <v>0</v>
      </c>
      <c r="AC92" s="30">
        <v>0</v>
      </c>
      <c r="AD92" s="25">
        <v>3</v>
      </c>
      <c r="AE92" s="25">
        <v>15</v>
      </c>
      <c r="AF92" s="25">
        <v>133700</v>
      </c>
      <c r="AG92" s="25">
        <v>113442.26000000001</v>
      </c>
      <c r="AH92" s="23">
        <f t="shared" si="53"/>
        <v>15</v>
      </c>
      <c r="AI92" s="23">
        <f t="shared" si="54"/>
        <v>113442.26000000001</v>
      </c>
      <c r="AJ92" s="23">
        <f t="shared" si="55"/>
        <v>3</v>
      </c>
      <c r="AK92" s="23">
        <f t="shared" si="56"/>
        <v>133700</v>
      </c>
      <c r="AL92" s="13">
        <v>0</v>
      </c>
      <c r="AM92" s="13">
        <v>0</v>
      </c>
      <c r="AN92" s="13">
        <v>0</v>
      </c>
      <c r="AO92" s="13">
        <v>0</v>
      </c>
      <c r="AP92" s="26">
        <v>62.179659999999998</v>
      </c>
      <c r="AQ92" s="35" t="s">
        <v>199</v>
      </c>
      <c r="AR92" s="14">
        <f>+AX92/$AX$89</f>
        <v>1.7933265568113581E-2</v>
      </c>
      <c r="AS92" s="25">
        <v>2994.6458533333334</v>
      </c>
      <c r="AT92" s="25">
        <v>748.66146333333336</v>
      </c>
      <c r="AU92" s="13" t="s">
        <v>184</v>
      </c>
      <c r="AV92" s="13" t="s">
        <v>184</v>
      </c>
      <c r="AW92" s="13">
        <v>2</v>
      </c>
      <c r="AX92" s="5">
        <f t="shared" si="68"/>
        <v>247142.26</v>
      </c>
    </row>
    <row r="93" spans="1:51">
      <c r="B93" s="12">
        <v>11444</v>
      </c>
      <c r="C93" s="11" t="s">
        <v>20</v>
      </c>
      <c r="D93" s="11" t="s">
        <v>73</v>
      </c>
      <c r="E93" s="25">
        <v>163</v>
      </c>
      <c r="F93" s="25">
        <v>150</v>
      </c>
      <c r="G93" s="25">
        <v>4361383.5200000014</v>
      </c>
      <c r="H93" s="25">
        <v>2119078.8000000003</v>
      </c>
      <c r="I93" s="39">
        <v>102</v>
      </c>
      <c r="J93" s="22">
        <v>1551967.1900000002</v>
      </c>
      <c r="K93" s="22">
        <v>139</v>
      </c>
      <c r="L93" s="22">
        <v>3894818.4700000011</v>
      </c>
      <c r="M93" s="37">
        <v>0</v>
      </c>
      <c r="N93" s="37">
        <v>0</v>
      </c>
      <c r="O93" s="37">
        <v>0</v>
      </c>
      <c r="P93" s="37">
        <v>0</v>
      </c>
      <c r="Q93" s="29">
        <v>1536.6969199999999</v>
      </c>
      <c r="R93" s="8">
        <v>179</v>
      </c>
      <c r="S93" s="8">
        <f>+VLOOKUP(B93,[1]Лист2!$A$4:$B$188,2,0)</f>
        <v>96</v>
      </c>
      <c r="T93" s="8">
        <v>5815223.2199999988</v>
      </c>
      <c r="U93" s="8">
        <f>+VLOOKUP(B93,[1]Лист2!$A$4:$C$188,3,0)</f>
        <v>1326387.3400000001</v>
      </c>
      <c r="V93" s="30">
        <f t="shared" si="49"/>
        <v>96</v>
      </c>
      <c r="W93" s="30">
        <f t="shared" si="50"/>
        <v>1326387.3400000001</v>
      </c>
      <c r="X93" s="30">
        <f t="shared" si="51"/>
        <v>179</v>
      </c>
      <c r="Y93" s="30">
        <f t="shared" si="52"/>
        <v>5815223.2199999988</v>
      </c>
      <c r="Z93" s="30">
        <v>0</v>
      </c>
      <c r="AA93" s="30">
        <v>0</v>
      </c>
      <c r="AB93" s="30">
        <v>0</v>
      </c>
      <c r="AC93" s="30">
        <v>0</v>
      </c>
      <c r="AD93" s="25">
        <v>223</v>
      </c>
      <c r="AE93" s="25">
        <v>110</v>
      </c>
      <c r="AF93" s="25">
        <v>7940411.459999999</v>
      </c>
      <c r="AG93" s="25">
        <v>1344223.5900000003</v>
      </c>
      <c r="AH93" s="23">
        <f t="shared" si="53"/>
        <v>110</v>
      </c>
      <c r="AI93" s="23">
        <f t="shared" si="54"/>
        <v>1344223.5900000003</v>
      </c>
      <c r="AJ93" s="23">
        <f t="shared" si="55"/>
        <v>223</v>
      </c>
      <c r="AK93" s="23">
        <f t="shared" si="56"/>
        <v>7940411.459999999</v>
      </c>
      <c r="AL93" s="13">
        <v>0</v>
      </c>
      <c r="AM93" s="13">
        <v>0</v>
      </c>
      <c r="AN93" s="13">
        <v>0</v>
      </c>
      <c r="AO93" s="13">
        <v>0</v>
      </c>
      <c r="AP93" s="26">
        <v>1335.3089800000002</v>
      </c>
      <c r="AQ93" s="35" t="s">
        <v>196</v>
      </c>
      <c r="AR93" s="14">
        <f>+AX93/$AX$89</f>
        <v>0.67371653093512007</v>
      </c>
      <c r="AS93" s="25">
        <v>560720</v>
      </c>
      <c r="AT93" s="25">
        <v>140180</v>
      </c>
      <c r="AU93" s="13" t="s">
        <v>184</v>
      </c>
      <c r="AV93" s="13" t="s">
        <v>184</v>
      </c>
      <c r="AW93" s="13">
        <v>1</v>
      </c>
      <c r="AX93" s="5">
        <f t="shared" si="68"/>
        <v>9284635.0499999989</v>
      </c>
    </row>
    <row r="94" spans="1:51" s="6" customFormat="1" ht="38.25" customHeight="1">
      <c r="A94" s="2" t="s">
        <v>0</v>
      </c>
      <c r="C94" s="5" t="s">
        <v>0</v>
      </c>
      <c r="D94" s="5"/>
      <c r="E94" s="5">
        <v>12260</v>
      </c>
      <c r="F94" s="5">
        <v>5055</v>
      </c>
      <c r="G94" s="5">
        <v>883158221.5999999</v>
      </c>
      <c r="H94" s="5">
        <v>328800754.30999988</v>
      </c>
      <c r="I94" s="31">
        <f t="shared" ref="I94:P94" si="69">+SUM(I95:I245)</f>
        <v>0</v>
      </c>
      <c r="J94" s="36">
        <f t="shared" si="69"/>
        <v>0</v>
      </c>
      <c r="K94" s="36">
        <f t="shared" si="69"/>
        <v>0</v>
      </c>
      <c r="L94" s="36">
        <f t="shared" si="69"/>
        <v>0</v>
      </c>
      <c r="M94" s="36">
        <f t="shared" si="69"/>
        <v>5055</v>
      </c>
      <c r="N94" s="36">
        <f t="shared" si="69"/>
        <v>328800754.30999988</v>
      </c>
      <c r="O94" s="36">
        <f t="shared" si="69"/>
        <v>12260</v>
      </c>
      <c r="P94" s="36">
        <f t="shared" si="69"/>
        <v>883158221.5999999</v>
      </c>
      <c r="Q94" s="28">
        <f t="shared" ref="Q94:U94" si="70">+SUM(Q95:Q245)</f>
        <v>560704.90618000005</v>
      </c>
      <c r="R94" s="5">
        <v>15125</v>
      </c>
      <c r="S94" s="5">
        <f t="shared" si="70"/>
        <v>6458</v>
      </c>
      <c r="T94" s="5">
        <v>1066375723.9299997</v>
      </c>
      <c r="U94" s="5">
        <f t="shared" si="70"/>
        <v>322280423.09999996</v>
      </c>
      <c r="V94" s="5">
        <f t="shared" si="49"/>
        <v>6458</v>
      </c>
      <c r="W94" s="5">
        <f t="shared" si="50"/>
        <v>322280423.09999996</v>
      </c>
      <c r="X94" s="5">
        <f t="shared" si="51"/>
        <v>15125</v>
      </c>
      <c r="Y94" s="5">
        <f t="shared" si="52"/>
        <v>1066375723.9299997</v>
      </c>
      <c r="Z94" s="5">
        <f>((+SUM(Z95:Z245))/3)*4</f>
        <v>11466.66666666667</v>
      </c>
      <c r="AA94" s="5">
        <f>((+SUM(AA95:AA245))/3)*4</f>
        <v>572718763.64444447</v>
      </c>
      <c r="AB94" s="5">
        <v>20101.333333333332</v>
      </c>
      <c r="AC94" s="5">
        <v>1419866695.3999999</v>
      </c>
      <c r="AD94" s="5">
        <f t="shared" ref="AD94:AE94" si="71">+SUM(AD95:AD245)</f>
        <v>11805</v>
      </c>
      <c r="AE94" s="5">
        <f t="shared" si="71"/>
        <v>5720</v>
      </c>
      <c r="AF94" s="5">
        <f t="shared" ref="AF94:AO94" si="72">+SUM(AF95:AF245)</f>
        <v>929083390.84000003</v>
      </c>
      <c r="AG94" s="5">
        <f t="shared" si="72"/>
        <v>321133596.98999983</v>
      </c>
      <c r="AH94" s="5">
        <f t="shared" si="53"/>
        <v>5720</v>
      </c>
      <c r="AI94" s="5">
        <f t="shared" si="54"/>
        <v>321133596.98999983</v>
      </c>
      <c r="AJ94" s="5">
        <f t="shared" si="55"/>
        <v>11805</v>
      </c>
      <c r="AK94" s="5">
        <f t="shared" si="56"/>
        <v>929083390.84000003</v>
      </c>
      <c r="AL94" s="5">
        <f t="shared" si="72"/>
        <v>5713</v>
      </c>
      <c r="AM94" s="5">
        <f t="shared" si="72"/>
        <v>321028927.22999984</v>
      </c>
      <c r="AN94" s="5">
        <f t="shared" si="72"/>
        <v>11778</v>
      </c>
      <c r="AO94" s="5">
        <f t="shared" si="72"/>
        <v>928620567.38000011</v>
      </c>
      <c r="AP94" s="5">
        <f>+SUM(AP95:AP245)</f>
        <v>712754.99133000011</v>
      </c>
      <c r="AQ94" s="5"/>
      <c r="AR94" s="5"/>
      <c r="AS94" s="5"/>
      <c r="AT94" s="5"/>
      <c r="AU94" s="5"/>
      <c r="AV94" s="5"/>
      <c r="AW94" s="5"/>
      <c r="AX94" s="5"/>
    </row>
    <row r="95" spans="1:51">
      <c r="B95" s="12">
        <v>394</v>
      </c>
      <c r="C95" s="11" t="s">
        <v>14</v>
      </c>
      <c r="D95" s="11" t="s">
        <v>132</v>
      </c>
      <c r="E95" s="25">
        <v>27</v>
      </c>
      <c r="F95" s="25">
        <v>51</v>
      </c>
      <c r="G95" s="25">
        <v>1796131.78</v>
      </c>
      <c r="H95" s="25">
        <v>4339212.5199999996</v>
      </c>
      <c r="I95" s="39">
        <v>0</v>
      </c>
      <c r="J95" s="22">
        <v>0</v>
      </c>
      <c r="K95" s="22">
        <v>0</v>
      </c>
      <c r="L95" s="22">
        <v>0</v>
      </c>
      <c r="M95" s="22">
        <v>51</v>
      </c>
      <c r="N95" s="22">
        <v>4339212.5199999996</v>
      </c>
      <c r="O95" s="22">
        <v>27</v>
      </c>
      <c r="P95" s="22">
        <v>1796131.78</v>
      </c>
      <c r="Q95" s="29">
        <v>10145.084429999997</v>
      </c>
      <c r="R95" s="8">
        <v>47</v>
      </c>
      <c r="S95" s="8">
        <f>+VLOOKUP(B95,[1]Лист2!$A$4:$B$188,2,0)</f>
        <v>37</v>
      </c>
      <c r="T95" s="8">
        <v>2331475.9799999995</v>
      </c>
      <c r="U95" s="8">
        <f>+VLOOKUP(B95,[1]Лист2!$A$4:$C$188,3,0)</f>
        <v>1870991.0599999998</v>
      </c>
      <c r="V95" s="30">
        <f t="shared" si="49"/>
        <v>37</v>
      </c>
      <c r="W95" s="30">
        <f t="shared" si="50"/>
        <v>1870991.0599999998</v>
      </c>
      <c r="X95" s="30">
        <f t="shared" si="51"/>
        <v>47</v>
      </c>
      <c r="Y95" s="30">
        <f t="shared" si="52"/>
        <v>2331475.9799999995</v>
      </c>
      <c r="Z95" s="30">
        <f t="shared" ref="Z95:Z136" si="73">((+S95)/3)*4</f>
        <v>49.333333333333336</v>
      </c>
      <c r="AA95" s="30">
        <f t="shared" ref="AA95:AA136" si="74">((+U95)/3)*4</f>
        <v>2494654.7466666666</v>
      </c>
      <c r="AB95" s="30">
        <v>62.666666666666664</v>
      </c>
      <c r="AC95" s="30">
        <v>3108634.6399999992</v>
      </c>
      <c r="AD95" s="8">
        <v>51</v>
      </c>
      <c r="AE95" s="8">
        <v>133</v>
      </c>
      <c r="AF95" s="8">
        <v>1899130.57</v>
      </c>
      <c r="AG95" s="8">
        <v>11329756.010000002</v>
      </c>
      <c r="AH95" s="23">
        <f t="shared" si="53"/>
        <v>133</v>
      </c>
      <c r="AI95" s="23">
        <f t="shared" si="54"/>
        <v>11329756.010000002</v>
      </c>
      <c r="AJ95" s="23">
        <f t="shared" si="55"/>
        <v>51</v>
      </c>
      <c r="AK95" s="23">
        <f t="shared" si="56"/>
        <v>1899130.57</v>
      </c>
      <c r="AL95" s="8">
        <v>133</v>
      </c>
      <c r="AM95" s="8">
        <v>11329756.010000002</v>
      </c>
      <c r="AN95" s="8">
        <v>51</v>
      </c>
      <c r="AO95" s="8">
        <v>1899130.57</v>
      </c>
      <c r="AP95" s="26">
        <v>14060.137249999998</v>
      </c>
      <c r="AQ95" s="13"/>
      <c r="AR95" s="14"/>
      <c r="AS95" s="13"/>
      <c r="AT95" s="13"/>
      <c r="AU95" s="13"/>
      <c r="AV95" s="13"/>
      <c r="AW95" s="8"/>
      <c r="AX95" s="8"/>
    </row>
    <row r="96" spans="1:51">
      <c r="B96" s="12">
        <v>1140</v>
      </c>
      <c r="C96" s="11" t="s">
        <v>14</v>
      </c>
      <c r="D96" s="11" t="s">
        <v>132</v>
      </c>
      <c r="E96" s="25">
        <v>1</v>
      </c>
      <c r="F96" s="25">
        <v>0</v>
      </c>
      <c r="G96" s="25">
        <v>57000</v>
      </c>
      <c r="H96" s="25">
        <v>0</v>
      </c>
      <c r="I96" s="40">
        <v>0</v>
      </c>
      <c r="J96" s="37">
        <v>0</v>
      </c>
      <c r="K96" s="37">
        <v>0</v>
      </c>
      <c r="L96" s="37">
        <v>0</v>
      </c>
      <c r="M96" s="22">
        <v>0</v>
      </c>
      <c r="N96" s="22">
        <v>0</v>
      </c>
      <c r="O96" s="22">
        <v>1</v>
      </c>
      <c r="P96" s="22">
        <v>57000</v>
      </c>
      <c r="Q96" s="29">
        <v>0</v>
      </c>
      <c r="R96" s="8"/>
      <c r="S96" s="8"/>
      <c r="T96" s="8"/>
      <c r="U96" s="8"/>
      <c r="V96" s="30">
        <f t="shared" si="49"/>
        <v>0</v>
      </c>
      <c r="W96" s="30">
        <f t="shared" si="50"/>
        <v>0</v>
      </c>
      <c r="X96" s="30">
        <f t="shared" si="51"/>
        <v>0</v>
      </c>
      <c r="Y96" s="30">
        <f t="shared" si="52"/>
        <v>0</v>
      </c>
      <c r="Z96" s="30">
        <f t="shared" si="73"/>
        <v>0</v>
      </c>
      <c r="AA96" s="30">
        <f t="shared" si="74"/>
        <v>0</v>
      </c>
      <c r="AB96" s="30">
        <v>0</v>
      </c>
      <c r="AC96" s="30">
        <v>0</v>
      </c>
      <c r="AD96" s="8">
        <v>0</v>
      </c>
      <c r="AE96" s="8">
        <v>0</v>
      </c>
      <c r="AF96" s="8">
        <v>0</v>
      </c>
      <c r="AG96" s="8">
        <v>0</v>
      </c>
      <c r="AH96" s="23">
        <f t="shared" si="53"/>
        <v>0</v>
      </c>
      <c r="AI96" s="23">
        <f t="shared" si="54"/>
        <v>0</v>
      </c>
      <c r="AJ96" s="23">
        <f t="shared" si="55"/>
        <v>0</v>
      </c>
      <c r="AK96" s="23">
        <f t="shared" si="56"/>
        <v>0</v>
      </c>
      <c r="AL96" s="8">
        <v>0</v>
      </c>
      <c r="AM96" s="8">
        <v>0</v>
      </c>
      <c r="AN96" s="8">
        <v>0</v>
      </c>
      <c r="AO96" s="8">
        <v>0</v>
      </c>
      <c r="AP96" s="26">
        <v>0</v>
      </c>
      <c r="AQ96" s="13"/>
      <c r="AR96" s="14"/>
      <c r="AS96" s="13"/>
      <c r="AT96" s="13"/>
      <c r="AU96" s="13"/>
      <c r="AV96" s="13"/>
      <c r="AW96" s="13"/>
      <c r="AX96" s="13"/>
    </row>
    <row r="97" spans="2:50">
      <c r="B97" s="12">
        <v>401</v>
      </c>
      <c r="C97" s="11" t="s">
        <v>31</v>
      </c>
      <c r="D97" s="11" t="s">
        <v>133</v>
      </c>
      <c r="E97" s="25">
        <v>113</v>
      </c>
      <c r="F97" s="25">
        <v>44</v>
      </c>
      <c r="G97" s="25">
        <v>2836280.48</v>
      </c>
      <c r="H97" s="25">
        <v>1777495.12</v>
      </c>
      <c r="I97" s="39">
        <v>0</v>
      </c>
      <c r="J97" s="22">
        <v>0</v>
      </c>
      <c r="K97" s="22">
        <v>0</v>
      </c>
      <c r="L97" s="22">
        <v>0</v>
      </c>
      <c r="M97" s="22">
        <v>44</v>
      </c>
      <c r="N97" s="22">
        <v>1777495.12</v>
      </c>
      <c r="O97" s="22">
        <v>113</v>
      </c>
      <c r="P97" s="22">
        <v>2836280.48</v>
      </c>
      <c r="Q97" s="29">
        <v>3376.8216300000008</v>
      </c>
      <c r="R97" s="8">
        <v>90</v>
      </c>
      <c r="S97" s="8">
        <f>+VLOOKUP(B97,[1]Лист2!$A$4:$B$188,2,0)</f>
        <v>38</v>
      </c>
      <c r="T97" s="8">
        <v>4337930.580000001</v>
      </c>
      <c r="U97" s="8">
        <f>+VLOOKUP(B97,[1]Лист2!$A$4:$C$188,3,0)</f>
        <v>1932995.9299999997</v>
      </c>
      <c r="V97" s="30">
        <f t="shared" si="49"/>
        <v>38</v>
      </c>
      <c r="W97" s="30">
        <f t="shared" si="50"/>
        <v>1932995.9299999997</v>
      </c>
      <c r="X97" s="30">
        <f t="shared" si="51"/>
        <v>90</v>
      </c>
      <c r="Y97" s="30">
        <f t="shared" si="52"/>
        <v>4337930.580000001</v>
      </c>
      <c r="Z97" s="30">
        <f t="shared" si="73"/>
        <v>50.666666666666664</v>
      </c>
      <c r="AA97" s="30">
        <f t="shared" si="74"/>
        <v>2577327.9066666663</v>
      </c>
      <c r="AB97" s="30">
        <v>120</v>
      </c>
      <c r="AC97" s="30">
        <v>5783907.4400000013</v>
      </c>
      <c r="AD97" s="8">
        <v>69</v>
      </c>
      <c r="AE97" s="8">
        <v>61</v>
      </c>
      <c r="AF97" s="8">
        <v>2956830.5500000003</v>
      </c>
      <c r="AG97" s="8">
        <v>1890157.7799999998</v>
      </c>
      <c r="AH97" s="23">
        <f t="shared" si="53"/>
        <v>61</v>
      </c>
      <c r="AI97" s="23">
        <f t="shared" si="54"/>
        <v>1890157.7799999998</v>
      </c>
      <c r="AJ97" s="23">
        <f t="shared" si="55"/>
        <v>69</v>
      </c>
      <c r="AK97" s="23">
        <f t="shared" si="56"/>
        <v>2956830.5500000003</v>
      </c>
      <c r="AL97" s="8">
        <v>61</v>
      </c>
      <c r="AM97" s="8">
        <v>1890157.7799999998</v>
      </c>
      <c r="AN97" s="8">
        <v>69</v>
      </c>
      <c r="AO97" s="8">
        <v>2956830.5500000003</v>
      </c>
      <c r="AP97" s="26">
        <v>1563.0339099999997</v>
      </c>
      <c r="AQ97" s="13"/>
      <c r="AR97" s="14"/>
      <c r="AS97" s="13"/>
      <c r="AT97" s="13"/>
      <c r="AU97" s="13"/>
      <c r="AV97" s="13"/>
      <c r="AW97" s="13"/>
      <c r="AX97" s="13"/>
    </row>
    <row r="98" spans="2:50">
      <c r="B98" s="12">
        <v>1091</v>
      </c>
      <c r="C98" s="11" t="s">
        <v>31</v>
      </c>
      <c r="D98" s="11" t="s">
        <v>133</v>
      </c>
      <c r="E98" s="25">
        <v>67</v>
      </c>
      <c r="F98" s="25">
        <v>39</v>
      </c>
      <c r="G98" s="25">
        <v>2435519.16</v>
      </c>
      <c r="H98" s="25">
        <v>558188.12</v>
      </c>
      <c r="I98" s="39">
        <v>0</v>
      </c>
      <c r="J98" s="22">
        <v>0</v>
      </c>
      <c r="K98" s="22">
        <v>0</v>
      </c>
      <c r="L98" s="22">
        <v>0</v>
      </c>
      <c r="M98" s="22">
        <v>39</v>
      </c>
      <c r="N98" s="22">
        <v>558188.12</v>
      </c>
      <c r="O98" s="22">
        <v>67</v>
      </c>
      <c r="P98" s="22">
        <v>2435519.16</v>
      </c>
      <c r="Q98" s="29">
        <v>35.626279999999994</v>
      </c>
      <c r="R98" s="8">
        <v>90</v>
      </c>
      <c r="S98" s="8">
        <f>+VLOOKUP(B98,[1]Лист2!$A$4:$B$188,2,0)</f>
        <v>55</v>
      </c>
      <c r="T98" s="8">
        <v>2303583.0599999991</v>
      </c>
      <c r="U98" s="8">
        <f>+VLOOKUP(B98,[1]Лист2!$A$4:$C$188,3,0)</f>
        <v>1418776.2100000002</v>
      </c>
      <c r="V98" s="30">
        <f t="shared" si="49"/>
        <v>55</v>
      </c>
      <c r="W98" s="30">
        <f t="shared" si="50"/>
        <v>1418776.2100000002</v>
      </c>
      <c r="X98" s="30">
        <f t="shared" si="51"/>
        <v>90</v>
      </c>
      <c r="Y98" s="30">
        <f t="shared" si="52"/>
        <v>2303583.0599999991</v>
      </c>
      <c r="Z98" s="30">
        <f t="shared" si="73"/>
        <v>73.333333333333329</v>
      </c>
      <c r="AA98" s="30">
        <f t="shared" si="74"/>
        <v>1891701.6133333335</v>
      </c>
      <c r="AB98" s="30">
        <v>120</v>
      </c>
      <c r="AC98" s="30">
        <v>3071444.0799999987</v>
      </c>
      <c r="AD98" s="8">
        <v>72</v>
      </c>
      <c r="AE98" s="8">
        <v>45</v>
      </c>
      <c r="AF98" s="8">
        <v>1856577.9400000002</v>
      </c>
      <c r="AG98" s="8">
        <v>623973.33000000007</v>
      </c>
      <c r="AH98" s="23">
        <f t="shared" si="53"/>
        <v>45</v>
      </c>
      <c r="AI98" s="23">
        <f t="shared" si="54"/>
        <v>623973.33000000007</v>
      </c>
      <c r="AJ98" s="23">
        <f t="shared" si="55"/>
        <v>72</v>
      </c>
      <c r="AK98" s="23">
        <f t="shared" si="56"/>
        <v>1856577.9400000002</v>
      </c>
      <c r="AL98" s="8">
        <v>45</v>
      </c>
      <c r="AM98" s="8">
        <v>623973.33000000007</v>
      </c>
      <c r="AN98" s="8">
        <v>72</v>
      </c>
      <c r="AO98" s="8">
        <v>1856577.9400000002</v>
      </c>
      <c r="AP98" s="26">
        <v>627.80971</v>
      </c>
      <c r="AQ98" s="13"/>
      <c r="AR98" s="14"/>
      <c r="AS98" s="13"/>
      <c r="AT98" s="13"/>
      <c r="AU98" s="13"/>
      <c r="AV98" s="13"/>
      <c r="AW98" s="8"/>
      <c r="AX98" s="8"/>
    </row>
    <row r="99" spans="2:50">
      <c r="B99" s="12">
        <v>1183</v>
      </c>
      <c r="C99" s="11" t="s">
        <v>37</v>
      </c>
      <c r="D99" s="11" t="s">
        <v>134</v>
      </c>
      <c r="E99" s="25">
        <v>40</v>
      </c>
      <c r="F99" s="25">
        <v>14</v>
      </c>
      <c r="G99" s="25">
        <v>3690649.1499999994</v>
      </c>
      <c r="H99" s="25">
        <v>518119.16999999993</v>
      </c>
      <c r="I99" s="39">
        <v>0</v>
      </c>
      <c r="J99" s="22">
        <v>0</v>
      </c>
      <c r="K99" s="22">
        <v>0</v>
      </c>
      <c r="L99" s="22">
        <v>0</v>
      </c>
      <c r="M99" s="22">
        <v>14</v>
      </c>
      <c r="N99" s="22">
        <v>518119.16999999993</v>
      </c>
      <c r="O99" s="22">
        <v>40</v>
      </c>
      <c r="P99" s="22">
        <v>3690649.1499999994</v>
      </c>
      <c r="Q99" s="29">
        <v>26004.416229999999</v>
      </c>
      <c r="R99" s="8">
        <v>96</v>
      </c>
      <c r="S99" s="8">
        <f>+VLOOKUP(B99,[1]Лист2!$A$4:$B$188,2,0)</f>
        <v>11</v>
      </c>
      <c r="T99" s="8">
        <v>7189967.3500000006</v>
      </c>
      <c r="U99" s="8">
        <f>+VLOOKUP(B99,[1]Лист2!$A$4:$C$188,3,0)</f>
        <v>364377.8</v>
      </c>
      <c r="V99" s="30">
        <f t="shared" si="49"/>
        <v>11</v>
      </c>
      <c r="W99" s="30">
        <f t="shared" si="50"/>
        <v>364377.8</v>
      </c>
      <c r="X99" s="30">
        <f t="shared" si="51"/>
        <v>96</v>
      </c>
      <c r="Y99" s="30">
        <f t="shared" si="52"/>
        <v>7189967.3500000006</v>
      </c>
      <c r="Z99" s="30">
        <f t="shared" si="73"/>
        <v>14.666666666666666</v>
      </c>
      <c r="AA99" s="30">
        <f t="shared" si="74"/>
        <v>485837.06666666665</v>
      </c>
      <c r="AB99" s="30">
        <v>128</v>
      </c>
      <c r="AC99" s="30">
        <v>9586623.1333333347</v>
      </c>
      <c r="AD99" s="8">
        <v>69</v>
      </c>
      <c r="AE99" s="8">
        <v>25</v>
      </c>
      <c r="AF99" s="8">
        <v>9311209.75</v>
      </c>
      <c r="AG99" s="8">
        <v>1033267.5900000001</v>
      </c>
      <c r="AH99" s="23">
        <f t="shared" si="53"/>
        <v>25</v>
      </c>
      <c r="AI99" s="23">
        <f t="shared" si="54"/>
        <v>1033267.5900000001</v>
      </c>
      <c r="AJ99" s="23">
        <f t="shared" si="55"/>
        <v>69</v>
      </c>
      <c r="AK99" s="23">
        <f t="shared" si="56"/>
        <v>9311209.75</v>
      </c>
      <c r="AL99" s="8">
        <v>25</v>
      </c>
      <c r="AM99" s="8">
        <v>1033267.5900000001</v>
      </c>
      <c r="AN99" s="8">
        <v>69</v>
      </c>
      <c r="AO99" s="8">
        <v>9311209.75</v>
      </c>
      <c r="AP99" s="26">
        <v>19725.106220000001</v>
      </c>
      <c r="AQ99" s="13"/>
      <c r="AR99" s="14"/>
      <c r="AS99" s="13"/>
      <c r="AT99" s="13"/>
      <c r="AU99" s="13"/>
      <c r="AV99" s="13"/>
      <c r="AW99" s="13"/>
      <c r="AX99" s="13"/>
    </row>
    <row r="100" spans="2:50">
      <c r="B100" s="12">
        <v>1196</v>
      </c>
      <c r="C100" s="11" t="s">
        <v>36</v>
      </c>
      <c r="D100" s="11" t="s">
        <v>135</v>
      </c>
      <c r="E100" s="25">
        <v>4</v>
      </c>
      <c r="F100" s="25">
        <v>3</v>
      </c>
      <c r="G100" s="25">
        <v>49666.5</v>
      </c>
      <c r="H100" s="25">
        <v>189146.41</v>
      </c>
      <c r="I100" s="39">
        <v>0</v>
      </c>
      <c r="J100" s="22">
        <v>0</v>
      </c>
      <c r="K100" s="22">
        <v>0</v>
      </c>
      <c r="L100" s="22">
        <v>0</v>
      </c>
      <c r="M100" s="22">
        <v>3</v>
      </c>
      <c r="N100" s="22">
        <v>189146.41</v>
      </c>
      <c r="O100" s="22">
        <v>4</v>
      </c>
      <c r="P100" s="22">
        <v>49666.5</v>
      </c>
      <c r="Q100" s="29">
        <v>0</v>
      </c>
      <c r="R100" s="8">
        <v>24</v>
      </c>
      <c r="S100" s="8">
        <f>+VLOOKUP(B100,[1]Лист2!$A$4:$B$188,2,0)</f>
        <v>7</v>
      </c>
      <c r="T100" s="8">
        <v>571636.1</v>
      </c>
      <c r="U100" s="8">
        <f>+VLOOKUP(B100,[1]Лист2!$A$4:$C$188,3,0)</f>
        <v>201444.33000000002</v>
      </c>
      <c r="V100" s="30">
        <f t="shared" si="49"/>
        <v>7</v>
      </c>
      <c r="W100" s="30">
        <f t="shared" si="50"/>
        <v>201444.33000000002</v>
      </c>
      <c r="X100" s="30">
        <f t="shared" si="51"/>
        <v>24</v>
      </c>
      <c r="Y100" s="30">
        <f t="shared" si="52"/>
        <v>571636.1</v>
      </c>
      <c r="Z100" s="30">
        <f t="shared" si="73"/>
        <v>9.3333333333333339</v>
      </c>
      <c r="AA100" s="30">
        <f t="shared" si="74"/>
        <v>268592.44</v>
      </c>
      <c r="AB100" s="30">
        <v>32</v>
      </c>
      <c r="AC100" s="30">
        <v>762181.46666666667</v>
      </c>
      <c r="AD100" s="8">
        <v>14</v>
      </c>
      <c r="AE100" s="8">
        <v>14</v>
      </c>
      <c r="AF100" s="8">
        <v>631973.60000000009</v>
      </c>
      <c r="AG100" s="8">
        <v>193614.76000000004</v>
      </c>
      <c r="AH100" s="23">
        <f t="shared" si="53"/>
        <v>14</v>
      </c>
      <c r="AI100" s="23">
        <f t="shared" si="54"/>
        <v>193614.76000000004</v>
      </c>
      <c r="AJ100" s="23">
        <f t="shared" si="55"/>
        <v>14</v>
      </c>
      <c r="AK100" s="23">
        <f t="shared" si="56"/>
        <v>631973.60000000009</v>
      </c>
      <c r="AL100" s="8">
        <v>14</v>
      </c>
      <c r="AM100" s="8">
        <v>193614.76000000004</v>
      </c>
      <c r="AN100" s="8">
        <v>14</v>
      </c>
      <c r="AO100" s="8">
        <v>631973.60000000009</v>
      </c>
      <c r="AP100" s="26">
        <v>5582.796229999999</v>
      </c>
      <c r="AQ100" s="13"/>
      <c r="AR100" s="14"/>
      <c r="AS100" s="13"/>
      <c r="AT100" s="13"/>
      <c r="AU100" s="13"/>
      <c r="AV100" s="13"/>
      <c r="AW100" s="13"/>
      <c r="AX100" s="13"/>
    </row>
    <row r="101" spans="2:50">
      <c r="B101" s="12">
        <v>873</v>
      </c>
      <c r="C101" s="11" t="s">
        <v>26</v>
      </c>
      <c r="D101" s="11" t="s">
        <v>136</v>
      </c>
      <c r="E101" s="25">
        <v>171</v>
      </c>
      <c r="F101" s="25">
        <v>0</v>
      </c>
      <c r="G101" s="25">
        <v>20989825.809999991</v>
      </c>
      <c r="H101" s="25">
        <v>0</v>
      </c>
      <c r="I101" s="40">
        <v>0</v>
      </c>
      <c r="J101" s="37">
        <v>0</v>
      </c>
      <c r="K101" s="37">
        <v>0</v>
      </c>
      <c r="L101" s="37">
        <v>0</v>
      </c>
      <c r="M101" s="22">
        <v>0</v>
      </c>
      <c r="N101" s="22">
        <v>0</v>
      </c>
      <c r="O101" s="22">
        <v>171</v>
      </c>
      <c r="P101" s="22">
        <v>20989825.809999991</v>
      </c>
      <c r="Q101" s="29">
        <v>128.72630000000001</v>
      </c>
      <c r="R101" s="8">
        <v>245</v>
      </c>
      <c r="S101" s="8">
        <f>+VLOOKUP(B101,[1]Лист2!$A$4:$B$188,2,0)</f>
        <v>7</v>
      </c>
      <c r="T101" s="8">
        <v>17638784.40000001</v>
      </c>
      <c r="U101" s="8">
        <f>+VLOOKUP(B101,[1]Лист2!$A$4:$C$188,3,0)</f>
        <v>265451.25</v>
      </c>
      <c r="V101" s="30">
        <f t="shared" si="49"/>
        <v>7</v>
      </c>
      <c r="W101" s="30">
        <f t="shared" si="50"/>
        <v>265451.25</v>
      </c>
      <c r="X101" s="30">
        <f t="shared" si="51"/>
        <v>245</v>
      </c>
      <c r="Y101" s="30">
        <f t="shared" si="52"/>
        <v>17638784.40000001</v>
      </c>
      <c r="Z101" s="30">
        <f t="shared" si="73"/>
        <v>9.3333333333333339</v>
      </c>
      <c r="AA101" s="30">
        <f t="shared" si="74"/>
        <v>353935</v>
      </c>
      <c r="AB101" s="30">
        <v>326.66666666666669</v>
      </c>
      <c r="AC101" s="30">
        <v>23518379.200000014</v>
      </c>
      <c r="AD101" s="8">
        <v>175</v>
      </c>
      <c r="AE101" s="8">
        <v>8</v>
      </c>
      <c r="AF101" s="8">
        <v>16854380.879999999</v>
      </c>
      <c r="AG101" s="8">
        <v>469142.23</v>
      </c>
      <c r="AH101" s="23">
        <f t="shared" si="53"/>
        <v>8</v>
      </c>
      <c r="AI101" s="23">
        <f t="shared" si="54"/>
        <v>469142.23</v>
      </c>
      <c r="AJ101" s="23">
        <f t="shared" si="55"/>
        <v>175</v>
      </c>
      <c r="AK101" s="23">
        <f t="shared" si="56"/>
        <v>16854380.879999999</v>
      </c>
      <c r="AL101" s="8">
        <v>8</v>
      </c>
      <c r="AM101" s="8">
        <v>469142.23</v>
      </c>
      <c r="AN101" s="8">
        <v>175</v>
      </c>
      <c r="AO101" s="8">
        <v>16854380.879999999</v>
      </c>
      <c r="AP101" s="26">
        <v>129.01746</v>
      </c>
      <c r="AQ101" s="13"/>
      <c r="AR101" s="14"/>
      <c r="AS101" s="13"/>
      <c r="AT101" s="13"/>
      <c r="AU101" s="13"/>
      <c r="AV101" s="13"/>
      <c r="AW101" s="13"/>
      <c r="AX101" s="13"/>
    </row>
    <row r="102" spans="2:50">
      <c r="B102" s="12">
        <v>12009</v>
      </c>
      <c r="C102" s="11" t="s">
        <v>26</v>
      </c>
      <c r="D102" s="11" t="s">
        <v>136</v>
      </c>
      <c r="E102" s="25">
        <v>77</v>
      </c>
      <c r="F102" s="25">
        <v>53</v>
      </c>
      <c r="G102" s="25">
        <v>7216222.0199999986</v>
      </c>
      <c r="H102" s="25">
        <v>2275501.9299999997</v>
      </c>
      <c r="I102" s="39">
        <v>0</v>
      </c>
      <c r="J102" s="22">
        <v>0</v>
      </c>
      <c r="K102" s="22">
        <v>0</v>
      </c>
      <c r="L102" s="22">
        <v>0</v>
      </c>
      <c r="M102" s="22">
        <v>53</v>
      </c>
      <c r="N102" s="22">
        <v>2275501.9299999997</v>
      </c>
      <c r="O102" s="22">
        <v>77</v>
      </c>
      <c r="P102" s="22">
        <v>7216222.0199999986</v>
      </c>
      <c r="Q102" s="29">
        <v>1931.4745899999998</v>
      </c>
      <c r="R102" s="8">
        <v>77</v>
      </c>
      <c r="S102" s="8">
        <f>+VLOOKUP(B102,[1]Лист2!$A$4:$B$188,2,0)</f>
        <v>72</v>
      </c>
      <c r="T102" s="8">
        <v>5097511.6300000008</v>
      </c>
      <c r="U102" s="8">
        <f>+VLOOKUP(B102,[1]Лист2!$A$4:$C$188,3,0)</f>
        <v>2018971.1600000001</v>
      </c>
      <c r="V102" s="30">
        <f t="shared" si="49"/>
        <v>72</v>
      </c>
      <c r="W102" s="30">
        <f t="shared" si="50"/>
        <v>2018971.1600000001</v>
      </c>
      <c r="X102" s="30">
        <f t="shared" si="51"/>
        <v>77</v>
      </c>
      <c r="Y102" s="30">
        <f t="shared" si="52"/>
        <v>5097511.6300000008</v>
      </c>
      <c r="Z102" s="30">
        <f t="shared" si="73"/>
        <v>96</v>
      </c>
      <c r="AA102" s="30">
        <f t="shared" si="74"/>
        <v>2691961.5466666669</v>
      </c>
      <c r="AB102" s="30">
        <v>102.66666666666667</v>
      </c>
      <c r="AC102" s="30">
        <v>6796682.1733333347</v>
      </c>
      <c r="AD102" s="8">
        <v>56</v>
      </c>
      <c r="AE102" s="8">
        <v>55</v>
      </c>
      <c r="AF102" s="8">
        <v>3424105.4</v>
      </c>
      <c r="AG102" s="8">
        <v>1514269.3399999999</v>
      </c>
      <c r="AH102" s="23">
        <f t="shared" si="53"/>
        <v>55</v>
      </c>
      <c r="AI102" s="23">
        <f t="shared" si="54"/>
        <v>1514269.3399999999</v>
      </c>
      <c r="AJ102" s="23">
        <f t="shared" si="55"/>
        <v>56</v>
      </c>
      <c r="AK102" s="23">
        <f t="shared" si="56"/>
        <v>3424105.4</v>
      </c>
      <c r="AL102" s="8">
        <v>55</v>
      </c>
      <c r="AM102" s="8">
        <v>1514269.3399999999</v>
      </c>
      <c r="AN102" s="8">
        <v>56</v>
      </c>
      <c r="AO102" s="8">
        <v>3424105.4</v>
      </c>
      <c r="AP102" s="26">
        <v>3565.2294999999999</v>
      </c>
      <c r="AQ102" s="13"/>
      <c r="AR102" s="14"/>
      <c r="AS102" s="13"/>
      <c r="AT102" s="13"/>
      <c r="AU102" s="13"/>
      <c r="AV102" s="13"/>
      <c r="AW102" s="13"/>
      <c r="AX102" s="13"/>
    </row>
    <row r="103" spans="2:50">
      <c r="B103" s="12">
        <v>12010</v>
      </c>
      <c r="C103" s="11" t="s">
        <v>26</v>
      </c>
      <c r="D103" s="11" t="s">
        <v>136</v>
      </c>
      <c r="E103" s="25">
        <v>26</v>
      </c>
      <c r="F103" s="25">
        <v>64</v>
      </c>
      <c r="G103" s="25">
        <v>859406.98</v>
      </c>
      <c r="H103" s="25">
        <v>2962713.88</v>
      </c>
      <c r="I103" s="39">
        <v>0</v>
      </c>
      <c r="J103" s="22">
        <v>0</v>
      </c>
      <c r="K103" s="22">
        <v>0</v>
      </c>
      <c r="L103" s="22">
        <v>0</v>
      </c>
      <c r="M103" s="22">
        <v>64</v>
      </c>
      <c r="N103" s="22">
        <v>2962713.88</v>
      </c>
      <c r="O103" s="22">
        <v>26</v>
      </c>
      <c r="P103" s="22">
        <v>859406.98</v>
      </c>
      <c r="Q103" s="29">
        <v>373.12028999999995</v>
      </c>
      <c r="R103" s="8">
        <v>26</v>
      </c>
      <c r="S103" s="8">
        <f>+VLOOKUP(B103,[1]Лист2!$A$4:$B$188,2,0)</f>
        <v>34</v>
      </c>
      <c r="T103" s="8">
        <v>1026722.71</v>
      </c>
      <c r="U103" s="8">
        <f>+VLOOKUP(B103,[1]Лист2!$A$4:$C$188,3,0)</f>
        <v>1762770.0700000003</v>
      </c>
      <c r="V103" s="30">
        <f t="shared" si="49"/>
        <v>34</v>
      </c>
      <c r="W103" s="30">
        <f t="shared" si="50"/>
        <v>1762770.0700000003</v>
      </c>
      <c r="X103" s="30">
        <f t="shared" si="51"/>
        <v>26</v>
      </c>
      <c r="Y103" s="30">
        <f t="shared" si="52"/>
        <v>1026722.71</v>
      </c>
      <c r="Z103" s="30">
        <f t="shared" si="73"/>
        <v>45.333333333333336</v>
      </c>
      <c r="AA103" s="30">
        <f t="shared" si="74"/>
        <v>2350360.0933333337</v>
      </c>
      <c r="AB103" s="30">
        <v>34.666666666666664</v>
      </c>
      <c r="AC103" s="30">
        <v>1368963.6133333333</v>
      </c>
      <c r="AD103" s="8">
        <v>13</v>
      </c>
      <c r="AE103" s="8">
        <v>39</v>
      </c>
      <c r="AF103" s="8">
        <v>1104100.56</v>
      </c>
      <c r="AG103" s="8">
        <v>1575724.0699999998</v>
      </c>
      <c r="AH103" s="23">
        <f t="shared" si="53"/>
        <v>39</v>
      </c>
      <c r="AI103" s="23">
        <f t="shared" si="54"/>
        <v>1575724.0699999998</v>
      </c>
      <c r="AJ103" s="23">
        <f t="shared" si="55"/>
        <v>13</v>
      </c>
      <c r="AK103" s="23">
        <f t="shared" si="56"/>
        <v>1104100.56</v>
      </c>
      <c r="AL103" s="8">
        <v>39</v>
      </c>
      <c r="AM103" s="8">
        <v>1575724.0699999998</v>
      </c>
      <c r="AN103" s="8">
        <v>13</v>
      </c>
      <c r="AO103" s="8">
        <v>1104100.56</v>
      </c>
      <c r="AP103" s="26">
        <v>156.84772000000001</v>
      </c>
      <c r="AQ103" s="13"/>
      <c r="AR103" s="14"/>
      <c r="AS103" s="13"/>
      <c r="AT103" s="13"/>
      <c r="AU103" s="13"/>
      <c r="AV103" s="13"/>
      <c r="AW103" s="13"/>
      <c r="AX103" s="13"/>
    </row>
    <row r="104" spans="2:50">
      <c r="B104" s="12">
        <v>12015</v>
      </c>
      <c r="C104" s="11" t="s">
        <v>26</v>
      </c>
      <c r="D104" s="11" t="s">
        <v>136</v>
      </c>
      <c r="E104" s="25">
        <v>45</v>
      </c>
      <c r="F104" s="25">
        <v>36</v>
      </c>
      <c r="G104" s="25">
        <v>2616192.42</v>
      </c>
      <c r="H104" s="25">
        <v>2284523.8800000004</v>
      </c>
      <c r="I104" s="39">
        <v>0</v>
      </c>
      <c r="J104" s="22">
        <v>0</v>
      </c>
      <c r="K104" s="22">
        <v>0</v>
      </c>
      <c r="L104" s="22">
        <v>0</v>
      </c>
      <c r="M104" s="22">
        <v>36</v>
      </c>
      <c r="N104" s="22">
        <v>2284523.8800000004</v>
      </c>
      <c r="O104" s="22">
        <v>45</v>
      </c>
      <c r="P104" s="22">
        <v>2616192.42</v>
      </c>
      <c r="Q104" s="29">
        <v>5139.8684899999998</v>
      </c>
      <c r="R104" s="8">
        <v>45</v>
      </c>
      <c r="S104" s="8">
        <f>+VLOOKUP(B104,[1]Лист2!$A$4:$B$188,2,0)</f>
        <v>30</v>
      </c>
      <c r="T104" s="8">
        <v>5960832.7300000004</v>
      </c>
      <c r="U104" s="8">
        <f>+VLOOKUP(B104,[1]Лист2!$A$4:$C$188,3,0)</f>
        <v>3555172.8499999996</v>
      </c>
      <c r="V104" s="30">
        <f t="shared" si="49"/>
        <v>30</v>
      </c>
      <c r="W104" s="30">
        <f t="shared" si="50"/>
        <v>3555172.8499999996</v>
      </c>
      <c r="X104" s="30">
        <f t="shared" si="51"/>
        <v>45</v>
      </c>
      <c r="Y104" s="30">
        <f t="shared" si="52"/>
        <v>5960832.7300000004</v>
      </c>
      <c r="Z104" s="30">
        <f t="shared" si="73"/>
        <v>40</v>
      </c>
      <c r="AA104" s="30">
        <f t="shared" si="74"/>
        <v>4740230.4666666659</v>
      </c>
      <c r="AB104" s="30">
        <v>60</v>
      </c>
      <c r="AC104" s="30">
        <v>7947776.9733333336</v>
      </c>
      <c r="AD104" s="8">
        <v>20</v>
      </c>
      <c r="AE104" s="8">
        <v>11</v>
      </c>
      <c r="AF104" s="8">
        <v>2795378.8800000004</v>
      </c>
      <c r="AG104" s="8">
        <v>1886958.18</v>
      </c>
      <c r="AH104" s="23">
        <f t="shared" si="53"/>
        <v>11</v>
      </c>
      <c r="AI104" s="23">
        <f t="shared" si="54"/>
        <v>1886958.18</v>
      </c>
      <c r="AJ104" s="23">
        <f t="shared" si="55"/>
        <v>20</v>
      </c>
      <c r="AK104" s="23">
        <f t="shared" si="56"/>
        <v>2795378.8800000004</v>
      </c>
      <c r="AL104" s="8">
        <v>11</v>
      </c>
      <c r="AM104" s="8">
        <v>1886958.18</v>
      </c>
      <c r="AN104" s="8">
        <v>20</v>
      </c>
      <c r="AO104" s="8">
        <v>2795378.8800000004</v>
      </c>
      <c r="AP104" s="26">
        <v>6077.1990799999994</v>
      </c>
      <c r="AQ104" s="13"/>
      <c r="AR104" s="14"/>
      <c r="AS104" s="13"/>
      <c r="AT104" s="13"/>
      <c r="AU104" s="13"/>
      <c r="AV104" s="13"/>
      <c r="AW104" s="13"/>
      <c r="AX104" s="13"/>
    </row>
    <row r="105" spans="2:50">
      <c r="B105" s="12">
        <v>12016</v>
      </c>
      <c r="C105" s="11" t="s">
        <v>26</v>
      </c>
      <c r="D105" s="11" t="s">
        <v>136</v>
      </c>
      <c r="E105" s="25">
        <v>52</v>
      </c>
      <c r="F105" s="25">
        <v>19</v>
      </c>
      <c r="G105" s="25">
        <v>6953015.1900000004</v>
      </c>
      <c r="H105" s="25">
        <v>58182.720000000001</v>
      </c>
      <c r="I105" s="39">
        <v>0</v>
      </c>
      <c r="J105" s="22">
        <v>0</v>
      </c>
      <c r="K105" s="22">
        <v>0</v>
      </c>
      <c r="L105" s="22">
        <v>0</v>
      </c>
      <c r="M105" s="22">
        <v>19</v>
      </c>
      <c r="N105" s="22">
        <v>58182.720000000001</v>
      </c>
      <c r="O105" s="22">
        <v>52</v>
      </c>
      <c r="P105" s="22">
        <v>6953015.1900000004</v>
      </c>
      <c r="Q105" s="29">
        <v>37207.606700000004</v>
      </c>
      <c r="R105" s="8">
        <v>56</v>
      </c>
      <c r="S105" s="8">
        <f>+VLOOKUP(B105,[1]Лист2!$A$4:$B$188,2,0)</f>
        <v>71</v>
      </c>
      <c r="T105" s="8">
        <v>4932429.5900000008</v>
      </c>
      <c r="U105" s="8">
        <f>+VLOOKUP(B105,[1]Лист2!$A$4:$C$188,3,0)</f>
        <v>142401.14000000001</v>
      </c>
      <c r="V105" s="30">
        <f t="shared" si="49"/>
        <v>71</v>
      </c>
      <c r="W105" s="30">
        <f t="shared" si="50"/>
        <v>142401.14000000001</v>
      </c>
      <c r="X105" s="30">
        <f t="shared" si="51"/>
        <v>56</v>
      </c>
      <c r="Y105" s="30">
        <f t="shared" si="52"/>
        <v>4932429.5900000008</v>
      </c>
      <c r="Z105" s="30">
        <f t="shared" si="73"/>
        <v>94.666666666666671</v>
      </c>
      <c r="AA105" s="30">
        <f t="shared" si="74"/>
        <v>189868.18666666668</v>
      </c>
      <c r="AB105" s="30">
        <v>74.666666666666671</v>
      </c>
      <c r="AC105" s="30">
        <v>6576572.786666668</v>
      </c>
      <c r="AD105" s="8">
        <v>44</v>
      </c>
      <c r="AE105" s="8">
        <v>68</v>
      </c>
      <c r="AF105" s="8">
        <v>10640435.520000001</v>
      </c>
      <c r="AG105" s="8">
        <v>165649.5</v>
      </c>
      <c r="AH105" s="23">
        <f t="shared" si="53"/>
        <v>68</v>
      </c>
      <c r="AI105" s="23">
        <f t="shared" si="54"/>
        <v>165649.5</v>
      </c>
      <c r="AJ105" s="23">
        <f t="shared" si="55"/>
        <v>44</v>
      </c>
      <c r="AK105" s="23">
        <f t="shared" si="56"/>
        <v>10640435.520000001</v>
      </c>
      <c r="AL105" s="8">
        <v>68</v>
      </c>
      <c r="AM105" s="8">
        <v>165649.5</v>
      </c>
      <c r="AN105" s="8">
        <v>44</v>
      </c>
      <c r="AO105" s="8">
        <v>10640435.520000001</v>
      </c>
      <c r="AP105" s="26">
        <v>27764.160179999995</v>
      </c>
      <c r="AQ105" s="13"/>
      <c r="AR105" s="14"/>
      <c r="AS105" s="13"/>
      <c r="AT105" s="13"/>
      <c r="AU105" s="13"/>
      <c r="AV105" s="13"/>
      <c r="AW105" s="13"/>
      <c r="AX105" s="13"/>
    </row>
    <row r="106" spans="2:50" ht="30">
      <c r="B106" s="12">
        <v>1095</v>
      </c>
      <c r="C106" s="11" t="s">
        <v>25</v>
      </c>
      <c r="D106" s="11" t="s">
        <v>137</v>
      </c>
      <c r="E106" s="25">
        <v>253</v>
      </c>
      <c r="F106" s="25">
        <v>46</v>
      </c>
      <c r="G106" s="25">
        <v>9460418.8899999987</v>
      </c>
      <c r="H106" s="25">
        <v>1358893.9</v>
      </c>
      <c r="I106" s="39">
        <v>0</v>
      </c>
      <c r="J106" s="22">
        <v>0</v>
      </c>
      <c r="K106" s="22">
        <v>0</v>
      </c>
      <c r="L106" s="22">
        <v>0</v>
      </c>
      <c r="M106" s="22">
        <v>46</v>
      </c>
      <c r="N106" s="22">
        <v>1358893.9</v>
      </c>
      <c r="O106" s="22">
        <v>253</v>
      </c>
      <c r="P106" s="22">
        <v>9460418.8899999987</v>
      </c>
      <c r="Q106" s="29">
        <v>1822.8465800000001</v>
      </c>
      <c r="R106" s="8">
        <v>324</v>
      </c>
      <c r="S106" s="8">
        <f>+VLOOKUP(B106,[1]Лист2!$A$4:$B$188,2,0)</f>
        <v>62</v>
      </c>
      <c r="T106" s="8">
        <v>23094665.889999993</v>
      </c>
      <c r="U106" s="8">
        <f>+VLOOKUP(B106,[1]Лист2!$A$4:$C$188,3,0)</f>
        <v>1964919.42</v>
      </c>
      <c r="V106" s="30">
        <f t="shared" si="49"/>
        <v>62</v>
      </c>
      <c r="W106" s="30">
        <f t="shared" si="50"/>
        <v>1964919.42</v>
      </c>
      <c r="X106" s="30">
        <f t="shared" si="51"/>
        <v>324</v>
      </c>
      <c r="Y106" s="30">
        <f t="shared" si="52"/>
        <v>23094665.889999993</v>
      </c>
      <c r="Z106" s="30">
        <f t="shared" si="73"/>
        <v>82.666666666666671</v>
      </c>
      <c r="AA106" s="30">
        <f t="shared" si="74"/>
        <v>2619892.56</v>
      </c>
      <c r="AB106" s="30">
        <v>432</v>
      </c>
      <c r="AC106" s="30">
        <v>30792887.853333324</v>
      </c>
      <c r="AD106" s="8">
        <v>314</v>
      </c>
      <c r="AE106" s="8">
        <v>67</v>
      </c>
      <c r="AF106" s="8">
        <v>32051024.510000005</v>
      </c>
      <c r="AG106" s="8">
        <v>2043982.15</v>
      </c>
      <c r="AH106" s="23">
        <f t="shared" si="53"/>
        <v>67</v>
      </c>
      <c r="AI106" s="23">
        <f t="shared" si="54"/>
        <v>2043982.15</v>
      </c>
      <c r="AJ106" s="23">
        <f t="shared" si="55"/>
        <v>314</v>
      </c>
      <c r="AK106" s="23">
        <f t="shared" si="56"/>
        <v>32051024.510000005</v>
      </c>
      <c r="AL106" s="8">
        <v>67</v>
      </c>
      <c r="AM106" s="8">
        <v>2043982.15</v>
      </c>
      <c r="AN106" s="8">
        <v>314</v>
      </c>
      <c r="AO106" s="8">
        <v>32051024.510000005</v>
      </c>
      <c r="AP106" s="26">
        <v>4806.8857300000009</v>
      </c>
      <c r="AQ106" s="13"/>
      <c r="AR106" s="14"/>
      <c r="AS106" s="13"/>
      <c r="AT106" s="13"/>
      <c r="AU106" s="13"/>
      <c r="AV106" s="13"/>
      <c r="AW106" s="13"/>
      <c r="AX106" s="13"/>
    </row>
    <row r="107" spans="2:50" ht="30">
      <c r="B107" s="12">
        <v>11956</v>
      </c>
      <c r="C107" s="11" t="s">
        <v>25</v>
      </c>
      <c r="D107" s="11" t="s">
        <v>137</v>
      </c>
      <c r="E107" s="25">
        <v>75</v>
      </c>
      <c r="F107" s="25">
        <v>7</v>
      </c>
      <c r="G107" s="25">
        <v>7639802.4100000001</v>
      </c>
      <c r="H107" s="25">
        <v>256362.56</v>
      </c>
      <c r="I107" s="39">
        <v>0</v>
      </c>
      <c r="J107" s="22">
        <v>0</v>
      </c>
      <c r="K107" s="22">
        <v>0</v>
      </c>
      <c r="L107" s="22">
        <v>0</v>
      </c>
      <c r="M107" s="22">
        <v>7</v>
      </c>
      <c r="N107" s="22">
        <v>256362.56</v>
      </c>
      <c r="O107" s="22">
        <v>75</v>
      </c>
      <c r="P107" s="22">
        <v>7639802.4100000001</v>
      </c>
      <c r="Q107" s="29">
        <v>0</v>
      </c>
      <c r="R107" s="8">
        <v>109</v>
      </c>
      <c r="S107" s="8">
        <f>+VLOOKUP(B107,[1]Лист2!$A$4:$B$188,2,0)</f>
        <v>26</v>
      </c>
      <c r="T107" s="8">
        <v>11301094.449999999</v>
      </c>
      <c r="U107" s="8">
        <f>+VLOOKUP(B107,[1]Лист2!$A$4:$C$188,3,0)</f>
        <v>800192.73</v>
      </c>
      <c r="V107" s="30">
        <f t="shared" si="49"/>
        <v>26</v>
      </c>
      <c r="W107" s="30">
        <f t="shared" si="50"/>
        <v>800192.73</v>
      </c>
      <c r="X107" s="30">
        <f t="shared" si="51"/>
        <v>109</v>
      </c>
      <c r="Y107" s="30">
        <f t="shared" si="52"/>
        <v>11301094.449999999</v>
      </c>
      <c r="Z107" s="30">
        <f t="shared" si="73"/>
        <v>34.666666666666664</v>
      </c>
      <c r="AA107" s="30">
        <f t="shared" si="74"/>
        <v>1066923.6399999999</v>
      </c>
      <c r="AB107" s="30">
        <v>145.33333333333334</v>
      </c>
      <c r="AC107" s="30">
        <v>15068125.933333332</v>
      </c>
      <c r="AD107" s="8">
        <v>51</v>
      </c>
      <c r="AE107" s="8">
        <v>18</v>
      </c>
      <c r="AF107" s="8">
        <v>5448440.46</v>
      </c>
      <c r="AG107" s="8">
        <v>849829.53999999992</v>
      </c>
      <c r="AH107" s="23">
        <f t="shared" si="53"/>
        <v>18</v>
      </c>
      <c r="AI107" s="23">
        <f t="shared" si="54"/>
        <v>849829.53999999992</v>
      </c>
      <c r="AJ107" s="23">
        <f t="shared" si="55"/>
        <v>51</v>
      </c>
      <c r="AK107" s="23">
        <f t="shared" si="56"/>
        <v>5448440.46</v>
      </c>
      <c r="AL107" s="8">
        <v>18</v>
      </c>
      <c r="AM107" s="8">
        <v>849829.53999999992</v>
      </c>
      <c r="AN107" s="8">
        <v>51</v>
      </c>
      <c r="AO107" s="8">
        <v>5448440.46</v>
      </c>
      <c r="AP107" s="26">
        <v>2353.4220800000003</v>
      </c>
      <c r="AQ107" s="13"/>
      <c r="AR107" s="14"/>
      <c r="AS107" s="13"/>
      <c r="AT107" s="13"/>
      <c r="AU107" s="13"/>
      <c r="AV107" s="13"/>
      <c r="AW107" s="13"/>
      <c r="AX107" s="13"/>
    </row>
    <row r="108" spans="2:50" ht="30">
      <c r="B108" s="12">
        <v>11958</v>
      </c>
      <c r="C108" s="11" t="s">
        <v>25</v>
      </c>
      <c r="D108" s="11" t="s">
        <v>137</v>
      </c>
      <c r="E108" s="25">
        <v>86</v>
      </c>
      <c r="F108" s="25">
        <v>26</v>
      </c>
      <c r="G108" s="25">
        <v>3576161.1799999997</v>
      </c>
      <c r="H108" s="25">
        <v>1208005.6599999999</v>
      </c>
      <c r="I108" s="39">
        <v>0</v>
      </c>
      <c r="J108" s="22">
        <v>0</v>
      </c>
      <c r="K108" s="22">
        <v>0</v>
      </c>
      <c r="L108" s="22">
        <v>0</v>
      </c>
      <c r="M108" s="22">
        <v>26</v>
      </c>
      <c r="N108" s="22">
        <v>1208005.6599999999</v>
      </c>
      <c r="O108" s="22">
        <v>86</v>
      </c>
      <c r="P108" s="22">
        <v>3576161.1799999997</v>
      </c>
      <c r="Q108" s="29">
        <v>371.08055000000002</v>
      </c>
      <c r="R108" s="8">
        <v>146</v>
      </c>
      <c r="S108" s="8">
        <f>+VLOOKUP(B108,[1]Лист2!$A$4:$B$188,2,0)</f>
        <v>9</v>
      </c>
      <c r="T108" s="8">
        <v>10177349.109999999</v>
      </c>
      <c r="U108" s="8">
        <f>+VLOOKUP(B108,[1]Лист2!$A$4:$C$188,3,0)</f>
        <v>451837.5</v>
      </c>
      <c r="V108" s="30">
        <f t="shared" si="49"/>
        <v>9</v>
      </c>
      <c r="W108" s="30">
        <f t="shared" si="50"/>
        <v>451837.5</v>
      </c>
      <c r="X108" s="30">
        <f t="shared" si="51"/>
        <v>146</v>
      </c>
      <c r="Y108" s="30">
        <f t="shared" si="52"/>
        <v>10177349.109999999</v>
      </c>
      <c r="Z108" s="30">
        <f t="shared" si="73"/>
        <v>12</v>
      </c>
      <c r="AA108" s="30">
        <f t="shared" si="74"/>
        <v>602450</v>
      </c>
      <c r="AB108" s="30">
        <v>194.66666666666666</v>
      </c>
      <c r="AC108" s="30">
        <v>13569798.813333333</v>
      </c>
      <c r="AD108" s="8">
        <v>127</v>
      </c>
      <c r="AE108" s="8">
        <v>15</v>
      </c>
      <c r="AF108" s="8">
        <v>13154526.929999998</v>
      </c>
      <c r="AG108" s="8">
        <v>1906201.35</v>
      </c>
      <c r="AH108" s="23">
        <f t="shared" si="53"/>
        <v>15</v>
      </c>
      <c r="AI108" s="23">
        <f t="shared" si="54"/>
        <v>1906201.35</v>
      </c>
      <c r="AJ108" s="23">
        <f t="shared" si="55"/>
        <v>127</v>
      </c>
      <c r="AK108" s="23">
        <f t="shared" si="56"/>
        <v>13154526.929999998</v>
      </c>
      <c r="AL108" s="8">
        <v>15</v>
      </c>
      <c r="AM108" s="8">
        <v>1906201.35</v>
      </c>
      <c r="AN108" s="8">
        <v>127</v>
      </c>
      <c r="AO108" s="8">
        <v>13154526.929999998</v>
      </c>
      <c r="AP108" s="26">
        <v>1672.4097299999999</v>
      </c>
      <c r="AQ108" s="13"/>
      <c r="AR108" s="14"/>
      <c r="AS108" s="13"/>
      <c r="AT108" s="13"/>
      <c r="AU108" s="13"/>
      <c r="AV108" s="13"/>
      <c r="AW108" s="13"/>
      <c r="AX108" s="13"/>
    </row>
    <row r="109" spans="2:50" ht="30">
      <c r="B109" s="12">
        <v>11959</v>
      </c>
      <c r="C109" s="11" t="s">
        <v>25</v>
      </c>
      <c r="D109" s="11" t="s">
        <v>137</v>
      </c>
      <c r="E109" s="25">
        <v>44</v>
      </c>
      <c r="F109" s="25">
        <v>11</v>
      </c>
      <c r="G109" s="25">
        <v>584667.89999999991</v>
      </c>
      <c r="H109" s="25">
        <v>1217590.71</v>
      </c>
      <c r="I109" s="39">
        <v>0</v>
      </c>
      <c r="J109" s="22">
        <v>0</v>
      </c>
      <c r="K109" s="22">
        <v>0</v>
      </c>
      <c r="L109" s="22">
        <v>0</v>
      </c>
      <c r="M109" s="22">
        <v>11</v>
      </c>
      <c r="N109" s="22">
        <v>1217590.71</v>
      </c>
      <c r="O109" s="22">
        <v>44</v>
      </c>
      <c r="P109" s="22">
        <v>584667.89999999991</v>
      </c>
      <c r="Q109" s="29">
        <v>466.48752000000002</v>
      </c>
      <c r="R109" s="8">
        <v>49</v>
      </c>
      <c r="S109" s="8">
        <f>+VLOOKUP(B109,[1]Лист2!$A$4:$B$188,2,0)</f>
        <v>9</v>
      </c>
      <c r="T109" s="8">
        <v>1110970.0100000002</v>
      </c>
      <c r="U109" s="8">
        <f>+VLOOKUP(B109,[1]Лист2!$A$4:$C$188,3,0)</f>
        <v>383954.63</v>
      </c>
      <c r="V109" s="30">
        <f t="shared" si="49"/>
        <v>9</v>
      </c>
      <c r="W109" s="30">
        <f t="shared" si="50"/>
        <v>383954.63</v>
      </c>
      <c r="X109" s="30">
        <f t="shared" si="51"/>
        <v>49</v>
      </c>
      <c r="Y109" s="30">
        <f t="shared" si="52"/>
        <v>1110970.0100000002</v>
      </c>
      <c r="Z109" s="30">
        <f t="shared" si="73"/>
        <v>12</v>
      </c>
      <c r="AA109" s="30">
        <f t="shared" si="74"/>
        <v>511939.50666666665</v>
      </c>
      <c r="AB109" s="30">
        <v>65.333333333333329</v>
      </c>
      <c r="AC109" s="30">
        <v>1481293.3466666669</v>
      </c>
      <c r="AD109" s="8">
        <v>37</v>
      </c>
      <c r="AE109" s="8">
        <v>33</v>
      </c>
      <c r="AF109" s="8">
        <v>1005310.87</v>
      </c>
      <c r="AG109" s="8">
        <v>692091.91</v>
      </c>
      <c r="AH109" s="23">
        <f t="shared" si="53"/>
        <v>33</v>
      </c>
      <c r="AI109" s="23">
        <f t="shared" si="54"/>
        <v>692091.91</v>
      </c>
      <c r="AJ109" s="23">
        <f t="shared" si="55"/>
        <v>37</v>
      </c>
      <c r="AK109" s="23">
        <f t="shared" si="56"/>
        <v>1005310.87</v>
      </c>
      <c r="AL109" s="8">
        <v>33</v>
      </c>
      <c r="AM109" s="8">
        <v>692091.91</v>
      </c>
      <c r="AN109" s="8">
        <v>37</v>
      </c>
      <c r="AO109" s="8">
        <v>1005310.87</v>
      </c>
      <c r="AP109" s="26">
        <v>207.01981000000001</v>
      </c>
      <c r="AQ109" s="13"/>
      <c r="AR109" s="14"/>
      <c r="AS109" s="13"/>
      <c r="AT109" s="13"/>
      <c r="AU109" s="13"/>
      <c r="AV109" s="13"/>
      <c r="AW109" s="13"/>
      <c r="AX109" s="13"/>
    </row>
    <row r="110" spans="2:50" ht="30">
      <c r="B110" s="12">
        <v>11960</v>
      </c>
      <c r="C110" s="11" t="s">
        <v>25</v>
      </c>
      <c r="D110" s="11" t="s">
        <v>137</v>
      </c>
      <c r="E110" s="25">
        <v>39</v>
      </c>
      <c r="F110" s="25">
        <v>6</v>
      </c>
      <c r="G110" s="25">
        <v>1600522.9100000001</v>
      </c>
      <c r="H110" s="25">
        <v>504975.5</v>
      </c>
      <c r="I110" s="39">
        <v>0</v>
      </c>
      <c r="J110" s="22">
        <v>0</v>
      </c>
      <c r="K110" s="22">
        <v>0</v>
      </c>
      <c r="L110" s="22">
        <v>0</v>
      </c>
      <c r="M110" s="22">
        <v>6</v>
      </c>
      <c r="N110" s="22">
        <v>504975.5</v>
      </c>
      <c r="O110" s="22">
        <v>39</v>
      </c>
      <c r="P110" s="22">
        <v>1600522.9100000001</v>
      </c>
      <c r="Q110" s="29">
        <v>75.076510000000027</v>
      </c>
      <c r="R110" s="8">
        <v>117</v>
      </c>
      <c r="S110" s="8">
        <f>+VLOOKUP(B110,[1]Лист2!$A$4:$B$188,2,0)</f>
        <v>11</v>
      </c>
      <c r="T110" s="8">
        <v>10535422.59</v>
      </c>
      <c r="U110" s="8">
        <f>+VLOOKUP(B110,[1]Лист2!$A$4:$C$188,3,0)</f>
        <v>101780.54</v>
      </c>
      <c r="V110" s="30">
        <f t="shared" si="49"/>
        <v>11</v>
      </c>
      <c r="W110" s="30">
        <f t="shared" si="50"/>
        <v>101780.54</v>
      </c>
      <c r="X110" s="30">
        <f t="shared" si="51"/>
        <v>117</v>
      </c>
      <c r="Y110" s="30">
        <f t="shared" si="52"/>
        <v>10535422.59</v>
      </c>
      <c r="Z110" s="30">
        <f t="shared" si="73"/>
        <v>14.666666666666666</v>
      </c>
      <c r="AA110" s="30">
        <f t="shared" si="74"/>
        <v>135707.38666666666</v>
      </c>
      <c r="AB110" s="30">
        <v>156</v>
      </c>
      <c r="AC110" s="30">
        <v>14047230.119999999</v>
      </c>
      <c r="AD110" s="8">
        <v>85</v>
      </c>
      <c r="AE110" s="8">
        <v>9</v>
      </c>
      <c r="AF110" s="8">
        <v>7036939.6500000004</v>
      </c>
      <c r="AG110" s="8">
        <v>900263.5</v>
      </c>
      <c r="AH110" s="23">
        <f t="shared" si="53"/>
        <v>9</v>
      </c>
      <c r="AI110" s="23">
        <f t="shared" si="54"/>
        <v>900263.5</v>
      </c>
      <c r="AJ110" s="23">
        <f t="shared" si="55"/>
        <v>85</v>
      </c>
      <c r="AK110" s="23">
        <f t="shared" si="56"/>
        <v>7036939.6500000004</v>
      </c>
      <c r="AL110" s="8">
        <v>9</v>
      </c>
      <c r="AM110" s="8">
        <v>900263.5</v>
      </c>
      <c r="AN110" s="8">
        <v>85</v>
      </c>
      <c r="AO110" s="8">
        <v>7036939.6500000004</v>
      </c>
      <c r="AP110" s="26">
        <v>996.62504000000001</v>
      </c>
      <c r="AQ110" s="13"/>
      <c r="AR110" s="14"/>
      <c r="AS110" s="13"/>
      <c r="AT110" s="13"/>
      <c r="AU110" s="13"/>
      <c r="AV110" s="13"/>
      <c r="AW110" s="13"/>
      <c r="AX110" s="13"/>
    </row>
    <row r="111" spans="2:50" ht="30">
      <c r="B111" s="12">
        <v>1037</v>
      </c>
      <c r="C111" s="11" t="s">
        <v>34</v>
      </c>
      <c r="D111" s="11" t="s">
        <v>138</v>
      </c>
      <c r="E111" s="25">
        <v>8</v>
      </c>
      <c r="F111" s="25">
        <v>0</v>
      </c>
      <c r="G111" s="25">
        <v>5609890</v>
      </c>
      <c r="H111" s="25">
        <v>0</v>
      </c>
      <c r="I111" s="40">
        <v>0</v>
      </c>
      <c r="J111" s="37">
        <v>0</v>
      </c>
      <c r="K111" s="37">
        <v>0</v>
      </c>
      <c r="L111" s="37">
        <v>0</v>
      </c>
      <c r="M111" s="22">
        <v>0</v>
      </c>
      <c r="N111" s="22">
        <v>0</v>
      </c>
      <c r="O111" s="22">
        <v>8</v>
      </c>
      <c r="P111" s="22">
        <v>5609890</v>
      </c>
      <c r="Q111" s="29">
        <v>109.82432</v>
      </c>
      <c r="R111" s="8">
        <v>2</v>
      </c>
      <c r="S111" s="8"/>
      <c r="T111" s="8">
        <v>40900.9</v>
      </c>
      <c r="U111" s="8"/>
      <c r="V111" s="30">
        <f t="shared" si="49"/>
        <v>0</v>
      </c>
      <c r="W111" s="30">
        <f t="shared" si="50"/>
        <v>0</v>
      </c>
      <c r="X111" s="30">
        <f t="shared" si="51"/>
        <v>2</v>
      </c>
      <c r="Y111" s="30">
        <f t="shared" si="52"/>
        <v>40900.9</v>
      </c>
      <c r="Z111" s="30">
        <f t="shared" si="73"/>
        <v>0</v>
      </c>
      <c r="AA111" s="30">
        <f t="shared" si="74"/>
        <v>0</v>
      </c>
      <c r="AB111" s="30">
        <v>2.6666666666666665</v>
      </c>
      <c r="AC111" s="30">
        <v>54534.533333333333</v>
      </c>
      <c r="AD111" s="8">
        <v>2</v>
      </c>
      <c r="AE111" s="8">
        <v>1</v>
      </c>
      <c r="AF111" s="8">
        <v>52099.119999999995</v>
      </c>
      <c r="AG111" s="8">
        <v>24945.56</v>
      </c>
      <c r="AH111" s="23">
        <f t="shared" si="53"/>
        <v>1</v>
      </c>
      <c r="AI111" s="23">
        <f t="shared" si="54"/>
        <v>24945.56</v>
      </c>
      <c r="AJ111" s="23">
        <f t="shared" si="55"/>
        <v>2</v>
      </c>
      <c r="AK111" s="23">
        <f t="shared" si="56"/>
        <v>52099.119999999995</v>
      </c>
      <c r="AL111" s="8">
        <v>1</v>
      </c>
      <c r="AM111" s="8">
        <v>24945.56</v>
      </c>
      <c r="AN111" s="8">
        <v>2</v>
      </c>
      <c r="AO111" s="8">
        <v>52099.119999999995</v>
      </c>
      <c r="AP111" s="26">
        <v>173.78163999999998</v>
      </c>
      <c r="AQ111" s="13"/>
      <c r="AR111" s="14"/>
      <c r="AS111" s="13"/>
      <c r="AT111" s="13"/>
      <c r="AU111" s="13"/>
      <c r="AV111" s="13"/>
      <c r="AW111" s="13"/>
      <c r="AX111" s="13"/>
    </row>
    <row r="112" spans="2:50" ht="30">
      <c r="B112" s="12">
        <v>11205</v>
      </c>
      <c r="C112" s="11" t="s">
        <v>34</v>
      </c>
      <c r="D112" s="11" t="s">
        <v>138</v>
      </c>
      <c r="E112" s="25">
        <v>7</v>
      </c>
      <c r="F112" s="25">
        <v>36</v>
      </c>
      <c r="G112" s="25">
        <v>133826.54999999999</v>
      </c>
      <c r="H112" s="25">
        <v>5208695.1999999983</v>
      </c>
      <c r="I112" s="39">
        <v>0</v>
      </c>
      <c r="J112" s="22">
        <v>0</v>
      </c>
      <c r="K112" s="22">
        <v>0</v>
      </c>
      <c r="L112" s="22">
        <v>0</v>
      </c>
      <c r="M112" s="22">
        <v>36</v>
      </c>
      <c r="N112" s="22">
        <v>5208695.1999999983</v>
      </c>
      <c r="O112" s="22">
        <v>7</v>
      </c>
      <c r="P112" s="22">
        <v>133826.54999999999</v>
      </c>
      <c r="Q112" s="29">
        <v>4353.8629900000005</v>
      </c>
      <c r="R112" s="8">
        <v>11</v>
      </c>
      <c r="S112" s="8">
        <f>+VLOOKUP(B112,[1]Лист2!$A$4:$B$188,2,0)</f>
        <v>26</v>
      </c>
      <c r="T112" s="8">
        <v>900203.87</v>
      </c>
      <c r="U112" s="8">
        <f>+VLOOKUP(B112,[1]Лист2!$A$4:$C$188,3,0)</f>
        <v>3149938.1399999997</v>
      </c>
      <c r="V112" s="30">
        <f t="shared" si="49"/>
        <v>26</v>
      </c>
      <c r="W112" s="30">
        <f t="shared" si="50"/>
        <v>3149938.1399999997</v>
      </c>
      <c r="X112" s="30">
        <f t="shared" si="51"/>
        <v>11</v>
      </c>
      <c r="Y112" s="30">
        <f t="shared" si="52"/>
        <v>900203.87</v>
      </c>
      <c r="Z112" s="30">
        <f t="shared" si="73"/>
        <v>34.666666666666664</v>
      </c>
      <c r="AA112" s="30">
        <f t="shared" si="74"/>
        <v>4199917.5199999996</v>
      </c>
      <c r="AB112" s="30">
        <v>14.666666666666666</v>
      </c>
      <c r="AC112" s="30">
        <v>1200271.8266666667</v>
      </c>
      <c r="AD112" s="8">
        <v>10</v>
      </c>
      <c r="AE112" s="8">
        <v>37</v>
      </c>
      <c r="AF112" s="8">
        <v>547903.18000000005</v>
      </c>
      <c r="AG112" s="8">
        <v>11524418.470000001</v>
      </c>
      <c r="AH112" s="23">
        <f t="shared" si="53"/>
        <v>37</v>
      </c>
      <c r="AI112" s="23">
        <f t="shared" si="54"/>
        <v>11524418.470000001</v>
      </c>
      <c r="AJ112" s="23">
        <f t="shared" si="55"/>
        <v>10</v>
      </c>
      <c r="AK112" s="23">
        <f t="shared" si="56"/>
        <v>547903.18000000005</v>
      </c>
      <c r="AL112" s="8">
        <v>37</v>
      </c>
      <c r="AM112" s="8">
        <v>11524418.470000001</v>
      </c>
      <c r="AN112" s="8">
        <v>10</v>
      </c>
      <c r="AO112" s="8">
        <v>547903.18000000005</v>
      </c>
      <c r="AP112" s="26">
        <v>3370.3932100000002</v>
      </c>
      <c r="AQ112" s="13"/>
      <c r="AR112" s="14"/>
      <c r="AS112" s="13"/>
      <c r="AT112" s="13"/>
      <c r="AU112" s="13"/>
      <c r="AV112" s="13"/>
      <c r="AW112" s="13"/>
      <c r="AX112" s="13"/>
    </row>
    <row r="113" spans="2:50" ht="30">
      <c r="B113" s="12">
        <v>11206</v>
      </c>
      <c r="C113" s="11" t="s">
        <v>34</v>
      </c>
      <c r="D113" s="11" t="s">
        <v>138</v>
      </c>
      <c r="E113" s="25">
        <v>2</v>
      </c>
      <c r="F113" s="25">
        <v>1</v>
      </c>
      <c r="G113" s="25">
        <v>26650</v>
      </c>
      <c r="H113" s="25">
        <v>1489</v>
      </c>
      <c r="I113" s="39">
        <v>0</v>
      </c>
      <c r="J113" s="22">
        <v>0</v>
      </c>
      <c r="K113" s="22">
        <v>0</v>
      </c>
      <c r="L113" s="22">
        <v>0</v>
      </c>
      <c r="M113" s="22">
        <v>1</v>
      </c>
      <c r="N113" s="22">
        <v>1489</v>
      </c>
      <c r="O113" s="22">
        <v>2</v>
      </c>
      <c r="P113" s="22">
        <v>26650</v>
      </c>
      <c r="Q113" s="29">
        <v>0</v>
      </c>
      <c r="R113" s="8">
        <v>1</v>
      </c>
      <c r="S113" s="8">
        <f>+VLOOKUP(B113,[1]Лист2!$A$4:$B$188,2,0)</f>
        <v>1</v>
      </c>
      <c r="T113" s="8">
        <v>25454</v>
      </c>
      <c r="U113" s="8">
        <f>+VLOOKUP(B113,[1]Лист2!$A$4:$C$188,3,0)</f>
        <v>6160.2</v>
      </c>
      <c r="V113" s="30">
        <f t="shared" si="49"/>
        <v>1</v>
      </c>
      <c r="W113" s="30">
        <f t="shared" si="50"/>
        <v>6160.2</v>
      </c>
      <c r="X113" s="30">
        <f t="shared" si="51"/>
        <v>1</v>
      </c>
      <c r="Y113" s="30">
        <f t="shared" si="52"/>
        <v>25454</v>
      </c>
      <c r="Z113" s="30">
        <f t="shared" si="73"/>
        <v>1.3333333333333333</v>
      </c>
      <c r="AA113" s="30">
        <f t="shared" si="74"/>
        <v>8213.6</v>
      </c>
      <c r="AB113" s="30">
        <v>1.3333333333333333</v>
      </c>
      <c r="AC113" s="30">
        <v>33938.666666666664</v>
      </c>
      <c r="AD113" s="8">
        <v>3</v>
      </c>
      <c r="AE113" s="8">
        <v>1</v>
      </c>
      <c r="AF113" s="8">
        <v>22039.5</v>
      </c>
      <c r="AG113" s="8">
        <v>1262.7</v>
      </c>
      <c r="AH113" s="23">
        <f t="shared" si="53"/>
        <v>1</v>
      </c>
      <c r="AI113" s="23">
        <f t="shared" si="54"/>
        <v>1262.7</v>
      </c>
      <c r="AJ113" s="23">
        <f t="shared" si="55"/>
        <v>3</v>
      </c>
      <c r="AK113" s="23">
        <f t="shared" si="56"/>
        <v>22039.5</v>
      </c>
      <c r="AL113" s="8">
        <v>1</v>
      </c>
      <c r="AM113" s="8">
        <v>1262.7</v>
      </c>
      <c r="AN113" s="8">
        <v>3</v>
      </c>
      <c r="AO113" s="8">
        <v>22039.5</v>
      </c>
      <c r="AP113" s="26">
        <v>0</v>
      </c>
      <c r="AQ113" s="13"/>
      <c r="AR113" s="14"/>
      <c r="AS113" s="13"/>
      <c r="AT113" s="13"/>
      <c r="AU113" s="13"/>
      <c r="AV113" s="13"/>
      <c r="AW113" s="13"/>
      <c r="AX113" s="13"/>
    </row>
    <row r="114" spans="2:50" ht="30">
      <c r="B114" s="12">
        <v>11207</v>
      </c>
      <c r="C114" s="11" t="s">
        <v>34</v>
      </c>
      <c r="D114" s="11" t="s">
        <v>138</v>
      </c>
      <c r="E114" s="25">
        <v>50</v>
      </c>
      <c r="F114" s="25">
        <v>12</v>
      </c>
      <c r="G114" s="25">
        <v>1085153.56</v>
      </c>
      <c r="H114" s="25">
        <v>537959.5</v>
      </c>
      <c r="I114" s="39">
        <v>0</v>
      </c>
      <c r="J114" s="22">
        <v>0</v>
      </c>
      <c r="K114" s="22">
        <v>0</v>
      </c>
      <c r="L114" s="22">
        <v>0</v>
      </c>
      <c r="M114" s="22">
        <v>12</v>
      </c>
      <c r="N114" s="22">
        <v>537959.5</v>
      </c>
      <c r="O114" s="22">
        <v>50</v>
      </c>
      <c r="P114" s="22">
        <v>1085153.56</v>
      </c>
      <c r="Q114" s="29">
        <v>327.60477000000003</v>
      </c>
      <c r="R114" s="8">
        <v>52</v>
      </c>
      <c r="S114" s="8">
        <f>+VLOOKUP(B114,[1]Лист2!$A$4:$B$188,2,0)</f>
        <v>22</v>
      </c>
      <c r="T114" s="8">
        <v>1304614.3299999998</v>
      </c>
      <c r="U114" s="8">
        <f>+VLOOKUP(B114,[1]Лист2!$A$4:$C$188,3,0)</f>
        <v>1737928</v>
      </c>
      <c r="V114" s="30">
        <f t="shared" si="49"/>
        <v>22</v>
      </c>
      <c r="W114" s="30">
        <f t="shared" si="50"/>
        <v>1737928</v>
      </c>
      <c r="X114" s="30">
        <f t="shared" si="51"/>
        <v>52</v>
      </c>
      <c r="Y114" s="30">
        <f t="shared" si="52"/>
        <v>1304614.3299999998</v>
      </c>
      <c r="Z114" s="30">
        <f t="shared" si="73"/>
        <v>29.333333333333332</v>
      </c>
      <c r="AA114" s="30">
        <f t="shared" si="74"/>
        <v>2317237.3333333335</v>
      </c>
      <c r="AB114" s="30">
        <v>69.333333333333329</v>
      </c>
      <c r="AC114" s="30">
        <v>1739485.7733333332</v>
      </c>
      <c r="AD114" s="8">
        <v>34</v>
      </c>
      <c r="AE114" s="8">
        <v>14</v>
      </c>
      <c r="AF114" s="8">
        <v>1301926.29</v>
      </c>
      <c r="AG114" s="8">
        <v>821919.5</v>
      </c>
      <c r="AH114" s="23">
        <f t="shared" si="53"/>
        <v>14</v>
      </c>
      <c r="AI114" s="23">
        <f t="shared" si="54"/>
        <v>821919.5</v>
      </c>
      <c r="AJ114" s="23">
        <f t="shared" si="55"/>
        <v>34</v>
      </c>
      <c r="AK114" s="23">
        <f t="shared" si="56"/>
        <v>1301926.29</v>
      </c>
      <c r="AL114" s="8">
        <v>14</v>
      </c>
      <c r="AM114" s="8">
        <v>821919.5</v>
      </c>
      <c r="AN114" s="8">
        <v>34</v>
      </c>
      <c r="AO114" s="8">
        <v>1301926.29</v>
      </c>
      <c r="AP114" s="26">
        <v>347.51083000000006</v>
      </c>
      <c r="AQ114" s="13"/>
      <c r="AR114" s="14"/>
      <c r="AS114" s="13"/>
      <c r="AT114" s="13"/>
      <c r="AU114" s="13"/>
      <c r="AV114" s="13"/>
      <c r="AW114" s="13"/>
      <c r="AX114" s="13"/>
    </row>
    <row r="115" spans="2:50">
      <c r="B115" s="12">
        <v>439</v>
      </c>
      <c r="C115" s="11" t="s">
        <v>23</v>
      </c>
      <c r="D115" s="11" t="s">
        <v>139</v>
      </c>
      <c r="E115" s="25">
        <v>220</v>
      </c>
      <c r="F115" s="25">
        <v>33</v>
      </c>
      <c r="G115" s="25">
        <v>10959211.679999998</v>
      </c>
      <c r="H115" s="25">
        <v>1260938.1799999995</v>
      </c>
      <c r="I115" s="39">
        <v>0</v>
      </c>
      <c r="J115" s="22">
        <v>0</v>
      </c>
      <c r="K115" s="22">
        <v>0</v>
      </c>
      <c r="L115" s="22">
        <v>0</v>
      </c>
      <c r="M115" s="22">
        <v>33</v>
      </c>
      <c r="N115" s="22">
        <v>1260938.1799999995</v>
      </c>
      <c r="O115" s="22">
        <v>220</v>
      </c>
      <c r="P115" s="22">
        <v>10959211.679999998</v>
      </c>
      <c r="Q115" s="29">
        <v>10241.185280000009</v>
      </c>
      <c r="R115" s="8">
        <v>5</v>
      </c>
      <c r="S115" s="8">
        <f>+VLOOKUP(B115,[1]Лист2!$A$4:$B$188,2,0)</f>
        <v>7</v>
      </c>
      <c r="T115" s="8">
        <v>608971.53</v>
      </c>
      <c r="U115" s="8">
        <f>+VLOOKUP(B115,[1]Лист2!$A$4:$C$188,3,0)</f>
        <v>158206.34999999998</v>
      </c>
      <c r="V115" s="30">
        <f t="shared" si="49"/>
        <v>7</v>
      </c>
      <c r="W115" s="30">
        <f t="shared" si="50"/>
        <v>158206.34999999998</v>
      </c>
      <c r="X115" s="30">
        <f t="shared" si="51"/>
        <v>5</v>
      </c>
      <c r="Y115" s="30">
        <f t="shared" si="52"/>
        <v>608971.53</v>
      </c>
      <c r="Z115" s="30">
        <f t="shared" si="73"/>
        <v>9.3333333333333339</v>
      </c>
      <c r="AA115" s="30">
        <f t="shared" si="74"/>
        <v>210941.79999999996</v>
      </c>
      <c r="AB115" s="30">
        <v>6.666666666666667</v>
      </c>
      <c r="AC115" s="30">
        <v>811962.04</v>
      </c>
      <c r="AD115" s="8">
        <v>13</v>
      </c>
      <c r="AE115" s="8">
        <v>2</v>
      </c>
      <c r="AF115" s="8">
        <v>2182344.9900000002</v>
      </c>
      <c r="AG115" s="8">
        <v>71421.64</v>
      </c>
      <c r="AH115" s="23">
        <f t="shared" si="53"/>
        <v>2</v>
      </c>
      <c r="AI115" s="23">
        <f t="shared" si="54"/>
        <v>71421.64</v>
      </c>
      <c r="AJ115" s="23">
        <f t="shared" si="55"/>
        <v>13</v>
      </c>
      <c r="AK115" s="23">
        <f t="shared" si="56"/>
        <v>2182344.9900000002</v>
      </c>
      <c r="AL115" s="8">
        <v>2</v>
      </c>
      <c r="AM115" s="8">
        <v>71421.64</v>
      </c>
      <c r="AN115" s="8">
        <v>13</v>
      </c>
      <c r="AO115" s="8">
        <v>2182344.9900000002</v>
      </c>
      <c r="AP115" s="26">
        <v>17648.660480000017</v>
      </c>
      <c r="AQ115" s="13"/>
      <c r="AR115" s="14"/>
      <c r="AS115" s="13"/>
      <c r="AT115" s="13"/>
      <c r="AU115" s="13"/>
      <c r="AV115" s="13"/>
      <c r="AW115" s="13"/>
      <c r="AX115" s="13"/>
    </row>
    <row r="116" spans="2:50">
      <c r="B116" s="12">
        <v>12035</v>
      </c>
      <c r="C116" s="11" t="s">
        <v>23</v>
      </c>
      <c r="D116" s="11" t="s">
        <v>139</v>
      </c>
      <c r="E116" s="25">
        <v>26</v>
      </c>
      <c r="F116" s="25">
        <v>0</v>
      </c>
      <c r="G116" s="25">
        <v>420670</v>
      </c>
      <c r="H116" s="25">
        <v>0</v>
      </c>
      <c r="I116" s="40">
        <v>0</v>
      </c>
      <c r="J116" s="37">
        <v>0</v>
      </c>
      <c r="K116" s="37">
        <v>0</v>
      </c>
      <c r="L116" s="37">
        <v>0</v>
      </c>
      <c r="M116" s="22">
        <v>0</v>
      </c>
      <c r="N116" s="22">
        <v>0</v>
      </c>
      <c r="O116" s="22">
        <v>26</v>
      </c>
      <c r="P116" s="22">
        <v>420670</v>
      </c>
      <c r="Q116" s="29">
        <v>185.5</v>
      </c>
      <c r="R116" s="8">
        <v>7</v>
      </c>
      <c r="S116" s="8"/>
      <c r="T116" s="8">
        <v>174885</v>
      </c>
      <c r="U116" s="8"/>
      <c r="V116" s="30">
        <f t="shared" si="49"/>
        <v>0</v>
      </c>
      <c r="W116" s="30">
        <f t="shared" si="50"/>
        <v>0</v>
      </c>
      <c r="X116" s="30">
        <f t="shared" si="51"/>
        <v>7</v>
      </c>
      <c r="Y116" s="30">
        <f t="shared" si="52"/>
        <v>174885</v>
      </c>
      <c r="Z116" s="30">
        <f t="shared" si="73"/>
        <v>0</v>
      </c>
      <c r="AA116" s="30">
        <f t="shared" si="74"/>
        <v>0</v>
      </c>
      <c r="AB116" s="30">
        <v>9.3333333333333339</v>
      </c>
      <c r="AC116" s="30">
        <v>233180</v>
      </c>
      <c r="AD116" s="8">
        <v>2</v>
      </c>
      <c r="AE116" s="8">
        <v>0</v>
      </c>
      <c r="AF116" s="8">
        <v>107079.5</v>
      </c>
      <c r="AG116" s="8">
        <v>0</v>
      </c>
      <c r="AH116" s="23">
        <f t="shared" si="53"/>
        <v>0</v>
      </c>
      <c r="AI116" s="23">
        <f t="shared" si="54"/>
        <v>0</v>
      </c>
      <c r="AJ116" s="23">
        <f t="shared" si="55"/>
        <v>2</v>
      </c>
      <c r="AK116" s="23">
        <f t="shared" si="56"/>
        <v>107079.5</v>
      </c>
      <c r="AL116" s="8">
        <v>0</v>
      </c>
      <c r="AM116" s="8">
        <v>0</v>
      </c>
      <c r="AN116" s="8">
        <v>2</v>
      </c>
      <c r="AO116" s="8">
        <v>107079.5</v>
      </c>
      <c r="AP116" s="26">
        <v>82.563000000000002</v>
      </c>
      <c r="AQ116" s="13"/>
      <c r="AR116" s="14"/>
      <c r="AS116" s="13"/>
      <c r="AT116" s="13"/>
      <c r="AU116" s="13"/>
      <c r="AV116" s="13"/>
      <c r="AW116" s="13"/>
      <c r="AX116" s="13"/>
    </row>
    <row r="117" spans="2:50">
      <c r="B117" s="12">
        <v>12080</v>
      </c>
      <c r="C117" s="11" t="s">
        <v>23</v>
      </c>
      <c r="D117" s="11" t="s">
        <v>139</v>
      </c>
      <c r="E117" s="25">
        <v>1</v>
      </c>
      <c r="F117" s="25">
        <v>0</v>
      </c>
      <c r="G117" s="25">
        <v>7650</v>
      </c>
      <c r="H117" s="25">
        <v>0</v>
      </c>
      <c r="I117" s="40">
        <v>0</v>
      </c>
      <c r="J117" s="37">
        <v>0</v>
      </c>
      <c r="K117" s="37">
        <v>0</v>
      </c>
      <c r="L117" s="37">
        <v>0</v>
      </c>
      <c r="M117" s="22">
        <v>0</v>
      </c>
      <c r="N117" s="22">
        <v>0</v>
      </c>
      <c r="O117" s="22">
        <v>1</v>
      </c>
      <c r="P117" s="22">
        <v>7650</v>
      </c>
      <c r="Q117" s="29">
        <v>3519.6890000000003</v>
      </c>
      <c r="R117" s="8">
        <v>1</v>
      </c>
      <c r="S117" s="8"/>
      <c r="T117" s="8">
        <v>7200</v>
      </c>
      <c r="U117" s="8"/>
      <c r="V117" s="30">
        <f t="shared" si="49"/>
        <v>0</v>
      </c>
      <c r="W117" s="30">
        <f t="shared" si="50"/>
        <v>0</v>
      </c>
      <c r="X117" s="30">
        <f t="shared" si="51"/>
        <v>1</v>
      </c>
      <c r="Y117" s="30">
        <f t="shared" si="52"/>
        <v>7200</v>
      </c>
      <c r="Z117" s="30">
        <f t="shared" si="73"/>
        <v>0</v>
      </c>
      <c r="AA117" s="30">
        <f t="shared" si="74"/>
        <v>0</v>
      </c>
      <c r="AB117" s="30">
        <v>1.3333333333333333</v>
      </c>
      <c r="AC117" s="30">
        <v>9600</v>
      </c>
      <c r="AD117" s="8">
        <v>2</v>
      </c>
      <c r="AE117" s="8">
        <v>0</v>
      </c>
      <c r="AF117" s="8">
        <v>24167.85</v>
      </c>
      <c r="AG117" s="8">
        <v>0</v>
      </c>
      <c r="AH117" s="23">
        <f t="shared" si="53"/>
        <v>0</v>
      </c>
      <c r="AI117" s="23">
        <f t="shared" si="54"/>
        <v>0</v>
      </c>
      <c r="AJ117" s="23">
        <f t="shared" si="55"/>
        <v>2</v>
      </c>
      <c r="AK117" s="23">
        <f t="shared" si="56"/>
        <v>24167.85</v>
      </c>
      <c r="AL117" s="8">
        <v>0</v>
      </c>
      <c r="AM117" s="8">
        <v>0</v>
      </c>
      <c r="AN117" s="8">
        <v>2</v>
      </c>
      <c r="AO117" s="8">
        <v>24167.85</v>
      </c>
      <c r="AP117" s="26">
        <v>3565.8890000000001</v>
      </c>
      <c r="AQ117" s="13"/>
      <c r="AR117" s="14"/>
      <c r="AS117" s="13"/>
      <c r="AT117" s="13"/>
      <c r="AU117" s="13"/>
      <c r="AV117" s="13"/>
      <c r="AW117" s="13"/>
      <c r="AX117" s="13"/>
    </row>
    <row r="118" spans="2:50">
      <c r="B118" s="12">
        <v>981</v>
      </c>
      <c r="C118" s="11" t="s">
        <v>29</v>
      </c>
      <c r="D118" s="11" t="s">
        <v>140</v>
      </c>
      <c r="E118" s="25">
        <v>73</v>
      </c>
      <c r="F118" s="25">
        <v>24</v>
      </c>
      <c r="G118" s="25">
        <v>6648111.3100000005</v>
      </c>
      <c r="H118" s="25">
        <v>1000396.02</v>
      </c>
      <c r="I118" s="39">
        <v>0</v>
      </c>
      <c r="J118" s="22">
        <v>0</v>
      </c>
      <c r="K118" s="22">
        <v>0</v>
      </c>
      <c r="L118" s="22">
        <v>0</v>
      </c>
      <c r="M118" s="22">
        <v>24</v>
      </c>
      <c r="N118" s="22">
        <v>1000396.02</v>
      </c>
      <c r="O118" s="22">
        <v>73</v>
      </c>
      <c r="P118" s="22">
        <v>6648111.3100000005</v>
      </c>
      <c r="Q118" s="29">
        <v>955.76713999999993</v>
      </c>
      <c r="R118" s="8">
        <v>101</v>
      </c>
      <c r="S118" s="8">
        <f>+VLOOKUP(B118,[1]Лист2!$A$4:$B$188,2,0)</f>
        <v>9</v>
      </c>
      <c r="T118" s="8">
        <v>8626561.2699999996</v>
      </c>
      <c r="U118" s="8">
        <f>+VLOOKUP(B118,[1]Лист2!$A$4:$C$188,3,0)</f>
        <v>129337.03</v>
      </c>
      <c r="V118" s="30">
        <f t="shared" si="49"/>
        <v>9</v>
      </c>
      <c r="W118" s="30">
        <f t="shared" si="50"/>
        <v>129337.03</v>
      </c>
      <c r="X118" s="30">
        <f t="shared" si="51"/>
        <v>101</v>
      </c>
      <c r="Y118" s="30">
        <f t="shared" si="52"/>
        <v>8626561.2699999996</v>
      </c>
      <c r="Z118" s="30">
        <f t="shared" si="73"/>
        <v>12</v>
      </c>
      <c r="AA118" s="30">
        <f t="shared" si="74"/>
        <v>172449.37333333332</v>
      </c>
      <c r="AB118" s="30">
        <v>134.66666666666666</v>
      </c>
      <c r="AC118" s="30">
        <v>11502081.693333333</v>
      </c>
      <c r="AD118" s="8">
        <v>87</v>
      </c>
      <c r="AE118" s="8">
        <v>5</v>
      </c>
      <c r="AF118" s="8">
        <v>10314778.389999999</v>
      </c>
      <c r="AG118" s="8">
        <v>25689.920000000002</v>
      </c>
      <c r="AH118" s="23">
        <f t="shared" si="53"/>
        <v>5</v>
      </c>
      <c r="AI118" s="23">
        <f t="shared" si="54"/>
        <v>25689.920000000002</v>
      </c>
      <c r="AJ118" s="23">
        <f t="shared" si="55"/>
        <v>87</v>
      </c>
      <c r="AK118" s="23">
        <f t="shared" si="56"/>
        <v>10314778.389999999</v>
      </c>
      <c r="AL118" s="8">
        <v>5</v>
      </c>
      <c r="AM118" s="8">
        <v>25689.920000000002</v>
      </c>
      <c r="AN118" s="8">
        <v>87</v>
      </c>
      <c r="AO118" s="8">
        <v>10314778.389999999</v>
      </c>
      <c r="AP118" s="26">
        <v>968.43034999999998</v>
      </c>
      <c r="AQ118" s="13"/>
      <c r="AR118" s="14"/>
      <c r="AS118" s="13"/>
      <c r="AT118" s="13"/>
      <c r="AU118" s="13"/>
      <c r="AV118" s="13"/>
      <c r="AW118" s="8"/>
      <c r="AX118" s="8"/>
    </row>
    <row r="119" spans="2:50">
      <c r="B119" s="12">
        <v>1046</v>
      </c>
      <c r="C119" s="11" t="s">
        <v>29</v>
      </c>
      <c r="D119" s="11" t="s">
        <v>140</v>
      </c>
      <c r="E119" s="25">
        <v>51</v>
      </c>
      <c r="F119" s="25">
        <v>3</v>
      </c>
      <c r="G119" s="25">
        <v>4399078.1400000006</v>
      </c>
      <c r="H119" s="25">
        <v>36472</v>
      </c>
      <c r="I119" s="39">
        <v>0</v>
      </c>
      <c r="J119" s="22">
        <v>0</v>
      </c>
      <c r="K119" s="22">
        <v>0</v>
      </c>
      <c r="L119" s="22">
        <v>0</v>
      </c>
      <c r="M119" s="22">
        <v>3</v>
      </c>
      <c r="N119" s="22">
        <v>36472</v>
      </c>
      <c r="O119" s="22">
        <v>51</v>
      </c>
      <c r="P119" s="22">
        <v>4399078.1400000006</v>
      </c>
      <c r="Q119" s="29">
        <v>1100.7744300000002</v>
      </c>
      <c r="R119" s="8">
        <v>76</v>
      </c>
      <c r="S119" s="8">
        <f>+VLOOKUP(B119,[1]Лист2!$A$4:$B$188,2,0)</f>
        <v>28</v>
      </c>
      <c r="T119" s="8">
        <v>4781243.34</v>
      </c>
      <c r="U119" s="8">
        <f>+VLOOKUP(B119,[1]Лист2!$A$4:$C$188,3,0)</f>
        <v>334247.56999999995</v>
      </c>
      <c r="V119" s="30">
        <f t="shared" si="49"/>
        <v>28</v>
      </c>
      <c r="W119" s="30">
        <f t="shared" si="50"/>
        <v>334247.56999999995</v>
      </c>
      <c r="X119" s="30">
        <f t="shared" si="51"/>
        <v>76</v>
      </c>
      <c r="Y119" s="30">
        <f t="shared" si="52"/>
        <v>4781243.34</v>
      </c>
      <c r="Z119" s="30">
        <f t="shared" si="73"/>
        <v>37.333333333333336</v>
      </c>
      <c r="AA119" s="30">
        <f t="shared" si="74"/>
        <v>445663.42666666658</v>
      </c>
      <c r="AB119" s="30">
        <v>101.33333333333333</v>
      </c>
      <c r="AC119" s="30">
        <v>6374991.1200000001</v>
      </c>
      <c r="AD119" s="8">
        <v>69</v>
      </c>
      <c r="AE119" s="8">
        <v>25</v>
      </c>
      <c r="AF119" s="8">
        <v>4209454.2</v>
      </c>
      <c r="AG119" s="8">
        <v>328682.86</v>
      </c>
      <c r="AH119" s="23">
        <f t="shared" si="53"/>
        <v>25</v>
      </c>
      <c r="AI119" s="23">
        <f t="shared" si="54"/>
        <v>328682.86</v>
      </c>
      <c r="AJ119" s="23">
        <f t="shared" si="55"/>
        <v>69</v>
      </c>
      <c r="AK119" s="23">
        <f t="shared" si="56"/>
        <v>4209454.2</v>
      </c>
      <c r="AL119" s="8">
        <v>25</v>
      </c>
      <c r="AM119" s="8">
        <v>328682.86</v>
      </c>
      <c r="AN119" s="8">
        <v>69</v>
      </c>
      <c r="AO119" s="8">
        <v>4209454.2</v>
      </c>
      <c r="AP119" s="26">
        <v>1265.8633800000007</v>
      </c>
      <c r="AQ119" s="13"/>
      <c r="AR119" s="14"/>
      <c r="AS119" s="13"/>
      <c r="AT119" s="13"/>
      <c r="AU119" s="13"/>
      <c r="AV119" s="13"/>
      <c r="AW119" s="8"/>
      <c r="AX119" s="8"/>
    </row>
    <row r="120" spans="2:50">
      <c r="B120" s="12">
        <v>1069</v>
      </c>
      <c r="C120" s="11" t="s">
        <v>29</v>
      </c>
      <c r="D120" s="11" t="s">
        <v>140</v>
      </c>
      <c r="E120" s="25">
        <v>107</v>
      </c>
      <c r="F120" s="25">
        <v>13</v>
      </c>
      <c r="G120" s="25">
        <v>2763638.5300000003</v>
      </c>
      <c r="H120" s="25">
        <v>266179.52</v>
      </c>
      <c r="I120" s="39">
        <v>0</v>
      </c>
      <c r="J120" s="22">
        <v>0</v>
      </c>
      <c r="K120" s="22">
        <v>0</v>
      </c>
      <c r="L120" s="22">
        <v>0</v>
      </c>
      <c r="M120" s="22">
        <v>13</v>
      </c>
      <c r="N120" s="22">
        <v>266179.52</v>
      </c>
      <c r="O120" s="22">
        <v>107</v>
      </c>
      <c r="P120" s="22">
        <v>2763638.5300000003</v>
      </c>
      <c r="Q120" s="29">
        <v>935.29878000000019</v>
      </c>
      <c r="R120" s="8">
        <v>99</v>
      </c>
      <c r="S120" s="8">
        <f>+VLOOKUP(B120,[1]Лист2!$A$4:$B$188,2,0)</f>
        <v>14</v>
      </c>
      <c r="T120" s="8">
        <v>2572245.0799999982</v>
      </c>
      <c r="U120" s="8">
        <f>+VLOOKUP(B120,[1]Лист2!$A$4:$C$188,3,0)</f>
        <v>152895.85</v>
      </c>
      <c r="V120" s="30">
        <f t="shared" si="49"/>
        <v>14</v>
      </c>
      <c r="W120" s="30">
        <f t="shared" si="50"/>
        <v>152895.85</v>
      </c>
      <c r="X120" s="30">
        <f t="shared" si="51"/>
        <v>99</v>
      </c>
      <c r="Y120" s="30">
        <f t="shared" si="52"/>
        <v>2572245.0799999982</v>
      </c>
      <c r="Z120" s="30">
        <f t="shared" si="73"/>
        <v>18.666666666666668</v>
      </c>
      <c r="AA120" s="30">
        <f t="shared" si="74"/>
        <v>203861.13333333333</v>
      </c>
      <c r="AB120" s="30">
        <v>132</v>
      </c>
      <c r="AC120" s="30">
        <v>3429660.1066666641</v>
      </c>
      <c r="AD120" s="8">
        <v>61</v>
      </c>
      <c r="AE120" s="8">
        <v>10</v>
      </c>
      <c r="AF120" s="8">
        <v>1288527.1099999999</v>
      </c>
      <c r="AG120" s="8">
        <v>188614</v>
      </c>
      <c r="AH120" s="23">
        <f t="shared" si="53"/>
        <v>10</v>
      </c>
      <c r="AI120" s="23">
        <f t="shared" si="54"/>
        <v>188614</v>
      </c>
      <c r="AJ120" s="23">
        <f t="shared" si="55"/>
        <v>61</v>
      </c>
      <c r="AK120" s="23">
        <f t="shared" si="56"/>
        <v>1288527.1099999999</v>
      </c>
      <c r="AL120" s="8">
        <v>10</v>
      </c>
      <c r="AM120" s="8">
        <v>188614</v>
      </c>
      <c r="AN120" s="8">
        <v>61</v>
      </c>
      <c r="AO120" s="8">
        <v>1288527.1099999999</v>
      </c>
      <c r="AP120" s="26">
        <v>887.13603000000012</v>
      </c>
      <c r="AQ120" s="13"/>
      <c r="AR120" s="14"/>
      <c r="AS120" s="13"/>
      <c r="AT120" s="13"/>
      <c r="AU120" s="13"/>
      <c r="AV120" s="13"/>
      <c r="AW120" s="13"/>
      <c r="AX120" s="13"/>
    </row>
    <row r="121" spans="2:50">
      <c r="B121" s="12">
        <v>1072</v>
      </c>
      <c r="C121" s="11" t="s">
        <v>29</v>
      </c>
      <c r="D121" s="11" t="s">
        <v>140</v>
      </c>
      <c r="E121" s="25">
        <v>6</v>
      </c>
      <c r="F121" s="25">
        <v>9</v>
      </c>
      <c r="G121" s="25">
        <v>287760.01</v>
      </c>
      <c r="H121" s="25">
        <v>361712.95999999996</v>
      </c>
      <c r="I121" s="39">
        <v>0</v>
      </c>
      <c r="J121" s="22">
        <v>0</v>
      </c>
      <c r="K121" s="22">
        <v>0</v>
      </c>
      <c r="L121" s="22">
        <v>0</v>
      </c>
      <c r="M121" s="22">
        <v>9</v>
      </c>
      <c r="N121" s="22">
        <v>361712.95999999996</v>
      </c>
      <c r="O121" s="22">
        <v>6</v>
      </c>
      <c r="P121" s="22">
        <v>287760.01</v>
      </c>
      <c r="Q121" s="29">
        <v>7745.290579999998</v>
      </c>
      <c r="R121" s="8">
        <v>29</v>
      </c>
      <c r="S121" s="8">
        <f>+VLOOKUP(B121,[1]Лист2!$A$4:$B$188,2,0)</f>
        <v>13</v>
      </c>
      <c r="T121" s="8">
        <v>675705.12</v>
      </c>
      <c r="U121" s="8">
        <f>+VLOOKUP(B121,[1]Лист2!$A$4:$C$188,3,0)</f>
        <v>232943.47999999998</v>
      </c>
      <c r="V121" s="30">
        <f t="shared" si="49"/>
        <v>13</v>
      </c>
      <c r="W121" s="30">
        <f t="shared" si="50"/>
        <v>232943.47999999998</v>
      </c>
      <c r="X121" s="30">
        <f t="shared" si="51"/>
        <v>29</v>
      </c>
      <c r="Y121" s="30">
        <f t="shared" si="52"/>
        <v>675705.12</v>
      </c>
      <c r="Z121" s="30">
        <f t="shared" si="73"/>
        <v>17.333333333333332</v>
      </c>
      <c r="AA121" s="30">
        <f t="shared" si="74"/>
        <v>310591.30666666664</v>
      </c>
      <c r="AB121" s="30">
        <v>38.666666666666664</v>
      </c>
      <c r="AC121" s="30">
        <v>900940.16</v>
      </c>
      <c r="AD121" s="8">
        <v>15</v>
      </c>
      <c r="AE121" s="8">
        <v>13</v>
      </c>
      <c r="AF121" s="8">
        <v>523175.76</v>
      </c>
      <c r="AG121" s="8">
        <v>192500</v>
      </c>
      <c r="AH121" s="23">
        <f t="shared" si="53"/>
        <v>13</v>
      </c>
      <c r="AI121" s="23">
        <f t="shared" si="54"/>
        <v>192500</v>
      </c>
      <c r="AJ121" s="23">
        <f t="shared" si="55"/>
        <v>15</v>
      </c>
      <c r="AK121" s="23">
        <f t="shared" si="56"/>
        <v>523175.76</v>
      </c>
      <c r="AL121" s="8">
        <v>13</v>
      </c>
      <c r="AM121" s="8">
        <v>192500</v>
      </c>
      <c r="AN121" s="8">
        <v>15</v>
      </c>
      <c r="AO121" s="8">
        <v>523175.76</v>
      </c>
      <c r="AP121" s="26">
        <v>7766.830829999999</v>
      </c>
      <c r="AQ121" s="13"/>
      <c r="AR121" s="14"/>
      <c r="AS121" s="13"/>
      <c r="AT121" s="13"/>
      <c r="AU121" s="13"/>
      <c r="AV121" s="13"/>
      <c r="AW121" s="13"/>
      <c r="AX121" s="13"/>
    </row>
    <row r="122" spans="2:50">
      <c r="B122" s="12">
        <v>1086</v>
      </c>
      <c r="C122" s="11" t="s">
        <v>29</v>
      </c>
      <c r="D122" s="11" t="s">
        <v>140</v>
      </c>
      <c r="E122" s="25">
        <v>50</v>
      </c>
      <c r="F122" s="25">
        <v>3</v>
      </c>
      <c r="G122" s="25">
        <v>1297779.81</v>
      </c>
      <c r="H122" s="25">
        <v>25556</v>
      </c>
      <c r="I122" s="39">
        <v>0</v>
      </c>
      <c r="J122" s="22">
        <v>0</v>
      </c>
      <c r="K122" s="22">
        <v>0</v>
      </c>
      <c r="L122" s="22">
        <v>0</v>
      </c>
      <c r="M122" s="22">
        <v>3</v>
      </c>
      <c r="N122" s="22">
        <v>25556</v>
      </c>
      <c r="O122" s="22">
        <v>50</v>
      </c>
      <c r="P122" s="22">
        <v>1297779.81</v>
      </c>
      <c r="Q122" s="29">
        <v>5593.9786600000007</v>
      </c>
      <c r="R122" s="8">
        <v>75</v>
      </c>
      <c r="S122" s="8">
        <f>+VLOOKUP(B122,[1]Лист2!$A$4:$B$188,2,0)</f>
        <v>3</v>
      </c>
      <c r="T122" s="8">
        <v>2648285.4500000002</v>
      </c>
      <c r="U122" s="8">
        <f>+VLOOKUP(B122,[1]Лист2!$A$4:$C$188,3,0)</f>
        <v>20957</v>
      </c>
      <c r="V122" s="30">
        <f t="shared" si="49"/>
        <v>3</v>
      </c>
      <c r="W122" s="30">
        <f t="shared" si="50"/>
        <v>20957</v>
      </c>
      <c r="X122" s="30">
        <f t="shared" si="51"/>
        <v>75</v>
      </c>
      <c r="Y122" s="30">
        <f t="shared" si="52"/>
        <v>2648285.4500000002</v>
      </c>
      <c r="Z122" s="30">
        <f t="shared" si="73"/>
        <v>4</v>
      </c>
      <c r="AA122" s="30">
        <f t="shared" si="74"/>
        <v>27942.666666666668</v>
      </c>
      <c r="AB122" s="30">
        <v>100</v>
      </c>
      <c r="AC122" s="30">
        <v>3531047.2666666671</v>
      </c>
      <c r="AD122" s="8">
        <v>56</v>
      </c>
      <c r="AE122" s="8">
        <v>4</v>
      </c>
      <c r="AF122" s="8">
        <v>1788672.8599999999</v>
      </c>
      <c r="AG122" s="8">
        <v>31220.2</v>
      </c>
      <c r="AH122" s="23">
        <f t="shared" si="53"/>
        <v>4</v>
      </c>
      <c r="AI122" s="23">
        <f t="shared" si="54"/>
        <v>31220.2</v>
      </c>
      <c r="AJ122" s="23">
        <f t="shared" si="55"/>
        <v>56</v>
      </c>
      <c r="AK122" s="23">
        <f t="shared" si="56"/>
        <v>1788672.8599999999</v>
      </c>
      <c r="AL122" s="8">
        <v>4</v>
      </c>
      <c r="AM122" s="8">
        <v>31220.2</v>
      </c>
      <c r="AN122" s="8">
        <v>56</v>
      </c>
      <c r="AO122" s="8">
        <v>1788672.8599999999</v>
      </c>
      <c r="AP122" s="26">
        <v>6375.1312200000039</v>
      </c>
      <c r="AQ122" s="13"/>
      <c r="AR122" s="14"/>
      <c r="AS122" s="13"/>
      <c r="AT122" s="13"/>
      <c r="AU122" s="13"/>
      <c r="AV122" s="13"/>
      <c r="AW122" s="13"/>
      <c r="AX122" s="13"/>
    </row>
    <row r="123" spans="2:50">
      <c r="B123" s="12">
        <v>1121</v>
      </c>
      <c r="C123" s="11" t="s">
        <v>29</v>
      </c>
      <c r="D123" s="11" t="s">
        <v>140</v>
      </c>
      <c r="E123" s="25">
        <v>41</v>
      </c>
      <c r="F123" s="25">
        <v>43</v>
      </c>
      <c r="G123" s="25">
        <v>890476.15</v>
      </c>
      <c r="H123" s="25">
        <v>1329533.1499999999</v>
      </c>
      <c r="I123" s="39">
        <v>0</v>
      </c>
      <c r="J123" s="22">
        <v>0</v>
      </c>
      <c r="K123" s="22">
        <v>0</v>
      </c>
      <c r="L123" s="22">
        <v>0</v>
      </c>
      <c r="M123" s="22">
        <v>43</v>
      </c>
      <c r="N123" s="22">
        <v>1329533.1499999999</v>
      </c>
      <c r="O123" s="22">
        <v>41</v>
      </c>
      <c r="P123" s="22">
        <v>890476.15</v>
      </c>
      <c r="Q123" s="29">
        <v>5424.4843000000001</v>
      </c>
      <c r="R123" s="8">
        <v>66</v>
      </c>
      <c r="S123" s="8">
        <f>+VLOOKUP(B123,[1]Лист2!$A$4:$B$188,2,0)</f>
        <v>87</v>
      </c>
      <c r="T123" s="8">
        <v>1535130.47</v>
      </c>
      <c r="U123" s="8">
        <f>+VLOOKUP(B123,[1]Лист2!$A$4:$C$188,3,0)</f>
        <v>2154910.0200000005</v>
      </c>
      <c r="V123" s="30">
        <f t="shared" si="49"/>
        <v>87</v>
      </c>
      <c r="W123" s="30">
        <f t="shared" si="50"/>
        <v>2154910.0200000005</v>
      </c>
      <c r="X123" s="30">
        <f t="shared" si="51"/>
        <v>66</v>
      </c>
      <c r="Y123" s="30">
        <f t="shared" si="52"/>
        <v>1535130.47</v>
      </c>
      <c r="Z123" s="30">
        <f t="shared" si="73"/>
        <v>116</v>
      </c>
      <c r="AA123" s="30">
        <f t="shared" si="74"/>
        <v>2873213.3600000008</v>
      </c>
      <c r="AB123" s="30">
        <v>88</v>
      </c>
      <c r="AC123" s="30">
        <v>2046840.6266666667</v>
      </c>
      <c r="AD123" s="8">
        <v>53</v>
      </c>
      <c r="AE123" s="8">
        <v>94</v>
      </c>
      <c r="AF123" s="8">
        <v>1411176.4000000001</v>
      </c>
      <c r="AG123" s="8">
        <v>3046742.9</v>
      </c>
      <c r="AH123" s="23">
        <f t="shared" si="53"/>
        <v>94</v>
      </c>
      <c r="AI123" s="23">
        <f t="shared" si="54"/>
        <v>3046742.9</v>
      </c>
      <c r="AJ123" s="23">
        <f t="shared" si="55"/>
        <v>53</v>
      </c>
      <c r="AK123" s="23">
        <f t="shared" si="56"/>
        <v>1411176.4000000001</v>
      </c>
      <c r="AL123" s="8">
        <v>94</v>
      </c>
      <c r="AM123" s="8">
        <v>3046742.9</v>
      </c>
      <c r="AN123" s="8">
        <v>53</v>
      </c>
      <c r="AO123" s="8">
        <v>1411176.4000000001</v>
      </c>
      <c r="AP123" s="26">
        <v>5477.5815499999999</v>
      </c>
      <c r="AQ123" s="13"/>
      <c r="AR123" s="14"/>
      <c r="AS123" s="13"/>
      <c r="AT123" s="13"/>
      <c r="AU123" s="13"/>
      <c r="AV123" s="13"/>
      <c r="AW123" s="13"/>
      <c r="AX123" s="13"/>
    </row>
    <row r="124" spans="2:50">
      <c r="B124" s="12">
        <v>1122</v>
      </c>
      <c r="C124" s="11" t="s">
        <v>29</v>
      </c>
      <c r="D124" s="11" t="s">
        <v>140</v>
      </c>
      <c r="E124" s="25">
        <v>9</v>
      </c>
      <c r="F124" s="25">
        <v>39</v>
      </c>
      <c r="G124" s="25">
        <v>144895.16</v>
      </c>
      <c r="H124" s="25">
        <v>9020354.8600000013</v>
      </c>
      <c r="I124" s="39">
        <v>0</v>
      </c>
      <c r="J124" s="22">
        <v>0</v>
      </c>
      <c r="K124" s="22">
        <v>0</v>
      </c>
      <c r="L124" s="22">
        <v>0</v>
      </c>
      <c r="M124" s="22">
        <v>39</v>
      </c>
      <c r="N124" s="22">
        <v>9020354.8600000013</v>
      </c>
      <c r="O124" s="22">
        <v>9</v>
      </c>
      <c r="P124" s="22">
        <v>144895.16</v>
      </c>
      <c r="Q124" s="29">
        <v>8775.1068900000009</v>
      </c>
      <c r="R124" s="8">
        <v>31</v>
      </c>
      <c r="S124" s="8">
        <f>+VLOOKUP(B124,[1]Лист2!$A$4:$B$188,2,0)</f>
        <v>27</v>
      </c>
      <c r="T124" s="8">
        <v>361552.52</v>
      </c>
      <c r="U124" s="8">
        <f>+VLOOKUP(B124,[1]Лист2!$A$4:$C$188,3,0)</f>
        <v>737052.79</v>
      </c>
      <c r="V124" s="30">
        <f t="shared" si="49"/>
        <v>27</v>
      </c>
      <c r="W124" s="30">
        <f t="shared" si="50"/>
        <v>737052.79</v>
      </c>
      <c r="X124" s="30">
        <f t="shared" si="51"/>
        <v>31</v>
      </c>
      <c r="Y124" s="30">
        <f t="shared" si="52"/>
        <v>361552.52</v>
      </c>
      <c r="Z124" s="30">
        <f t="shared" si="73"/>
        <v>36</v>
      </c>
      <c r="AA124" s="30">
        <f t="shared" si="74"/>
        <v>982737.05333333334</v>
      </c>
      <c r="AB124" s="30">
        <v>41.333333333333336</v>
      </c>
      <c r="AC124" s="30">
        <v>482070.02666666667</v>
      </c>
      <c r="AD124" s="8">
        <v>28</v>
      </c>
      <c r="AE124" s="8">
        <v>23</v>
      </c>
      <c r="AF124" s="8">
        <v>1994456.66</v>
      </c>
      <c r="AG124" s="8">
        <v>378932.31</v>
      </c>
      <c r="AH124" s="23">
        <f t="shared" si="53"/>
        <v>23</v>
      </c>
      <c r="AI124" s="23">
        <f t="shared" si="54"/>
        <v>378932.31</v>
      </c>
      <c r="AJ124" s="23">
        <f t="shared" si="55"/>
        <v>28</v>
      </c>
      <c r="AK124" s="23">
        <f t="shared" si="56"/>
        <v>1994456.66</v>
      </c>
      <c r="AL124" s="8">
        <v>23</v>
      </c>
      <c r="AM124" s="8">
        <v>378932.31</v>
      </c>
      <c r="AN124" s="8">
        <v>28</v>
      </c>
      <c r="AO124" s="8">
        <v>1994456.66</v>
      </c>
      <c r="AP124" s="26">
        <v>8827.9288500000021</v>
      </c>
      <c r="AQ124" s="13"/>
      <c r="AR124" s="14"/>
      <c r="AS124" s="13"/>
      <c r="AT124" s="13"/>
      <c r="AU124" s="13"/>
      <c r="AV124" s="13"/>
      <c r="AW124" s="8"/>
      <c r="AX124" s="8"/>
    </row>
    <row r="125" spans="2:50">
      <c r="B125" s="12">
        <v>395</v>
      </c>
      <c r="C125" s="11" t="s">
        <v>30</v>
      </c>
      <c r="D125" s="11" t="s">
        <v>141</v>
      </c>
      <c r="E125" s="25">
        <v>124</v>
      </c>
      <c r="F125" s="25">
        <v>146</v>
      </c>
      <c r="G125" s="25">
        <v>4791888.97</v>
      </c>
      <c r="H125" s="25">
        <v>17235901.400000006</v>
      </c>
      <c r="I125" s="39">
        <v>0</v>
      </c>
      <c r="J125" s="22">
        <v>0</v>
      </c>
      <c r="K125" s="22">
        <v>0</v>
      </c>
      <c r="L125" s="22">
        <v>0</v>
      </c>
      <c r="M125" s="22">
        <v>146</v>
      </c>
      <c r="N125" s="22">
        <v>17235901.400000006</v>
      </c>
      <c r="O125" s="22">
        <v>124</v>
      </c>
      <c r="P125" s="22">
        <v>4791888.97</v>
      </c>
      <c r="Q125" s="29">
        <v>4221.2474999999986</v>
      </c>
      <c r="R125" s="8">
        <v>160</v>
      </c>
      <c r="S125" s="8">
        <f>+VLOOKUP(B125,[1]Лист2!$A$4:$B$188,2,0)</f>
        <v>167</v>
      </c>
      <c r="T125" s="8">
        <v>6875819.7200000007</v>
      </c>
      <c r="U125" s="8">
        <f>+VLOOKUP(B125,[1]Лист2!$A$4:$C$188,3,0)</f>
        <v>13802386.590000004</v>
      </c>
      <c r="V125" s="30">
        <f t="shared" si="49"/>
        <v>167</v>
      </c>
      <c r="W125" s="30">
        <f t="shared" si="50"/>
        <v>13802386.590000004</v>
      </c>
      <c r="X125" s="30">
        <f t="shared" si="51"/>
        <v>160</v>
      </c>
      <c r="Y125" s="30">
        <f t="shared" si="52"/>
        <v>6875819.7200000007</v>
      </c>
      <c r="Z125" s="30">
        <f t="shared" si="73"/>
        <v>222.66666666666666</v>
      </c>
      <c r="AA125" s="30">
        <f t="shared" si="74"/>
        <v>18403182.120000005</v>
      </c>
      <c r="AB125" s="30">
        <v>213.33333333333334</v>
      </c>
      <c r="AC125" s="30">
        <v>9167759.6266666669</v>
      </c>
      <c r="AD125" s="8">
        <v>140</v>
      </c>
      <c r="AE125" s="8">
        <v>151</v>
      </c>
      <c r="AF125" s="8">
        <v>6435066.1699999999</v>
      </c>
      <c r="AG125" s="8">
        <v>14008189.720000004</v>
      </c>
      <c r="AH125" s="23">
        <f t="shared" si="53"/>
        <v>151</v>
      </c>
      <c r="AI125" s="23">
        <f t="shared" si="54"/>
        <v>14008189.720000004</v>
      </c>
      <c r="AJ125" s="23">
        <f t="shared" si="55"/>
        <v>140</v>
      </c>
      <c r="AK125" s="23">
        <f t="shared" si="56"/>
        <v>6435066.1699999999</v>
      </c>
      <c r="AL125" s="8">
        <v>151</v>
      </c>
      <c r="AM125" s="8">
        <v>14008189.720000004</v>
      </c>
      <c r="AN125" s="8">
        <v>140</v>
      </c>
      <c r="AO125" s="8">
        <v>6435066.1699999999</v>
      </c>
      <c r="AP125" s="26">
        <v>3309.7172900000005</v>
      </c>
      <c r="AQ125" s="13"/>
      <c r="AR125" s="14"/>
      <c r="AS125" s="13"/>
      <c r="AT125" s="13"/>
      <c r="AU125" s="13"/>
      <c r="AV125" s="13"/>
      <c r="AW125" s="8"/>
      <c r="AX125" s="8"/>
    </row>
    <row r="126" spans="2:50">
      <c r="B126" s="12">
        <v>1041</v>
      </c>
      <c r="C126" s="11" t="s">
        <v>22</v>
      </c>
      <c r="D126" s="11" t="s">
        <v>142</v>
      </c>
      <c r="E126" s="25">
        <v>180</v>
      </c>
      <c r="F126" s="25">
        <v>37</v>
      </c>
      <c r="G126" s="25">
        <v>14406951.570000006</v>
      </c>
      <c r="H126" s="25">
        <v>1051230.5</v>
      </c>
      <c r="I126" s="39">
        <v>0</v>
      </c>
      <c r="J126" s="22">
        <v>0</v>
      </c>
      <c r="K126" s="22">
        <v>0</v>
      </c>
      <c r="L126" s="22">
        <v>0</v>
      </c>
      <c r="M126" s="22">
        <v>37</v>
      </c>
      <c r="N126" s="22">
        <v>1051230.5</v>
      </c>
      <c r="O126" s="22">
        <v>180</v>
      </c>
      <c r="P126" s="22">
        <v>14406951.570000006</v>
      </c>
      <c r="Q126" s="29">
        <v>15464.255249999998</v>
      </c>
      <c r="R126" s="8">
        <v>207</v>
      </c>
      <c r="S126" s="8">
        <f>+VLOOKUP(B126,[1]Лист2!$A$4:$B$188,2,0)</f>
        <v>62</v>
      </c>
      <c r="T126" s="8">
        <v>19200278.220000003</v>
      </c>
      <c r="U126" s="8">
        <f>+VLOOKUP(B126,[1]Лист2!$A$4:$C$188,3,0)</f>
        <v>2550715.7800000003</v>
      </c>
      <c r="V126" s="30">
        <f t="shared" si="49"/>
        <v>62</v>
      </c>
      <c r="W126" s="30">
        <f t="shared" si="50"/>
        <v>2550715.7800000003</v>
      </c>
      <c r="X126" s="30">
        <f t="shared" si="51"/>
        <v>207</v>
      </c>
      <c r="Y126" s="30">
        <f t="shared" si="52"/>
        <v>19200278.220000003</v>
      </c>
      <c r="Z126" s="30">
        <f t="shared" si="73"/>
        <v>82.666666666666671</v>
      </c>
      <c r="AA126" s="30">
        <f t="shared" si="74"/>
        <v>3400954.3733333335</v>
      </c>
      <c r="AB126" s="30">
        <v>276</v>
      </c>
      <c r="AC126" s="30">
        <v>25600370.960000005</v>
      </c>
      <c r="AD126" s="8">
        <v>168</v>
      </c>
      <c r="AE126" s="8">
        <v>13</v>
      </c>
      <c r="AF126" s="8">
        <v>15730386.450000001</v>
      </c>
      <c r="AG126" s="8">
        <v>842032.3600000001</v>
      </c>
      <c r="AH126" s="23">
        <f t="shared" si="53"/>
        <v>13</v>
      </c>
      <c r="AI126" s="23">
        <f t="shared" si="54"/>
        <v>842032.3600000001</v>
      </c>
      <c r="AJ126" s="23">
        <f t="shared" si="55"/>
        <v>168</v>
      </c>
      <c r="AK126" s="23">
        <f t="shared" si="56"/>
        <v>15730386.450000001</v>
      </c>
      <c r="AL126" s="8">
        <v>13</v>
      </c>
      <c r="AM126" s="8">
        <v>842032.3600000001</v>
      </c>
      <c r="AN126" s="8">
        <v>168</v>
      </c>
      <c r="AO126" s="8">
        <v>15730386.450000001</v>
      </c>
      <c r="AP126" s="26">
        <v>12715.408370000003</v>
      </c>
      <c r="AQ126" s="13"/>
      <c r="AR126" s="14"/>
      <c r="AS126" s="13"/>
      <c r="AT126" s="13"/>
      <c r="AU126" s="13"/>
      <c r="AV126" s="13"/>
      <c r="AW126" s="8"/>
      <c r="AX126" s="8"/>
    </row>
    <row r="127" spans="2:50">
      <c r="B127" s="12">
        <v>1070</v>
      </c>
      <c r="C127" s="11" t="s">
        <v>22</v>
      </c>
      <c r="D127" s="11" t="s">
        <v>142</v>
      </c>
      <c r="E127" s="25">
        <v>30</v>
      </c>
      <c r="F127" s="25">
        <v>2</v>
      </c>
      <c r="G127" s="25">
        <v>711645</v>
      </c>
      <c r="H127" s="25">
        <v>2043</v>
      </c>
      <c r="I127" s="39">
        <v>0</v>
      </c>
      <c r="J127" s="22">
        <v>0</v>
      </c>
      <c r="K127" s="22">
        <v>0</v>
      </c>
      <c r="L127" s="22">
        <v>0</v>
      </c>
      <c r="M127" s="22">
        <v>2</v>
      </c>
      <c r="N127" s="22">
        <v>2043</v>
      </c>
      <c r="O127" s="22">
        <v>30</v>
      </c>
      <c r="P127" s="22">
        <v>711645</v>
      </c>
      <c r="Q127" s="29">
        <v>29324.688949999989</v>
      </c>
      <c r="R127" s="8">
        <v>73</v>
      </c>
      <c r="S127" s="8">
        <f>+VLOOKUP(B127,[1]Лист2!$A$4:$B$188,2,0)</f>
        <v>11</v>
      </c>
      <c r="T127" s="8">
        <v>1992070.48</v>
      </c>
      <c r="U127" s="8">
        <f>+VLOOKUP(B127,[1]Лист2!$A$4:$C$188,3,0)</f>
        <v>22590</v>
      </c>
      <c r="V127" s="30">
        <f t="shared" si="49"/>
        <v>11</v>
      </c>
      <c r="W127" s="30">
        <f t="shared" si="50"/>
        <v>22590</v>
      </c>
      <c r="X127" s="30">
        <f t="shared" si="51"/>
        <v>73</v>
      </c>
      <c r="Y127" s="30">
        <f t="shared" si="52"/>
        <v>1992070.48</v>
      </c>
      <c r="Z127" s="30">
        <f t="shared" si="73"/>
        <v>14.666666666666666</v>
      </c>
      <c r="AA127" s="30">
        <f t="shared" si="74"/>
        <v>30120</v>
      </c>
      <c r="AB127" s="30">
        <v>97.333333333333329</v>
      </c>
      <c r="AC127" s="30">
        <v>2656093.9733333332</v>
      </c>
      <c r="AD127" s="8">
        <v>40</v>
      </c>
      <c r="AE127" s="8">
        <v>14</v>
      </c>
      <c r="AF127" s="8">
        <v>1301577.3400000001</v>
      </c>
      <c r="AG127" s="8">
        <v>73812.89</v>
      </c>
      <c r="AH127" s="23">
        <f t="shared" si="53"/>
        <v>14</v>
      </c>
      <c r="AI127" s="23">
        <f t="shared" si="54"/>
        <v>73812.89</v>
      </c>
      <c r="AJ127" s="23">
        <f t="shared" si="55"/>
        <v>40</v>
      </c>
      <c r="AK127" s="23">
        <f t="shared" si="56"/>
        <v>1301577.3400000001</v>
      </c>
      <c r="AL127" s="8">
        <v>14</v>
      </c>
      <c r="AM127" s="8">
        <v>73812.89</v>
      </c>
      <c r="AN127" s="8">
        <v>40</v>
      </c>
      <c r="AO127" s="8">
        <v>1301577.3400000001</v>
      </c>
      <c r="AP127" s="26">
        <v>25353.882979999998</v>
      </c>
      <c r="AQ127" s="13"/>
      <c r="AR127" s="14"/>
      <c r="AS127" s="13"/>
      <c r="AT127" s="13"/>
      <c r="AU127" s="13"/>
      <c r="AV127" s="13"/>
      <c r="AW127" s="13"/>
      <c r="AX127" s="13"/>
    </row>
    <row r="128" spans="2:50">
      <c r="B128" s="12">
        <v>1165</v>
      </c>
      <c r="C128" s="11" t="s">
        <v>22</v>
      </c>
      <c r="D128" s="11" t="s">
        <v>142</v>
      </c>
      <c r="E128" s="25">
        <v>63</v>
      </c>
      <c r="F128" s="25">
        <v>16</v>
      </c>
      <c r="G128" s="25">
        <v>1179634.1400000001</v>
      </c>
      <c r="H128" s="25">
        <v>470418.3600000001</v>
      </c>
      <c r="I128" s="39">
        <v>0</v>
      </c>
      <c r="J128" s="22">
        <v>0</v>
      </c>
      <c r="K128" s="22">
        <v>0</v>
      </c>
      <c r="L128" s="22">
        <v>0</v>
      </c>
      <c r="M128" s="22">
        <v>16</v>
      </c>
      <c r="N128" s="22">
        <v>470418.3600000001</v>
      </c>
      <c r="O128" s="22">
        <v>63</v>
      </c>
      <c r="P128" s="22">
        <v>1179634.1400000001</v>
      </c>
      <c r="Q128" s="29">
        <v>335.41536000000013</v>
      </c>
      <c r="R128" s="8">
        <v>41</v>
      </c>
      <c r="S128" s="8">
        <f>+VLOOKUP(B128,[1]Лист2!$A$4:$B$188,2,0)</f>
        <v>3</v>
      </c>
      <c r="T128" s="8">
        <v>1192172.8500000001</v>
      </c>
      <c r="U128" s="8">
        <f>+VLOOKUP(B128,[1]Лист2!$A$4:$C$188,3,0)</f>
        <v>348304.05</v>
      </c>
      <c r="V128" s="30">
        <f t="shared" si="49"/>
        <v>3</v>
      </c>
      <c r="W128" s="30">
        <f t="shared" si="50"/>
        <v>348304.05</v>
      </c>
      <c r="X128" s="30">
        <f t="shared" si="51"/>
        <v>41</v>
      </c>
      <c r="Y128" s="30">
        <f t="shared" si="52"/>
        <v>1192172.8500000001</v>
      </c>
      <c r="Z128" s="30">
        <f t="shared" si="73"/>
        <v>4</v>
      </c>
      <c r="AA128" s="30">
        <f t="shared" si="74"/>
        <v>464405.39999999997</v>
      </c>
      <c r="AB128" s="30">
        <v>54.666666666666664</v>
      </c>
      <c r="AC128" s="30">
        <v>1589563.8</v>
      </c>
      <c r="AD128" s="8">
        <v>40</v>
      </c>
      <c r="AE128" s="8">
        <v>2</v>
      </c>
      <c r="AF128" s="8">
        <v>995304.77</v>
      </c>
      <c r="AG128" s="8">
        <v>17750</v>
      </c>
      <c r="AH128" s="23">
        <f t="shared" si="53"/>
        <v>2</v>
      </c>
      <c r="AI128" s="23">
        <f t="shared" si="54"/>
        <v>17750</v>
      </c>
      <c r="AJ128" s="23">
        <f t="shared" si="55"/>
        <v>40</v>
      </c>
      <c r="AK128" s="23">
        <f t="shared" si="56"/>
        <v>995304.77</v>
      </c>
      <c r="AL128" s="8">
        <v>2</v>
      </c>
      <c r="AM128" s="8">
        <v>17750</v>
      </c>
      <c r="AN128" s="8">
        <v>40</v>
      </c>
      <c r="AO128" s="8">
        <v>995304.77</v>
      </c>
      <c r="AP128" s="26">
        <v>220.40910000000002</v>
      </c>
      <c r="AQ128" s="13"/>
      <c r="AR128" s="14"/>
      <c r="AS128" s="13"/>
      <c r="AT128" s="13"/>
      <c r="AU128" s="13"/>
      <c r="AV128" s="13"/>
      <c r="AW128" s="13"/>
      <c r="AX128" s="13"/>
    </row>
    <row r="129" spans="2:50">
      <c r="B129" s="12">
        <v>421</v>
      </c>
      <c r="C129" s="11" t="s">
        <v>13</v>
      </c>
      <c r="D129" s="11" t="s">
        <v>143</v>
      </c>
      <c r="E129" s="25">
        <v>14</v>
      </c>
      <c r="F129" s="25">
        <v>31</v>
      </c>
      <c r="G129" s="25">
        <v>290055.94</v>
      </c>
      <c r="H129" s="25">
        <v>663066.16000000015</v>
      </c>
      <c r="I129" s="39">
        <v>0</v>
      </c>
      <c r="J129" s="22">
        <v>0</v>
      </c>
      <c r="K129" s="22">
        <v>0</v>
      </c>
      <c r="L129" s="22">
        <v>0</v>
      </c>
      <c r="M129" s="22">
        <v>31</v>
      </c>
      <c r="N129" s="22">
        <v>663066.16000000015</v>
      </c>
      <c r="O129" s="22">
        <v>14</v>
      </c>
      <c r="P129" s="22">
        <v>290055.94</v>
      </c>
      <c r="Q129" s="29">
        <v>639.43007000000023</v>
      </c>
      <c r="R129" s="8">
        <v>47</v>
      </c>
      <c r="S129" s="8">
        <f>+VLOOKUP(B129,[1]Лист2!$A$4:$B$188,2,0)</f>
        <v>41</v>
      </c>
      <c r="T129" s="8">
        <v>754508.42999999993</v>
      </c>
      <c r="U129" s="8">
        <f>+VLOOKUP(B129,[1]Лист2!$A$4:$C$188,3,0)</f>
        <v>801374.71000000008</v>
      </c>
      <c r="V129" s="30">
        <f t="shared" si="49"/>
        <v>41</v>
      </c>
      <c r="W129" s="30">
        <f t="shared" si="50"/>
        <v>801374.71000000008</v>
      </c>
      <c r="X129" s="30">
        <f t="shared" si="51"/>
        <v>47</v>
      </c>
      <c r="Y129" s="30">
        <f t="shared" si="52"/>
        <v>754508.42999999993</v>
      </c>
      <c r="Z129" s="30">
        <f t="shared" si="73"/>
        <v>54.666666666666664</v>
      </c>
      <c r="AA129" s="30">
        <f t="shared" si="74"/>
        <v>1068499.6133333335</v>
      </c>
      <c r="AB129" s="30">
        <v>62.666666666666664</v>
      </c>
      <c r="AC129" s="30">
        <v>1006011.2399999999</v>
      </c>
      <c r="AD129" s="8">
        <v>59</v>
      </c>
      <c r="AE129" s="8">
        <v>46</v>
      </c>
      <c r="AF129" s="8">
        <v>1730541.45</v>
      </c>
      <c r="AG129" s="8">
        <v>1176859.8999999997</v>
      </c>
      <c r="AH129" s="23">
        <f t="shared" si="53"/>
        <v>46</v>
      </c>
      <c r="AI129" s="23">
        <f t="shared" si="54"/>
        <v>1176859.8999999997</v>
      </c>
      <c r="AJ129" s="23">
        <f t="shared" si="55"/>
        <v>59</v>
      </c>
      <c r="AK129" s="23">
        <f t="shared" si="56"/>
        <v>1730541.45</v>
      </c>
      <c r="AL129" s="8">
        <v>46</v>
      </c>
      <c r="AM129" s="8">
        <v>1176859.8999999997</v>
      </c>
      <c r="AN129" s="8">
        <v>59</v>
      </c>
      <c r="AO129" s="8">
        <v>1730541.45</v>
      </c>
      <c r="AP129" s="26">
        <v>636.7255100000001</v>
      </c>
      <c r="AQ129" s="13"/>
      <c r="AR129" s="14"/>
      <c r="AS129" s="13"/>
      <c r="AT129" s="13"/>
      <c r="AU129" s="13"/>
      <c r="AV129" s="13"/>
      <c r="AW129" s="13"/>
      <c r="AX129" s="13"/>
    </row>
    <row r="130" spans="2:50">
      <c r="B130" s="12">
        <v>444</v>
      </c>
      <c r="C130" s="11" t="s">
        <v>13</v>
      </c>
      <c r="D130" s="11" t="s">
        <v>143</v>
      </c>
      <c r="E130" s="25">
        <v>394</v>
      </c>
      <c r="F130" s="25">
        <v>252</v>
      </c>
      <c r="G130" s="25">
        <v>17059325.159999996</v>
      </c>
      <c r="H130" s="25">
        <v>9047783.7599999961</v>
      </c>
      <c r="I130" s="39">
        <v>0</v>
      </c>
      <c r="J130" s="22">
        <v>0</v>
      </c>
      <c r="K130" s="22">
        <v>0</v>
      </c>
      <c r="L130" s="22">
        <v>0</v>
      </c>
      <c r="M130" s="22">
        <v>252</v>
      </c>
      <c r="N130" s="22">
        <v>9047783.7599999961</v>
      </c>
      <c r="O130" s="22">
        <v>394</v>
      </c>
      <c r="P130" s="22">
        <v>17059325.159999996</v>
      </c>
      <c r="Q130" s="29">
        <v>4101.6599100000003</v>
      </c>
      <c r="R130" s="8">
        <v>510</v>
      </c>
      <c r="S130" s="8">
        <f>+VLOOKUP(B130,[1]Лист2!$A$4:$B$188,2,0)</f>
        <v>389</v>
      </c>
      <c r="T130" s="8">
        <v>21543058.429999989</v>
      </c>
      <c r="U130" s="8">
        <f>+VLOOKUP(B130,[1]Лист2!$A$4:$C$188,3,0)</f>
        <v>15496193.599999996</v>
      </c>
      <c r="V130" s="30">
        <f t="shared" si="49"/>
        <v>389</v>
      </c>
      <c r="W130" s="30">
        <f t="shared" si="50"/>
        <v>15496193.599999996</v>
      </c>
      <c r="X130" s="30">
        <f t="shared" si="51"/>
        <v>510</v>
      </c>
      <c r="Y130" s="30">
        <f t="shared" si="52"/>
        <v>21543058.429999989</v>
      </c>
      <c r="Z130" s="30">
        <f t="shared" si="73"/>
        <v>518.66666666666663</v>
      </c>
      <c r="AA130" s="30">
        <f t="shared" si="74"/>
        <v>20661591.466666661</v>
      </c>
      <c r="AB130" s="30">
        <v>680</v>
      </c>
      <c r="AC130" s="30">
        <v>28724077.906666651</v>
      </c>
      <c r="AD130" s="8">
        <v>397</v>
      </c>
      <c r="AE130" s="8">
        <v>313</v>
      </c>
      <c r="AF130" s="8">
        <v>16159797.120000001</v>
      </c>
      <c r="AG130" s="8">
        <v>11003376.209999997</v>
      </c>
      <c r="AH130" s="23">
        <f t="shared" si="53"/>
        <v>313</v>
      </c>
      <c r="AI130" s="23">
        <f t="shared" si="54"/>
        <v>11003376.209999997</v>
      </c>
      <c r="AJ130" s="23">
        <f t="shared" si="55"/>
        <v>397</v>
      </c>
      <c r="AK130" s="23">
        <f t="shared" si="56"/>
        <v>16159797.120000001</v>
      </c>
      <c r="AL130" s="8">
        <v>313</v>
      </c>
      <c r="AM130" s="8">
        <v>11003376.209999997</v>
      </c>
      <c r="AN130" s="8">
        <v>397</v>
      </c>
      <c r="AO130" s="8">
        <v>16159797.120000001</v>
      </c>
      <c r="AP130" s="26">
        <v>3670.4977800000006</v>
      </c>
      <c r="AQ130" s="13"/>
      <c r="AR130" s="14"/>
      <c r="AS130" s="13"/>
      <c r="AT130" s="13"/>
      <c r="AU130" s="13"/>
      <c r="AV130" s="13"/>
      <c r="AW130" s="8"/>
      <c r="AX130" s="8"/>
    </row>
    <row r="131" spans="2:50">
      <c r="B131" s="12">
        <v>999</v>
      </c>
      <c r="C131" s="11" t="s">
        <v>13</v>
      </c>
      <c r="D131" s="11" t="s">
        <v>143</v>
      </c>
      <c r="E131" s="25">
        <v>85</v>
      </c>
      <c r="F131" s="25">
        <v>13</v>
      </c>
      <c r="G131" s="25">
        <v>2437085.7600000002</v>
      </c>
      <c r="H131" s="25">
        <v>162085.49000000002</v>
      </c>
      <c r="I131" s="39">
        <v>0</v>
      </c>
      <c r="J131" s="22">
        <v>0</v>
      </c>
      <c r="K131" s="22">
        <v>0</v>
      </c>
      <c r="L131" s="22">
        <v>0</v>
      </c>
      <c r="M131" s="22">
        <v>13</v>
      </c>
      <c r="N131" s="22">
        <v>162085.49000000002</v>
      </c>
      <c r="O131" s="22">
        <v>85</v>
      </c>
      <c r="P131" s="22">
        <v>2437085.7600000002</v>
      </c>
      <c r="Q131" s="29">
        <v>4400.1925900000015</v>
      </c>
      <c r="R131" s="8">
        <v>169</v>
      </c>
      <c r="S131" s="8">
        <f>+VLOOKUP(B131,[1]Лист2!$A$4:$B$188,2,0)</f>
        <v>19</v>
      </c>
      <c r="T131" s="8">
        <v>5294662.0600000015</v>
      </c>
      <c r="U131" s="8">
        <f>+VLOOKUP(B131,[1]Лист2!$A$4:$C$188,3,0)</f>
        <v>289328.54000000004</v>
      </c>
      <c r="V131" s="30">
        <f t="shared" si="49"/>
        <v>19</v>
      </c>
      <c r="W131" s="30">
        <f t="shared" si="50"/>
        <v>289328.54000000004</v>
      </c>
      <c r="X131" s="30">
        <f t="shared" si="51"/>
        <v>169</v>
      </c>
      <c r="Y131" s="30">
        <f t="shared" si="52"/>
        <v>5294662.0600000015</v>
      </c>
      <c r="Z131" s="30">
        <f t="shared" si="73"/>
        <v>25.333333333333332</v>
      </c>
      <c r="AA131" s="30">
        <f t="shared" si="74"/>
        <v>385771.38666666672</v>
      </c>
      <c r="AB131" s="30">
        <v>225.33333333333334</v>
      </c>
      <c r="AC131" s="30">
        <v>7059549.413333335</v>
      </c>
      <c r="AD131" s="8">
        <v>115</v>
      </c>
      <c r="AE131" s="8">
        <v>15</v>
      </c>
      <c r="AF131" s="8">
        <v>3533410.5899999989</v>
      </c>
      <c r="AG131" s="8">
        <v>263333.36</v>
      </c>
      <c r="AH131" s="23">
        <f t="shared" si="53"/>
        <v>15</v>
      </c>
      <c r="AI131" s="23">
        <f t="shared" si="54"/>
        <v>263333.36</v>
      </c>
      <c r="AJ131" s="23">
        <f t="shared" si="55"/>
        <v>115</v>
      </c>
      <c r="AK131" s="23">
        <f t="shared" si="56"/>
        <v>3533410.5899999989</v>
      </c>
      <c r="AL131" s="8">
        <v>15</v>
      </c>
      <c r="AM131" s="8">
        <v>263333.36</v>
      </c>
      <c r="AN131" s="8">
        <v>115</v>
      </c>
      <c r="AO131" s="8">
        <v>3533410.5899999989</v>
      </c>
      <c r="AP131" s="26">
        <v>1057.1961200000003</v>
      </c>
      <c r="AQ131" s="13"/>
      <c r="AR131" s="14"/>
      <c r="AS131" s="13"/>
      <c r="AT131" s="13"/>
      <c r="AU131" s="13"/>
      <c r="AV131" s="13"/>
      <c r="AW131" s="13"/>
      <c r="AX131" s="13"/>
    </row>
    <row r="132" spans="2:50">
      <c r="B132" s="12">
        <v>1028</v>
      </c>
      <c r="C132" s="11" t="s">
        <v>13</v>
      </c>
      <c r="D132" s="11" t="s">
        <v>143</v>
      </c>
      <c r="E132" s="25">
        <v>45</v>
      </c>
      <c r="F132" s="25">
        <v>10</v>
      </c>
      <c r="G132" s="25">
        <v>1851243.9500000002</v>
      </c>
      <c r="H132" s="25">
        <v>210677.38999999998</v>
      </c>
      <c r="I132" s="39">
        <v>0</v>
      </c>
      <c r="J132" s="22">
        <v>0</v>
      </c>
      <c r="K132" s="22">
        <v>0</v>
      </c>
      <c r="L132" s="22">
        <v>0</v>
      </c>
      <c r="M132" s="22">
        <v>10</v>
      </c>
      <c r="N132" s="22">
        <v>210677.38999999998</v>
      </c>
      <c r="O132" s="22">
        <v>45</v>
      </c>
      <c r="P132" s="22">
        <v>1851243.9500000002</v>
      </c>
      <c r="Q132" s="29">
        <v>421.62597000000005</v>
      </c>
      <c r="R132" s="8">
        <v>401</v>
      </c>
      <c r="S132" s="8">
        <f>+VLOOKUP(B132,[1]Лист2!$A$4:$B$188,2,0)</f>
        <v>41</v>
      </c>
      <c r="T132" s="8">
        <v>21335348.050000012</v>
      </c>
      <c r="U132" s="8">
        <f>+VLOOKUP(B132,[1]Лист2!$A$4:$C$188,3,0)</f>
        <v>1676998.49</v>
      </c>
      <c r="V132" s="30">
        <f t="shared" si="49"/>
        <v>41</v>
      </c>
      <c r="W132" s="30">
        <f t="shared" si="50"/>
        <v>1676998.49</v>
      </c>
      <c r="X132" s="30">
        <f t="shared" si="51"/>
        <v>401</v>
      </c>
      <c r="Y132" s="30">
        <f t="shared" si="52"/>
        <v>21335348.050000012</v>
      </c>
      <c r="Z132" s="30">
        <f t="shared" si="73"/>
        <v>54.666666666666664</v>
      </c>
      <c r="AA132" s="30">
        <f t="shared" si="74"/>
        <v>2235997.9866666668</v>
      </c>
      <c r="AB132" s="30">
        <v>534.66666666666663</v>
      </c>
      <c r="AC132" s="30">
        <v>28447130.733333349</v>
      </c>
      <c r="AD132" s="8">
        <v>88</v>
      </c>
      <c r="AE132" s="8">
        <v>29</v>
      </c>
      <c r="AF132" s="8">
        <v>3410406.5600000005</v>
      </c>
      <c r="AG132" s="8">
        <v>967909.6399999999</v>
      </c>
      <c r="AH132" s="23">
        <f t="shared" si="53"/>
        <v>29</v>
      </c>
      <c r="AI132" s="23">
        <f t="shared" si="54"/>
        <v>967909.6399999999</v>
      </c>
      <c r="AJ132" s="23">
        <f t="shared" si="55"/>
        <v>88</v>
      </c>
      <c r="AK132" s="23">
        <f t="shared" si="56"/>
        <v>3410406.5600000005</v>
      </c>
      <c r="AL132" s="8">
        <v>29</v>
      </c>
      <c r="AM132" s="8">
        <v>967909.6399999999</v>
      </c>
      <c r="AN132" s="8">
        <v>88</v>
      </c>
      <c r="AO132" s="8">
        <v>3410406.5600000005</v>
      </c>
      <c r="AP132" s="26">
        <v>418.87108999999998</v>
      </c>
      <c r="AQ132" s="13"/>
      <c r="AR132" s="14"/>
      <c r="AS132" s="13"/>
      <c r="AT132" s="13"/>
      <c r="AU132" s="13"/>
      <c r="AV132" s="13"/>
      <c r="AW132" s="13"/>
      <c r="AX132" s="13"/>
    </row>
    <row r="133" spans="2:50">
      <c r="B133" s="12">
        <v>1036</v>
      </c>
      <c r="C133" s="11" t="s">
        <v>13</v>
      </c>
      <c r="D133" s="11" t="s">
        <v>143</v>
      </c>
      <c r="E133" s="25">
        <v>39</v>
      </c>
      <c r="F133" s="25">
        <v>6</v>
      </c>
      <c r="G133" s="25">
        <v>1086553.05</v>
      </c>
      <c r="H133" s="25">
        <v>32382.200000000004</v>
      </c>
      <c r="I133" s="39">
        <v>0</v>
      </c>
      <c r="J133" s="22">
        <v>0</v>
      </c>
      <c r="K133" s="22">
        <v>0</v>
      </c>
      <c r="L133" s="22">
        <v>0</v>
      </c>
      <c r="M133" s="22">
        <v>6</v>
      </c>
      <c r="N133" s="22">
        <v>32382.200000000004</v>
      </c>
      <c r="O133" s="22">
        <v>39</v>
      </c>
      <c r="P133" s="22">
        <v>1086553.05</v>
      </c>
      <c r="Q133" s="29">
        <v>88.18113000000001</v>
      </c>
      <c r="R133" s="8">
        <v>63</v>
      </c>
      <c r="S133" s="8">
        <f>+VLOOKUP(B133,[1]Лист2!$A$4:$B$188,2,0)</f>
        <v>10</v>
      </c>
      <c r="T133" s="8">
        <v>3232771.8099999996</v>
      </c>
      <c r="U133" s="8">
        <f>+VLOOKUP(B133,[1]Лист2!$A$4:$C$188,3,0)</f>
        <v>341172.95999999996</v>
      </c>
      <c r="V133" s="30">
        <f t="shared" si="49"/>
        <v>10</v>
      </c>
      <c r="W133" s="30">
        <f t="shared" si="50"/>
        <v>341172.95999999996</v>
      </c>
      <c r="X133" s="30">
        <f t="shared" si="51"/>
        <v>63</v>
      </c>
      <c r="Y133" s="30">
        <f t="shared" si="52"/>
        <v>3232771.8099999996</v>
      </c>
      <c r="Z133" s="30">
        <f t="shared" si="73"/>
        <v>13.333333333333334</v>
      </c>
      <c r="AA133" s="30">
        <f t="shared" si="74"/>
        <v>454897.27999999997</v>
      </c>
      <c r="AB133" s="30">
        <v>84</v>
      </c>
      <c r="AC133" s="30">
        <v>4310362.4133333331</v>
      </c>
      <c r="AD133" s="8">
        <v>37</v>
      </c>
      <c r="AE133" s="8">
        <v>19</v>
      </c>
      <c r="AF133" s="8">
        <v>1515108.7000000002</v>
      </c>
      <c r="AG133" s="8">
        <v>280480.58</v>
      </c>
      <c r="AH133" s="23">
        <f t="shared" si="53"/>
        <v>19</v>
      </c>
      <c r="AI133" s="23">
        <f t="shared" si="54"/>
        <v>280480.58</v>
      </c>
      <c r="AJ133" s="23">
        <f t="shared" si="55"/>
        <v>37</v>
      </c>
      <c r="AK133" s="23">
        <f t="shared" si="56"/>
        <v>1515108.7000000002</v>
      </c>
      <c r="AL133" s="8">
        <v>19</v>
      </c>
      <c r="AM133" s="8">
        <v>280480.58</v>
      </c>
      <c r="AN133" s="8">
        <v>37</v>
      </c>
      <c r="AO133" s="8">
        <v>1515108.7000000002</v>
      </c>
      <c r="AP133" s="26">
        <v>32.103010000000005</v>
      </c>
      <c r="AQ133" s="13"/>
      <c r="AR133" s="14"/>
      <c r="AS133" s="13"/>
      <c r="AT133" s="13"/>
      <c r="AU133" s="13"/>
      <c r="AV133" s="13"/>
      <c r="AW133" s="8"/>
      <c r="AX133" s="8"/>
    </row>
    <row r="134" spans="2:50">
      <c r="B134" s="12">
        <v>1067</v>
      </c>
      <c r="C134" s="11" t="s">
        <v>13</v>
      </c>
      <c r="D134" s="11" t="s">
        <v>143</v>
      </c>
      <c r="E134" s="25">
        <v>137</v>
      </c>
      <c r="F134" s="25">
        <v>77</v>
      </c>
      <c r="G134" s="25">
        <v>11708794.41</v>
      </c>
      <c r="H134" s="25">
        <v>1173592.6000000001</v>
      </c>
      <c r="I134" s="39">
        <v>0</v>
      </c>
      <c r="J134" s="22">
        <v>0</v>
      </c>
      <c r="K134" s="22">
        <v>0</v>
      </c>
      <c r="L134" s="22">
        <v>0</v>
      </c>
      <c r="M134" s="22">
        <v>77</v>
      </c>
      <c r="N134" s="22">
        <v>1173592.6000000001</v>
      </c>
      <c r="O134" s="22">
        <v>137</v>
      </c>
      <c r="P134" s="22">
        <v>11708794.41</v>
      </c>
      <c r="Q134" s="29">
        <v>822.31357999999977</v>
      </c>
      <c r="R134" s="8">
        <v>193</v>
      </c>
      <c r="S134" s="8">
        <f>+VLOOKUP(B134,[1]Лист2!$A$4:$B$188,2,0)</f>
        <v>99</v>
      </c>
      <c r="T134" s="8">
        <v>51621148.800000034</v>
      </c>
      <c r="U134" s="8">
        <f>+VLOOKUP(B134,[1]Лист2!$A$4:$C$188,3,0)</f>
        <v>2030668.6299999997</v>
      </c>
      <c r="V134" s="30">
        <f t="shared" si="49"/>
        <v>99</v>
      </c>
      <c r="W134" s="30">
        <f t="shared" si="50"/>
        <v>2030668.6299999997</v>
      </c>
      <c r="X134" s="30">
        <f t="shared" si="51"/>
        <v>193</v>
      </c>
      <c r="Y134" s="30">
        <f t="shared" si="52"/>
        <v>51621148.800000034</v>
      </c>
      <c r="Z134" s="30">
        <f t="shared" si="73"/>
        <v>132</v>
      </c>
      <c r="AA134" s="30">
        <f t="shared" si="74"/>
        <v>2707558.1733333329</v>
      </c>
      <c r="AB134" s="30">
        <v>257.33333333333331</v>
      </c>
      <c r="AC134" s="30">
        <v>68828198.400000051</v>
      </c>
      <c r="AD134" s="8">
        <v>205</v>
      </c>
      <c r="AE134" s="8">
        <v>112</v>
      </c>
      <c r="AF134" s="8">
        <v>79767776.939999983</v>
      </c>
      <c r="AG134" s="8">
        <v>3227730.9499999997</v>
      </c>
      <c r="AH134" s="23">
        <f t="shared" si="53"/>
        <v>112</v>
      </c>
      <c r="AI134" s="23">
        <f t="shared" si="54"/>
        <v>3227730.9499999997</v>
      </c>
      <c r="AJ134" s="23">
        <f t="shared" si="55"/>
        <v>205</v>
      </c>
      <c r="AK134" s="23">
        <f t="shared" si="56"/>
        <v>79767776.939999983</v>
      </c>
      <c r="AL134" s="8">
        <v>112</v>
      </c>
      <c r="AM134" s="8">
        <v>3227730.9499999997</v>
      </c>
      <c r="AN134" s="8">
        <v>205</v>
      </c>
      <c r="AO134" s="8">
        <v>79767776.939999983</v>
      </c>
      <c r="AP134" s="26">
        <v>3396.3085000000005</v>
      </c>
      <c r="AQ134" s="13"/>
      <c r="AR134" s="14"/>
      <c r="AS134" s="13"/>
      <c r="AT134" s="13"/>
      <c r="AU134" s="13"/>
      <c r="AV134" s="13"/>
      <c r="AW134" s="8"/>
      <c r="AX134" s="8"/>
    </row>
    <row r="135" spans="2:50">
      <c r="B135" s="12">
        <v>1101</v>
      </c>
      <c r="C135" s="11" t="s">
        <v>13</v>
      </c>
      <c r="D135" s="11" t="s">
        <v>143</v>
      </c>
      <c r="E135" s="25">
        <v>88</v>
      </c>
      <c r="F135" s="25">
        <v>72</v>
      </c>
      <c r="G135" s="25">
        <v>3947086.2800000003</v>
      </c>
      <c r="H135" s="25">
        <v>3260940.8499999996</v>
      </c>
      <c r="I135" s="39">
        <v>0</v>
      </c>
      <c r="J135" s="22">
        <v>0</v>
      </c>
      <c r="K135" s="22">
        <v>0</v>
      </c>
      <c r="L135" s="22">
        <v>0</v>
      </c>
      <c r="M135" s="22">
        <v>72</v>
      </c>
      <c r="N135" s="22">
        <v>3260940.8499999996</v>
      </c>
      <c r="O135" s="22">
        <v>88</v>
      </c>
      <c r="P135" s="22">
        <v>3947086.2800000003</v>
      </c>
      <c r="Q135" s="29">
        <v>156.33796000000001</v>
      </c>
      <c r="R135" s="8">
        <v>96</v>
      </c>
      <c r="S135" s="8">
        <f>+VLOOKUP(B135,[1]Лист2!$A$4:$B$188,2,0)</f>
        <v>60</v>
      </c>
      <c r="T135" s="8">
        <v>4453767.09</v>
      </c>
      <c r="U135" s="8">
        <f>+VLOOKUP(B135,[1]Лист2!$A$4:$C$188,3,0)</f>
        <v>1564347.1699999995</v>
      </c>
      <c r="V135" s="30">
        <f t="shared" si="49"/>
        <v>60</v>
      </c>
      <c r="W135" s="30">
        <f t="shared" si="50"/>
        <v>1564347.1699999995</v>
      </c>
      <c r="X135" s="30">
        <f t="shared" si="51"/>
        <v>96</v>
      </c>
      <c r="Y135" s="30">
        <f t="shared" si="52"/>
        <v>4453767.09</v>
      </c>
      <c r="Z135" s="30">
        <f t="shared" si="73"/>
        <v>80</v>
      </c>
      <c r="AA135" s="30">
        <f t="shared" si="74"/>
        <v>2085796.2266666659</v>
      </c>
      <c r="AB135" s="30">
        <v>128</v>
      </c>
      <c r="AC135" s="30">
        <v>5938356.1200000001</v>
      </c>
      <c r="AD135" s="8">
        <v>77</v>
      </c>
      <c r="AE135" s="8">
        <v>65</v>
      </c>
      <c r="AF135" s="8">
        <v>4582682.419999999</v>
      </c>
      <c r="AG135" s="8">
        <v>1440297.59</v>
      </c>
      <c r="AH135" s="23">
        <f t="shared" si="53"/>
        <v>65</v>
      </c>
      <c r="AI135" s="23">
        <f t="shared" si="54"/>
        <v>1440297.59</v>
      </c>
      <c r="AJ135" s="23">
        <f t="shared" si="55"/>
        <v>77</v>
      </c>
      <c r="AK135" s="23">
        <f t="shared" si="56"/>
        <v>4582682.419999999</v>
      </c>
      <c r="AL135" s="8">
        <v>65</v>
      </c>
      <c r="AM135" s="8">
        <v>1440297.59</v>
      </c>
      <c r="AN135" s="8">
        <v>77</v>
      </c>
      <c r="AO135" s="8">
        <v>4582682.419999999</v>
      </c>
      <c r="AP135" s="26">
        <v>249.92247</v>
      </c>
      <c r="AQ135" s="13"/>
      <c r="AR135" s="14"/>
      <c r="AS135" s="13"/>
      <c r="AT135" s="13"/>
      <c r="AU135" s="13"/>
      <c r="AV135" s="13"/>
      <c r="AW135" s="13"/>
      <c r="AX135" s="13"/>
    </row>
    <row r="136" spans="2:50">
      <c r="B136" s="12">
        <v>1145</v>
      </c>
      <c r="C136" s="11" t="s">
        <v>13</v>
      </c>
      <c r="D136" s="11" t="s">
        <v>143</v>
      </c>
      <c r="E136" s="25">
        <v>40</v>
      </c>
      <c r="F136" s="25">
        <v>41</v>
      </c>
      <c r="G136" s="25">
        <v>3983955.6100000003</v>
      </c>
      <c r="H136" s="25">
        <v>2010235.5599999998</v>
      </c>
      <c r="I136" s="39">
        <v>0</v>
      </c>
      <c r="J136" s="22">
        <v>0</v>
      </c>
      <c r="K136" s="22">
        <v>0</v>
      </c>
      <c r="L136" s="22">
        <v>0</v>
      </c>
      <c r="M136" s="22">
        <v>41</v>
      </c>
      <c r="N136" s="22">
        <v>2010235.5599999998</v>
      </c>
      <c r="O136" s="22">
        <v>40</v>
      </c>
      <c r="P136" s="22">
        <v>3983955.6100000003</v>
      </c>
      <c r="Q136" s="29">
        <v>3104.2028700000005</v>
      </c>
      <c r="R136" s="8">
        <v>69</v>
      </c>
      <c r="S136" s="8">
        <f>+VLOOKUP(B136,[1]Лист2!$A$4:$B$188,2,0)</f>
        <v>64</v>
      </c>
      <c r="T136" s="8">
        <v>6620689.5900000008</v>
      </c>
      <c r="U136" s="8">
        <f>+VLOOKUP(B136,[1]Лист2!$A$4:$C$188,3,0)</f>
        <v>2173247.4100000006</v>
      </c>
      <c r="V136" s="30">
        <f t="shared" ref="V136:V199" si="75">+S136</f>
        <v>64</v>
      </c>
      <c r="W136" s="30">
        <f t="shared" ref="W136:W199" si="76">+U136</f>
        <v>2173247.4100000006</v>
      </c>
      <c r="X136" s="30">
        <f t="shared" ref="X136:X199" si="77">+R136</f>
        <v>69</v>
      </c>
      <c r="Y136" s="30">
        <f t="shared" ref="Y136:Y199" si="78">+T136</f>
        <v>6620689.5900000008</v>
      </c>
      <c r="Z136" s="30">
        <f t="shared" si="73"/>
        <v>85.333333333333329</v>
      </c>
      <c r="AA136" s="30">
        <f t="shared" si="74"/>
        <v>2897663.2133333343</v>
      </c>
      <c r="AB136" s="30">
        <v>92</v>
      </c>
      <c r="AC136" s="30">
        <v>8827586.120000001</v>
      </c>
      <c r="AD136" s="8">
        <v>79</v>
      </c>
      <c r="AE136" s="8">
        <v>65</v>
      </c>
      <c r="AF136" s="8">
        <v>6908867.3799999999</v>
      </c>
      <c r="AG136" s="8">
        <v>4085760.2199999997</v>
      </c>
      <c r="AH136" s="23">
        <f t="shared" ref="AH136:AH199" si="79">+AE136</f>
        <v>65</v>
      </c>
      <c r="AI136" s="23">
        <f t="shared" ref="AI136:AI199" si="80">+AG136</f>
        <v>4085760.2199999997</v>
      </c>
      <c r="AJ136" s="23">
        <f t="shared" ref="AJ136:AJ199" si="81">+AD136</f>
        <v>79</v>
      </c>
      <c r="AK136" s="23">
        <f t="shared" ref="AK136:AK199" si="82">+AF136</f>
        <v>6908867.3799999999</v>
      </c>
      <c r="AL136" s="8">
        <v>65</v>
      </c>
      <c r="AM136" s="8">
        <v>4085760.2199999997</v>
      </c>
      <c r="AN136" s="8">
        <v>79</v>
      </c>
      <c r="AO136" s="8">
        <v>6908867.3799999999</v>
      </c>
      <c r="AP136" s="26">
        <v>1584.3819800000003</v>
      </c>
      <c r="AQ136" s="13"/>
      <c r="AR136" s="14"/>
      <c r="AS136" s="13"/>
      <c r="AT136" s="13"/>
      <c r="AU136" s="13"/>
      <c r="AV136" s="13"/>
      <c r="AW136" s="13"/>
      <c r="AX136" s="13"/>
    </row>
    <row r="137" spans="2:50">
      <c r="B137" s="12">
        <v>408</v>
      </c>
      <c r="C137" s="11" t="s">
        <v>16</v>
      </c>
      <c r="D137" s="11" t="s">
        <v>144</v>
      </c>
      <c r="E137" s="25">
        <v>57</v>
      </c>
      <c r="F137" s="25">
        <v>10</v>
      </c>
      <c r="G137" s="25">
        <v>1796458.6699999997</v>
      </c>
      <c r="H137" s="25">
        <v>162644.70000000001</v>
      </c>
      <c r="I137" s="39">
        <v>0</v>
      </c>
      <c r="J137" s="22">
        <v>0</v>
      </c>
      <c r="K137" s="22">
        <v>0</v>
      </c>
      <c r="L137" s="22">
        <v>0</v>
      </c>
      <c r="M137" s="22">
        <v>10</v>
      </c>
      <c r="N137" s="22">
        <v>162644.70000000001</v>
      </c>
      <c r="O137" s="22">
        <v>57</v>
      </c>
      <c r="P137" s="22">
        <v>1796458.6699999997</v>
      </c>
      <c r="Q137" s="29">
        <v>8719.9355099999993</v>
      </c>
      <c r="R137" s="8">
        <v>49</v>
      </c>
      <c r="S137" s="8">
        <f>+VLOOKUP(B137,[1]Лист2!$A$4:$B$188,2,0)</f>
        <v>8</v>
      </c>
      <c r="T137" s="8">
        <v>1475702.38</v>
      </c>
      <c r="U137" s="8">
        <f>+VLOOKUP(B137,[1]Лист2!$A$4:$C$188,3,0)</f>
        <v>126118.54999999999</v>
      </c>
      <c r="V137" s="30">
        <f t="shared" si="75"/>
        <v>8</v>
      </c>
      <c r="W137" s="30">
        <f t="shared" si="76"/>
        <v>126118.54999999999</v>
      </c>
      <c r="X137" s="30">
        <f t="shared" si="77"/>
        <v>49</v>
      </c>
      <c r="Y137" s="30">
        <f t="shared" si="78"/>
        <v>1475702.38</v>
      </c>
      <c r="Z137" s="30">
        <v>0</v>
      </c>
      <c r="AA137" s="30">
        <v>0</v>
      </c>
      <c r="AB137" s="30">
        <v>0</v>
      </c>
      <c r="AC137" s="30">
        <v>0</v>
      </c>
      <c r="AD137" s="8">
        <v>27</v>
      </c>
      <c r="AE137" s="8">
        <v>7</v>
      </c>
      <c r="AF137" s="8">
        <v>462823.45999999996</v>
      </c>
      <c r="AG137" s="8">
        <v>104669.75999999998</v>
      </c>
      <c r="AH137" s="23">
        <f t="shared" si="79"/>
        <v>7</v>
      </c>
      <c r="AI137" s="23">
        <f t="shared" si="80"/>
        <v>104669.75999999998</v>
      </c>
      <c r="AJ137" s="23">
        <f t="shared" si="81"/>
        <v>27</v>
      </c>
      <c r="AK137" s="23">
        <f t="shared" si="82"/>
        <v>462823.45999999996</v>
      </c>
      <c r="AL137" s="32">
        <v>0</v>
      </c>
      <c r="AM137" s="32">
        <v>0</v>
      </c>
      <c r="AN137" s="32">
        <v>0</v>
      </c>
      <c r="AO137" s="32">
        <v>0</v>
      </c>
      <c r="AP137" s="26">
        <v>8975.1138400000036</v>
      </c>
      <c r="AQ137" s="13"/>
      <c r="AR137" s="14"/>
      <c r="AS137" s="13">
        <v>0</v>
      </c>
      <c r="AT137" s="13"/>
      <c r="AU137" s="13"/>
      <c r="AV137" s="13"/>
      <c r="AW137" s="13"/>
      <c r="AX137" s="13"/>
    </row>
    <row r="138" spans="2:50">
      <c r="B138" s="12">
        <v>419</v>
      </c>
      <c r="C138" s="11" t="s">
        <v>16</v>
      </c>
      <c r="D138" s="11" t="s">
        <v>144</v>
      </c>
      <c r="E138" s="25">
        <v>129</v>
      </c>
      <c r="F138" s="25">
        <v>248</v>
      </c>
      <c r="G138" s="25">
        <v>3508623.709999999</v>
      </c>
      <c r="H138" s="25">
        <v>4213702.8599999994</v>
      </c>
      <c r="I138" s="39">
        <v>0</v>
      </c>
      <c r="J138" s="22">
        <v>0</v>
      </c>
      <c r="K138" s="22">
        <v>0</v>
      </c>
      <c r="L138" s="22">
        <v>0</v>
      </c>
      <c r="M138" s="22">
        <v>248</v>
      </c>
      <c r="N138" s="22">
        <v>4213702.8599999994</v>
      </c>
      <c r="O138" s="22">
        <v>129</v>
      </c>
      <c r="P138" s="22">
        <v>3508623.709999999</v>
      </c>
      <c r="Q138" s="29">
        <v>1367.1962400000002</v>
      </c>
      <c r="R138" s="8">
        <v>159</v>
      </c>
      <c r="S138" s="8">
        <f>+VLOOKUP(B138,[1]Лист2!$A$4:$B$188,2,0)</f>
        <v>241</v>
      </c>
      <c r="T138" s="8">
        <v>5656303.919999999</v>
      </c>
      <c r="U138" s="8">
        <f>+VLOOKUP(B138,[1]Лист2!$A$4:$C$188,3,0)</f>
        <v>4557814.8499999996</v>
      </c>
      <c r="V138" s="30">
        <f t="shared" si="75"/>
        <v>241</v>
      </c>
      <c r="W138" s="30">
        <f t="shared" si="76"/>
        <v>4557814.8499999996</v>
      </c>
      <c r="X138" s="30">
        <f t="shared" si="77"/>
        <v>159</v>
      </c>
      <c r="Y138" s="30">
        <f t="shared" si="78"/>
        <v>5656303.919999999</v>
      </c>
      <c r="Z138" s="30">
        <f t="shared" ref="Z138:Z169" si="83">((+S138)/3)*4</f>
        <v>321.33333333333331</v>
      </c>
      <c r="AA138" s="30">
        <f t="shared" ref="AA138:AA169" si="84">((+U138)/3)*4</f>
        <v>6077086.4666666659</v>
      </c>
      <c r="AB138" s="30">
        <v>212</v>
      </c>
      <c r="AC138" s="30">
        <v>7541738.5599999987</v>
      </c>
      <c r="AD138" s="8">
        <v>100</v>
      </c>
      <c r="AE138" s="8">
        <v>224</v>
      </c>
      <c r="AF138" s="8">
        <v>4434557.67</v>
      </c>
      <c r="AG138" s="8">
        <v>3141252.85</v>
      </c>
      <c r="AH138" s="23">
        <f t="shared" si="79"/>
        <v>224</v>
      </c>
      <c r="AI138" s="23">
        <f t="shared" si="80"/>
        <v>3141252.85</v>
      </c>
      <c r="AJ138" s="23">
        <f t="shared" si="81"/>
        <v>100</v>
      </c>
      <c r="AK138" s="23">
        <f t="shared" si="82"/>
        <v>4434557.67</v>
      </c>
      <c r="AL138" s="8">
        <v>224</v>
      </c>
      <c r="AM138" s="8">
        <v>3141252.85</v>
      </c>
      <c r="AN138" s="8">
        <v>100</v>
      </c>
      <c r="AO138" s="8">
        <v>4434557.67</v>
      </c>
      <c r="AP138" s="26">
        <v>980.19686000000013</v>
      </c>
      <c r="AQ138" s="13"/>
      <c r="AR138" s="14"/>
      <c r="AS138" s="13"/>
      <c r="AT138" s="13"/>
      <c r="AU138" s="13"/>
      <c r="AV138" s="13"/>
      <c r="AW138" s="13"/>
      <c r="AX138" s="13"/>
    </row>
    <row r="139" spans="2:50">
      <c r="B139" s="12">
        <v>420</v>
      </c>
      <c r="C139" s="11" t="s">
        <v>16</v>
      </c>
      <c r="D139" s="11" t="s">
        <v>144</v>
      </c>
      <c r="E139" s="25">
        <v>69</v>
      </c>
      <c r="F139" s="25">
        <v>4</v>
      </c>
      <c r="G139" s="25">
        <v>3852374.36</v>
      </c>
      <c r="H139" s="25">
        <v>736408.97</v>
      </c>
      <c r="I139" s="39">
        <v>0</v>
      </c>
      <c r="J139" s="22">
        <v>0</v>
      </c>
      <c r="K139" s="22">
        <v>0</v>
      </c>
      <c r="L139" s="22">
        <v>0</v>
      </c>
      <c r="M139" s="22">
        <v>4</v>
      </c>
      <c r="N139" s="22">
        <v>736408.97</v>
      </c>
      <c r="O139" s="22">
        <v>69</v>
      </c>
      <c r="P139" s="22">
        <v>3852374.36</v>
      </c>
      <c r="Q139" s="29">
        <v>1063.07942</v>
      </c>
      <c r="R139" s="8">
        <v>88</v>
      </c>
      <c r="S139" s="8">
        <f>+VLOOKUP(B139,[1]Лист2!$A$4:$B$188,2,0)</f>
        <v>18</v>
      </c>
      <c r="T139" s="8">
        <v>2389202.09</v>
      </c>
      <c r="U139" s="8">
        <f>+VLOOKUP(B139,[1]Лист2!$A$4:$C$188,3,0)</f>
        <v>3678662.3</v>
      </c>
      <c r="V139" s="30">
        <f t="shared" si="75"/>
        <v>18</v>
      </c>
      <c r="W139" s="30">
        <f t="shared" si="76"/>
        <v>3678662.3</v>
      </c>
      <c r="X139" s="30">
        <f t="shared" si="77"/>
        <v>88</v>
      </c>
      <c r="Y139" s="30">
        <f t="shared" si="78"/>
        <v>2389202.09</v>
      </c>
      <c r="Z139" s="30">
        <f t="shared" si="83"/>
        <v>24</v>
      </c>
      <c r="AA139" s="30">
        <f t="shared" si="84"/>
        <v>4904883.0666666664</v>
      </c>
      <c r="AB139" s="30">
        <v>117.33333333333333</v>
      </c>
      <c r="AC139" s="30">
        <v>3185602.7866666666</v>
      </c>
      <c r="AD139" s="8">
        <v>50</v>
      </c>
      <c r="AE139" s="8">
        <v>9</v>
      </c>
      <c r="AF139" s="8">
        <v>2122339.13</v>
      </c>
      <c r="AG139" s="8">
        <v>217606.32</v>
      </c>
      <c r="AH139" s="23">
        <f t="shared" si="79"/>
        <v>9</v>
      </c>
      <c r="AI139" s="23">
        <f t="shared" si="80"/>
        <v>217606.32</v>
      </c>
      <c r="AJ139" s="23">
        <f t="shared" si="81"/>
        <v>50</v>
      </c>
      <c r="AK139" s="23">
        <f t="shared" si="82"/>
        <v>2122339.13</v>
      </c>
      <c r="AL139" s="8">
        <v>9</v>
      </c>
      <c r="AM139" s="8">
        <v>217606.32</v>
      </c>
      <c r="AN139" s="8">
        <v>50</v>
      </c>
      <c r="AO139" s="8">
        <v>2122339.13</v>
      </c>
      <c r="AP139" s="26">
        <v>216.82390000000001</v>
      </c>
      <c r="AQ139" s="13"/>
      <c r="AR139" s="14"/>
      <c r="AS139" s="13"/>
      <c r="AT139" s="13"/>
      <c r="AU139" s="13"/>
      <c r="AV139" s="13"/>
      <c r="AW139" s="8"/>
      <c r="AX139" s="8"/>
    </row>
    <row r="140" spans="2:50">
      <c r="B140" s="12">
        <v>423</v>
      </c>
      <c r="C140" s="11" t="s">
        <v>16</v>
      </c>
      <c r="D140" s="11" t="s">
        <v>144</v>
      </c>
      <c r="E140" s="25">
        <v>1203</v>
      </c>
      <c r="F140" s="25">
        <v>50</v>
      </c>
      <c r="G140" s="25">
        <v>79973947.640000015</v>
      </c>
      <c r="H140" s="25">
        <v>1619750.3299999996</v>
      </c>
      <c r="I140" s="39">
        <v>0</v>
      </c>
      <c r="J140" s="22">
        <v>0</v>
      </c>
      <c r="K140" s="22">
        <v>0</v>
      </c>
      <c r="L140" s="22">
        <v>0</v>
      </c>
      <c r="M140" s="22">
        <v>50</v>
      </c>
      <c r="N140" s="22">
        <v>1619750.3299999996</v>
      </c>
      <c r="O140" s="22">
        <v>1203</v>
      </c>
      <c r="P140" s="22">
        <v>79973947.640000015</v>
      </c>
      <c r="Q140" s="29">
        <v>67384.937700000068</v>
      </c>
      <c r="R140" s="8">
        <v>1029</v>
      </c>
      <c r="S140" s="8">
        <f>+VLOOKUP(B140,[1]Лист2!$A$4:$B$188,2,0)</f>
        <v>56</v>
      </c>
      <c r="T140" s="8">
        <v>89173367.680000022</v>
      </c>
      <c r="U140" s="8">
        <f>+VLOOKUP(B140,[1]Лист2!$A$4:$C$188,3,0)</f>
        <v>918575.31999999983</v>
      </c>
      <c r="V140" s="30">
        <f t="shared" si="75"/>
        <v>56</v>
      </c>
      <c r="W140" s="30">
        <f t="shared" si="76"/>
        <v>918575.31999999983</v>
      </c>
      <c r="X140" s="30">
        <f t="shared" si="77"/>
        <v>1029</v>
      </c>
      <c r="Y140" s="30">
        <f t="shared" si="78"/>
        <v>89173367.680000022</v>
      </c>
      <c r="Z140" s="30">
        <f t="shared" si="83"/>
        <v>74.666666666666671</v>
      </c>
      <c r="AA140" s="30">
        <f t="shared" si="84"/>
        <v>1224767.093333333</v>
      </c>
      <c r="AB140" s="30">
        <v>1372</v>
      </c>
      <c r="AC140" s="30">
        <v>118897823.57333337</v>
      </c>
      <c r="AD140" s="8">
        <v>1015</v>
      </c>
      <c r="AE140" s="8">
        <v>58</v>
      </c>
      <c r="AF140" s="8">
        <v>76894914.060000002</v>
      </c>
      <c r="AG140" s="8">
        <v>1798684.43</v>
      </c>
      <c r="AH140" s="23">
        <f t="shared" si="79"/>
        <v>58</v>
      </c>
      <c r="AI140" s="23">
        <f t="shared" si="80"/>
        <v>1798684.43</v>
      </c>
      <c r="AJ140" s="23">
        <f t="shared" si="81"/>
        <v>1015</v>
      </c>
      <c r="AK140" s="23">
        <f t="shared" si="82"/>
        <v>76894914.060000002</v>
      </c>
      <c r="AL140" s="8">
        <v>58</v>
      </c>
      <c r="AM140" s="8">
        <v>1798684.43</v>
      </c>
      <c r="AN140" s="8">
        <v>1015</v>
      </c>
      <c r="AO140" s="8">
        <v>76894914.060000002</v>
      </c>
      <c r="AP140" s="26">
        <v>119431.80641000027</v>
      </c>
      <c r="AQ140" s="13"/>
      <c r="AR140" s="14"/>
      <c r="AS140" s="13"/>
      <c r="AT140" s="13"/>
      <c r="AU140" s="13"/>
      <c r="AV140" s="13"/>
      <c r="AW140" s="13"/>
      <c r="AX140" s="13"/>
    </row>
    <row r="141" spans="2:50">
      <c r="B141" s="12">
        <v>425</v>
      </c>
      <c r="C141" s="11" t="s">
        <v>16</v>
      </c>
      <c r="D141" s="11" t="s">
        <v>144</v>
      </c>
      <c r="E141" s="25">
        <v>96</v>
      </c>
      <c r="F141" s="25">
        <v>9</v>
      </c>
      <c r="G141" s="25">
        <v>3674237.08</v>
      </c>
      <c r="H141" s="25">
        <v>742627.62</v>
      </c>
      <c r="I141" s="39">
        <v>0</v>
      </c>
      <c r="J141" s="22">
        <v>0</v>
      </c>
      <c r="K141" s="22">
        <v>0</v>
      </c>
      <c r="L141" s="22">
        <v>0</v>
      </c>
      <c r="M141" s="22">
        <v>9</v>
      </c>
      <c r="N141" s="22">
        <v>742627.62</v>
      </c>
      <c r="O141" s="22">
        <v>96</v>
      </c>
      <c r="P141" s="22">
        <v>3674237.08</v>
      </c>
      <c r="Q141" s="29">
        <v>302.48356999999999</v>
      </c>
      <c r="R141" s="8">
        <v>122</v>
      </c>
      <c r="S141" s="8">
        <f>+VLOOKUP(B141,[1]Лист2!$A$4:$B$188,2,0)</f>
        <v>16</v>
      </c>
      <c r="T141" s="8">
        <v>9336661.3099999987</v>
      </c>
      <c r="U141" s="8">
        <f>+VLOOKUP(B141,[1]Лист2!$A$4:$C$188,3,0)</f>
        <v>914369.82000000007</v>
      </c>
      <c r="V141" s="30">
        <f t="shared" si="75"/>
        <v>16</v>
      </c>
      <c r="W141" s="30">
        <f t="shared" si="76"/>
        <v>914369.82000000007</v>
      </c>
      <c r="X141" s="30">
        <f t="shared" si="77"/>
        <v>122</v>
      </c>
      <c r="Y141" s="30">
        <f t="shared" si="78"/>
        <v>9336661.3099999987</v>
      </c>
      <c r="Z141" s="30">
        <f t="shared" si="83"/>
        <v>21.333333333333332</v>
      </c>
      <c r="AA141" s="30">
        <f t="shared" si="84"/>
        <v>1219159.76</v>
      </c>
      <c r="AB141" s="30">
        <v>162.66666666666666</v>
      </c>
      <c r="AC141" s="30">
        <v>12448881.746666664</v>
      </c>
      <c r="AD141" s="8">
        <v>88</v>
      </c>
      <c r="AE141" s="8">
        <v>17</v>
      </c>
      <c r="AF141" s="8">
        <v>5691845.8500000006</v>
      </c>
      <c r="AG141" s="8">
        <v>197528.95999999999</v>
      </c>
      <c r="AH141" s="23">
        <f t="shared" si="79"/>
        <v>17</v>
      </c>
      <c r="AI141" s="23">
        <f t="shared" si="80"/>
        <v>197528.95999999999</v>
      </c>
      <c r="AJ141" s="23">
        <f t="shared" si="81"/>
        <v>88</v>
      </c>
      <c r="AK141" s="23">
        <f t="shared" si="82"/>
        <v>5691845.8500000006</v>
      </c>
      <c r="AL141" s="8">
        <v>17</v>
      </c>
      <c r="AM141" s="8">
        <v>197528.95999999999</v>
      </c>
      <c r="AN141" s="8">
        <v>88</v>
      </c>
      <c r="AO141" s="8">
        <v>5691845.8500000006</v>
      </c>
      <c r="AP141" s="26">
        <v>850.39422000000002</v>
      </c>
      <c r="AQ141" s="13"/>
      <c r="AR141" s="14"/>
      <c r="AS141" s="13"/>
      <c r="AT141" s="13"/>
      <c r="AU141" s="13"/>
      <c r="AV141" s="13"/>
      <c r="AW141" s="8"/>
      <c r="AX141" s="8"/>
    </row>
    <row r="142" spans="2:50">
      <c r="B142" s="12">
        <v>837</v>
      </c>
      <c r="C142" s="11" t="s">
        <v>16</v>
      </c>
      <c r="D142" s="11" t="s">
        <v>144</v>
      </c>
      <c r="E142" s="25">
        <v>29</v>
      </c>
      <c r="F142" s="25">
        <v>14</v>
      </c>
      <c r="G142" s="25">
        <v>1438615.5899999999</v>
      </c>
      <c r="H142" s="25">
        <v>384183.72</v>
      </c>
      <c r="I142" s="39">
        <v>0</v>
      </c>
      <c r="J142" s="22">
        <v>0</v>
      </c>
      <c r="K142" s="22">
        <v>0</v>
      </c>
      <c r="L142" s="22">
        <v>0</v>
      </c>
      <c r="M142" s="22">
        <v>14</v>
      </c>
      <c r="N142" s="22">
        <v>384183.72</v>
      </c>
      <c r="O142" s="22">
        <v>29</v>
      </c>
      <c r="P142" s="22">
        <v>1438615.5899999999</v>
      </c>
      <c r="Q142" s="29">
        <v>6336.3662300000015</v>
      </c>
      <c r="R142" s="8">
        <v>33</v>
      </c>
      <c r="S142" s="8">
        <f>+VLOOKUP(B142,[1]Лист2!$A$4:$B$188,2,0)</f>
        <v>14</v>
      </c>
      <c r="T142" s="8">
        <v>1463340.81</v>
      </c>
      <c r="U142" s="8">
        <f>+VLOOKUP(B142,[1]Лист2!$A$4:$C$188,3,0)</f>
        <v>479858.5</v>
      </c>
      <c r="V142" s="30">
        <f t="shared" si="75"/>
        <v>14</v>
      </c>
      <c r="W142" s="30">
        <f t="shared" si="76"/>
        <v>479858.5</v>
      </c>
      <c r="X142" s="30">
        <f t="shared" si="77"/>
        <v>33</v>
      </c>
      <c r="Y142" s="30">
        <f t="shared" si="78"/>
        <v>1463340.81</v>
      </c>
      <c r="Z142" s="30">
        <f t="shared" si="83"/>
        <v>18.666666666666668</v>
      </c>
      <c r="AA142" s="30">
        <f t="shared" si="84"/>
        <v>639811.33333333337</v>
      </c>
      <c r="AB142" s="30">
        <v>44</v>
      </c>
      <c r="AC142" s="30">
        <v>1951121.08</v>
      </c>
      <c r="AD142" s="8">
        <v>16</v>
      </c>
      <c r="AE142" s="8">
        <v>14</v>
      </c>
      <c r="AF142" s="8">
        <v>449648.37</v>
      </c>
      <c r="AG142" s="8">
        <v>257371.22</v>
      </c>
      <c r="AH142" s="23">
        <f t="shared" si="79"/>
        <v>14</v>
      </c>
      <c r="AI142" s="23">
        <f t="shared" si="80"/>
        <v>257371.22</v>
      </c>
      <c r="AJ142" s="23">
        <f t="shared" si="81"/>
        <v>16</v>
      </c>
      <c r="AK142" s="23">
        <f t="shared" si="82"/>
        <v>449648.37</v>
      </c>
      <c r="AL142" s="8">
        <v>14</v>
      </c>
      <c r="AM142" s="8">
        <v>257371.22</v>
      </c>
      <c r="AN142" s="8">
        <v>16</v>
      </c>
      <c r="AO142" s="8">
        <v>449648.37</v>
      </c>
      <c r="AP142" s="26">
        <v>5590.7617</v>
      </c>
      <c r="AQ142" s="13"/>
      <c r="AR142" s="14"/>
      <c r="AS142" s="13"/>
      <c r="AT142" s="13"/>
      <c r="AU142" s="13"/>
      <c r="AV142" s="13"/>
      <c r="AW142" s="13"/>
      <c r="AX142" s="13"/>
    </row>
    <row r="143" spans="2:50">
      <c r="B143" s="12">
        <v>901</v>
      </c>
      <c r="C143" s="11" t="s">
        <v>16</v>
      </c>
      <c r="D143" s="11" t="s">
        <v>144</v>
      </c>
      <c r="E143" s="25">
        <v>88</v>
      </c>
      <c r="F143" s="25">
        <v>40</v>
      </c>
      <c r="G143" s="25">
        <v>6078996.3700000001</v>
      </c>
      <c r="H143" s="25">
        <v>1704592.2200000002</v>
      </c>
      <c r="I143" s="39">
        <v>0</v>
      </c>
      <c r="J143" s="22">
        <v>0</v>
      </c>
      <c r="K143" s="22">
        <v>0</v>
      </c>
      <c r="L143" s="22">
        <v>0</v>
      </c>
      <c r="M143" s="22">
        <v>40</v>
      </c>
      <c r="N143" s="22">
        <v>1704592.2200000002</v>
      </c>
      <c r="O143" s="22">
        <v>88</v>
      </c>
      <c r="P143" s="22">
        <v>6078996.3700000001</v>
      </c>
      <c r="Q143" s="29">
        <v>2539.0361800000005</v>
      </c>
      <c r="R143" s="8">
        <v>65</v>
      </c>
      <c r="S143" s="8">
        <f>+VLOOKUP(B143,[1]Лист2!$A$4:$B$188,2,0)</f>
        <v>25</v>
      </c>
      <c r="T143" s="8">
        <v>9715757.1300000008</v>
      </c>
      <c r="U143" s="8">
        <f>+VLOOKUP(B143,[1]Лист2!$A$4:$C$188,3,0)</f>
        <v>3733205.3</v>
      </c>
      <c r="V143" s="30">
        <f t="shared" si="75"/>
        <v>25</v>
      </c>
      <c r="W143" s="30">
        <f t="shared" si="76"/>
        <v>3733205.3</v>
      </c>
      <c r="X143" s="30">
        <f t="shared" si="77"/>
        <v>65</v>
      </c>
      <c r="Y143" s="30">
        <f t="shared" si="78"/>
        <v>9715757.1300000008</v>
      </c>
      <c r="Z143" s="30">
        <f t="shared" si="83"/>
        <v>33.333333333333336</v>
      </c>
      <c r="AA143" s="30">
        <f t="shared" si="84"/>
        <v>4977607.0666666664</v>
      </c>
      <c r="AB143" s="30">
        <v>86.666666666666671</v>
      </c>
      <c r="AC143" s="30">
        <v>12954342.840000002</v>
      </c>
      <c r="AD143" s="8">
        <v>71</v>
      </c>
      <c r="AE143" s="8">
        <v>15</v>
      </c>
      <c r="AF143" s="8">
        <v>7627545.3099999996</v>
      </c>
      <c r="AG143" s="8">
        <v>2420420</v>
      </c>
      <c r="AH143" s="23">
        <f t="shared" si="79"/>
        <v>15</v>
      </c>
      <c r="AI143" s="23">
        <f t="shared" si="80"/>
        <v>2420420</v>
      </c>
      <c r="AJ143" s="23">
        <f t="shared" si="81"/>
        <v>71</v>
      </c>
      <c r="AK143" s="23">
        <f t="shared" si="82"/>
        <v>7627545.3099999996</v>
      </c>
      <c r="AL143" s="8">
        <v>15</v>
      </c>
      <c r="AM143" s="8">
        <v>2420420</v>
      </c>
      <c r="AN143" s="8">
        <v>71</v>
      </c>
      <c r="AO143" s="8">
        <v>7627545.3099999996</v>
      </c>
      <c r="AP143" s="26">
        <v>2445.3957600000003</v>
      </c>
      <c r="AQ143" s="13"/>
      <c r="AR143" s="14"/>
      <c r="AS143" s="13"/>
      <c r="AT143" s="13"/>
      <c r="AU143" s="13"/>
      <c r="AV143" s="13"/>
      <c r="AW143" s="13"/>
      <c r="AX143" s="13"/>
    </row>
    <row r="144" spans="2:50">
      <c r="B144" s="12">
        <v>937</v>
      </c>
      <c r="C144" s="11" t="s">
        <v>16</v>
      </c>
      <c r="D144" s="11" t="s">
        <v>144</v>
      </c>
      <c r="E144" s="25">
        <v>4</v>
      </c>
      <c r="F144" s="25">
        <v>0</v>
      </c>
      <c r="G144" s="25">
        <v>98727.81</v>
      </c>
      <c r="H144" s="25">
        <v>0</v>
      </c>
      <c r="I144" s="40">
        <v>0</v>
      </c>
      <c r="J144" s="37">
        <v>0</v>
      </c>
      <c r="K144" s="37">
        <v>0</v>
      </c>
      <c r="L144" s="37">
        <v>0</v>
      </c>
      <c r="M144" s="22">
        <v>0</v>
      </c>
      <c r="N144" s="22">
        <v>0</v>
      </c>
      <c r="O144" s="22">
        <v>4</v>
      </c>
      <c r="P144" s="22">
        <v>98727.81</v>
      </c>
      <c r="Q144" s="29">
        <v>233.11684</v>
      </c>
      <c r="R144" s="8"/>
      <c r="S144" s="8"/>
      <c r="T144" s="8"/>
      <c r="U144" s="8"/>
      <c r="V144" s="30">
        <f t="shared" si="75"/>
        <v>0</v>
      </c>
      <c r="W144" s="30">
        <f t="shared" si="76"/>
        <v>0</v>
      </c>
      <c r="X144" s="30">
        <f t="shared" si="77"/>
        <v>0</v>
      </c>
      <c r="Y144" s="30">
        <f t="shared" si="78"/>
        <v>0</v>
      </c>
      <c r="Z144" s="30">
        <f t="shared" si="83"/>
        <v>0</v>
      </c>
      <c r="AA144" s="30">
        <f t="shared" si="84"/>
        <v>0</v>
      </c>
      <c r="AB144" s="30">
        <v>0</v>
      </c>
      <c r="AC144" s="30">
        <v>0</v>
      </c>
      <c r="AD144" s="8">
        <v>0</v>
      </c>
      <c r="AE144" s="8">
        <v>1</v>
      </c>
      <c r="AF144" s="8">
        <v>0</v>
      </c>
      <c r="AG144" s="8">
        <v>155318</v>
      </c>
      <c r="AH144" s="23">
        <f t="shared" si="79"/>
        <v>1</v>
      </c>
      <c r="AI144" s="23">
        <f t="shared" si="80"/>
        <v>155318</v>
      </c>
      <c r="AJ144" s="23">
        <f t="shared" si="81"/>
        <v>0</v>
      </c>
      <c r="AK144" s="23">
        <f t="shared" si="82"/>
        <v>0</v>
      </c>
      <c r="AL144" s="8">
        <v>1</v>
      </c>
      <c r="AM144" s="8">
        <v>155318</v>
      </c>
      <c r="AN144" s="8">
        <v>0</v>
      </c>
      <c r="AO144" s="8">
        <v>0</v>
      </c>
      <c r="AP144" s="26">
        <v>255.60848999999996</v>
      </c>
      <c r="AQ144" s="13"/>
      <c r="AR144" s="14"/>
      <c r="AS144" s="13"/>
      <c r="AT144" s="13"/>
      <c r="AU144" s="13"/>
      <c r="AV144" s="13"/>
      <c r="AW144" s="13"/>
      <c r="AX144" s="13"/>
    </row>
    <row r="145" spans="2:50">
      <c r="B145" s="12">
        <v>959</v>
      </c>
      <c r="C145" s="11" t="s">
        <v>16</v>
      </c>
      <c r="D145" s="11" t="s">
        <v>144</v>
      </c>
      <c r="E145" s="25">
        <v>5</v>
      </c>
      <c r="F145" s="25">
        <v>2</v>
      </c>
      <c r="G145" s="25">
        <v>197880.04</v>
      </c>
      <c r="H145" s="25">
        <v>6600</v>
      </c>
      <c r="I145" s="39">
        <v>0</v>
      </c>
      <c r="J145" s="22">
        <v>0</v>
      </c>
      <c r="K145" s="22">
        <v>0</v>
      </c>
      <c r="L145" s="22">
        <v>0</v>
      </c>
      <c r="M145" s="22">
        <v>2</v>
      </c>
      <c r="N145" s="22">
        <v>6600</v>
      </c>
      <c r="O145" s="22">
        <v>5</v>
      </c>
      <c r="P145" s="22">
        <v>197880.04</v>
      </c>
      <c r="Q145" s="29">
        <v>105.98884000000001</v>
      </c>
      <c r="R145" s="8">
        <v>7</v>
      </c>
      <c r="S145" s="8">
        <f>+VLOOKUP(B145,[1]Лист2!$A$4:$B$188,2,0)</f>
        <v>8</v>
      </c>
      <c r="T145" s="8">
        <v>42800</v>
      </c>
      <c r="U145" s="8">
        <f>+VLOOKUP(B145,[1]Лист2!$A$4:$C$188,3,0)</f>
        <v>5532989.7700000005</v>
      </c>
      <c r="V145" s="30">
        <f t="shared" si="75"/>
        <v>8</v>
      </c>
      <c r="W145" s="30">
        <f t="shared" si="76"/>
        <v>5532989.7700000005</v>
      </c>
      <c r="X145" s="30">
        <f t="shared" si="77"/>
        <v>7</v>
      </c>
      <c r="Y145" s="30">
        <f t="shared" si="78"/>
        <v>42800</v>
      </c>
      <c r="Z145" s="30">
        <f t="shared" si="83"/>
        <v>10.666666666666666</v>
      </c>
      <c r="AA145" s="30">
        <f t="shared" si="84"/>
        <v>7377319.6933333343</v>
      </c>
      <c r="AB145" s="30">
        <v>9.3333333333333339</v>
      </c>
      <c r="AC145" s="30">
        <v>57066.666666666664</v>
      </c>
      <c r="AD145" s="8">
        <v>40</v>
      </c>
      <c r="AE145" s="8">
        <v>27</v>
      </c>
      <c r="AF145" s="8">
        <v>2402367.83</v>
      </c>
      <c r="AG145" s="8">
        <v>2661921.8000000003</v>
      </c>
      <c r="AH145" s="23">
        <f t="shared" si="79"/>
        <v>27</v>
      </c>
      <c r="AI145" s="23">
        <f t="shared" si="80"/>
        <v>2661921.8000000003</v>
      </c>
      <c r="AJ145" s="23">
        <f t="shared" si="81"/>
        <v>40</v>
      </c>
      <c r="AK145" s="23">
        <f t="shared" si="82"/>
        <v>2402367.83</v>
      </c>
      <c r="AL145" s="8">
        <v>27</v>
      </c>
      <c r="AM145" s="8">
        <v>2661921.8000000003</v>
      </c>
      <c r="AN145" s="8">
        <v>40</v>
      </c>
      <c r="AO145" s="8">
        <v>2402367.83</v>
      </c>
      <c r="AP145" s="26">
        <v>73.869029999999995</v>
      </c>
      <c r="AQ145" s="13"/>
      <c r="AR145" s="14"/>
      <c r="AS145" s="13"/>
      <c r="AT145" s="13"/>
      <c r="AU145" s="13"/>
      <c r="AV145" s="13"/>
      <c r="AW145" s="13"/>
      <c r="AX145" s="13"/>
    </row>
    <row r="146" spans="2:50">
      <c r="B146" s="12">
        <v>978</v>
      </c>
      <c r="C146" s="11" t="s">
        <v>16</v>
      </c>
      <c r="D146" s="11" t="s">
        <v>144</v>
      </c>
      <c r="E146" s="25">
        <v>46</v>
      </c>
      <c r="F146" s="25">
        <v>109</v>
      </c>
      <c r="G146" s="25">
        <v>3867556.5000000005</v>
      </c>
      <c r="H146" s="25">
        <v>41124675.430000007</v>
      </c>
      <c r="I146" s="39">
        <v>0</v>
      </c>
      <c r="J146" s="22">
        <v>0</v>
      </c>
      <c r="K146" s="22">
        <v>0</v>
      </c>
      <c r="L146" s="22">
        <v>0</v>
      </c>
      <c r="M146" s="22">
        <v>109</v>
      </c>
      <c r="N146" s="22">
        <v>41124675.430000007</v>
      </c>
      <c r="O146" s="22">
        <v>46</v>
      </c>
      <c r="P146" s="22">
        <v>3867556.5000000005</v>
      </c>
      <c r="Q146" s="29">
        <v>642.60558000000015</v>
      </c>
      <c r="R146" s="8">
        <v>77</v>
      </c>
      <c r="S146" s="8">
        <f>+VLOOKUP(B146,[1]Лист2!$A$4:$B$188,2,0)</f>
        <v>48</v>
      </c>
      <c r="T146" s="8">
        <v>3122283.21</v>
      </c>
      <c r="U146" s="8">
        <f>+VLOOKUP(B146,[1]Лист2!$A$4:$C$188,3,0)</f>
        <v>1390504.3299999998</v>
      </c>
      <c r="V146" s="30">
        <f t="shared" si="75"/>
        <v>48</v>
      </c>
      <c r="W146" s="30">
        <f t="shared" si="76"/>
        <v>1390504.3299999998</v>
      </c>
      <c r="X146" s="30">
        <f t="shared" si="77"/>
        <v>77</v>
      </c>
      <c r="Y146" s="30">
        <f t="shared" si="78"/>
        <v>3122283.21</v>
      </c>
      <c r="Z146" s="30">
        <f t="shared" si="83"/>
        <v>64</v>
      </c>
      <c r="AA146" s="30">
        <f t="shared" si="84"/>
        <v>1854005.7733333332</v>
      </c>
      <c r="AB146" s="30">
        <v>102.66666666666667</v>
      </c>
      <c r="AC146" s="30">
        <v>4163044.28</v>
      </c>
      <c r="AD146" s="8">
        <v>66</v>
      </c>
      <c r="AE146" s="8">
        <v>27</v>
      </c>
      <c r="AF146" s="8">
        <v>1797491.69</v>
      </c>
      <c r="AG146" s="8">
        <v>831480.08</v>
      </c>
      <c r="AH146" s="23">
        <f t="shared" si="79"/>
        <v>27</v>
      </c>
      <c r="AI146" s="23">
        <f t="shared" si="80"/>
        <v>831480.08</v>
      </c>
      <c r="AJ146" s="23">
        <f t="shared" si="81"/>
        <v>66</v>
      </c>
      <c r="AK146" s="23">
        <f t="shared" si="82"/>
        <v>1797491.69</v>
      </c>
      <c r="AL146" s="8">
        <v>27</v>
      </c>
      <c r="AM146" s="8">
        <v>831480.08</v>
      </c>
      <c r="AN146" s="8">
        <v>66</v>
      </c>
      <c r="AO146" s="8">
        <v>1797491.69</v>
      </c>
      <c r="AP146" s="26">
        <v>457.94988000000006</v>
      </c>
      <c r="AQ146" s="13"/>
      <c r="AR146" s="14"/>
      <c r="AS146" s="13"/>
      <c r="AT146" s="13"/>
      <c r="AU146" s="13"/>
      <c r="AV146" s="13"/>
      <c r="AW146" s="13"/>
      <c r="AX146" s="13"/>
    </row>
    <row r="147" spans="2:50">
      <c r="B147" s="12">
        <v>997</v>
      </c>
      <c r="C147" s="11" t="s">
        <v>16</v>
      </c>
      <c r="D147" s="11" t="s">
        <v>144</v>
      </c>
      <c r="E147" s="25">
        <v>32</v>
      </c>
      <c r="F147" s="25">
        <v>11</v>
      </c>
      <c r="G147" s="25">
        <v>1530245.02</v>
      </c>
      <c r="H147" s="25">
        <v>196786.11</v>
      </c>
      <c r="I147" s="39">
        <v>0</v>
      </c>
      <c r="J147" s="22">
        <v>0</v>
      </c>
      <c r="K147" s="22">
        <v>0</v>
      </c>
      <c r="L147" s="22">
        <v>0</v>
      </c>
      <c r="M147" s="22">
        <v>11</v>
      </c>
      <c r="N147" s="22">
        <v>196786.11</v>
      </c>
      <c r="O147" s="22">
        <v>32</v>
      </c>
      <c r="P147" s="22">
        <v>1530245.02</v>
      </c>
      <c r="Q147" s="29">
        <v>492.99876</v>
      </c>
      <c r="R147" s="8">
        <v>49</v>
      </c>
      <c r="S147" s="8">
        <f>+VLOOKUP(B147,[1]Лист2!$A$4:$B$188,2,0)</f>
        <v>32</v>
      </c>
      <c r="T147" s="8">
        <v>1187549.46</v>
      </c>
      <c r="U147" s="8">
        <f>+VLOOKUP(B147,[1]Лист2!$A$4:$C$188,3,0)</f>
        <v>552289.97</v>
      </c>
      <c r="V147" s="30">
        <f t="shared" si="75"/>
        <v>32</v>
      </c>
      <c r="W147" s="30">
        <f t="shared" si="76"/>
        <v>552289.97</v>
      </c>
      <c r="X147" s="30">
        <f t="shared" si="77"/>
        <v>49</v>
      </c>
      <c r="Y147" s="30">
        <f t="shared" si="78"/>
        <v>1187549.46</v>
      </c>
      <c r="Z147" s="30">
        <f t="shared" si="83"/>
        <v>42.666666666666664</v>
      </c>
      <c r="AA147" s="30">
        <f t="shared" si="84"/>
        <v>736386.62666666659</v>
      </c>
      <c r="AB147" s="30">
        <v>65.333333333333329</v>
      </c>
      <c r="AC147" s="30">
        <v>1583399.28</v>
      </c>
      <c r="AD147" s="8">
        <v>35</v>
      </c>
      <c r="AE147" s="8">
        <v>32</v>
      </c>
      <c r="AF147" s="8">
        <v>1138565.3700000001</v>
      </c>
      <c r="AG147" s="8">
        <v>580994.35000000009</v>
      </c>
      <c r="AH147" s="23">
        <f t="shared" si="79"/>
        <v>32</v>
      </c>
      <c r="AI147" s="23">
        <f t="shared" si="80"/>
        <v>580994.35000000009</v>
      </c>
      <c r="AJ147" s="23">
        <f t="shared" si="81"/>
        <v>35</v>
      </c>
      <c r="AK147" s="23">
        <f t="shared" si="82"/>
        <v>1138565.3700000001</v>
      </c>
      <c r="AL147" s="8">
        <v>32</v>
      </c>
      <c r="AM147" s="8">
        <v>580994.35000000009</v>
      </c>
      <c r="AN147" s="8">
        <v>35</v>
      </c>
      <c r="AO147" s="8">
        <v>1138565.3700000001</v>
      </c>
      <c r="AP147" s="26">
        <v>383.14602000000002</v>
      </c>
      <c r="AQ147" s="13"/>
      <c r="AR147" s="14"/>
      <c r="AS147" s="13"/>
      <c r="AT147" s="13"/>
      <c r="AU147" s="13"/>
      <c r="AV147" s="13"/>
      <c r="AW147" s="8"/>
      <c r="AX147" s="8"/>
    </row>
    <row r="148" spans="2:50">
      <c r="B148" s="12">
        <v>1017</v>
      </c>
      <c r="C148" s="11" t="s">
        <v>16</v>
      </c>
      <c r="D148" s="11" t="s">
        <v>144</v>
      </c>
      <c r="E148" s="25">
        <v>13</v>
      </c>
      <c r="F148" s="25">
        <v>49</v>
      </c>
      <c r="G148" s="25">
        <v>727139.94000000006</v>
      </c>
      <c r="H148" s="25">
        <v>934063.77000000014</v>
      </c>
      <c r="I148" s="39">
        <v>0</v>
      </c>
      <c r="J148" s="22">
        <v>0</v>
      </c>
      <c r="K148" s="22">
        <v>0</v>
      </c>
      <c r="L148" s="22">
        <v>0</v>
      </c>
      <c r="M148" s="22">
        <v>49</v>
      </c>
      <c r="N148" s="22">
        <v>934063.77000000014</v>
      </c>
      <c r="O148" s="22">
        <v>13</v>
      </c>
      <c r="P148" s="22">
        <v>727139.94000000006</v>
      </c>
      <c r="Q148" s="29">
        <v>272.58711999999997</v>
      </c>
      <c r="R148" s="8">
        <v>61</v>
      </c>
      <c r="S148" s="8">
        <f>+VLOOKUP(B148,[1]Лист2!$A$4:$B$188,2,0)</f>
        <v>67</v>
      </c>
      <c r="T148" s="8">
        <v>2757367.5600000005</v>
      </c>
      <c r="U148" s="8">
        <f>+VLOOKUP(B148,[1]Лист2!$A$4:$C$188,3,0)</f>
        <v>2264123.21</v>
      </c>
      <c r="V148" s="30">
        <f t="shared" si="75"/>
        <v>67</v>
      </c>
      <c r="W148" s="30">
        <f t="shared" si="76"/>
        <v>2264123.21</v>
      </c>
      <c r="X148" s="30">
        <f t="shared" si="77"/>
        <v>61</v>
      </c>
      <c r="Y148" s="30">
        <f t="shared" si="78"/>
        <v>2757367.5600000005</v>
      </c>
      <c r="Z148" s="30">
        <f t="shared" si="83"/>
        <v>89.333333333333329</v>
      </c>
      <c r="AA148" s="30">
        <f t="shared" si="84"/>
        <v>3018830.9466666668</v>
      </c>
      <c r="AB148" s="30">
        <v>81.333333333333329</v>
      </c>
      <c r="AC148" s="30">
        <v>3676490.0800000005</v>
      </c>
      <c r="AD148" s="8">
        <v>47</v>
      </c>
      <c r="AE148" s="8">
        <v>38</v>
      </c>
      <c r="AF148" s="8">
        <v>2125113.66</v>
      </c>
      <c r="AG148" s="8">
        <v>1075938.05</v>
      </c>
      <c r="AH148" s="23">
        <f t="shared" si="79"/>
        <v>38</v>
      </c>
      <c r="AI148" s="23">
        <f t="shared" si="80"/>
        <v>1075938.05</v>
      </c>
      <c r="AJ148" s="23">
        <f t="shared" si="81"/>
        <v>47</v>
      </c>
      <c r="AK148" s="23">
        <f t="shared" si="82"/>
        <v>2125113.66</v>
      </c>
      <c r="AL148" s="8">
        <v>38</v>
      </c>
      <c r="AM148" s="8">
        <v>1075938.05</v>
      </c>
      <c r="AN148" s="8">
        <v>47</v>
      </c>
      <c r="AO148" s="8">
        <v>2125113.66</v>
      </c>
      <c r="AP148" s="26">
        <v>819.84790999999984</v>
      </c>
      <c r="AQ148" s="13"/>
      <c r="AR148" s="14"/>
      <c r="AS148" s="13"/>
      <c r="AT148" s="13"/>
      <c r="AU148" s="13"/>
      <c r="AV148" s="13"/>
      <c r="AW148" s="13"/>
      <c r="AX148" s="13"/>
    </row>
    <row r="149" spans="2:50">
      <c r="B149" s="12">
        <v>445</v>
      </c>
      <c r="C149" s="11" t="s">
        <v>12</v>
      </c>
      <c r="D149" s="11" t="s">
        <v>145</v>
      </c>
      <c r="E149" s="25">
        <v>263</v>
      </c>
      <c r="F149" s="25">
        <v>252</v>
      </c>
      <c r="G149" s="25">
        <v>14756408.719999988</v>
      </c>
      <c r="H149" s="25">
        <v>2536936.9099999997</v>
      </c>
      <c r="I149" s="39">
        <v>0</v>
      </c>
      <c r="J149" s="22">
        <v>0</v>
      </c>
      <c r="K149" s="22">
        <v>0</v>
      </c>
      <c r="L149" s="22">
        <v>0</v>
      </c>
      <c r="M149" s="22">
        <v>252</v>
      </c>
      <c r="N149" s="22">
        <v>2536936.9099999997</v>
      </c>
      <c r="O149" s="22">
        <v>263</v>
      </c>
      <c r="P149" s="22">
        <v>14756408.719999988</v>
      </c>
      <c r="Q149" s="29">
        <v>4121.1585200000009</v>
      </c>
      <c r="R149" s="8">
        <v>220</v>
      </c>
      <c r="S149" s="8">
        <f>+VLOOKUP(B149,[1]Лист2!$A$4:$B$188,2,0)</f>
        <v>377</v>
      </c>
      <c r="T149" s="8">
        <v>16691819.209999999</v>
      </c>
      <c r="U149" s="8">
        <f>+VLOOKUP(B149,[1]Лист2!$A$4:$C$188,3,0)</f>
        <v>8696744.2699999996</v>
      </c>
      <c r="V149" s="30">
        <f t="shared" si="75"/>
        <v>377</v>
      </c>
      <c r="W149" s="30">
        <f t="shared" si="76"/>
        <v>8696744.2699999996</v>
      </c>
      <c r="X149" s="30">
        <f t="shared" si="77"/>
        <v>220</v>
      </c>
      <c r="Y149" s="30">
        <f t="shared" si="78"/>
        <v>16691819.209999999</v>
      </c>
      <c r="Z149" s="30">
        <f t="shared" si="83"/>
        <v>502.66666666666669</v>
      </c>
      <c r="AA149" s="30">
        <f t="shared" si="84"/>
        <v>11595659.026666665</v>
      </c>
      <c r="AB149" s="30">
        <v>293.33333333333331</v>
      </c>
      <c r="AC149" s="30">
        <v>22255758.946666665</v>
      </c>
      <c r="AD149" s="8">
        <v>205</v>
      </c>
      <c r="AE149" s="8">
        <v>255</v>
      </c>
      <c r="AF149" s="8">
        <v>9453394.1699999999</v>
      </c>
      <c r="AG149" s="8">
        <v>10355743.270000001</v>
      </c>
      <c r="AH149" s="23">
        <f t="shared" si="79"/>
        <v>255</v>
      </c>
      <c r="AI149" s="23">
        <f t="shared" si="80"/>
        <v>10355743.270000001</v>
      </c>
      <c r="AJ149" s="23">
        <f t="shared" si="81"/>
        <v>205</v>
      </c>
      <c r="AK149" s="23">
        <f t="shared" si="82"/>
        <v>9453394.1699999999</v>
      </c>
      <c r="AL149" s="8">
        <v>255</v>
      </c>
      <c r="AM149" s="8">
        <v>10355743.270000001</v>
      </c>
      <c r="AN149" s="8">
        <v>205</v>
      </c>
      <c r="AO149" s="8">
        <v>9453394.1699999999</v>
      </c>
      <c r="AP149" s="26">
        <v>9475.5953000000027</v>
      </c>
      <c r="AQ149" s="13"/>
      <c r="AR149" s="14"/>
      <c r="AS149" s="13"/>
      <c r="AT149" s="13"/>
      <c r="AU149" s="13"/>
      <c r="AV149" s="13"/>
      <c r="AW149" s="13"/>
      <c r="AX149" s="13"/>
    </row>
    <row r="150" spans="2:50">
      <c r="B150" s="12">
        <v>974</v>
      </c>
      <c r="C150" s="11" t="s">
        <v>12</v>
      </c>
      <c r="D150" s="11" t="s">
        <v>145</v>
      </c>
      <c r="E150" s="25">
        <v>242</v>
      </c>
      <c r="F150" s="25">
        <v>125</v>
      </c>
      <c r="G150" s="25">
        <v>10226308.480000002</v>
      </c>
      <c r="H150" s="25">
        <v>6059432.5600000005</v>
      </c>
      <c r="I150" s="39">
        <v>0</v>
      </c>
      <c r="J150" s="22">
        <v>0</v>
      </c>
      <c r="K150" s="22">
        <v>0</v>
      </c>
      <c r="L150" s="22">
        <v>0</v>
      </c>
      <c r="M150" s="22">
        <v>125</v>
      </c>
      <c r="N150" s="22">
        <v>6059432.5600000005</v>
      </c>
      <c r="O150" s="22">
        <v>242</v>
      </c>
      <c r="P150" s="22">
        <v>10226308.480000002</v>
      </c>
      <c r="Q150" s="29">
        <v>6596.7455</v>
      </c>
      <c r="R150" s="8">
        <v>342</v>
      </c>
      <c r="S150" s="8">
        <f>+VLOOKUP(B150,[1]Лист2!$A$4:$B$188,2,0)</f>
        <v>200</v>
      </c>
      <c r="T150" s="8">
        <v>17554820.190000001</v>
      </c>
      <c r="U150" s="8">
        <f>+VLOOKUP(B150,[1]Лист2!$A$4:$C$188,3,0)</f>
        <v>8203790.5700000068</v>
      </c>
      <c r="V150" s="30">
        <f t="shared" si="75"/>
        <v>200</v>
      </c>
      <c r="W150" s="30">
        <f t="shared" si="76"/>
        <v>8203790.5700000068</v>
      </c>
      <c r="X150" s="30">
        <f t="shared" si="77"/>
        <v>342</v>
      </c>
      <c r="Y150" s="30">
        <f t="shared" si="78"/>
        <v>17554820.190000001</v>
      </c>
      <c r="Z150" s="30">
        <f t="shared" si="83"/>
        <v>266.66666666666669</v>
      </c>
      <c r="AA150" s="30">
        <f t="shared" si="84"/>
        <v>10938387.426666675</v>
      </c>
      <c r="AB150" s="30">
        <v>456</v>
      </c>
      <c r="AC150" s="30">
        <v>23406426.920000002</v>
      </c>
      <c r="AD150" s="8">
        <v>327</v>
      </c>
      <c r="AE150" s="8">
        <v>195</v>
      </c>
      <c r="AF150" s="8">
        <v>13692728.129999993</v>
      </c>
      <c r="AG150" s="8">
        <v>6261859.0000000028</v>
      </c>
      <c r="AH150" s="23">
        <f t="shared" si="79"/>
        <v>195</v>
      </c>
      <c r="AI150" s="23">
        <f t="shared" si="80"/>
        <v>6261859.0000000028</v>
      </c>
      <c r="AJ150" s="23">
        <f t="shared" si="81"/>
        <v>327</v>
      </c>
      <c r="AK150" s="23">
        <f t="shared" si="82"/>
        <v>13692728.129999993</v>
      </c>
      <c r="AL150" s="8">
        <v>195</v>
      </c>
      <c r="AM150" s="8">
        <v>6261859.0000000028</v>
      </c>
      <c r="AN150" s="8">
        <v>327</v>
      </c>
      <c r="AO150" s="8">
        <v>13692728.129999993</v>
      </c>
      <c r="AP150" s="26">
        <v>6664.2654399999983</v>
      </c>
      <c r="AQ150" s="13"/>
      <c r="AR150" s="14"/>
      <c r="AS150" s="13"/>
      <c r="AT150" s="13"/>
      <c r="AU150" s="13"/>
      <c r="AV150" s="13"/>
      <c r="AW150" s="13"/>
      <c r="AX150" s="13"/>
    </row>
    <row r="151" spans="2:50">
      <c r="B151" s="12">
        <v>1018</v>
      </c>
      <c r="C151" s="11" t="s">
        <v>12</v>
      </c>
      <c r="D151" s="11" t="s">
        <v>145</v>
      </c>
      <c r="E151" s="25">
        <v>72</v>
      </c>
      <c r="F151" s="25">
        <v>62</v>
      </c>
      <c r="G151" s="25">
        <v>1231849.46</v>
      </c>
      <c r="H151" s="25">
        <v>2708782.34</v>
      </c>
      <c r="I151" s="39">
        <v>0</v>
      </c>
      <c r="J151" s="22">
        <v>0</v>
      </c>
      <c r="K151" s="22">
        <v>0</v>
      </c>
      <c r="L151" s="22">
        <v>0</v>
      </c>
      <c r="M151" s="22">
        <v>62</v>
      </c>
      <c r="N151" s="22">
        <v>2708782.34</v>
      </c>
      <c r="O151" s="22">
        <v>72</v>
      </c>
      <c r="P151" s="22">
        <v>1231849.46</v>
      </c>
      <c r="Q151" s="29">
        <v>1058.0598299999999</v>
      </c>
      <c r="R151" s="8">
        <v>132</v>
      </c>
      <c r="S151" s="8">
        <f>+VLOOKUP(B151,[1]Лист2!$A$4:$B$188,2,0)</f>
        <v>88</v>
      </c>
      <c r="T151" s="8">
        <v>4722247.9399999985</v>
      </c>
      <c r="U151" s="8">
        <f>+VLOOKUP(B151,[1]Лист2!$A$4:$C$188,3,0)</f>
        <v>4255414.51</v>
      </c>
      <c r="V151" s="30">
        <f t="shared" si="75"/>
        <v>88</v>
      </c>
      <c r="W151" s="30">
        <f t="shared" si="76"/>
        <v>4255414.51</v>
      </c>
      <c r="X151" s="30">
        <f t="shared" si="77"/>
        <v>132</v>
      </c>
      <c r="Y151" s="30">
        <f t="shared" si="78"/>
        <v>4722247.9399999985</v>
      </c>
      <c r="Z151" s="30">
        <f t="shared" si="83"/>
        <v>117.33333333333333</v>
      </c>
      <c r="AA151" s="30">
        <f t="shared" si="84"/>
        <v>5673886.0133333327</v>
      </c>
      <c r="AB151" s="30">
        <v>176</v>
      </c>
      <c r="AC151" s="30">
        <v>6296330.586666665</v>
      </c>
      <c r="AD151" s="8">
        <v>87</v>
      </c>
      <c r="AE151" s="8">
        <v>64</v>
      </c>
      <c r="AF151" s="8">
        <v>3106362.56</v>
      </c>
      <c r="AG151" s="8">
        <v>3785463.6699999995</v>
      </c>
      <c r="AH151" s="23">
        <f t="shared" si="79"/>
        <v>64</v>
      </c>
      <c r="AI151" s="23">
        <f t="shared" si="80"/>
        <v>3785463.6699999995</v>
      </c>
      <c r="AJ151" s="23">
        <f t="shared" si="81"/>
        <v>87</v>
      </c>
      <c r="AK151" s="23">
        <f t="shared" si="82"/>
        <v>3106362.56</v>
      </c>
      <c r="AL151" s="8">
        <v>64</v>
      </c>
      <c r="AM151" s="8">
        <v>3785463.6699999995</v>
      </c>
      <c r="AN151" s="8">
        <v>87</v>
      </c>
      <c r="AO151" s="8">
        <v>3106362.56</v>
      </c>
      <c r="AP151" s="26">
        <v>1088.7326499999997</v>
      </c>
      <c r="AQ151" s="13"/>
      <c r="AR151" s="14"/>
      <c r="AS151" s="13"/>
      <c r="AT151" s="13"/>
      <c r="AU151" s="13"/>
      <c r="AV151" s="13"/>
      <c r="AW151" s="13"/>
      <c r="AX151" s="13"/>
    </row>
    <row r="152" spans="2:50">
      <c r="B152" s="12">
        <v>1033</v>
      </c>
      <c r="C152" s="11" t="s">
        <v>12</v>
      </c>
      <c r="D152" s="11" t="s">
        <v>145</v>
      </c>
      <c r="E152" s="25">
        <v>248</v>
      </c>
      <c r="F152" s="25">
        <v>117</v>
      </c>
      <c r="G152" s="25">
        <v>16158477.220000008</v>
      </c>
      <c r="H152" s="25">
        <v>6791332.2500000028</v>
      </c>
      <c r="I152" s="39">
        <v>0</v>
      </c>
      <c r="J152" s="22">
        <v>0</v>
      </c>
      <c r="K152" s="22">
        <v>0</v>
      </c>
      <c r="L152" s="22">
        <v>0</v>
      </c>
      <c r="M152" s="22">
        <v>117</v>
      </c>
      <c r="N152" s="22">
        <v>6791332.2500000028</v>
      </c>
      <c r="O152" s="22">
        <v>248</v>
      </c>
      <c r="P152" s="22">
        <v>16158477.220000008</v>
      </c>
      <c r="Q152" s="29">
        <v>13304.09036</v>
      </c>
      <c r="R152" s="8">
        <v>253</v>
      </c>
      <c r="S152" s="8">
        <f>+VLOOKUP(B152,[1]Лист2!$A$4:$B$188,2,0)</f>
        <v>122</v>
      </c>
      <c r="T152" s="8">
        <v>12153280.670000004</v>
      </c>
      <c r="U152" s="8">
        <f>+VLOOKUP(B152,[1]Лист2!$A$4:$C$188,3,0)</f>
        <v>6675805.7599999988</v>
      </c>
      <c r="V152" s="30">
        <f t="shared" si="75"/>
        <v>122</v>
      </c>
      <c r="W152" s="30">
        <f t="shared" si="76"/>
        <v>6675805.7599999988</v>
      </c>
      <c r="X152" s="30">
        <f t="shared" si="77"/>
        <v>253</v>
      </c>
      <c r="Y152" s="30">
        <f t="shared" si="78"/>
        <v>12153280.670000004</v>
      </c>
      <c r="Z152" s="30">
        <f t="shared" si="83"/>
        <v>162.66666666666666</v>
      </c>
      <c r="AA152" s="30">
        <f t="shared" si="84"/>
        <v>8901074.3466666657</v>
      </c>
      <c r="AB152" s="30">
        <v>337.33333333333331</v>
      </c>
      <c r="AC152" s="30">
        <v>16204374.226666672</v>
      </c>
      <c r="AD152" s="8">
        <v>132</v>
      </c>
      <c r="AE152" s="8">
        <v>94</v>
      </c>
      <c r="AF152" s="8">
        <v>5759875.6599999992</v>
      </c>
      <c r="AG152" s="8">
        <v>3787238.1099999989</v>
      </c>
      <c r="AH152" s="23">
        <f t="shared" si="79"/>
        <v>94</v>
      </c>
      <c r="AI152" s="23">
        <f t="shared" si="80"/>
        <v>3787238.1099999989</v>
      </c>
      <c r="AJ152" s="23">
        <f t="shared" si="81"/>
        <v>132</v>
      </c>
      <c r="AK152" s="23">
        <f t="shared" si="82"/>
        <v>5759875.6599999992</v>
      </c>
      <c r="AL152" s="8">
        <v>94</v>
      </c>
      <c r="AM152" s="8">
        <v>3787238.1099999989</v>
      </c>
      <c r="AN152" s="8">
        <v>132</v>
      </c>
      <c r="AO152" s="8">
        <v>5759875.6599999992</v>
      </c>
      <c r="AP152" s="26">
        <v>14308.446569999998</v>
      </c>
      <c r="AQ152" s="13"/>
      <c r="AR152" s="14"/>
      <c r="AS152" s="13"/>
      <c r="AT152" s="13"/>
      <c r="AU152" s="13"/>
      <c r="AV152" s="13"/>
      <c r="AW152" s="13"/>
      <c r="AX152" s="13"/>
    </row>
    <row r="153" spans="2:50">
      <c r="B153" s="12">
        <v>1042</v>
      </c>
      <c r="C153" s="11" t="s">
        <v>12</v>
      </c>
      <c r="D153" s="11" t="s">
        <v>145</v>
      </c>
      <c r="E153" s="25">
        <v>379</v>
      </c>
      <c r="F153" s="25">
        <v>65</v>
      </c>
      <c r="G153" s="25">
        <v>45937200.479999997</v>
      </c>
      <c r="H153" s="25">
        <v>6262064.9300000016</v>
      </c>
      <c r="I153" s="39">
        <v>0</v>
      </c>
      <c r="J153" s="22">
        <v>0</v>
      </c>
      <c r="K153" s="22">
        <v>0</v>
      </c>
      <c r="L153" s="22">
        <v>0</v>
      </c>
      <c r="M153" s="22">
        <v>65</v>
      </c>
      <c r="N153" s="22">
        <v>6262064.9300000016</v>
      </c>
      <c r="O153" s="22">
        <v>379</v>
      </c>
      <c r="P153" s="22">
        <v>45937200.479999997</v>
      </c>
      <c r="Q153" s="29">
        <v>2478.3704399999997</v>
      </c>
      <c r="R153" s="8">
        <v>301</v>
      </c>
      <c r="S153" s="8">
        <f>+VLOOKUP(B153,[1]Лист2!$A$4:$B$188,2,0)</f>
        <v>47</v>
      </c>
      <c r="T153" s="8">
        <v>45521809.969999999</v>
      </c>
      <c r="U153" s="8">
        <f>+VLOOKUP(B153,[1]Лист2!$A$4:$C$188,3,0)</f>
        <v>4332623.4900000012</v>
      </c>
      <c r="V153" s="30">
        <f t="shared" si="75"/>
        <v>47</v>
      </c>
      <c r="W153" s="30">
        <f t="shared" si="76"/>
        <v>4332623.4900000012</v>
      </c>
      <c r="X153" s="30">
        <f t="shared" si="77"/>
        <v>301</v>
      </c>
      <c r="Y153" s="30">
        <f t="shared" si="78"/>
        <v>45521809.969999999</v>
      </c>
      <c r="Z153" s="30">
        <f t="shared" si="83"/>
        <v>62.666666666666664</v>
      </c>
      <c r="AA153" s="30">
        <f t="shared" si="84"/>
        <v>5776831.3200000012</v>
      </c>
      <c r="AB153" s="30">
        <v>401.33333333333331</v>
      </c>
      <c r="AC153" s="30">
        <v>60695746.626666665</v>
      </c>
      <c r="AD153" s="8">
        <v>287</v>
      </c>
      <c r="AE153" s="8">
        <v>116</v>
      </c>
      <c r="AF153" s="8">
        <v>29634440.98</v>
      </c>
      <c r="AG153" s="8">
        <v>11712469.090000002</v>
      </c>
      <c r="AH153" s="23">
        <f t="shared" si="79"/>
        <v>116</v>
      </c>
      <c r="AI153" s="23">
        <f t="shared" si="80"/>
        <v>11712469.090000002</v>
      </c>
      <c r="AJ153" s="23">
        <f t="shared" si="81"/>
        <v>287</v>
      </c>
      <c r="AK153" s="23">
        <f t="shared" si="82"/>
        <v>29634440.98</v>
      </c>
      <c r="AL153" s="8">
        <v>116</v>
      </c>
      <c r="AM153" s="8">
        <v>11712469.090000002</v>
      </c>
      <c r="AN153" s="8">
        <v>287</v>
      </c>
      <c r="AO153" s="8">
        <v>29634440.98</v>
      </c>
      <c r="AP153" s="26">
        <v>6872.7161399999995</v>
      </c>
      <c r="AQ153" s="13"/>
      <c r="AR153" s="14"/>
      <c r="AS153" s="13"/>
      <c r="AT153" s="13"/>
      <c r="AU153" s="13"/>
      <c r="AV153" s="13"/>
      <c r="AW153" s="13"/>
      <c r="AX153" s="13"/>
    </row>
    <row r="154" spans="2:50">
      <c r="B154" s="12">
        <v>1088</v>
      </c>
      <c r="C154" s="11" t="s">
        <v>12</v>
      </c>
      <c r="D154" s="11" t="s">
        <v>145</v>
      </c>
      <c r="E154" s="25">
        <v>258</v>
      </c>
      <c r="F154" s="25">
        <v>39</v>
      </c>
      <c r="G154" s="25">
        <v>14125848.069999997</v>
      </c>
      <c r="H154" s="25">
        <v>1424635.3699999999</v>
      </c>
      <c r="I154" s="39">
        <v>0</v>
      </c>
      <c r="J154" s="22">
        <v>0</v>
      </c>
      <c r="K154" s="22">
        <v>0</v>
      </c>
      <c r="L154" s="22">
        <v>0</v>
      </c>
      <c r="M154" s="22">
        <v>39</v>
      </c>
      <c r="N154" s="22">
        <v>1424635.3699999999</v>
      </c>
      <c r="O154" s="22">
        <v>258</v>
      </c>
      <c r="P154" s="22">
        <v>14125848.069999997</v>
      </c>
      <c r="Q154" s="29">
        <v>22240.857019999999</v>
      </c>
      <c r="R154" s="8">
        <v>244</v>
      </c>
      <c r="S154" s="8">
        <f>+VLOOKUP(B154,[1]Лист2!$A$4:$B$188,2,0)</f>
        <v>31</v>
      </c>
      <c r="T154" s="8">
        <v>13169241.330000002</v>
      </c>
      <c r="U154" s="8">
        <f>+VLOOKUP(B154,[1]Лист2!$A$4:$C$188,3,0)</f>
        <v>817532.4099999998</v>
      </c>
      <c r="V154" s="30">
        <f t="shared" si="75"/>
        <v>31</v>
      </c>
      <c r="W154" s="30">
        <f t="shared" si="76"/>
        <v>817532.4099999998</v>
      </c>
      <c r="X154" s="30">
        <f t="shared" si="77"/>
        <v>244</v>
      </c>
      <c r="Y154" s="30">
        <f t="shared" si="78"/>
        <v>13169241.330000002</v>
      </c>
      <c r="Z154" s="30">
        <f t="shared" si="83"/>
        <v>41.333333333333336</v>
      </c>
      <c r="AA154" s="30">
        <f t="shared" si="84"/>
        <v>1090043.2133333331</v>
      </c>
      <c r="AB154" s="30">
        <v>325.33333333333331</v>
      </c>
      <c r="AC154" s="30">
        <v>17558988.440000001</v>
      </c>
      <c r="AD154" s="8">
        <v>179</v>
      </c>
      <c r="AE154" s="8">
        <v>27</v>
      </c>
      <c r="AF154" s="8">
        <v>9318872.0300000012</v>
      </c>
      <c r="AG154" s="8">
        <v>841016.5</v>
      </c>
      <c r="AH154" s="23">
        <f t="shared" si="79"/>
        <v>27</v>
      </c>
      <c r="AI154" s="23">
        <f t="shared" si="80"/>
        <v>841016.5</v>
      </c>
      <c r="AJ154" s="23">
        <f t="shared" si="81"/>
        <v>179</v>
      </c>
      <c r="AK154" s="23">
        <f t="shared" si="82"/>
        <v>9318872.0300000012</v>
      </c>
      <c r="AL154" s="8">
        <v>27</v>
      </c>
      <c r="AM154" s="8">
        <v>841016.5</v>
      </c>
      <c r="AN154" s="8">
        <v>179</v>
      </c>
      <c r="AO154" s="8">
        <v>9318872.0300000012</v>
      </c>
      <c r="AP154" s="26">
        <v>18294.491769999997</v>
      </c>
      <c r="AQ154" s="13"/>
      <c r="AR154" s="14"/>
      <c r="AS154" s="13"/>
      <c r="AT154" s="13"/>
      <c r="AU154" s="13"/>
      <c r="AV154" s="13"/>
      <c r="AW154" s="13"/>
      <c r="AX154" s="13"/>
    </row>
    <row r="155" spans="2:50">
      <c r="B155" s="12">
        <v>1136</v>
      </c>
      <c r="C155" s="11" t="s">
        <v>12</v>
      </c>
      <c r="D155" s="11" t="s">
        <v>145</v>
      </c>
      <c r="E155" s="25">
        <v>158</v>
      </c>
      <c r="F155" s="25">
        <v>53</v>
      </c>
      <c r="G155" s="25">
        <v>8552713.3400000036</v>
      </c>
      <c r="H155" s="25">
        <v>2278865.6800000002</v>
      </c>
      <c r="I155" s="39">
        <v>0</v>
      </c>
      <c r="J155" s="22">
        <v>0</v>
      </c>
      <c r="K155" s="22">
        <v>0</v>
      </c>
      <c r="L155" s="22">
        <v>0</v>
      </c>
      <c r="M155" s="22">
        <v>53</v>
      </c>
      <c r="N155" s="22">
        <v>2278865.6800000002</v>
      </c>
      <c r="O155" s="22">
        <v>158</v>
      </c>
      <c r="P155" s="22">
        <v>8552713.3400000036</v>
      </c>
      <c r="Q155" s="29">
        <v>17878.198550000001</v>
      </c>
      <c r="R155" s="8">
        <v>222</v>
      </c>
      <c r="S155" s="8">
        <f>+VLOOKUP(B155,[1]Лист2!$A$4:$B$188,2,0)</f>
        <v>149</v>
      </c>
      <c r="T155" s="8">
        <v>10302157.809999997</v>
      </c>
      <c r="U155" s="8">
        <f>+VLOOKUP(B155,[1]Лист2!$A$4:$C$188,3,0)</f>
        <v>7852229.8000000017</v>
      </c>
      <c r="V155" s="30">
        <f t="shared" si="75"/>
        <v>149</v>
      </c>
      <c r="W155" s="30">
        <f t="shared" si="76"/>
        <v>7852229.8000000017</v>
      </c>
      <c r="X155" s="30">
        <f t="shared" si="77"/>
        <v>222</v>
      </c>
      <c r="Y155" s="30">
        <f t="shared" si="78"/>
        <v>10302157.809999997</v>
      </c>
      <c r="Z155" s="30">
        <f t="shared" si="83"/>
        <v>198.66666666666666</v>
      </c>
      <c r="AA155" s="30">
        <f t="shared" si="84"/>
        <v>10469639.733333336</v>
      </c>
      <c r="AB155" s="30">
        <v>296</v>
      </c>
      <c r="AC155" s="30">
        <v>13736210.413333328</v>
      </c>
      <c r="AD155" s="8">
        <v>137</v>
      </c>
      <c r="AE155" s="8">
        <v>110</v>
      </c>
      <c r="AF155" s="8">
        <v>5936187.6600000001</v>
      </c>
      <c r="AG155" s="8">
        <v>4361477.7200000007</v>
      </c>
      <c r="AH155" s="23">
        <f t="shared" si="79"/>
        <v>110</v>
      </c>
      <c r="AI155" s="23">
        <f t="shared" si="80"/>
        <v>4361477.7200000007</v>
      </c>
      <c r="AJ155" s="23">
        <f t="shared" si="81"/>
        <v>137</v>
      </c>
      <c r="AK155" s="23">
        <f t="shared" si="82"/>
        <v>5936187.6600000001</v>
      </c>
      <c r="AL155" s="8">
        <v>110</v>
      </c>
      <c r="AM155" s="8">
        <v>4361477.7200000007</v>
      </c>
      <c r="AN155" s="8">
        <v>137</v>
      </c>
      <c r="AO155" s="8">
        <v>5936187.6600000001</v>
      </c>
      <c r="AP155" s="26">
        <v>17979.127350000002</v>
      </c>
      <c r="AQ155" s="13"/>
      <c r="AR155" s="14"/>
      <c r="AS155" s="13"/>
      <c r="AT155" s="13"/>
      <c r="AU155" s="13"/>
      <c r="AV155" s="13"/>
      <c r="AW155" s="13"/>
      <c r="AX155" s="13"/>
    </row>
    <row r="156" spans="2:50">
      <c r="B156" s="12">
        <v>1158</v>
      </c>
      <c r="C156" s="11" t="s">
        <v>12</v>
      </c>
      <c r="D156" s="11" t="s">
        <v>145</v>
      </c>
      <c r="E156" s="25">
        <v>549</v>
      </c>
      <c r="F156" s="25">
        <v>437</v>
      </c>
      <c r="G156" s="25">
        <v>33717736.300000004</v>
      </c>
      <c r="H156" s="25">
        <v>38412186.589999966</v>
      </c>
      <c r="I156" s="39">
        <v>0</v>
      </c>
      <c r="J156" s="22">
        <v>0</v>
      </c>
      <c r="K156" s="22">
        <v>0</v>
      </c>
      <c r="L156" s="22">
        <v>0</v>
      </c>
      <c r="M156" s="22">
        <v>437</v>
      </c>
      <c r="N156" s="22">
        <v>38412186.589999966</v>
      </c>
      <c r="O156" s="22">
        <v>549</v>
      </c>
      <c r="P156" s="22">
        <v>33717736.300000004</v>
      </c>
      <c r="Q156" s="29">
        <v>10066.720569999999</v>
      </c>
      <c r="R156" s="8">
        <v>856</v>
      </c>
      <c r="S156" s="8">
        <f>+VLOOKUP(B156,[1]Лист2!$A$4:$B$188,2,0)</f>
        <v>532</v>
      </c>
      <c r="T156" s="8">
        <v>50078651.909999989</v>
      </c>
      <c r="U156" s="8">
        <f>+VLOOKUP(B156,[1]Лист2!$A$4:$C$188,3,0)</f>
        <v>24589437.649999991</v>
      </c>
      <c r="V156" s="30">
        <f t="shared" si="75"/>
        <v>532</v>
      </c>
      <c r="W156" s="30">
        <f t="shared" si="76"/>
        <v>24589437.649999991</v>
      </c>
      <c r="X156" s="30">
        <f t="shared" si="77"/>
        <v>856</v>
      </c>
      <c r="Y156" s="30">
        <f t="shared" si="78"/>
        <v>50078651.909999989</v>
      </c>
      <c r="Z156" s="30">
        <f t="shared" si="83"/>
        <v>709.33333333333337</v>
      </c>
      <c r="AA156" s="30">
        <f t="shared" si="84"/>
        <v>32785916.866666656</v>
      </c>
      <c r="AB156" s="30">
        <v>1141.3333333333333</v>
      </c>
      <c r="AC156" s="30">
        <v>66771535.879999988</v>
      </c>
      <c r="AD156" s="8">
        <v>752</v>
      </c>
      <c r="AE156" s="8">
        <v>488</v>
      </c>
      <c r="AF156" s="8">
        <v>38387447.920000002</v>
      </c>
      <c r="AG156" s="8">
        <v>21607460.019999992</v>
      </c>
      <c r="AH156" s="23">
        <f t="shared" si="79"/>
        <v>488</v>
      </c>
      <c r="AI156" s="23">
        <f t="shared" si="80"/>
        <v>21607460.019999992</v>
      </c>
      <c r="AJ156" s="23">
        <f t="shared" si="81"/>
        <v>752</v>
      </c>
      <c r="AK156" s="23">
        <f t="shared" si="82"/>
        <v>38387447.920000002</v>
      </c>
      <c r="AL156" s="8">
        <v>488</v>
      </c>
      <c r="AM156" s="8">
        <v>21607460.019999992</v>
      </c>
      <c r="AN156" s="8">
        <v>752</v>
      </c>
      <c r="AO156" s="8">
        <v>38387447.920000002</v>
      </c>
      <c r="AP156" s="26">
        <v>29149.78832</v>
      </c>
      <c r="AQ156" s="13"/>
      <c r="AR156" s="14"/>
      <c r="AS156" s="13"/>
      <c r="AT156" s="13"/>
      <c r="AU156" s="13"/>
      <c r="AV156" s="13"/>
      <c r="AW156" s="13"/>
      <c r="AX156" s="13"/>
    </row>
    <row r="157" spans="2:50">
      <c r="B157" s="12">
        <v>842</v>
      </c>
      <c r="C157" s="11" t="s">
        <v>28</v>
      </c>
      <c r="D157" s="11" t="s">
        <v>146</v>
      </c>
      <c r="E157" s="25">
        <v>220</v>
      </c>
      <c r="F157" s="25">
        <v>192</v>
      </c>
      <c r="G157" s="25">
        <v>5633245.4400000004</v>
      </c>
      <c r="H157" s="25">
        <v>6641185.7599999988</v>
      </c>
      <c r="I157" s="39">
        <v>0</v>
      </c>
      <c r="J157" s="22">
        <v>0</v>
      </c>
      <c r="K157" s="22">
        <v>0</v>
      </c>
      <c r="L157" s="22">
        <v>0</v>
      </c>
      <c r="M157" s="22">
        <v>192</v>
      </c>
      <c r="N157" s="22">
        <v>6641185.7599999988</v>
      </c>
      <c r="O157" s="22">
        <v>220</v>
      </c>
      <c r="P157" s="22">
        <v>5633245.4400000004</v>
      </c>
      <c r="Q157" s="29">
        <v>849.03768000000002</v>
      </c>
      <c r="R157" s="8">
        <v>211</v>
      </c>
      <c r="S157" s="8">
        <f>+VLOOKUP(B157,[1]Лист2!$A$4:$B$188,2,0)</f>
        <v>285</v>
      </c>
      <c r="T157" s="8">
        <v>10687442.949999996</v>
      </c>
      <c r="U157" s="8">
        <f>+VLOOKUP(B157,[1]Лист2!$A$4:$C$188,3,0)</f>
        <v>8223963.9699999979</v>
      </c>
      <c r="V157" s="30">
        <f t="shared" si="75"/>
        <v>285</v>
      </c>
      <c r="W157" s="30">
        <f t="shared" si="76"/>
        <v>8223963.9699999979</v>
      </c>
      <c r="X157" s="30">
        <f t="shared" si="77"/>
        <v>211</v>
      </c>
      <c r="Y157" s="30">
        <f t="shared" si="78"/>
        <v>10687442.949999996</v>
      </c>
      <c r="Z157" s="30">
        <f t="shared" si="83"/>
        <v>380</v>
      </c>
      <c r="AA157" s="30">
        <f t="shared" si="84"/>
        <v>10965285.293333331</v>
      </c>
      <c r="AB157" s="30">
        <v>281.33333333333331</v>
      </c>
      <c r="AC157" s="30">
        <v>14249923.933333328</v>
      </c>
      <c r="AD157" s="8">
        <v>201</v>
      </c>
      <c r="AE157" s="8">
        <v>177</v>
      </c>
      <c r="AF157" s="8">
        <v>8758094.8599999994</v>
      </c>
      <c r="AG157" s="8">
        <v>5267240.0999999987</v>
      </c>
      <c r="AH157" s="23">
        <f t="shared" si="79"/>
        <v>177</v>
      </c>
      <c r="AI157" s="23">
        <f t="shared" si="80"/>
        <v>5267240.0999999987</v>
      </c>
      <c r="AJ157" s="23">
        <f t="shared" si="81"/>
        <v>201</v>
      </c>
      <c r="AK157" s="23">
        <f t="shared" si="82"/>
        <v>8758094.8599999994</v>
      </c>
      <c r="AL157" s="8">
        <v>177</v>
      </c>
      <c r="AM157" s="8">
        <v>5267240.0999999987</v>
      </c>
      <c r="AN157" s="8">
        <v>201</v>
      </c>
      <c r="AO157" s="8">
        <v>8758094.8599999994</v>
      </c>
      <c r="AP157" s="26">
        <v>400.85279000000003</v>
      </c>
      <c r="AQ157" s="13"/>
      <c r="AR157" s="14"/>
      <c r="AS157" s="13"/>
      <c r="AT157" s="13"/>
      <c r="AU157" s="13"/>
      <c r="AV157" s="13"/>
      <c r="AW157" s="13"/>
      <c r="AX157" s="13"/>
    </row>
    <row r="158" spans="2:50">
      <c r="B158" s="12">
        <v>1065</v>
      </c>
      <c r="C158" s="11" t="s">
        <v>28</v>
      </c>
      <c r="D158" s="11" t="s">
        <v>146</v>
      </c>
      <c r="E158" s="25">
        <v>0</v>
      </c>
      <c r="F158" s="25">
        <v>0</v>
      </c>
      <c r="G158" s="25">
        <v>0</v>
      </c>
      <c r="H158" s="25">
        <v>0</v>
      </c>
      <c r="I158" s="40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29">
        <v>2.3999999999999998E-4</v>
      </c>
      <c r="R158" s="8">
        <v>12</v>
      </c>
      <c r="S158" s="8"/>
      <c r="T158" s="8">
        <v>280194.81</v>
      </c>
      <c r="U158" s="8"/>
      <c r="V158" s="30">
        <f t="shared" si="75"/>
        <v>0</v>
      </c>
      <c r="W158" s="30">
        <f t="shared" si="76"/>
        <v>0</v>
      </c>
      <c r="X158" s="30">
        <f t="shared" si="77"/>
        <v>12</v>
      </c>
      <c r="Y158" s="30">
        <f t="shared" si="78"/>
        <v>280194.81</v>
      </c>
      <c r="Z158" s="30">
        <f t="shared" si="83"/>
        <v>0</v>
      </c>
      <c r="AA158" s="30">
        <f t="shared" si="84"/>
        <v>0</v>
      </c>
      <c r="AB158" s="30">
        <v>16</v>
      </c>
      <c r="AC158" s="30">
        <v>373593.08</v>
      </c>
      <c r="AD158" s="8">
        <v>9</v>
      </c>
      <c r="AE158" s="8">
        <v>0</v>
      </c>
      <c r="AF158" s="8">
        <v>312430.77</v>
      </c>
      <c r="AG158" s="8">
        <v>0</v>
      </c>
      <c r="AH158" s="23">
        <f t="shared" si="79"/>
        <v>0</v>
      </c>
      <c r="AI158" s="23">
        <f t="shared" si="80"/>
        <v>0</v>
      </c>
      <c r="AJ158" s="23">
        <f t="shared" si="81"/>
        <v>9</v>
      </c>
      <c r="AK158" s="23">
        <f t="shared" si="82"/>
        <v>312430.77</v>
      </c>
      <c r="AL158" s="8">
        <v>0</v>
      </c>
      <c r="AM158" s="8">
        <v>0</v>
      </c>
      <c r="AN158" s="8">
        <v>9</v>
      </c>
      <c r="AO158" s="8">
        <v>312430.77</v>
      </c>
      <c r="AP158" s="26">
        <v>194.26340000000002</v>
      </c>
      <c r="AQ158" s="13"/>
      <c r="AR158" s="14"/>
      <c r="AS158" s="13"/>
      <c r="AT158" s="13"/>
      <c r="AU158" s="13"/>
      <c r="AV158" s="13"/>
      <c r="AW158" s="13"/>
      <c r="AX158" s="13"/>
    </row>
    <row r="159" spans="2:50" ht="30">
      <c r="B159" s="12">
        <v>1142</v>
      </c>
      <c r="C159" s="11" t="s">
        <v>33</v>
      </c>
      <c r="D159" s="11" t="s">
        <v>147</v>
      </c>
      <c r="E159" s="25">
        <v>6</v>
      </c>
      <c r="F159" s="25">
        <v>7</v>
      </c>
      <c r="G159" s="25">
        <v>60058.58</v>
      </c>
      <c r="H159" s="25">
        <v>2338581.79</v>
      </c>
      <c r="I159" s="39">
        <v>0</v>
      </c>
      <c r="J159" s="22">
        <v>0</v>
      </c>
      <c r="K159" s="22">
        <v>0</v>
      </c>
      <c r="L159" s="22">
        <v>0</v>
      </c>
      <c r="M159" s="22">
        <v>7</v>
      </c>
      <c r="N159" s="22">
        <v>2338581.79</v>
      </c>
      <c r="O159" s="22">
        <v>6</v>
      </c>
      <c r="P159" s="22">
        <v>60058.58</v>
      </c>
      <c r="Q159" s="29">
        <v>0</v>
      </c>
      <c r="R159" s="8">
        <v>18</v>
      </c>
      <c r="S159" s="8">
        <f>+VLOOKUP(B159,[1]Лист2!$A$4:$B$188,2,0)</f>
        <v>7</v>
      </c>
      <c r="T159" s="8">
        <v>2597030.6700000004</v>
      </c>
      <c r="U159" s="8">
        <f>+VLOOKUP(B159,[1]Лист2!$A$4:$C$188,3,0)</f>
        <v>2851067.7400000007</v>
      </c>
      <c r="V159" s="30">
        <f t="shared" si="75"/>
        <v>7</v>
      </c>
      <c r="W159" s="30">
        <f t="shared" si="76"/>
        <v>2851067.7400000007</v>
      </c>
      <c r="X159" s="30">
        <f t="shared" si="77"/>
        <v>18</v>
      </c>
      <c r="Y159" s="30">
        <f t="shared" si="78"/>
        <v>2597030.6700000004</v>
      </c>
      <c r="Z159" s="30">
        <f t="shared" si="83"/>
        <v>9.3333333333333339</v>
      </c>
      <c r="AA159" s="30">
        <f t="shared" si="84"/>
        <v>3801423.6533333343</v>
      </c>
      <c r="AB159" s="30">
        <v>24</v>
      </c>
      <c r="AC159" s="30">
        <v>3462707.5600000005</v>
      </c>
      <c r="AD159" s="8">
        <v>10</v>
      </c>
      <c r="AE159" s="8">
        <v>0</v>
      </c>
      <c r="AF159" s="8">
        <v>942312.06000000017</v>
      </c>
      <c r="AG159" s="8">
        <v>0</v>
      </c>
      <c r="AH159" s="23">
        <f t="shared" si="79"/>
        <v>0</v>
      </c>
      <c r="AI159" s="23">
        <f t="shared" si="80"/>
        <v>0</v>
      </c>
      <c r="AJ159" s="23">
        <f t="shared" si="81"/>
        <v>10</v>
      </c>
      <c r="AK159" s="23">
        <f t="shared" si="82"/>
        <v>942312.06000000017</v>
      </c>
      <c r="AL159" s="8">
        <v>0</v>
      </c>
      <c r="AM159" s="8">
        <v>0</v>
      </c>
      <c r="AN159" s="8">
        <v>10</v>
      </c>
      <c r="AO159" s="8">
        <v>942312.06000000017</v>
      </c>
      <c r="AP159" s="26">
        <v>310.09208000000001</v>
      </c>
      <c r="AQ159" s="13"/>
      <c r="AR159" s="14"/>
      <c r="AS159" s="13"/>
      <c r="AT159" s="13"/>
      <c r="AU159" s="13"/>
      <c r="AV159" s="13"/>
      <c r="AW159" s="13"/>
      <c r="AX159" s="13"/>
    </row>
    <row r="160" spans="2:50" ht="30">
      <c r="B160" s="12">
        <v>433</v>
      </c>
      <c r="C160" s="11" t="s">
        <v>27</v>
      </c>
      <c r="D160" s="11" t="s">
        <v>148</v>
      </c>
      <c r="E160" s="25">
        <v>9</v>
      </c>
      <c r="F160" s="25">
        <v>2</v>
      </c>
      <c r="G160" s="25">
        <v>432516.92</v>
      </c>
      <c r="H160" s="25">
        <v>37520.800000000003</v>
      </c>
      <c r="I160" s="39">
        <v>0</v>
      </c>
      <c r="J160" s="22">
        <v>0</v>
      </c>
      <c r="K160" s="22">
        <v>0</v>
      </c>
      <c r="L160" s="22">
        <v>0</v>
      </c>
      <c r="M160" s="22">
        <v>2</v>
      </c>
      <c r="N160" s="22">
        <v>37520.800000000003</v>
      </c>
      <c r="O160" s="22">
        <v>9</v>
      </c>
      <c r="P160" s="22">
        <v>432516.92</v>
      </c>
      <c r="Q160" s="29">
        <v>2350.4401499999994</v>
      </c>
      <c r="R160" s="8">
        <v>12</v>
      </c>
      <c r="S160" s="8">
        <f>+VLOOKUP(B160,[1]Лист2!$A$4:$B$188,2,0)</f>
        <v>25</v>
      </c>
      <c r="T160" s="8">
        <v>987476.44</v>
      </c>
      <c r="U160" s="8">
        <f>+VLOOKUP(B160,[1]Лист2!$A$4:$C$188,3,0)</f>
        <v>330814.05000000005</v>
      </c>
      <c r="V160" s="30">
        <f t="shared" si="75"/>
        <v>25</v>
      </c>
      <c r="W160" s="30">
        <f t="shared" si="76"/>
        <v>330814.05000000005</v>
      </c>
      <c r="X160" s="30">
        <f t="shared" si="77"/>
        <v>12</v>
      </c>
      <c r="Y160" s="30">
        <f t="shared" si="78"/>
        <v>987476.44</v>
      </c>
      <c r="Z160" s="30">
        <f t="shared" si="83"/>
        <v>33.333333333333336</v>
      </c>
      <c r="AA160" s="30">
        <f t="shared" si="84"/>
        <v>441085.40000000008</v>
      </c>
      <c r="AB160" s="30">
        <v>16</v>
      </c>
      <c r="AC160" s="30">
        <v>1316635.2533333332</v>
      </c>
      <c r="AD160" s="8">
        <v>17</v>
      </c>
      <c r="AE160" s="8">
        <v>20</v>
      </c>
      <c r="AF160" s="8">
        <v>469642.79000000004</v>
      </c>
      <c r="AG160" s="8">
        <v>243079.59999999998</v>
      </c>
      <c r="AH160" s="23">
        <f t="shared" si="79"/>
        <v>20</v>
      </c>
      <c r="AI160" s="23">
        <f t="shared" si="80"/>
        <v>243079.59999999998</v>
      </c>
      <c r="AJ160" s="23">
        <f t="shared" si="81"/>
        <v>17</v>
      </c>
      <c r="AK160" s="23">
        <f t="shared" si="82"/>
        <v>469642.79000000004</v>
      </c>
      <c r="AL160" s="8">
        <v>20</v>
      </c>
      <c r="AM160" s="8">
        <v>243079.59999999998</v>
      </c>
      <c r="AN160" s="8">
        <v>17</v>
      </c>
      <c r="AO160" s="8">
        <v>469642.79000000004</v>
      </c>
      <c r="AP160" s="26">
        <v>2287.6217099999999</v>
      </c>
      <c r="AQ160" s="13"/>
      <c r="AR160" s="14"/>
      <c r="AS160" s="13"/>
      <c r="AT160" s="13"/>
      <c r="AU160" s="13"/>
      <c r="AV160" s="13"/>
      <c r="AW160" s="13"/>
      <c r="AX160" s="13"/>
    </row>
    <row r="161" spans="2:50" ht="30">
      <c r="B161" s="12">
        <v>10453</v>
      </c>
      <c r="C161" s="11" t="s">
        <v>27</v>
      </c>
      <c r="D161" s="11" t="s">
        <v>148</v>
      </c>
      <c r="E161" s="25">
        <v>2</v>
      </c>
      <c r="F161" s="25">
        <v>0</v>
      </c>
      <c r="G161" s="25">
        <v>47998.49</v>
      </c>
      <c r="H161" s="25">
        <v>0</v>
      </c>
      <c r="I161" s="40">
        <v>0</v>
      </c>
      <c r="J161" s="37">
        <v>0</v>
      </c>
      <c r="K161" s="37">
        <v>0</v>
      </c>
      <c r="L161" s="37">
        <v>0</v>
      </c>
      <c r="M161" s="22">
        <v>0</v>
      </c>
      <c r="N161" s="22">
        <v>0</v>
      </c>
      <c r="O161" s="22">
        <v>2</v>
      </c>
      <c r="P161" s="22">
        <v>47998.49</v>
      </c>
      <c r="Q161" s="29">
        <v>0</v>
      </c>
      <c r="R161" s="8"/>
      <c r="S161" s="8"/>
      <c r="T161" s="8"/>
      <c r="U161" s="8"/>
      <c r="V161" s="30">
        <f t="shared" si="75"/>
        <v>0</v>
      </c>
      <c r="W161" s="30">
        <f t="shared" si="76"/>
        <v>0</v>
      </c>
      <c r="X161" s="30">
        <f t="shared" si="77"/>
        <v>0</v>
      </c>
      <c r="Y161" s="30">
        <f t="shared" si="78"/>
        <v>0</v>
      </c>
      <c r="Z161" s="30">
        <f t="shared" si="83"/>
        <v>0</v>
      </c>
      <c r="AA161" s="30">
        <f t="shared" si="84"/>
        <v>0</v>
      </c>
      <c r="AB161" s="30">
        <v>0</v>
      </c>
      <c r="AC161" s="30">
        <v>0</v>
      </c>
      <c r="AD161" s="8">
        <v>0</v>
      </c>
      <c r="AE161" s="8">
        <v>0</v>
      </c>
      <c r="AF161" s="8">
        <v>0</v>
      </c>
      <c r="AG161" s="8">
        <v>0</v>
      </c>
      <c r="AH161" s="23">
        <f t="shared" si="79"/>
        <v>0</v>
      </c>
      <c r="AI161" s="23">
        <f t="shared" si="80"/>
        <v>0</v>
      </c>
      <c r="AJ161" s="23">
        <f t="shared" si="81"/>
        <v>0</v>
      </c>
      <c r="AK161" s="23">
        <f t="shared" si="82"/>
        <v>0</v>
      </c>
      <c r="AL161" s="8">
        <v>0</v>
      </c>
      <c r="AM161" s="8">
        <v>0</v>
      </c>
      <c r="AN161" s="8">
        <v>0</v>
      </c>
      <c r="AO161" s="8">
        <v>0</v>
      </c>
      <c r="AP161" s="26">
        <v>0</v>
      </c>
      <c r="AQ161" s="13"/>
      <c r="AR161" s="14"/>
      <c r="AS161" s="13"/>
      <c r="AT161" s="13"/>
      <c r="AU161" s="13"/>
      <c r="AV161" s="13"/>
      <c r="AW161" s="13"/>
      <c r="AX161" s="13"/>
    </row>
    <row r="162" spans="2:50" ht="30">
      <c r="B162" s="12">
        <v>11736</v>
      </c>
      <c r="C162" s="11" t="s">
        <v>27</v>
      </c>
      <c r="D162" s="11" t="s">
        <v>148</v>
      </c>
      <c r="E162" s="25">
        <v>6</v>
      </c>
      <c r="F162" s="25">
        <v>39</v>
      </c>
      <c r="G162" s="25">
        <v>288076</v>
      </c>
      <c r="H162" s="25">
        <v>1382450.46</v>
      </c>
      <c r="I162" s="39">
        <v>0</v>
      </c>
      <c r="J162" s="22">
        <v>0</v>
      </c>
      <c r="K162" s="22">
        <v>0</v>
      </c>
      <c r="L162" s="22">
        <v>0</v>
      </c>
      <c r="M162" s="22">
        <v>39</v>
      </c>
      <c r="N162" s="22">
        <v>1382450.46</v>
      </c>
      <c r="O162" s="22">
        <v>6</v>
      </c>
      <c r="P162" s="22">
        <v>288076</v>
      </c>
      <c r="Q162" s="29">
        <v>9.3367100000000001</v>
      </c>
      <c r="R162" s="8">
        <v>6</v>
      </c>
      <c r="S162" s="8">
        <f>+VLOOKUP(B162,[1]Лист2!$A$4:$B$188,2,0)</f>
        <v>25</v>
      </c>
      <c r="T162" s="8">
        <v>120145</v>
      </c>
      <c r="U162" s="8">
        <f>+VLOOKUP(B162,[1]Лист2!$A$4:$C$188,3,0)</f>
        <v>615823.25</v>
      </c>
      <c r="V162" s="30">
        <f t="shared" si="75"/>
        <v>25</v>
      </c>
      <c r="W162" s="30">
        <f t="shared" si="76"/>
        <v>615823.25</v>
      </c>
      <c r="X162" s="30">
        <f t="shared" si="77"/>
        <v>6</v>
      </c>
      <c r="Y162" s="30">
        <f t="shared" si="78"/>
        <v>120145</v>
      </c>
      <c r="Z162" s="30">
        <f t="shared" si="83"/>
        <v>33.333333333333336</v>
      </c>
      <c r="AA162" s="30">
        <f t="shared" si="84"/>
        <v>821097.66666666663</v>
      </c>
      <c r="AB162" s="30">
        <v>8</v>
      </c>
      <c r="AC162" s="30">
        <v>160193.33333333334</v>
      </c>
      <c r="AD162" s="8">
        <v>8</v>
      </c>
      <c r="AE162" s="8">
        <v>12</v>
      </c>
      <c r="AF162" s="8">
        <v>171347</v>
      </c>
      <c r="AG162" s="8">
        <v>232255.27000000002</v>
      </c>
      <c r="AH162" s="23">
        <f t="shared" si="79"/>
        <v>12</v>
      </c>
      <c r="AI162" s="23">
        <f t="shared" si="80"/>
        <v>232255.27000000002</v>
      </c>
      <c r="AJ162" s="23">
        <f t="shared" si="81"/>
        <v>8</v>
      </c>
      <c r="AK162" s="23">
        <f t="shared" si="82"/>
        <v>171347</v>
      </c>
      <c r="AL162" s="8">
        <v>12</v>
      </c>
      <c r="AM162" s="8">
        <v>232255.27000000002</v>
      </c>
      <c r="AN162" s="8">
        <v>8</v>
      </c>
      <c r="AO162" s="8">
        <v>171347</v>
      </c>
      <c r="AP162" s="26">
        <v>9.3367100000000001</v>
      </c>
      <c r="AQ162" s="13"/>
      <c r="AR162" s="14"/>
      <c r="AS162" s="13"/>
      <c r="AT162" s="13"/>
      <c r="AU162" s="13"/>
      <c r="AV162" s="13"/>
      <c r="AW162" s="13"/>
      <c r="AX162" s="13"/>
    </row>
    <row r="163" spans="2:50" ht="30">
      <c r="B163" s="12">
        <v>11797</v>
      </c>
      <c r="C163" s="11" t="s">
        <v>27</v>
      </c>
      <c r="D163" s="11" t="s">
        <v>148</v>
      </c>
      <c r="E163" s="25">
        <v>26</v>
      </c>
      <c r="F163" s="25">
        <v>4</v>
      </c>
      <c r="G163" s="25">
        <v>1251311.78</v>
      </c>
      <c r="H163" s="25">
        <v>120420</v>
      </c>
      <c r="I163" s="39">
        <v>0</v>
      </c>
      <c r="J163" s="22">
        <v>0</v>
      </c>
      <c r="K163" s="22">
        <v>0</v>
      </c>
      <c r="L163" s="22">
        <v>0</v>
      </c>
      <c r="M163" s="22">
        <v>4</v>
      </c>
      <c r="N163" s="22">
        <v>120420</v>
      </c>
      <c r="O163" s="22">
        <v>26</v>
      </c>
      <c r="P163" s="22">
        <v>1251311.78</v>
      </c>
      <c r="Q163" s="29">
        <v>211.64029000000002</v>
      </c>
      <c r="R163" s="8">
        <v>15</v>
      </c>
      <c r="S163" s="8"/>
      <c r="T163" s="8">
        <v>8548701.629999999</v>
      </c>
      <c r="U163" s="8"/>
      <c r="V163" s="30">
        <f t="shared" si="75"/>
        <v>0</v>
      </c>
      <c r="W163" s="30">
        <f t="shared" si="76"/>
        <v>0</v>
      </c>
      <c r="X163" s="30">
        <f t="shared" si="77"/>
        <v>15</v>
      </c>
      <c r="Y163" s="30">
        <f t="shared" si="78"/>
        <v>8548701.629999999</v>
      </c>
      <c r="Z163" s="30">
        <f t="shared" si="83"/>
        <v>0</v>
      </c>
      <c r="AA163" s="30">
        <f t="shared" si="84"/>
        <v>0</v>
      </c>
      <c r="AB163" s="30">
        <v>20</v>
      </c>
      <c r="AC163" s="30">
        <v>11398268.839999998</v>
      </c>
      <c r="AD163" s="8">
        <v>16</v>
      </c>
      <c r="AE163" s="8">
        <v>0</v>
      </c>
      <c r="AF163" s="8">
        <v>6202047.9499999993</v>
      </c>
      <c r="AG163" s="8">
        <v>0</v>
      </c>
      <c r="AH163" s="23">
        <f t="shared" si="79"/>
        <v>0</v>
      </c>
      <c r="AI163" s="23">
        <f t="shared" si="80"/>
        <v>0</v>
      </c>
      <c r="AJ163" s="23">
        <f t="shared" si="81"/>
        <v>16</v>
      </c>
      <c r="AK163" s="23">
        <f t="shared" si="82"/>
        <v>6202047.9499999993</v>
      </c>
      <c r="AL163" s="8">
        <v>0</v>
      </c>
      <c r="AM163" s="8">
        <v>0</v>
      </c>
      <c r="AN163" s="8">
        <v>16</v>
      </c>
      <c r="AO163" s="8">
        <v>6202047.9499999993</v>
      </c>
      <c r="AP163" s="26">
        <v>235.28005999999999</v>
      </c>
      <c r="AQ163" s="13"/>
      <c r="AR163" s="14"/>
      <c r="AS163" s="13"/>
      <c r="AT163" s="13"/>
      <c r="AU163" s="13"/>
      <c r="AV163" s="13"/>
      <c r="AW163" s="13"/>
      <c r="AX163" s="13"/>
    </row>
    <row r="164" spans="2:50">
      <c r="B164" s="12">
        <v>450</v>
      </c>
      <c r="C164" s="11" t="s">
        <v>15</v>
      </c>
      <c r="D164" s="11" t="s">
        <v>149</v>
      </c>
      <c r="E164" s="25">
        <v>3</v>
      </c>
      <c r="F164" s="25">
        <v>0</v>
      </c>
      <c r="G164" s="25">
        <v>3220</v>
      </c>
      <c r="H164" s="25">
        <v>0</v>
      </c>
      <c r="I164" s="40">
        <v>0</v>
      </c>
      <c r="J164" s="37">
        <v>0</v>
      </c>
      <c r="K164" s="37">
        <v>0</v>
      </c>
      <c r="L164" s="37">
        <v>0</v>
      </c>
      <c r="M164" s="22">
        <v>0</v>
      </c>
      <c r="N164" s="22">
        <v>0</v>
      </c>
      <c r="O164" s="22">
        <v>3</v>
      </c>
      <c r="P164" s="22">
        <v>3220</v>
      </c>
      <c r="Q164" s="29">
        <v>77.926820000000006</v>
      </c>
      <c r="R164" s="8"/>
      <c r="S164" s="8"/>
      <c r="T164" s="8"/>
      <c r="U164" s="8"/>
      <c r="V164" s="30">
        <f t="shared" si="75"/>
        <v>0</v>
      </c>
      <c r="W164" s="30">
        <f t="shared" si="76"/>
        <v>0</v>
      </c>
      <c r="X164" s="30">
        <f t="shared" si="77"/>
        <v>0</v>
      </c>
      <c r="Y164" s="30">
        <f t="shared" si="78"/>
        <v>0</v>
      </c>
      <c r="Z164" s="30">
        <f t="shared" si="83"/>
        <v>0</v>
      </c>
      <c r="AA164" s="30">
        <f t="shared" si="84"/>
        <v>0</v>
      </c>
      <c r="AB164" s="30">
        <v>0</v>
      </c>
      <c r="AC164" s="30">
        <v>0</v>
      </c>
      <c r="AD164" s="8">
        <v>7</v>
      </c>
      <c r="AE164" s="8">
        <v>0</v>
      </c>
      <c r="AF164" s="8">
        <v>865381.5</v>
      </c>
      <c r="AG164" s="8">
        <v>0</v>
      </c>
      <c r="AH164" s="23">
        <f t="shared" si="79"/>
        <v>0</v>
      </c>
      <c r="AI164" s="23">
        <f t="shared" si="80"/>
        <v>0</v>
      </c>
      <c r="AJ164" s="23">
        <f t="shared" si="81"/>
        <v>7</v>
      </c>
      <c r="AK164" s="23">
        <f t="shared" si="82"/>
        <v>865381.5</v>
      </c>
      <c r="AL164" s="8">
        <v>0</v>
      </c>
      <c r="AM164" s="8">
        <v>0</v>
      </c>
      <c r="AN164" s="8">
        <v>7</v>
      </c>
      <c r="AO164" s="8">
        <v>865381.5</v>
      </c>
      <c r="AP164" s="26">
        <v>79.329820000000012</v>
      </c>
      <c r="AQ164" s="13"/>
      <c r="AR164" s="14"/>
      <c r="AS164" s="13"/>
      <c r="AT164" s="13"/>
      <c r="AU164" s="13"/>
      <c r="AV164" s="13"/>
      <c r="AW164" s="8"/>
      <c r="AX164" s="8"/>
    </row>
    <row r="165" spans="2:50">
      <c r="B165" s="12">
        <v>11751</v>
      </c>
      <c r="C165" s="11" t="s">
        <v>15</v>
      </c>
      <c r="D165" s="11" t="s">
        <v>149</v>
      </c>
      <c r="E165" s="25">
        <v>137</v>
      </c>
      <c r="F165" s="25">
        <v>50</v>
      </c>
      <c r="G165" s="25">
        <v>2737224.5500000007</v>
      </c>
      <c r="H165" s="25">
        <v>5071027.41</v>
      </c>
      <c r="I165" s="39">
        <v>0</v>
      </c>
      <c r="J165" s="22">
        <v>0</v>
      </c>
      <c r="K165" s="22">
        <v>0</v>
      </c>
      <c r="L165" s="22">
        <v>0</v>
      </c>
      <c r="M165" s="22">
        <v>50</v>
      </c>
      <c r="N165" s="22">
        <v>5071027.41</v>
      </c>
      <c r="O165" s="22">
        <v>137</v>
      </c>
      <c r="P165" s="22">
        <v>2737224.5500000007</v>
      </c>
      <c r="Q165" s="29">
        <v>2441.3770099999997</v>
      </c>
      <c r="R165" s="8">
        <v>139</v>
      </c>
      <c r="S165" s="8">
        <f>+VLOOKUP(B165,[1]Лист2!$A$4:$B$188,2,0)</f>
        <v>54</v>
      </c>
      <c r="T165" s="8">
        <v>6448756.2699999996</v>
      </c>
      <c r="U165" s="8">
        <f>+VLOOKUP(B165,[1]Лист2!$A$4:$C$188,3,0)</f>
        <v>6186238.6899999995</v>
      </c>
      <c r="V165" s="30">
        <f t="shared" si="75"/>
        <v>54</v>
      </c>
      <c r="W165" s="30">
        <f t="shared" si="76"/>
        <v>6186238.6899999995</v>
      </c>
      <c r="X165" s="30">
        <f t="shared" si="77"/>
        <v>139</v>
      </c>
      <c r="Y165" s="30">
        <f t="shared" si="78"/>
        <v>6448756.2699999996</v>
      </c>
      <c r="Z165" s="30">
        <f t="shared" si="83"/>
        <v>72</v>
      </c>
      <c r="AA165" s="30">
        <f t="shared" si="84"/>
        <v>8248318.2533333329</v>
      </c>
      <c r="AB165" s="30">
        <v>185.33333333333334</v>
      </c>
      <c r="AC165" s="30">
        <v>8598341.6933333334</v>
      </c>
      <c r="AD165" s="8">
        <v>85</v>
      </c>
      <c r="AE165" s="8">
        <v>97</v>
      </c>
      <c r="AF165" s="8">
        <v>5469831.9199999981</v>
      </c>
      <c r="AG165" s="8">
        <v>7410308.4399999995</v>
      </c>
      <c r="AH165" s="23">
        <f t="shared" si="79"/>
        <v>97</v>
      </c>
      <c r="AI165" s="23">
        <f t="shared" si="80"/>
        <v>7410308.4399999995</v>
      </c>
      <c r="AJ165" s="23">
        <f t="shared" si="81"/>
        <v>85</v>
      </c>
      <c r="AK165" s="23">
        <f t="shared" si="82"/>
        <v>5469831.9199999981</v>
      </c>
      <c r="AL165" s="8">
        <v>97</v>
      </c>
      <c r="AM165" s="8">
        <v>7410308.4399999995</v>
      </c>
      <c r="AN165" s="8">
        <v>85</v>
      </c>
      <c r="AO165" s="8">
        <v>5469831.9199999981</v>
      </c>
      <c r="AP165" s="26">
        <v>2458.9186299999997</v>
      </c>
      <c r="AQ165" s="13"/>
      <c r="AR165" s="14"/>
      <c r="AS165" s="13"/>
      <c r="AT165" s="13"/>
      <c r="AU165" s="13"/>
      <c r="AV165" s="13"/>
      <c r="AW165" s="13"/>
      <c r="AX165" s="13"/>
    </row>
    <row r="166" spans="2:50">
      <c r="B166" s="12">
        <v>11752</v>
      </c>
      <c r="C166" s="11" t="s">
        <v>15</v>
      </c>
      <c r="D166" s="11" t="s">
        <v>149</v>
      </c>
      <c r="E166" s="25">
        <v>24</v>
      </c>
      <c r="F166" s="25">
        <v>6</v>
      </c>
      <c r="G166" s="25">
        <v>2103646.37</v>
      </c>
      <c r="H166" s="25">
        <v>166431.18</v>
      </c>
      <c r="I166" s="39">
        <v>0</v>
      </c>
      <c r="J166" s="22">
        <v>0</v>
      </c>
      <c r="K166" s="22">
        <v>0</v>
      </c>
      <c r="L166" s="22">
        <v>0</v>
      </c>
      <c r="M166" s="22">
        <v>6</v>
      </c>
      <c r="N166" s="22">
        <v>166431.18</v>
      </c>
      <c r="O166" s="22">
        <v>24</v>
      </c>
      <c r="P166" s="22">
        <v>2103646.37</v>
      </c>
      <c r="Q166" s="29">
        <v>16350.815830000003</v>
      </c>
      <c r="R166" s="8">
        <v>47</v>
      </c>
      <c r="S166" s="8">
        <f>+VLOOKUP(B166,[1]Лист2!$A$4:$B$188,2,0)</f>
        <v>21</v>
      </c>
      <c r="T166" s="8">
        <v>1855724.6700000002</v>
      </c>
      <c r="U166" s="8">
        <f>+VLOOKUP(B166,[1]Лист2!$A$4:$C$188,3,0)</f>
        <v>768749.76000000013</v>
      </c>
      <c r="V166" s="30">
        <f t="shared" si="75"/>
        <v>21</v>
      </c>
      <c r="W166" s="30">
        <f t="shared" si="76"/>
        <v>768749.76000000013</v>
      </c>
      <c r="X166" s="30">
        <f t="shared" si="77"/>
        <v>47</v>
      </c>
      <c r="Y166" s="30">
        <f t="shared" si="78"/>
        <v>1855724.6700000002</v>
      </c>
      <c r="Z166" s="30">
        <f t="shared" si="83"/>
        <v>28</v>
      </c>
      <c r="AA166" s="30">
        <f t="shared" si="84"/>
        <v>1024999.6800000002</v>
      </c>
      <c r="AB166" s="30">
        <v>62.666666666666664</v>
      </c>
      <c r="AC166" s="30">
        <v>2474299.56</v>
      </c>
      <c r="AD166" s="8">
        <v>38</v>
      </c>
      <c r="AE166" s="8">
        <v>8</v>
      </c>
      <c r="AF166" s="8">
        <v>1409243.3199999998</v>
      </c>
      <c r="AG166" s="8">
        <v>568484.5</v>
      </c>
      <c r="AH166" s="23">
        <f t="shared" si="79"/>
        <v>8</v>
      </c>
      <c r="AI166" s="23">
        <f t="shared" si="80"/>
        <v>568484.5</v>
      </c>
      <c r="AJ166" s="23">
        <f t="shared" si="81"/>
        <v>38</v>
      </c>
      <c r="AK166" s="23">
        <f t="shared" si="82"/>
        <v>1409243.3199999998</v>
      </c>
      <c r="AL166" s="8">
        <v>8</v>
      </c>
      <c r="AM166" s="8">
        <v>568484.5</v>
      </c>
      <c r="AN166" s="8">
        <v>38</v>
      </c>
      <c r="AO166" s="8">
        <v>1409243.3199999998</v>
      </c>
      <c r="AP166" s="26">
        <v>15823.757430000001</v>
      </c>
      <c r="AQ166" s="13"/>
      <c r="AR166" s="14"/>
      <c r="AS166" s="13"/>
      <c r="AT166" s="13"/>
      <c r="AU166" s="13"/>
      <c r="AV166" s="13"/>
      <c r="AW166" s="13"/>
      <c r="AX166" s="13"/>
    </row>
    <row r="167" spans="2:50">
      <c r="B167" s="12">
        <v>11753</v>
      </c>
      <c r="C167" s="11" t="s">
        <v>15</v>
      </c>
      <c r="D167" s="11" t="s">
        <v>149</v>
      </c>
      <c r="E167" s="25">
        <v>15</v>
      </c>
      <c r="F167" s="25">
        <v>24</v>
      </c>
      <c r="G167" s="25">
        <v>435766.3</v>
      </c>
      <c r="H167" s="25">
        <v>8869369</v>
      </c>
      <c r="I167" s="39">
        <v>0</v>
      </c>
      <c r="J167" s="22">
        <v>0</v>
      </c>
      <c r="K167" s="22">
        <v>0</v>
      </c>
      <c r="L167" s="22">
        <v>0</v>
      </c>
      <c r="M167" s="22">
        <v>24</v>
      </c>
      <c r="N167" s="22">
        <v>8869369</v>
      </c>
      <c r="O167" s="22">
        <v>15</v>
      </c>
      <c r="P167" s="22">
        <v>435766.3</v>
      </c>
      <c r="Q167" s="29">
        <v>2329.29898</v>
      </c>
      <c r="R167" s="8">
        <v>43</v>
      </c>
      <c r="S167" s="8">
        <f>+VLOOKUP(B167,[1]Лист2!$A$4:$B$188,2,0)</f>
        <v>56</v>
      </c>
      <c r="T167" s="8">
        <v>4112289.1200000006</v>
      </c>
      <c r="U167" s="8">
        <f>+VLOOKUP(B167,[1]Лист2!$A$4:$C$188,3,0)</f>
        <v>17694781.389999997</v>
      </c>
      <c r="V167" s="30">
        <f t="shared" si="75"/>
        <v>56</v>
      </c>
      <c r="W167" s="30">
        <f t="shared" si="76"/>
        <v>17694781.389999997</v>
      </c>
      <c r="X167" s="30">
        <f t="shared" si="77"/>
        <v>43</v>
      </c>
      <c r="Y167" s="30">
        <f t="shared" si="78"/>
        <v>4112289.1200000006</v>
      </c>
      <c r="Z167" s="30">
        <f t="shared" si="83"/>
        <v>74.666666666666671</v>
      </c>
      <c r="AA167" s="30">
        <f t="shared" si="84"/>
        <v>23593041.853333328</v>
      </c>
      <c r="AB167" s="30">
        <v>57.333333333333336</v>
      </c>
      <c r="AC167" s="30">
        <v>5483052.1600000011</v>
      </c>
      <c r="AD167" s="8">
        <v>44</v>
      </c>
      <c r="AE167" s="8">
        <v>62</v>
      </c>
      <c r="AF167" s="8">
        <v>6703310.9299999997</v>
      </c>
      <c r="AG167" s="8">
        <v>24643322.300000001</v>
      </c>
      <c r="AH167" s="23">
        <f t="shared" si="79"/>
        <v>62</v>
      </c>
      <c r="AI167" s="23">
        <f t="shared" si="80"/>
        <v>24643322.300000001</v>
      </c>
      <c r="AJ167" s="23">
        <f t="shared" si="81"/>
        <v>44</v>
      </c>
      <c r="AK167" s="23">
        <f t="shared" si="82"/>
        <v>6703310.9299999997</v>
      </c>
      <c r="AL167" s="8">
        <v>62</v>
      </c>
      <c r="AM167" s="8">
        <v>24643322.300000001</v>
      </c>
      <c r="AN167" s="8">
        <v>44</v>
      </c>
      <c r="AO167" s="8">
        <v>6703310.9299999997</v>
      </c>
      <c r="AP167" s="26">
        <v>1954.8041400000002</v>
      </c>
      <c r="AQ167" s="13"/>
      <c r="AR167" s="14"/>
      <c r="AS167" s="13"/>
      <c r="AT167" s="13"/>
      <c r="AU167" s="13"/>
      <c r="AV167" s="13"/>
      <c r="AW167" s="13"/>
      <c r="AX167" s="13"/>
    </row>
    <row r="168" spans="2:50">
      <c r="B168" s="12">
        <v>11754</v>
      </c>
      <c r="C168" s="11" t="s">
        <v>15</v>
      </c>
      <c r="D168" s="11" t="s">
        <v>149</v>
      </c>
      <c r="E168" s="25">
        <v>10</v>
      </c>
      <c r="F168" s="25">
        <v>0</v>
      </c>
      <c r="G168" s="25">
        <v>1111380.29</v>
      </c>
      <c r="H168" s="25">
        <v>0</v>
      </c>
      <c r="I168" s="40">
        <v>0</v>
      </c>
      <c r="J168" s="37">
        <v>0</v>
      </c>
      <c r="K168" s="37">
        <v>0</v>
      </c>
      <c r="L168" s="37">
        <v>0</v>
      </c>
      <c r="M168" s="22">
        <v>0</v>
      </c>
      <c r="N168" s="22">
        <v>0</v>
      </c>
      <c r="O168" s="22">
        <v>10</v>
      </c>
      <c r="P168" s="22">
        <v>1111380.29</v>
      </c>
      <c r="Q168" s="29">
        <v>0</v>
      </c>
      <c r="R168" s="8">
        <v>11</v>
      </c>
      <c r="S168" s="8"/>
      <c r="T168" s="8">
        <v>533202</v>
      </c>
      <c r="U168" s="8"/>
      <c r="V168" s="30">
        <f t="shared" si="75"/>
        <v>0</v>
      </c>
      <c r="W168" s="30">
        <f t="shared" si="76"/>
        <v>0</v>
      </c>
      <c r="X168" s="30">
        <f t="shared" si="77"/>
        <v>11</v>
      </c>
      <c r="Y168" s="30">
        <f t="shared" si="78"/>
        <v>533202</v>
      </c>
      <c r="Z168" s="30">
        <f t="shared" si="83"/>
        <v>0</v>
      </c>
      <c r="AA168" s="30">
        <f t="shared" si="84"/>
        <v>0</v>
      </c>
      <c r="AB168" s="30">
        <v>14.666666666666666</v>
      </c>
      <c r="AC168" s="30">
        <v>710936</v>
      </c>
      <c r="AD168" s="8">
        <v>5</v>
      </c>
      <c r="AE168" s="8">
        <v>0</v>
      </c>
      <c r="AF168" s="8">
        <v>382128.92</v>
      </c>
      <c r="AG168" s="8">
        <v>0</v>
      </c>
      <c r="AH168" s="23">
        <f t="shared" si="79"/>
        <v>0</v>
      </c>
      <c r="AI168" s="23">
        <f t="shared" si="80"/>
        <v>0</v>
      </c>
      <c r="AJ168" s="23">
        <f t="shared" si="81"/>
        <v>5</v>
      </c>
      <c r="AK168" s="23">
        <f t="shared" si="82"/>
        <v>382128.92</v>
      </c>
      <c r="AL168" s="8">
        <v>0</v>
      </c>
      <c r="AM168" s="8">
        <v>0</v>
      </c>
      <c r="AN168" s="8">
        <v>5</v>
      </c>
      <c r="AO168" s="8">
        <v>382128.92</v>
      </c>
      <c r="AP168" s="26">
        <v>1036.251</v>
      </c>
      <c r="AQ168" s="13"/>
      <c r="AR168" s="14"/>
      <c r="AS168" s="13"/>
      <c r="AT168" s="13"/>
      <c r="AU168" s="13"/>
      <c r="AV168" s="13"/>
      <c r="AW168" s="13"/>
      <c r="AX168" s="13"/>
    </row>
    <row r="169" spans="2:50">
      <c r="B169" s="12">
        <v>11755</v>
      </c>
      <c r="C169" s="11" t="s">
        <v>15</v>
      </c>
      <c r="D169" s="11" t="s">
        <v>149</v>
      </c>
      <c r="E169" s="25">
        <v>21</v>
      </c>
      <c r="F169" s="25">
        <v>1</v>
      </c>
      <c r="G169" s="25">
        <v>721248.02999999991</v>
      </c>
      <c r="H169" s="25">
        <v>1600</v>
      </c>
      <c r="I169" s="39">
        <v>0</v>
      </c>
      <c r="J169" s="22">
        <v>0</v>
      </c>
      <c r="K169" s="22">
        <v>0</v>
      </c>
      <c r="L169" s="22">
        <v>0</v>
      </c>
      <c r="M169" s="22">
        <v>1</v>
      </c>
      <c r="N169" s="22">
        <v>1600</v>
      </c>
      <c r="O169" s="22">
        <v>21</v>
      </c>
      <c r="P169" s="22">
        <v>721248.02999999991</v>
      </c>
      <c r="Q169" s="29">
        <v>214.53886999999997</v>
      </c>
      <c r="R169" s="8">
        <v>16</v>
      </c>
      <c r="S169" s="8">
        <f>+VLOOKUP(B169,[1]Лист2!$A$4:$B$188,2,0)</f>
        <v>19</v>
      </c>
      <c r="T169" s="8">
        <v>884610.14</v>
      </c>
      <c r="U169" s="8">
        <f>+VLOOKUP(B169,[1]Лист2!$A$4:$C$188,3,0)</f>
        <v>505265.89</v>
      </c>
      <c r="V169" s="30">
        <f t="shared" si="75"/>
        <v>19</v>
      </c>
      <c r="W169" s="30">
        <f t="shared" si="76"/>
        <v>505265.89</v>
      </c>
      <c r="X169" s="30">
        <f t="shared" si="77"/>
        <v>16</v>
      </c>
      <c r="Y169" s="30">
        <f t="shared" si="78"/>
        <v>884610.14</v>
      </c>
      <c r="Z169" s="30">
        <f t="shared" si="83"/>
        <v>25.333333333333332</v>
      </c>
      <c r="AA169" s="30">
        <f t="shared" si="84"/>
        <v>673687.85333333339</v>
      </c>
      <c r="AB169" s="30">
        <v>21.333333333333332</v>
      </c>
      <c r="AC169" s="30">
        <v>1179480.1866666668</v>
      </c>
      <c r="AD169" s="8">
        <v>8</v>
      </c>
      <c r="AE169" s="8">
        <v>24</v>
      </c>
      <c r="AF169" s="8">
        <v>113384.9</v>
      </c>
      <c r="AG169" s="8">
        <v>635969.24999999977</v>
      </c>
      <c r="AH169" s="23">
        <f t="shared" si="79"/>
        <v>24</v>
      </c>
      <c r="AI169" s="23">
        <f t="shared" si="80"/>
        <v>635969.24999999977</v>
      </c>
      <c r="AJ169" s="23">
        <f t="shared" si="81"/>
        <v>8</v>
      </c>
      <c r="AK169" s="23">
        <f t="shared" si="82"/>
        <v>113384.9</v>
      </c>
      <c r="AL169" s="8">
        <v>24</v>
      </c>
      <c r="AM169" s="8">
        <v>635969.24999999977</v>
      </c>
      <c r="AN169" s="8">
        <v>8</v>
      </c>
      <c r="AO169" s="8">
        <v>113384.9</v>
      </c>
      <c r="AP169" s="26">
        <v>1704.1492499999999</v>
      </c>
      <c r="AQ169" s="13"/>
      <c r="AR169" s="14"/>
      <c r="AS169" s="13"/>
      <c r="AT169" s="13"/>
      <c r="AU169" s="13"/>
      <c r="AV169" s="13"/>
      <c r="AW169" s="13"/>
      <c r="AX169" s="13"/>
    </row>
    <row r="170" spans="2:50">
      <c r="B170" s="12">
        <v>11756</v>
      </c>
      <c r="C170" s="11" t="s">
        <v>15</v>
      </c>
      <c r="D170" s="11" t="s">
        <v>149</v>
      </c>
      <c r="E170" s="25">
        <v>78</v>
      </c>
      <c r="F170" s="25">
        <v>29</v>
      </c>
      <c r="G170" s="25">
        <v>3735449.9200000004</v>
      </c>
      <c r="H170" s="25">
        <v>202425.28999999998</v>
      </c>
      <c r="I170" s="39">
        <v>0</v>
      </c>
      <c r="J170" s="22">
        <v>0</v>
      </c>
      <c r="K170" s="22">
        <v>0</v>
      </c>
      <c r="L170" s="22">
        <v>0</v>
      </c>
      <c r="M170" s="22">
        <v>29</v>
      </c>
      <c r="N170" s="22">
        <v>202425.28999999998</v>
      </c>
      <c r="O170" s="22">
        <v>78</v>
      </c>
      <c r="P170" s="22">
        <v>3735449.9200000004</v>
      </c>
      <c r="Q170" s="29">
        <v>5463.1213800000005</v>
      </c>
      <c r="R170" s="8">
        <v>79</v>
      </c>
      <c r="S170" s="8">
        <f>+VLOOKUP(B170,[1]Лист2!$A$4:$B$188,2,0)</f>
        <v>25</v>
      </c>
      <c r="T170" s="8">
        <v>4259673.9400000004</v>
      </c>
      <c r="U170" s="8">
        <f>+VLOOKUP(B170,[1]Лист2!$A$4:$C$188,3,0)</f>
        <v>812947.79</v>
      </c>
      <c r="V170" s="30">
        <f t="shared" si="75"/>
        <v>25</v>
      </c>
      <c r="W170" s="30">
        <f t="shared" si="76"/>
        <v>812947.79</v>
      </c>
      <c r="X170" s="30">
        <f t="shared" si="77"/>
        <v>79</v>
      </c>
      <c r="Y170" s="30">
        <f t="shared" si="78"/>
        <v>4259673.9400000004</v>
      </c>
      <c r="Z170" s="30">
        <f t="shared" ref="Z170:Z201" si="85">((+S170)/3)*4</f>
        <v>33.333333333333336</v>
      </c>
      <c r="AA170" s="30">
        <f t="shared" ref="AA170:AA201" si="86">((+U170)/3)*4</f>
        <v>1083930.3866666667</v>
      </c>
      <c r="AB170" s="30">
        <v>105.33333333333333</v>
      </c>
      <c r="AC170" s="30">
        <v>5679565.2533333339</v>
      </c>
      <c r="AD170" s="8">
        <v>85</v>
      </c>
      <c r="AE170" s="8">
        <v>41</v>
      </c>
      <c r="AF170" s="8">
        <v>4523564.55</v>
      </c>
      <c r="AG170" s="8">
        <v>2893648.8499999996</v>
      </c>
      <c r="AH170" s="23">
        <f t="shared" si="79"/>
        <v>41</v>
      </c>
      <c r="AI170" s="23">
        <f t="shared" si="80"/>
        <v>2893648.8499999996</v>
      </c>
      <c r="AJ170" s="23">
        <f t="shared" si="81"/>
        <v>85</v>
      </c>
      <c r="AK170" s="23">
        <f t="shared" si="82"/>
        <v>4523564.55</v>
      </c>
      <c r="AL170" s="8">
        <v>41</v>
      </c>
      <c r="AM170" s="8">
        <v>2893648.8499999996</v>
      </c>
      <c r="AN170" s="8">
        <v>85</v>
      </c>
      <c r="AO170" s="8">
        <v>4523564.55</v>
      </c>
      <c r="AP170" s="26">
        <v>5551.1887300000017</v>
      </c>
      <c r="AQ170" s="13"/>
      <c r="AR170" s="14"/>
      <c r="AS170" s="13"/>
      <c r="AT170" s="13"/>
      <c r="AU170" s="13"/>
      <c r="AV170" s="13"/>
      <c r="AW170" s="13"/>
      <c r="AX170" s="13"/>
    </row>
    <row r="171" spans="2:50">
      <c r="B171" s="12">
        <v>11757</v>
      </c>
      <c r="C171" s="11" t="s">
        <v>15</v>
      </c>
      <c r="D171" s="11" t="s">
        <v>149</v>
      </c>
      <c r="E171" s="25">
        <v>15</v>
      </c>
      <c r="F171" s="25">
        <v>3</v>
      </c>
      <c r="G171" s="25">
        <v>969180.23</v>
      </c>
      <c r="H171" s="25">
        <v>77161.750000000015</v>
      </c>
      <c r="I171" s="39">
        <v>0</v>
      </c>
      <c r="J171" s="22">
        <v>0</v>
      </c>
      <c r="K171" s="22">
        <v>0</v>
      </c>
      <c r="L171" s="22">
        <v>0</v>
      </c>
      <c r="M171" s="22">
        <v>3</v>
      </c>
      <c r="N171" s="22">
        <v>77161.750000000015</v>
      </c>
      <c r="O171" s="22">
        <v>15</v>
      </c>
      <c r="P171" s="22">
        <v>969180.23</v>
      </c>
      <c r="Q171" s="29">
        <v>2.5000000000000001E-4</v>
      </c>
      <c r="R171" s="8">
        <v>16</v>
      </c>
      <c r="S171" s="8">
        <f>+VLOOKUP(B171,[1]Лист2!$A$4:$B$188,2,0)</f>
        <v>3</v>
      </c>
      <c r="T171" s="8">
        <v>3080886.96</v>
      </c>
      <c r="U171" s="8">
        <f>+VLOOKUP(B171,[1]Лист2!$A$4:$C$188,3,0)</f>
        <v>3514000</v>
      </c>
      <c r="V171" s="30">
        <f t="shared" si="75"/>
        <v>3</v>
      </c>
      <c r="W171" s="30">
        <f t="shared" si="76"/>
        <v>3514000</v>
      </c>
      <c r="X171" s="30">
        <f t="shared" si="77"/>
        <v>16</v>
      </c>
      <c r="Y171" s="30">
        <f t="shared" si="78"/>
        <v>3080886.96</v>
      </c>
      <c r="Z171" s="30">
        <f t="shared" si="85"/>
        <v>4</v>
      </c>
      <c r="AA171" s="30">
        <f t="shared" si="86"/>
        <v>4685333.333333333</v>
      </c>
      <c r="AB171" s="30">
        <v>21.333333333333332</v>
      </c>
      <c r="AC171" s="30">
        <v>4107849.28</v>
      </c>
      <c r="AD171" s="8">
        <v>24</v>
      </c>
      <c r="AE171" s="8">
        <v>13</v>
      </c>
      <c r="AF171" s="8">
        <v>3564076.23</v>
      </c>
      <c r="AG171" s="8">
        <v>5446316.5899999999</v>
      </c>
      <c r="AH171" s="23">
        <f t="shared" si="79"/>
        <v>13</v>
      </c>
      <c r="AI171" s="23">
        <f t="shared" si="80"/>
        <v>5446316.5899999999</v>
      </c>
      <c r="AJ171" s="23">
        <f t="shared" si="81"/>
        <v>24</v>
      </c>
      <c r="AK171" s="23">
        <f t="shared" si="82"/>
        <v>3564076.23</v>
      </c>
      <c r="AL171" s="8">
        <v>13</v>
      </c>
      <c r="AM171" s="8">
        <v>5446316.5899999999</v>
      </c>
      <c r="AN171" s="8">
        <v>24</v>
      </c>
      <c r="AO171" s="8">
        <v>3564076.23</v>
      </c>
      <c r="AP171" s="26">
        <v>13.299910000000001</v>
      </c>
      <c r="AQ171" s="13"/>
      <c r="AR171" s="14"/>
      <c r="AS171" s="13"/>
      <c r="AT171" s="13"/>
      <c r="AU171" s="13"/>
      <c r="AV171" s="13"/>
      <c r="AW171" s="13"/>
      <c r="AX171" s="13"/>
    </row>
    <row r="172" spans="2:50">
      <c r="B172" s="12">
        <v>11758</v>
      </c>
      <c r="C172" s="11" t="s">
        <v>15</v>
      </c>
      <c r="D172" s="11" t="s">
        <v>149</v>
      </c>
      <c r="E172" s="25">
        <v>160</v>
      </c>
      <c r="F172" s="25">
        <v>91</v>
      </c>
      <c r="G172" s="25">
        <v>8684315.5700000003</v>
      </c>
      <c r="H172" s="25">
        <v>10286064.68</v>
      </c>
      <c r="I172" s="39">
        <v>0</v>
      </c>
      <c r="J172" s="22">
        <v>0</v>
      </c>
      <c r="K172" s="22">
        <v>0</v>
      </c>
      <c r="L172" s="22">
        <v>0</v>
      </c>
      <c r="M172" s="22">
        <v>91</v>
      </c>
      <c r="N172" s="22">
        <v>10286064.68</v>
      </c>
      <c r="O172" s="22">
        <v>160</v>
      </c>
      <c r="P172" s="22">
        <v>8684315.5700000003</v>
      </c>
      <c r="Q172" s="29">
        <v>1083.98543</v>
      </c>
      <c r="R172" s="8">
        <v>128</v>
      </c>
      <c r="S172" s="8">
        <f>+VLOOKUP(B172,[1]Лист2!$A$4:$B$188,2,0)</f>
        <v>115</v>
      </c>
      <c r="T172" s="8">
        <v>5901042.2399999993</v>
      </c>
      <c r="U172" s="8">
        <f>+VLOOKUP(B172,[1]Лист2!$A$4:$C$188,3,0)</f>
        <v>6110743.2199999997</v>
      </c>
      <c r="V172" s="30">
        <f t="shared" si="75"/>
        <v>115</v>
      </c>
      <c r="W172" s="30">
        <f t="shared" si="76"/>
        <v>6110743.2199999997</v>
      </c>
      <c r="X172" s="30">
        <f t="shared" si="77"/>
        <v>128</v>
      </c>
      <c r="Y172" s="30">
        <f t="shared" si="78"/>
        <v>5901042.2399999993</v>
      </c>
      <c r="Z172" s="30">
        <f t="shared" si="85"/>
        <v>153.33333333333334</v>
      </c>
      <c r="AA172" s="30">
        <f t="shared" si="86"/>
        <v>8147657.626666666</v>
      </c>
      <c r="AB172" s="30">
        <v>170.66666666666666</v>
      </c>
      <c r="AC172" s="30">
        <v>7868056.3199999994</v>
      </c>
      <c r="AD172" s="8">
        <v>147</v>
      </c>
      <c r="AE172" s="8">
        <v>103</v>
      </c>
      <c r="AF172" s="8">
        <v>9857358.3600000031</v>
      </c>
      <c r="AG172" s="8">
        <v>5584170.9399999995</v>
      </c>
      <c r="AH172" s="23">
        <f t="shared" si="79"/>
        <v>103</v>
      </c>
      <c r="AI172" s="23">
        <f t="shared" si="80"/>
        <v>5584170.9399999995</v>
      </c>
      <c r="AJ172" s="23">
        <f t="shared" si="81"/>
        <v>147</v>
      </c>
      <c r="AK172" s="23">
        <f t="shared" si="82"/>
        <v>9857358.3600000031</v>
      </c>
      <c r="AL172" s="8">
        <v>103</v>
      </c>
      <c r="AM172" s="8">
        <v>5584170.9399999995</v>
      </c>
      <c r="AN172" s="8">
        <v>147</v>
      </c>
      <c r="AO172" s="8">
        <v>9857358.3600000031</v>
      </c>
      <c r="AP172" s="26">
        <v>3705.0721900000008</v>
      </c>
      <c r="AQ172" s="13"/>
      <c r="AR172" s="14"/>
      <c r="AS172" s="13"/>
      <c r="AT172" s="13"/>
      <c r="AU172" s="13"/>
      <c r="AV172" s="13"/>
      <c r="AW172" s="13"/>
      <c r="AX172" s="13"/>
    </row>
    <row r="173" spans="2:50">
      <c r="B173" s="12">
        <v>11759</v>
      </c>
      <c r="C173" s="11" t="s">
        <v>15</v>
      </c>
      <c r="D173" s="11" t="s">
        <v>149</v>
      </c>
      <c r="E173" s="25">
        <v>82</v>
      </c>
      <c r="F173" s="25">
        <v>60</v>
      </c>
      <c r="G173" s="25">
        <v>7945980.1400000006</v>
      </c>
      <c r="H173" s="25">
        <v>2238120.9200000004</v>
      </c>
      <c r="I173" s="39">
        <v>0</v>
      </c>
      <c r="J173" s="22">
        <v>0</v>
      </c>
      <c r="K173" s="22">
        <v>0</v>
      </c>
      <c r="L173" s="22">
        <v>0</v>
      </c>
      <c r="M173" s="22">
        <v>60</v>
      </c>
      <c r="N173" s="22">
        <v>2238120.9200000004</v>
      </c>
      <c r="O173" s="22">
        <v>82</v>
      </c>
      <c r="P173" s="22">
        <v>7945980.1400000006</v>
      </c>
      <c r="Q173" s="29">
        <v>2851.3423000000003</v>
      </c>
      <c r="R173" s="8">
        <v>117</v>
      </c>
      <c r="S173" s="8">
        <f>+VLOOKUP(B173,[1]Лист2!$A$4:$B$188,2,0)</f>
        <v>122</v>
      </c>
      <c r="T173" s="8">
        <v>7530085.1699999999</v>
      </c>
      <c r="U173" s="8">
        <f>+VLOOKUP(B173,[1]Лист2!$A$4:$C$188,3,0)</f>
        <v>6340794.0700000022</v>
      </c>
      <c r="V173" s="30">
        <f t="shared" si="75"/>
        <v>122</v>
      </c>
      <c r="W173" s="30">
        <f t="shared" si="76"/>
        <v>6340794.0700000022</v>
      </c>
      <c r="X173" s="30">
        <f t="shared" si="77"/>
        <v>117</v>
      </c>
      <c r="Y173" s="30">
        <f t="shared" si="78"/>
        <v>7530085.1699999999</v>
      </c>
      <c r="Z173" s="30">
        <f t="shared" si="85"/>
        <v>162.66666666666666</v>
      </c>
      <c r="AA173" s="30">
        <f t="shared" si="86"/>
        <v>8454392.0933333356</v>
      </c>
      <c r="AB173" s="30">
        <v>156</v>
      </c>
      <c r="AC173" s="30">
        <v>10040113.560000001</v>
      </c>
      <c r="AD173" s="8">
        <v>119</v>
      </c>
      <c r="AE173" s="8">
        <v>57</v>
      </c>
      <c r="AF173" s="8">
        <v>9932097.9099999983</v>
      </c>
      <c r="AG173" s="8">
        <v>1708884.88</v>
      </c>
      <c r="AH173" s="23">
        <f t="shared" si="79"/>
        <v>57</v>
      </c>
      <c r="AI173" s="23">
        <f t="shared" si="80"/>
        <v>1708884.88</v>
      </c>
      <c r="AJ173" s="23">
        <f t="shared" si="81"/>
        <v>119</v>
      </c>
      <c r="AK173" s="23">
        <f t="shared" si="82"/>
        <v>9932097.9099999983</v>
      </c>
      <c r="AL173" s="8">
        <v>57</v>
      </c>
      <c r="AM173" s="8">
        <v>1708884.88</v>
      </c>
      <c r="AN173" s="8">
        <v>119</v>
      </c>
      <c r="AO173" s="8">
        <v>9932097.9099999983</v>
      </c>
      <c r="AP173" s="26">
        <v>2960.8182500000003</v>
      </c>
      <c r="AQ173" s="13"/>
      <c r="AR173" s="14"/>
      <c r="AS173" s="13"/>
      <c r="AT173" s="13"/>
      <c r="AU173" s="13"/>
      <c r="AV173" s="13"/>
      <c r="AW173" s="13"/>
      <c r="AX173" s="13"/>
    </row>
    <row r="174" spans="2:50">
      <c r="B174" s="12">
        <v>11760</v>
      </c>
      <c r="C174" s="11" t="s">
        <v>15</v>
      </c>
      <c r="D174" s="11" t="s">
        <v>149</v>
      </c>
      <c r="E174" s="25">
        <v>8</v>
      </c>
      <c r="F174" s="25">
        <v>25</v>
      </c>
      <c r="G174" s="25">
        <v>267820.13</v>
      </c>
      <c r="H174" s="25">
        <v>1290459.3799999999</v>
      </c>
      <c r="I174" s="39">
        <v>0</v>
      </c>
      <c r="J174" s="22">
        <v>0</v>
      </c>
      <c r="K174" s="22">
        <v>0</v>
      </c>
      <c r="L174" s="22">
        <v>0</v>
      </c>
      <c r="M174" s="22">
        <v>25</v>
      </c>
      <c r="N174" s="22">
        <v>1290459.3799999999</v>
      </c>
      <c r="O174" s="22">
        <v>8</v>
      </c>
      <c r="P174" s="22">
        <v>267820.13</v>
      </c>
      <c r="Q174" s="29">
        <v>52.764509999999994</v>
      </c>
      <c r="R174" s="8">
        <v>11</v>
      </c>
      <c r="S174" s="8">
        <f>+VLOOKUP(B174,[1]Лист2!$A$4:$B$188,2,0)</f>
        <v>33</v>
      </c>
      <c r="T174" s="8">
        <v>97455.17</v>
      </c>
      <c r="U174" s="8">
        <f>+VLOOKUP(B174,[1]Лист2!$A$4:$C$188,3,0)</f>
        <v>1130916.01</v>
      </c>
      <c r="V174" s="30">
        <f t="shared" si="75"/>
        <v>33</v>
      </c>
      <c r="W174" s="30">
        <f t="shared" si="76"/>
        <v>1130916.01</v>
      </c>
      <c r="X174" s="30">
        <f t="shared" si="77"/>
        <v>11</v>
      </c>
      <c r="Y174" s="30">
        <f t="shared" si="78"/>
        <v>97455.17</v>
      </c>
      <c r="Z174" s="30">
        <f t="shared" si="85"/>
        <v>44</v>
      </c>
      <c r="AA174" s="30">
        <f t="shared" si="86"/>
        <v>1507888.0133333334</v>
      </c>
      <c r="AB174" s="30">
        <v>14.666666666666666</v>
      </c>
      <c r="AC174" s="30">
        <v>129940.22666666667</v>
      </c>
      <c r="AD174" s="8">
        <v>7</v>
      </c>
      <c r="AE174" s="8">
        <v>21</v>
      </c>
      <c r="AF174" s="8">
        <v>106920.88</v>
      </c>
      <c r="AG174" s="8">
        <v>693336.83999999985</v>
      </c>
      <c r="AH174" s="23">
        <f t="shared" si="79"/>
        <v>21</v>
      </c>
      <c r="AI174" s="23">
        <f t="shared" si="80"/>
        <v>693336.83999999985</v>
      </c>
      <c r="AJ174" s="23">
        <f t="shared" si="81"/>
        <v>7</v>
      </c>
      <c r="AK174" s="23">
        <f t="shared" si="82"/>
        <v>106920.88</v>
      </c>
      <c r="AL174" s="8">
        <v>21</v>
      </c>
      <c r="AM174" s="8">
        <v>693336.83999999985</v>
      </c>
      <c r="AN174" s="8">
        <v>7</v>
      </c>
      <c r="AO174" s="8">
        <v>106920.88</v>
      </c>
      <c r="AP174" s="26">
        <v>24.31851</v>
      </c>
      <c r="AQ174" s="13"/>
      <c r="AR174" s="14"/>
      <c r="AS174" s="13"/>
      <c r="AT174" s="13"/>
      <c r="AU174" s="13"/>
      <c r="AV174" s="13"/>
      <c r="AW174" s="13"/>
      <c r="AX174" s="13"/>
    </row>
    <row r="175" spans="2:50">
      <c r="B175" s="12">
        <v>11761</v>
      </c>
      <c r="C175" s="11" t="s">
        <v>15</v>
      </c>
      <c r="D175" s="11" t="s">
        <v>149</v>
      </c>
      <c r="E175" s="25">
        <v>87</v>
      </c>
      <c r="F175" s="25">
        <v>42</v>
      </c>
      <c r="G175" s="25">
        <v>9971525.5300000012</v>
      </c>
      <c r="H175" s="25">
        <v>3183528.4300000011</v>
      </c>
      <c r="I175" s="39">
        <v>0</v>
      </c>
      <c r="J175" s="22">
        <v>0</v>
      </c>
      <c r="K175" s="22">
        <v>0</v>
      </c>
      <c r="L175" s="22">
        <v>0</v>
      </c>
      <c r="M175" s="22">
        <v>42</v>
      </c>
      <c r="N175" s="22">
        <v>3183528.4300000011</v>
      </c>
      <c r="O175" s="22">
        <v>87</v>
      </c>
      <c r="P175" s="22">
        <v>9971525.5300000012</v>
      </c>
      <c r="Q175" s="29">
        <v>1180.1497399999996</v>
      </c>
      <c r="R175" s="8">
        <v>105</v>
      </c>
      <c r="S175" s="8">
        <f>+VLOOKUP(B175,[1]Лист2!$A$4:$B$188,2,0)</f>
        <v>47</v>
      </c>
      <c r="T175" s="8">
        <v>5078251.3699999992</v>
      </c>
      <c r="U175" s="8">
        <f>+VLOOKUP(B175,[1]Лист2!$A$4:$C$188,3,0)</f>
        <v>546591.14</v>
      </c>
      <c r="V175" s="30">
        <f t="shared" si="75"/>
        <v>47</v>
      </c>
      <c r="W175" s="30">
        <f t="shared" si="76"/>
        <v>546591.14</v>
      </c>
      <c r="X175" s="30">
        <f t="shared" si="77"/>
        <v>105</v>
      </c>
      <c r="Y175" s="30">
        <f t="shared" si="78"/>
        <v>5078251.3699999992</v>
      </c>
      <c r="Z175" s="30">
        <f t="shared" si="85"/>
        <v>62.666666666666664</v>
      </c>
      <c r="AA175" s="30">
        <f t="shared" si="86"/>
        <v>728788.18666666665</v>
      </c>
      <c r="AB175" s="30">
        <v>140</v>
      </c>
      <c r="AC175" s="30">
        <v>6771001.8266666653</v>
      </c>
      <c r="AD175" s="8">
        <v>111</v>
      </c>
      <c r="AE175" s="8">
        <v>49</v>
      </c>
      <c r="AF175" s="8">
        <v>36590399.620000005</v>
      </c>
      <c r="AG175" s="8">
        <v>20865226.549999997</v>
      </c>
      <c r="AH175" s="23">
        <f t="shared" si="79"/>
        <v>49</v>
      </c>
      <c r="AI175" s="23">
        <f t="shared" si="80"/>
        <v>20865226.549999997</v>
      </c>
      <c r="AJ175" s="23">
        <f t="shared" si="81"/>
        <v>111</v>
      </c>
      <c r="AK175" s="23">
        <f t="shared" si="82"/>
        <v>36590399.620000005</v>
      </c>
      <c r="AL175" s="8">
        <v>49</v>
      </c>
      <c r="AM175" s="8">
        <v>20865226.549999997</v>
      </c>
      <c r="AN175" s="8">
        <v>111</v>
      </c>
      <c r="AO175" s="8">
        <v>36590399.620000005</v>
      </c>
      <c r="AP175" s="26">
        <v>337.90997000000004</v>
      </c>
      <c r="AQ175" s="13"/>
      <c r="AR175" s="14"/>
      <c r="AS175" s="13"/>
      <c r="AT175" s="13"/>
      <c r="AU175" s="13"/>
      <c r="AV175" s="13"/>
      <c r="AW175" s="13"/>
      <c r="AX175" s="13"/>
    </row>
    <row r="176" spans="2:50">
      <c r="B176" s="12">
        <v>11762</v>
      </c>
      <c r="C176" s="11" t="s">
        <v>15</v>
      </c>
      <c r="D176" s="11" t="s">
        <v>149</v>
      </c>
      <c r="E176" s="25">
        <v>227</v>
      </c>
      <c r="F176" s="25">
        <v>1</v>
      </c>
      <c r="G176" s="25">
        <v>41532965.669999979</v>
      </c>
      <c r="H176" s="25">
        <v>4412.5</v>
      </c>
      <c r="I176" s="39">
        <v>0</v>
      </c>
      <c r="J176" s="22">
        <v>0</v>
      </c>
      <c r="K176" s="22">
        <v>0</v>
      </c>
      <c r="L176" s="22">
        <v>0</v>
      </c>
      <c r="M176" s="22">
        <v>1</v>
      </c>
      <c r="N176" s="22">
        <v>4412.5</v>
      </c>
      <c r="O176" s="22">
        <v>227</v>
      </c>
      <c r="P176" s="22">
        <v>41532965.669999979</v>
      </c>
      <c r="Q176" s="29">
        <v>219.37493000000003</v>
      </c>
      <c r="R176" s="8">
        <v>87</v>
      </c>
      <c r="S176" s="8">
        <f>+VLOOKUP(B176,[1]Лист2!$A$4:$B$188,2,0)</f>
        <v>1</v>
      </c>
      <c r="T176" s="8">
        <v>53551569.970000006</v>
      </c>
      <c r="U176" s="8">
        <f>+VLOOKUP(B176,[1]Лист2!$A$4:$C$188,3,0)</f>
        <v>3000</v>
      </c>
      <c r="V176" s="30">
        <f t="shared" si="75"/>
        <v>1</v>
      </c>
      <c r="W176" s="30">
        <f t="shared" si="76"/>
        <v>3000</v>
      </c>
      <c r="X176" s="30">
        <f t="shared" si="77"/>
        <v>87</v>
      </c>
      <c r="Y176" s="30">
        <f t="shared" si="78"/>
        <v>53551569.970000006</v>
      </c>
      <c r="Z176" s="30">
        <f t="shared" si="85"/>
        <v>1.3333333333333333</v>
      </c>
      <c r="AA176" s="30">
        <f t="shared" si="86"/>
        <v>4000</v>
      </c>
      <c r="AB176" s="30">
        <v>116</v>
      </c>
      <c r="AC176" s="30">
        <v>71402093.293333337</v>
      </c>
      <c r="AD176" s="8">
        <v>77</v>
      </c>
      <c r="AE176" s="8">
        <v>8</v>
      </c>
      <c r="AF176" s="8">
        <v>40664950.070000008</v>
      </c>
      <c r="AG176" s="8">
        <v>181201.12000000002</v>
      </c>
      <c r="AH176" s="23">
        <f t="shared" si="79"/>
        <v>8</v>
      </c>
      <c r="AI176" s="23">
        <f t="shared" si="80"/>
        <v>181201.12000000002</v>
      </c>
      <c r="AJ176" s="23">
        <f t="shared" si="81"/>
        <v>77</v>
      </c>
      <c r="AK176" s="23">
        <f t="shared" si="82"/>
        <v>40664950.070000008</v>
      </c>
      <c r="AL176" s="8">
        <v>8</v>
      </c>
      <c r="AM176" s="8">
        <v>181201.12000000002</v>
      </c>
      <c r="AN176" s="8">
        <v>77</v>
      </c>
      <c r="AO176" s="8">
        <v>40664950.070000008</v>
      </c>
      <c r="AP176" s="26">
        <v>107.71217</v>
      </c>
      <c r="AQ176" s="13"/>
      <c r="AR176" s="14"/>
      <c r="AS176" s="13"/>
      <c r="AT176" s="13"/>
      <c r="AU176" s="13"/>
      <c r="AV176" s="13"/>
      <c r="AW176" s="13"/>
      <c r="AX176" s="13"/>
    </row>
    <row r="177" spans="2:50">
      <c r="B177" s="12">
        <v>11763</v>
      </c>
      <c r="C177" s="11" t="s">
        <v>15</v>
      </c>
      <c r="D177" s="11" t="s">
        <v>149</v>
      </c>
      <c r="E177" s="25">
        <v>19</v>
      </c>
      <c r="F177" s="25">
        <v>1</v>
      </c>
      <c r="G177" s="25">
        <v>38064154.660000004</v>
      </c>
      <c r="H177" s="25">
        <v>34000</v>
      </c>
      <c r="I177" s="39">
        <v>0</v>
      </c>
      <c r="J177" s="22">
        <v>0</v>
      </c>
      <c r="K177" s="22">
        <v>0</v>
      </c>
      <c r="L177" s="22">
        <v>0</v>
      </c>
      <c r="M177" s="22">
        <v>1</v>
      </c>
      <c r="N177" s="22">
        <v>34000</v>
      </c>
      <c r="O177" s="22">
        <v>19</v>
      </c>
      <c r="P177" s="22">
        <v>38064154.660000004</v>
      </c>
      <c r="Q177" s="29">
        <v>15.076000000000001</v>
      </c>
      <c r="R177" s="8">
        <v>60</v>
      </c>
      <c r="S177" s="8">
        <f>+VLOOKUP(B177,[1]Лист2!$A$4:$B$188,2,0)</f>
        <v>18</v>
      </c>
      <c r="T177" s="8">
        <v>6255110.9299999997</v>
      </c>
      <c r="U177" s="8">
        <f>+VLOOKUP(B177,[1]Лист2!$A$4:$C$188,3,0)</f>
        <v>3246750.19</v>
      </c>
      <c r="V177" s="30">
        <f t="shared" si="75"/>
        <v>18</v>
      </c>
      <c r="W177" s="30">
        <f t="shared" si="76"/>
        <v>3246750.19</v>
      </c>
      <c r="X177" s="30">
        <f t="shared" si="77"/>
        <v>60</v>
      </c>
      <c r="Y177" s="30">
        <f t="shared" si="78"/>
        <v>6255110.9299999997</v>
      </c>
      <c r="Z177" s="30">
        <f t="shared" si="85"/>
        <v>24</v>
      </c>
      <c r="AA177" s="30">
        <f t="shared" si="86"/>
        <v>4329000.2533333329</v>
      </c>
      <c r="AB177" s="30">
        <v>80</v>
      </c>
      <c r="AC177" s="30">
        <v>8340147.9066666663</v>
      </c>
      <c r="AD177" s="8">
        <v>24</v>
      </c>
      <c r="AE177" s="8">
        <v>15</v>
      </c>
      <c r="AF177" s="8">
        <v>3214903.86</v>
      </c>
      <c r="AG177" s="8">
        <v>2128316.9000000004</v>
      </c>
      <c r="AH177" s="23">
        <f t="shared" si="79"/>
        <v>15</v>
      </c>
      <c r="AI177" s="23">
        <f t="shared" si="80"/>
        <v>2128316.9000000004</v>
      </c>
      <c r="AJ177" s="23">
        <f t="shared" si="81"/>
        <v>24</v>
      </c>
      <c r="AK177" s="23">
        <f t="shared" si="82"/>
        <v>3214903.86</v>
      </c>
      <c r="AL177" s="8">
        <v>15</v>
      </c>
      <c r="AM177" s="8">
        <v>2128316.9000000004</v>
      </c>
      <c r="AN177" s="8">
        <v>24</v>
      </c>
      <c r="AO177" s="8">
        <v>3214903.86</v>
      </c>
      <c r="AP177" s="26">
        <v>120.24883</v>
      </c>
      <c r="AQ177" s="13"/>
      <c r="AR177" s="14"/>
      <c r="AS177" s="13"/>
      <c r="AT177" s="13"/>
      <c r="AU177" s="13"/>
      <c r="AV177" s="13"/>
      <c r="AW177" s="13"/>
      <c r="AX177" s="13"/>
    </row>
    <row r="178" spans="2:50">
      <c r="B178" s="12">
        <v>11764</v>
      </c>
      <c r="C178" s="11" t="s">
        <v>15</v>
      </c>
      <c r="D178" s="11" t="s">
        <v>149</v>
      </c>
      <c r="E178" s="25">
        <v>5</v>
      </c>
      <c r="F178" s="25">
        <v>1</v>
      </c>
      <c r="G178" s="25">
        <v>56988.59</v>
      </c>
      <c r="H178" s="25">
        <v>3834.92</v>
      </c>
      <c r="I178" s="39">
        <v>0</v>
      </c>
      <c r="J178" s="22">
        <v>0</v>
      </c>
      <c r="K178" s="22">
        <v>0</v>
      </c>
      <c r="L178" s="22">
        <v>0</v>
      </c>
      <c r="M178" s="22">
        <v>1</v>
      </c>
      <c r="N178" s="22">
        <v>3834.92</v>
      </c>
      <c r="O178" s="22">
        <v>5</v>
      </c>
      <c r="P178" s="22">
        <v>56988.59</v>
      </c>
      <c r="Q178" s="29">
        <v>974.19600000000003</v>
      </c>
      <c r="R178" s="8">
        <v>33</v>
      </c>
      <c r="S178" s="8"/>
      <c r="T178" s="8">
        <v>1276060.22</v>
      </c>
      <c r="U178" s="8"/>
      <c r="V178" s="30">
        <f t="shared" si="75"/>
        <v>0</v>
      </c>
      <c r="W178" s="30">
        <f t="shared" si="76"/>
        <v>0</v>
      </c>
      <c r="X178" s="30">
        <f t="shared" si="77"/>
        <v>33</v>
      </c>
      <c r="Y178" s="30">
        <f t="shared" si="78"/>
        <v>1276060.22</v>
      </c>
      <c r="Z178" s="30">
        <f t="shared" si="85"/>
        <v>0</v>
      </c>
      <c r="AA178" s="30">
        <f t="shared" si="86"/>
        <v>0</v>
      </c>
      <c r="AB178" s="30">
        <v>44</v>
      </c>
      <c r="AC178" s="30">
        <v>1701413.6266666667</v>
      </c>
      <c r="AD178" s="8">
        <v>16</v>
      </c>
      <c r="AE178" s="8">
        <v>0</v>
      </c>
      <c r="AF178" s="8">
        <v>386038.55000000005</v>
      </c>
      <c r="AG178" s="8">
        <v>0</v>
      </c>
      <c r="AH178" s="23">
        <f t="shared" si="79"/>
        <v>0</v>
      </c>
      <c r="AI178" s="23">
        <f t="shared" si="80"/>
        <v>0</v>
      </c>
      <c r="AJ178" s="23">
        <f t="shared" si="81"/>
        <v>16</v>
      </c>
      <c r="AK178" s="23">
        <f t="shared" si="82"/>
        <v>386038.55000000005</v>
      </c>
      <c r="AL178" s="8">
        <v>0</v>
      </c>
      <c r="AM178" s="8">
        <v>0</v>
      </c>
      <c r="AN178" s="8">
        <v>16</v>
      </c>
      <c r="AO178" s="8">
        <v>386038.55000000005</v>
      </c>
      <c r="AP178" s="26">
        <v>1318.8050700000001</v>
      </c>
      <c r="AQ178" s="13"/>
      <c r="AR178" s="14"/>
      <c r="AS178" s="13"/>
      <c r="AT178" s="13"/>
      <c r="AU178" s="13"/>
      <c r="AV178" s="13"/>
      <c r="AW178" s="13"/>
      <c r="AX178" s="13"/>
    </row>
    <row r="179" spans="2:50">
      <c r="B179" s="12">
        <v>10014</v>
      </c>
      <c r="C179" s="11" t="s">
        <v>15</v>
      </c>
      <c r="D179" s="11" t="s">
        <v>149</v>
      </c>
      <c r="E179" s="25">
        <v>0</v>
      </c>
      <c r="F179" s="25">
        <v>0</v>
      </c>
      <c r="G179" s="25">
        <v>0</v>
      </c>
      <c r="H179" s="25">
        <v>0</v>
      </c>
      <c r="I179" s="40">
        <v>0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29">
        <v>0</v>
      </c>
      <c r="R179" s="8">
        <v>2</v>
      </c>
      <c r="S179" s="8"/>
      <c r="T179" s="8">
        <v>42518.06</v>
      </c>
      <c r="U179" s="8"/>
      <c r="V179" s="30">
        <f t="shared" si="75"/>
        <v>0</v>
      </c>
      <c r="W179" s="30">
        <f t="shared" si="76"/>
        <v>0</v>
      </c>
      <c r="X179" s="30">
        <f t="shared" si="77"/>
        <v>2</v>
      </c>
      <c r="Y179" s="30">
        <f t="shared" si="78"/>
        <v>42518.06</v>
      </c>
      <c r="Z179" s="30">
        <f t="shared" si="85"/>
        <v>0</v>
      </c>
      <c r="AA179" s="30">
        <f t="shared" si="86"/>
        <v>0</v>
      </c>
      <c r="AB179" s="30">
        <v>2.6666666666666665</v>
      </c>
      <c r="AC179" s="30">
        <v>56690.746666666666</v>
      </c>
      <c r="AD179" s="8">
        <v>1</v>
      </c>
      <c r="AE179" s="8">
        <v>0</v>
      </c>
      <c r="AF179" s="8">
        <v>47192.02</v>
      </c>
      <c r="AG179" s="8">
        <v>0</v>
      </c>
      <c r="AH179" s="23">
        <f t="shared" si="79"/>
        <v>0</v>
      </c>
      <c r="AI179" s="23">
        <f t="shared" si="80"/>
        <v>0</v>
      </c>
      <c r="AJ179" s="23">
        <f t="shared" si="81"/>
        <v>1</v>
      </c>
      <c r="AK179" s="23">
        <f t="shared" si="82"/>
        <v>47192.02</v>
      </c>
      <c r="AL179" s="8">
        <v>0</v>
      </c>
      <c r="AM179" s="8">
        <v>0</v>
      </c>
      <c r="AN179" s="8">
        <v>1</v>
      </c>
      <c r="AO179" s="8">
        <v>47192.02</v>
      </c>
      <c r="AP179" s="26">
        <v>15</v>
      </c>
      <c r="AQ179" s="13"/>
      <c r="AR179" s="14"/>
      <c r="AS179" s="13"/>
      <c r="AT179" s="13"/>
      <c r="AU179" s="13"/>
      <c r="AV179" s="13"/>
      <c r="AW179" s="13"/>
      <c r="AX179" s="13"/>
    </row>
    <row r="180" spans="2:50">
      <c r="B180" s="12">
        <v>12000</v>
      </c>
      <c r="C180" s="11" t="s">
        <v>15</v>
      </c>
      <c r="D180" s="11" t="s">
        <v>149</v>
      </c>
      <c r="E180" s="25">
        <v>0</v>
      </c>
      <c r="F180" s="25">
        <v>0</v>
      </c>
      <c r="G180" s="25">
        <v>0</v>
      </c>
      <c r="H180" s="25">
        <v>0</v>
      </c>
      <c r="I180" s="40">
        <v>0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29">
        <v>0</v>
      </c>
      <c r="R180" s="8">
        <v>23</v>
      </c>
      <c r="S180" s="8"/>
      <c r="T180" s="8">
        <v>999.26999999999987</v>
      </c>
      <c r="U180" s="8"/>
      <c r="V180" s="30">
        <f t="shared" si="75"/>
        <v>0</v>
      </c>
      <c r="W180" s="30">
        <f t="shared" si="76"/>
        <v>0</v>
      </c>
      <c r="X180" s="30">
        <f t="shared" si="77"/>
        <v>23</v>
      </c>
      <c r="Y180" s="30">
        <f t="shared" si="78"/>
        <v>999.26999999999987</v>
      </c>
      <c r="Z180" s="30">
        <f t="shared" si="85"/>
        <v>0</v>
      </c>
      <c r="AA180" s="30">
        <f t="shared" si="86"/>
        <v>0</v>
      </c>
      <c r="AB180" s="30">
        <v>30.666666666666668</v>
      </c>
      <c r="AC180" s="30">
        <v>1332.36</v>
      </c>
      <c r="AD180" s="8">
        <v>48</v>
      </c>
      <c r="AE180" s="8">
        <v>0</v>
      </c>
      <c r="AF180" s="8">
        <v>987.28999999999974</v>
      </c>
      <c r="AG180" s="8">
        <v>0</v>
      </c>
      <c r="AH180" s="23">
        <f t="shared" si="79"/>
        <v>0</v>
      </c>
      <c r="AI180" s="23">
        <f t="shared" si="80"/>
        <v>0</v>
      </c>
      <c r="AJ180" s="23">
        <f t="shared" si="81"/>
        <v>48</v>
      </c>
      <c r="AK180" s="23">
        <f t="shared" si="82"/>
        <v>987.28999999999974</v>
      </c>
      <c r="AL180" s="8">
        <v>0</v>
      </c>
      <c r="AM180" s="8">
        <v>0</v>
      </c>
      <c r="AN180" s="8">
        <v>48</v>
      </c>
      <c r="AO180" s="8">
        <v>987.28999999999974</v>
      </c>
      <c r="AP180" s="26">
        <v>0</v>
      </c>
      <c r="AQ180" s="13"/>
      <c r="AR180" s="14"/>
      <c r="AS180" s="13"/>
      <c r="AT180" s="13"/>
      <c r="AU180" s="13"/>
      <c r="AV180" s="13"/>
      <c r="AW180" s="13"/>
      <c r="AX180" s="13"/>
    </row>
    <row r="181" spans="2:50">
      <c r="B181" s="12">
        <v>1199</v>
      </c>
      <c r="C181" s="11" t="s">
        <v>104</v>
      </c>
      <c r="D181" s="11" t="s">
        <v>150</v>
      </c>
      <c r="E181" s="25">
        <v>16</v>
      </c>
      <c r="F181" s="25">
        <v>0</v>
      </c>
      <c r="G181" s="25">
        <v>2140409.09</v>
      </c>
      <c r="H181" s="25">
        <v>0</v>
      </c>
      <c r="I181" s="40">
        <v>0</v>
      </c>
      <c r="J181" s="37">
        <v>0</v>
      </c>
      <c r="K181" s="37">
        <v>0</v>
      </c>
      <c r="L181" s="37">
        <v>0</v>
      </c>
      <c r="M181" s="22">
        <v>0</v>
      </c>
      <c r="N181" s="22">
        <v>0</v>
      </c>
      <c r="O181" s="22">
        <v>16</v>
      </c>
      <c r="P181" s="22">
        <v>2140409.09</v>
      </c>
      <c r="Q181" s="29">
        <v>0</v>
      </c>
      <c r="R181" s="8">
        <v>36</v>
      </c>
      <c r="S181" s="8"/>
      <c r="T181" s="8">
        <v>1994452.5</v>
      </c>
      <c r="U181" s="8"/>
      <c r="V181" s="30">
        <f t="shared" si="75"/>
        <v>0</v>
      </c>
      <c r="W181" s="30">
        <f t="shared" si="76"/>
        <v>0</v>
      </c>
      <c r="X181" s="30">
        <f t="shared" si="77"/>
        <v>36</v>
      </c>
      <c r="Y181" s="30">
        <f t="shared" si="78"/>
        <v>1994452.5</v>
      </c>
      <c r="Z181" s="30">
        <f t="shared" si="85"/>
        <v>0</v>
      </c>
      <c r="AA181" s="30">
        <f t="shared" si="86"/>
        <v>0</v>
      </c>
      <c r="AB181" s="30">
        <v>48</v>
      </c>
      <c r="AC181" s="30">
        <v>2659270</v>
      </c>
      <c r="AD181" s="8">
        <v>32</v>
      </c>
      <c r="AE181" s="8">
        <v>0</v>
      </c>
      <c r="AF181" s="8">
        <v>6374278.9400000004</v>
      </c>
      <c r="AG181" s="8">
        <v>0</v>
      </c>
      <c r="AH181" s="23">
        <f t="shared" si="79"/>
        <v>0</v>
      </c>
      <c r="AI181" s="23">
        <f t="shared" si="80"/>
        <v>0</v>
      </c>
      <c r="AJ181" s="23">
        <f t="shared" si="81"/>
        <v>32</v>
      </c>
      <c r="AK181" s="23">
        <f t="shared" si="82"/>
        <v>6374278.9400000004</v>
      </c>
      <c r="AL181" s="8">
        <v>0</v>
      </c>
      <c r="AM181" s="8">
        <v>0</v>
      </c>
      <c r="AN181" s="8">
        <v>32</v>
      </c>
      <c r="AO181" s="8">
        <v>6374278.9400000004</v>
      </c>
      <c r="AP181" s="26">
        <v>45.857599999999998</v>
      </c>
      <c r="AQ181" s="13"/>
      <c r="AR181" s="14"/>
      <c r="AS181" s="13"/>
      <c r="AT181" s="13"/>
      <c r="AU181" s="13"/>
      <c r="AV181" s="13"/>
      <c r="AW181" s="13"/>
      <c r="AX181" s="13"/>
    </row>
    <row r="182" spans="2:50" ht="30">
      <c r="B182" s="12">
        <v>1071</v>
      </c>
      <c r="C182" s="11" t="s">
        <v>24</v>
      </c>
      <c r="D182" s="11" t="s">
        <v>151</v>
      </c>
      <c r="E182" s="25">
        <v>199</v>
      </c>
      <c r="F182" s="25">
        <v>99</v>
      </c>
      <c r="G182" s="25">
        <v>27127599.549999997</v>
      </c>
      <c r="H182" s="25">
        <v>20884831.710000008</v>
      </c>
      <c r="I182" s="39">
        <v>0</v>
      </c>
      <c r="J182" s="22">
        <v>0</v>
      </c>
      <c r="K182" s="22">
        <v>0</v>
      </c>
      <c r="L182" s="22">
        <v>0</v>
      </c>
      <c r="M182" s="22">
        <v>99</v>
      </c>
      <c r="N182" s="22">
        <v>20884831.710000008</v>
      </c>
      <c r="O182" s="22">
        <v>199</v>
      </c>
      <c r="P182" s="22">
        <v>27127599.549999997</v>
      </c>
      <c r="Q182" s="29">
        <v>34231.898269999991</v>
      </c>
      <c r="R182" s="8">
        <v>240</v>
      </c>
      <c r="S182" s="8">
        <f>+VLOOKUP(B182,[1]Лист2!$A$4:$B$188,2,0)</f>
        <v>108</v>
      </c>
      <c r="T182" s="8">
        <v>26540074.179999996</v>
      </c>
      <c r="U182" s="8">
        <f>+VLOOKUP(B182,[1]Лист2!$A$4:$C$188,3,0)</f>
        <v>6226467.7200000025</v>
      </c>
      <c r="V182" s="30">
        <f t="shared" si="75"/>
        <v>108</v>
      </c>
      <c r="W182" s="30">
        <f t="shared" si="76"/>
        <v>6226467.7200000025</v>
      </c>
      <c r="X182" s="30">
        <f t="shared" si="77"/>
        <v>240</v>
      </c>
      <c r="Y182" s="30">
        <f t="shared" si="78"/>
        <v>26540074.179999996</v>
      </c>
      <c r="Z182" s="30">
        <f t="shared" si="85"/>
        <v>144</v>
      </c>
      <c r="AA182" s="30">
        <f t="shared" si="86"/>
        <v>8301956.9600000037</v>
      </c>
      <c r="AB182" s="30">
        <v>320</v>
      </c>
      <c r="AC182" s="30">
        <v>35386765.57333333</v>
      </c>
      <c r="AD182" s="8">
        <v>230</v>
      </c>
      <c r="AE182" s="8">
        <v>73</v>
      </c>
      <c r="AF182" s="8">
        <v>15047184.249999998</v>
      </c>
      <c r="AG182" s="8">
        <v>6493813.7200000016</v>
      </c>
      <c r="AH182" s="23">
        <f t="shared" si="79"/>
        <v>73</v>
      </c>
      <c r="AI182" s="23">
        <f t="shared" si="80"/>
        <v>6493813.7200000016</v>
      </c>
      <c r="AJ182" s="23">
        <f t="shared" si="81"/>
        <v>230</v>
      </c>
      <c r="AK182" s="23">
        <f t="shared" si="82"/>
        <v>15047184.249999998</v>
      </c>
      <c r="AL182" s="8">
        <v>73</v>
      </c>
      <c r="AM182" s="8">
        <v>6493813.7200000016</v>
      </c>
      <c r="AN182" s="8">
        <v>230</v>
      </c>
      <c r="AO182" s="8">
        <v>15047184.249999998</v>
      </c>
      <c r="AP182" s="26">
        <v>53392.71398999996</v>
      </c>
      <c r="AQ182" s="13"/>
      <c r="AR182" s="14"/>
      <c r="AS182" s="13"/>
      <c r="AT182" s="13"/>
      <c r="AU182" s="13"/>
      <c r="AV182" s="13"/>
      <c r="AW182" s="8"/>
      <c r="AX182" s="8"/>
    </row>
    <row r="183" spans="2:50" ht="30">
      <c r="B183" s="12">
        <v>11790</v>
      </c>
      <c r="C183" s="11" t="s">
        <v>24</v>
      </c>
      <c r="D183" s="11" t="s">
        <v>151</v>
      </c>
      <c r="E183" s="25">
        <v>18</v>
      </c>
      <c r="F183" s="25">
        <v>18</v>
      </c>
      <c r="G183" s="25">
        <v>357143.83</v>
      </c>
      <c r="H183" s="25">
        <v>286107.09000000003</v>
      </c>
      <c r="I183" s="39">
        <v>0</v>
      </c>
      <c r="J183" s="22">
        <v>0</v>
      </c>
      <c r="K183" s="22">
        <v>0</v>
      </c>
      <c r="L183" s="22">
        <v>0</v>
      </c>
      <c r="M183" s="22">
        <v>18</v>
      </c>
      <c r="N183" s="22">
        <v>286107.09000000003</v>
      </c>
      <c r="O183" s="22">
        <v>18</v>
      </c>
      <c r="P183" s="22">
        <v>357143.83</v>
      </c>
      <c r="Q183" s="29">
        <v>2966.1715899999995</v>
      </c>
      <c r="R183" s="8">
        <v>15</v>
      </c>
      <c r="S183" s="8">
        <f>+VLOOKUP(B183,[1]Лист2!$A$4:$B$188,2,0)</f>
        <v>14</v>
      </c>
      <c r="T183" s="8">
        <v>218150</v>
      </c>
      <c r="U183" s="8">
        <f>+VLOOKUP(B183,[1]Лист2!$A$4:$C$188,3,0)</f>
        <v>85147.07</v>
      </c>
      <c r="V183" s="30">
        <f t="shared" si="75"/>
        <v>14</v>
      </c>
      <c r="W183" s="30">
        <f t="shared" si="76"/>
        <v>85147.07</v>
      </c>
      <c r="X183" s="30">
        <f t="shared" si="77"/>
        <v>15</v>
      </c>
      <c r="Y183" s="30">
        <f t="shared" si="78"/>
        <v>218150</v>
      </c>
      <c r="Z183" s="30">
        <f t="shared" si="85"/>
        <v>18.666666666666668</v>
      </c>
      <c r="AA183" s="30">
        <f t="shared" si="86"/>
        <v>113529.42666666668</v>
      </c>
      <c r="AB183" s="30">
        <v>20</v>
      </c>
      <c r="AC183" s="30">
        <v>290866.66666666669</v>
      </c>
      <c r="AD183" s="8">
        <v>32</v>
      </c>
      <c r="AE183" s="8">
        <v>12</v>
      </c>
      <c r="AF183" s="8">
        <v>231571.6</v>
      </c>
      <c r="AG183" s="8">
        <v>75181.599999999991</v>
      </c>
      <c r="AH183" s="23">
        <f t="shared" si="79"/>
        <v>12</v>
      </c>
      <c r="AI183" s="23">
        <f t="shared" si="80"/>
        <v>75181.599999999991</v>
      </c>
      <c r="AJ183" s="23">
        <f t="shared" si="81"/>
        <v>32</v>
      </c>
      <c r="AK183" s="23">
        <f t="shared" si="82"/>
        <v>231571.6</v>
      </c>
      <c r="AL183" s="8">
        <v>12</v>
      </c>
      <c r="AM183" s="8">
        <v>75181.599999999991</v>
      </c>
      <c r="AN183" s="8">
        <v>32</v>
      </c>
      <c r="AO183" s="8">
        <v>231571.6</v>
      </c>
      <c r="AP183" s="26">
        <v>1099.4398899999999</v>
      </c>
      <c r="AQ183" s="13"/>
      <c r="AR183" s="14"/>
      <c r="AS183" s="13"/>
      <c r="AT183" s="13"/>
      <c r="AU183" s="13"/>
      <c r="AV183" s="13"/>
      <c r="AW183" s="13"/>
      <c r="AX183" s="13"/>
    </row>
    <row r="184" spans="2:50" ht="30">
      <c r="B184" s="12">
        <v>11791</v>
      </c>
      <c r="C184" s="11" t="s">
        <v>24</v>
      </c>
      <c r="D184" s="11" t="s">
        <v>151</v>
      </c>
      <c r="E184" s="25">
        <v>31</v>
      </c>
      <c r="F184" s="25">
        <v>4</v>
      </c>
      <c r="G184" s="25">
        <v>724067.10000000009</v>
      </c>
      <c r="H184" s="25">
        <v>47141.31</v>
      </c>
      <c r="I184" s="39">
        <v>0</v>
      </c>
      <c r="J184" s="22">
        <v>0</v>
      </c>
      <c r="K184" s="22">
        <v>0</v>
      </c>
      <c r="L184" s="22">
        <v>0</v>
      </c>
      <c r="M184" s="22">
        <v>4</v>
      </c>
      <c r="N184" s="22">
        <v>47141.31</v>
      </c>
      <c r="O184" s="22">
        <v>31</v>
      </c>
      <c r="P184" s="22">
        <v>724067.10000000009</v>
      </c>
      <c r="Q184" s="29">
        <v>1153.73361</v>
      </c>
      <c r="R184" s="8">
        <v>57</v>
      </c>
      <c r="S184" s="8">
        <f>+VLOOKUP(B184,[1]Лист2!$A$4:$B$188,2,0)</f>
        <v>12</v>
      </c>
      <c r="T184" s="8">
        <v>2108673.2199999997</v>
      </c>
      <c r="U184" s="8">
        <f>+VLOOKUP(B184,[1]Лист2!$A$4:$C$188,3,0)</f>
        <v>348746.77</v>
      </c>
      <c r="V184" s="30">
        <f t="shared" si="75"/>
        <v>12</v>
      </c>
      <c r="W184" s="30">
        <f t="shared" si="76"/>
        <v>348746.77</v>
      </c>
      <c r="X184" s="30">
        <f t="shared" si="77"/>
        <v>57</v>
      </c>
      <c r="Y184" s="30">
        <f t="shared" si="78"/>
        <v>2108673.2199999997</v>
      </c>
      <c r="Z184" s="30">
        <f t="shared" si="85"/>
        <v>16</v>
      </c>
      <c r="AA184" s="30">
        <f t="shared" si="86"/>
        <v>464995.69333333336</v>
      </c>
      <c r="AB184" s="30">
        <v>76</v>
      </c>
      <c r="AC184" s="30">
        <v>2811564.293333333</v>
      </c>
      <c r="AD184" s="8">
        <v>63</v>
      </c>
      <c r="AE184" s="8">
        <v>24</v>
      </c>
      <c r="AF184" s="8">
        <v>2346986.4500000002</v>
      </c>
      <c r="AG184" s="8">
        <v>1179269.7000000002</v>
      </c>
      <c r="AH184" s="23">
        <f t="shared" si="79"/>
        <v>24</v>
      </c>
      <c r="AI184" s="23">
        <f t="shared" si="80"/>
        <v>1179269.7000000002</v>
      </c>
      <c r="AJ184" s="23">
        <f t="shared" si="81"/>
        <v>63</v>
      </c>
      <c r="AK184" s="23">
        <f t="shared" si="82"/>
        <v>2346986.4500000002</v>
      </c>
      <c r="AL184" s="8">
        <v>24</v>
      </c>
      <c r="AM184" s="8">
        <v>1179269.7000000002</v>
      </c>
      <c r="AN184" s="8">
        <v>63</v>
      </c>
      <c r="AO184" s="8">
        <v>2346986.4500000002</v>
      </c>
      <c r="AP184" s="26">
        <v>1175.1853900000001</v>
      </c>
      <c r="AQ184" s="13"/>
      <c r="AR184" s="14"/>
      <c r="AS184" s="13"/>
      <c r="AT184" s="13"/>
      <c r="AU184" s="13"/>
      <c r="AV184" s="13"/>
      <c r="AW184" s="13"/>
      <c r="AX184" s="13"/>
    </row>
    <row r="185" spans="2:50" ht="30">
      <c r="B185" s="12">
        <v>11792</v>
      </c>
      <c r="C185" s="11" t="s">
        <v>24</v>
      </c>
      <c r="D185" s="11" t="s">
        <v>151</v>
      </c>
      <c r="E185" s="25">
        <v>96</v>
      </c>
      <c r="F185" s="25">
        <v>194</v>
      </c>
      <c r="G185" s="25">
        <v>4506419.2399999993</v>
      </c>
      <c r="H185" s="25">
        <v>17406018.840000004</v>
      </c>
      <c r="I185" s="39">
        <v>0</v>
      </c>
      <c r="J185" s="22">
        <v>0</v>
      </c>
      <c r="K185" s="22">
        <v>0</v>
      </c>
      <c r="L185" s="22">
        <v>0</v>
      </c>
      <c r="M185" s="22">
        <v>194</v>
      </c>
      <c r="N185" s="22">
        <v>17406018.840000004</v>
      </c>
      <c r="O185" s="22">
        <v>96</v>
      </c>
      <c r="P185" s="22">
        <v>4506419.2399999993</v>
      </c>
      <c r="Q185" s="29">
        <v>106.02103999999999</v>
      </c>
      <c r="R185" s="8">
        <v>98</v>
      </c>
      <c r="S185" s="8">
        <f>+VLOOKUP(B185,[1]Лист2!$A$4:$B$188,2,0)</f>
        <v>235</v>
      </c>
      <c r="T185" s="8">
        <v>4444223.7199999988</v>
      </c>
      <c r="U185" s="8">
        <f>+VLOOKUP(B185,[1]Лист2!$A$4:$C$188,3,0)</f>
        <v>17813846.010000002</v>
      </c>
      <c r="V185" s="30">
        <f t="shared" si="75"/>
        <v>235</v>
      </c>
      <c r="W185" s="30">
        <f t="shared" si="76"/>
        <v>17813846.010000002</v>
      </c>
      <c r="X185" s="30">
        <f t="shared" si="77"/>
        <v>98</v>
      </c>
      <c r="Y185" s="30">
        <f t="shared" si="78"/>
        <v>4444223.7199999988</v>
      </c>
      <c r="Z185" s="30">
        <f t="shared" si="85"/>
        <v>313.33333333333331</v>
      </c>
      <c r="AA185" s="30">
        <f t="shared" si="86"/>
        <v>23751794.680000003</v>
      </c>
      <c r="AB185" s="30">
        <v>130.66666666666666</v>
      </c>
      <c r="AC185" s="30">
        <v>5925631.6266666651</v>
      </c>
      <c r="AD185" s="8">
        <v>71</v>
      </c>
      <c r="AE185" s="8">
        <v>217</v>
      </c>
      <c r="AF185" s="8">
        <v>2208790.4299999997</v>
      </c>
      <c r="AG185" s="8">
        <v>23391552.830000009</v>
      </c>
      <c r="AH185" s="23">
        <f t="shared" si="79"/>
        <v>217</v>
      </c>
      <c r="AI185" s="23">
        <f t="shared" si="80"/>
        <v>23391552.830000009</v>
      </c>
      <c r="AJ185" s="23">
        <f t="shared" si="81"/>
        <v>71</v>
      </c>
      <c r="AK185" s="23">
        <f t="shared" si="82"/>
        <v>2208790.4299999997</v>
      </c>
      <c r="AL185" s="8">
        <v>217</v>
      </c>
      <c r="AM185" s="8">
        <v>23391552.830000009</v>
      </c>
      <c r="AN185" s="8">
        <v>71</v>
      </c>
      <c r="AO185" s="8">
        <v>2208790.4299999997</v>
      </c>
      <c r="AP185" s="26">
        <v>99.908050000000003</v>
      </c>
      <c r="AQ185" s="13"/>
      <c r="AR185" s="14"/>
      <c r="AS185" s="13"/>
      <c r="AT185" s="13"/>
      <c r="AU185" s="13"/>
      <c r="AV185" s="13"/>
      <c r="AW185" s="13"/>
      <c r="AX185" s="13"/>
    </row>
    <row r="186" spans="2:50" ht="30">
      <c r="B186" s="12">
        <v>11794</v>
      </c>
      <c r="C186" s="11" t="s">
        <v>24</v>
      </c>
      <c r="D186" s="11" t="s">
        <v>151</v>
      </c>
      <c r="E186" s="25">
        <v>27</v>
      </c>
      <c r="F186" s="25">
        <v>4</v>
      </c>
      <c r="G186" s="25">
        <v>2605235.88</v>
      </c>
      <c r="H186" s="25">
        <v>117428.51</v>
      </c>
      <c r="I186" s="39">
        <v>0</v>
      </c>
      <c r="J186" s="22">
        <v>0</v>
      </c>
      <c r="K186" s="22">
        <v>0</v>
      </c>
      <c r="L186" s="22">
        <v>0</v>
      </c>
      <c r="M186" s="22">
        <v>4</v>
      </c>
      <c r="N186" s="22">
        <v>117428.51</v>
      </c>
      <c r="O186" s="22">
        <v>27</v>
      </c>
      <c r="P186" s="22">
        <v>2605235.88</v>
      </c>
      <c r="Q186" s="29">
        <v>1143.8000000000002</v>
      </c>
      <c r="R186" s="8">
        <v>25</v>
      </c>
      <c r="S186" s="8">
        <f>+VLOOKUP(B186,[1]Лист2!$A$4:$B$188,2,0)</f>
        <v>2</v>
      </c>
      <c r="T186" s="8">
        <v>737557</v>
      </c>
      <c r="U186" s="8">
        <f>+VLOOKUP(B186,[1]Лист2!$A$4:$C$188,3,0)</f>
        <v>190206.56</v>
      </c>
      <c r="V186" s="30">
        <f t="shared" si="75"/>
        <v>2</v>
      </c>
      <c r="W186" s="30">
        <f t="shared" si="76"/>
        <v>190206.56</v>
      </c>
      <c r="X186" s="30">
        <f t="shared" si="77"/>
        <v>25</v>
      </c>
      <c r="Y186" s="30">
        <f t="shared" si="78"/>
        <v>737557</v>
      </c>
      <c r="Z186" s="30">
        <f t="shared" si="85"/>
        <v>2.6666666666666665</v>
      </c>
      <c r="AA186" s="30">
        <f t="shared" si="86"/>
        <v>253608.74666666667</v>
      </c>
      <c r="AB186" s="30">
        <v>33.333333333333336</v>
      </c>
      <c r="AC186" s="30">
        <v>983409.33333333337</v>
      </c>
      <c r="AD186" s="8">
        <v>21</v>
      </c>
      <c r="AE186" s="8">
        <v>4</v>
      </c>
      <c r="AF186" s="8">
        <v>546326.27</v>
      </c>
      <c r="AG186" s="8">
        <v>38052.07</v>
      </c>
      <c r="AH186" s="23">
        <f t="shared" si="79"/>
        <v>4</v>
      </c>
      <c r="AI186" s="23">
        <f t="shared" si="80"/>
        <v>38052.07</v>
      </c>
      <c r="AJ186" s="23">
        <f t="shared" si="81"/>
        <v>21</v>
      </c>
      <c r="AK186" s="23">
        <f t="shared" si="82"/>
        <v>546326.27</v>
      </c>
      <c r="AL186" s="8">
        <v>4</v>
      </c>
      <c r="AM186" s="8">
        <v>38052.07</v>
      </c>
      <c r="AN186" s="8">
        <v>21</v>
      </c>
      <c r="AO186" s="8">
        <v>546326.27</v>
      </c>
      <c r="AP186" s="26">
        <v>1143.8000000000002</v>
      </c>
      <c r="AQ186" s="13"/>
      <c r="AR186" s="14"/>
      <c r="AS186" s="13"/>
      <c r="AT186" s="13"/>
      <c r="AU186" s="13"/>
      <c r="AV186" s="13"/>
      <c r="AW186" s="13"/>
      <c r="AX186" s="13"/>
    </row>
    <row r="187" spans="2:50" ht="30">
      <c r="B187" s="12">
        <v>11795</v>
      </c>
      <c r="C187" s="11" t="s">
        <v>24</v>
      </c>
      <c r="D187" s="11" t="s">
        <v>151</v>
      </c>
      <c r="E187" s="25">
        <v>14</v>
      </c>
      <c r="F187" s="25">
        <v>3</v>
      </c>
      <c r="G187" s="25">
        <v>2078096.24</v>
      </c>
      <c r="H187" s="25">
        <v>149276.65</v>
      </c>
      <c r="I187" s="39">
        <v>0</v>
      </c>
      <c r="J187" s="22">
        <v>0</v>
      </c>
      <c r="K187" s="22">
        <v>0</v>
      </c>
      <c r="L187" s="22">
        <v>0</v>
      </c>
      <c r="M187" s="22">
        <v>3</v>
      </c>
      <c r="N187" s="22">
        <v>149276.65</v>
      </c>
      <c r="O187" s="22">
        <v>14</v>
      </c>
      <c r="P187" s="22">
        <v>2078096.24</v>
      </c>
      <c r="Q187" s="29">
        <v>262.98276000000004</v>
      </c>
      <c r="R187" s="8">
        <v>19</v>
      </c>
      <c r="S187" s="8">
        <f>+VLOOKUP(B187,[1]Лист2!$A$4:$B$188,2,0)</f>
        <v>12</v>
      </c>
      <c r="T187" s="8">
        <v>1367046.38</v>
      </c>
      <c r="U187" s="8">
        <f>+VLOOKUP(B187,[1]Лист2!$A$4:$C$188,3,0)</f>
        <v>538005.55000000005</v>
      </c>
      <c r="V187" s="30">
        <f t="shared" si="75"/>
        <v>12</v>
      </c>
      <c r="W187" s="30">
        <f t="shared" si="76"/>
        <v>538005.55000000005</v>
      </c>
      <c r="X187" s="30">
        <f t="shared" si="77"/>
        <v>19</v>
      </c>
      <c r="Y187" s="30">
        <f t="shared" si="78"/>
        <v>1367046.38</v>
      </c>
      <c r="Z187" s="30">
        <f t="shared" si="85"/>
        <v>16</v>
      </c>
      <c r="AA187" s="30">
        <f t="shared" si="86"/>
        <v>717340.7333333334</v>
      </c>
      <c r="AB187" s="30">
        <v>25.333333333333332</v>
      </c>
      <c r="AC187" s="30">
        <v>1822728.5066666666</v>
      </c>
      <c r="AD187" s="8">
        <v>26</v>
      </c>
      <c r="AE187" s="8">
        <v>5</v>
      </c>
      <c r="AF187" s="8">
        <v>594707.96</v>
      </c>
      <c r="AG187" s="8">
        <v>35588.050000000003</v>
      </c>
      <c r="AH187" s="23">
        <f t="shared" si="79"/>
        <v>5</v>
      </c>
      <c r="AI187" s="23">
        <f t="shared" si="80"/>
        <v>35588.050000000003</v>
      </c>
      <c r="AJ187" s="23">
        <f t="shared" si="81"/>
        <v>26</v>
      </c>
      <c r="AK187" s="23">
        <f t="shared" si="82"/>
        <v>594707.96</v>
      </c>
      <c r="AL187" s="8">
        <v>5</v>
      </c>
      <c r="AM187" s="8">
        <v>35588.050000000003</v>
      </c>
      <c r="AN187" s="8">
        <v>26</v>
      </c>
      <c r="AO187" s="8">
        <v>594707.96</v>
      </c>
      <c r="AP187" s="26">
        <v>422.04752999999999</v>
      </c>
      <c r="AQ187" s="13"/>
      <c r="AR187" s="14"/>
      <c r="AS187" s="13"/>
      <c r="AT187" s="13"/>
      <c r="AU187" s="13"/>
      <c r="AV187" s="13"/>
      <c r="AW187" s="13"/>
      <c r="AX187" s="13"/>
    </row>
    <row r="188" spans="2:50">
      <c r="B188" s="12">
        <v>980</v>
      </c>
      <c r="C188" s="11" t="s">
        <v>40</v>
      </c>
      <c r="D188" s="11" t="s">
        <v>152</v>
      </c>
      <c r="E188" s="25">
        <v>53</v>
      </c>
      <c r="F188" s="25">
        <v>23</v>
      </c>
      <c r="G188" s="25">
        <v>27228632.52</v>
      </c>
      <c r="H188" s="25">
        <v>1772841</v>
      </c>
      <c r="I188" s="39">
        <v>0</v>
      </c>
      <c r="J188" s="22">
        <v>0</v>
      </c>
      <c r="K188" s="22">
        <v>0</v>
      </c>
      <c r="L188" s="22">
        <v>0</v>
      </c>
      <c r="M188" s="22">
        <v>23</v>
      </c>
      <c r="N188" s="22">
        <v>1772841</v>
      </c>
      <c r="O188" s="22">
        <v>53</v>
      </c>
      <c r="P188" s="22">
        <v>27228632.52</v>
      </c>
      <c r="Q188" s="29">
        <v>5767.09512</v>
      </c>
      <c r="R188" s="8">
        <v>65</v>
      </c>
      <c r="S188" s="8">
        <f>+VLOOKUP(B188,[1]Лист2!$A$4:$B$188,2,0)</f>
        <v>8</v>
      </c>
      <c r="T188" s="8">
        <v>9540476.8399999999</v>
      </c>
      <c r="U188" s="8">
        <f>+VLOOKUP(B188,[1]Лист2!$A$4:$C$188,3,0)</f>
        <v>868152.1</v>
      </c>
      <c r="V188" s="30">
        <f t="shared" si="75"/>
        <v>8</v>
      </c>
      <c r="W188" s="30">
        <f t="shared" si="76"/>
        <v>868152.1</v>
      </c>
      <c r="X188" s="30">
        <f t="shared" si="77"/>
        <v>65</v>
      </c>
      <c r="Y188" s="30">
        <f t="shared" si="78"/>
        <v>9540476.8399999999</v>
      </c>
      <c r="Z188" s="30">
        <f t="shared" si="85"/>
        <v>10.666666666666666</v>
      </c>
      <c r="AA188" s="30">
        <f t="shared" si="86"/>
        <v>1157536.1333333333</v>
      </c>
      <c r="AB188" s="30">
        <v>86.666666666666671</v>
      </c>
      <c r="AC188" s="30">
        <v>12720635.786666667</v>
      </c>
      <c r="AD188" s="8">
        <v>194</v>
      </c>
      <c r="AE188" s="8">
        <v>27</v>
      </c>
      <c r="AF188" s="8">
        <v>34437785.759999998</v>
      </c>
      <c r="AG188" s="8">
        <v>9228309.5399999991</v>
      </c>
      <c r="AH188" s="23">
        <f t="shared" si="79"/>
        <v>27</v>
      </c>
      <c r="AI188" s="23">
        <f t="shared" si="80"/>
        <v>9228309.5399999991</v>
      </c>
      <c r="AJ188" s="23">
        <f t="shared" si="81"/>
        <v>194</v>
      </c>
      <c r="AK188" s="23">
        <f t="shared" si="82"/>
        <v>34437785.759999998</v>
      </c>
      <c r="AL188" s="8">
        <v>27</v>
      </c>
      <c r="AM188" s="8">
        <v>9228309.5399999991</v>
      </c>
      <c r="AN188" s="8">
        <v>194</v>
      </c>
      <c r="AO188" s="8">
        <v>34437785.759999998</v>
      </c>
      <c r="AP188" s="26">
        <v>500.85485999999997</v>
      </c>
      <c r="AQ188" s="13"/>
      <c r="AR188" s="14"/>
      <c r="AS188" s="13"/>
      <c r="AT188" s="13"/>
      <c r="AU188" s="13"/>
      <c r="AV188" s="13"/>
      <c r="AW188" s="13"/>
      <c r="AX188" s="13"/>
    </row>
    <row r="189" spans="2:50">
      <c r="B189" s="12">
        <v>1172</v>
      </c>
      <c r="C189" s="11" t="s">
        <v>42</v>
      </c>
      <c r="D189" s="11" t="s">
        <v>153</v>
      </c>
      <c r="E189" s="25">
        <v>531</v>
      </c>
      <c r="F189" s="25">
        <v>0</v>
      </c>
      <c r="G189" s="25">
        <v>36278667.399999984</v>
      </c>
      <c r="H189" s="25">
        <v>0</v>
      </c>
      <c r="I189" s="40">
        <v>0</v>
      </c>
      <c r="J189" s="37">
        <v>0</v>
      </c>
      <c r="K189" s="37">
        <v>0</v>
      </c>
      <c r="L189" s="37">
        <v>0</v>
      </c>
      <c r="M189" s="22">
        <v>0</v>
      </c>
      <c r="N189" s="22">
        <v>0</v>
      </c>
      <c r="O189" s="22">
        <v>531</v>
      </c>
      <c r="P189" s="22">
        <v>36278667.399999984</v>
      </c>
      <c r="Q189" s="29">
        <v>5565.8566799999999</v>
      </c>
      <c r="R189" s="8">
        <v>658</v>
      </c>
      <c r="S189" s="8"/>
      <c r="T189" s="8">
        <v>53525103.899999991</v>
      </c>
      <c r="U189" s="8"/>
      <c r="V189" s="30">
        <f t="shared" si="75"/>
        <v>0</v>
      </c>
      <c r="W189" s="30">
        <f t="shared" si="76"/>
        <v>0</v>
      </c>
      <c r="X189" s="30">
        <f t="shared" si="77"/>
        <v>658</v>
      </c>
      <c r="Y189" s="30">
        <f t="shared" si="78"/>
        <v>53525103.899999991</v>
      </c>
      <c r="Z189" s="30">
        <f t="shared" si="85"/>
        <v>0</v>
      </c>
      <c r="AA189" s="30">
        <f t="shared" si="86"/>
        <v>0</v>
      </c>
      <c r="AB189" s="30">
        <v>877.33333333333337</v>
      </c>
      <c r="AC189" s="30">
        <v>71366805.199999988</v>
      </c>
      <c r="AD189" s="8">
        <v>87</v>
      </c>
      <c r="AE189" s="8">
        <v>0</v>
      </c>
      <c r="AF189" s="8">
        <v>6079437.4699999997</v>
      </c>
      <c r="AG189" s="8">
        <v>0</v>
      </c>
      <c r="AH189" s="23">
        <f t="shared" si="79"/>
        <v>0</v>
      </c>
      <c r="AI189" s="23">
        <f t="shared" si="80"/>
        <v>0</v>
      </c>
      <c r="AJ189" s="23">
        <f t="shared" si="81"/>
        <v>87</v>
      </c>
      <c r="AK189" s="23">
        <f t="shared" si="82"/>
        <v>6079437.4699999997</v>
      </c>
      <c r="AL189" s="8">
        <v>0</v>
      </c>
      <c r="AM189" s="8">
        <v>0</v>
      </c>
      <c r="AN189" s="8">
        <v>87</v>
      </c>
      <c r="AO189" s="8">
        <v>6079437.4699999997</v>
      </c>
      <c r="AP189" s="26">
        <v>61188.792529999992</v>
      </c>
      <c r="AQ189" s="13"/>
      <c r="AR189" s="14"/>
      <c r="AS189" s="13"/>
      <c r="AT189" s="13"/>
      <c r="AU189" s="13"/>
      <c r="AV189" s="13"/>
      <c r="AW189" s="13"/>
      <c r="AX189" s="13"/>
    </row>
    <row r="190" spans="2:50">
      <c r="B190" s="12">
        <v>950</v>
      </c>
      <c r="C190" s="11" t="s">
        <v>41</v>
      </c>
      <c r="D190" s="11" t="s">
        <v>154</v>
      </c>
      <c r="E190" s="25">
        <v>2</v>
      </c>
      <c r="F190" s="25">
        <v>1</v>
      </c>
      <c r="G190" s="25">
        <v>14337.5</v>
      </c>
      <c r="H190" s="25">
        <v>25974</v>
      </c>
      <c r="I190" s="39">
        <v>0</v>
      </c>
      <c r="J190" s="22">
        <v>0</v>
      </c>
      <c r="K190" s="22">
        <v>0</v>
      </c>
      <c r="L190" s="22">
        <v>0</v>
      </c>
      <c r="M190" s="22">
        <v>1</v>
      </c>
      <c r="N190" s="22">
        <v>25974</v>
      </c>
      <c r="O190" s="22">
        <v>2</v>
      </c>
      <c r="P190" s="22">
        <v>14337.5</v>
      </c>
      <c r="Q190" s="29">
        <v>0</v>
      </c>
      <c r="R190" s="8">
        <v>5</v>
      </c>
      <c r="S190" s="8"/>
      <c r="T190" s="8">
        <v>81406</v>
      </c>
      <c r="U190" s="8"/>
      <c r="V190" s="30">
        <f t="shared" si="75"/>
        <v>0</v>
      </c>
      <c r="W190" s="30">
        <f t="shared" si="76"/>
        <v>0</v>
      </c>
      <c r="X190" s="30">
        <f t="shared" si="77"/>
        <v>5</v>
      </c>
      <c r="Y190" s="30">
        <f t="shared" si="78"/>
        <v>81406</v>
      </c>
      <c r="Z190" s="30">
        <f t="shared" si="85"/>
        <v>0</v>
      </c>
      <c r="AA190" s="30">
        <f t="shared" si="86"/>
        <v>0</v>
      </c>
      <c r="AB190" s="30">
        <v>6.666666666666667</v>
      </c>
      <c r="AC190" s="30">
        <v>108541.33333333333</v>
      </c>
      <c r="AD190" s="8">
        <v>4</v>
      </c>
      <c r="AE190" s="8">
        <v>0</v>
      </c>
      <c r="AF190" s="8">
        <v>130799.56</v>
      </c>
      <c r="AG190" s="8">
        <v>0</v>
      </c>
      <c r="AH190" s="23">
        <f t="shared" si="79"/>
        <v>0</v>
      </c>
      <c r="AI190" s="23">
        <f t="shared" si="80"/>
        <v>0</v>
      </c>
      <c r="AJ190" s="23">
        <f t="shared" si="81"/>
        <v>4</v>
      </c>
      <c r="AK190" s="23">
        <f t="shared" si="82"/>
        <v>130799.56</v>
      </c>
      <c r="AL190" s="8">
        <v>0</v>
      </c>
      <c r="AM190" s="8">
        <v>0</v>
      </c>
      <c r="AN190" s="8">
        <v>4</v>
      </c>
      <c r="AO190" s="8">
        <v>130799.56</v>
      </c>
      <c r="AP190" s="26">
        <v>46.375</v>
      </c>
      <c r="AQ190" s="13"/>
      <c r="AR190" s="14"/>
      <c r="AS190" s="13"/>
      <c r="AT190" s="13"/>
      <c r="AU190" s="13"/>
      <c r="AV190" s="13"/>
      <c r="AW190" s="13"/>
      <c r="AX190" s="13"/>
    </row>
    <row r="191" spans="2:50">
      <c r="B191" s="12">
        <v>1176</v>
      </c>
      <c r="C191" s="11" t="s">
        <v>32</v>
      </c>
      <c r="D191" s="11" t="s">
        <v>155</v>
      </c>
      <c r="E191" s="25">
        <v>450</v>
      </c>
      <c r="F191" s="25">
        <v>44</v>
      </c>
      <c r="G191" s="25">
        <v>59755437.189999968</v>
      </c>
      <c r="H191" s="25">
        <v>1805835.99</v>
      </c>
      <c r="I191" s="39">
        <v>0</v>
      </c>
      <c r="J191" s="22">
        <v>0</v>
      </c>
      <c r="K191" s="22">
        <v>0</v>
      </c>
      <c r="L191" s="22">
        <v>0</v>
      </c>
      <c r="M191" s="22">
        <v>44</v>
      </c>
      <c r="N191" s="22">
        <v>1805835.99</v>
      </c>
      <c r="O191" s="22">
        <v>450</v>
      </c>
      <c r="P191" s="22">
        <v>59755437.189999968</v>
      </c>
      <c r="Q191" s="29">
        <v>3207.1846700000001</v>
      </c>
      <c r="R191" s="8">
        <v>453</v>
      </c>
      <c r="S191" s="8">
        <f>+VLOOKUP(B191,[1]Лист2!$A$4:$B$188,2,0)</f>
        <v>25</v>
      </c>
      <c r="T191" s="8">
        <v>43842796.079999983</v>
      </c>
      <c r="U191" s="8">
        <f>+VLOOKUP(B191,[1]Лист2!$A$4:$C$188,3,0)</f>
        <v>2440881.65</v>
      </c>
      <c r="V191" s="30">
        <f t="shared" si="75"/>
        <v>25</v>
      </c>
      <c r="W191" s="30">
        <f t="shared" si="76"/>
        <v>2440881.65</v>
      </c>
      <c r="X191" s="30">
        <f t="shared" si="77"/>
        <v>453</v>
      </c>
      <c r="Y191" s="30">
        <f t="shared" si="78"/>
        <v>43842796.079999983</v>
      </c>
      <c r="Z191" s="30">
        <f t="shared" si="85"/>
        <v>33.333333333333336</v>
      </c>
      <c r="AA191" s="30">
        <f t="shared" si="86"/>
        <v>3254508.8666666667</v>
      </c>
      <c r="AB191" s="30">
        <v>604</v>
      </c>
      <c r="AC191" s="30">
        <v>58457061.439999975</v>
      </c>
      <c r="AD191" s="8">
        <v>391</v>
      </c>
      <c r="AE191" s="8">
        <v>26</v>
      </c>
      <c r="AF191" s="8">
        <v>28668098.269999981</v>
      </c>
      <c r="AG191" s="8">
        <v>1341991.3299999998</v>
      </c>
      <c r="AH191" s="23">
        <f t="shared" si="79"/>
        <v>26</v>
      </c>
      <c r="AI191" s="23">
        <f t="shared" si="80"/>
        <v>1341991.3299999998</v>
      </c>
      <c r="AJ191" s="23">
        <f t="shared" si="81"/>
        <v>391</v>
      </c>
      <c r="AK191" s="23">
        <f t="shared" si="82"/>
        <v>28668098.269999981</v>
      </c>
      <c r="AL191" s="8">
        <v>26</v>
      </c>
      <c r="AM191" s="8">
        <v>1341991.3299999998</v>
      </c>
      <c r="AN191" s="8">
        <v>391</v>
      </c>
      <c r="AO191" s="8">
        <v>28668098.269999981</v>
      </c>
      <c r="AP191" s="26">
        <v>9582.7829599999986</v>
      </c>
      <c r="AQ191" s="13"/>
      <c r="AR191" s="14"/>
      <c r="AS191" s="13"/>
      <c r="AT191" s="13"/>
      <c r="AU191" s="13"/>
      <c r="AV191" s="13"/>
      <c r="AW191" s="8"/>
      <c r="AX191" s="8"/>
    </row>
    <row r="192" spans="2:50">
      <c r="B192" s="12">
        <v>491</v>
      </c>
      <c r="C192" s="11" t="s">
        <v>17</v>
      </c>
      <c r="D192" s="11" t="s">
        <v>156</v>
      </c>
      <c r="E192" s="25">
        <v>159</v>
      </c>
      <c r="F192" s="25">
        <v>82</v>
      </c>
      <c r="G192" s="25">
        <v>5998668.2999999998</v>
      </c>
      <c r="H192" s="25">
        <v>6203309.0199999996</v>
      </c>
      <c r="I192" s="39">
        <v>0</v>
      </c>
      <c r="J192" s="22">
        <v>0</v>
      </c>
      <c r="K192" s="22">
        <v>0</v>
      </c>
      <c r="L192" s="22">
        <v>0</v>
      </c>
      <c r="M192" s="22">
        <v>82</v>
      </c>
      <c r="N192" s="22">
        <v>6203309.0199999996</v>
      </c>
      <c r="O192" s="22">
        <v>159</v>
      </c>
      <c r="P192" s="22">
        <v>5998668.2999999998</v>
      </c>
      <c r="Q192" s="29">
        <v>1612.2599499999997</v>
      </c>
      <c r="R192" s="8">
        <v>184</v>
      </c>
      <c r="S192" s="8">
        <f>+VLOOKUP(B192,[1]Лист2!$A$4:$B$188,2,0)</f>
        <v>58</v>
      </c>
      <c r="T192" s="8">
        <v>6617929.9900000002</v>
      </c>
      <c r="U192" s="8">
        <f>+VLOOKUP(B192,[1]Лист2!$A$4:$C$188,3,0)</f>
        <v>1820601.8699999996</v>
      </c>
      <c r="V192" s="30">
        <f t="shared" si="75"/>
        <v>58</v>
      </c>
      <c r="W192" s="30">
        <f t="shared" si="76"/>
        <v>1820601.8699999996</v>
      </c>
      <c r="X192" s="30">
        <f t="shared" si="77"/>
        <v>184</v>
      </c>
      <c r="Y192" s="30">
        <f t="shared" si="78"/>
        <v>6617929.9900000002</v>
      </c>
      <c r="Z192" s="30">
        <f t="shared" si="85"/>
        <v>77.333333333333329</v>
      </c>
      <c r="AA192" s="30">
        <f t="shared" si="86"/>
        <v>2427469.1599999997</v>
      </c>
      <c r="AB192" s="30">
        <v>245.33333333333334</v>
      </c>
      <c r="AC192" s="30">
        <v>8823906.6533333343</v>
      </c>
      <c r="AD192" s="8">
        <v>123</v>
      </c>
      <c r="AE192" s="8">
        <v>39</v>
      </c>
      <c r="AF192" s="8">
        <v>2321520.6</v>
      </c>
      <c r="AG192" s="8">
        <v>1060520.27</v>
      </c>
      <c r="AH192" s="23">
        <f t="shared" si="79"/>
        <v>39</v>
      </c>
      <c r="AI192" s="23">
        <f t="shared" si="80"/>
        <v>1060520.27</v>
      </c>
      <c r="AJ192" s="23">
        <f t="shared" si="81"/>
        <v>123</v>
      </c>
      <c r="AK192" s="23">
        <f t="shared" si="82"/>
        <v>2321520.6</v>
      </c>
      <c r="AL192" s="8">
        <v>39</v>
      </c>
      <c r="AM192" s="8">
        <v>1060520.27</v>
      </c>
      <c r="AN192" s="8">
        <v>123</v>
      </c>
      <c r="AO192" s="8">
        <v>2321520.6</v>
      </c>
      <c r="AP192" s="26">
        <v>13186.736900000005</v>
      </c>
      <c r="AQ192" s="13"/>
      <c r="AR192" s="14"/>
      <c r="AS192" s="13"/>
      <c r="AT192" s="13"/>
      <c r="AU192" s="13"/>
      <c r="AV192" s="13"/>
      <c r="AW192" s="13"/>
      <c r="AX192" s="13"/>
    </row>
    <row r="193" spans="2:50">
      <c r="B193" s="12">
        <v>1098</v>
      </c>
      <c r="C193" s="11" t="s">
        <v>17</v>
      </c>
      <c r="D193" s="11" t="s">
        <v>156</v>
      </c>
      <c r="E193" s="25">
        <v>1</v>
      </c>
      <c r="F193" s="25">
        <v>0</v>
      </c>
      <c r="G193" s="25">
        <v>20770</v>
      </c>
      <c r="H193" s="25">
        <v>0</v>
      </c>
      <c r="I193" s="40">
        <v>0</v>
      </c>
      <c r="J193" s="37">
        <v>0</v>
      </c>
      <c r="K193" s="37">
        <v>0</v>
      </c>
      <c r="L193" s="37">
        <v>0</v>
      </c>
      <c r="M193" s="22">
        <v>0</v>
      </c>
      <c r="N193" s="22">
        <v>0</v>
      </c>
      <c r="O193" s="22">
        <v>1</v>
      </c>
      <c r="P193" s="22">
        <v>20770</v>
      </c>
      <c r="Q193" s="29">
        <v>4.04</v>
      </c>
      <c r="R193" s="8"/>
      <c r="S193" s="8"/>
      <c r="T193" s="8"/>
      <c r="U193" s="8"/>
      <c r="V193" s="30">
        <f t="shared" si="75"/>
        <v>0</v>
      </c>
      <c r="W193" s="30">
        <f t="shared" si="76"/>
        <v>0</v>
      </c>
      <c r="X193" s="30">
        <f t="shared" si="77"/>
        <v>0</v>
      </c>
      <c r="Y193" s="30">
        <f t="shared" si="78"/>
        <v>0</v>
      </c>
      <c r="Z193" s="30">
        <f t="shared" si="85"/>
        <v>0</v>
      </c>
      <c r="AA193" s="30">
        <f t="shared" si="86"/>
        <v>0</v>
      </c>
      <c r="AB193" s="30">
        <v>0</v>
      </c>
      <c r="AC193" s="30">
        <v>0</v>
      </c>
      <c r="AD193" s="8">
        <v>0</v>
      </c>
      <c r="AE193" s="8">
        <v>0</v>
      </c>
      <c r="AF193" s="8">
        <v>0</v>
      </c>
      <c r="AG193" s="8">
        <v>0</v>
      </c>
      <c r="AH193" s="23">
        <f t="shared" si="79"/>
        <v>0</v>
      </c>
      <c r="AI193" s="23">
        <f t="shared" si="80"/>
        <v>0</v>
      </c>
      <c r="AJ193" s="23">
        <f t="shared" si="81"/>
        <v>0</v>
      </c>
      <c r="AK193" s="23">
        <f t="shared" si="82"/>
        <v>0</v>
      </c>
      <c r="AL193" s="8">
        <v>0</v>
      </c>
      <c r="AM193" s="8">
        <v>0</v>
      </c>
      <c r="AN193" s="8">
        <v>0</v>
      </c>
      <c r="AO193" s="8">
        <v>0</v>
      </c>
      <c r="AP193" s="26">
        <v>0</v>
      </c>
      <c r="AQ193" s="13"/>
      <c r="AR193" s="14"/>
      <c r="AS193" s="13"/>
      <c r="AT193" s="13"/>
      <c r="AU193" s="13"/>
      <c r="AV193" s="13"/>
      <c r="AW193" s="13"/>
      <c r="AX193" s="13"/>
    </row>
    <row r="194" spans="2:50">
      <c r="B194" s="12">
        <v>11966</v>
      </c>
      <c r="C194" s="11" t="s">
        <v>17</v>
      </c>
      <c r="D194" s="11" t="s">
        <v>156</v>
      </c>
      <c r="E194" s="25">
        <v>53</v>
      </c>
      <c r="F194" s="25">
        <v>43</v>
      </c>
      <c r="G194" s="25">
        <v>1078367.4500000002</v>
      </c>
      <c r="H194" s="25">
        <v>859917.69</v>
      </c>
      <c r="I194" s="39">
        <v>0</v>
      </c>
      <c r="J194" s="22">
        <v>0</v>
      </c>
      <c r="K194" s="22">
        <v>0</v>
      </c>
      <c r="L194" s="22">
        <v>0</v>
      </c>
      <c r="M194" s="22">
        <v>43</v>
      </c>
      <c r="N194" s="22">
        <v>859917.69</v>
      </c>
      <c r="O194" s="22">
        <v>53</v>
      </c>
      <c r="P194" s="22">
        <v>1078367.4500000002</v>
      </c>
      <c r="Q194" s="29">
        <v>14093.343690000002</v>
      </c>
      <c r="R194" s="8">
        <v>95</v>
      </c>
      <c r="S194" s="8">
        <f>+VLOOKUP(B194,[1]Лист2!$A$4:$B$188,2,0)</f>
        <v>87</v>
      </c>
      <c r="T194" s="8">
        <v>3414394.87</v>
      </c>
      <c r="U194" s="8">
        <f>+VLOOKUP(B194,[1]Лист2!$A$4:$C$188,3,0)</f>
        <v>2034938.4800000002</v>
      </c>
      <c r="V194" s="30">
        <f t="shared" si="75"/>
        <v>87</v>
      </c>
      <c r="W194" s="30">
        <f t="shared" si="76"/>
        <v>2034938.4800000002</v>
      </c>
      <c r="X194" s="30">
        <f t="shared" si="77"/>
        <v>95</v>
      </c>
      <c r="Y194" s="30">
        <f t="shared" si="78"/>
        <v>3414394.87</v>
      </c>
      <c r="Z194" s="30">
        <f t="shared" si="85"/>
        <v>116</v>
      </c>
      <c r="AA194" s="30">
        <f t="shared" si="86"/>
        <v>2713251.3066666671</v>
      </c>
      <c r="AB194" s="30">
        <v>126.66666666666667</v>
      </c>
      <c r="AC194" s="30">
        <v>4552526.4933333332</v>
      </c>
      <c r="AD194" s="8">
        <v>62</v>
      </c>
      <c r="AE194" s="8">
        <v>76</v>
      </c>
      <c r="AF194" s="8">
        <v>2141455.7400000002</v>
      </c>
      <c r="AG194" s="8">
        <v>2031378.4</v>
      </c>
      <c r="AH194" s="23">
        <f t="shared" si="79"/>
        <v>76</v>
      </c>
      <c r="AI194" s="23">
        <f t="shared" si="80"/>
        <v>2031378.4</v>
      </c>
      <c r="AJ194" s="23">
        <f t="shared" si="81"/>
        <v>62</v>
      </c>
      <c r="AK194" s="23">
        <f t="shared" si="82"/>
        <v>2141455.7400000002</v>
      </c>
      <c r="AL194" s="8">
        <v>76</v>
      </c>
      <c r="AM194" s="8">
        <v>2031378.4</v>
      </c>
      <c r="AN194" s="8">
        <v>62</v>
      </c>
      <c r="AO194" s="8">
        <v>2141455.7400000002</v>
      </c>
      <c r="AP194" s="26">
        <v>14867.283960000002</v>
      </c>
      <c r="AQ194" s="13"/>
      <c r="AR194" s="14"/>
      <c r="AS194" s="13"/>
      <c r="AT194" s="13"/>
      <c r="AU194" s="13"/>
      <c r="AV194" s="13"/>
      <c r="AW194" s="13"/>
      <c r="AX194" s="13"/>
    </row>
    <row r="195" spans="2:50">
      <c r="B195" s="12">
        <v>11967</v>
      </c>
      <c r="C195" s="11" t="s">
        <v>17</v>
      </c>
      <c r="D195" s="11" t="s">
        <v>156</v>
      </c>
      <c r="E195" s="25">
        <v>107</v>
      </c>
      <c r="F195" s="25">
        <v>17</v>
      </c>
      <c r="G195" s="25">
        <v>4792169.22</v>
      </c>
      <c r="H195" s="25">
        <v>1268512.94</v>
      </c>
      <c r="I195" s="39">
        <v>0</v>
      </c>
      <c r="J195" s="22">
        <v>0</v>
      </c>
      <c r="K195" s="22">
        <v>0</v>
      </c>
      <c r="L195" s="22">
        <v>0</v>
      </c>
      <c r="M195" s="22">
        <v>17</v>
      </c>
      <c r="N195" s="22">
        <v>1268512.94</v>
      </c>
      <c r="O195" s="22">
        <v>107</v>
      </c>
      <c r="P195" s="22">
        <v>4792169.22</v>
      </c>
      <c r="Q195" s="29">
        <v>13711.597250000003</v>
      </c>
      <c r="R195" s="8">
        <v>92</v>
      </c>
      <c r="S195" s="8">
        <f>+VLOOKUP(B195,[1]Лист2!$A$4:$B$188,2,0)</f>
        <v>8</v>
      </c>
      <c r="T195" s="8">
        <v>5188961.669999999</v>
      </c>
      <c r="U195" s="8">
        <f>+VLOOKUP(B195,[1]Лист2!$A$4:$C$188,3,0)</f>
        <v>2186258</v>
      </c>
      <c r="V195" s="30">
        <f t="shared" si="75"/>
        <v>8</v>
      </c>
      <c r="W195" s="30">
        <f t="shared" si="76"/>
        <v>2186258</v>
      </c>
      <c r="X195" s="30">
        <f t="shared" si="77"/>
        <v>92</v>
      </c>
      <c r="Y195" s="30">
        <f t="shared" si="78"/>
        <v>5188961.669999999</v>
      </c>
      <c r="Z195" s="30">
        <f t="shared" si="85"/>
        <v>10.666666666666666</v>
      </c>
      <c r="AA195" s="30">
        <f t="shared" si="86"/>
        <v>2915010.6666666665</v>
      </c>
      <c r="AB195" s="30">
        <v>122.66666666666667</v>
      </c>
      <c r="AC195" s="30">
        <v>6918615.5599999987</v>
      </c>
      <c r="AD195" s="8">
        <v>82</v>
      </c>
      <c r="AE195" s="8">
        <v>4</v>
      </c>
      <c r="AF195" s="8">
        <v>4128895.29</v>
      </c>
      <c r="AG195" s="8">
        <v>183991.6</v>
      </c>
      <c r="AH195" s="23">
        <f t="shared" si="79"/>
        <v>4</v>
      </c>
      <c r="AI195" s="23">
        <f t="shared" si="80"/>
        <v>183991.6</v>
      </c>
      <c r="AJ195" s="23">
        <f t="shared" si="81"/>
        <v>82</v>
      </c>
      <c r="AK195" s="23">
        <f t="shared" si="82"/>
        <v>4128895.29</v>
      </c>
      <c r="AL195" s="8">
        <v>4</v>
      </c>
      <c r="AM195" s="8">
        <v>183991.6</v>
      </c>
      <c r="AN195" s="8">
        <v>82</v>
      </c>
      <c r="AO195" s="8">
        <v>4128895.29</v>
      </c>
      <c r="AP195" s="26">
        <v>8357.9215600000007</v>
      </c>
      <c r="AQ195" s="13"/>
      <c r="AR195" s="14"/>
      <c r="AS195" s="13"/>
      <c r="AT195" s="13"/>
      <c r="AU195" s="13"/>
      <c r="AV195" s="13"/>
      <c r="AW195" s="13"/>
      <c r="AX195" s="13"/>
    </row>
    <row r="196" spans="2:50">
      <c r="B196" s="12">
        <v>11970</v>
      </c>
      <c r="C196" s="11" t="s">
        <v>17</v>
      </c>
      <c r="D196" s="11" t="s">
        <v>156</v>
      </c>
      <c r="E196" s="25">
        <v>45</v>
      </c>
      <c r="F196" s="25">
        <v>22</v>
      </c>
      <c r="G196" s="25">
        <v>973689.34000000008</v>
      </c>
      <c r="H196" s="25">
        <v>633552.0199999999</v>
      </c>
      <c r="I196" s="39">
        <v>0</v>
      </c>
      <c r="J196" s="22">
        <v>0</v>
      </c>
      <c r="K196" s="22">
        <v>0</v>
      </c>
      <c r="L196" s="22">
        <v>0</v>
      </c>
      <c r="M196" s="22">
        <v>22</v>
      </c>
      <c r="N196" s="22">
        <v>633552.0199999999</v>
      </c>
      <c r="O196" s="22">
        <v>45</v>
      </c>
      <c r="P196" s="22">
        <v>973689.34000000008</v>
      </c>
      <c r="Q196" s="29">
        <v>3418.0294800000001</v>
      </c>
      <c r="R196" s="8">
        <v>99</v>
      </c>
      <c r="S196" s="8">
        <f>+VLOOKUP(B196,[1]Лист2!$A$4:$B$188,2,0)</f>
        <v>146</v>
      </c>
      <c r="T196" s="8">
        <v>3038211.8</v>
      </c>
      <c r="U196" s="8">
        <f>+VLOOKUP(B196,[1]Лист2!$A$4:$C$188,3,0)</f>
        <v>6602456.8299999982</v>
      </c>
      <c r="V196" s="30">
        <f t="shared" si="75"/>
        <v>146</v>
      </c>
      <c r="W196" s="30">
        <f t="shared" si="76"/>
        <v>6602456.8299999982</v>
      </c>
      <c r="X196" s="30">
        <f t="shared" si="77"/>
        <v>99</v>
      </c>
      <c r="Y196" s="30">
        <f t="shared" si="78"/>
        <v>3038211.8</v>
      </c>
      <c r="Z196" s="30">
        <f t="shared" si="85"/>
        <v>194.66666666666666</v>
      </c>
      <c r="AA196" s="30">
        <f t="shared" si="86"/>
        <v>8803275.7733333316</v>
      </c>
      <c r="AB196" s="30">
        <v>132</v>
      </c>
      <c r="AC196" s="30">
        <v>4050949.0666666664</v>
      </c>
      <c r="AD196" s="8">
        <v>77</v>
      </c>
      <c r="AE196" s="8">
        <v>146</v>
      </c>
      <c r="AF196" s="8">
        <v>3146112.7199999997</v>
      </c>
      <c r="AG196" s="8">
        <v>4368073.8599999994</v>
      </c>
      <c r="AH196" s="23">
        <f t="shared" si="79"/>
        <v>146</v>
      </c>
      <c r="AI196" s="23">
        <f t="shared" si="80"/>
        <v>4368073.8599999994</v>
      </c>
      <c r="AJ196" s="23">
        <f t="shared" si="81"/>
        <v>77</v>
      </c>
      <c r="AK196" s="23">
        <f t="shared" si="82"/>
        <v>3146112.7199999997</v>
      </c>
      <c r="AL196" s="8">
        <v>146</v>
      </c>
      <c r="AM196" s="8">
        <v>4368073.8599999994</v>
      </c>
      <c r="AN196" s="8">
        <v>77</v>
      </c>
      <c r="AO196" s="8">
        <v>3146112.7199999997</v>
      </c>
      <c r="AP196" s="26">
        <v>3757.7516600000008</v>
      </c>
      <c r="AQ196" s="13"/>
      <c r="AR196" s="14"/>
      <c r="AS196" s="13"/>
      <c r="AT196" s="13"/>
      <c r="AU196" s="13"/>
      <c r="AV196" s="13"/>
      <c r="AW196" s="13"/>
      <c r="AX196" s="13"/>
    </row>
    <row r="197" spans="2:50">
      <c r="B197" s="12">
        <v>11971</v>
      </c>
      <c r="C197" s="11" t="s">
        <v>17</v>
      </c>
      <c r="D197" s="11" t="s">
        <v>156</v>
      </c>
      <c r="E197" s="25">
        <v>13</v>
      </c>
      <c r="F197" s="25">
        <v>8</v>
      </c>
      <c r="G197" s="25">
        <v>279148.2</v>
      </c>
      <c r="H197" s="25">
        <v>138465.28</v>
      </c>
      <c r="I197" s="39">
        <v>0</v>
      </c>
      <c r="J197" s="22">
        <v>0</v>
      </c>
      <c r="K197" s="22">
        <v>0</v>
      </c>
      <c r="L197" s="22">
        <v>0</v>
      </c>
      <c r="M197" s="22">
        <v>8</v>
      </c>
      <c r="N197" s="22">
        <v>138465.28</v>
      </c>
      <c r="O197" s="22">
        <v>13</v>
      </c>
      <c r="P197" s="22">
        <v>279148.2</v>
      </c>
      <c r="Q197" s="29">
        <v>50.557499999999997</v>
      </c>
      <c r="R197" s="8">
        <v>41</v>
      </c>
      <c r="S197" s="8">
        <f>+VLOOKUP(B197,[1]Лист2!$A$4:$B$188,2,0)</f>
        <v>29</v>
      </c>
      <c r="T197" s="8">
        <v>737913.73</v>
      </c>
      <c r="U197" s="8">
        <f>+VLOOKUP(B197,[1]Лист2!$A$4:$C$188,3,0)</f>
        <v>482169.28</v>
      </c>
      <c r="V197" s="30">
        <f t="shared" si="75"/>
        <v>29</v>
      </c>
      <c r="W197" s="30">
        <f t="shared" si="76"/>
        <v>482169.28</v>
      </c>
      <c r="X197" s="30">
        <f t="shared" si="77"/>
        <v>41</v>
      </c>
      <c r="Y197" s="30">
        <f t="shared" si="78"/>
        <v>737913.73</v>
      </c>
      <c r="Z197" s="30">
        <f t="shared" si="85"/>
        <v>38.666666666666664</v>
      </c>
      <c r="AA197" s="30">
        <f t="shared" si="86"/>
        <v>642892.37333333341</v>
      </c>
      <c r="AB197" s="30">
        <v>54.666666666666664</v>
      </c>
      <c r="AC197" s="30">
        <v>983884.97333333327</v>
      </c>
      <c r="AD197" s="8">
        <v>24</v>
      </c>
      <c r="AE197" s="8">
        <v>29</v>
      </c>
      <c r="AF197" s="8">
        <v>443912.5</v>
      </c>
      <c r="AG197" s="8">
        <v>492147.15000000008</v>
      </c>
      <c r="AH197" s="23">
        <f t="shared" si="79"/>
        <v>29</v>
      </c>
      <c r="AI197" s="23">
        <f t="shared" si="80"/>
        <v>492147.15000000008</v>
      </c>
      <c r="AJ197" s="23">
        <f t="shared" si="81"/>
        <v>24</v>
      </c>
      <c r="AK197" s="23">
        <f t="shared" si="82"/>
        <v>443912.5</v>
      </c>
      <c r="AL197" s="8">
        <v>29</v>
      </c>
      <c r="AM197" s="8">
        <v>492147.15000000008</v>
      </c>
      <c r="AN197" s="8">
        <v>24</v>
      </c>
      <c r="AO197" s="8">
        <v>443912.5</v>
      </c>
      <c r="AP197" s="26">
        <v>163.06972000000002</v>
      </c>
      <c r="AQ197" s="13"/>
      <c r="AR197" s="14"/>
      <c r="AS197" s="13"/>
      <c r="AT197" s="13"/>
      <c r="AU197" s="13"/>
      <c r="AV197" s="13"/>
      <c r="AW197" s="13"/>
      <c r="AX197" s="13"/>
    </row>
    <row r="198" spans="2:50">
      <c r="B198" s="12">
        <v>11987</v>
      </c>
      <c r="C198" s="11" t="s">
        <v>17</v>
      </c>
      <c r="D198" s="11" t="s">
        <v>156</v>
      </c>
      <c r="E198" s="25">
        <v>470</v>
      </c>
      <c r="F198" s="25">
        <v>66</v>
      </c>
      <c r="G198" s="25">
        <v>18531708.559999999</v>
      </c>
      <c r="H198" s="25">
        <v>6418454.4099999974</v>
      </c>
      <c r="I198" s="39">
        <v>0</v>
      </c>
      <c r="J198" s="22">
        <v>0</v>
      </c>
      <c r="K198" s="22">
        <v>0</v>
      </c>
      <c r="L198" s="22">
        <v>0</v>
      </c>
      <c r="M198" s="22">
        <v>66</v>
      </c>
      <c r="N198" s="22">
        <v>6418454.4099999974</v>
      </c>
      <c r="O198" s="22">
        <v>470</v>
      </c>
      <c r="P198" s="22">
        <v>18531708.559999999</v>
      </c>
      <c r="Q198" s="29">
        <v>2143.7991400000001</v>
      </c>
      <c r="R198" s="8">
        <v>646</v>
      </c>
      <c r="S198" s="8">
        <f>+VLOOKUP(B198,[1]Лист2!$A$4:$B$188,2,0)</f>
        <v>108</v>
      </c>
      <c r="T198" s="8">
        <v>26060444.510000002</v>
      </c>
      <c r="U198" s="8">
        <f>+VLOOKUP(B198,[1]Лист2!$A$4:$C$188,3,0)</f>
        <v>9770639.5899999999</v>
      </c>
      <c r="V198" s="30">
        <f t="shared" si="75"/>
        <v>108</v>
      </c>
      <c r="W198" s="30">
        <f t="shared" si="76"/>
        <v>9770639.5899999999</v>
      </c>
      <c r="X198" s="30">
        <f t="shared" si="77"/>
        <v>646</v>
      </c>
      <c r="Y198" s="30">
        <f t="shared" si="78"/>
        <v>26060444.510000002</v>
      </c>
      <c r="Z198" s="30">
        <f t="shared" si="85"/>
        <v>144</v>
      </c>
      <c r="AA198" s="30">
        <f t="shared" si="86"/>
        <v>13027519.453333333</v>
      </c>
      <c r="AB198" s="30">
        <v>861.33333333333337</v>
      </c>
      <c r="AC198" s="30">
        <v>34747259.346666671</v>
      </c>
      <c r="AD198" s="8">
        <v>426</v>
      </c>
      <c r="AE198" s="8">
        <v>74</v>
      </c>
      <c r="AF198" s="8">
        <v>17394572.669999998</v>
      </c>
      <c r="AG198" s="8">
        <v>5085521.41</v>
      </c>
      <c r="AH198" s="23">
        <f t="shared" si="79"/>
        <v>74</v>
      </c>
      <c r="AI198" s="23">
        <f t="shared" si="80"/>
        <v>5085521.41</v>
      </c>
      <c r="AJ198" s="23">
        <f t="shared" si="81"/>
        <v>426</v>
      </c>
      <c r="AK198" s="23">
        <f t="shared" si="82"/>
        <v>17394572.669999998</v>
      </c>
      <c r="AL198" s="8">
        <v>74</v>
      </c>
      <c r="AM198" s="8">
        <v>5085521.41</v>
      </c>
      <c r="AN198" s="8">
        <v>426</v>
      </c>
      <c r="AO198" s="8">
        <v>17394572.669999998</v>
      </c>
      <c r="AP198" s="26">
        <v>2427.1996900000004</v>
      </c>
      <c r="AQ198" s="13"/>
      <c r="AR198" s="14"/>
      <c r="AS198" s="13"/>
      <c r="AT198" s="13"/>
      <c r="AU198" s="13"/>
      <c r="AV198" s="13"/>
      <c r="AW198" s="13"/>
      <c r="AX198" s="13"/>
    </row>
    <row r="199" spans="2:50">
      <c r="B199" s="12">
        <v>446</v>
      </c>
      <c r="C199" s="11" t="s">
        <v>21</v>
      </c>
      <c r="D199" s="11" t="s">
        <v>157</v>
      </c>
      <c r="E199" s="25">
        <v>87</v>
      </c>
      <c r="F199" s="25">
        <v>24</v>
      </c>
      <c r="G199" s="25">
        <v>6323170.2300000023</v>
      </c>
      <c r="H199" s="25">
        <v>769194.19000000018</v>
      </c>
      <c r="I199" s="39">
        <v>0</v>
      </c>
      <c r="J199" s="22">
        <v>0</v>
      </c>
      <c r="K199" s="22">
        <v>0</v>
      </c>
      <c r="L199" s="22">
        <v>0</v>
      </c>
      <c r="M199" s="22">
        <v>24</v>
      </c>
      <c r="N199" s="22">
        <v>769194.19000000018</v>
      </c>
      <c r="O199" s="22">
        <v>87</v>
      </c>
      <c r="P199" s="22">
        <v>6323170.2300000023</v>
      </c>
      <c r="Q199" s="29">
        <v>6651.2091600000022</v>
      </c>
      <c r="R199" s="8">
        <v>191</v>
      </c>
      <c r="S199" s="8">
        <f>+VLOOKUP(B199,[1]Лист2!$A$4:$B$188,2,0)</f>
        <v>34</v>
      </c>
      <c r="T199" s="8">
        <v>22229609.34</v>
      </c>
      <c r="U199" s="8">
        <f>+VLOOKUP(B199,[1]Лист2!$A$4:$C$188,3,0)</f>
        <v>1269317.8</v>
      </c>
      <c r="V199" s="30">
        <f t="shared" si="75"/>
        <v>34</v>
      </c>
      <c r="W199" s="30">
        <f t="shared" si="76"/>
        <v>1269317.8</v>
      </c>
      <c r="X199" s="30">
        <f t="shared" si="77"/>
        <v>191</v>
      </c>
      <c r="Y199" s="30">
        <f t="shared" si="78"/>
        <v>22229609.34</v>
      </c>
      <c r="Z199" s="30">
        <f t="shared" si="85"/>
        <v>45.333333333333336</v>
      </c>
      <c r="AA199" s="30">
        <f t="shared" si="86"/>
        <v>1692423.7333333334</v>
      </c>
      <c r="AB199" s="30">
        <v>254.66666666666666</v>
      </c>
      <c r="AC199" s="30">
        <v>29639479.120000001</v>
      </c>
      <c r="AD199" s="8">
        <v>140</v>
      </c>
      <c r="AE199" s="8">
        <v>39</v>
      </c>
      <c r="AF199" s="8">
        <v>15649838.860000001</v>
      </c>
      <c r="AG199" s="8">
        <v>1091617.01</v>
      </c>
      <c r="AH199" s="23">
        <f t="shared" si="79"/>
        <v>39</v>
      </c>
      <c r="AI199" s="23">
        <f t="shared" si="80"/>
        <v>1091617.01</v>
      </c>
      <c r="AJ199" s="23">
        <f t="shared" si="81"/>
        <v>140</v>
      </c>
      <c r="AK199" s="23">
        <f t="shared" si="82"/>
        <v>15649838.860000001</v>
      </c>
      <c r="AL199" s="8">
        <v>39</v>
      </c>
      <c r="AM199" s="8">
        <v>1091617.01</v>
      </c>
      <c r="AN199" s="8">
        <v>140</v>
      </c>
      <c r="AO199" s="8">
        <v>15649838.860000001</v>
      </c>
      <c r="AP199" s="26">
        <v>4521.5013899999994</v>
      </c>
      <c r="AQ199" s="13"/>
      <c r="AR199" s="14"/>
      <c r="AS199" s="13"/>
      <c r="AT199" s="13"/>
      <c r="AU199" s="13"/>
      <c r="AV199" s="13"/>
      <c r="AW199" s="13"/>
      <c r="AX199" s="13"/>
    </row>
    <row r="200" spans="2:50">
      <c r="B200" s="12">
        <v>10706</v>
      </c>
      <c r="C200" s="11" t="s">
        <v>21</v>
      </c>
      <c r="D200" s="11" t="s">
        <v>157</v>
      </c>
      <c r="E200" s="25">
        <v>74</v>
      </c>
      <c r="F200" s="25">
        <v>18</v>
      </c>
      <c r="G200" s="25">
        <v>5645345.1300000008</v>
      </c>
      <c r="H200" s="25">
        <v>821158.14</v>
      </c>
      <c r="I200" s="39">
        <v>0</v>
      </c>
      <c r="J200" s="22">
        <v>0</v>
      </c>
      <c r="K200" s="22">
        <v>0</v>
      </c>
      <c r="L200" s="22">
        <v>0</v>
      </c>
      <c r="M200" s="22">
        <v>18</v>
      </c>
      <c r="N200" s="22">
        <v>821158.14</v>
      </c>
      <c r="O200" s="22">
        <v>74</v>
      </c>
      <c r="P200" s="22">
        <v>5645345.1300000008</v>
      </c>
      <c r="Q200" s="29">
        <v>0</v>
      </c>
      <c r="R200" s="8">
        <v>5</v>
      </c>
      <c r="S200" s="8">
        <f>+VLOOKUP(B200,[1]Лист2!$A$4:$B$188,2,0)</f>
        <v>15</v>
      </c>
      <c r="T200" s="8">
        <v>171713.61000000002</v>
      </c>
      <c r="U200" s="8">
        <f>+VLOOKUP(B200,[1]Лист2!$A$4:$C$188,3,0)</f>
        <v>912689.8</v>
      </c>
      <c r="V200" s="30">
        <f t="shared" ref="V200:V245" si="87">+S200</f>
        <v>15</v>
      </c>
      <c r="W200" s="30">
        <f t="shared" ref="W200:W246" si="88">+U200</f>
        <v>912689.8</v>
      </c>
      <c r="X200" s="30">
        <f t="shared" ref="X200:X263" si="89">+R200</f>
        <v>5</v>
      </c>
      <c r="Y200" s="30">
        <f t="shared" ref="Y200:Y263" si="90">+T200</f>
        <v>171713.61000000002</v>
      </c>
      <c r="Z200" s="30">
        <f t="shared" si="85"/>
        <v>20</v>
      </c>
      <c r="AA200" s="30">
        <f t="shared" si="86"/>
        <v>1216919.7333333334</v>
      </c>
      <c r="AB200" s="30">
        <v>6.666666666666667</v>
      </c>
      <c r="AC200" s="30">
        <v>228951.48</v>
      </c>
      <c r="AD200" s="8">
        <v>0</v>
      </c>
      <c r="AE200" s="8">
        <v>1</v>
      </c>
      <c r="AF200" s="8">
        <v>0</v>
      </c>
      <c r="AG200" s="8">
        <v>65700</v>
      </c>
      <c r="AH200" s="23">
        <f t="shared" ref="AH200:AH263" si="91">+AE200</f>
        <v>1</v>
      </c>
      <c r="AI200" s="23">
        <f t="shared" ref="AI200:AI263" si="92">+AG200</f>
        <v>65700</v>
      </c>
      <c r="AJ200" s="23">
        <f t="shared" ref="AJ200:AJ263" si="93">+AD200</f>
        <v>0</v>
      </c>
      <c r="AK200" s="23">
        <f t="shared" ref="AK200:AK263" si="94">+AF200</f>
        <v>0</v>
      </c>
      <c r="AL200" s="8">
        <v>1</v>
      </c>
      <c r="AM200" s="8">
        <v>65700</v>
      </c>
      <c r="AN200" s="8">
        <v>0</v>
      </c>
      <c r="AO200" s="8">
        <v>0</v>
      </c>
      <c r="AP200" s="26">
        <v>0</v>
      </c>
      <c r="AQ200" s="13"/>
      <c r="AR200" s="14"/>
      <c r="AS200" s="13"/>
      <c r="AT200" s="13"/>
      <c r="AU200" s="13"/>
      <c r="AV200" s="13"/>
      <c r="AW200" s="13"/>
      <c r="AX200" s="13"/>
    </row>
    <row r="201" spans="2:50">
      <c r="B201" s="12">
        <v>10723</v>
      </c>
      <c r="C201" s="11" t="s">
        <v>21</v>
      </c>
      <c r="D201" s="11" t="s">
        <v>157</v>
      </c>
      <c r="E201" s="25">
        <v>13</v>
      </c>
      <c r="F201" s="25">
        <v>0</v>
      </c>
      <c r="G201" s="25">
        <v>292750.56</v>
      </c>
      <c r="H201" s="25">
        <v>0</v>
      </c>
      <c r="I201" s="40">
        <v>0</v>
      </c>
      <c r="J201" s="37">
        <v>0</v>
      </c>
      <c r="K201" s="37">
        <v>0</v>
      </c>
      <c r="L201" s="37">
        <v>0</v>
      </c>
      <c r="M201" s="22">
        <v>0</v>
      </c>
      <c r="N201" s="22">
        <v>0</v>
      </c>
      <c r="O201" s="22">
        <v>13</v>
      </c>
      <c r="P201" s="22">
        <v>292750.56</v>
      </c>
      <c r="Q201" s="29">
        <v>0</v>
      </c>
      <c r="R201" s="8">
        <v>23</v>
      </c>
      <c r="S201" s="8">
        <f>+VLOOKUP(B201,[1]Лист2!$A$4:$B$188,2,0)</f>
        <v>4</v>
      </c>
      <c r="T201" s="8">
        <v>730915</v>
      </c>
      <c r="U201" s="8">
        <f>+VLOOKUP(B201,[1]Лист2!$A$4:$C$188,3,0)</f>
        <v>191698.8</v>
      </c>
      <c r="V201" s="30">
        <f t="shared" si="87"/>
        <v>4</v>
      </c>
      <c r="W201" s="30">
        <f t="shared" si="88"/>
        <v>191698.8</v>
      </c>
      <c r="X201" s="30">
        <f t="shared" si="89"/>
        <v>23</v>
      </c>
      <c r="Y201" s="30">
        <f t="shared" si="90"/>
        <v>730915</v>
      </c>
      <c r="Z201" s="30">
        <f t="shared" si="85"/>
        <v>5.333333333333333</v>
      </c>
      <c r="AA201" s="30">
        <f t="shared" si="86"/>
        <v>255598.4</v>
      </c>
      <c r="AB201" s="30">
        <v>30.666666666666668</v>
      </c>
      <c r="AC201" s="30">
        <v>974553.33333333337</v>
      </c>
      <c r="AD201" s="8">
        <v>28</v>
      </c>
      <c r="AE201" s="8">
        <v>0</v>
      </c>
      <c r="AF201" s="8">
        <v>1144607.8500000001</v>
      </c>
      <c r="AG201" s="8">
        <v>0</v>
      </c>
      <c r="AH201" s="23">
        <f t="shared" si="91"/>
        <v>0</v>
      </c>
      <c r="AI201" s="23">
        <f t="shared" si="92"/>
        <v>0</v>
      </c>
      <c r="AJ201" s="23">
        <f t="shared" si="93"/>
        <v>28</v>
      </c>
      <c r="AK201" s="23">
        <f t="shared" si="94"/>
        <v>1144607.8500000001</v>
      </c>
      <c r="AL201" s="8">
        <v>0</v>
      </c>
      <c r="AM201" s="8">
        <v>0</v>
      </c>
      <c r="AN201" s="8">
        <v>28</v>
      </c>
      <c r="AO201" s="8">
        <v>1144607.8500000001</v>
      </c>
      <c r="AP201" s="26">
        <v>892.60937000000001</v>
      </c>
      <c r="AQ201" s="13"/>
      <c r="AR201" s="14"/>
      <c r="AS201" s="13"/>
      <c r="AT201" s="13"/>
      <c r="AU201" s="13"/>
      <c r="AV201" s="13"/>
      <c r="AW201" s="13"/>
      <c r="AX201" s="13"/>
    </row>
    <row r="202" spans="2:50">
      <c r="B202" s="12">
        <v>10830</v>
      </c>
      <c r="C202" s="11" t="s">
        <v>21</v>
      </c>
      <c r="D202" s="11" t="s">
        <v>157</v>
      </c>
      <c r="E202" s="25">
        <v>11</v>
      </c>
      <c r="F202" s="25">
        <v>2</v>
      </c>
      <c r="G202" s="25">
        <v>585857.02</v>
      </c>
      <c r="H202" s="25">
        <v>29592.84</v>
      </c>
      <c r="I202" s="39">
        <v>0</v>
      </c>
      <c r="J202" s="22">
        <v>0</v>
      </c>
      <c r="K202" s="22">
        <v>0</v>
      </c>
      <c r="L202" s="22">
        <v>0</v>
      </c>
      <c r="M202" s="22">
        <v>2</v>
      </c>
      <c r="N202" s="22">
        <v>29592.84</v>
      </c>
      <c r="O202" s="22">
        <v>11</v>
      </c>
      <c r="P202" s="22">
        <v>585857.02</v>
      </c>
      <c r="Q202" s="29">
        <v>421.13797</v>
      </c>
      <c r="R202" s="8">
        <v>11</v>
      </c>
      <c r="S202" s="8">
        <f>+VLOOKUP(B202,[1]Лист2!$A$4:$B$188,2,0)</f>
        <v>1</v>
      </c>
      <c r="T202" s="8">
        <v>4174805.96</v>
      </c>
      <c r="U202" s="8">
        <f>+VLOOKUP(B202,[1]Лист2!$A$4:$C$188,3,0)</f>
        <v>18379.41</v>
      </c>
      <c r="V202" s="30">
        <f t="shared" si="87"/>
        <v>1</v>
      </c>
      <c r="W202" s="30">
        <f t="shared" si="88"/>
        <v>18379.41</v>
      </c>
      <c r="X202" s="30">
        <f t="shared" si="89"/>
        <v>11</v>
      </c>
      <c r="Y202" s="30">
        <f t="shared" si="90"/>
        <v>4174805.96</v>
      </c>
      <c r="Z202" s="30">
        <f t="shared" ref="Z202:Z233" si="95">((+S202)/3)*4</f>
        <v>1.3333333333333333</v>
      </c>
      <c r="AA202" s="30">
        <f t="shared" ref="AA202:AA233" si="96">((+U202)/3)*4</f>
        <v>24505.88</v>
      </c>
      <c r="AB202" s="30">
        <v>14.666666666666666</v>
      </c>
      <c r="AC202" s="30">
        <v>5566407.9466666663</v>
      </c>
      <c r="AD202" s="8">
        <v>7</v>
      </c>
      <c r="AE202" s="8">
        <v>2</v>
      </c>
      <c r="AF202" s="8">
        <v>1211615.42</v>
      </c>
      <c r="AG202" s="8">
        <v>92157.73</v>
      </c>
      <c r="AH202" s="23">
        <f t="shared" si="91"/>
        <v>2</v>
      </c>
      <c r="AI202" s="23">
        <f t="shared" si="92"/>
        <v>92157.73</v>
      </c>
      <c r="AJ202" s="23">
        <f t="shared" si="93"/>
        <v>7</v>
      </c>
      <c r="AK202" s="23">
        <f t="shared" si="94"/>
        <v>1211615.42</v>
      </c>
      <c r="AL202" s="8">
        <v>2</v>
      </c>
      <c r="AM202" s="8">
        <v>92157.73</v>
      </c>
      <c r="AN202" s="8">
        <v>7</v>
      </c>
      <c r="AO202" s="8">
        <v>1211615.42</v>
      </c>
      <c r="AP202" s="26">
        <v>1096.0420000000001</v>
      </c>
      <c r="AQ202" s="13"/>
      <c r="AR202" s="14"/>
      <c r="AS202" s="13"/>
      <c r="AT202" s="13"/>
      <c r="AU202" s="13"/>
      <c r="AV202" s="13"/>
      <c r="AW202" s="13"/>
      <c r="AX202" s="13"/>
    </row>
    <row r="203" spans="2:50">
      <c r="B203" s="12">
        <v>10831</v>
      </c>
      <c r="C203" s="11" t="s">
        <v>21</v>
      </c>
      <c r="D203" s="11" t="s">
        <v>157</v>
      </c>
      <c r="E203" s="25">
        <v>4</v>
      </c>
      <c r="F203" s="25">
        <v>19</v>
      </c>
      <c r="G203" s="25">
        <v>75571.600000000006</v>
      </c>
      <c r="H203" s="25">
        <v>250343.38</v>
      </c>
      <c r="I203" s="39">
        <v>0</v>
      </c>
      <c r="J203" s="22">
        <v>0</v>
      </c>
      <c r="K203" s="22">
        <v>0</v>
      </c>
      <c r="L203" s="22">
        <v>0</v>
      </c>
      <c r="M203" s="22">
        <v>19</v>
      </c>
      <c r="N203" s="22">
        <v>250343.38</v>
      </c>
      <c r="O203" s="22">
        <v>4</v>
      </c>
      <c r="P203" s="22">
        <v>75571.600000000006</v>
      </c>
      <c r="Q203" s="29">
        <v>0</v>
      </c>
      <c r="R203" s="8">
        <v>1</v>
      </c>
      <c r="S203" s="8">
        <f>+VLOOKUP(B203,[1]Лист2!$A$4:$B$188,2,0)</f>
        <v>8</v>
      </c>
      <c r="T203" s="8">
        <v>32000</v>
      </c>
      <c r="U203" s="8">
        <f>+VLOOKUP(B203,[1]Лист2!$A$4:$C$188,3,0)</f>
        <v>209943.63</v>
      </c>
      <c r="V203" s="30">
        <f t="shared" si="87"/>
        <v>8</v>
      </c>
      <c r="W203" s="30">
        <f t="shared" si="88"/>
        <v>209943.63</v>
      </c>
      <c r="X203" s="30">
        <f t="shared" si="89"/>
        <v>1</v>
      </c>
      <c r="Y203" s="30">
        <f t="shared" si="90"/>
        <v>32000</v>
      </c>
      <c r="Z203" s="30">
        <f t="shared" si="95"/>
        <v>10.666666666666666</v>
      </c>
      <c r="AA203" s="30">
        <f t="shared" si="96"/>
        <v>279924.84000000003</v>
      </c>
      <c r="AB203" s="30">
        <v>1.3333333333333333</v>
      </c>
      <c r="AC203" s="30">
        <v>42666.666666666664</v>
      </c>
      <c r="AD203" s="8">
        <v>11</v>
      </c>
      <c r="AE203" s="8">
        <v>9</v>
      </c>
      <c r="AF203" s="8">
        <v>249165</v>
      </c>
      <c r="AG203" s="8">
        <v>262429.05</v>
      </c>
      <c r="AH203" s="23">
        <f t="shared" si="91"/>
        <v>9</v>
      </c>
      <c r="AI203" s="23">
        <f t="shared" si="92"/>
        <v>262429.05</v>
      </c>
      <c r="AJ203" s="23">
        <f t="shared" si="93"/>
        <v>11</v>
      </c>
      <c r="AK203" s="23">
        <f t="shared" si="94"/>
        <v>249165</v>
      </c>
      <c r="AL203" s="8">
        <v>9</v>
      </c>
      <c r="AM203" s="8">
        <v>262429.05</v>
      </c>
      <c r="AN203" s="8">
        <v>11</v>
      </c>
      <c r="AO203" s="8">
        <v>249165</v>
      </c>
      <c r="AP203" s="26">
        <v>74.531839999999988</v>
      </c>
      <c r="AQ203" s="13"/>
      <c r="AR203" s="14"/>
      <c r="AS203" s="13"/>
      <c r="AT203" s="13"/>
      <c r="AU203" s="13"/>
      <c r="AV203" s="13"/>
      <c r="AW203" s="13"/>
      <c r="AX203" s="13"/>
    </row>
    <row r="204" spans="2:50" ht="30">
      <c r="B204" s="12">
        <v>440</v>
      </c>
      <c r="C204" s="11" t="s">
        <v>19</v>
      </c>
      <c r="D204" s="11" t="s">
        <v>158</v>
      </c>
      <c r="E204" s="25">
        <v>13</v>
      </c>
      <c r="F204" s="25">
        <v>0</v>
      </c>
      <c r="G204" s="25">
        <v>445508.13999999996</v>
      </c>
      <c r="H204" s="25">
        <v>0</v>
      </c>
      <c r="I204" s="40">
        <v>0</v>
      </c>
      <c r="J204" s="37">
        <v>0</v>
      </c>
      <c r="K204" s="37">
        <v>0</v>
      </c>
      <c r="L204" s="37">
        <v>0</v>
      </c>
      <c r="M204" s="22">
        <v>0</v>
      </c>
      <c r="N204" s="22">
        <v>0</v>
      </c>
      <c r="O204" s="22">
        <v>13</v>
      </c>
      <c r="P204" s="22">
        <v>445508.13999999996</v>
      </c>
      <c r="Q204" s="29">
        <v>0</v>
      </c>
      <c r="R204" s="8">
        <v>14</v>
      </c>
      <c r="S204" s="8"/>
      <c r="T204" s="8">
        <v>629495</v>
      </c>
      <c r="U204" s="8"/>
      <c r="V204" s="30">
        <f t="shared" si="87"/>
        <v>0</v>
      </c>
      <c r="W204" s="30">
        <f t="shared" si="88"/>
        <v>0</v>
      </c>
      <c r="X204" s="30">
        <f t="shared" si="89"/>
        <v>14</v>
      </c>
      <c r="Y204" s="30">
        <f t="shared" si="90"/>
        <v>629495</v>
      </c>
      <c r="Z204" s="30">
        <f t="shared" si="95"/>
        <v>0</v>
      </c>
      <c r="AA204" s="30">
        <f t="shared" si="96"/>
        <v>0</v>
      </c>
      <c r="AB204" s="30">
        <v>18.666666666666668</v>
      </c>
      <c r="AC204" s="30">
        <v>839326.66666666663</v>
      </c>
      <c r="AD204" s="8">
        <v>13</v>
      </c>
      <c r="AE204" s="8">
        <v>0</v>
      </c>
      <c r="AF204" s="8">
        <v>894515.74</v>
      </c>
      <c r="AG204" s="8">
        <v>0</v>
      </c>
      <c r="AH204" s="23">
        <f t="shared" si="91"/>
        <v>0</v>
      </c>
      <c r="AI204" s="23">
        <f t="shared" si="92"/>
        <v>0</v>
      </c>
      <c r="AJ204" s="23">
        <f t="shared" si="93"/>
        <v>13</v>
      </c>
      <c r="AK204" s="23">
        <f t="shared" si="94"/>
        <v>894515.74</v>
      </c>
      <c r="AL204" s="8">
        <v>0</v>
      </c>
      <c r="AM204" s="8">
        <v>0</v>
      </c>
      <c r="AN204" s="8">
        <v>13</v>
      </c>
      <c r="AO204" s="8">
        <v>894515.74</v>
      </c>
      <c r="AP204" s="26">
        <v>9.9044100000000004</v>
      </c>
      <c r="AQ204" s="13"/>
      <c r="AR204" s="14"/>
      <c r="AS204" s="13"/>
      <c r="AT204" s="13"/>
      <c r="AU204" s="13"/>
      <c r="AV204" s="13"/>
      <c r="AW204" s="13"/>
      <c r="AX204" s="13"/>
    </row>
    <row r="205" spans="2:50" ht="30">
      <c r="B205" s="12">
        <v>10746</v>
      </c>
      <c r="C205" s="11" t="s">
        <v>19</v>
      </c>
      <c r="D205" s="11" t="s">
        <v>158</v>
      </c>
      <c r="E205" s="25">
        <v>1</v>
      </c>
      <c r="F205" s="25">
        <v>0</v>
      </c>
      <c r="G205" s="25">
        <v>50000</v>
      </c>
      <c r="H205" s="25">
        <v>0</v>
      </c>
      <c r="I205" s="40">
        <v>0</v>
      </c>
      <c r="J205" s="37">
        <v>0</v>
      </c>
      <c r="K205" s="37">
        <v>0</v>
      </c>
      <c r="L205" s="37">
        <v>0</v>
      </c>
      <c r="M205" s="22">
        <v>0</v>
      </c>
      <c r="N205" s="22">
        <v>0</v>
      </c>
      <c r="O205" s="22">
        <v>1</v>
      </c>
      <c r="P205" s="22">
        <v>50000</v>
      </c>
      <c r="Q205" s="29">
        <v>84.732250000000008</v>
      </c>
      <c r="R205" s="8">
        <v>4</v>
      </c>
      <c r="S205" s="8"/>
      <c r="T205" s="8">
        <v>111460</v>
      </c>
      <c r="U205" s="8"/>
      <c r="V205" s="30">
        <f t="shared" si="87"/>
        <v>0</v>
      </c>
      <c r="W205" s="30">
        <f t="shared" si="88"/>
        <v>0</v>
      </c>
      <c r="X205" s="30">
        <f t="shared" si="89"/>
        <v>4</v>
      </c>
      <c r="Y205" s="30">
        <f t="shared" si="90"/>
        <v>111460</v>
      </c>
      <c r="Z205" s="30">
        <f t="shared" si="95"/>
        <v>0</v>
      </c>
      <c r="AA205" s="30">
        <f t="shared" si="96"/>
        <v>0</v>
      </c>
      <c r="AB205" s="30">
        <v>5.333333333333333</v>
      </c>
      <c r="AC205" s="30">
        <v>148613.33333333334</v>
      </c>
      <c r="AD205" s="8">
        <v>10</v>
      </c>
      <c r="AE205" s="8">
        <v>0</v>
      </c>
      <c r="AF205" s="8">
        <v>440410</v>
      </c>
      <c r="AG205" s="8">
        <v>0</v>
      </c>
      <c r="AH205" s="23">
        <f t="shared" si="91"/>
        <v>0</v>
      </c>
      <c r="AI205" s="23">
        <f t="shared" si="92"/>
        <v>0</v>
      </c>
      <c r="AJ205" s="23">
        <f t="shared" si="93"/>
        <v>10</v>
      </c>
      <c r="AK205" s="23">
        <f t="shared" si="94"/>
        <v>440410</v>
      </c>
      <c r="AL205" s="8">
        <v>0</v>
      </c>
      <c r="AM205" s="8">
        <v>0</v>
      </c>
      <c r="AN205" s="8">
        <v>10</v>
      </c>
      <c r="AO205" s="8">
        <v>440410</v>
      </c>
      <c r="AP205" s="26">
        <v>15.797639999999999</v>
      </c>
      <c r="AQ205" s="13"/>
      <c r="AR205" s="14"/>
      <c r="AS205" s="13"/>
      <c r="AT205" s="13"/>
      <c r="AU205" s="13"/>
      <c r="AV205" s="13"/>
      <c r="AW205" s="13"/>
      <c r="AX205" s="13"/>
    </row>
    <row r="206" spans="2:50" ht="30">
      <c r="B206" s="12">
        <v>10751</v>
      </c>
      <c r="C206" s="11" t="s">
        <v>19</v>
      </c>
      <c r="D206" s="11" t="s">
        <v>158</v>
      </c>
      <c r="E206" s="25">
        <v>22</v>
      </c>
      <c r="F206" s="25">
        <v>0</v>
      </c>
      <c r="G206" s="25">
        <v>587450.4</v>
      </c>
      <c r="H206" s="25">
        <v>0</v>
      </c>
      <c r="I206" s="40">
        <v>0</v>
      </c>
      <c r="J206" s="37">
        <v>0</v>
      </c>
      <c r="K206" s="37">
        <v>0</v>
      </c>
      <c r="L206" s="37">
        <v>0</v>
      </c>
      <c r="M206" s="22">
        <v>0</v>
      </c>
      <c r="N206" s="22">
        <v>0</v>
      </c>
      <c r="O206" s="22">
        <v>22</v>
      </c>
      <c r="P206" s="22">
        <v>587450.4</v>
      </c>
      <c r="Q206" s="29">
        <v>0</v>
      </c>
      <c r="R206" s="8">
        <v>20</v>
      </c>
      <c r="S206" s="8"/>
      <c r="T206" s="8">
        <v>517800</v>
      </c>
      <c r="U206" s="8"/>
      <c r="V206" s="30">
        <f t="shared" si="87"/>
        <v>0</v>
      </c>
      <c r="W206" s="30">
        <f t="shared" si="88"/>
        <v>0</v>
      </c>
      <c r="X206" s="30">
        <f t="shared" si="89"/>
        <v>20</v>
      </c>
      <c r="Y206" s="30">
        <f t="shared" si="90"/>
        <v>517800</v>
      </c>
      <c r="Z206" s="30">
        <f t="shared" si="95"/>
        <v>0</v>
      </c>
      <c r="AA206" s="30">
        <f t="shared" si="96"/>
        <v>0</v>
      </c>
      <c r="AB206" s="30">
        <v>26.666666666666668</v>
      </c>
      <c r="AC206" s="30">
        <v>690400</v>
      </c>
      <c r="AD206" s="8">
        <v>19</v>
      </c>
      <c r="AE206" s="8">
        <v>0</v>
      </c>
      <c r="AF206" s="8">
        <v>398126.8</v>
      </c>
      <c r="AG206" s="8">
        <v>0</v>
      </c>
      <c r="AH206" s="23">
        <f t="shared" si="91"/>
        <v>0</v>
      </c>
      <c r="AI206" s="23">
        <f t="shared" si="92"/>
        <v>0</v>
      </c>
      <c r="AJ206" s="23">
        <f t="shared" si="93"/>
        <v>19</v>
      </c>
      <c r="AK206" s="23">
        <f t="shared" si="94"/>
        <v>398126.8</v>
      </c>
      <c r="AL206" s="8">
        <v>0</v>
      </c>
      <c r="AM206" s="8">
        <v>0</v>
      </c>
      <c r="AN206" s="8">
        <v>19</v>
      </c>
      <c r="AO206" s="8">
        <v>398126.8</v>
      </c>
      <c r="AP206" s="26">
        <v>0</v>
      </c>
      <c r="AQ206" s="13"/>
      <c r="AR206" s="14"/>
      <c r="AS206" s="13"/>
      <c r="AT206" s="13"/>
      <c r="AU206" s="13"/>
      <c r="AV206" s="13"/>
      <c r="AW206" s="13"/>
      <c r="AX206" s="13"/>
    </row>
    <row r="207" spans="2:50" ht="30">
      <c r="B207" s="12">
        <v>10765</v>
      </c>
      <c r="C207" s="11" t="s">
        <v>19</v>
      </c>
      <c r="D207" s="11" t="s">
        <v>158</v>
      </c>
      <c r="E207" s="25">
        <v>6</v>
      </c>
      <c r="F207" s="25">
        <v>0</v>
      </c>
      <c r="G207" s="25">
        <v>69000</v>
      </c>
      <c r="H207" s="25">
        <v>0</v>
      </c>
      <c r="I207" s="40">
        <v>0</v>
      </c>
      <c r="J207" s="37">
        <v>0</v>
      </c>
      <c r="K207" s="37">
        <v>0</v>
      </c>
      <c r="L207" s="37">
        <v>0</v>
      </c>
      <c r="M207" s="22">
        <v>0</v>
      </c>
      <c r="N207" s="22">
        <v>0</v>
      </c>
      <c r="O207" s="22">
        <v>6</v>
      </c>
      <c r="P207" s="22">
        <v>69000</v>
      </c>
      <c r="Q207" s="29">
        <v>0</v>
      </c>
      <c r="R207" s="8">
        <v>45</v>
      </c>
      <c r="S207" s="8"/>
      <c r="T207" s="8">
        <v>1207962</v>
      </c>
      <c r="U207" s="8"/>
      <c r="V207" s="30">
        <f t="shared" si="87"/>
        <v>0</v>
      </c>
      <c r="W207" s="30">
        <f t="shared" si="88"/>
        <v>0</v>
      </c>
      <c r="X207" s="30">
        <f t="shared" si="89"/>
        <v>45</v>
      </c>
      <c r="Y207" s="30">
        <f t="shared" si="90"/>
        <v>1207962</v>
      </c>
      <c r="Z207" s="30">
        <f t="shared" si="95"/>
        <v>0</v>
      </c>
      <c r="AA207" s="30">
        <f t="shared" si="96"/>
        <v>0</v>
      </c>
      <c r="AB207" s="30">
        <v>60</v>
      </c>
      <c r="AC207" s="30">
        <v>1610616</v>
      </c>
      <c r="AD207" s="8">
        <v>63</v>
      </c>
      <c r="AE207" s="8">
        <v>1</v>
      </c>
      <c r="AF207" s="8">
        <v>2953795.31</v>
      </c>
      <c r="AG207" s="8">
        <v>23500</v>
      </c>
      <c r="AH207" s="23">
        <f t="shared" si="91"/>
        <v>1</v>
      </c>
      <c r="AI207" s="23">
        <f t="shared" si="92"/>
        <v>23500</v>
      </c>
      <c r="AJ207" s="23">
        <f t="shared" si="93"/>
        <v>63</v>
      </c>
      <c r="AK207" s="23">
        <f t="shared" si="94"/>
        <v>2953795.31</v>
      </c>
      <c r="AL207" s="8">
        <v>1</v>
      </c>
      <c r="AM207" s="8">
        <v>23500</v>
      </c>
      <c r="AN207" s="8">
        <v>63</v>
      </c>
      <c r="AO207" s="8">
        <v>2953795.31</v>
      </c>
      <c r="AP207" s="26">
        <v>6.5800000000000008E-3</v>
      </c>
      <c r="AQ207" s="13"/>
      <c r="AR207" s="14"/>
      <c r="AS207" s="13"/>
      <c r="AT207" s="13"/>
      <c r="AU207" s="13"/>
      <c r="AV207" s="13"/>
      <c r="AW207" s="13"/>
      <c r="AX207" s="13"/>
    </row>
    <row r="208" spans="2:50" ht="30">
      <c r="B208" s="12">
        <v>11184</v>
      </c>
      <c r="C208" s="11" t="s">
        <v>19</v>
      </c>
      <c r="D208" s="11" t="s">
        <v>158</v>
      </c>
      <c r="E208" s="25">
        <v>54</v>
      </c>
      <c r="F208" s="25">
        <v>21</v>
      </c>
      <c r="G208" s="25">
        <v>3522284.01</v>
      </c>
      <c r="H208" s="25">
        <v>244759.28999999998</v>
      </c>
      <c r="I208" s="39">
        <v>0</v>
      </c>
      <c r="J208" s="22">
        <v>0</v>
      </c>
      <c r="K208" s="22">
        <v>0</v>
      </c>
      <c r="L208" s="22">
        <v>0</v>
      </c>
      <c r="M208" s="22">
        <v>21</v>
      </c>
      <c r="N208" s="22">
        <v>244759.28999999998</v>
      </c>
      <c r="O208" s="22">
        <v>54</v>
      </c>
      <c r="P208" s="22">
        <v>3522284.01</v>
      </c>
      <c r="Q208" s="29">
        <v>1181.44776</v>
      </c>
      <c r="R208" s="8">
        <v>46</v>
      </c>
      <c r="S208" s="8">
        <f>+VLOOKUP(B208,[1]Лист2!$A$4:$B$188,2,0)</f>
        <v>15</v>
      </c>
      <c r="T208" s="8">
        <v>1134841.3099999998</v>
      </c>
      <c r="U208" s="8">
        <f>+VLOOKUP(B208,[1]Лист2!$A$4:$C$188,3,0)</f>
        <v>313563.84999999998</v>
      </c>
      <c r="V208" s="30">
        <f t="shared" si="87"/>
        <v>15</v>
      </c>
      <c r="W208" s="30">
        <f t="shared" si="88"/>
        <v>313563.84999999998</v>
      </c>
      <c r="X208" s="30">
        <f t="shared" si="89"/>
        <v>46</v>
      </c>
      <c r="Y208" s="30">
        <f t="shared" si="90"/>
        <v>1134841.3099999998</v>
      </c>
      <c r="Z208" s="30">
        <f t="shared" si="95"/>
        <v>20</v>
      </c>
      <c r="AA208" s="30">
        <f t="shared" si="96"/>
        <v>418085.1333333333</v>
      </c>
      <c r="AB208" s="30">
        <v>61.333333333333336</v>
      </c>
      <c r="AC208" s="30">
        <v>1513121.7466666664</v>
      </c>
      <c r="AD208" s="8">
        <v>42</v>
      </c>
      <c r="AE208" s="8">
        <v>13</v>
      </c>
      <c r="AF208" s="8">
        <v>1487294.7600000002</v>
      </c>
      <c r="AG208" s="8">
        <v>405922.94</v>
      </c>
      <c r="AH208" s="23">
        <f t="shared" si="91"/>
        <v>13</v>
      </c>
      <c r="AI208" s="23">
        <f t="shared" si="92"/>
        <v>405922.94</v>
      </c>
      <c r="AJ208" s="23">
        <f t="shared" si="93"/>
        <v>42</v>
      </c>
      <c r="AK208" s="23">
        <f t="shared" si="94"/>
        <v>1487294.7600000002</v>
      </c>
      <c r="AL208" s="8">
        <v>13</v>
      </c>
      <c r="AM208" s="8">
        <v>405922.94</v>
      </c>
      <c r="AN208" s="8">
        <v>42</v>
      </c>
      <c r="AO208" s="8">
        <v>1487294.7600000002</v>
      </c>
      <c r="AP208" s="26">
        <v>2961.0701099999997</v>
      </c>
      <c r="AQ208" s="13"/>
      <c r="AR208" s="14"/>
      <c r="AS208" s="13"/>
      <c r="AT208" s="13"/>
      <c r="AU208" s="13"/>
      <c r="AV208" s="13"/>
      <c r="AW208" s="13"/>
      <c r="AX208" s="13"/>
    </row>
    <row r="209" spans="2:50" ht="30">
      <c r="B209" s="12">
        <v>11185</v>
      </c>
      <c r="C209" s="11" t="s">
        <v>19</v>
      </c>
      <c r="D209" s="11" t="s">
        <v>158</v>
      </c>
      <c r="E209" s="25">
        <v>18</v>
      </c>
      <c r="F209" s="25">
        <v>3</v>
      </c>
      <c r="G209" s="25">
        <v>1226691</v>
      </c>
      <c r="H209" s="25">
        <v>55965</v>
      </c>
      <c r="I209" s="39">
        <v>0</v>
      </c>
      <c r="J209" s="22">
        <v>0</v>
      </c>
      <c r="K209" s="22">
        <v>0</v>
      </c>
      <c r="L209" s="22">
        <v>0</v>
      </c>
      <c r="M209" s="22">
        <v>3</v>
      </c>
      <c r="N209" s="22">
        <v>55965</v>
      </c>
      <c r="O209" s="22">
        <v>18</v>
      </c>
      <c r="P209" s="22">
        <v>1226691</v>
      </c>
      <c r="Q209" s="29">
        <v>1628.0899899999997</v>
      </c>
      <c r="R209" s="8">
        <v>16</v>
      </c>
      <c r="S209" s="8">
        <f>+VLOOKUP(B209,[1]Лист2!$A$4:$B$188,2,0)</f>
        <v>24</v>
      </c>
      <c r="T209" s="8">
        <v>443265.35</v>
      </c>
      <c r="U209" s="8">
        <f>+VLOOKUP(B209,[1]Лист2!$A$4:$C$188,3,0)</f>
        <v>378176.06</v>
      </c>
      <c r="V209" s="30">
        <f t="shared" si="87"/>
        <v>24</v>
      </c>
      <c r="W209" s="30">
        <f t="shared" si="88"/>
        <v>378176.06</v>
      </c>
      <c r="X209" s="30">
        <f t="shared" si="89"/>
        <v>16</v>
      </c>
      <c r="Y209" s="30">
        <f t="shared" si="90"/>
        <v>443265.35</v>
      </c>
      <c r="Z209" s="30">
        <f t="shared" si="95"/>
        <v>32</v>
      </c>
      <c r="AA209" s="30">
        <f t="shared" si="96"/>
        <v>504234.74666666664</v>
      </c>
      <c r="AB209" s="30">
        <v>21.333333333333332</v>
      </c>
      <c r="AC209" s="30">
        <v>591020.46666666667</v>
      </c>
      <c r="AD209" s="8">
        <v>9</v>
      </c>
      <c r="AE209" s="8">
        <v>9</v>
      </c>
      <c r="AF209" s="8">
        <v>161570.29999999999</v>
      </c>
      <c r="AG209" s="8">
        <v>109242.76</v>
      </c>
      <c r="AH209" s="23">
        <f t="shared" si="91"/>
        <v>9</v>
      </c>
      <c r="AI209" s="23">
        <f t="shared" si="92"/>
        <v>109242.76</v>
      </c>
      <c r="AJ209" s="23">
        <f t="shared" si="93"/>
        <v>9</v>
      </c>
      <c r="AK209" s="23">
        <f t="shared" si="94"/>
        <v>161570.29999999999</v>
      </c>
      <c r="AL209" s="8">
        <v>9</v>
      </c>
      <c r="AM209" s="8">
        <v>109242.76</v>
      </c>
      <c r="AN209" s="8">
        <v>9</v>
      </c>
      <c r="AO209" s="8">
        <v>161570.29999999999</v>
      </c>
      <c r="AP209" s="26">
        <v>1764.17417</v>
      </c>
      <c r="AQ209" s="13"/>
      <c r="AR209" s="14"/>
      <c r="AS209" s="13"/>
      <c r="AT209" s="13"/>
      <c r="AU209" s="13"/>
      <c r="AV209" s="13"/>
      <c r="AW209" s="13"/>
      <c r="AX209" s="13"/>
    </row>
    <row r="210" spans="2:50" ht="30">
      <c r="B210" s="12">
        <v>11187</v>
      </c>
      <c r="C210" s="11" t="s">
        <v>19</v>
      </c>
      <c r="D210" s="11" t="s">
        <v>158</v>
      </c>
      <c r="E210" s="25">
        <v>28</v>
      </c>
      <c r="F210" s="25">
        <v>11</v>
      </c>
      <c r="G210" s="25">
        <v>529409.47</v>
      </c>
      <c r="H210" s="25">
        <v>908161.9</v>
      </c>
      <c r="I210" s="39">
        <v>0</v>
      </c>
      <c r="J210" s="22">
        <v>0</v>
      </c>
      <c r="K210" s="22">
        <v>0</v>
      </c>
      <c r="L210" s="22">
        <v>0</v>
      </c>
      <c r="M210" s="22">
        <v>11</v>
      </c>
      <c r="N210" s="22">
        <v>908161.9</v>
      </c>
      <c r="O210" s="22">
        <v>28</v>
      </c>
      <c r="P210" s="22">
        <v>529409.47</v>
      </c>
      <c r="Q210" s="29">
        <v>243.17032</v>
      </c>
      <c r="R210" s="8">
        <v>22</v>
      </c>
      <c r="S210" s="8">
        <f>+VLOOKUP(B210,[1]Лист2!$A$4:$B$188,2,0)</f>
        <v>20</v>
      </c>
      <c r="T210" s="8">
        <v>159114.81</v>
      </c>
      <c r="U210" s="8">
        <f>+VLOOKUP(B210,[1]Лист2!$A$4:$C$188,3,0)</f>
        <v>1007179.3899999999</v>
      </c>
      <c r="V210" s="30">
        <f t="shared" si="87"/>
        <v>20</v>
      </c>
      <c r="W210" s="30">
        <f t="shared" si="88"/>
        <v>1007179.3899999999</v>
      </c>
      <c r="X210" s="30">
        <f t="shared" si="89"/>
        <v>22</v>
      </c>
      <c r="Y210" s="30">
        <f t="shared" si="90"/>
        <v>159114.81</v>
      </c>
      <c r="Z210" s="30">
        <f t="shared" si="95"/>
        <v>26.666666666666668</v>
      </c>
      <c r="AA210" s="30">
        <f t="shared" si="96"/>
        <v>1342905.8533333333</v>
      </c>
      <c r="AB210" s="30">
        <v>29.333333333333332</v>
      </c>
      <c r="AC210" s="30">
        <v>212153.08</v>
      </c>
      <c r="AD210" s="8">
        <v>28</v>
      </c>
      <c r="AE210" s="8">
        <v>8</v>
      </c>
      <c r="AF210" s="8">
        <v>343950.01</v>
      </c>
      <c r="AG210" s="8">
        <v>320464.12000000005</v>
      </c>
      <c r="AH210" s="23">
        <f t="shared" si="91"/>
        <v>8</v>
      </c>
      <c r="AI210" s="23">
        <f t="shared" si="92"/>
        <v>320464.12000000005</v>
      </c>
      <c r="AJ210" s="23">
        <f t="shared" si="93"/>
        <v>28</v>
      </c>
      <c r="AK210" s="23">
        <f t="shared" si="94"/>
        <v>343950.01</v>
      </c>
      <c r="AL210" s="8">
        <v>8</v>
      </c>
      <c r="AM210" s="8">
        <v>320464.12000000005</v>
      </c>
      <c r="AN210" s="8">
        <v>28</v>
      </c>
      <c r="AO210" s="8">
        <v>343950.01</v>
      </c>
      <c r="AP210" s="26">
        <v>78.19859000000001</v>
      </c>
      <c r="AQ210" s="13"/>
      <c r="AR210" s="14"/>
      <c r="AS210" s="13"/>
      <c r="AT210" s="13"/>
      <c r="AU210" s="13"/>
      <c r="AV210" s="13"/>
      <c r="AW210" s="13"/>
      <c r="AX210" s="13"/>
    </row>
    <row r="211" spans="2:50" ht="30">
      <c r="B211" s="12">
        <v>11189</v>
      </c>
      <c r="C211" s="11" t="s">
        <v>19</v>
      </c>
      <c r="D211" s="11" t="s">
        <v>158</v>
      </c>
      <c r="E211" s="25">
        <v>9</v>
      </c>
      <c r="F211" s="25">
        <v>9</v>
      </c>
      <c r="G211" s="25">
        <v>473281</v>
      </c>
      <c r="H211" s="25">
        <v>7771.2999999999993</v>
      </c>
      <c r="I211" s="39">
        <v>0</v>
      </c>
      <c r="J211" s="22">
        <v>0</v>
      </c>
      <c r="K211" s="22">
        <v>0</v>
      </c>
      <c r="L211" s="22">
        <v>0</v>
      </c>
      <c r="M211" s="22">
        <v>9</v>
      </c>
      <c r="N211" s="22">
        <v>7771.2999999999993</v>
      </c>
      <c r="O211" s="22">
        <v>9</v>
      </c>
      <c r="P211" s="22">
        <v>473281</v>
      </c>
      <c r="Q211" s="29">
        <v>634.04791</v>
      </c>
      <c r="R211" s="8">
        <v>6</v>
      </c>
      <c r="S211" s="8">
        <f>+VLOOKUP(B211,[1]Лист2!$A$4:$B$188,2,0)</f>
        <v>5</v>
      </c>
      <c r="T211" s="8">
        <v>186900</v>
      </c>
      <c r="U211" s="8">
        <f>+VLOOKUP(B211,[1]Лист2!$A$4:$C$188,3,0)</f>
        <v>5326.83</v>
      </c>
      <c r="V211" s="30">
        <f t="shared" si="87"/>
        <v>5</v>
      </c>
      <c r="W211" s="30">
        <f t="shared" si="88"/>
        <v>5326.83</v>
      </c>
      <c r="X211" s="30">
        <f t="shared" si="89"/>
        <v>6</v>
      </c>
      <c r="Y211" s="30">
        <f t="shared" si="90"/>
        <v>186900</v>
      </c>
      <c r="Z211" s="30">
        <f t="shared" si="95"/>
        <v>6.666666666666667</v>
      </c>
      <c r="AA211" s="30">
        <f t="shared" si="96"/>
        <v>7102.44</v>
      </c>
      <c r="AB211" s="30">
        <v>8</v>
      </c>
      <c r="AC211" s="30">
        <v>249200</v>
      </c>
      <c r="AD211" s="8">
        <v>2</v>
      </c>
      <c r="AE211" s="8">
        <v>4</v>
      </c>
      <c r="AF211" s="8">
        <v>84720</v>
      </c>
      <c r="AG211" s="8">
        <v>4427.13</v>
      </c>
      <c r="AH211" s="23">
        <f t="shared" si="91"/>
        <v>4</v>
      </c>
      <c r="AI211" s="23">
        <f t="shared" si="92"/>
        <v>4427.13</v>
      </c>
      <c r="AJ211" s="23">
        <f t="shared" si="93"/>
        <v>2</v>
      </c>
      <c r="AK211" s="23">
        <f t="shared" si="94"/>
        <v>84720</v>
      </c>
      <c r="AL211" s="8">
        <v>4</v>
      </c>
      <c r="AM211" s="8">
        <v>4427.13</v>
      </c>
      <c r="AN211" s="8">
        <v>2</v>
      </c>
      <c r="AO211" s="8">
        <v>84720</v>
      </c>
      <c r="AP211" s="26">
        <v>272.89494999999999</v>
      </c>
      <c r="AQ211" s="13"/>
      <c r="AR211" s="14"/>
      <c r="AS211" s="13"/>
      <c r="AT211" s="13"/>
      <c r="AU211" s="13"/>
      <c r="AV211" s="13"/>
      <c r="AW211" s="13"/>
      <c r="AX211" s="13"/>
    </row>
    <row r="212" spans="2:50" ht="30">
      <c r="B212" s="12">
        <v>11190</v>
      </c>
      <c r="C212" s="11" t="s">
        <v>19</v>
      </c>
      <c r="D212" s="11" t="s">
        <v>158</v>
      </c>
      <c r="E212" s="25">
        <v>4</v>
      </c>
      <c r="F212" s="25">
        <v>0</v>
      </c>
      <c r="G212" s="25">
        <v>96825.25</v>
      </c>
      <c r="H212" s="25">
        <v>0</v>
      </c>
      <c r="I212" s="40">
        <v>0</v>
      </c>
      <c r="J212" s="37">
        <v>0</v>
      </c>
      <c r="K212" s="37">
        <v>0</v>
      </c>
      <c r="L212" s="37">
        <v>0</v>
      </c>
      <c r="M212" s="22">
        <v>0</v>
      </c>
      <c r="N212" s="22">
        <v>0</v>
      </c>
      <c r="O212" s="22">
        <v>4</v>
      </c>
      <c r="P212" s="22">
        <v>96825.25</v>
      </c>
      <c r="Q212" s="29">
        <v>196.86198999999999</v>
      </c>
      <c r="R212" s="8">
        <v>35</v>
      </c>
      <c r="S212" s="8">
        <f>+VLOOKUP(B212,[1]Лист2!$A$4:$B$188,2,0)</f>
        <v>2</v>
      </c>
      <c r="T212" s="8">
        <v>853369.05</v>
      </c>
      <c r="U212" s="8">
        <f>+VLOOKUP(B212,[1]Лист2!$A$4:$C$188,3,0)</f>
        <v>6710</v>
      </c>
      <c r="V212" s="30">
        <f t="shared" si="87"/>
        <v>2</v>
      </c>
      <c r="W212" s="30">
        <f t="shared" si="88"/>
        <v>6710</v>
      </c>
      <c r="X212" s="30">
        <f t="shared" si="89"/>
        <v>35</v>
      </c>
      <c r="Y212" s="30">
        <f t="shared" si="90"/>
        <v>853369.05</v>
      </c>
      <c r="Z212" s="30">
        <f t="shared" si="95"/>
        <v>2.6666666666666665</v>
      </c>
      <c r="AA212" s="30">
        <f t="shared" si="96"/>
        <v>8946.6666666666661</v>
      </c>
      <c r="AB212" s="30">
        <v>46.666666666666664</v>
      </c>
      <c r="AC212" s="30">
        <v>1137825.4000000001</v>
      </c>
      <c r="AD212" s="8">
        <v>28</v>
      </c>
      <c r="AE212" s="8">
        <v>0</v>
      </c>
      <c r="AF212" s="8">
        <v>685458.54</v>
      </c>
      <c r="AG212" s="8">
        <v>0</v>
      </c>
      <c r="AH212" s="23">
        <f t="shared" si="91"/>
        <v>0</v>
      </c>
      <c r="AI212" s="23">
        <f t="shared" si="92"/>
        <v>0</v>
      </c>
      <c r="AJ212" s="23">
        <f t="shared" si="93"/>
        <v>28</v>
      </c>
      <c r="AK212" s="23">
        <f t="shared" si="94"/>
        <v>685458.54</v>
      </c>
      <c r="AL212" s="8">
        <v>0</v>
      </c>
      <c r="AM212" s="8">
        <v>0</v>
      </c>
      <c r="AN212" s="8">
        <v>28</v>
      </c>
      <c r="AO212" s="8">
        <v>685458.54</v>
      </c>
      <c r="AP212" s="26">
        <v>227.04042999999999</v>
      </c>
      <c r="AQ212" s="13"/>
      <c r="AR212" s="14"/>
      <c r="AS212" s="13"/>
      <c r="AT212" s="13"/>
      <c r="AU212" s="13"/>
      <c r="AV212" s="13"/>
      <c r="AW212" s="13"/>
      <c r="AX212" s="13"/>
    </row>
    <row r="213" spans="2:50" ht="30">
      <c r="B213" s="12">
        <v>11191</v>
      </c>
      <c r="C213" s="11" t="s">
        <v>19</v>
      </c>
      <c r="D213" s="11" t="s">
        <v>158</v>
      </c>
      <c r="E213" s="25">
        <v>4</v>
      </c>
      <c r="F213" s="25">
        <v>0</v>
      </c>
      <c r="G213" s="25">
        <v>101500</v>
      </c>
      <c r="H213" s="25">
        <v>0</v>
      </c>
      <c r="I213" s="40">
        <v>0</v>
      </c>
      <c r="J213" s="37">
        <v>0</v>
      </c>
      <c r="K213" s="37">
        <v>0</v>
      </c>
      <c r="L213" s="37">
        <v>0</v>
      </c>
      <c r="M213" s="22">
        <v>0</v>
      </c>
      <c r="N213" s="22">
        <v>0</v>
      </c>
      <c r="O213" s="22">
        <v>4</v>
      </c>
      <c r="P213" s="22">
        <v>101500</v>
      </c>
      <c r="Q213" s="29">
        <v>0</v>
      </c>
      <c r="R213" s="8">
        <v>5</v>
      </c>
      <c r="S213" s="8"/>
      <c r="T213" s="8">
        <v>95962.33</v>
      </c>
      <c r="U213" s="8"/>
      <c r="V213" s="30">
        <f t="shared" si="87"/>
        <v>0</v>
      </c>
      <c r="W213" s="30">
        <f t="shared" si="88"/>
        <v>0</v>
      </c>
      <c r="X213" s="30">
        <f t="shared" si="89"/>
        <v>5</v>
      </c>
      <c r="Y213" s="30">
        <f t="shared" si="90"/>
        <v>95962.33</v>
      </c>
      <c r="Z213" s="30">
        <f t="shared" si="95"/>
        <v>0</v>
      </c>
      <c r="AA213" s="30">
        <f t="shared" si="96"/>
        <v>0</v>
      </c>
      <c r="AB213" s="30">
        <v>6.666666666666667</v>
      </c>
      <c r="AC213" s="30">
        <v>127949.77333333333</v>
      </c>
      <c r="AD213" s="8">
        <v>7</v>
      </c>
      <c r="AE213" s="8">
        <v>3</v>
      </c>
      <c r="AF213" s="8">
        <v>84195.87999999999</v>
      </c>
      <c r="AG213" s="8">
        <v>21000</v>
      </c>
      <c r="AH213" s="23">
        <f t="shared" si="91"/>
        <v>3</v>
      </c>
      <c r="AI213" s="23">
        <f t="shared" si="92"/>
        <v>21000</v>
      </c>
      <c r="AJ213" s="23">
        <f t="shared" si="93"/>
        <v>7</v>
      </c>
      <c r="AK213" s="23">
        <f t="shared" si="94"/>
        <v>84195.87999999999</v>
      </c>
      <c r="AL213" s="8">
        <v>3</v>
      </c>
      <c r="AM213" s="8">
        <v>21000</v>
      </c>
      <c r="AN213" s="8">
        <v>7</v>
      </c>
      <c r="AO213" s="8">
        <v>84195.87999999999</v>
      </c>
      <c r="AP213" s="26">
        <v>59.506329999999998</v>
      </c>
      <c r="AQ213" s="13"/>
      <c r="AR213" s="14"/>
      <c r="AS213" s="13"/>
      <c r="AT213" s="13"/>
      <c r="AU213" s="13"/>
      <c r="AV213" s="13"/>
      <c r="AW213" s="13"/>
      <c r="AX213" s="13"/>
    </row>
    <row r="214" spans="2:50" ht="30">
      <c r="B214" s="12">
        <v>11192</v>
      </c>
      <c r="C214" s="11" t="s">
        <v>19</v>
      </c>
      <c r="D214" s="11" t="s">
        <v>158</v>
      </c>
      <c r="E214" s="25">
        <v>10</v>
      </c>
      <c r="F214" s="25">
        <v>2</v>
      </c>
      <c r="G214" s="25">
        <v>504409.26</v>
      </c>
      <c r="H214" s="25">
        <v>153418</v>
      </c>
      <c r="I214" s="39">
        <v>0</v>
      </c>
      <c r="J214" s="22">
        <v>0</v>
      </c>
      <c r="K214" s="22">
        <v>0</v>
      </c>
      <c r="L214" s="22">
        <v>0</v>
      </c>
      <c r="M214" s="22">
        <v>2</v>
      </c>
      <c r="N214" s="22">
        <v>153418</v>
      </c>
      <c r="O214" s="22">
        <v>10</v>
      </c>
      <c r="P214" s="22">
        <v>504409.26</v>
      </c>
      <c r="Q214" s="29">
        <v>298.09164000000004</v>
      </c>
      <c r="R214" s="8">
        <v>15</v>
      </c>
      <c r="S214" s="8"/>
      <c r="T214" s="8">
        <v>580370.34000000008</v>
      </c>
      <c r="U214" s="8"/>
      <c r="V214" s="30">
        <f t="shared" si="87"/>
        <v>0</v>
      </c>
      <c r="W214" s="30">
        <f t="shared" si="88"/>
        <v>0</v>
      </c>
      <c r="X214" s="30">
        <f t="shared" si="89"/>
        <v>15</v>
      </c>
      <c r="Y214" s="30">
        <f t="shared" si="90"/>
        <v>580370.34000000008</v>
      </c>
      <c r="Z214" s="30">
        <f t="shared" si="95"/>
        <v>0</v>
      </c>
      <c r="AA214" s="30">
        <f t="shared" si="96"/>
        <v>0</v>
      </c>
      <c r="AB214" s="30">
        <v>20</v>
      </c>
      <c r="AC214" s="30">
        <v>773827.12000000011</v>
      </c>
      <c r="AD214" s="8">
        <v>17</v>
      </c>
      <c r="AE214" s="8">
        <v>3</v>
      </c>
      <c r="AF214" s="8">
        <v>961871.6</v>
      </c>
      <c r="AG214" s="8">
        <v>21983.5</v>
      </c>
      <c r="AH214" s="23">
        <f t="shared" si="91"/>
        <v>3</v>
      </c>
      <c r="AI214" s="23">
        <f t="shared" si="92"/>
        <v>21983.5</v>
      </c>
      <c r="AJ214" s="23">
        <f t="shared" si="93"/>
        <v>17</v>
      </c>
      <c r="AK214" s="23">
        <f t="shared" si="94"/>
        <v>961871.6</v>
      </c>
      <c r="AL214" s="8">
        <v>3</v>
      </c>
      <c r="AM214" s="8">
        <v>21983.5</v>
      </c>
      <c r="AN214" s="8">
        <v>17</v>
      </c>
      <c r="AO214" s="8">
        <v>961871.6</v>
      </c>
      <c r="AP214" s="26">
        <v>31.16</v>
      </c>
      <c r="AQ214" s="13"/>
      <c r="AR214" s="14"/>
      <c r="AS214" s="13"/>
      <c r="AT214" s="13"/>
      <c r="AU214" s="13"/>
      <c r="AV214" s="13"/>
      <c r="AW214" s="13"/>
      <c r="AX214" s="13"/>
    </row>
    <row r="215" spans="2:50" ht="30">
      <c r="B215" s="12">
        <v>11193</v>
      </c>
      <c r="C215" s="11" t="s">
        <v>19</v>
      </c>
      <c r="D215" s="11" t="s">
        <v>158</v>
      </c>
      <c r="E215" s="25">
        <v>3</v>
      </c>
      <c r="F215" s="25">
        <v>0</v>
      </c>
      <c r="G215" s="25">
        <v>13122.92</v>
      </c>
      <c r="H215" s="25">
        <v>0</v>
      </c>
      <c r="I215" s="40">
        <v>0</v>
      </c>
      <c r="J215" s="37">
        <v>0</v>
      </c>
      <c r="K215" s="37">
        <v>0</v>
      </c>
      <c r="L215" s="37">
        <v>0</v>
      </c>
      <c r="M215" s="22">
        <v>0</v>
      </c>
      <c r="N215" s="22">
        <v>0</v>
      </c>
      <c r="O215" s="22">
        <v>3</v>
      </c>
      <c r="P215" s="22">
        <v>13122.92</v>
      </c>
      <c r="Q215" s="29">
        <v>61.835019999999993</v>
      </c>
      <c r="R215" s="8">
        <v>29</v>
      </c>
      <c r="S215" s="8">
        <f>+VLOOKUP(B215,[1]Лист2!$A$4:$B$188,2,0)</f>
        <v>3</v>
      </c>
      <c r="T215" s="8">
        <v>476513.07</v>
      </c>
      <c r="U215" s="8">
        <f>+VLOOKUP(B215,[1]Лист2!$A$4:$C$188,3,0)</f>
        <v>6809</v>
      </c>
      <c r="V215" s="30">
        <f t="shared" si="87"/>
        <v>3</v>
      </c>
      <c r="W215" s="30">
        <f t="shared" si="88"/>
        <v>6809</v>
      </c>
      <c r="X215" s="30">
        <f t="shared" si="89"/>
        <v>29</v>
      </c>
      <c r="Y215" s="30">
        <f t="shared" si="90"/>
        <v>476513.07</v>
      </c>
      <c r="Z215" s="30">
        <f t="shared" si="95"/>
        <v>4</v>
      </c>
      <c r="AA215" s="30">
        <f t="shared" si="96"/>
        <v>9078.6666666666661</v>
      </c>
      <c r="AB215" s="30">
        <v>38.666666666666664</v>
      </c>
      <c r="AC215" s="30">
        <v>635350.76</v>
      </c>
      <c r="AD215" s="8">
        <v>8</v>
      </c>
      <c r="AE215" s="8">
        <v>3</v>
      </c>
      <c r="AF215" s="8">
        <v>59020.11</v>
      </c>
      <c r="AG215" s="8">
        <v>15463.5</v>
      </c>
      <c r="AH215" s="23">
        <f t="shared" si="91"/>
        <v>3</v>
      </c>
      <c r="AI215" s="23">
        <f t="shared" si="92"/>
        <v>15463.5</v>
      </c>
      <c r="AJ215" s="23">
        <f t="shared" si="93"/>
        <v>8</v>
      </c>
      <c r="AK215" s="23">
        <f t="shared" si="94"/>
        <v>59020.11</v>
      </c>
      <c r="AL215" s="8">
        <v>3</v>
      </c>
      <c r="AM215" s="8">
        <v>15463.5</v>
      </c>
      <c r="AN215" s="8">
        <v>8</v>
      </c>
      <c r="AO215" s="8">
        <v>59020.11</v>
      </c>
      <c r="AP215" s="26">
        <v>68.061019999999999</v>
      </c>
      <c r="AQ215" s="13"/>
      <c r="AR215" s="14"/>
      <c r="AS215" s="13"/>
      <c r="AT215" s="13"/>
      <c r="AU215" s="13"/>
      <c r="AV215" s="13"/>
      <c r="AW215" s="13"/>
      <c r="AX215" s="13"/>
    </row>
    <row r="216" spans="2:50" ht="30">
      <c r="B216" s="12">
        <v>11194</v>
      </c>
      <c r="C216" s="11" t="s">
        <v>19</v>
      </c>
      <c r="D216" s="11" t="s">
        <v>158</v>
      </c>
      <c r="E216" s="25">
        <v>82</v>
      </c>
      <c r="F216" s="25">
        <v>5</v>
      </c>
      <c r="G216" s="25">
        <v>1816871.4000000001</v>
      </c>
      <c r="H216" s="25">
        <v>94987.989999999991</v>
      </c>
      <c r="I216" s="39">
        <v>0</v>
      </c>
      <c r="J216" s="22">
        <v>0</v>
      </c>
      <c r="K216" s="22">
        <v>0</v>
      </c>
      <c r="L216" s="22">
        <v>0</v>
      </c>
      <c r="M216" s="22">
        <v>5</v>
      </c>
      <c r="N216" s="22">
        <v>94987.989999999991</v>
      </c>
      <c r="O216" s="22">
        <v>82</v>
      </c>
      <c r="P216" s="22">
        <v>1816871.4000000001</v>
      </c>
      <c r="Q216" s="29">
        <v>1286.3281800000007</v>
      </c>
      <c r="R216" s="8">
        <v>178</v>
      </c>
      <c r="S216" s="8">
        <f>+VLOOKUP(B216,[1]Лист2!$A$4:$B$188,2,0)</f>
        <v>18</v>
      </c>
      <c r="T216" s="8">
        <v>5696283.6400000006</v>
      </c>
      <c r="U216" s="8">
        <f>+VLOOKUP(B216,[1]Лист2!$A$4:$C$188,3,0)</f>
        <v>486909.39</v>
      </c>
      <c r="V216" s="30">
        <f t="shared" si="87"/>
        <v>18</v>
      </c>
      <c r="W216" s="30">
        <f t="shared" si="88"/>
        <v>486909.39</v>
      </c>
      <c r="X216" s="30">
        <f t="shared" si="89"/>
        <v>178</v>
      </c>
      <c r="Y216" s="30">
        <f t="shared" si="90"/>
        <v>5696283.6400000006</v>
      </c>
      <c r="Z216" s="30">
        <f t="shared" si="95"/>
        <v>24</v>
      </c>
      <c r="AA216" s="30">
        <f t="shared" si="96"/>
        <v>649212.52</v>
      </c>
      <c r="AB216" s="30">
        <v>237.33333333333334</v>
      </c>
      <c r="AC216" s="30">
        <v>7595044.8533333344</v>
      </c>
      <c r="AD216" s="8">
        <v>145</v>
      </c>
      <c r="AE216" s="8">
        <v>4</v>
      </c>
      <c r="AF216" s="8">
        <v>6914187.7899999991</v>
      </c>
      <c r="AG216" s="8">
        <v>135264</v>
      </c>
      <c r="AH216" s="23">
        <f t="shared" si="91"/>
        <v>4</v>
      </c>
      <c r="AI216" s="23">
        <f t="shared" si="92"/>
        <v>135264</v>
      </c>
      <c r="AJ216" s="23">
        <f t="shared" si="93"/>
        <v>145</v>
      </c>
      <c r="AK216" s="23">
        <f t="shared" si="94"/>
        <v>6914187.7899999991</v>
      </c>
      <c r="AL216" s="8">
        <v>4</v>
      </c>
      <c r="AM216" s="8">
        <v>135264</v>
      </c>
      <c r="AN216" s="8">
        <v>145</v>
      </c>
      <c r="AO216" s="8">
        <v>6914187.7899999991</v>
      </c>
      <c r="AP216" s="26">
        <v>1224.04477</v>
      </c>
      <c r="AQ216" s="13"/>
      <c r="AR216" s="14"/>
      <c r="AS216" s="13"/>
      <c r="AT216" s="13"/>
      <c r="AU216" s="13"/>
      <c r="AV216" s="13"/>
      <c r="AW216" s="13"/>
      <c r="AX216" s="13"/>
    </row>
    <row r="217" spans="2:50" ht="30">
      <c r="B217" s="12">
        <v>11195</v>
      </c>
      <c r="C217" s="11" t="s">
        <v>19</v>
      </c>
      <c r="D217" s="11" t="s">
        <v>158</v>
      </c>
      <c r="E217" s="25">
        <v>5</v>
      </c>
      <c r="F217" s="25">
        <v>1</v>
      </c>
      <c r="G217" s="25">
        <v>59768.240000000005</v>
      </c>
      <c r="H217" s="25">
        <v>10163</v>
      </c>
      <c r="I217" s="39">
        <v>0</v>
      </c>
      <c r="J217" s="22">
        <v>0</v>
      </c>
      <c r="K217" s="22">
        <v>0</v>
      </c>
      <c r="L217" s="22">
        <v>0</v>
      </c>
      <c r="M217" s="22">
        <v>1</v>
      </c>
      <c r="N217" s="22">
        <v>10163</v>
      </c>
      <c r="O217" s="22">
        <v>5</v>
      </c>
      <c r="P217" s="22">
        <v>59768.240000000005</v>
      </c>
      <c r="Q217" s="29">
        <v>1131.24029</v>
      </c>
      <c r="R217" s="8">
        <v>2</v>
      </c>
      <c r="S217" s="8"/>
      <c r="T217" s="8">
        <v>39528.83</v>
      </c>
      <c r="U217" s="8"/>
      <c r="V217" s="30">
        <f t="shared" si="87"/>
        <v>0</v>
      </c>
      <c r="W217" s="30">
        <f t="shared" si="88"/>
        <v>0</v>
      </c>
      <c r="X217" s="30">
        <f t="shared" si="89"/>
        <v>2</v>
      </c>
      <c r="Y217" s="30">
        <f t="shared" si="90"/>
        <v>39528.83</v>
      </c>
      <c r="Z217" s="30">
        <f t="shared" si="95"/>
        <v>0</v>
      </c>
      <c r="AA217" s="30">
        <f t="shared" si="96"/>
        <v>0</v>
      </c>
      <c r="AB217" s="30">
        <v>2.6666666666666665</v>
      </c>
      <c r="AC217" s="30">
        <v>52705.106666666667</v>
      </c>
      <c r="AD217" s="8">
        <v>1</v>
      </c>
      <c r="AE217" s="8">
        <v>0</v>
      </c>
      <c r="AF217" s="8">
        <v>5705.07</v>
      </c>
      <c r="AG217" s="8">
        <v>0</v>
      </c>
      <c r="AH217" s="23">
        <f t="shared" si="91"/>
        <v>0</v>
      </c>
      <c r="AI217" s="23">
        <f t="shared" si="92"/>
        <v>0</v>
      </c>
      <c r="AJ217" s="23">
        <f t="shared" si="93"/>
        <v>1</v>
      </c>
      <c r="AK217" s="23">
        <f t="shared" si="94"/>
        <v>5705.07</v>
      </c>
      <c r="AL217" s="8">
        <v>0</v>
      </c>
      <c r="AM217" s="8">
        <v>0</v>
      </c>
      <c r="AN217" s="8">
        <v>1</v>
      </c>
      <c r="AO217" s="8">
        <v>5705.07</v>
      </c>
      <c r="AP217" s="26">
        <v>48.966970000000003</v>
      </c>
      <c r="AQ217" s="13"/>
      <c r="AR217" s="14"/>
      <c r="AS217" s="13"/>
      <c r="AT217" s="13"/>
      <c r="AU217" s="13"/>
      <c r="AV217" s="13"/>
      <c r="AW217" s="13"/>
      <c r="AX217" s="13"/>
    </row>
    <row r="218" spans="2:50" ht="30">
      <c r="B218" s="12">
        <v>11196</v>
      </c>
      <c r="C218" s="11" t="s">
        <v>19</v>
      </c>
      <c r="D218" s="11" t="s">
        <v>158</v>
      </c>
      <c r="E218" s="25">
        <v>379</v>
      </c>
      <c r="F218" s="25">
        <v>121</v>
      </c>
      <c r="G218" s="25">
        <v>16534600.620000001</v>
      </c>
      <c r="H218" s="25">
        <v>8690749.9200000055</v>
      </c>
      <c r="I218" s="39">
        <v>0</v>
      </c>
      <c r="J218" s="22">
        <v>0</v>
      </c>
      <c r="K218" s="22">
        <v>0</v>
      </c>
      <c r="L218" s="22">
        <v>0</v>
      </c>
      <c r="M218" s="22">
        <v>121</v>
      </c>
      <c r="N218" s="22">
        <v>8690749.9200000055</v>
      </c>
      <c r="O218" s="22">
        <v>379</v>
      </c>
      <c r="P218" s="22">
        <v>16534600.620000001</v>
      </c>
      <c r="Q218" s="29">
        <v>4331.5433599999988</v>
      </c>
      <c r="R218" s="8">
        <v>444</v>
      </c>
      <c r="S218" s="8">
        <f>+VLOOKUP(B218,[1]Лист2!$A$4:$B$188,2,0)</f>
        <v>141</v>
      </c>
      <c r="T218" s="8">
        <v>16868302.710000012</v>
      </c>
      <c r="U218" s="8">
        <f>+VLOOKUP(B218,[1]Лист2!$A$4:$C$188,3,0)</f>
        <v>12775385.060000001</v>
      </c>
      <c r="V218" s="30">
        <f t="shared" si="87"/>
        <v>141</v>
      </c>
      <c r="W218" s="30">
        <f t="shared" si="88"/>
        <v>12775385.060000001</v>
      </c>
      <c r="X218" s="30">
        <f t="shared" si="89"/>
        <v>444</v>
      </c>
      <c r="Y218" s="30">
        <f t="shared" si="90"/>
        <v>16868302.710000012</v>
      </c>
      <c r="Z218" s="30">
        <f t="shared" si="95"/>
        <v>188</v>
      </c>
      <c r="AA218" s="30">
        <f t="shared" si="96"/>
        <v>17033846.746666666</v>
      </c>
      <c r="AB218" s="30">
        <v>592</v>
      </c>
      <c r="AC218" s="30">
        <v>22491070.280000016</v>
      </c>
      <c r="AD218" s="8">
        <v>311</v>
      </c>
      <c r="AE218" s="8">
        <v>117</v>
      </c>
      <c r="AF218" s="8">
        <v>10903293.360000003</v>
      </c>
      <c r="AG218" s="8">
        <v>9518713.8300000019</v>
      </c>
      <c r="AH218" s="23">
        <f t="shared" si="91"/>
        <v>117</v>
      </c>
      <c r="AI218" s="23">
        <f t="shared" si="92"/>
        <v>9518713.8300000019</v>
      </c>
      <c r="AJ218" s="23">
        <f t="shared" si="93"/>
        <v>311</v>
      </c>
      <c r="AK218" s="23">
        <f t="shared" si="94"/>
        <v>10903293.360000003</v>
      </c>
      <c r="AL218" s="8">
        <v>117</v>
      </c>
      <c r="AM218" s="8">
        <v>9518713.8300000019</v>
      </c>
      <c r="AN218" s="8">
        <v>311</v>
      </c>
      <c r="AO218" s="8">
        <v>10903293.360000003</v>
      </c>
      <c r="AP218" s="26">
        <v>3583.2006999999981</v>
      </c>
      <c r="AQ218" s="13"/>
      <c r="AR218" s="14"/>
      <c r="AS218" s="13"/>
      <c r="AT218" s="13"/>
      <c r="AU218" s="13"/>
      <c r="AV218" s="13"/>
      <c r="AW218" s="13"/>
      <c r="AX218" s="13"/>
    </row>
    <row r="219" spans="2:50" ht="30">
      <c r="B219" s="12">
        <v>11640</v>
      </c>
      <c r="C219" s="11" t="s">
        <v>19</v>
      </c>
      <c r="D219" s="11" t="s">
        <v>158</v>
      </c>
      <c r="E219" s="25">
        <v>184</v>
      </c>
      <c r="F219" s="25">
        <v>64</v>
      </c>
      <c r="G219" s="25">
        <v>42308783.82</v>
      </c>
      <c r="H219" s="25">
        <v>3022387.14</v>
      </c>
      <c r="I219" s="39">
        <v>0</v>
      </c>
      <c r="J219" s="22">
        <v>0</v>
      </c>
      <c r="K219" s="22">
        <v>0</v>
      </c>
      <c r="L219" s="22">
        <v>0</v>
      </c>
      <c r="M219" s="22">
        <v>64</v>
      </c>
      <c r="N219" s="22">
        <v>3022387.14</v>
      </c>
      <c r="O219" s="22">
        <v>184</v>
      </c>
      <c r="P219" s="22">
        <v>42308783.82</v>
      </c>
      <c r="Q219" s="29">
        <v>10389.762729999999</v>
      </c>
      <c r="R219" s="8">
        <v>199</v>
      </c>
      <c r="S219" s="8">
        <f>+VLOOKUP(B219,[1]Лист2!$A$4:$B$188,2,0)</f>
        <v>131</v>
      </c>
      <c r="T219" s="8">
        <v>35669512.13000001</v>
      </c>
      <c r="U219" s="8">
        <f>+VLOOKUP(B219,[1]Лист2!$A$4:$C$188,3,0)</f>
        <v>5614358.7499999991</v>
      </c>
      <c r="V219" s="30">
        <f t="shared" si="87"/>
        <v>131</v>
      </c>
      <c r="W219" s="30">
        <f t="shared" si="88"/>
        <v>5614358.7499999991</v>
      </c>
      <c r="X219" s="30">
        <f t="shared" si="89"/>
        <v>199</v>
      </c>
      <c r="Y219" s="30">
        <f t="shared" si="90"/>
        <v>35669512.13000001</v>
      </c>
      <c r="Z219" s="30">
        <f t="shared" si="95"/>
        <v>174.66666666666666</v>
      </c>
      <c r="AA219" s="30">
        <f t="shared" si="96"/>
        <v>7485811.6666666651</v>
      </c>
      <c r="AB219" s="30">
        <v>265.33333333333331</v>
      </c>
      <c r="AC219" s="30">
        <v>47559349.506666683</v>
      </c>
      <c r="AD219" s="8">
        <v>154</v>
      </c>
      <c r="AE219" s="8">
        <v>114</v>
      </c>
      <c r="AF219" s="8">
        <v>31518008.429999989</v>
      </c>
      <c r="AG219" s="8">
        <v>2788260.84</v>
      </c>
      <c r="AH219" s="23">
        <f t="shared" si="91"/>
        <v>114</v>
      </c>
      <c r="AI219" s="23">
        <f t="shared" si="92"/>
        <v>2788260.84</v>
      </c>
      <c r="AJ219" s="23">
        <f t="shared" si="93"/>
        <v>154</v>
      </c>
      <c r="AK219" s="23">
        <f t="shared" si="94"/>
        <v>31518008.429999989</v>
      </c>
      <c r="AL219" s="8">
        <v>114</v>
      </c>
      <c r="AM219" s="8">
        <v>2788260.84</v>
      </c>
      <c r="AN219" s="8">
        <v>154</v>
      </c>
      <c r="AO219" s="8">
        <v>31518008.429999989</v>
      </c>
      <c r="AP219" s="26">
        <v>19293.340419999997</v>
      </c>
      <c r="AQ219" s="13"/>
      <c r="AR219" s="14"/>
      <c r="AS219" s="13"/>
      <c r="AT219" s="13"/>
      <c r="AU219" s="13"/>
      <c r="AV219" s="13"/>
      <c r="AW219" s="13"/>
      <c r="AX219" s="13"/>
    </row>
    <row r="220" spans="2:50" ht="30">
      <c r="B220" s="12">
        <v>10463</v>
      </c>
      <c r="C220" s="11" t="s">
        <v>19</v>
      </c>
      <c r="D220" s="11" t="s">
        <v>158</v>
      </c>
      <c r="E220" s="25">
        <v>0</v>
      </c>
      <c r="F220" s="25">
        <v>5</v>
      </c>
      <c r="G220" s="25">
        <v>0</v>
      </c>
      <c r="H220" s="25">
        <v>85522</v>
      </c>
      <c r="I220" s="39">
        <v>0</v>
      </c>
      <c r="J220" s="22">
        <v>0</v>
      </c>
      <c r="K220" s="22">
        <v>0</v>
      </c>
      <c r="L220" s="22">
        <v>0</v>
      </c>
      <c r="M220" s="22">
        <v>5</v>
      </c>
      <c r="N220" s="22">
        <v>85522</v>
      </c>
      <c r="O220" s="22">
        <v>0</v>
      </c>
      <c r="P220" s="22">
        <v>0</v>
      </c>
      <c r="Q220" s="29">
        <v>35.05612</v>
      </c>
      <c r="R220" s="8">
        <v>6</v>
      </c>
      <c r="S220" s="8">
        <f>+VLOOKUP(B220,[1]Лист2!$A$4:$B$188,2,0)</f>
        <v>11</v>
      </c>
      <c r="T220" s="8">
        <v>149200</v>
      </c>
      <c r="U220" s="8">
        <f>+VLOOKUP(B220,[1]Лист2!$A$4:$C$188,3,0)</f>
        <v>61310</v>
      </c>
      <c r="V220" s="30">
        <f t="shared" si="87"/>
        <v>11</v>
      </c>
      <c r="W220" s="30">
        <f t="shared" si="88"/>
        <v>61310</v>
      </c>
      <c r="X220" s="30">
        <f t="shared" si="89"/>
        <v>6</v>
      </c>
      <c r="Y220" s="30">
        <f t="shared" si="90"/>
        <v>149200</v>
      </c>
      <c r="Z220" s="30">
        <f t="shared" si="95"/>
        <v>14.666666666666666</v>
      </c>
      <c r="AA220" s="30">
        <f t="shared" si="96"/>
        <v>81746.666666666672</v>
      </c>
      <c r="AB220" s="30">
        <v>8</v>
      </c>
      <c r="AC220" s="30">
        <v>198933.33333333334</v>
      </c>
      <c r="AD220" s="8">
        <v>3</v>
      </c>
      <c r="AE220" s="8">
        <v>6</v>
      </c>
      <c r="AF220" s="8">
        <v>4588</v>
      </c>
      <c r="AG220" s="8">
        <v>58779</v>
      </c>
      <c r="AH220" s="23">
        <f t="shared" si="91"/>
        <v>6</v>
      </c>
      <c r="AI220" s="23">
        <f t="shared" si="92"/>
        <v>58779</v>
      </c>
      <c r="AJ220" s="23">
        <f t="shared" si="93"/>
        <v>3</v>
      </c>
      <c r="AK220" s="23">
        <f t="shared" si="94"/>
        <v>4588</v>
      </c>
      <c r="AL220" s="8">
        <v>6</v>
      </c>
      <c r="AM220" s="8">
        <v>58779</v>
      </c>
      <c r="AN220" s="8">
        <v>3</v>
      </c>
      <c r="AO220" s="8">
        <v>4588</v>
      </c>
      <c r="AP220" s="26">
        <v>20.82685</v>
      </c>
      <c r="AQ220" s="13"/>
      <c r="AR220" s="14"/>
      <c r="AS220" s="13"/>
      <c r="AT220" s="13"/>
      <c r="AU220" s="13"/>
      <c r="AV220" s="13"/>
      <c r="AW220" s="13"/>
      <c r="AX220" s="13"/>
    </row>
    <row r="221" spans="2:50" ht="30">
      <c r="B221" s="12">
        <v>11188</v>
      </c>
      <c r="C221" s="11" t="s">
        <v>19</v>
      </c>
      <c r="D221" s="11" t="s">
        <v>158</v>
      </c>
      <c r="E221" s="25">
        <v>0</v>
      </c>
      <c r="F221" s="25">
        <v>5</v>
      </c>
      <c r="G221" s="25">
        <v>0</v>
      </c>
      <c r="H221" s="25">
        <v>98145.600000000006</v>
      </c>
      <c r="I221" s="39">
        <v>0</v>
      </c>
      <c r="J221" s="22">
        <v>0</v>
      </c>
      <c r="K221" s="22">
        <v>0</v>
      </c>
      <c r="L221" s="22">
        <v>0</v>
      </c>
      <c r="M221" s="22">
        <v>5</v>
      </c>
      <c r="N221" s="22">
        <v>98145.600000000006</v>
      </c>
      <c r="O221" s="22">
        <v>0</v>
      </c>
      <c r="P221" s="22">
        <v>0</v>
      </c>
      <c r="Q221" s="29">
        <v>1.5</v>
      </c>
      <c r="R221" s="8">
        <v>42</v>
      </c>
      <c r="S221" s="8">
        <f>+VLOOKUP(B221,[1]Лист2!$A$4:$B$188,2,0)</f>
        <v>6</v>
      </c>
      <c r="T221" s="8">
        <v>1410687.5899999999</v>
      </c>
      <c r="U221" s="8">
        <f>+VLOOKUP(B221,[1]Лист2!$A$4:$C$188,3,0)</f>
        <v>337942</v>
      </c>
      <c r="V221" s="30">
        <f t="shared" si="87"/>
        <v>6</v>
      </c>
      <c r="W221" s="30">
        <f t="shared" si="88"/>
        <v>337942</v>
      </c>
      <c r="X221" s="30">
        <f t="shared" si="89"/>
        <v>42</v>
      </c>
      <c r="Y221" s="30">
        <f t="shared" si="90"/>
        <v>1410687.5899999999</v>
      </c>
      <c r="Z221" s="30">
        <f t="shared" si="95"/>
        <v>8</v>
      </c>
      <c r="AA221" s="30">
        <f t="shared" si="96"/>
        <v>450589.33333333331</v>
      </c>
      <c r="AB221" s="30">
        <v>56</v>
      </c>
      <c r="AC221" s="30">
        <v>1880916.7866666664</v>
      </c>
      <c r="AD221" s="8">
        <v>20</v>
      </c>
      <c r="AE221" s="8">
        <v>3</v>
      </c>
      <c r="AF221" s="8">
        <v>605820</v>
      </c>
      <c r="AG221" s="8">
        <v>66857.98000000001</v>
      </c>
      <c r="AH221" s="23">
        <f t="shared" si="91"/>
        <v>3</v>
      </c>
      <c r="AI221" s="23">
        <f t="shared" si="92"/>
        <v>66857.98000000001</v>
      </c>
      <c r="AJ221" s="23">
        <f t="shared" si="93"/>
        <v>20</v>
      </c>
      <c r="AK221" s="23">
        <f t="shared" si="94"/>
        <v>605820</v>
      </c>
      <c r="AL221" s="8">
        <v>3</v>
      </c>
      <c r="AM221" s="8">
        <v>66857.98000000001</v>
      </c>
      <c r="AN221" s="8">
        <v>20</v>
      </c>
      <c r="AO221" s="8">
        <v>605820</v>
      </c>
      <c r="AP221" s="26">
        <v>108.03099</v>
      </c>
      <c r="AQ221" s="13"/>
      <c r="AR221" s="14"/>
      <c r="AS221" s="13"/>
      <c r="AT221" s="13"/>
      <c r="AU221" s="13"/>
      <c r="AV221" s="13"/>
      <c r="AW221" s="13"/>
      <c r="AX221" s="13"/>
    </row>
    <row r="222" spans="2:50">
      <c r="B222" s="12">
        <v>1186</v>
      </c>
      <c r="C222" s="11" t="s">
        <v>35</v>
      </c>
      <c r="D222" s="11" t="s">
        <v>159</v>
      </c>
      <c r="E222" s="25">
        <v>3</v>
      </c>
      <c r="F222" s="25">
        <v>0</v>
      </c>
      <c r="G222" s="25">
        <v>3305.27</v>
      </c>
      <c r="H222" s="25">
        <v>0</v>
      </c>
      <c r="I222" s="40">
        <v>0</v>
      </c>
      <c r="J222" s="37">
        <v>0</v>
      </c>
      <c r="K222" s="37">
        <v>0</v>
      </c>
      <c r="L222" s="37">
        <v>0</v>
      </c>
      <c r="M222" s="22">
        <v>0</v>
      </c>
      <c r="N222" s="22">
        <v>0</v>
      </c>
      <c r="O222" s="22">
        <v>3</v>
      </c>
      <c r="P222" s="22">
        <v>3305.27</v>
      </c>
      <c r="Q222" s="29">
        <v>0</v>
      </c>
      <c r="R222" s="8"/>
      <c r="S222" s="8"/>
      <c r="T222" s="8"/>
      <c r="U222" s="8"/>
      <c r="V222" s="30">
        <f t="shared" si="87"/>
        <v>0</v>
      </c>
      <c r="W222" s="30">
        <f t="shared" si="88"/>
        <v>0</v>
      </c>
      <c r="X222" s="30">
        <f t="shared" si="89"/>
        <v>0</v>
      </c>
      <c r="Y222" s="30">
        <f t="shared" si="90"/>
        <v>0</v>
      </c>
      <c r="Z222" s="30">
        <f t="shared" si="95"/>
        <v>0</v>
      </c>
      <c r="AA222" s="30">
        <f t="shared" si="96"/>
        <v>0</v>
      </c>
      <c r="AB222" s="30">
        <v>0</v>
      </c>
      <c r="AC222" s="30">
        <v>0</v>
      </c>
      <c r="AD222" s="8">
        <v>0</v>
      </c>
      <c r="AE222" s="8">
        <v>0</v>
      </c>
      <c r="AF222" s="8">
        <v>0</v>
      </c>
      <c r="AG222" s="8">
        <v>0</v>
      </c>
      <c r="AH222" s="23">
        <f t="shared" si="91"/>
        <v>0</v>
      </c>
      <c r="AI222" s="23">
        <f t="shared" si="92"/>
        <v>0</v>
      </c>
      <c r="AJ222" s="23">
        <f t="shared" si="93"/>
        <v>0</v>
      </c>
      <c r="AK222" s="23">
        <f t="shared" si="94"/>
        <v>0</v>
      </c>
      <c r="AL222" s="8">
        <v>0</v>
      </c>
      <c r="AM222" s="8">
        <v>0</v>
      </c>
      <c r="AN222" s="8">
        <v>0</v>
      </c>
      <c r="AO222" s="8">
        <v>0</v>
      </c>
      <c r="AP222" s="26">
        <v>0</v>
      </c>
      <c r="AQ222" s="13"/>
      <c r="AR222" s="14"/>
      <c r="AS222" s="13"/>
      <c r="AT222" s="13"/>
      <c r="AU222" s="13"/>
      <c r="AV222" s="13"/>
      <c r="AW222" s="13"/>
      <c r="AX222" s="13"/>
    </row>
    <row r="223" spans="2:50">
      <c r="B223" s="12">
        <v>11852</v>
      </c>
      <c r="C223" s="11" t="s">
        <v>35</v>
      </c>
      <c r="D223" s="11" t="s">
        <v>159</v>
      </c>
      <c r="E223" s="25">
        <v>165</v>
      </c>
      <c r="F223" s="25">
        <v>50</v>
      </c>
      <c r="G223" s="25">
        <v>33125698.59</v>
      </c>
      <c r="H223" s="25">
        <v>3452662.24</v>
      </c>
      <c r="I223" s="39">
        <v>0</v>
      </c>
      <c r="J223" s="22">
        <v>0</v>
      </c>
      <c r="K223" s="22">
        <v>0</v>
      </c>
      <c r="L223" s="22">
        <v>0</v>
      </c>
      <c r="M223" s="22">
        <v>50</v>
      </c>
      <c r="N223" s="22">
        <v>3452662.24</v>
      </c>
      <c r="O223" s="22">
        <v>165</v>
      </c>
      <c r="P223" s="22">
        <v>33125698.59</v>
      </c>
      <c r="Q223" s="29">
        <v>4443.5882100000008</v>
      </c>
      <c r="R223" s="8">
        <v>204</v>
      </c>
      <c r="S223" s="8">
        <f>+VLOOKUP(B223,[1]Лист2!$A$4:$B$188,2,0)</f>
        <v>18</v>
      </c>
      <c r="T223" s="8">
        <v>36699455.290000014</v>
      </c>
      <c r="U223" s="8">
        <f>+VLOOKUP(B223,[1]Лист2!$A$4:$C$188,3,0)</f>
        <v>506282.98000000004</v>
      </c>
      <c r="V223" s="30">
        <f t="shared" si="87"/>
        <v>18</v>
      </c>
      <c r="W223" s="30">
        <f t="shared" si="88"/>
        <v>506282.98000000004</v>
      </c>
      <c r="X223" s="30">
        <f t="shared" si="89"/>
        <v>204</v>
      </c>
      <c r="Y223" s="30">
        <f t="shared" si="90"/>
        <v>36699455.290000014</v>
      </c>
      <c r="Z223" s="30">
        <f t="shared" si="95"/>
        <v>24</v>
      </c>
      <c r="AA223" s="30">
        <f t="shared" si="96"/>
        <v>675043.97333333339</v>
      </c>
      <c r="AB223" s="30">
        <v>272</v>
      </c>
      <c r="AC223" s="30">
        <v>48932607.05333335</v>
      </c>
      <c r="AD223" s="8">
        <v>226</v>
      </c>
      <c r="AE223" s="8">
        <v>32</v>
      </c>
      <c r="AF223" s="8">
        <v>53221153.960000023</v>
      </c>
      <c r="AG223" s="8">
        <v>567167.12</v>
      </c>
      <c r="AH223" s="23">
        <f t="shared" si="91"/>
        <v>32</v>
      </c>
      <c r="AI223" s="23">
        <f t="shared" si="92"/>
        <v>567167.12</v>
      </c>
      <c r="AJ223" s="23">
        <f t="shared" si="93"/>
        <v>226</v>
      </c>
      <c r="AK223" s="23">
        <f t="shared" si="94"/>
        <v>53221153.960000023</v>
      </c>
      <c r="AL223" s="8">
        <v>32</v>
      </c>
      <c r="AM223" s="8">
        <v>567167.12</v>
      </c>
      <c r="AN223" s="8">
        <v>226</v>
      </c>
      <c r="AO223" s="8">
        <v>53221153.960000023</v>
      </c>
      <c r="AP223" s="26">
        <v>4455.4760700000015</v>
      </c>
      <c r="AQ223" s="13"/>
      <c r="AR223" s="14"/>
      <c r="AS223" s="13"/>
      <c r="AT223" s="13"/>
      <c r="AU223" s="13"/>
      <c r="AV223" s="13"/>
      <c r="AW223" s="13"/>
      <c r="AX223" s="13"/>
    </row>
    <row r="224" spans="2:50">
      <c r="B224" s="12">
        <v>1125</v>
      </c>
      <c r="C224" s="11" t="s">
        <v>18</v>
      </c>
      <c r="D224" s="11" t="s">
        <v>160</v>
      </c>
      <c r="E224" s="25">
        <v>53</v>
      </c>
      <c r="F224" s="25">
        <v>11</v>
      </c>
      <c r="G224" s="25">
        <v>1388940.3099999998</v>
      </c>
      <c r="H224" s="25">
        <v>45862.29</v>
      </c>
      <c r="I224" s="39">
        <v>0</v>
      </c>
      <c r="J224" s="22">
        <v>0</v>
      </c>
      <c r="K224" s="22">
        <v>0</v>
      </c>
      <c r="L224" s="22">
        <v>0</v>
      </c>
      <c r="M224" s="22">
        <v>11</v>
      </c>
      <c r="N224" s="22">
        <v>45862.29</v>
      </c>
      <c r="O224" s="22">
        <v>53</v>
      </c>
      <c r="P224" s="22">
        <v>1388940.3099999998</v>
      </c>
      <c r="Q224" s="29">
        <v>16.87603</v>
      </c>
      <c r="R224" s="8">
        <v>64</v>
      </c>
      <c r="S224" s="8">
        <f>+VLOOKUP(B224,[1]Лист2!$A$4:$B$188,2,0)</f>
        <v>17</v>
      </c>
      <c r="T224" s="8">
        <v>2434188.5300000003</v>
      </c>
      <c r="U224" s="8">
        <f>+VLOOKUP(B224,[1]Лист2!$A$4:$C$188,3,0)</f>
        <v>125622.50000000001</v>
      </c>
      <c r="V224" s="30">
        <f t="shared" si="87"/>
        <v>17</v>
      </c>
      <c r="W224" s="30">
        <f t="shared" si="88"/>
        <v>125622.50000000001</v>
      </c>
      <c r="X224" s="30">
        <f t="shared" si="89"/>
        <v>64</v>
      </c>
      <c r="Y224" s="30">
        <f t="shared" si="90"/>
        <v>2434188.5300000003</v>
      </c>
      <c r="Z224" s="30">
        <f t="shared" si="95"/>
        <v>22.666666666666668</v>
      </c>
      <c r="AA224" s="30">
        <f t="shared" si="96"/>
        <v>167496.66666666669</v>
      </c>
      <c r="AB224" s="30">
        <v>85.333333333333329</v>
      </c>
      <c r="AC224" s="30">
        <v>3245584.706666667</v>
      </c>
      <c r="AD224" s="8">
        <v>56</v>
      </c>
      <c r="AE224" s="8">
        <v>15</v>
      </c>
      <c r="AF224" s="8">
        <v>1508885.8900000001</v>
      </c>
      <c r="AG224" s="8">
        <v>130759.84</v>
      </c>
      <c r="AH224" s="23">
        <f t="shared" si="91"/>
        <v>15</v>
      </c>
      <c r="AI224" s="23">
        <f t="shared" si="92"/>
        <v>130759.84</v>
      </c>
      <c r="AJ224" s="23">
        <f t="shared" si="93"/>
        <v>56</v>
      </c>
      <c r="AK224" s="23">
        <f t="shared" si="94"/>
        <v>1508885.8900000001</v>
      </c>
      <c r="AL224" s="8">
        <v>15</v>
      </c>
      <c r="AM224" s="8">
        <v>130759.84</v>
      </c>
      <c r="AN224" s="8">
        <v>56</v>
      </c>
      <c r="AO224" s="8">
        <v>1508885.8900000001</v>
      </c>
      <c r="AP224" s="26">
        <v>396.54996000000006</v>
      </c>
      <c r="AQ224" s="13"/>
      <c r="AR224" s="14"/>
      <c r="AS224" s="13"/>
      <c r="AT224" s="13"/>
      <c r="AU224" s="13"/>
      <c r="AV224" s="13"/>
      <c r="AW224" s="13"/>
      <c r="AX224" s="13"/>
    </row>
    <row r="225" spans="2:50">
      <c r="B225" s="12">
        <v>11342</v>
      </c>
      <c r="C225" s="11" t="s">
        <v>18</v>
      </c>
      <c r="D225" s="11" t="s">
        <v>160</v>
      </c>
      <c r="E225" s="25">
        <v>4</v>
      </c>
      <c r="F225" s="25">
        <v>0</v>
      </c>
      <c r="G225" s="25">
        <v>8335.9</v>
      </c>
      <c r="H225" s="25">
        <v>0</v>
      </c>
      <c r="I225" s="40">
        <v>0</v>
      </c>
      <c r="J225" s="37">
        <v>0</v>
      </c>
      <c r="K225" s="37">
        <v>0</v>
      </c>
      <c r="L225" s="37">
        <v>0</v>
      </c>
      <c r="M225" s="22">
        <v>0</v>
      </c>
      <c r="N225" s="22">
        <v>0</v>
      </c>
      <c r="O225" s="22">
        <v>4</v>
      </c>
      <c r="P225" s="22">
        <v>8335.9</v>
      </c>
      <c r="Q225" s="29">
        <v>349.12</v>
      </c>
      <c r="R225" s="8">
        <v>3</v>
      </c>
      <c r="S225" s="8"/>
      <c r="T225" s="8">
        <v>143170</v>
      </c>
      <c r="U225" s="8"/>
      <c r="V225" s="30">
        <f t="shared" si="87"/>
        <v>0</v>
      </c>
      <c r="W225" s="30">
        <f t="shared" si="88"/>
        <v>0</v>
      </c>
      <c r="X225" s="30">
        <f t="shared" si="89"/>
        <v>3</v>
      </c>
      <c r="Y225" s="30">
        <f t="shared" si="90"/>
        <v>143170</v>
      </c>
      <c r="Z225" s="30">
        <f t="shared" si="95"/>
        <v>0</v>
      </c>
      <c r="AA225" s="30">
        <f t="shared" si="96"/>
        <v>0</v>
      </c>
      <c r="AB225" s="30">
        <v>4</v>
      </c>
      <c r="AC225" s="30">
        <v>190893.33333333334</v>
      </c>
      <c r="AD225" s="8">
        <v>1</v>
      </c>
      <c r="AE225" s="8">
        <v>0</v>
      </c>
      <c r="AF225" s="8">
        <v>8561</v>
      </c>
      <c r="AG225" s="8">
        <v>0</v>
      </c>
      <c r="AH225" s="23">
        <f t="shared" si="91"/>
        <v>0</v>
      </c>
      <c r="AI225" s="23">
        <f t="shared" si="92"/>
        <v>0</v>
      </c>
      <c r="AJ225" s="23">
        <f t="shared" si="93"/>
        <v>1</v>
      </c>
      <c r="AK225" s="23">
        <f t="shared" si="94"/>
        <v>8561</v>
      </c>
      <c r="AL225" s="8">
        <v>0</v>
      </c>
      <c r="AM225" s="8">
        <v>0</v>
      </c>
      <c r="AN225" s="8">
        <v>1</v>
      </c>
      <c r="AO225" s="8">
        <v>8561</v>
      </c>
      <c r="AP225" s="26">
        <v>349.12</v>
      </c>
      <c r="AQ225" s="13"/>
      <c r="AR225" s="14"/>
      <c r="AS225" s="13"/>
      <c r="AT225" s="13"/>
      <c r="AU225" s="13"/>
      <c r="AV225" s="13"/>
      <c r="AW225" s="13"/>
      <c r="AX225" s="13"/>
    </row>
    <row r="226" spans="2:50">
      <c r="B226" s="12">
        <v>11343</v>
      </c>
      <c r="C226" s="11" t="s">
        <v>18</v>
      </c>
      <c r="D226" s="11" t="s">
        <v>160</v>
      </c>
      <c r="E226" s="25">
        <v>2</v>
      </c>
      <c r="F226" s="25">
        <v>0</v>
      </c>
      <c r="G226" s="25">
        <v>9540</v>
      </c>
      <c r="H226" s="25">
        <v>0</v>
      </c>
      <c r="I226" s="40">
        <v>0</v>
      </c>
      <c r="J226" s="37">
        <v>0</v>
      </c>
      <c r="K226" s="37">
        <v>0</v>
      </c>
      <c r="L226" s="37">
        <v>0</v>
      </c>
      <c r="M226" s="22">
        <v>0</v>
      </c>
      <c r="N226" s="22">
        <v>0</v>
      </c>
      <c r="O226" s="22">
        <v>2</v>
      </c>
      <c r="P226" s="22">
        <v>9540</v>
      </c>
      <c r="Q226" s="29">
        <v>280.35035999999997</v>
      </c>
      <c r="R226" s="8">
        <v>2</v>
      </c>
      <c r="S226" s="8"/>
      <c r="T226" s="8">
        <v>78652.78</v>
      </c>
      <c r="U226" s="8"/>
      <c r="V226" s="30">
        <f t="shared" si="87"/>
        <v>0</v>
      </c>
      <c r="W226" s="30">
        <f t="shared" si="88"/>
        <v>0</v>
      </c>
      <c r="X226" s="30">
        <f t="shared" si="89"/>
        <v>2</v>
      </c>
      <c r="Y226" s="30">
        <f t="shared" si="90"/>
        <v>78652.78</v>
      </c>
      <c r="Z226" s="30">
        <f t="shared" si="95"/>
        <v>0</v>
      </c>
      <c r="AA226" s="30">
        <f t="shared" si="96"/>
        <v>0</v>
      </c>
      <c r="AB226" s="30">
        <v>2.6666666666666665</v>
      </c>
      <c r="AC226" s="30">
        <v>104870.37333333334</v>
      </c>
      <c r="AD226" s="8">
        <v>4</v>
      </c>
      <c r="AE226" s="8">
        <v>0</v>
      </c>
      <c r="AF226" s="8">
        <v>81173.990000000005</v>
      </c>
      <c r="AG226" s="8">
        <v>0</v>
      </c>
      <c r="AH226" s="23">
        <f t="shared" si="91"/>
        <v>0</v>
      </c>
      <c r="AI226" s="23">
        <f t="shared" si="92"/>
        <v>0</v>
      </c>
      <c r="AJ226" s="23">
        <f t="shared" si="93"/>
        <v>4</v>
      </c>
      <c r="AK226" s="23">
        <f t="shared" si="94"/>
        <v>81173.990000000005</v>
      </c>
      <c r="AL226" s="8">
        <v>0</v>
      </c>
      <c r="AM226" s="8">
        <v>0</v>
      </c>
      <c r="AN226" s="8">
        <v>4</v>
      </c>
      <c r="AO226" s="8">
        <v>81173.990000000005</v>
      </c>
      <c r="AP226" s="26">
        <v>259.70571999999999</v>
      </c>
      <c r="AQ226" s="13"/>
      <c r="AR226" s="14"/>
      <c r="AS226" s="13"/>
      <c r="AT226" s="13"/>
      <c r="AU226" s="13"/>
      <c r="AV226" s="13"/>
      <c r="AW226" s="13"/>
      <c r="AX226" s="13"/>
    </row>
    <row r="227" spans="2:50">
      <c r="B227" s="12">
        <v>11344</v>
      </c>
      <c r="C227" s="11" t="s">
        <v>18</v>
      </c>
      <c r="D227" s="11" t="s">
        <v>160</v>
      </c>
      <c r="E227" s="25">
        <v>1</v>
      </c>
      <c r="F227" s="25">
        <v>0</v>
      </c>
      <c r="G227" s="25">
        <v>6505.38</v>
      </c>
      <c r="H227" s="25">
        <v>0</v>
      </c>
      <c r="I227" s="40">
        <v>0</v>
      </c>
      <c r="J227" s="37">
        <v>0</v>
      </c>
      <c r="K227" s="37">
        <v>0</v>
      </c>
      <c r="L227" s="37">
        <v>0</v>
      </c>
      <c r="M227" s="22">
        <v>0</v>
      </c>
      <c r="N227" s="22">
        <v>0</v>
      </c>
      <c r="O227" s="22">
        <v>1</v>
      </c>
      <c r="P227" s="22">
        <v>6505.38</v>
      </c>
      <c r="Q227" s="29">
        <v>68.575999999999993</v>
      </c>
      <c r="R227" s="8"/>
      <c r="S227" s="8"/>
      <c r="T227" s="8"/>
      <c r="U227" s="8"/>
      <c r="V227" s="30">
        <f t="shared" si="87"/>
        <v>0</v>
      </c>
      <c r="W227" s="30">
        <f t="shared" si="88"/>
        <v>0</v>
      </c>
      <c r="X227" s="30">
        <f t="shared" si="89"/>
        <v>0</v>
      </c>
      <c r="Y227" s="30">
        <f t="shared" si="90"/>
        <v>0</v>
      </c>
      <c r="Z227" s="30">
        <f t="shared" si="95"/>
        <v>0</v>
      </c>
      <c r="AA227" s="30">
        <f t="shared" si="96"/>
        <v>0</v>
      </c>
      <c r="AB227" s="30">
        <v>0</v>
      </c>
      <c r="AC227" s="30">
        <v>0</v>
      </c>
      <c r="AD227" s="8">
        <v>0</v>
      </c>
      <c r="AE227" s="8">
        <v>0</v>
      </c>
      <c r="AF227" s="8">
        <v>0</v>
      </c>
      <c r="AG227" s="8">
        <v>0</v>
      </c>
      <c r="AH227" s="23">
        <f t="shared" si="91"/>
        <v>0</v>
      </c>
      <c r="AI227" s="23">
        <f t="shared" si="92"/>
        <v>0</v>
      </c>
      <c r="AJ227" s="23">
        <f t="shared" si="93"/>
        <v>0</v>
      </c>
      <c r="AK227" s="23">
        <f t="shared" si="94"/>
        <v>0</v>
      </c>
      <c r="AL227" s="8">
        <v>0</v>
      </c>
      <c r="AM227" s="8">
        <v>0</v>
      </c>
      <c r="AN227" s="8">
        <v>0</v>
      </c>
      <c r="AO227" s="8">
        <v>0</v>
      </c>
      <c r="AP227" s="26">
        <v>0</v>
      </c>
      <c r="AQ227" s="13"/>
      <c r="AR227" s="14"/>
      <c r="AS227" s="13"/>
      <c r="AT227" s="13"/>
      <c r="AU227" s="13"/>
      <c r="AV227" s="13"/>
      <c r="AW227" s="13"/>
      <c r="AX227" s="13"/>
    </row>
    <row r="228" spans="2:50">
      <c r="B228" s="12">
        <v>11346</v>
      </c>
      <c r="C228" s="11" t="s">
        <v>18</v>
      </c>
      <c r="D228" s="11" t="s">
        <v>160</v>
      </c>
      <c r="E228" s="25">
        <v>2</v>
      </c>
      <c r="F228" s="25">
        <v>1</v>
      </c>
      <c r="G228" s="25">
        <v>96404</v>
      </c>
      <c r="H228" s="25">
        <v>550</v>
      </c>
      <c r="I228" s="39">
        <v>0</v>
      </c>
      <c r="J228" s="22">
        <v>0</v>
      </c>
      <c r="K228" s="22">
        <v>0</v>
      </c>
      <c r="L228" s="22">
        <v>0</v>
      </c>
      <c r="M228" s="22">
        <v>1</v>
      </c>
      <c r="N228" s="22">
        <v>550</v>
      </c>
      <c r="O228" s="22">
        <v>2</v>
      </c>
      <c r="P228" s="22">
        <v>96404</v>
      </c>
      <c r="Q228" s="29">
        <v>8551.7960000000003</v>
      </c>
      <c r="R228" s="8">
        <v>5</v>
      </c>
      <c r="S228" s="8"/>
      <c r="T228" s="8">
        <v>8500.1699999999983</v>
      </c>
      <c r="U228" s="8"/>
      <c r="V228" s="30">
        <f t="shared" si="87"/>
        <v>0</v>
      </c>
      <c r="W228" s="30">
        <f t="shared" si="88"/>
        <v>0</v>
      </c>
      <c r="X228" s="30">
        <f t="shared" si="89"/>
        <v>5</v>
      </c>
      <c r="Y228" s="30">
        <f t="shared" si="90"/>
        <v>8500.1699999999983</v>
      </c>
      <c r="Z228" s="30">
        <f t="shared" si="95"/>
        <v>0</v>
      </c>
      <c r="AA228" s="30">
        <f t="shared" si="96"/>
        <v>0</v>
      </c>
      <c r="AB228" s="30">
        <v>6.666666666666667</v>
      </c>
      <c r="AC228" s="30">
        <v>11333.559999999998</v>
      </c>
      <c r="AD228" s="8">
        <v>0</v>
      </c>
      <c r="AE228" s="8">
        <v>2</v>
      </c>
      <c r="AF228" s="8">
        <v>0</v>
      </c>
      <c r="AG228" s="8">
        <v>6200</v>
      </c>
      <c r="AH228" s="23">
        <f t="shared" si="91"/>
        <v>2</v>
      </c>
      <c r="AI228" s="23">
        <f t="shared" si="92"/>
        <v>6200</v>
      </c>
      <c r="AJ228" s="23">
        <f t="shared" si="93"/>
        <v>0</v>
      </c>
      <c r="AK228" s="23">
        <f t="shared" si="94"/>
        <v>0</v>
      </c>
      <c r="AL228" s="8">
        <v>2</v>
      </c>
      <c r="AM228" s="8">
        <v>6200</v>
      </c>
      <c r="AN228" s="8">
        <v>0</v>
      </c>
      <c r="AO228" s="8">
        <v>0</v>
      </c>
      <c r="AP228" s="26">
        <v>362.01066999999995</v>
      </c>
      <c r="AQ228" s="13"/>
      <c r="AR228" s="14"/>
      <c r="AS228" s="13"/>
      <c r="AT228" s="13"/>
      <c r="AU228" s="13"/>
      <c r="AV228" s="13"/>
      <c r="AW228" s="13"/>
      <c r="AX228" s="13"/>
    </row>
    <row r="229" spans="2:50">
      <c r="B229" s="12">
        <v>11485</v>
      </c>
      <c r="C229" s="11" t="s">
        <v>18</v>
      </c>
      <c r="D229" s="11" t="s">
        <v>160</v>
      </c>
      <c r="E229" s="25">
        <v>8</v>
      </c>
      <c r="F229" s="25">
        <v>0</v>
      </c>
      <c r="G229" s="25">
        <v>87741</v>
      </c>
      <c r="H229" s="25">
        <v>0</v>
      </c>
      <c r="I229" s="40">
        <v>0</v>
      </c>
      <c r="J229" s="37">
        <v>0</v>
      </c>
      <c r="K229" s="37">
        <v>0</v>
      </c>
      <c r="L229" s="37">
        <v>0</v>
      </c>
      <c r="M229" s="22">
        <v>0</v>
      </c>
      <c r="N229" s="22">
        <v>0</v>
      </c>
      <c r="O229" s="22">
        <v>8</v>
      </c>
      <c r="P229" s="22">
        <v>87741</v>
      </c>
      <c r="Q229" s="29">
        <v>33.726419999999997</v>
      </c>
      <c r="R229" s="8">
        <v>5</v>
      </c>
      <c r="S229" s="8">
        <f>+VLOOKUP(B229,[1]Лист2!$A$4:$B$188,2,0)</f>
        <v>2</v>
      </c>
      <c r="T229" s="8">
        <v>78505.7</v>
      </c>
      <c r="U229" s="8">
        <f>+VLOOKUP(B229,[1]Лист2!$A$4:$C$188,3,0)</f>
        <v>5000</v>
      </c>
      <c r="V229" s="30">
        <f t="shared" si="87"/>
        <v>2</v>
      </c>
      <c r="W229" s="30">
        <f t="shared" si="88"/>
        <v>5000</v>
      </c>
      <c r="X229" s="30">
        <f t="shared" si="89"/>
        <v>5</v>
      </c>
      <c r="Y229" s="30">
        <f t="shared" si="90"/>
        <v>78505.7</v>
      </c>
      <c r="Z229" s="30">
        <f t="shared" si="95"/>
        <v>2.6666666666666665</v>
      </c>
      <c r="AA229" s="30">
        <f t="shared" si="96"/>
        <v>6666.666666666667</v>
      </c>
      <c r="AB229" s="30">
        <v>6.666666666666667</v>
      </c>
      <c r="AC229" s="30">
        <v>104674.26666666666</v>
      </c>
      <c r="AD229" s="8">
        <v>0</v>
      </c>
      <c r="AE229" s="8">
        <v>1</v>
      </c>
      <c r="AF229" s="8">
        <v>0</v>
      </c>
      <c r="AG229" s="8">
        <v>1000</v>
      </c>
      <c r="AH229" s="23">
        <f t="shared" si="91"/>
        <v>1</v>
      </c>
      <c r="AI229" s="23">
        <f t="shared" si="92"/>
        <v>1000</v>
      </c>
      <c r="AJ229" s="23">
        <f t="shared" si="93"/>
        <v>0</v>
      </c>
      <c r="AK229" s="23">
        <f t="shared" si="94"/>
        <v>0</v>
      </c>
      <c r="AL229" s="8">
        <v>1</v>
      </c>
      <c r="AM229" s="8">
        <v>1000</v>
      </c>
      <c r="AN229" s="8">
        <v>0</v>
      </c>
      <c r="AO229" s="8">
        <v>0</v>
      </c>
      <c r="AP229" s="26">
        <v>37.906419999999997</v>
      </c>
      <c r="AQ229" s="13"/>
      <c r="AR229" s="14"/>
      <c r="AS229" s="13"/>
      <c r="AT229" s="13"/>
      <c r="AU229" s="13"/>
      <c r="AV229" s="13"/>
      <c r="AW229" s="13"/>
      <c r="AX229" s="13"/>
    </row>
    <row r="230" spans="2:50">
      <c r="B230" s="12">
        <v>11486</v>
      </c>
      <c r="C230" s="11" t="s">
        <v>18</v>
      </c>
      <c r="D230" s="11" t="s">
        <v>160</v>
      </c>
      <c r="E230" s="25">
        <v>1</v>
      </c>
      <c r="F230" s="25">
        <v>0</v>
      </c>
      <c r="G230" s="25">
        <v>21000</v>
      </c>
      <c r="H230" s="25">
        <v>0</v>
      </c>
      <c r="I230" s="40">
        <v>0</v>
      </c>
      <c r="J230" s="37">
        <v>0</v>
      </c>
      <c r="K230" s="37">
        <v>0</v>
      </c>
      <c r="L230" s="37">
        <v>0</v>
      </c>
      <c r="M230" s="22">
        <v>0</v>
      </c>
      <c r="N230" s="22">
        <v>0</v>
      </c>
      <c r="O230" s="22">
        <v>1</v>
      </c>
      <c r="P230" s="22">
        <v>21000</v>
      </c>
      <c r="Q230" s="29">
        <v>0</v>
      </c>
      <c r="R230" s="8"/>
      <c r="S230" s="8"/>
      <c r="T230" s="8"/>
      <c r="U230" s="8"/>
      <c r="V230" s="30">
        <f t="shared" si="87"/>
        <v>0</v>
      </c>
      <c r="W230" s="30">
        <f t="shared" si="88"/>
        <v>0</v>
      </c>
      <c r="X230" s="30">
        <f t="shared" si="89"/>
        <v>0</v>
      </c>
      <c r="Y230" s="30">
        <f t="shared" si="90"/>
        <v>0</v>
      </c>
      <c r="Z230" s="30">
        <f t="shared" si="95"/>
        <v>0</v>
      </c>
      <c r="AA230" s="30">
        <f t="shared" si="96"/>
        <v>0</v>
      </c>
      <c r="AB230" s="30">
        <v>0</v>
      </c>
      <c r="AC230" s="30">
        <v>0</v>
      </c>
      <c r="AD230" s="8">
        <v>1</v>
      </c>
      <c r="AE230" s="8">
        <v>0</v>
      </c>
      <c r="AF230" s="8">
        <v>25738</v>
      </c>
      <c r="AG230" s="8">
        <v>0</v>
      </c>
      <c r="AH230" s="23">
        <f t="shared" si="91"/>
        <v>0</v>
      </c>
      <c r="AI230" s="23">
        <f t="shared" si="92"/>
        <v>0</v>
      </c>
      <c r="AJ230" s="23">
        <f t="shared" si="93"/>
        <v>1</v>
      </c>
      <c r="AK230" s="23">
        <f t="shared" si="94"/>
        <v>25738</v>
      </c>
      <c r="AL230" s="8">
        <v>0</v>
      </c>
      <c r="AM230" s="8">
        <v>0</v>
      </c>
      <c r="AN230" s="8">
        <v>1</v>
      </c>
      <c r="AO230" s="8">
        <v>25738</v>
      </c>
      <c r="AP230" s="26">
        <v>0</v>
      </c>
      <c r="AQ230" s="13"/>
      <c r="AR230" s="14"/>
      <c r="AS230" s="13"/>
      <c r="AT230" s="13"/>
      <c r="AU230" s="13"/>
      <c r="AV230" s="13"/>
      <c r="AW230" s="13"/>
      <c r="AX230" s="13"/>
    </row>
    <row r="231" spans="2:50">
      <c r="B231" s="12">
        <v>11673</v>
      </c>
      <c r="C231" s="11" t="s">
        <v>18</v>
      </c>
      <c r="D231" s="11" t="s">
        <v>160</v>
      </c>
      <c r="E231" s="25">
        <v>30</v>
      </c>
      <c r="F231" s="25">
        <v>4</v>
      </c>
      <c r="G231" s="25">
        <v>912499.04000000015</v>
      </c>
      <c r="H231" s="25">
        <v>107438.23999999999</v>
      </c>
      <c r="I231" s="39">
        <v>0</v>
      </c>
      <c r="J231" s="22">
        <v>0</v>
      </c>
      <c r="K231" s="22">
        <v>0</v>
      </c>
      <c r="L231" s="22">
        <v>0</v>
      </c>
      <c r="M231" s="22">
        <v>4</v>
      </c>
      <c r="N231" s="22">
        <v>107438.23999999999</v>
      </c>
      <c r="O231" s="22">
        <v>30</v>
      </c>
      <c r="P231" s="22">
        <v>912499.04000000015</v>
      </c>
      <c r="Q231" s="29">
        <v>6384.8228900000013</v>
      </c>
      <c r="R231" s="8">
        <v>49</v>
      </c>
      <c r="S231" s="8">
        <f>+VLOOKUP(B231,[1]Лист2!$A$4:$B$188,2,0)</f>
        <v>35</v>
      </c>
      <c r="T231" s="8">
        <v>1402641.7599999998</v>
      </c>
      <c r="U231" s="8">
        <f>+VLOOKUP(B231,[1]Лист2!$A$4:$C$188,3,0)</f>
        <v>359499.87</v>
      </c>
      <c r="V231" s="30">
        <f t="shared" si="87"/>
        <v>35</v>
      </c>
      <c r="W231" s="30">
        <f t="shared" si="88"/>
        <v>359499.87</v>
      </c>
      <c r="X231" s="30">
        <f t="shared" si="89"/>
        <v>49</v>
      </c>
      <c r="Y231" s="30">
        <f t="shared" si="90"/>
        <v>1402641.7599999998</v>
      </c>
      <c r="Z231" s="30">
        <f t="shared" si="95"/>
        <v>46.666666666666664</v>
      </c>
      <c r="AA231" s="30">
        <f t="shared" si="96"/>
        <v>479333.16</v>
      </c>
      <c r="AB231" s="30">
        <v>65.333333333333329</v>
      </c>
      <c r="AC231" s="30">
        <v>1870189.013333333</v>
      </c>
      <c r="AD231" s="8">
        <v>46</v>
      </c>
      <c r="AE231" s="8">
        <v>22</v>
      </c>
      <c r="AF231" s="8">
        <v>934936.34999999986</v>
      </c>
      <c r="AG231" s="8">
        <v>231555.64</v>
      </c>
      <c r="AH231" s="23">
        <f t="shared" si="91"/>
        <v>22</v>
      </c>
      <c r="AI231" s="23">
        <f t="shared" si="92"/>
        <v>231555.64</v>
      </c>
      <c r="AJ231" s="23">
        <f t="shared" si="93"/>
        <v>46</v>
      </c>
      <c r="AK231" s="23">
        <f t="shared" si="94"/>
        <v>934936.34999999986</v>
      </c>
      <c r="AL231" s="8">
        <v>22</v>
      </c>
      <c r="AM231" s="8">
        <v>231555.64</v>
      </c>
      <c r="AN231" s="8">
        <v>46</v>
      </c>
      <c r="AO231" s="8">
        <v>934936.34999999986</v>
      </c>
      <c r="AP231" s="26">
        <v>6041.3134200000013</v>
      </c>
      <c r="AQ231" s="13"/>
      <c r="AR231" s="14"/>
      <c r="AS231" s="13"/>
      <c r="AT231" s="13"/>
      <c r="AU231" s="13"/>
      <c r="AV231" s="13"/>
      <c r="AW231" s="13"/>
      <c r="AX231" s="13"/>
    </row>
    <row r="232" spans="2:50">
      <c r="B232" s="12">
        <v>12022</v>
      </c>
      <c r="C232" s="11" t="s">
        <v>18</v>
      </c>
      <c r="D232" s="11" t="s">
        <v>160</v>
      </c>
      <c r="E232" s="25">
        <v>1</v>
      </c>
      <c r="F232" s="25">
        <v>0</v>
      </c>
      <c r="G232" s="25">
        <v>36500</v>
      </c>
      <c r="H232" s="25">
        <v>0</v>
      </c>
      <c r="I232" s="40">
        <v>0</v>
      </c>
      <c r="J232" s="37">
        <v>0</v>
      </c>
      <c r="K232" s="37">
        <v>0</v>
      </c>
      <c r="L232" s="37">
        <v>0</v>
      </c>
      <c r="M232" s="22">
        <v>0</v>
      </c>
      <c r="N232" s="22">
        <v>0</v>
      </c>
      <c r="O232" s="22">
        <v>1</v>
      </c>
      <c r="P232" s="22">
        <v>36500</v>
      </c>
      <c r="Q232" s="29">
        <v>0</v>
      </c>
      <c r="R232" s="8"/>
      <c r="S232" s="8"/>
      <c r="T232" s="8"/>
      <c r="U232" s="8"/>
      <c r="V232" s="30">
        <f t="shared" si="87"/>
        <v>0</v>
      </c>
      <c r="W232" s="30">
        <f t="shared" si="88"/>
        <v>0</v>
      </c>
      <c r="X232" s="30">
        <f t="shared" si="89"/>
        <v>0</v>
      </c>
      <c r="Y232" s="30">
        <f t="shared" si="90"/>
        <v>0</v>
      </c>
      <c r="Z232" s="30">
        <f t="shared" si="95"/>
        <v>0</v>
      </c>
      <c r="AA232" s="30">
        <f t="shared" si="96"/>
        <v>0</v>
      </c>
      <c r="AB232" s="30">
        <v>0</v>
      </c>
      <c r="AC232" s="30">
        <v>0</v>
      </c>
      <c r="AD232" s="8">
        <v>0</v>
      </c>
      <c r="AE232" s="8">
        <v>0</v>
      </c>
      <c r="AF232" s="8">
        <v>0</v>
      </c>
      <c r="AG232" s="8">
        <v>0</v>
      </c>
      <c r="AH232" s="23">
        <f t="shared" si="91"/>
        <v>0</v>
      </c>
      <c r="AI232" s="23">
        <f t="shared" si="92"/>
        <v>0</v>
      </c>
      <c r="AJ232" s="23">
        <f t="shared" si="93"/>
        <v>0</v>
      </c>
      <c r="AK232" s="23">
        <f t="shared" si="94"/>
        <v>0</v>
      </c>
      <c r="AL232" s="8">
        <v>0</v>
      </c>
      <c r="AM232" s="8">
        <v>0</v>
      </c>
      <c r="AN232" s="8">
        <v>0</v>
      </c>
      <c r="AO232" s="8">
        <v>0</v>
      </c>
      <c r="AP232" s="26">
        <v>0</v>
      </c>
      <c r="AQ232" s="13"/>
      <c r="AR232" s="14"/>
      <c r="AS232" s="13"/>
      <c r="AT232" s="13"/>
      <c r="AU232" s="13"/>
      <c r="AV232" s="13"/>
      <c r="AW232" s="13"/>
      <c r="AX232" s="13"/>
    </row>
    <row r="233" spans="2:50">
      <c r="B233" s="12">
        <v>1198</v>
      </c>
      <c r="C233" s="11" t="s">
        <v>39</v>
      </c>
      <c r="D233" s="11" t="s">
        <v>161</v>
      </c>
      <c r="E233" s="25">
        <v>108</v>
      </c>
      <c r="F233" s="25">
        <v>126</v>
      </c>
      <c r="G233" s="25">
        <v>3592998.7899999991</v>
      </c>
      <c r="H233" s="25">
        <v>4081500.1800000011</v>
      </c>
      <c r="I233" s="39">
        <v>0</v>
      </c>
      <c r="J233" s="22">
        <v>0</v>
      </c>
      <c r="K233" s="22">
        <v>0</v>
      </c>
      <c r="L233" s="22">
        <v>0</v>
      </c>
      <c r="M233" s="22">
        <v>126</v>
      </c>
      <c r="N233" s="22">
        <v>4081500.1800000011</v>
      </c>
      <c r="O233" s="22">
        <v>108</v>
      </c>
      <c r="P233" s="22">
        <v>3592998.7899999991</v>
      </c>
      <c r="Q233" s="29">
        <v>4.9891899999999998</v>
      </c>
      <c r="R233" s="8">
        <v>204</v>
      </c>
      <c r="S233" s="8">
        <f>+VLOOKUP(B233,[1]Лист2!$A$4:$B$188,2,0)</f>
        <v>172</v>
      </c>
      <c r="T233" s="8">
        <v>9388704.0999999978</v>
      </c>
      <c r="U233" s="8">
        <f>+VLOOKUP(B233,[1]Лист2!$A$4:$C$188,3,0)</f>
        <v>18908895.629999999</v>
      </c>
      <c r="V233" s="30">
        <f t="shared" si="87"/>
        <v>172</v>
      </c>
      <c r="W233" s="30">
        <f t="shared" si="88"/>
        <v>18908895.629999999</v>
      </c>
      <c r="X233" s="30">
        <f t="shared" si="89"/>
        <v>204</v>
      </c>
      <c r="Y233" s="30">
        <f t="shared" si="90"/>
        <v>9388704.0999999978</v>
      </c>
      <c r="Z233" s="30">
        <f t="shared" si="95"/>
        <v>229.33333333333334</v>
      </c>
      <c r="AA233" s="30">
        <f t="shared" si="96"/>
        <v>25211860.84</v>
      </c>
      <c r="AB233" s="30">
        <v>272</v>
      </c>
      <c r="AC233" s="30">
        <v>12518272.133333331</v>
      </c>
      <c r="AD233" s="8">
        <v>28</v>
      </c>
      <c r="AE233" s="8">
        <v>14</v>
      </c>
      <c r="AF233" s="8">
        <v>1002412.02</v>
      </c>
      <c r="AG233" s="8">
        <v>1057431.18</v>
      </c>
      <c r="AH233" s="23">
        <f t="shared" si="91"/>
        <v>14</v>
      </c>
      <c r="AI233" s="23">
        <f t="shared" si="92"/>
        <v>1057431.18</v>
      </c>
      <c r="AJ233" s="23">
        <f t="shared" si="93"/>
        <v>28</v>
      </c>
      <c r="AK233" s="23">
        <f t="shared" si="94"/>
        <v>1002412.02</v>
      </c>
      <c r="AL233" s="8">
        <v>14</v>
      </c>
      <c r="AM233" s="8">
        <v>1057431.18</v>
      </c>
      <c r="AN233" s="8">
        <v>28</v>
      </c>
      <c r="AO233" s="8">
        <v>1002412.02</v>
      </c>
      <c r="AP233" s="26">
        <v>150.98148</v>
      </c>
      <c r="AQ233" s="13"/>
      <c r="AR233" s="14"/>
      <c r="AS233" s="13"/>
      <c r="AT233" s="13"/>
      <c r="AU233" s="13"/>
      <c r="AV233" s="13"/>
      <c r="AW233" s="13"/>
      <c r="AX233" s="13"/>
    </row>
    <row r="234" spans="2:50">
      <c r="B234" s="12">
        <v>10489</v>
      </c>
      <c r="C234" s="11" t="s">
        <v>20</v>
      </c>
      <c r="D234" s="11" t="s">
        <v>162</v>
      </c>
      <c r="E234" s="25">
        <v>1</v>
      </c>
      <c r="F234" s="25">
        <v>6</v>
      </c>
      <c r="G234" s="25">
        <v>47511.360000000001</v>
      </c>
      <c r="H234" s="25">
        <v>15159.75</v>
      </c>
      <c r="I234" s="39">
        <v>0</v>
      </c>
      <c r="J234" s="22">
        <v>0</v>
      </c>
      <c r="K234" s="22">
        <v>0</v>
      </c>
      <c r="L234" s="22">
        <v>0</v>
      </c>
      <c r="M234" s="22">
        <v>6</v>
      </c>
      <c r="N234" s="22">
        <v>15159.75</v>
      </c>
      <c r="O234" s="22">
        <v>1</v>
      </c>
      <c r="P234" s="22">
        <v>47511.360000000001</v>
      </c>
      <c r="Q234" s="29">
        <v>92.959869999999995</v>
      </c>
      <c r="R234" s="8">
        <v>27</v>
      </c>
      <c r="S234" s="8">
        <f>+VLOOKUP(B234,[1]Лист2!$A$4:$B$188,2,0)</f>
        <v>9</v>
      </c>
      <c r="T234" s="8">
        <v>1943914.0899999999</v>
      </c>
      <c r="U234" s="8">
        <f>+VLOOKUP(B234,[1]Лист2!$A$4:$C$188,3,0)</f>
        <v>15850</v>
      </c>
      <c r="V234" s="30">
        <f t="shared" si="87"/>
        <v>9</v>
      </c>
      <c r="W234" s="30">
        <f t="shared" si="88"/>
        <v>15850</v>
      </c>
      <c r="X234" s="30">
        <f t="shared" si="89"/>
        <v>27</v>
      </c>
      <c r="Y234" s="30">
        <f t="shared" si="90"/>
        <v>1943914.0899999999</v>
      </c>
      <c r="Z234" s="30">
        <f t="shared" ref="Z234:Z245" si="97">((+S234)/3)*4</f>
        <v>12</v>
      </c>
      <c r="AA234" s="30">
        <f t="shared" ref="AA234:AA245" si="98">((+U234)/3)*4</f>
        <v>21133.333333333332</v>
      </c>
      <c r="AB234" s="30">
        <v>36</v>
      </c>
      <c r="AC234" s="30">
        <v>2591885.4533333331</v>
      </c>
      <c r="AD234" s="8">
        <v>12</v>
      </c>
      <c r="AE234" s="8">
        <v>19</v>
      </c>
      <c r="AF234" s="8">
        <v>247937.19</v>
      </c>
      <c r="AG234" s="8">
        <v>43850.33</v>
      </c>
      <c r="AH234" s="23">
        <f t="shared" si="91"/>
        <v>19</v>
      </c>
      <c r="AI234" s="23">
        <f t="shared" si="92"/>
        <v>43850.33</v>
      </c>
      <c r="AJ234" s="23">
        <f t="shared" si="93"/>
        <v>12</v>
      </c>
      <c r="AK234" s="23">
        <f t="shared" si="94"/>
        <v>247937.19</v>
      </c>
      <c r="AL234" s="8">
        <v>19</v>
      </c>
      <c r="AM234" s="8">
        <v>43850.33</v>
      </c>
      <c r="AN234" s="8">
        <v>12</v>
      </c>
      <c r="AO234" s="8">
        <v>247937.19</v>
      </c>
      <c r="AP234" s="26">
        <v>1.1000000000000001</v>
      </c>
      <c r="AQ234" s="13"/>
      <c r="AR234" s="14"/>
      <c r="AS234" s="13"/>
      <c r="AT234" s="13"/>
      <c r="AU234" s="13"/>
      <c r="AV234" s="13"/>
      <c r="AW234" s="13"/>
      <c r="AX234" s="13"/>
    </row>
    <row r="235" spans="2:50">
      <c r="B235" s="12">
        <v>11225</v>
      </c>
      <c r="C235" s="11" t="s">
        <v>20</v>
      </c>
      <c r="D235" s="11" t="s">
        <v>162</v>
      </c>
      <c r="E235" s="25">
        <v>1</v>
      </c>
      <c r="F235" s="25">
        <v>9</v>
      </c>
      <c r="G235" s="25">
        <v>1254</v>
      </c>
      <c r="H235" s="25">
        <v>736826.42999999993</v>
      </c>
      <c r="I235" s="39">
        <v>0</v>
      </c>
      <c r="J235" s="22">
        <v>0</v>
      </c>
      <c r="K235" s="22">
        <v>0</v>
      </c>
      <c r="L235" s="22">
        <v>0</v>
      </c>
      <c r="M235" s="22">
        <v>9</v>
      </c>
      <c r="N235" s="22">
        <v>736826.42999999993</v>
      </c>
      <c r="O235" s="22">
        <v>1</v>
      </c>
      <c r="P235" s="22">
        <v>1254</v>
      </c>
      <c r="Q235" s="29">
        <v>2153.4</v>
      </c>
      <c r="R235" s="8">
        <v>1</v>
      </c>
      <c r="S235" s="8">
        <f>+VLOOKUP(B235,[1]Лист2!$A$4:$B$188,2,0)</f>
        <v>6</v>
      </c>
      <c r="T235" s="8">
        <v>9500</v>
      </c>
      <c r="U235" s="8">
        <f>+VLOOKUP(B235,[1]Лист2!$A$4:$C$188,3,0)</f>
        <v>456549.32</v>
      </c>
      <c r="V235" s="30">
        <f t="shared" si="87"/>
        <v>6</v>
      </c>
      <c r="W235" s="30">
        <f t="shared" si="88"/>
        <v>456549.32</v>
      </c>
      <c r="X235" s="30">
        <f t="shared" si="89"/>
        <v>1</v>
      </c>
      <c r="Y235" s="30">
        <f t="shared" si="90"/>
        <v>9500</v>
      </c>
      <c r="Z235" s="30">
        <f t="shared" si="97"/>
        <v>8</v>
      </c>
      <c r="AA235" s="30">
        <f t="shared" si="98"/>
        <v>608732.42666666664</v>
      </c>
      <c r="AB235" s="30">
        <v>1.3333333333333333</v>
      </c>
      <c r="AC235" s="30">
        <v>12666.666666666666</v>
      </c>
      <c r="AD235" s="8">
        <v>1</v>
      </c>
      <c r="AE235" s="8">
        <v>5</v>
      </c>
      <c r="AF235" s="8">
        <v>4072.5</v>
      </c>
      <c r="AG235" s="8">
        <v>382462.95999999996</v>
      </c>
      <c r="AH235" s="23">
        <f t="shared" si="91"/>
        <v>5</v>
      </c>
      <c r="AI235" s="23">
        <f t="shared" si="92"/>
        <v>382462.95999999996</v>
      </c>
      <c r="AJ235" s="23">
        <f t="shared" si="93"/>
        <v>1</v>
      </c>
      <c r="AK235" s="23">
        <f t="shared" si="94"/>
        <v>4072.5</v>
      </c>
      <c r="AL235" s="8">
        <v>5</v>
      </c>
      <c r="AM235" s="8">
        <v>382462.95999999996</v>
      </c>
      <c r="AN235" s="8">
        <v>1</v>
      </c>
      <c r="AO235" s="8">
        <v>4072.5</v>
      </c>
      <c r="AP235" s="26">
        <v>7.83324</v>
      </c>
      <c r="AQ235" s="13"/>
      <c r="AR235" s="14"/>
      <c r="AS235" s="13"/>
      <c r="AT235" s="13"/>
      <c r="AU235" s="13"/>
      <c r="AV235" s="13"/>
      <c r="AW235" s="13"/>
      <c r="AX235" s="13"/>
    </row>
    <row r="236" spans="2:50">
      <c r="B236" s="12">
        <v>11463</v>
      </c>
      <c r="C236" s="11" t="s">
        <v>20</v>
      </c>
      <c r="D236" s="11" t="s">
        <v>162</v>
      </c>
      <c r="E236" s="25">
        <v>85</v>
      </c>
      <c r="F236" s="25">
        <v>32</v>
      </c>
      <c r="G236" s="25">
        <v>3290345.8199999994</v>
      </c>
      <c r="H236" s="25">
        <v>995156.37</v>
      </c>
      <c r="I236" s="39">
        <v>0</v>
      </c>
      <c r="J236" s="22">
        <v>0</v>
      </c>
      <c r="K236" s="22">
        <v>0</v>
      </c>
      <c r="L236" s="22">
        <v>0</v>
      </c>
      <c r="M236" s="22">
        <v>32</v>
      </c>
      <c r="N236" s="22">
        <v>995156.37</v>
      </c>
      <c r="O236" s="22">
        <v>85</v>
      </c>
      <c r="P236" s="22">
        <v>3290345.8199999994</v>
      </c>
      <c r="Q236" s="29">
        <v>382.59528000000006</v>
      </c>
      <c r="R236" s="8">
        <v>139</v>
      </c>
      <c r="S236" s="8">
        <f>+VLOOKUP(B236,[1]Лист2!$A$4:$B$188,2,0)</f>
        <v>19</v>
      </c>
      <c r="T236" s="8">
        <v>9400525.5399999991</v>
      </c>
      <c r="U236" s="8">
        <f>+VLOOKUP(B236,[1]Лист2!$A$4:$C$188,3,0)</f>
        <v>263057.42</v>
      </c>
      <c r="V236" s="30">
        <f t="shared" si="87"/>
        <v>19</v>
      </c>
      <c r="W236" s="30">
        <f t="shared" si="88"/>
        <v>263057.42</v>
      </c>
      <c r="X236" s="30">
        <f t="shared" si="89"/>
        <v>139</v>
      </c>
      <c r="Y236" s="30">
        <f t="shared" si="90"/>
        <v>9400525.5399999991</v>
      </c>
      <c r="Z236" s="30">
        <f t="shared" si="97"/>
        <v>25.333333333333332</v>
      </c>
      <c r="AA236" s="30">
        <f t="shared" si="98"/>
        <v>350743.22666666663</v>
      </c>
      <c r="AB236" s="30">
        <v>185.33333333333334</v>
      </c>
      <c r="AC236" s="30">
        <v>12534034.053333333</v>
      </c>
      <c r="AD236" s="8">
        <v>80</v>
      </c>
      <c r="AE236" s="8">
        <v>24</v>
      </c>
      <c r="AF236" s="8">
        <v>3279760.55</v>
      </c>
      <c r="AG236" s="8">
        <v>252317.13999999998</v>
      </c>
      <c r="AH236" s="23">
        <f t="shared" si="91"/>
        <v>24</v>
      </c>
      <c r="AI236" s="23">
        <f t="shared" si="92"/>
        <v>252317.13999999998</v>
      </c>
      <c r="AJ236" s="23">
        <f t="shared" si="93"/>
        <v>80</v>
      </c>
      <c r="AK236" s="23">
        <f t="shared" si="94"/>
        <v>3279760.55</v>
      </c>
      <c r="AL236" s="8">
        <v>24</v>
      </c>
      <c r="AM236" s="8">
        <v>252317.13999999998</v>
      </c>
      <c r="AN236" s="8">
        <v>80</v>
      </c>
      <c r="AO236" s="8">
        <v>3279760.55</v>
      </c>
      <c r="AP236" s="26">
        <v>2781.7509100000007</v>
      </c>
      <c r="AQ236" s="13"/>
      <c r="AR236" s="14"/>
      <c r="AS236" s="13"/>
      <c r="AT236" s="13"/>
      <c r="AU236" s="13"/>
      <c r="AV236" s="13"/>
      <c r="AW236" s="13"/>
      <c r="AX236" s="13"/>
    </row>
    <row r="237" spans="2:50">
      <c r="B237" s="12">
        <v>11464</v>
      </c>
      <c r="C237" s="11" t="s">
        <v>20</v>
      </c>
      <c r="D237" s="11" t="s">
        <v>162</v>
      </c>
      <c r="E237" s="25">
        <v>5</v>
      </c>
      <c r="F237" s="25">
        <v>18</v>
      </c>
      <c r="G237" s="25">
        <v>99287.039999999994</v>
      </c>
      <c r="H237" s="25">
        <v>1016274.56</v>
      </c>
      <c r="I237" s="39">
        <v>0</v>
      </c>
      <c r="J237" s="22">
        <v>0</v>
      </c>
      <c r="K237" s="22">
        <v>0</v>
      </c>
      <c r="L237" s="22">
        <v>0</v>
      </c>
      <c r="M237" s="22">
        <v>18</v>
      </c>
      <c r="N237" s="22">
        <v>1016274.56</v>
      </c>
      <c r="O237" s="22">
        <v>5</v>
      </c>
      <c r="P237" s="22">
        <v>99287.039999999994</v>
      </c>
      <c r="Q237" s="29">
        <v>141.49469999999999</v>
      </c>
      <c r="R237" s="8">
        <v>12</v>
      </c>
      <c r="S237" s="8">
        <f>+VLOOKUP(B237,[1]Лист2!$A$4:$B$188,2,0)</f>
        <v>22</v>
      </c>
      <c r="T237" s="8">
        <v>592018</v>
      </c>
      <c r="U237" s="8">
        <f>+VLOOKUP(B237,[1]Лист2!$A$4:$C$188,3,0)</f>
        <v>1155364</v>
      </c>
      <c r="V237" s="30">
        <f t="shared" si="87"/>
        <v>22</v>
      </c>
      <c r="W237" s="30">
        <f t="shared" si="88"/>
        <v>1155364</v>
      </c>
      <c r="X237" s="30">
        <f t="shared" si="89"/>
        <v>12</v>
      </c>
      <c r="Y237" s="30">
        <f t="shared" si="90"/>
        <v>592018</v>
      </c>
      <c r="Z237" s="30">
        <f t="shared" si="97"/>
        <v>29.333333333333332</v>
      </c>
      <c r="AA237" s="30">
        <f t="shared" si="98"/>
        <v>1540485.3333333333</v>
      </c>
      <c r="AB237" s="30">
        <v>16</v>
      </c>
      <c r="AC237" s="30">
        <v>789357.33333333337</v>
      </c>
      <c r="AD237" s="8">
        <v>23</v>
      </c>
      <c r="AE237" s="8">
        <v>19</v>
      </c>
      <c r="AF237" s="8">
        <v>592366.69999999995</v>
      </c>
      <c r="AG237" s="8">
        <v>986626</v>
      </c>
      <c r="AH237" s="23">
        <f t="shared" si="91"/>
        <v>19</v>
      </c>
      <c r="AI237" s="23">
        <f t="shared" si="92"/>
        <v>986626</v>
      </c>
      <c r="AJ237" s="23">
        <f t="shared" si="93"/>
        <v>23</v>
      </c>
      <c r="AK237" s="23">
        <f t="shared" si="94"/>
        <v>592366.69999999995</v>
      </c>
      <c r="AL237" s="8">
        <v>19</v>
      </c>
      <c r="AM237" s="8">
        <v>986626</v>
      </c>
      <c r="AN237" s="8">
        <v>23</v>
      </c>
      <c r="AO237" s="8">
        <v>592366.69999999995</v>
      </c>
      <c r="AP237" s="26">
        <v>141.49469999999999</v>
      </c>
      <c r="AQ237" s="13"/>
      <c r="AR237" s="14"/>
      <c r="AS237" s="13"/>
      <c r="AT237" s="13"/>
      <c r="AU237" s="13"/>
      <c r="AV237" s="13"/>
      <c r="AW237" s="13"/>
      <c r="AX237" s="13"/>
    </row>
    <row r="238" spans="2:50">
      <c r="B238" s="12">
        <v>11465</v>
      </c>
      <c r="C238" s="11" t="s">
        <v>20</v>
      </c>
      <c r="D238" s="11" t="s">
        <v>162</v>
      </c>
      <c r="E238" s="25">
        <v>3</v>
      </c>
      <c r="F238" s="25">
        <v>3</v>
      </c>
      <c r="G238" s="25">
        <v>133311.15</v>
      </c>
      <c r="H238" s="25">
        <v>5740.38</v>
      </c>
      <c r="I238" s="39">
        <v>0</v>
      </c>
      <c r="J238" s="22">
        <v>0</v>
      </c>
      <c r="K238" s="22">
        <v>0</v>
      </c>
      <c r="L238" s="22">
        <v>0</v>
      </c>
      <c r="M238" s="22">
        <v>3</v>
      </c>
      <c r="N238" s="22">
        <v>5740.38</v>
      </c>
      <c r="O238" s="22">
        <v>3</v>
      </c>
      <c r="P238" s="22">
        <v>133311.15</v>
      </c>
      <c r="Q238" s="29">
        <v>387.54091</v>
      </c>
      <c r="R238" s="8">
        <v>17</v>
      </c>
      <c r="S238" s="8">
        <f>+VLOOKUP(B238,[1]Лист2!$A$4:$B$188,2,0)</f>
        <v>7</v>
      </c>
      <c r="T238" s="8">
        <v>432363.11</v>
      </c>
      <c r="U238" s="8">
        <f>+VLOOKUP(B238,[1]Лист2!$A$4:$C$188,3,0)</f>
        <v>4126.18</v>
      </c>
      <c r="V238" s="30">
        <f t="shared" si="87"/>
        <v>7</v>
      </c>
      <c r="W238" s="30">
        <f t="shared" si="88"/>
        <v>4126.18</v>
      </c>
      <c r="X238" s="30">
        <f t="shared" si="89"/>
        <v>17</v>
      </c>
      <c r="Y238" s="30">
        <f t="shared" si="90"/>
        <v>432363.11</v>
      </c>
      <c r="Z238" s="30">
        <f t="shared" si="97"/>
        <v>9.3333333333333339</v>
      </c>
      <c r="AA238" s="30">
        <f t="shared" si="98"/>
        <v>5501.5733333333337</v>
      </c>
      <c r="AB238" s="30">
        <v>22.666666666666668</v>
      </c>
      <c r="AC238" s="30">
        <v>576484.14666666661</v>
      </c>
      <c r="AD238" s="8">
        <v>14</v>
      </c>
      <c r="AE238" s="8">
        <v>10</v>
      </c>
      <c r="AF238" s="8">
        <v>272442.37</v>
      </c>
      <c r="AG238" s="8">
        <v>2158.4499999999998</v>
      </c>
      <c r="AH238" s="23">
        <f t="shared" si="91"/>
        <v>10</v>
      </c>
      <c r="AI238" s="23">
        <f t="shared" si="92"/>
        <v>2158.4499999999998</v>
      </c>
      <c r="AJ238" s="23">
        <f t="shared" si="93"/>
        <v>14</v>
      </c>
      <c r="AK238" s="23">
        <f t="shared" si="94"/>
        <v>272442.37</v>
      </c>
      <c r="AL238" s="8">
        <v>10</v>
      </c>
      <c r="AM238" s="8">
        <v>2158.4499999999998</v>
      </c>
      <c r="AN238" s="8">
        <v>14</v>
      </c>
      <c r="AO238" s="8">
        <v>272442.37</v>
      </c>
      <c r="AP238" s="26">
        <v>320.42339999999996</v>
      </c>
      <c r="AQ238" s="13"/>
      <c r="AR238" s="14"/>
      <c r="AS238" s="13"/>
      <c r="AT238" s="13"/>
      <c r="AU238" s="13"/>
      <c r="AV238" s="13"/>
      <c r="AW238" s="13"/>
      <c r="AX238" s="13"/>
    </row>
    <row r="239" spans="2:50">
      <c r="B239" s="12">
        <v>11466</v>
      </c>
      <c r="C239" s="11" t="s">
        <v>20</v>
      </c>
      <c r="D239" s="11" t="s">
        <v>162</v>
      </c>
      <c r="E239" s="25">
        <v>90</v>
      </c>
      <c r="F239" s="25">
        <v>59</v>
      </c>
      <c r="G239" s="25">
        <v>5772814.9599999981</v>
      </c>
      <c r="H239" s="25">
        <v>2468491.9000000004</v>
      </c>
      <c r="I239" s="39">
        <v>0</v>
      </c>
      <c r="J239" s="22">
        <v>0</v>
      </c>
      <c r="K239" s="22">
        <v>0</v>
      </c>
      <c r="L239" s="22">
        <v>0</v>
      </c>
      <c r="M239" s="22">
        <v>59</v>
      </c>
      <c r="N239" s="22">
        <v>2468491.9000000004</v>
      </c>
      <c r="O239" s="22">
        <v>90</v>
      </c>
      <c r="P239" s="22">
        <v>5772814.9599999981</v>
      </c>
      <c r="Q239" s="29">
        <v>7622.3668800000014</v>
      </c>
      <c r="R239" s="8">
        <v>126</v>
      </c>
      <c r="S239" s="8">
        <f>+VLOOKUP(B239,[1]Лист2!$A$4:$B$188,2,0)</f>
        <v>104</v>
      </c>
      <c r="T239" s="8">
        <v>4059933.0399999986</v>
      </c>
      <c r="U239" s="8">
        <f>+VLOOKUP(B239,[1]Лист2!$A$4:$C$188,3,0)</f>
        <v>5364775.330000001</v>
      </c>
      <c r="V239" s="30">
        <f t="shared" si="87"/>
        <v>104</v>
      </c>
      <c r="W239" s="30">
        <f t="shared" si="88"/>
        <v>5364775.330000001</v>
      </c>
      <c r="X239" s="30">
        <f t="shared" si="89"/>
        <v>126</v>
      </c>
      <c r="Y239" s="30">
        <f t="shared" si="90"/>
        <v>4059933.0399999986</v>
      </c>
      <c r="Z239" s="30">
        <f t="shared" si="97"/>
        <v>138.66666666666666</v>
      </c>
      <c r="AA239" s="30">
        <f t="shared" si="98"/>
        <v>7153033.7733333344</v>
      </c>
      <c r="AB239" s="30">
        <v>168</v>
      </c>
      <c r="AC239" s="30">
        <v>5413244.0533333318</v>
      </c>
      <c r="AD239" s="8">
        <v>120</v>
      </c>
      <c r="AE239" s="8">
        <v>108</v>
      </c>
      <c r="AF239" s="8">
        <v>7333639.9100000001</v>
      </c>
      <c r="AG239" s="8">
        <v>8532533.9900000002</v>
      </c>
      <c r="AH239" s="23">
        <f t="shared" si="91"/>
        <v>108</v>
      </c>
      <c r="AI239" s="23">
        <f t="shared" si="92"/>
        <v>8532533.9900000002</v>
      </c>
      <c r="AJ239" s="23">
        <f t="shared" si="93"/>
        <v>120</v>
      </c>
      <c r="AK239" s="23">
        <f t="shared" si="94"/>
        <v>7333639.9100000001</v>
      </c>
      <c r="AL239" s="8">
        <v>108</v>
      </c>
      <c r="AM239" s="8">
        <v>8532533.9900000002</v>
      </c>
      <c r="AN239" s="8">
        <v>120</v>
      </c>
      <c r="AO239" s="8">
        <v>7333639.9100000001</v>
      </c>
      <c r="AP239" s="26">
        <v>2249.3747299999995</v>
      </c>
      <c r="AQ239" s="13"/>
      <c r="AR239" s="14"/>
      <c r="AS239" s="13"/>
      <c r="AT239" s="13"/>
      <c r="AU239" s="13"/>
      <c r="AV239" s="13"/>
      <c r="AW239" s="13"/>
      <c r="AX239" s="13"/>
    </row>
    <row r="240" spans="2:50">
      <c r="B240" s="12">
        <v>11467</v>
      </c>
      <c r="C240" s="11" t="s">
        <v>20</v>
      </c>
      <c r="D240" s="11" t="s">
        <v>162</v>
      </c>
      <c r="E240" s="25">
        <v>49</v>
      </c>
      <c r="F240" s="25">
        <v>46</v>
      </c>
      <c r="G240" s="25">
        <v>1894540.3</v>
      </c>
      <c r="H240" s="25">
        <v>306583.20999999996</v>
      </c>
      <c r="I240" s="39">
        <v>0</v>
      </c>
      <c r="J240" s="22">
        <v>0</v>
      </c>
      <c r="K240" s="22">
        <v>0</v>
      </c>
      <c r="L240" s="22">
        <v>0</v>
      </c>
      <c r="M240" s="22">
        <v>46</v>
      </c>
      <c r="N240" s="22">
        <v>306583.20999999996</v>
      </c>
      <c r="O240" s="22">
        <v>49</v>
      </c>
      <c r="P240" s="22">
        <v>1894540.3</v>
      </c>
      <c r="Q240" s="29">
        <v>284.35514000000001</v>
      </c>
      <c r="R240" s="8">
        <v>69</v>
      </c>
      <c r="S240" s="8">
        <f>+VLOOKUP(B240,[1]Лист2!$A$4:$B$188,2,0)</f>
        <v>47</v>
      </c>
      <c r="T240" s="8">
        <v>3320604.3900000006</v>
      </c>
      <c r="U240" s="8">
        <f>+VLOOKUP(B240,[1]Лист2!$A$4:$C$188,3,0)</f>
        <v>364042.80000000005</v>
      </c>
      <c r="V240" s="30">
        <f t="shared" si="87"/>
        <v>47</v>
      </c>
      <c r="W240" s="30">
        <f t="shared" si="88"/>
        <v>364042.80000000005</v>
      </c>
      <c r="X240" s="30">
        <f t="shared" si="89"/>
        <v>69</v>
      </c>
      <c r="Y240" s="30">
        <f t="shared" si="90"/>
        <v>3320604.3900000006</v>
      </c>
      <c r="Z240" s="30">
        <f t="shared" si="97"/>
        <v>62.666666666666664</v>
      </c>
      <c r="AA240" s="30">
        <f t="shared" si="98"/>
        <v>485390.40000000008</v>
      </c>
      <c r="AB240" s="30">
        <v>92</v>
      </c>
      <c r="AC240" s="30">
        <v>4427472.5200000005</v>
      </c>
      <c r="AD240" s="8">
        <v>88</v>
      </c>
      <c r="AE240" s="8">
        <v>65</v>
      </c>
      <c r="AF240" s="8">
        <v>3833414.0500000003</v>
      </c>
      <c r="AG240" s="8">
        <v>396134.59</v>
      </c>
      <c r="AH240" s="23">
        <f t="shared" si="91"/>
        <v>65</v>
      </c>
      <c r="AI240" s="23">
        <f t="shared" si="92"/>
        <v>396134.59</v>
      </c>
      <c r="AJ240" s="23">
        <f t="shared" si="93"/>
        <v>88</v>
      </c>
      <c r="AK240" s="23">
        <f t="shared" si="94"/>
        <v>3833414.0500000003</v>
      </c>
      <c r="AL240" s="8">
        <v>65</v>
      </c>
      <c r="AM240" s="8">
        <v>396134.59</v>
      </c>
      <c r="AN240" s="8">
        <v>88</v>
      </c>
      <c r="AO240" s="8">
        <v>3833414.0500000003</v>
      </c>
      <c r="AP240" s="26">
        <v>232.44786999999999</v>
      </c>
      <c r="AQ240" s="13"/>
      <c r="AR240" s="14"/>
      <c r="AS240" s="13"/>
      <c r="AT240" s="13"/>
      <c r="AU240" s="13"/>
      <c r="AV240" s="13"/>
      <c r="AW240" s="13"/>
      <c r="AX240" s="13"/>
    </row>
    <row r="241" spans="1:50">
      <c r="B241" s="12">
        <v>11468</v>
      </c>
      <c r="C241" s="11" t="s">
        <v>20</v>
      </c>
      <c r="D241" s="11" t="s">
        <v>162</v>
      </c>
      <c r="E241" s="25">
        <v>98</v>
      </c>
      <c r="F241" s="25">
        <v>27</v>
      </c>
      <c r="G241" s="25">
        <v>2973403.939999999</v>
      </c>
      <c r="H241" s="25">
        <v>758991.5199999999</v>
      </c>
      <c r="I241" s="39">
        <v>0</v>
      </c>
      <c r="J241" s="22">
        <v>0</v>
      </c>
      <c r="K241" s="22">
        <v>0</v>
      </c>
      <c r="L241" s="22">
        <v>0</v>
      </c>
      <c r="M241" s="22">
        <v>27</v>
      </c>
      <c r="N241" s="22">
        <v>758991.5199999999</v>
      </c>
      <c r="O241" s="22">
        <v>98</v>
      </c>
      <c r="P241" s="22">
        <v>2973403.939999999</v>
      </c>
      <c r="Q241" s="29">
        <v>548.22143000000017</v>
      </c>
      <c r="R241" s="8">
        <v>104</v>
      </c>
      <c r="S241" s="8">
        <f>+VLOOKUP(B241,[1]Лист2!$A$4:$B$188,2,0)</f>
        <v>30</v>
      </c>
      <c r="T241" s="8">
        <v>4031754.7600000002</v>
      </c>
      <c r="U241" s="8">
        <f>+VLOOKUP(B241,[1]Лист2!$A$4:$C$188,3,0)</f>
        <v>728770.77999999991</v>
      </c>
      <c r="V241" s="30">
        <f t="shared" si="87"/>
        <v>30</v>
      </c>
      <c r="W241" s="30">
        <f t="shared" si="88"/>
        <v>728770.77999999991</v>
      </c>
      <c r="X241" s="30">
        <f t="shared" si="89"/>
        <v>104</v>
      </c>
      <c r="Y241" s="30">
        <f t="shared" si="90"/>
        <v>4031754.7600000002</v>
      </c>
      <c r="Z241" s="30">
        <f t="shared" si="97"/>
        <v>40</v>
      </c>
      <c r="AA241" s="30">
        <f t="shared" si="98"/>
        <v>971694.37333333318</v>
      </c>
      <c r="AB241" s="30">
        <v>138.66666666666666</v>
      </c>
      <c r="AC241" s="30">
        <v>5375673.0133333337</v>
      </c>
      <c r="AD241" s="8">
        <v>91</v>
      </c>
      <c r="AE241" s="8">
        <v>22</v>
      </c>
      <c r="AF241" s="8">
        <v>2539432.9000000004</v>
      </c>
      <c r="AG241" s="8">
        <v>843888.27999999991</v>
      </c>
      <c r="AH241" s="23">
        <f t="shared" si="91"/>
        <v>22</v>
      </c>
      <c r="AI241" s="23">
        <f t="shared" si="92"/>
        <v>843888.27999999991</v>
      </c>
      <c r="AJ241" s="23">
        <f t="shared" si="93"/>
        <v>91</v>
      </c>
      <c r="AK241" s="23">
        <f t="shared" si="94"/>
        <v>2539432.9000000004</v>
      </c>
      <c r="AL241" s="8">
        <v>22</v>
      </c>
      <c r="AM241" s="8">
        <v>843888.27999999991</v>
      </c>
      <c r="AN241" s="8">
        <v>91</v>
      </c>
      <c r="AO241" s="8">
        <v>2539432.9000000004</v>
      </c>
      <c r="AP241" s="26">
        <v>867.77285999999992</v>
      </c>
      <c r="AQ241" s="13"/>
      <c r="AR241" s="14"/>
      <c r="AS241" s="13"/>
      <c r="AT241" s="13"/>
      <c r="AU241" s="13"/>
      <c r="AV241" s="13"/>
      <c r="AW241" s="13"/>
      <c r="AX241" s="13"/>
    </row>
    <row r="242" spans="1:50">
      <c r="B242" s="12">
        <v>11469</v>
      </c>
      <c r="C242" s="11" t="s">
        <v>20</v>
      </c>
      <c r="D242" s="11" t="s">
        <v>162</v>
      </c>
      <c r="E242" s="25">
        <v>27</v>
      </c>
      <c r="F242" s="25">
        <v>4</v>
      </c>
      <c r="G242" s="25">
        <v>1380581.4</v>
      </c>
      <c r="H242" s="25">
        <v>27383.32</v>
      </c>
      <c r="I242" s="39">
        <v>0</v>
      </c>
      <c r="J242" s="22">
        <v>0</v>
      </c>
      <c r="K242" s="22">
        <v>0</v>
      </c>
      <c r="L242" s="22">
        <v>0</v>
      </c>
      <c r="M242" s="22">
        <v>4</v>
      </c>
      <c r="N242" s="22">
        <v>27383.32</v>
      </c>
      <c r="O242" s="22">
        <v>27</v>
      </c>
      <c r="P242" s="22">
        <v>1380581.4</v>
      </c>
      <c r="Q242" s="29">
        <v>6892.4662699999999</v>
      </c>
      <c r="R242" s="8">
        <v>55</v>
      </c>
      <c r="S242" s="8">
        <f>+VLOOKUP(B242,[1]Лист2!$A$4:$B$188,2,0)</f>
        <v>6</v>
      </c>
      <c r="T242" s="8">
        <v>2542234.5000000005</v>
      </c>
      <c r="U242" s="8">
        <f>+VLOOKUP(B242,[1]Лист2!$A$4:$C$188,3,0)</f>
        <v>132050.48000000001</v>
      </c>
      <c r="V242" s="30">
        <f t="shared" si="87"/>
        <v>6</v>
      </c>
      <c r="W242" s="30">
        <f t="shared" si="88"/>
        <v>132050.48000000001</v>
      </c>
      <c r="X242" s="30">
        <f t="shared" si="89"/>
        <v>55</v>
      </c>
      <c r="Y242" s="30">
        <f t="shared" si="90"/>
        <v>2542234.5000000005</v>
      </c>
      <c r="Z242" s="30">
        <f t="shared" si="97"/>
        <v>8</v>
      </c>
      <c r="AA242" s="30">
        <f t="shared" si="98"/>
        <v>176067.30666666667</v>
      </c>
      <c r="AB242" s="30">
        <v>73.333333333333329</v>
      </c>
      <c r="AC242" s="30">
        <v>3389646.0000000005</v>
      </c>
      <c r="AD242" s="8">
        <v>48</v>
      </c>
      <c r="AE242" s="8">
        <v>5</v>
      </c>
      <c r="AF242" s="8">
        <v>3308990.3299999996</v>
      </c>
      <c r="AG242" s="8">
        <v>281261.84000000003</v>
      </c>
      <c r="AH242" s="23">
        <f t="shared" si="91"/>
        <v>5</v>
      </c>
      <c r="AI242" s="23">
        <f t="shared" si="92"/>
        <v>281261.84000000003</v>
      </c>
      <c r="AJ242" s="23">
        <f t="shared" si="93"/>
        <v>48</v>
      </c>
      <c r="AK242" s="23">
        <f t="shared" si="94"/>
        <v>3308990.3299999996</v>
      </c>
      <c r="AL242" s="8">
        <v>5</v>
      </c>
      <c r="AM242" s="8">
        <v>281261.84000000003</v>
      </c>
      <c r="AN242" s="8">
        <v>48</v>
      </c>
      <c r="AO242" s="8">
        <v>3308990.3299999996</v>
      </c>
      <c r="AP242" s="26">
        <v>1753.9647200000004</v>
      </c>
      <c r="AQ242" s="13"/>
      <c r="AR242" s="14"/>
      <c r="AS242" s="13"/>
      <c r="AT242" s="13"/>
      <c r="AU242" s="13"/>
      <c r="AV242" s="13"/>
      <c r="AW242" s="13"/>
      <c r="AX242" s="13"/>
    </row>
    <row r="243" spans="1:50">
      <c r="B243" s="12">
        <v>11470</v>
      </c>
      <c r="C243" s="11" t="s">
        <v>20</v>
      </c>
      <c r="D243" s="11" t="s">
        <v>162</v>
      </c>
      <c r="E243" s="25">
        <v>72</v>
      </c>
      <c r="F243" s="25">
        <v>5</v>
      </c>
      <c r="G243" s="25">
        <v>2904697.6299999994</v>
      </c>
      <c r="H243" s="25">
        <v>70184.399999999994</v>
      </c>
      <c r="I243" s="39">
        <v>0</v>
      </c>
      <c r="J243" s="22">
        <v>0</v>
      </c>
      <c r="K243" s="22">
        <v>0</v>
      </c>
      <c r="L243" s="22">
        <v>0</v>
      </c>
      <c r="M243" s="22">
        <v>5</v>
      </c>
      <c r="N243" s="22">
        <v>70184.399999999994</v>
      </c>
      <c r="O243" s="22">
        <v>72</v>
      </c>
      <c r="P243" s="22">
        <v>2904697.6299999994</v>
      </c>
      <c r="Q243" s="29">
        <v>135.08827999999997</v>
      </c>
      <c r="R243" s="8">
        <v>152</v>
      </c>
      <c r="S243" s="8">
        <f>+VLOOKUP(B243,[1]Лист2!$A$4:$B$188,2,0)</f>
        <v>6</v>
      </c>
      <c r="T243" s="8">
        <v>5235740.41</v>
      </c>
      <c r="U243" s="8">
        <f>+VLOOKUP(B243,[1]Лист2!$A$4:$C$188,3,0)</f>
        <v>147692.62</v>
      </c>
      <c r="V243" s="30">
        <f t="shared" si="87"/>
        <v>6</v>
      </c>
      <c r="W243" s="30">
        <f t="shared" si="88"/>
        <v>147692.62</v>
      </c>
      <c r="X243" s="30">
        <f t="shared" si="89"/>
        <v>152</v>
      </c>
      <c r="Y243" s="30">
        <f t="shared" si="90"/>
        <v>5235740.41</v>
      </c>
      <c r="Z243" s="30">
        <f t="shared" si="97"/>
        <v>8</v>
      </c>
      <c r="AA243" s="30">
        <f t="shared" si="98"/>
        <v>196923.49333333332</v>
      </c>
      <c r="AB243" s="30">
        <v>202.66666666666666</v>
      </c>
      <c r="AC243" s="30">
        <v>6980987.2133333338</v>
      </c>
      <c r="AD243" s="8">
        <v>69</v>
      </c>
      <c r="AE243" s="8">
        <v>3</v>
      </c>
      <c r="AF243" s="8">
        <v>5699578.0900000017</v>
      </c>
      <c r="AG243" s="8">
        <v>81454.5</v>
      </c>
      <c r="AH243" s="23">
        <f t="shared" si="91"/>
        <v>3</v>
      </c>
      <c r="AI243" s="23">
        <f t="shared" si="92"/>
        <v>81454.5</v>
      </c>
      <c r="AJ243" s="23">
        <f t="shared" si="93"/>
        <v>69</v>
      </c>
      <c r="AK243" s="23">
        <f t="shared" si="94"/>
        <v>5699578.0900000017</v>
      </c>
      <c r="AL243" s="8">
        <v>3</v>
      </c>
      <c r="AM243" s="8">
        <v>81454.5</v>
      </c>
      <c r="AN243" s="8">
        <v>69</v>
      </c>
      <c r="AO243" s="8">
        <v>5699578.0900000017</v>
      </c>
      <c r="AP243" s="26">
        <v>773.40891000000022</v>
      </c>
      <c r="AQ243" s="13"/>
      <c r="AR243" s="14"/>
      <c r="AS243" s="13"/>
      <c r="AT243" s="13"/>
      <c r="AU243" s="13"/>
      <c r="AV243" s="13"/>
      <c r="AW243" s="13"/>
      <c r="AX243" s="13"/>
    </row>
    <row r="244" spans="1:50">
      <c r="B244" s="12">
        <v>11471</v>
      </c>
      <c r="C244" s="11" t="s">
        <v>20</v>
      </c>
      <c r="D244" s="11" t="s">
        <v>162</v>
      </c>
      <c r="E244" s="25">
        <v>33</v>
      </c>
      <c r="F244" s="25">
        <v>98</v>
      </c>
      <c r="G244" s="25">
        <v>1389342.02</v>
      </c>
      <c r="H244" s="25">
        <v>7239067.2699999996</v>
      </c>
      <c r="I244" s="39">
        <v>0</v>
      </c>
      <c r="J244" s="22">
        <v>0</v>
      </c>
      <c r="K244" s="22">
        <v>0</v>
      </c>
      <c r="L244" s="22">
        <v>0</v>
      </c>
      <c r="M244" s="22">
        <v>98</v>
      </c>
      <c r="N244" s="22">
        <v>7239067.2699999996</v>
      </c>
      <c r="O244" s="22">
        <v>33</v>
      </c>
      <c r="P244" s="22">
        <v>1389342.02</v>
      </c>
      <c r="Q244" s="29">
        <v>32</v>
      </c>
      <c r="R244" s="8">
        <v>61</v>
      </c>
      <c r="S244" s="8">
        <f>+VLOOKUP(B244,[1]Лист2!$A$4:$B$188,2,0)</f>
        <v>51</v>
      </c>
      <c r="T244" s="8">
        <v>4074225.5700000003</v>
      </c>
      <c r="U244" s="8">
        <f>+VLOOKUP(B244,[1]Лист2!$A$4:$C$188,3,0)</f>
        <v>3136147.42</v>
      </c>
      <c r="V244" s="30">
        <f t="shared" si="87"/>
        <v>51</v>
      </c>
      <c r="W244" s="30">
        <f t="shared" si="88"/>
        <v>3136147.42</v>
      </c>
      <c r="X244" s="30">
        <f t="shared" si="89"/>
        <v>61</v>
      </c>
      <c r="Y244" s="30">
        <f t="shared" si="90"/>
        <v>4074225.5700000003</v>
      </c>
      <c r="Z244" s="30">
        <f t="shared" si="97"/>
        <v>68</v>
      </c>
      <c r="AA244" s="30">
        <f t="shared" si="98"/>
        <v>4181529.8933333331</v>
      </c>
      <c r="AB244" s="30">
        <v>81.333333333333329</v>
      </c>
      <c r="AC244" s="30">
        <v>5432300.7600000007</v>
      </c>
      <c r="AD244" s="8">
        <v>41</v>
      </c>
      <c r="AE244" s="8">
        <v>60</v>
      </c>
      <c r="AF244" s="8">
        <v>3051438.19</v>
      </c>
      <c r="AG244" s="8">
        <v>1573180.1600000004</v>
      </c>
      <c r="AH244" s="23">
        <f t="shared" si="91"/>
        <v>60</v>
      </c>
      <c r="AI244" s="23">
        <f t="shared" si="92"/>
        <v>1573180.1600000004</v>
      </c>
      <c r="AJ244" s="23">
        <f t="shared" si="93"/>
        <v>41</v>
      </c>
      <c r="AK244" s="23">
        <f t="shared" si="94"/>
        <v>3051438.19</v>
      </c>
      <c r="AL244" s="8">
        <v>60</v>
      </c>
      <c r="AM244" s="8">
        <v>1573180.1600000004</v>
      </c>
      <c r="AN244" s="8">
        <v>41</v>
      </c>
      <c r="AO244" s="8">
        <v>3051438.19</v>
      </c>
      <c r="AP244" s="26">
        <v>32</v>
      </c>
      <c r="AQ244" s="13"/>
      <c r="AR244" s="14"/>
      <c r="AS244" s="13"/>
      <c r="AT244" s="13"/>
      <c r="AU244" s="13"/>
      <c r="AV244" s="13"/>
      <c r="AW244" s="13"/>
      <c r="AX244" s="13"/>
    </row>
    <row r="245" spans="1:50">
      <c r="B245" s="12">
        <v>1197</v>
      </c>
      <c r="C245" s="11" t="s">
        <v>38</v>
      </c>
      <c r="D245" s="11" t="s">
        <v>163</v>
      </c>
      <c r="E245" s="25">
        <v>12</v>
      </c>
      <c r="F245" s="25">
        <v>6</v>
      </c>
      <c r="G245" s="25">
        <v>232985.50999999998</v>
      </c>
      <c r="H245" s="25">
        <v>85473.73000000001</v>
      </c>
      <c r="I245" s="39">
        <v>0</v>
      </c>
      <c r="J245" s="22">
        <v>0</v>
      </c>
      <c r="K245" s="22">
        <v>0</v>
      </c>
      <c r="L245" s="22">
        <v>0</v>
      </c>
      <c r="M245" s="22">
        <v>6</v>
      </c>
      <c r="N245" s="22">
        <v>85473.73000000001</v>
      </c>
      <c r="O245" s="22">
        <v>12</v>
      </c>
      <c r="P245" s="22">
        <v>232985.50999999998</v>
      </c>
      <c r="Q245" s="29">
        <v>579.03660000000002</v>
      </c>
      <c r="R245" s="8">
        <v>13</v>
      </c>
      <c r="S245" s="8"/>
      <c r="T245" s="8">
        <v>838447.56000000017</v>
      </c>
      <c r="U245" s="8"/>
      <c r="V245" s="30">
        <f t="shared" si="87"/>
        <v>0</v>
      </c>
      <c r="W245" s="30">
        <f t="shared" si="88"/>
        <v>0</v>
      </c>
      <c r="X245" s="30">
        <f t="shared" si="89"/>
        <v>13</v>
      </c>
      <c r="Y245" s="30">
        <f t="shared" si="90"/>
        <v>838447.56000000017</v>
      </c>
      <c r="Z245" s="30">
        <f t="shared" si="97"/>
        <v>0</v>
      </c>
      <c r="AA245" s="30">
        <f t="shared" si="98"/>
        <v>0</v>
      </c>
      <c r="AB245" s="30">
        <v>17.333333333333332</v>
      </c>
      <c r="AC245" s="30">
        <v>1117930.0800000003</v>
      </c>
      <c r="AD245" s="8">
        <v>0</v>
      </c>
      <c r="AE245" s="8">
        <v>0</v>
      </c>
      <c r="AF245" s="8">
        <v>0</v>
      </c>
      <c r="AG245" s="8">
        <v>0</v>
      </c>
      <c r="AH245" s="23">
        <f t="shared" si="91"/>
        <v>0</v>
      </c>
      <c r="AI245" s="23">
        <f t="shared" si="92"/>
        <v>0</v>
      </c>
      <c r="AJ245" s="23">
        <f t="shared" si="93"/>
        <v>0</v>
      </c>
      <c r="AK245" s="23">
        <f t="shared" si="94"/>
        <v>0</v>
      </c>
      <c r="AL245" s="8">
        <v>0</v>
      </c>
      <c r="AM245" s="8">
        <v>0</v>
      </c>
      <c r="AN245" s="8">
        <v>0</v>
      </c>
      <c r="AO245" s="8">
        <v>0</v>
      </c>
      <c r="AP245" s="26">
        <v>77.793000000000006</v>
      </c>
      <c r="AQ245" s="13"/>
      <c r="AR245" s="14"/>
      <c r="AS245" s="13"/>
      <c r="AT245" s="13"/>
      <c r="AU245" s="13"/>
      <c r="AV245" s="13"/>
      <c r="AW245" s="13"/>
      <c r="AX245" s="13"/>
    </row>
    <row r="246" spans="1:50" s="6" customFormat="1" ht="38.25" customHeight="1">
      <c r="A246" s="2" t="s">
        <v>1</v>
      </c>
      <c r="C246" s="5" t="s">
        <v>1</v>
      </c>
      <c r="D246" s="5"/>
      <c r="E246" s="5">
        <v>561</v>
      </c>
      <c r="F246" s="5">
        <v>119</v>
      </c>
      <c r="G246" s="5">
        <v>54168257.740000002</v>
      </c>
      <c r="H246" s="5">
        <v>7939490.0099999988</v>
      </c>
      <c r="I246" s="31">
        <f t="shared" ref="I246:P246" si="99">+SUM(I247:I309)</f>
        <v>0</v>
      </c>
      <c r="J246" s="36">
        <f t="shared" si="99"/>
        <v>0</v>
      </c>
      <c r="K246" s="36">
        <f t="shared" si="99"/>
        <v>0</v>
      </c>
      <c r="L246" s="36">
        <f t="shared" si="99"/>
        <v>0</v>
      </c>
      <c r="M246" s="36">
        <f t="shared" si="99"/>
        <v>119</v>
      </c>
      <c r="N246" s="36">
        <f t="shared" si="99"/>
        <v>7939490.0099999988</v>
      </c>
      <c r="O246" s="36">
        <f t="shared" si="99"/>
        <v>561</v>
      </c>
      <c r="P246" s="36">
        <f t="shared" si="99"/>
        <v>54168257.740000002</v>
      </c>
      <c r="Q246" s="28">
        <f>+SUM(Q247:Q309)</f>
        <v>7543.4660699999995</v>
      </c>
      <c r="R246" s="5">
        <v>614</v>
      </c>
      <c r="S246" s="5">
        <f>+SUM(S247:S309)</f>
        <v>130</v>
      </c>
      <c r="T246" s="5">
        <v>53096488.949999996</v>
      </c>
      <c r="U246" s="5">
        <f>+SUM(U247:U309)</f>
        <v>3927568.64</v>
      </c>
      <c r="V246" s="5">
        <f>+S246</f>
        <v>130</v>
      </c>
      <c r="W246" s="5">
        <f t="shared" si="88"/>
        <v>3927568.64</v>
      </c>
      <c r="X246" s="5">
        <f>+R246</f>
        <v>614</v>
      </c>
      <c r="Y246" s="5">
        <f t="shared" si="90"/>
        <v>53096488.949999996</v>
      </c>
      <c r="Z246" s="5">
        <f>((+SUM(Z247:Z309))/3)*4</f>
        <v>231.11111111111109</v>
      </c>
      <c r="AA246" s="5">
        <f>((+SUM(AA247:AA309))/3)*4</f>
        <v>6982344.2488888884</v>
      </c>
      <c r="AB246" s="5">
        <v>818.66666666666663</v>
      </c>
      <c r="AC246" s="5">
        <v>70795318.599999994</v>
      </c>
      <c r="AD246" s="5">
        <f t="shared" ref="AD246:AE246" si="100">+SUM(AD247:AD309)</f>
        <v>595</v>
      </c>
      <c r="AE246" s="5">
        <f t="shared" si="100"/>
        <v>124</v>
      </c>
      <c r="AF246" s="5">
        <f t="shared" ref="AF246:AO246" si="101">+SUM(AF247:AF309)</f>
        <v>52536435.089999989</v>
      </c>
      <c r="AG246" s="5">
        <f t="shared" si="101"/>
        <v>5248623.2200000007</v>
      </c>
      <c r="AH246" s="5">
        <f t="shared" si="91"/>
        <v>124</v>
      </c>
      <c r="AI246" s="5">
        <f t="shared" si="92"/>
        <v>5248623.2200000007</v>
      </c>
      <c r="AJ246" s="5">
        <f t="shared" si="93"/>
        <v>595</v>
      </c>
      <c r="AK246" s="5">
        <f t="shared" si="94"/>
        <v>52536435.089999989</v>
      </c>
      <c r="AL246" s="5">
        <f t="shared" si="101"/>
        <v>124</v>
      </c>
      <c r="AM246" s="5">
        <f t="shared" si="101"/>
        <v>5248623.2200000007</v>
      </c>
      <c r="AN246" s="5">
        <f t="shared" si="101"/>
        <v>595</v>
      </c>
      <c r="AO246" s="5">
        <f t="shared" si="101"/>
        <v>52536435.089999989</v>
      </c>
      <c r="AP246" s="5">
        <f>+SUM(AP247:AP309)</f>
        <v>1914.5608199999997</v>
      </c>
      <c r="AQ246" s="5"/>
      <c r="AR246" s="5">
        <v>0</v>
      </c>
      <c r="AS246" s="5">
        <f>+SUM(AS247:AS309)</f>
        <v>0</v>
      </c>
      <c r="AT246" s="5">
        <f t="shared" ref="AT246" si="102">+SUM(AT247:AT309)</f>
        <v>0</v>
      </c>
      <c r="AU246" s="5"/>
      <c r="AV246" s="5"/>
      <c r="AW246" s="5"/>
      <c r="AX246" s="5"/>
    </row>
    <row r="247" spans="1:50">
      <c r="B247" s="12">
        <v>495</v>
      </c>
      <c r="C247" s="11" t="s">
        <v>14</v>
      </c>
      <c r="D247" s="11" t="s">
        <v>164</v>
      </c>
      <c r="E247" s="25">
        <v>0</v>
      </c>
      <c r="F247" s="25">
        <v>3</v>
      </c>
      <c r="G247" s="25">
        <v>0</v>
      </c>
      <c r="H247" s="25">
        <v>148125.81</v>
      </c>
      <c r="I247" s="39">
        <v>0</v>
      </c>
      <c r="J247" s="22">
        <v>0</v>
      </c>
      <c r="K247" s="22">
        <v>0</v>
      </c>
      <c r="L247" s="22">
        <v>0</v>
      </c>
      <c r="M247" s="22">
        <v>3</v>
      </c>
      <c r="N247" s="22">
        <v>148125.81</v>
      </c>
      <c r="O247" s="22">
        <v>0</v>
      </c>
      <c r="P247" s="22">
        <v>0</v>
      </c>
      <c r="Q247" s="29">
        <v>0</v>
      </c>
      <c r="R247" s="8"/>
      <c r="S247" s="8"/>
      <c r="T247" s="8"/>
      <c r="U247" s="8"/>
      <c r="V247" s="8">
        <f>+S247</f>
        <v>0</v>
      </c>
      <c r="W247" s="8">
        <f>+U247</f>
        <v>0</v>
      </c>
      <c r="X247" s="30">
        <f t="shared" si="89"/>
        <v>0</v>
      </c>
      <c r="Y247" s="30">
        <f t="shared" si="90"/>
        <v>0</v>
      </c>
      <c r="Z247" s="30">
        <f t="shared" ref="Z247:Z278" si="103">((+S247)/3)*4</f>
        <v>0</v>
      </c>
      <c r="AA247" s="30">
        <f t="shared" ref="AA247:AA278" si="104">((+U247)/3)*4</f>
        <v>0</v>
      </c>
      <c r="AB247" s="30">
        <v>0</v>
      </c>
      <c r="AC247" s="30">
        <v>0</v>
      </c>
      <c r="AD247" s="8">
        <v>0</v>
      </c>
      <c r="AE247" s="8">
        <v>0</v>
      </c>
      <c r="AF247" s="8">
        <v>0</v>
      </c>
      <c r="AG247" s="8">
        <v>0</v>
      </c>
      <c r="AH247" s="23">
        <f t="shared" si="91"/>
        <v>0</v>
      </c>
      <c r="AI247" s="23">
        <f t="shared" si="92"/>
        <v>0</v>
      </c>
      <c r="AJ247" s="23">
        <f t="shared" si="93"/>
        <v>0</v>
      </c>
      <c r="AK247" s="23">
        <f t="shared" si="94"/>
        <v>0</v>
      </c>
      <c r="AL247" s="8">
        <v>0</v>
      </c>
      <c r="AM247" s="8">
        <v>0</v>
      </c>
      <c r="AN247" s="8">
        <v>0</v>
      </c>
      <c r="AO247" s="8">
        <v>0</v>
      </c>
      <c r="AP247" s="26">
        <v>0</v>
      </c>
      <c r="AQ247" s="13"/>
      <c r="AR247" s="14">
        <v>0</v>
      </c>
      <c r="AS247" s="13"/>
      <c r="AT247" s="13"/>
      <c r="AU247" s="13"/>
      <c r="AV247" s="13"/>
      <c r="AW247" s="13"/>
      <c r="AX247" s="13"/>
    </row>
    <row r="248" spans="1:50">
      <c r="B248" s="12">
        <v>546</v>
      </c>
      <c r="C248" s="11" t="s">
        <v>14</v>
      </c>
      <c r="D248" s="11" t="s">
        <v>164</v>
      </c>
      <c r="E248" s="25">
        <v>0</v>
      </c>
      <c r="F248" s="25">
        <v>3</v>
      </c>
      <c r="G248" s="25">
        <v>0</v>
      </c>
      <c r="H248" s="25">
        <v>122195</v>
      </c>
      <c r="I248" s="39">
        <v>0</v>
      </c>
      <c r="J248" s="22">
        <v>0</v>
      </c>
      <c r="K248" s="22">
        <v>0</v>
      </c>
      <c r="L248" s="22">
        <v>0</v>
      </c>
      <c r="M248" s="22">
        <v>3</v>
      </c>
      <c r="N248" s="22">
        <v>122195</v>
      </c>
      <c r="O248" s="22">
        <v>0</v>
      </c>
      <c r="P248" s="22">
        <v>0</v>
      </c>
      <c r="Q248" s="29">
        <v>0</v>
      </c>
      <c r="R248" s="8"/>
      <c r="S248" s="8"/>
      <c r="T248" s="8"/>
      <c r="U248" s="8"/>
      <c r="V248" s="8">
        <f t="shared" ref="V248:V309" si="105">+S248</f>
        <v>0</v>
      </c>
      <c r="W248" s="8">
        <f t="shared" ref="W248:W309" si="106">+U248</f>
        <v>0</v>
      </c>
      <c r="X248" s="30">
        <f t="shared" si="89"/>
        <v>0</v>
      </c>
      <c r="Y248" s="30">
        <f t="shared" si="90"/>
        <v>0</v>
      </c>
      <c r="Z248" s="30">
        <f t="shared" si="103"/>
        <v>0</v>
      </c>
      <c r="AA248" s="30">
        <f t="shared" si="104"/>
        <v>0</v>
      </c>
      <c r="AB248" s="30">
        <v>0</v>
      </c>
      <c r="AC248" s="30">
        <v>0</v>
      </c>
      <c r="AD248" s="8">
        <v>0</v>
      </c>
      <c r="AE248" s="8">
        <v>0</v>
      </c>
      <c r="AF248" s="8">
        <v>0</v>
      </c>
      <c r="AG248" s="8">
        <v>0</v>
      </c>
      <c r="AH248" s="23">
        <f t="shared" si="91"/>
        <v>0</v>
      </c>
      <c r="AI248" s="23">
        <f t="shared" si="92"/>
        <v>0</v>
      </c>
      <c r="AJ248" s="23">
        <f t="shared" si="93"/>
        <v>0</v>
      </c>
      <c r="AK248" s="23">
        <f t="shared" si="94"/>
        <v>0</v>
      </c>
      <c r="AL248" s="8">
        <v>0</v>
      </c>
      <c r="AM248" s="8">
        <v>0</v>
      </c>
      <c r="AN248" s="8">
        <v>0</v>
      </c>
      <c r="AO248" s="8">
        <v>0</v>
      </c>
      <c r="AP248" s="26">
        <v>0</v>
      </c>
      <c r="AQ248" s="13"/>
      <c r="AR248" s="14">
        <v>0</v>
      </c>
      <c r="AS248" s="13"/>
      <c r="AT248" s="13"/>
      <c r="AU248" s="13"/>
      <c r="AV248" s="13"/>
      <c r="AW248" s="13"/>
      <c r="AX248" s="13"/>
    </row>
    <row r="249" spans="1:50">
      <c r="B249" s="12">
        <v>197</v>
      </c>
      <c r="C249" s="11" t="s">
        <v>14</v>
      </c>
      <c r="D249" s="11" t="s">
        <v>164</v>
      </c>
      <c r="E249" s="25">
        <v>0</v>
      </c>
      <c r="F249" s="25">
        <v>0</v>
      </c>
      <c r="G249" s="25">
        <v>0</v>
      </c>
      <c r="H249" s="25">
        <v>0</v>
      </c>
      <c r="I249" s="40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29">
        <v>0</v>
      </c>
      <c r="R249" s="8"/>
      <c r="S249" s="8">
        <f>+VLOOKUP(B249,[1]Лист2!$A$4:$B$188,2,0)</f>
        <v>1</v>
      </c>
      <c r="T249" s="8"/>
      <c r="U249" s="8">
        <f>+VLOOKUP(B249,[1]Лист2!$A$4:$C$188,3,0)</f>
        <v>1212</v>
      </c>
      <c r="V249" s="8">
        <f t="shared" si="105"/>
        <v>1</v>
      </c>
      <c r="W249" s="8">
        <f t="shared" si="106"/>
        <v>1212</v>
      </c>
      <c r="X249" s="30">
        <f t="shared" si="89"/>
        <v>0</v>
      </c>
      <c r="Y249" s="30">
        <f t="shared" si="90"/>
        <v>0</v>
      </c>
      <c r="Z249" s="30">
        <f t="shared" si="103"/>
        <v>1.3333333333333333</v>
      </c>
      <c r="AA249" s="30">
        <f t="shared" si="104"/>
        <v>1616</v>
      </c>
      <c r="AB249" s="30">
        <v>0</v>
      </c>
      <c r="AC249" s="30">
        <v>0</v>
      </c>
      <c r="AD249" s="8">
        <v>0</v>
      </c>
      <c r="AE249" s="8">
        <v>1</v>
      </c>
      <c r="AF249" s="8">
        <v>0</v>
      </c>
      <c r="AG249" s="8">
        <v>1300</v>
      </c>
      <c r="AH249" s="23">
        <f t="shared" si="91"/>
        <v>1</v>
      </c>
      <c r="AI249" s="23">
        <f t="shared" si="92"/>
        <v>1300</v>
      </c>
      <c r="AJ249" s="23">
        <f t="shared" si="93"/>
        <v>0</v>
      </c>
      <c r="AK249" s="23">
        <f t="shared" si="94"/>
        <v>0</v>
      </c>
      <c r="AL249" s="8">
        <v>1</v>
      </c>
      <c r="AM249" s="8">
        <v>1300</v>
      </c>
      <c r="AN249" s="32">
        <v>0</v>
      </c>
      <c r="AO249" s="32">
        <v>0</v>
      </c>
      <c r="AP249" s="26">
        <v>33.5</v>
      </c>
      <c r="AQ249" s="13"/>
      <c r="AR249" s="14">
        <v>0</v>
      </c>
      <c r="AS249" s="13"/>
      <c r="AT249" s="13"/>
      <c r="AU249" s="13"/>
      <c r="AV249" s="13"/>
      <c r="AW249" s="13"/>
      <c r="AX249" s="13"/>
    </row>
    <row r="250" spans="1:50" s="2" customFormat="1">
      <c r="B250" s="12">
        <v>383</v>
      </c>
      <c r="C250" s="11" t="s">
        <v>14</v>
      </c>
      <c r="D250" s="11" t="s">
        <v>164</v>
      </c>
      <c r="E250" s="25">
        <v>0</v>
      </c>
      <c r="F250" s="25">
        <v>0</v>
      </c>
      <c r="G250" s="25">
        <v>0</v>
      </c>
      <c r="H250" s="25">
        <v>0</v>
      </c>
      <c r="I250" s="40">
        <v>0</v>
      </c>
      <c r="J250" s="37">
        <v>0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29">
        <v>0</v>
      </c>
      <c r="R250" s="8"/>
      <c r="S250" s="8"/>
      <c r="T250" s="8"/>
      <c r="U250" s="8"/>
      <c r="V250" s="8">
        <f t="shared" si="105"/>
        <v>0</v>
      </c>
      <c r="W250" s="8">
        <f t="shared" si="106"/>
        <v>0</v>
      </c>
      <c r="X250" s="30">
        <f t="shared" si="89"/>
        <v>0</v>
      </c>
      <c r="Y250" s="30">
        <f t="shared" si="90"/>
        <v>0</v>
      </c>
      <c r="Z250" s="30">
        <f t="shared" si="103"/>
        <v>0</v>
      </c>
      <c r="AA250" s="30">
        <f t="shared" si="104"/>
        <v>0</v>
      </c>
      <c r="AB250" s="30">
        <v>0</v>
      </c>
      <c r="AC250" s="30">
        <v>0</v>
      </c>
      <c r="AD250" s="8">
        <v>0</v>
      </c>
      <c r="AE250" s="8">
        <v>1</v>
      </c>
      <c r="AF250" s="8">
        <v>0</v>
      </c>
      <c r="AG250" s="8">
        <v>8967.4500000000007</v>
      </c>
      <c r="AH250" s="23">
        <f t="shared" si="91"/>
        <v>1</v>
      </c>
      <c r="AI250" s="23">
        <f t="shared" si="92"/>
        <v>8967.4500000000007</v>
      </c>
      <c r="AJ250" s="23">
        <f t="shared" si="93"/>
        <v>0</v>
      </c>
      <c r="AK250" s="23">
        <f t="shared" si="94"/>
        <v>0</v>
      </c>
      <c r="AL250" s="8">
        <v>1</v>
      </c>
      <c r="AM250" s="8">
        <v>8967.4500000000007</v>
      </c>
      <c r="AN250" s="32">
        <v>0</v>
      </c>
      <c r="AO250" s="32">
        <v>0</v>
      </c>
      <c r="AP250" s="26">
        <v>0</v>
      </c>
      <c r="AQ250" s="13"/>
      <c r="AR250" s="14">
        <v>0</v>
      </c>
      <c r="AS250" s="13"/>
      <c r="AT250" s="13"/>
      <c r="AU250" s="13"/>
      <c r="AV250" s="13"/>
      <c r="AW250" s="13"/>
      <c r="AX250" s="13"/>
    </row>
    <row r="251" spans="1:50">
      <c r="B251" s="12">
        <v>861</v>
      </c>
      <c r="C251" s="11" t="s">
        <v>31</v>
      </c>
      <c r="D251" s="11" t="s">
        <v>165</v>
      </c>
      <c r="E251" s="25">
        <v>1</v>
      </c>
      <c r="F251" s="25">
        <v>0</v>
      </c>
      <c r="G251" s="25">
        <v>103000</v>
      </c>
      <c r="H251" s="25">
        <v>0</v>
      </c>
      <c r="I251" s="40">
        <v>0</v>
      </c>
      <c r="J251" s="37">
        <v>0</v>
      </c>
      <c r="K251" s="37">
        <v>0</v>
      </c>
      <c r="L251" s="37">
        <v>0</v>
      </c>
      <c r="M251" s="22">
        <v>0</v>
      </c>
      <c r="N251" s="22">
        <v>0</v>
      </c>
      <c r="O251" s="22">
        <v>1</v>
      </c>
      <c r="P251" s="22">
        <v>103000</v>
      </c>
      <c r="Q251" s="29">
        <v>0</v>
      </c>
      <c r="R251" s="8"/>
      <c r="S251" s="8"/>
      <c r="T251" s="8"/>
      <c r="U251" s="8"/>
      <c r="V251" s="8">
        <f t="shared" si="105"/>
        <v>0</v>
      </c>
      <c r="W251" s="8">
        <f t="shared" si="106"/>
        <v>0</v>
      </c>
      <c r="X251" s="30">
        <f t="shared" si="89"/>
        <v>0</v>
      </c>
      <c r="Y251" s="30">
        <f t="shared" si="90"/>
        <v>0</v>
      </c>
      <c r="Z251" s="30">
        <f t="shared" si="103"/>
        <v>0</v>
      </c>
      <c r="AA251" s="30">
        <f t="shared" si="104"/>
        <v>0</v>
      </c>
      <c r="AB251" s="30">
        <v>0</v>
      </c>
      <c r="AC251" s="30">
        <v>0</v>
      </c>
      <c r="AD251" s="8">
        <v>0</v>
      </c>
      <c r="AE251" s="8">
        <v>0</v>
      </c>
      <c r="AF251" s="8">
        <v>0</v>
      </c>
      <c r="AG251" s="8">
        <v>0</v>
      </c>
      <c r="AH251" s="23">
        <f t="shared" si="91"/>
        <v>0</v>
      </c>
      <c r="AI251" s="23">
        <f t="shared" si="92"/>
        <v>0</v>
      </c>
      <c r="AJ251" s="23">
        <f t="shared" si="93"/>
        <v>0</v>
      </c>
      <c r="AK251" s="23">
        <f t="shared" si="94"/>
        <v>0</v>
      </c>
      <c r="AL251" s="8">
        <v>0</v>
      </c>
      <c r="AM251" s="8">
        <v>0</v>
      </c>
      <c r="AN251" s="8">
        <v>0</v>
      </c>
      <c r="AO251" s="8">
        <v>0</v>
      </c>
      <c r="AP251" s="26">
        <v>0</v>
      </c>
      <c r="AQ251" s="13"/>
      <c r="AR251" s="14">
        <v>0</v>
      </c>
      <c r="AS251" s="13"/>
      <c r="AT251" s="13"/>
      <c r="AU251" s="13"/>
      <c r="AV251" s="13"/>
      <c r="AW251" s="13"/>
      <c r="AX251" s="13"/>
    </row>
    <row r="252" spans="1:50">
      <c r="B252" s="12">
        <v>874</v>
      </c>
      <c r="C252" s="11" t="s">
        <v>31</v>
      </c>
      <c r="D252" s="11" t="s">
        <v>165</v>
      </c>
      <c r="E252" s="25">
        <v>5</v>
      </c>
      <c r="F252" s="25">
        <v>0</v>
      </c>
      <c r="G252" s="25">
        <v>250029.7</v>
      </c>
      <c r="H252" s="25">
        <v>0</v>
      </c>
      <c r="I252" s="40">
        <v>0</v>
      </c>
      <c r="J252" s="37">
        <v>0</v>
      </c>
      <c r="K252" s="37">
        <v>0</v>
      </c>
      <c r="L252" s="37">
        <v>0</v>
      </c>
      <c r="M252" s="22">
        <v>0</v>
      </c>
      <c r="N252" s="22">
        <v>0</v>
      </c>
      <c r="O252" s="22">
        <v>5</v>
      </c>
      <c r="P252" s="22">
        <v>250029.7</v>
      </c>
      <c r="Q252" s="29">
        <v>205.03649000000001</v>
      </c>
      <c r="R252" s="8"/>
      <c r="S252" s="8"/>
      <c r="T252" s="8"/>
      <c r="U252" s="8"/>
      <c r="V252" s="8">
        <f t="shared" si="105"/>
        <v>0</v>
      </c>
      <c r="W252" s="8">
        <f t="shared" si="106"/>
        <v>0</v>
      </c>
      <c r="X252" s="30">
        <f t="shared" si="89"/>
        <v>0</v>
      </c>
      <c r="Y252" s="30">
        <f t="shared" si="90"/>
        <v>0</v>
      </c>
      <c r="Z252" s="30">
        <f t="shared" si="103"/>
        <v>0</v>
      </c>
      <c r="AA252" s="30">
        <f t="shared" si="104"/>
        <v>0</v>
      </c>
      <c r="AB252" s="30">
        <v>0</v>
      </c>
      <c r="AC252" s="30">
        <v>0</v>
      </c>
      <c r="AD252" s="8">
        <v>0</v>
      </c>
      <c r="AE252" s="8">
        <v>0</v>
      </c>
      <c r="AF252" s="8">
        <v>0</v>
      </c>
      <c r="AG252" s="8">
        <v>0</v>
      </c>
      <c r="AH252" s="23">
        <f t="shared" si="91"/>
        <v>0</v>
      </c>
      <c r="AI252" s="23">
        <f t="shared" si="92"/>
        <v>0</v>
      </c>
      <c r="AJ252" s="23">
        <f t="shared" si="93"/>
        <v>0</v>
      </c>
      <c r="AK252" s="23">
        <f t="shared" si="94"/>
        <v>0</v>
      </c>
      <c r="AL252" s="8">
        <v>0</v>
      </c>
      <c r="AM252" s="8">
        <v>0</v>
      </c>
      <c r="AN252" s="8">
        <v>0</v>
      </c>
      <c r="AO252" s="8">
        <v>0</v>
      </c>
      <c r="AP252" s="26">
        <v>0</v>
      </c>
      <c r="AQ252" s="13"/>
      <c r="AR252" s="14">
        <v>0</v>
      </c>
      <c r="AS252" s="13"/>
      <c r="AT252" s="13"/>
      <c r="AU252" s="13"/>
      <c r="AV252" s="13"/>
      <c r="AW252" s="8"/>
      <c r="AX252" s="8"/>
    </row>
    <row r="253" spans="1:50" s="2" customFormat="1">
      <c r="B253" s="12">
        <v>923</v>
      </c>
      <c r="C253" s="11" t="s">
        <v>31</v>
      </c>
      <c r="D253" s="11" t="s">
        <v>165</v>
      </c>
      <c r="E253" s="25">
        <v>5</v>
      </c>
      <c r="F253" s="25">
        <v>0</v>
      </c>
      <c r="G253" s="25">
        <v>503900</v>
      </c>
      <c r="H253" s="25">
        <v>0</v>
      </c>
      <c r="I253" s="40">
        <v>0</v>
      </c>
      <c r="J253" s="37">
        <v>0</v>
      </c>
      <c r="K253" s="37">
        <v>0</v>
      </c>
      <c r="L253" s="37">
        <v>0</v>
      </c>
      <c r="M253" s="22">
        <v>0</v>
      </c>
      <c r="N253" s="22">
        <v>0</v>
      </c>
      <c r="O253" s="22">
        <v>5</v>
      </c>
      <c r="P253" s="22">
        <v>503900</v>
      </c>
      <c r="Q253" s="29">
        <v>0</v>
      </c>
      <c r="R253" s="8"/>
      <c r="S253" s="8"/>
      <c r="T253" s="8"/>
      <c r="U253" s="8"/>
      <c r="V253" s="8">
        <f t="shared" si="105"/>
        <v>0</v>
      </c>
      <c r="W253" s="8">
        <f t="shared" si="106"/>
        <v>0</v>
      </c>
      <c r="X253" s="30">
        <f t="shared" si="89"/>
        <v>0</v>
      </c>
      <c r="Y253" s="30">
        <f t="shared" si="90"/>
        <v>0</v>
      </c>
      <c r="Z253" s="30">
        <f t="shared" si="103"/>
        <v>0</v>
      </c>
      <c r="AA253" s="30">
        <f t="shared" si="104"/>
        <v>0</v>
      </c>
      <c r="AB253" s="30">
        <v>0</v>
      </c>
      <c r="AC253" s="30">
        <v>0</v>
      </c>
      <c r="AD253" s="8">
        <v>0</v>
      </c>
      <c r="AE253" s="8">
        <v>0</v>
      </c>
      <c r="AF253" s="8">
        <v>0</v>
      </c>
      <c r="AG253" s="8">
        <v>0</v>
      </c>
      <c r="AH253" s="23">
        <f t="shared" si="91"/>
        <v>0</v>
      </c>
      <c r="AI253" s="23">
        <f t="shared" si="92"/>
        <v>0</v>
      </c>
      <c r="AJ253" s="23">
        <f t="shared" si="93"/>
        <v>0</v>
      </c>
      <c r="AK253" s="23">
        <f t="shared" si="94"/>
        <v>0</v>
      </c>
      <c r="AL253" s="8">
        <v>0</v>
      </c>
      <c r="AM253" s="8">
        <v>0</v>
      </c>
      <c r="AN253" s="8">
        <v>0</v>
      </c>
      <c r="AO253" s="8">
        <v>0</v>
      </c>
      <c r="AP253" s="26">
        <v>0</v>
      </c>
      <c r="AQ253" s="13"/>
      <c r="AR253" s="14">
        <v>0</v>
      </c>
      <c r="AS253" s="13"/>
      <c r="AT253" s="13"/>
      <c r="AU253" s="13"/>
      <c r="AV253" s="13"/>
      <c r="AW253" s="8"/>
      <c r="AX253" s="8"/>
    </row>
    <row r="254" spans="1:50">
      <c r="B254" s="12">
        <v>967</v>
      </c>
      <c r="C254" s="11" t="s">
        <v>31</v>
      </c>
      <c r="D254" s="11" t="s">
        <v>165</v>
      </c>
      <c r="E254" s="25">
        <v>14</v>
      </c>
      <c r="F254" s="25">
        <v>0</v>
      </c>
      <c r="G254" s="25">
        <v>452050</v>
      </c>
      <c r="H254" s="25">
        <v>0</v>
      </c>
      <c r="I254" s="40">
        <v>0</v>
      </c>
      <c r="J254" s="37">
        <v>0</v>
      </c>
      <c r="K254" s="37">
        <v>0</v>
      </c>
      <c r="L254" s="37">
        <v>0</v>
      </c>
      <c r="M254" s="22">
        <v>0</v>
      </c>
      <c r="N254" s="22">
        <v>0</v>
      </c>
      <c r="O254" s="22">
        <v>14</v>
      </c>
      <c r="P254" s="22">
        <v>452050</v>
      </c>
      <c r="Q254" s="29">
        <v>0</v>
      </c>
      <c r="R254" s="8">
        <v>17</v>
      </c>
      <c r="S254" s="8"/>
      <c r="T254" s="8">
        <v>1085000</v>
      </c>
      <c r="U254" s="8"/>
      <c r="V254" s="8">
        <f t="shared" si="105"/>
        <v>0</v>
      </c>
      <c r="W254" s="8">
        <f t="shared" si="106"/>
        <v>0</v>
      </c>
      <c r="X254" s="30">
        <f t="shared" si="89"/>
        <v>17</v>
      </c>
      <c r="Y254" s="30">
        <f t="shared" si="90"/>
        <v>1085000</v>
      </c>
      <c r="Z254" s="30">
        <f t="shared" si="103"/>
        <v>0</v>
      </c>
      <c r="AA254" s="30">
        <f t="shared" si="104"/>
        <v>0</v>
      </c>
      <c r="AB254" s="30">
        <v>22.666666666666668</v>
      </c>
      <c r="AC254" s="30">
        <v>1446666.6666666667</v>
      </c>
      <c r="AD254" s="8">
        <v>11</v>
      </c>
      <c r="AE254" s="8">
        <v>0</v>
      </c>
      <c r="AF254" s="8">
        <v>652749</v>
      </c>
      <c r="AG254" s="8">
        <v>0</v>
      </c>
      <c r="AH254" s="23">
        <f t="shared" si="91"/>
        <v>0</v>
      </c>
      <c r="AI254" s="23">
        <f t="shared" si="92"/>
        <v>0</v>
      </c>
      <c r="AJ254" s="23">
        <f t="shared" si="93"/>
        <v>11</v>
      </c>
      <c r="AK254" s="23">
        <f t="shared" si="94"/>
        <v>652749</v>
      </c>
      <c r="AL254" s="8">
        <v>0</v>
      </c>
      <c r="AM254" s="8">
        <v>0</v>
      </c>
      <c r="AN254" s="8">
        <v>11</v>
      </c>
      <c r="AO254" s="8">
        <v>652749</v>
      </c>
      <c r="AP254" s="26">
        <v>0</v>
      </c>
      <c r="AQ254" s="13"/>
      <c r="AR254" s="14">
        <v>0</v>
      </c>
      <c r="AS254" s="13"/>
      <c r="AT254" s="13"/>
      <c r="AU254" s="13"/>
      <c r="AV254" s="13"/>
      <c r="AW254" s="13"/>
      <c r="AX254" s="13"/>
    </row>
    <row r="255" spans="1:50">
      <c r="B255" s="12">
        <v>990</v>
      </c>
      <c r="C255" s="11" t="s">
        <v>31</v>
      </c>
      <c r="D255" s="11" t="s">
        <v>165</v>
      </c>
      <c r="E255" s="25">
        <v>4</v>
      </c>
      <c r="F255" s="25">
        <v>0</v>
      </c>
      <c r="G255" s="25">
        <v>90100</v>
      </c>
      <c r="H255" s="25">
        <v>0</v>
      </c>
      <c r="I255" s="40">
        <v>0</v>
      </c>
      <c r="J255" s="37">
        <v>0</v>
      </c>
      <c r="K255" s="37">
        <v>0</v>
      </c>
      <c r="L255" s="37">
        <v>0</v>
      </c>
      <c r="M255" s="22">
        <v>0</v>
      </c>
      <c r="N255" s="22">
        <v>0</v>
      </c>
      <c r="O255" s="22">
        <v>4</v>
      </c>
      <c r="P255" s="22">
        <v>90100</v>
      </c>
      <c r="Q255" s="29">
        <v>0</v>
      </c>
      <c r="R255" s="8"/>
      <c r="S255" s="8"/>
      <c r="T255" s="8"/>
      <c r="U255" s="8"/>
      <c r="V255" s="8">
        <f t="shared" si="105"/>
        <v>0</v>
      </c>
      <c r="W255" s="8">
        <f t="shared" si="106"/>
        <v>0</v>
      </c>
      <c r="X255" s="30">
        <f t="shared" si="89"/>
        <v>0</v>
      </c>
      <c r="Y255" s="30">
        <f t="shared" si="90"/>
        <v>0</v>
      </c>
      <c r="Z255" s="30">
        <f t="shared" si="103"/>
        <v>0</v>
      </c>
      <c r="AA255" s="30">
        <f t="shared" si="104"/>
        <v>0</v>
      </c>
      <c r="AB255" s="30">
        <v>0</v>
      </c>
      <c r="AC255" s="30">
        <v>0</v>
      </c>
      <c r="AD255" s="8">
        <v>0</v>
      </c>
      <c r="AE255" s="8">
        <v>0</v>
      </c>
      <c r="AF255" s="8">
        <v>0</v>
      </c>
      <c r="AG255" s="8">
        <v>0</v>
      </c>
      <c r="AH255" s="23">
        <f t="shared" si="91"/>
        <v>0</v>
      </c>
      <c r="AI255" s="23">
        <f t="shared" si="92"/>
        <v>0</v>
      </c>
      <c r="AJ255" s="23">
        <f t="shared" si="93"/>
        <v>0</v>
      </c>
      <c r="AK255" s="23">
        <f t="shared" si="94"/>
        <v>0</v>
      </c>
      <c r="AL255" s="8">
        <v>0</v>
      </c>
      <c r="AM255" s="8">
        <v>0</v>
      </c>
      <c r="AN255" s="8">
        <v>0</v>
      </c>
      <c r="AO255" s="8">
        <v>0</v>
      </c>
      <c r="AP255" s="26">
        <v>0</v>
      </c>
      <c r="AQ255" s="13"/>
      <c r="AR255" s="14">
        <v>0</v>
      </c>
      <c r="AS255" s="13"/>
      <c r="AT255" s="13"/>
      <c r="AU255" s="13"/>
      <c r="AV255" s="13"/>
      <c r="AW255" s="13"/>
      <c r="AX255" s="13"/>
    </row>
    <row r="256" spans="1:50">
      <c r="B256" s="12">
        <v>12004</v>
      </c>
      <c r="C256" s="11" t="s">
        <v>26</v>
      </c>
      <c r="D256" s="11" t="s">
        <v>166</v>
      </c>
      <c r="E256" s="25">
        <v>3</v>
      </c>
      <c r="F256" s="25">
        <v>0</v>
      </c>
      <c r="G256" s="25">
        <v>53795.26999999999</v>
      </c>
      <c r="H256" s="25">
        <v>0</v>
      </c>
      <c r="I256" s="40">
        <v>0</v>
      </c>
      <c r="J256" s="37">
        <v>0</v>
      </c>
      <c r="K256" s="37">
        <v>0</v>
      </c>
      <c r="L256" s="37">
        <v>0</v>
      </c>
      <c r="M256" s="22">
        <v>0</v>
      </c>
      <c r="N256" s="22">
        <v>0</v>
      </c>
      <c r="O256" s="22">
        <v>3</v>
      </c>
      <c r="P256" s="22">
        <v>53795.26999999999</v>
      </c>
      <c r="Q256" s="29">
        <v>0</v>
      </c>
      <c r="R256" s="8">
        <v>16</v>
      </c>
      <c r="S256" s="8"/>
      <c r="T256" s="8">
        <v>495007.46</v>
      </c>
      <c r="U256" s="8"/>
      <c r="V256" s="8">
        <f t="shared" si="105"/>
        <v>0</v>
      </c>
      <c r="W256" s="8">
        <f t="shared" si="106"/>
        <v>0</v>
      </c>
      <c r="X256" s="30">
        <f t="shared" si="89"/>
        <v>16</v>
      </c>
      <c r="Y256" s="30">
        <f t="shared" si="90"/>
        <v>495007.46</v>
      </c>
      <c r="Z256" s="30">
        <f t="shared" si="103"/>
        <v>0</v>
      </c>
      <c r="AA256" s="30">
        <f t="shared" si="104"/>
        <v>0</v>
      </c>
      <c r="AB256" s="30">
        <v>21.333333333333332</v>
      </c>
      <c r="AC256" s="30">
        <v>660009.94666666666</v>
      </c>
      <c r="AD256" s="8">
        <v>17</v>
      </c>
      <c r="AE256" s="8">
        <v>0</v>
      </c>
      <c r="AF256" s="8">
        <v>939578.97</v>
      </c>
      <c r="AG256" s="8">
        <v>0</v>
      </c>
      <c r="AH256" s="23">
        <f t="shared" si="91"/>
        <v>0</v>
      </c>
      <c r="AI256" s="23">
        <f t="shared" si="92"/>
        <v>0</v>
      </c>
      <c r="AJ256" s="23">
        <f t="shared" si="93"/>
        <v>17</v>
      </c>
      <c r="AK256" s="23">
        <f t="shared" si="94"/>
        <v>939578.97</v>
      </c>
      <c r="AL256" s="8">
        <v>0</v>
      </c>
      <c r="AM256" s="8">
        <v>0</v>
      </c>
      <c r="AN256" s="8">
        <v>17</v>
      </c>
      <c r="AO256" s="8">
        <v>939578.97</v>
      </c>
      <c r="AP256" s="26">
        <v>0.11370999999999999</v>
      </c>
      <c r="AQ256" s="13"/>
      <c r="AR256" s="14">
        <v>0</v>
      </c>
      <c r="AS256" s="13"/>
      <c r="AT256" s="13"/>
      <c r="AU256" s="13"/>
      <c r="AV256" s="13"/>
      <c r="AW256" s="13"/>
      <c r="AX256" s="13"/>
    </row>
    <row r="257" spans="2:50">
      <c r="B257" s="12">
        <v>12007</v>
      </c>
      <c r="C257" s="11" t="s">
        <v>26</v>
      </c>
      <c r="D257" s="11" t="s">
        <v>166</v>
      </c>
      <c r="E257" s="25">
        <v>0</v>
      </c>
      <c r="F257" s="25">
        <v>0</v>
      </c>
      <c r="G257" s="25">
        <v>0</v>
      </c>
      <c r="H257" s="25">
        <v>0</v>
      </c>
      <c r="I257" s="40">
        <v>0</v>
      </c>
      <c r="J257" s="37">
        <v>0</v>
      </c>
      <c r="K257" s="37">
        <v>0</v>
      </c>
      <c r="L257" s="37">
        <v>0</v>
      </c>
      <c r="M257" s="37">
        <v>0</v>
      </c>
      <c r="N257" s="37">
        <v>0</v>
      </c>
      <c r="O257" s="37">
        <v>0</v>
      </c>
      <c r="P257" s="37">
        <v>0</v>
      </c>
      <c r="Q257" s="29">
        <v>506.33339999999998</v>
      </c>
      <c r="R257" s="8"/>
      <c r="S257" s="8"/>
      <c r="T257" s="8"/>
      <c r="U257" s="8"/>
      <c r="V257" s="8">
        <f t="shared" si="105"/>
        <v>0</v>
      </c>
      <c r="W257" s="8">
        <f t="shared" si="106"/>
        <v>0</v>
      </c>
      <c r="X257" s="30">
        <f t="shared" si="89"/>
        <v>0</v>
      </c>
      <c r="Y257" s="30">
        <f t="shared" si="90"/>
        <v>0</v>
      </c>
      <c r="Z257" s="30">
        <f t="shared" si="103"/>
        <v>0</v>
      </c>
      <c r="AA257" s="30">
        <f t="shared" si="104"/>
        <v>0</v>
      </c>
      <c r="AB257" s="30">
        <v>0</v>
      </c>
      <c r="AC257" s="30">
        <v>0</v>
      </c>
      <c r="AD257" s="8">
        <v>2</v>
      </c>
      <c r="AE257" s="8">
        <v>0</v>
      </c>
      <c r="AF257" s="8">
        <v>139700</v>
      </c>
      <c r="AG257" s="8">
        <v>0</v>
      </c>
      <c r="AH257" s="23">
        <f t="shared" si="91"/>
        <v>0</v>
      </c>
      <c r="AI257" s="23">
        <f t="shared" si="92"/>
        <v>0</v>
      </c>
      <c r="AJ257" s="23">
        <f t="shared" si="93"/>
        <v>2</v>
      </c>
      <c r="AK257" s="23">
        <f t="shared" si="94"/>
        <v>139700</v>
      </c>
      <c r="AL257" s="8">
        <v>0</v>
      </c>
      <c r="AM257" s="8">
        <v>0</v>
      </c>
      <c r="AN257" s="8">
        <v>2</v>
      </c>
      <c r="AO257" s="8">
        <v>139700</v>
      </c>
      <c r="AP257" s="26">
        <v>506.33339999999998</v>
      </c>
      <c r="AQ257" s="13"/>
      <c r="AR257" s="14">
        <v>0</v>
      </c>
      <c r="AS257" s="13"/>
      <c r="AT257" s="13"/>
      <c r="AU257" s="13"/>
      <c r="AV257" s="13"/>
      <c r="AW257" s="13"/>
      <c r="AX257" s="13"/>
    </row>
    <row r="258" spans="2:50" s="2" customFormat="1">
      <c r="B258" s="12">
        <v>11957</v>
      </c>
      <c r="C258" s="11" t="s">
        <v>25</v>
      </c>
      <c r="D258" s="11" t="s">
        <v>167</v>
      </c>
      <c r="E258" s="25">
        <v>0</v>
      </c>
      <c r="F258" s="25">
        <v>0</v>
      </c>
      <c r="G258" s="25">
        <v>0</v>
      </c>
      <c r="H258" s="25">
        <v>0</v>
      </c>
      <c r="I258" s="40">
        <v>0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29">
        <v>0</v>
      </c>
      <c r="R258" s="8"/>
      <c r="S258" s="8"/>
      <c r="T258" s="8"/>
      <c r="U258" s="8"/>
      <c r="V258" s="8">
        <f t="shared" si="105"/>
        <v>0</v>
      </c>
      <c r="W258" s="8">
        <f t="shared" si="106"/>
        <v>0</v>
      </c>
      <c r="X258" s="30">
        <f t="shared" si="89"/>
        <v>0</v>
      </c>
      <c r="Y258" s="30">
        <f t="shared" si="90"/>
        <v>0</v>
      </c>
      <c r="Z258" s="30">
        <f t="shared" si="103"/>
        <v>0</v>
      </c>
      <c r="AA258" s="30">
        <f t="shared" si="104"/>
        <v>0</v>
      </c>
      <c r="AB258" s="30">
        <v>0</v>
      </c>
      <c r="AC258" s="30">
        <v>0</v>
      </c>
      <c r="AD258" s="8">
        <v>1</v>
      </c>
      <c r="AE258" s="8">
        <v>0</v>
      </c>
      <c r="AF258" s="8">
        <v>28160</v>
      </c>
      <c r="AG258" s="8">
        <v>0</v>
      </c>
      <c r="AH258" s="23">
        <f t="shared" si="91"/>
        <v>0</v>
      </c>
      <c r="AI258" s="23">
        <f t="shared" si="92"/>
        <v>0</v>
      </c>
      <c r="AJ258" s="23">
        <f t="shared" si="93"/>
        <v>1</v>
      </c>
      <c r="AK258" s="23">
        <f t="shared" si="94"/>
        <v>28160</v>
      </c>
      <c r="AL258" s="8">
        <v>0</v>
      </c>
      <c r="AM258" s="8">
        <v>0</v>
      </c>
      <c r="AN258" s="8">
        <v>1</v>
      </c>
      <c r="AO258" s="8">
        <v>28160</v>
      </c>
      <c r="AP258" s="26">
        <v>0</v>
      </c>
      <c r="AQ258" s="13"/>
      <c r="AR258" s="14">
        <v>0</v>
      </c>
      <c r="AS258" s="13"/>
      <c r="AT258" s="13"/>
      <c r="AU258" s="13"/>
      <c r="AV258" s="13"/>
      <c r="AW258" s="13"/>
      <c r="AX258" s="13"/>
    </row>
    <row r="259" spans="2:50">
      <c r="B259" s="12">
        <v>11961</v>
      </c>
      <c r="C259" s="11" t="s">
        <v>25</v>
      </c>
      <c r="D259" s="11" t="s">
        <v>167</v>
      </c>
      <c r="E259" s="25">
        <v>0</v>
      </c>
      <c r="F259" s="25">
        <v>0</v>
      </c>
      <c r="G259" s="25">
        <v>0</v>
      </c>
      <c r="H259" s="25">
        <v>0</v>
      </c>
      <c r="I259" s="40">
        <v>0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29">
        <v>0</v>
      </c>
      <c r="R259" s="8">
        <v>1</v>
      </c>
      <c r="S259" s="8"/>
      <c r="T259" s="8">
        <v>1296.3499999999999</v>
      </c>
      <c r="U259" s="8"/>
      <c r="V259" s="8">
        <f t="shared" si="105"/>
        <v>0</v>
      </c>
      <c r="W259" s="8">
        <f t="shared" si="106"/>
        <v>0</v>
      </c>
      <c r="X259" s="30">
        <f t="shared" si="89"/>
        <v>1</v>
      </c>
      <c r="Y259" s="30">
        <f t="shared" si="90"/>
        <v>1296.3499999999999</v>
      </c>
      <c r="Z259" s="30">
        <f t="shared" si="103"/>
        <v>0</v>
      </c>
      <c r="AA259" s="30">
        <f t="shared" si="104"/>
        <v>0</v>
      </c>
      <c r="AB259" s="30">
        <v>1.3333333333333333</v>
      </c>
      <c r="AC259" s="30">
        <v>1728.4666666666665</v>
      </c>
      <c r="AD259" s="8">
        <v>1</v>
      </c>
      <c r="AE259" s="8">
        <v>0</v>
      </c>
      <c r="AF259" s="8">
        <v>14000</v>
      </c>
      <c r="AG259" s="8">
        <v>0</v>
      </c>
      <c r="AH259" s="23">
        <f t="shared" si="91"/>
        <v>0</v>
      </c>
      <c r="AI259" s="23">
        <f t="shared" si="92"/>
        <v>0</v>
      </c>
      <c r="AJ259" s="23">
        <f t="shared" si="93"/>
        <v>1</v>
      </c>
      <c r="AK259" s="23">
        <f t="shared" si="94"/>
        <v>14000</v>
      </c>
      <c r="AL259" s="8">
        <v>0</v>
      </c>
      <c r="AM259" s="8">
        <v>0</v>
      </c>
      <c r="AN259" s="8">
        <v>1</v>
      </c>
      <c r="AO259" s="8">
        <v>14000</v>
      </c>
      <c r="AP259" s="26">
        <v>0</v>
      </c>
      <c r="AQ259" s="13"/>
      <c r="AR259" s="14">
        <v>0</v>
      </c>
      <c r="AS259" s="13"/>
      <c r="AT259" s="13"/>
      <c r="AU259" s="13"/>
      <c r="AV259" s="13"/>
      <c r="AW259" s="13"/>
      <c r="AX259" s="13"/>
    </row>
    <row r="260" spans="2:50" ht="30">
      <c r="B260" s="12">
        <v>10891</v>
      </c>
      <c r="C260" s="11" t="s">
        <v>34</v>
      </c>
      <c r="D260" s="11" t="s">
        <v>168</v>
      </c>
      <c r="E260" s="25">
        <v>1</v>
      </c>
      <c r="F260" s="25">
        <v>0</v>
      </c>
      <c r="G260" s="25">
        <v>13113.98</v>
      </c>
      <c r="H260" s="25">
        <v>0</v>
      </c>
      <c r="I260" s="40">
        <v>0</v>
      </c>
      <c r="J260" s="37">
        <v>0</v>
      </c>
      <c r="K260" s="37">
        <v>0</v>
      </c>
      <c r="L260" s="37">
        <v>0</v>
      </c>
      <c r="M260" s="22">
        <v>0</v>
      </c>
      <c r="N260" s="22">
        <v>0</v>
      </c>
      <c r="O260" s="22">
        <v>1</v>
      </c>
      <c r="P260" s="22">
        <v>13113.98</v>
      </c>
      <c r="Q260" s="29">
        <v>100</v>
      </c>
      <c r="R260" s="8"/>
      <c r="S260" s="8"/>
      <c r="T260" s="8"/>
      <c r="U260" s="8"/>
      <c r="V260" s="8">
        <f t="shared" si="105"/>
        <v>0</v>
      </c>
      <c r="W260" s="8">
        <f t="shared" si="106"/>
        <v>0</v>
      </c>
      <c r="X260" s="30">
        <f t="shared" si="89"/>
        <v>0</v>
      </c>
      <c r="Y260" s="30">
        <f t="shared" si="90"/>
        <v>0</v>
      </c>
      <c r="Z260" s="30">
        <f t="shared" si="103"/>
        <v>0</v>
      </c>
      <c r="AA260" s="30">
        <f t="shared" si="104"/>
        <v>0</v>
      </c>
      <c r="AB260" s="30">
        <v>0</v>
      </c>
      <c r="AC260" s="30">
        <v>0</v>
      </c>
      <c r="AD260" s="8">
        <v>0</v>
      </c>
      <c r="AE260" s="8">
        <v>0</v>
      </c>
      <c r="AF260" s="8">
        <v>0</v>
      </c>
      <c r="AG260" s="8">
        <v>0</v>
      </c>
      <c r="AH260" s="23">
        <f t="shared" si="91"/>
        <v>0</v>
      </c>
      <c r="AI260" s="23">
        <f t="shared" si="92"/>
        <v>0</v>
      </c>
      <c r="AJ260" s="23">
        <f t="shared" si="93"/>
        <v>0</v>
      </c>
      <c r="AK260" s="23">
        <f t="shared" si="94"/>
        <v>0</v>
      </c>
      <c r="AL260" s="8">
        <v>0</v>
      </c>
      <c r="AM260" s="8">
        <v>0</v>
      </c>
      <c r="AN260" s="8">
        <v>0</v>
      </c>
      <c r="AO260" s="8">
        <v>0</v>
      </c>
      <c r="AP260" s="26">
        <v>19.074999999999999</v>
      </c>
      <c r="AQ260" s="13"/>
      <c r="AR260" s="14">
        <v>0</v>
      </c>
      <c r="AS260" s="13"/>
      <c r="AT260" s="13"/>
      <c r="AU260" s="13"/>
      <c r="AV260" s="13"/>
      <c r="AW260" s="13"/>
      <c r="AX260" s="13"/>
    </row>
    <row r="261" spans="2:50">
      <c r="B261" s="12">
        <v>1107</v>
      </c>
      <c r="C261" s="11" t="s">
        <v>22</v>
      </c>
      <c r="D261" s="11" t="s">
        <v>169</v>
      </c>
      <c r="E261" s="25">
        <v>1</v>
      </c>
      <c r="F261" s="25">
        <v>0</v>
      </c>
      <c r="G261" s="25">
        <v>4612.5</v>
      </c>
      <c r="H261" s="25">
        <v>0</v>
      </c>
      <c r="I261" s="40">
        <v>0</v>
      </c>
      <c r="J261" s="37">
        <v>0</v>
      </c>
      <c r="K261" s="37">
        <v>0</v>
      </c>
      <c r="L261" s="37">
        <v>0</v>
      </c>
      <c r="M261" s="22">
        <v>0</v>
      </c>
      <c r="N261" s="22">
        <v>0</v>
      </c>
      <c r="O261" s="22">
        <v>1</v>
      </c>
      <c r="P261" s="22">
        <v>4612.5</v>
      </c>
      <c r="Q261" s="29">
        <v>400</v>
      </c>
      <c r="R261" s="8"/>
      <c r="S261" s="8"/>
      <c r="T261" s="8"/>
      <c r="U261" s="8"/>
      <c r="V261" s="8">
        <f t="shared" si="105"/>
        <v>0</v>
      </c>
      <c r="W261" s="8">
        <f t="shared" si="106"/>
        <v>0</v>
      </c>
      <c r="X261" s="30">
        <f t="shared" si="89"/>
        <v>0</v>
      </c>
      <c r="Y261" s="30">
        <f t="shared" si="90"/>
        <v>0</v>
      </c>
      <c r="Z261" s="30">
        <f t="shared" si="103"/>
        <v>0</v>
      </c>
      <c r="AA261" s="30">
        <f t="shared" si="104"/>
        <v>0</v>
      </c>
      <c r="AB261" s="30">
        <v>0</v>
      </c>
      <c r="AC261" s="30">
        <v>0</v>
      </c>
      <c r="AD261" s="8">
        <v>0</v>
      </c>
      <c r="AE261" s="8">
        <v>0</v>
      </c>
      <c r="AF261" s="8">
        <v>0</v>
      </c>
      <c r="AG261" s="8">
        <v>0</v>
      </c>
      <c r="AH261" s="23">
        <f t="shared" si="91"/>
        <v>0</v>
      </c>
      <c r="AI261" s="23">
        <f t="shared" si="92"/>
        <v>0</v>
      </c>
      <c r="AJ261" s="23">
        <f t="shared" si="93"/>
        <v>0</v>
      </c>
      <c r="AK261" s="23">
        <f t="shared" si="94"/>
        <v>0</v>
      </c>
      <c r="AL261" s="8">
        <v>0</v>
      </c>
      <c r="AM261" s="8">
        <v>0</v>
      </c>
      <c r="AN261" s="8">
        <v>0</v>
      </c>
      <c r="AO261" s="8">
        <v>0</v>
      </c>
      <c r="AP261" s="26">
        <v>0</v>
      </c>
      <c r="AQ261" s="13"/>
      <c r="AR261" s="14">
        <v>0</v>
      </c>
      <c r="AS261" s="13"/>
      <c r="AT261" s="13"/>
      <c r="AU261" s="13"/>
      <c r="AV261" s="13"/>
      <c r="AW261" s="13"/>
      <c r="AX261" s="13"/>
    </row>
    <row r="262" spans="2:50">
      <c r="B262" s="12">
        <v>1113</v>
      </c>
      <c r="C262" s="11" t="s">
        <v>22</v>
      </c>
      <c r="D262" s="11" t="s">
        <v>169</v>
      </c>
      <c r="E262" s="25">
        <v>5</v>
      </c>
      <c r="F262" s="25">
        <v>0</v>
      </c>
      <c r="G262" s="25">
        <v>83190</v>
      </c>
      <c r="H262" s="25">
        <v>0</v>
      </c>
      <c r="I262" s="40">
        <v>0</v>
      </c>
      <c r="J262" s="37">
        <v>0</v>
      </c>
      <c r="K262" s="37">
        <v>0</v>
      </c>
      <c r="L262" s="37">
        <v>0</v>
      </c>
      <c r="M262" s="22">
        <v>0</v>
      </c>
      <c r="N262" s="22">
        <v>0</v>
      </c>
      <c r="O262" s="22">
        <v>5</v>
      </c>
      <c r="P262" s="22">
        <v>83190</v>
      </c>
      <c r="Q262" s="29">
        <v>0</v>
      </c>
      <c r="R262" s="8"/>
      <c r="S262" s="8"/>
      <c r="T262" s="8"/>
      <c r="U262" s="8"/>
      <c r="V262" s="8">
        <f t="shared" si="105"/>
        <v>0</v>
      </c>
      <c r="W262" s="8">
        <f t="shared" si="106"/>
        <v>0</v>
      </c>
      <c r="X262" s="30">
        <f t="shared" si="89"/>
        <v>0</v>
      </c>
      <c r="Y262" s="30">
        <f t="shared" si="90"/>
        <v>0</v>
      </c>
      <c r="Z262" s="30">
        <f t="shared" si="103"/>
        <v>0</v>
      </c>
      <c r="AA262" s="30">
        <f t="shared" si="104"/>
        <v>0</v>
      </c>
      <c r="AB262" s="30">
        <v>0</v>
      </c>
      <c r="AC262" s="30">
        <v>0</v>
      </c>
      <c r="AD262" s="8">
        <v>0</v>
      </c>
      <c r="AE262" s="8">
        <v>0</v>
      </c>
      <c r="AF262" s="8">
        <v>0</v>
      </c>
      <c r="AG262" s="8">
        <v>0</v>
      </c>
      <c r="AH262" s="23">
        <f t="shared" si="91"/>
        <v>0</v>
      </c>
      <c r="AI262" s="23">
        <f t="shared" si="92"/>
        <v>0</v>
      </c>
      <c r="AJ262" s="23">
        <f t="shared" si="93"/>
        <v>0</v>
      </c>
      <c r="AK262" s="23">
        <f t="shared" si="94"/>
        <v>0</v>
      </c>
      <c r="AL262" s="8">
        <v>0</v>
      </c>
      <c r="AM262" s="8">
        <v>0</v>
      </c>
      <c r="AN262" s="8">
        <v>0</v>
      </c>
      <c r="AO262" s="8">
        <v>0</v>
      </c>
      <c r="AP262" s="26">
        <v>0</v>
      </c>
      <c r="AQ262" s="13"/>
      <c r="AR262" s="14">
        <v>0</v>
      </c>
      <c r="AS262" s="13"/>
      <c r="AT262" s="13"/>
      <c r="AU262" s="13"/>
      <c r="AV262" s="13"/>
      <c r="AW262" s="13"/>
      <c r="AX262" s="13"/>
    </row>
    <row r="263" spans="2:50">
      <c r="B263" s="12">
        <v>1148</v>
      </c>
      <c r="C263" s="11" t="s">
        <v>22</v>
      </c>
      <c r="D263" s="11" t="s">
        <v>169</v>
      </c>
      <c r="E263" s="25">
        <v>3</v>
      </c>
      <c r="F263" s="25">
        <v>0</v>
      </c>
      <c r="G263" s="25">
        <v>110000</v>
      </c>
      <c r="H263" s="25">
        <v>0</v>
      </c>
      <c r="I263" s="40">
        <v>0</v>
      </c>
      <c r="J263" s="37">
        <v>0</v>
      </c>
      <c r="K263" s="37">
        <v>0</v>
      </c>
      <c r="L263" s="37">
        <v>0</v>
      </c>
      <c r="M263" s="22">
        <v>0</v>
      </c>
      <c r="N263" s="22">
        <v>0</v>
      </c>
      <c r="O263" s="22">
        <v>3</v>
      </c>
      <c r="P263" s="22">
        <v>110000</v>
      </c>
      <c r="Q263" s="29">
        <v>0</v>
      </c>
      <c r="R263" s="8">
        <v>5</v>
      </c>
      <c r="S263" s="8"/>
      <c r="T263" s="8">
        <v>62742.670000000006</v>
      </c>
      <c r="U263" s="8"/>
      <c r="V263" s="8">
        <f t="shared" si="105"/>
        <v>0</v>
      </c>
      <c r="W263" s="8">
        <f t="shared" si="106"/>
        <v>0</v>
      </c>
      <c r="X263" s="30">
        <f t="shared" si="89"/>
        <v>5</v>
      </c>
      <c r="Y263" s="30">
        <f t="shared" si="90"/>
        <v>62742.670000000006</v>
      </c>
      <c r="Z263" s="30">
        <f t="shared" si="103"/>
        <v>0</v>
      </c>
      <c r="AA263" s="30">
        <f t="shared" si="104"/>
        <v>0</v>
      </c>
      <c r="AB263" s="30">
        <v>6.666666666666667</v>
      </c>
      <c r="AC263" s="30">
        <v>83656.893333333341</v>
      </c>
      <c r="AD263" s="8">
        <v>1</v>
      </c>
      <c r="AE263" s="8">
        <v>0</v>
      </c>
      <c r="AF263" s="8">
        <v>104607.01</v>
      </c>
      <c r="AG263" s="8">
        <v>0</v>
      </c>
      <c r="AH263" s="23">
        <f t="shared" si="91"/>
        <v>0</v>
      </c>
      <c r="AI263" s="23">
        <f t="shared" si="92"/>
        <v>0</v>
      </c>
      <c r="AJ263" s="23">
        <f t="shared" si="93"/>
        <v>1</v>
      </c>
      <c r="AK263" s="23">
        <f t="shared" si="94"/>
        <v>104607.01</v>
      </c>
      <c r="AL263" s="8">
        <v>0</v>
      </c>
      <c r="AM263" s="8">
        <v>0</v>
      </c>
      <c r="AN263" s="8">
        <v>1</v>
      </c>
      <c r="AO263" s="8">
        <v>104607.01</v>
      </c>
      <c r="AP263" s="26">
        <v>0</v>
      </c>
      <c r="AQ263" s="13"/>
      <c r="AR263" s="14">
        <v>0</v>
      </c>
      <c r="AS263" s="13"/>
      <c r="AT263" s="13"/>
      <c r="AU263" s="13"/>
      <c r="AV263" s="13"/>
      <c r="AW263" s="8"/>
      <c r="AX263" s="8"/>
    </row>
    <row r="264" spans="2:50">
      <c r="B264" s="12">
        <v>199</v>
      </c>
      <c r="C264" s="11" t="s">
        <v>13</v>
      </c>
      <c r="D264" s="11" t="s">
        <v>170</v>
      </c>
      <c r="E264" s="25">
        <v>0</v>
      </c>
      <c r="F264" s="25">
        <v>0</v>
      </c>
      <c r="G264" s="25">
        <v>0</v>
      </c>
      <c r="H264" s="25">
        <v>0</v>
      </c>
      <c r="I264" s="40">
        <v>0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29">
        <v>0</v>
      </c>
      <c r="R264" s="8">
        <v>1</v>
      </c>
      <c r="S264" s="8"/>
      <c r="T264" s="8">
        <v>11508</v>
      </c>
      <c r="U264" s="8"/>
      <c r="V264" s="8">
        <f t="shared" si="105"/>
        <v>0</v>
      </c>
      <c r="W264" s="8">
        <f t="shared" si="106"/>
        <v>0</v>
      </c>
      <c r="X264" s="30">
        <f t="shared" ref="X264:X309" si="107">+R264</f>
        <v>1</v>
      </c>
      <c r="Y264" s="30">
        <f t="shared" ref="Y264:Y309" si="108">+T264</f>
        <v>11508</v>
      </c>
      <c r="Z264" s="30">
        <f t="shared" si="103"/>
        <v>0</v>
      </c>
      <c r="AA264" s="30">
        <f t="shared" si="104"/>
        <v>0</v>
      </c>
      <c r="AB264" s="30">
        <v>1.3333333333333333</v>
      </c>
      <c r="AC264" s="30">
        <v>15344</v>
      </c>
      <c r="AD264" s="8">
        <v>9</v>
      </c>
      <c r="AE264" s="8">
        <v>0</v>
      </c>
      <c r="AF264" s="8">
        <v>508809.93</v>
      </c>
      <c r="AG264" s="8">
        <v>0</v>
      </c>
      <c r="AH264" s="23">
        <f t="shared" ref="AH264:AH309" si="109">+AE264</f>
        <v>0</v>
      </c>
      <c r="AI264" s="23">
        <f t="shared" ref="AI264:AI309" si="110">+AG264</f>
        <v>0</v>
      </c>
      <c r="AJ264" s="23">
        <f t="shared" ref="AJ264:AJ309" si="111">+AD264</f>
        <v>9</v>
      </c>
      <c r="AK264" s="23">
        <f t="shared" ref="AK264:AK309" si="112">+AF264</f>
        <v>508809.93</v>
      </c>
      <c r="AL264" s="8">
        <v>0</v>
      </c>
      <c r="AM264" s="8">
        <v>0</v>
      </c>
      <c r="AN264" s="8">
        <v>9</v>
      </c>
      <c r="AO264" s="8">
        <v>508809.93</v>
      </c>
      <c r="AP264" s="26">
        <v>0</v>
      </c>
      <c r="AQ264" s="13"/>
      <c r="AR264" s="14">
        <v>0</v>
      </c>
      <c r="AS264" s="13"/>
      <c r="AT264" s="13"/>
      <c r="AU264" s="13"/>
      <c r="AV264" s="13"/>
      <c r="AW264" s="13"/>
      <c r="AX264" s="13"/>
    </row>
    <row r="265" spans="2:50" s="2" customFormat="1">
      <c r="B265" s="12">
        <v>283</v>
      </c>
      <c r="C265" s="11" t="s">
        <v>13</v>
      </c>
      <c r="D265" s="11" t="s">
        <v>170</v>
      </c>
      <c r="E265" s="25">
        <v>0</v>
      </c>
      <c r="F265" s="25">
        <v>0</v>
      </c>
      <c r="G265" s="25">
        <v>0</v>
      </c>
      <c r="H265" s="25">
        <v>0</v>
      </c>
      <c r="I265" s="40">
        <v>0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29">
        <v>0</v>
      </c>
      <c r="R265" s="8">
        <v>3</v>
      </c>
      <c r="S265" s="8"/>
      <c r="T265" s="8">
        <v>6664302.1900000004</v>
      </c>
      <c r="U265" s="8"/>
      <c r="V265" s="8">
        <f t="shared" si="105"/>
        <v>0</v>
      </c>
      <c r="W265" s="8">
        <f t="shared" si="106"/>
        <v>0</v>
      </c>
      <c r="X265" s="30">
        <f t="shared" si="107"/>
        <v>3</v>
      </c>
      <c r="Y265" s="30">
        <f t="shared" si="108"/>
        <v>6664302.1900000004</v>
      </c>
      <c r="Z265" s="30">
        <f t="shared" si="103"/>
        <v>0</v>
      </c>
      <c r="AA265" s="30">
        <f t="shared" si="104"/>
        <v>0</v>
      </c>
      <c r="AB265" s="30">
        <v>4</v>
      </c>
      <c r="AC265" s="30">
        <v>8885736.2533333339</v>
      </c>
      <c r="AD265" s="8">
        <v>4</v>
      </c>
      <c r="AE265" s="8">
        <v>0</v>
      </c>
      <c r="AF265" s="8">
        <v>2799599</v>
      </c>
      <c r="AG265" s="8">
        <v>0</v>
      </c>
      <c r="AH265" s="23">
        <f t="shared" si="109"/>
        <v>0</v>
      </c>
      <c r="AI265" s="23">
        <f t="shared" si="110"/>
        <v>0</v>
      </c>
      <c r="AJ265" s="23">
        <f t="shared" si="111"/>
        <v>4</v>
      </c>
      <c r="AK265" s="23">
        <f t="shared" si="112"/>
        <v>2799599</v>
      </c>
      <c r="AL265" s="8">
        <v>0</v>
      </c>
      <c r="AM265" s="8">
        <v>0</v>
      </c>
      <c r="AN265" s="8">
        <v>4</v>
      </c>
      <c r="AO265" s="8">
        <v>2799599</v>
      </c>
      <c r="AP265" s="26">
        <v>0</v>
      </c>
      <c r="AQ265" s="13"/>
      <c r="AR265" s="14">
        <v>0</v>
      </c>
      <c r="AS265" s="13"/>
      <c r="AT265" s="13"/>
      <c r="AU265" s="13"/>
      <c r="AV265" s="13"/>
      <c r="AW265" s="13"/>
      <c r="AX265" s="13"/>
    </row>
    <row r="266" spans="2:50">
      <c r="B266" s="12">
        <v>580</v>
      </c>
      <c r="C266" s="11" t="s">
        <v>16</v>
      </c>
      <c r="D266" s="11" t="s">
        <v>171</v>
      </c>
      <c r="E266" s="25">
        <v>2</v>
      </c>
      <c r="F266" s="25">
        <v>1</v>
      </c>
      <c r="G266" s="25">
        <v>53500</v>
      </c>
      <c r="H266" s="25">
        <v>13300</v>
      </c>
      <c r="I266" s="39">
        <v>0</v>
      </c>
      <c r="J266" s="22">
        <v>0</v>
      </c>
      <c r="K266" s="22">
        <v>0</v>
      </c>
      <c r="L266" s="22">
        <v>0</v>
      </c>
      <c r="M266" s="22">
        <v>1</v>
      </c>
      <c r="N266" s="22">
        <v>13300</v>
      </c>
      <c r="O266" s="22">
        <v>2</v>
      </c>
      <c r="P266" s="22">
        <v>53500</v>
      </c>
      <c r="Q266" s="29">
        <v>1.024</v>
      </c>
      <c r="R266" s="8"/>
      <c r="S266" s="8">
        <f>+VLOOKUP(B266,[1]Лист2!$A$4:$B$188,2,0)</f>
        <v>2</v>
      </c>
      <c r="T266" s="8"/>
      <c r="U266" s="8">
        <f>+VLOOKUP(B266,[1]Лист2!$A$4:$C$188,3,0)</f>
        <v>11330</v>
      </c>
      <c r="V266" s="8">
        <f t="shared" si="105"/>
        <v>2</v>
      </c>
      <c r="W266" s="8">
        <f t="shared" si="106"/>
        <v>11330</v>
      </c>
      <c r="X266" s="30">
        <f t="shared" si="107"/>
        <v>0</v>
      </c>
      <c r="Y266" s="30">
        <f t="shared" si="108"/>
        <v>0</v>
      </c>
      <c r="Z266" s="30">
        <f t="shared" si="103"/>
        <v>2.6666666666666665</v>
      </c>
      <c r="AA266" s="30">
        <f t="shared" si="104"/>
        <v>15106.666666666666</v>
      </c>
      <c r="AB266" s="30">
        <v>0</v>
      </c>
      <c r="AC266" s="30">
        <v>0</v>
      </c>
      <c r="AD266" s="8">
        <v>1</v>
      </c>
      <c r="AE266" s="8">
        <v>3</v>
      </c>
      <c r="AF266" s="8">
        <v>2654.75</v>
      </c>
      <c r="AG266" s="8">
        <v>27800</v>
      </c>
      <c r="AH266" s="23">
        <f t="shared" si="109"/>
        <v>3</v>
      </c>
      <c r="AI266" s="23">
        <f t="shared" si="110"/>
        <v>27800</v>
      </c>
      <c r="AJ266" s="23">
        <f t="shared" si="111"/>
        <v>1</v>
      </c>
      <c r="AK266" s="23">
        <f t="shared" si="112"/>
        <v>2654.75</v>
      </c>
      <c r="AL266" s="8">
        <v>3</v>
      </c>
      <c r="AM266" s="8">
        <v>27800</v>
      </c>
      <c r="AN266" s="8">
        <v>1</v>
      </c>
      <c r="AO266" s="8">
        <v>2654.75</v>
      </c>
      <c r="AP266" s="26">
        <v>0</v>
      </c>
      <c r="AQ266" s="13"/>
      <c r="AR266" s="14">
        <v>0</v>
      </c>
      <c r="AS266" s="13"/>
      <c r="AT266" s="13"/>
      <c r="AU266" s="13"/>
      <c r="AV266" s="13"/>
      <c r="AW266" s="8"/>
      <c r="AX266" s="8"/>
    </row>
    <row r="267" spans="2:50">
      <c r="B267" s="12">
        <v>312</v>
      </c>
      <c r="C267" s="11" t="s">
        <v>16</v>
      </c>
      <c r="D267" s="11" t="s">
        <v>171</v>
      </c>
      <c r="E267" s="25">
        <v>0</v>
      </c>
      <c r="F267" s="25">
        <v>1</v>
      </c>
      <c r="G267" s="25">
        <v>0</v>
      </c>
      <c r="H267" s="25">
        <v>110370</v>
      </c>
      <c r="I267" s="39">
        <v>0</v>
      </c>
      <c r="J267" s="22">
        <v>0</v>
      </c>
      <c r="K267" s="22">
        <v>0</v>
      </c>
      <c r="L267" s="22">
        <v>0</v>
      </c>
      <c r="M267" s="22">
        <v>1</v>
      </c>
      <c r="N267" s="22">
        <v>110370</v>
      </c>
      <c r="O267" s="22">
        <v>0</v>
      </c>
      <c r="P267" s="22">
        <v>0</v>
      </c>
      <c r="Q267" s="29">
        <v>184.58010000000002</v>
      </c>
      <c r="R267" s="8">
        <v>4</v>
      </c>
      <c r="S267" s="8"/>
      <c r="T267" s="8">
        <v>56513</v>
      </c>
      <c r="U267" s="8"/>
      <c r="V267" s="8">
        <f t="shared" si="105"/>
        <v>0</v>
      </c>
      <c r="W267" s="8">
        <f t="shared" si="106"/>
        <v>0</v>
      </c>
      <c r="X267" s="30">
        <f t="shared" si="107"/>
        <v>4</v>
      </c>
      <c r="Y267" s="30">
        <f t="shared" si="108"/>
        <v>56513</v>
      </c>
      <c r="Z267" s="30">
        <f t="shared" si="103"/>
        <v>0</v>
      </c>
      <c r="AA267" s="30">
        <f t="shared" si="104"/>
        <v>0</v>
      </c>
      <c r="AB267" s="30">
        <v>5.333333333333333</v>
      </c>
      <c r="AC267" s="30">
        <v>75350.666666666672</v>
      </c>
      <c r="AD267" s="8">
        <v>4</v>
      </c>
      <c r="AE267" s="8">
        <v>1</v>
      </c>
      <c r="AF267" s="8">
        <v>150894.24</v>
      </c>
      <c r="AG267" s="8">
        <v>2184</v>
      </c>
      <c r="AH267" s="23">
        <f t="shared" si="109"/>
        <v>1</v>
      </c>
      <c r="AI267" s="23">
        <f t="shared" si="110"/>
        <v>2184</v>
      </c>
      <c r="AJ267" s="23">
        <f t="shared" si="111"/>
        <v>4</v>
      </c>
      <c r="AK267" s="23">
        <f t="shared" si="112"/>
        <v>150894.24</v>
      </c>
      <c r="AL267" s="8">
        <v>1</v>
      </c>
      <c r="AM267" s="8">
        <v>2184</v>
      </c>
      <c r="AN267" s="8">
        <v>4</v>
      </c>
      <c r="AO267" s="8">
        <v>150894.24</v>
      </c>
      <c r="AP267" s="26">
        <v>0</v>
      </c>
      <c r="AQ267" s="13"/>
      <c r="AR267" s="14">
        <v>0</v>
      </c>
      <c r="AS267" s="13"/>
      <c r="AT267" s="13"/>
      <c r="AU267" s="13"/>
      <c r="AV267" s="13"/>
      <c r="AW267" s="13"/>
      <c r="AX267" s="13"/>
    </row>
    <row r="268" spans="2:50">
      <c r="B268" s="12">
        <v>1076</v>
      </c>
      <c r="C268" s="11" t="s">
        <v>16</v>
      </c>
      <c r="D268" s="11" t="s">
        <v>171</v>
      </c>
      <c r="E268" s="25">
        <v>0</v>
      </c>
      <c r="F268" s="25">
        <v>2</v>
      </c>
      <c r="G268" s="25">
        <v>0</v>
      </c>
      <c r="H268" s="25">
        <v>56395</v>
      </c>
      <c r="I268" s="39">
        <v>0</v>
      </c>
      <c r="J268" s="22">
        <v>0</v>
      </c>
      <c r="K268" s="22">
        <v>0</v>
      </c>
      <c r="L268" s="22">
        <v>0</v>
      </c>
      <c r="M268" s="22">
        <v>2</v>
      </c>
      <c r="N268" s="22">
        <v>56395</v>
      </c>
      <c r="O268" s="22">
        <v>0</v>
      </c>
      <c r="P268" s="22">
        <v>0</v>
      </c>
      <c r="Q268" s="29">
        <v>0</v>
      </c>
      <c r="R268" s="8"/>
      <c r="S268" s="8"/>
      <c r="T268" s="8"/>
      <c r="U268" s="8"/>
      <c r="V268" s="8">
        <f t="shared" si="105"/>
        <v>0</v>
      </c>
      <c r="W268" s="8">
        <f t="shared" si="106"/>
        <v>0</v>
      </c>
      <c r="X268" s="30">
        <f t="shared" si="107"/>
        <v>0</v>
      </c>
      <c r="Y268" s="30">
        <f t="shared" si="108"/>
        <v>0</v>
      </c>
      <c r="Z268" s="30">
        <f t="shared" si="103"/>
        <v>0</v>
      </c>
      <c r="AA268" s="30">
        <f t="shared" si="104"/>
        <v>0</v>
      </c>
      <c r="AB268" s="30">
        <v>0</v>
      </c>
      <c r="AC268" s="30">
        <v>0</v>
      </c>
      <c r="AD268" s="8">
        <v>0</v>
      </c>
      <c r="AE268" s="8">
        <v>0</v>
      </c>
      <c r="AF268" s="8">
        <v>0</v>
      </c>
      <c r="AG268" s="8">
        <v>0</v>
      </c>
      <c r="AH268" s="23">
        <f t="shared" si="109"/>
        <v>0</v>
      </c>
      <c r="AI268" s="23">
        <f t="shared" si="110"/>
        <v>0</v>
      </c>
      <c r="AJ268" s="23">
        <f t="shared" si="111"/>
        <v>0</v>
      </c>
      <c r="AK268" s="23">
        <f t="shared" si="112"/>
        <v>0</v>
      </c>
      <c r="AL268" s="8">
        <v>0</v>
      </c>
      <c r="AM268" s="8">
        <v>0</v>
      </c>
      <c r="AN268" s="8">
        <v>0</v>
      </c>
      <c r="AO268" s="8">
        <v>0</v>
      </c>
      <c r="AP268" s="26">
        <v>0</v>
      </c>
      <c r="AQ268" s="13"/>
      <c r="AR268" s="14">
        <v>0</v>
      </c>
      <c r="AS268" s="13"/>
      <c r="AT268" s="13"/>
      <c r="AU268" s="13"/>
      <c r="AV268" s="13"/>
      <c r="AW268" s="13"/>
      <c r="AX268" s="13"/>
    </row>
    <row r="269" spans="2:50">
      <c r="B269" s="12">
        <v>119</v>
      </c>
      <c r="C269" s="11" t="s">
        <v>16</v>
      </c>
      <c r="D269" s="11" t="s">
        <v>171</v>
      </c>
      <c r="E269" s="25">
        <v>0</v>
      </c>
      <c r="F269" s="25">
        <v>0</v>
      </c>
      <c r="G269" s="25">
        <v>0</v>
      </c>
      <c r="H269" s="25">
        <v>0</v>
      </c>
      <c r="I269" s="40">
        <v>0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29">
        <v>0</v>
      </c>
      <c r="R269" s="8"/>
      <c r="S269" s="8">
        <f>+VLOOKUP(B269,[1]Лист2!$A$4:$B$188,2,0)</f>
        <v>1</v>
      </c>
      <c r="T269" s="8"/>
      <c r="U269" s="8">
        <f>+VLOOKUP(B269,[1]Лист2!$A$4:$C$188,3,0)</f>
        <v>473.38</v>
      </c>
      <c r="V269" s="8">
        <f t="shared" si="105"/>
        <v>1</v>
      </c>
      <c r="W269" s="8">
        <f t="shared" si="106"/>
        <v>473.38</v>
      </c>
      <c r="X269" s="30">
        <f t="shared" si="107"/>
        <v>0</v>
      </c>
      <c r="Y269" s="30">
        <f t="shared" si="108"/>
        <v>0</v>
      </c>
      <c r="Z269" s="30">
        <f t="shared" si="103"/>
        <v>1.3333333333333333</v>
      </c>
      <c r="AA269" s="30">
        <f t="shared" si="104"/>
        <v>631.17333333333329</v>
      </c>
      <c r="AB269" s="30">
        <v>0</v>
      </c>
      <c r="AC269" s="30">
        <v>0</v>
      </c>
      <c r="AD269" s="8">
        <v>1</v>
      </c>
      <c r="AE269" s="8">
        <v>0</v>
      </c>
      <c r="AF269" s="8">
        <v>99032.7</v>
      </c>
      <c r="AG269" s="8">
        <v>0</v>
      </c>
      <c r="AH269" s="23">
        <f t="shared" si="109"/>
        <v>0</v>
      </c>
      <c r="AI269" s="23">
        <f t="shared" si="110"/>
        <v>0</v>
      </c>
      <c r="AJ269" s="23">
        <f t="shared" si="111"/>
        <v>1</v>
      </c>
      <c r="AK269" s="23">
        <f t="shared" si="112"/>
        <v>99032.7</v>
      </c>
      <c r="AL269" s="8">
        <v>0</v>
      </c>
      <c r="AM269" s="8">
        <v>0</v>
      </c>
      <c r="AN269" s="8">
        <v>1</v>
      </c>
      <c r="AO269" s="8">
        <v>99032.7</v>
      </c>
      <c r="AP269" s="26">
        <v>0</v>
      </c>
      <c r="AQ269" s="13"/>
      <c r="AR269" s="14">
        <v>0</v>
      </c>
      <c r="AS269" s="13"/>
      <c r="AT269" s="13"/>
      <c r="AU269" s="13"/>
      <c r="AV269" s="13"/>
      <c r="AW269" s="13"/>
      <c r="AX269" s="13"/>
    </row>
    <row r="270" spans="2:50" s="2" customFormat="1">
      <c r="B270" s="12">
        <v>122</v>
      </c>
      <c r="C270" s="11" t="s">
        <v>16</v>
      </c>
      <c r="D270" s="11" t="s">
        <v>171</v>
      </c>
      <c r="E270" s="25">
        <v>0</v>
      </c>
      <c r="F270" s="25">
        <v>0</v>
      </c>
      <c r="G270" s="25">
        <v>0</v>
      </c>
      <c r="H270" s="25">
        <v>0</v>
      </c>
      <c r="I270" s="40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29">
        <v>0</v>
      </c>
      <c r="R270" s="8"/>
      <c r="S270" s="8"/>
      <c r="T270" s="8"/>
      <c r="U270" s="8"/>
      <c r="V270" s="8">
        <f t="shared" si="105"/>
        <v>0</v>
      </c>
      <c r="W270" s="8">
        <f t="shared" si="106"/>
        <v>0</v>
      </c>
      <c r="X270" s="30">
        <f t="shared" si="107"/>
        <v>0</v>
      </c>
      <c r="Y270" s="30">
        <f t="shared" si="108"/>
        <v>0</v>
      </c>
      <c r="Z270" s="30">
        <f t="shared" si="103"/>
        <v>0</v>
      </c>
      <c r="AA270" s="30">
        <f t="shared" si="104"/>
        <v>0</v>
      </c>
      <c r="AB270" s="30">
        <v>0</v>
      </c>
      <c r="AC270" s="30">
        <v>0</v>
      </c>
      <c r="AD270" s="8">
        <v>1</v>
      </c>
      <c r="AE270" s="8">
        <v>0</v>
      </c>
      <c r="AF270" s="8">
        <v>25000</v>
      </c>
      <c r="AG270" s="8">
        <v>0</v>
      </c>
      <c r="AH270" s="23">
        <f t="shared" si="109"/>
        <v>0</v>
      </c>
      <c r="AI270" s="23">
        <f t="shared" si="110"/>
        <v>0</v>
      </c>
      <c r="AJ270" s="23">
        <f t="shared" si="111"/>
        <v>1</v>
      </c>
      <c r="AK270" s="23">
        <f t="shared" si="112"/>
        <v>25000</v>
      </c>
      <c r="AL270" s="8">
        <v>0</v>
      </c>
      <c r="AM270" s="8">
        <v>0</v>
      </c>
      <c r="AN270" s="8">
        <v>1</v>
      </c>
      <c r="AO270" s="8">
        <v>25000</v>
      </c>
      <c r="AP270" s="26">
        <v>0</v>
      </c>
      <c r="AQ270" s="13"/>
      <c r="AR270" s="14">
        <v>0</v>
      </c>
      <c r="AS270" s="13"/>
      <c r="AT270" s="13"/>
      <c r="AU270" s="13"/>
      <c r="AV270" s="13"/>
      <c r="AW270" s="13"/>
      <c r="AX270" s="13"/>
    </row>
    <row r="271" spans="2:50">
      <c r="B271" s="12">
        <v>205</v>
      </c>
      <c r="C271" s="11" t="s">
        <v>16</v>
      </c>
      <c r="D271" s="11" t="s">
        <v>171</v>
      </c>
      <c r="E271" s="25">
        <v>0</v>
      </c>
      <c r="F271" s="25">
        <v>0</v>
      </c>
      <c r="G271" s="25">
        <v>0</v>
      </c>
      <c r="H271" s="25">
        <v>0</v>
      </c>
      <c r="I271" s="40">
        <v>0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29">
        <v>0</v>
      </c>
      <c r="R271" s="8">
        <v>4</v>
      </c>
      <c r="S271" s="8"/>
      <c r="T271" s="8">
        <v>122479.12</v>
      </c>
      <c r="U271" s="8"/>
      <c r="V271" s="8">
        <f t="shared" si="105"/>
        <v>0</v>
      </c>
      <c r="W271" s="8">
        <f t="shared" si="106"/>
        <v>0</v>
      </c>
      <c r="X271" s="30">
        <f t="shared" si="107"/>
        <v>4</v>
      </c>
      <c r="Y271" s="30">
        <f t="shared" si="108"/>
        <v>122479.12</v>
      </c>
      <c r="Z271" s="30">
        <f t="shared" si="103"/>
        <v>0</v>
      </c>
      <c r="AA271" s="30">
        <f t="shared" si="104"/>
        <v>0</v>
      </c>
      <c r="AB271" s="30">
        <v>5.333333333333333</v>
      </c>
      <c r="AC271" s="30">
        <v>163305.49333333332</v>
      </c>
      <c r="AD271" s="8">
        <v>7</v>
      </c>
      <c r="AE271" s="8">
        <v>0</v>
      </c>
      <c r="AF271" s="8">
        <v>201446.59999999998</v>
      </c>
      <c r="AG271" s="8">
        <v>0</v>
      </c>
      <c r="AH271" s="23">
        <f t="shared" si="109"/>
        <v>0</v>
      </c>
      <c r="AI271" s="23">
        <f t="shared" si="110"/>
        <v>0</v>
      </c>
      <c r="AJ271" s="23">
        <f t="shared" si="111"/>
        <v>7</v>
      </c>
      <c r="AK271" s="23">
        <f t="shared" si="112"/>
        <v>201446.59999999998</v>
      </c>
      <c r="AL271" s="8">
        <v>0</v>
      </c>
      <c r="AM271" s="8">
        <v>0</v>
      </c>
      <c r="AN271" s="8">
        <v>7</v>
      </c>
      <c r="AO271" s="8">
        <v>201446.59999999998</v>
      </c>
      <c r="AP271" s="26">
        <v>1.3730499999999999</v>
      </c>
      <c r="AQ271" s="13"/>
      <c r="AR271" s="14">
        <v>0</v>
      </c>
      <c r="AS271" s="13"/>
      <c r="AT271" s="13"/>
      <c r="AU271" s="13"/>
      <c r="AV271" s="13"/>
      <c r="AW271" s="13"/>
      <c r="AX271" s="13"/>
    </row>
    <row r="272" spans="2:50" s="2" customFormat="1">
      <c r="B272" s="12">
        <v>1061</v>
      </c>
      <c r="C272" s="11" t="s">
        <v>12</v>
      </c>
      <c r="D272" s="11" t="s">
        <v>172</v>
      </c>
      <c r="E272" s="25">
        <v>26</v>
      </c>
      <c r="F272" s="25">
        <v>10</v>
      </c>
      <c r="G272" s="25">
        <v>1650000</v>
      </c>
      <c r="H272" s="25">
        <v>4144616</v>
      </c>
      <c r="I272" s="39">
        <v>0</v>
      </c>
      <c r="J272" s="22">
        <v>0</v>
      </c>
      <c r="K272" s="22">
        <v>0</v>
      </c>
      <c r="L272" s="22">
        <v>0</v>
      </c>
      <c r="M272" s="22">
        <v>10</v>
      </c>
      <c r="N272" s="22">
        <v>4144616</v>
      </c>
      <c r="O272" s="22">
        <v>26</v>
      </c>
      <c r="P272" s="22">
        <v>1650000</v>
      </c>
      <c r="Q272" s="29">
        <v>89.189400000000006</v>
      </c>
      <c r="R272" s="8">
        <v>21</v>
      </c>
      <c r="S272" s="8"/>
      <c r="T272" s="8">
        <v>954148</v>
      </c>
      <c r="U272" s="8"/>
      <c r="V272" s="8">
        <f t="shared" si="105"/>
        <v>0</v>
      </c>
      <c r="W272" s="8">
        <f t="shared" si="106"/>
        <v>0</v>
      </c>
      <c r="X272" s="30">
        <f t="shared" si="107"/>
        <v>21</v>
      </c>
      <c r="Y272" s="30">
        <f t="shared" si="108"/>
        <v>954148</v>
      </c>
      <c r="Z272" s="30">
        <f t="shared" si="103"/>
        <v>0</v>
      </c>
      <c r="AA272" s="30">
        <f t="shared" si="104"/>
        <v>0</v>
      </c>
      <c r="AB272" s="30">
        <v>28</v>
      </c>
      <c r="AC272" s="30">
        <v>1272197.3333333333</v>
      </c>
      <c r="AD272" s="8">
        <v>37</v>
      </c>
      <c r="AE272" s="8">
        <v>1</v>
      </c>
      <c r="AF272" s="8">
        <v>1592264.7300000002</v>
      </c>
      <c r="AG272" s="8">
        <v>139412.88</v>
      </c>
      <c r="AH272" s="23">
        <f t="shared" si="109"/>
        <v>1</v>
      </c>
      <c r="AI272" s="23">
        <f t="shared" si="110"/>
        <v>139412.88</v>
      </c>
      <c r="AJ272" s="23">
        <f t="shared" si="111"/>
        <v>37</v>
      </c>
      <c r="AK272" s="23">
        <f t="shared" si="112"/>
        <v>1592264.7300000002</v>
      </c>
      <c r="AL272" s="8">
        <v>1</v>
      </c>
      <c r="AM272" s="8">
        <v>139412.88</v>
      </c>
      <c r="AN272" s="8">
        <v>37</v>
      </c>
      <c r="AO272" s="8">
        <v>1592264.7300000002</v>
      </c>
      <c r="AP272" s="26">
        <v>22.9694</v>
      </c>
      <c r="AQ272" s="13"/>
      <c r="AR272" s="14">
        <v>0</v>
      </c>
      <c r="AS272" s="13"/>
      <c r="AT272" s="13"/>
      <c r="AU272" s="13"/>
      <c r="AV272" s="13"/>
      <c r="AW272" s="13"/>
      <c r="AX272" s="13"/>
    </row>
    <row r="273" spans="2:50">
      <c r="B273" s="12">
        <v>1043</v>
      </c>
      <c r="C273" s="11" t="s">
        <v>12</v>
      </c>
      <c r="D273" s="11" t="s">
        <v>172</v>
      </c>
      <c r="E273" s="25">
        <v>0</v>
      </c>
      <c r="F273" s="25">
        <v>18</v>
      </c>
      <c r="G273" s="25">
        <v>0</v>
      </c>
      <c r="H273" s="25">
        <v>760139.34999999986</v>
      </c>
      <c r="I273" s="39">
        <v>0</v>
      </c>
      <c r="J273" s="22">
        <v>0</v>
      </c>
      <c r="K273" s="22">
        <v>0</v>
      </c>
      <c r="L273" s="22">
        <v>0</v>
      </c>
      <c r="M273" s="22">
        <v>18</v>
      </c>
      <c r="N273" s="22">
        <v>760139.34999999986</v>
      </c>
      <c r="O273" s="22">
        <v>0</v>
      </c>
      <c r="P273" s="22">
        <v>0</v>
      </c>
      <c r="Q273" s="29">
        <v>0</v>
      </c>
      <c r="R273" s="8"/>
      <c r="S273" s="8">
        <f>+VLOOKUP(B273,[1]Лист2!$A$4:$B$188,2,0)</f>
        <v>45</v>
      </c>
      <c r="T273" s="8"/>
      <c r="U273" s="8">
        <f>+VLOOKUP(B273,[1]Лист2!$A$4:$C$188,3,0)</f>
        <v>1624238.6400000001</v>
      </c>
      <c r="V273" s="8">
        <f t="shared" si="105"/>
        <v>45</v>
      </c>
      <c r="W273" s="8">
        <f t="shared" si="106"/>
        <v>1624238.6400000001</v>
      </c>
      <c r="X273" s="30">
        <f t="shared" si="107"/>
        <v>0</v>
      </c>
      <c r="Y273" s="30">
        <f t="shared" si="108"/>
        <v>0</v>
      </c>
      <c r="Z273" s="30">
        <f t="shared" si="103"/>
        <v>60</v>
      </c>
      <c r="AA273" s="30">
        <f t="shared" si="104"/>
        <v>2165651.52</v>
      </c>
      <c r="AB273" s="30">
        <v>0</v>
      </c>
      <c r="AC273" s="30">
        <v>0</v>
      </c>
      <c r="AD273" s="8">
        <v>0</v>
      </c>
      <c r="AE273" s="8">
        <v>41</v>
      </c>
      <c r="AF273" s="8">
        <v>0</v>
      </c>
      <c r="AG273" s="8">
        <v>2118549.0700000003</v>
      </c>
      <c r="AH273" s="23">
        <f t="shared" si="109"/>
        <v>41</v>
      </c>
      <c r="AI273" s="23">
        <f t="shared" si="110"/>
        <v>2118549.0700000003</v>
      </c>
      <c r="AJ273" s="23">
        <f t="shared" si="111"/>
        <v>0</v>
      </c>
      <c r="AK273" s="23">
        <f t="shared" si="112"/>
        <v>0</v>
      </c>
      <c r="AL273" s="8">
        <v>41</v>
      </c>
      <c r="AM273" s="8">
        <v>2118549.0700000003</v>
      </c>
      <c r="AN273" s="8">
        <v>0</v>
      </c>
      <c r="AO273" s="8">
        <v>0</v>
      </c>
      <c r="AP273" s="26">
        <v>0</v>
      </c>
      <c r="AQ273" s="13"/>
      <c r="AR273" s="14">
        <v>0</v>
      </c>
      <c r="AS273" s="13"/>
      <c r="AT273" s="13"/>
      <c r="AU273" s="13"/>
      <c r="AV273" s="13"/>
      <c r="AW273" s="13"/>
      <c r="AX273" s="13"/>
    </row>
    <row r="274" spans="2:50">
      <c r="B274" s="12">
        <v>1082</v>
      </c>
      <c r="C274" s="11" t="s">
        <v>12</v>
      </c>
      <c r="D274" s="11" t="s">
        <v>172</v>
      </c>
      <c r="E274" s="25">
        <v>0</v>
      </c>
      <c r="F274" s="25">
        <v>0</v>
      </c>
      <c r="G274" s="25">
        <v>0</v>
      </c>
      <c r="H274" s="25">
        <v>0</v>
      </c>
      <c r="I274" s="40">
        <v>0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29">
        <v>0</v>
      </c>
      <c r="R274" s="8"/>
      <c r="S274" s="8"/>
      <c r="T274" s="8"/>
      <c r="U274" s="8"/>
      <c r="V274" s="8">
        <f t="shared" si="105"/>
        <v>0</v>
      </c>
      <c r="W274" s="8">
        <f t="shared" si="106"/>
        <v>0</v>
      </c>
      <c r="X274" s="30">
        <f t="shared" si="107"/>
        <v>0</v>
      </c>
      <c r="Y274" s="30">
        <f t="shared" si="108"/>
        <v>0</v>
      </c>
      <c r="Z274" s="30">
        <f t="shared" si="103"/>
        <v>0</v>
      </c>
      <c r="AA274" s="30">
        <f t="shared" si="104"/>
        <v>0</v>
      </c>
      <c r="AB274" s="30">
        <v>0</v>
      </c>
      <c r="AC274" s="30">
        <v>0</v>
      </c>
      <c r="AD274" s="8">
        <v>1</v>
      </c>
      <c r="AE274" s="8">
        <v>0</v>
      </c>
      <c r="AF274" s="8">
        <v>7200</v>
      </c>
      <c r="AG274" s="8">
        <v>0</v>
      </c>
      <c r="AH274" s="23">
        <f t="shared" si="109"/>
        <v>0</v>
      </c>
      <c r="AI274" s="23">
        <f t="shared" si="110"/>
        <v>0</v>
      </c>
      <c r="AJ274" s="23">
        <f t="shared" si="111"/>
        <v>1</v>
      </c>
      <c r="AK274" s="23">
        <f t="shared" si="112"/>
        <v>7200</v>
      </c>
      <c r="AL274" s="8">
        <v>0</v>
      </c>
      <c r="AM274" s="8">
        <v>0</v>
      </c>
      <c r="AN274" s="8">
        <v>1</v>
      </c>
      <c r="AO274" s="8">
        <v>7200</v>
      </c>
      <c r="AP274" s="26">
        <v>0</v>
      </c>
      <c r="AQ274" s="13"/>
      <c r="AR274" s="14">
        <v>0</v>
      </c>
      <c r="AS274" s="13"/>
      <c r="AT274" s="13"/>
      <c r="AU274" s="13"/>
      <c r="AV274" s="13"/>
      <c r="AW274" s="13"/>
      <c r="AX274" s="13"/>
    </row>
    <row r="275" spans="2:50">
      <c r="B275" s="12">
        <v>11871</v>
      </c>
      <c r="C275" s="11" t="s">
        <v>27</v>
      </c>
      <c r="D275" s="11" t="s">
        <v>173</v>
      </c>
      <c r="E275" s="25">
        <v>1</v>
      </c>
      <c r="F275" s="25">
        <v>0</v>
      </c>
      <c r="G275" s="25">
        <v>21679.83</v>
      </c>
      <c r="H275" s="25">
        <v>0</v>
      </c>
      <c r="I275" s="40">
        <v>0</v>
      </c>
      <c r="J275" s="37">
        <v>0</v>
      </c>
      <c r="K275" s="37">
        <v>0</v>
      </c>
      <c r="L275" s="37">
        <v>0</v>
      </c>
      <c r="M275" s="22">
        <v>0</v>
      </c>
      <c r="N275" s="22">
        <v>0</v>
      </c>
      <c r="O275" s="22">
        <v>1</v>
      </c>
      <c r="P275" s="22">
        <v>21679.83</v>
      </c>
      <c r="Q275" s="29">
        <v>0</v>
      </c>
      <c r="R275" s="8">
        <v>1</v>
      </c>
      <c r="S275" s="8"/>
      <c r="T275" s="8">
        <v>21162.53</v>
      </c>
      <c r="U275" s="8"/>
      <c r="V275" s="8">
        <f t="shared" si="105"/>
        <v>0</v>
      </c>
      <c r="W275" s="8">
        <f t="shared" si="106"/>
        <v>0</v>
      </c>
      <c r="X275" s="30">
        <f t="shared" si="107"/>
        <v>1</v>
      </c>
      <c r="Y275" s="30">
        <f t="shared" si="108"/>
        <v>21162.53</v>
      </c>
      <c r="Z275" s="30">
        <f t="shared" si="103"/>
        <v>0</v>
      </c>
      <c r="AA275" s="30">
        <f t="shared" si="104"/>
        <v>0</v>
      </c>
      <c r="AB275" s="30">
        <v>1.3333333333333333</v>
      </c>
      <c r="AC275" s="30">
        <v>28216.706666666665</v>
      </c>
      <c r="AD275" s="8">
        <v>0</v>
      </c>
      <c r="AE275" s="8">
        <v>0</v>
      </c>
      <c r="AF275" s="8">
        <v>0</v>
      </c>
      <c r="AG275" s="8">
        <v>0</v>
      </c>
      <c r="AH275" s="23">
        <f t="shared" si="109"/>
        <v>0</v>
      </c>
      <c r="AI275" s="23">
        <f t="shared" si="110"/>
        <v>0</v>
      </c>
      <c r="AJ275" s="23">
        <f t="shared" si="111"/>
        <v>0</v>
      </c>
      <c r="AK275" s="23">
        <f t="shared" si="112"/>
        <v>0</v>
      </c>
      <c r="AL275" s="8">
        <v>0</v>
      </c>
      <c r="AM275" s="8">
        <v>0</v>
      </c>
      <c r="AN275" s="8">
        <v>0</v>
      </c>
      <c r="AO275" s="8">
        <v>0</v>
      </c>
      <c r="AP275" s="26">
        <v>0</v>
      </c>
      <c r="AQ275" s="13"/>
      <c r="AR275" s="14">
        <v>0</v>
      </c>
      <c r="AS275" s="13"/>
      <c r="AT275" s="13"/>
      <c r="AU275" s="13"/>
      <c r="AV275" s="13"/>
      <c r="AW275" s="13"/>
      <c r="AX275" s="13"/>
    </row>
    <row r="276" spans="2:50">
      <c r="B276" s="12">
        <v>11885</v>
      </c>
      <c r="C276" s="11" t="s">
        <v>27</v>
      </c>
      <c r="D276" s="11" t="s">
        <v>173</v>
      </c>
      <c r="E276" s="25">
        <v>6</v>
      </c>
      <c r="F276" s="25">
        <v>0</v>
      </c>
      <c r="G276" s="25">
        <v>633886.19999999995</v>
      </c>
      <c r="H276" s="25">
        <v>0</v>
      </c>
      <c r="I276" s="40">
        <v>0</v>
      </c>
      <c r="J276" s="37">
        <v>0</v>
      </c>
      <c r="K276" s="37">
        <v>0</v>
      </c>
      <c r="L276" s="37">
        <v>0</v>
      </c>
      <c r="M276" s="22">
        <v>0</v>
      </c>
      <c r="N276" s="22">
        <v>0</v>
      </c>
      <c r="O276" s="22">
        <v>6</v>
      </c>
      <c r="P276" s="22">
        <v>633886.19999999995</v>
      </c>
      <c r="Q276" s="29">
        <v>0</v>
      </c>
      <c r="R276" s="8">
        <v>10</v>
      </c>
      <c r="S276" s="8"/>
      <c r="T276" s="8">
        <v>1701835.73</v>
      </c>
      <c r="U276" s="8"/>
      <c r="V276" s="8">
        <f t="shared" si="105"/>
        <v>0</v>
      </c>
      <c r="W276" s="8">
        <f t="shared" si="106"/>
        <v>0</v>
      </c>
      <c r="X276" s="30">
        <f t="shared" si="107"/>
        <v>10</v>
      </c>
      <c r="Y276" s="30">
        <f t="shared" si="108"/>
        <v>1701835.73</v>
      </c>
      <c r="Z276" s="30">
        <f t="shared" si="103"/>
        <v>0</v>
      </c>
      <c r="AA276" s="30">
        <f t="shared" si="104"/>
        <v>0</v>
      </c>
      <c r="AB276" s="30">
        <v>13.333333333333334</v>
      </c>
      <c r="AC276" s="30">
        <v>2269114.3066666666</v>
      </c>
      <c r="AD276" s="8">
        <v>4</v>
      </c>
      <c r="AE276" s="8">
        <v>0</v>
      </c>
      <c r="AF276" s="8">
        <v>344485.09</v>
      </c>
      <c r="AG276" s="8">
        <v>0</v>
      </c>
      <c r="AH276" s="23">
        <f t="shared" si="109"/>
        <v>0</v>
      </c>
      <c r="AI276" s="23">
        <f t="shared" si="110"/>
        <v>0</v>
      </c>
      <c r="AJ276" s="23">
        <f t="shared" si="111"/>
        <v>4</v>
      </c>
      <c r="AK276" s="23">
        <f t="shared" si="112"/>
        <v>344485.09</v>
      </c>
      <c r="AL276" s="8">
        <v>0</v>
      </c>
      <c r="AM276" s="8">
        <v>0</v>
      </c>
      <c r="AN276" s="8">
        <v>4</v>
      </c>
      <c r="AO276" s="8">
        <v>344485.09</v>
      </c>
      <c r="AP276" s="26">
        <v>0</v>
      </c>
      <c r="AQ276" s="13"/>
      <c r="AR276" s="14">
        <v>0</v>
      </c>
      <c r="AS276" s="13"/>
      <c r="AT276" s="13"/>
      <c r="AU276" s="13"/>
      <c r="AV276" s="13"/>
      <c r="AW276" s="13"/>
      <c r="AX276" s="13"/>
    </row>
    <row r="277" spans="2:50">
      <c r="B277" s="12">
        <v>11872</v>
      </c>
      <c r="C277" s="11" t="s">
        <v>27</v>
      </c>
      <c r="D277" s="11" t="s">
        <v>173</v>
      </c>
      <c r="E277" s="25">
        <v>0</v>
      </c>
      <c r="F277" s="25">
        <v>0</v>
      </c>
      <c r="G277" s="25">
        <v>0</v>
      </c>
      <c r="H277" s="25">
        <v>0</v>
      </c>
      <c r="I277" s="40">
        <v>0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29">
        <v>0</v>
      </c>
      <c r="R277" s="8">
        <v>1</v>
      </c>
      <c r="S277" s="8"/>
      <c r="T277" s="8">
        <v>350000</v>
      </c>
      <c r="U277" s="8"/>
      <c r="V277" s="8">
        <f t="shared" si="105"/>
        <v>0</v>
      </c>
      <c r="W277" s="8">
        <f t="shared" si="106"/>
        <v>0</v>
      </c>
      <c r="X277" s="30">
        <f t="shared" si="107"/>
        <v>1</v>
      </c>
      <c r="Y277" s="30">
        <f t="shared" si="108"/>
        <v>350000</v>
      </c>
      <c r="Z277" s="30">
        <f t="shared" si="103"/>
        <v>0</v>
      </c>
      <c r="AA277" s="30">
        <f t="shared" si="104"/>
        <v>0</v>
      </c>
      <c r="AB277" s="30">
        <v>1.3333333333333333</v>
      </c>
      <c r="AC277" s="30">
        <v>466666.66666666669</v>
      </c>
      <c r="AD277" s="8">
        <v>4</v>
      </c>
      <c r="AE277" s="8">
        <v>0</v>
      </c>
      <c r="AF277" s="8">
        <v>820520</v>
      </c>
      <c r="AG277" s="8">
        <v>0</v>
      </c>
      <c r="AH277" s="23">
        <f t="shared" si="109"/>
        <v>0</v>
      </c>
      <c r="AI277" s="23">
        <f t="shared" si="110"/>
        <v>0</v>
      </c>
      <c r="AJ277" s="23">
        <f t="shared" si="111"/>
        <v>4</v>
      </c>
      <c r="AK277" s="23">
        <f t="shared" si="112"/>
        <v>820520</v>
      </c>
      <c r="AL277" s="8">
        <v>0</v>
      </c>
      <c r="AM277" s="8">
        <v>0</v>
      </c>
      <c r="AN277" s="8">
        <v>4</v>
      </c>
      <c r="AO277" s="8">
        <v>820520</v>
      </c>
      <c r="AP277" s="26">
        <v>0</v>
      </c>
      <c r="AQ277" s="13"/>
      <c r="AR277" s="14">
        <v>0</v>
      </c>
      <c r="AS277" s="13"/>
      <c r="AT277" s="13"/>
      <c r="AU277" s="13"/>
      <c r="AV277" s="13"/>
      <c r="AW277" s="13"/>
      <c r="AX277" s="13"/>
    </row>
    <row r="278" spans="2:50">
      <c r="B278" s="12">
        <v>11649</v>
      </c>
      <c r="C278" s="11" t="s">
        <v>15</v>
      </c>
      <c r="D278" s="11" t="s">
        <v>174</v>
      </c>
      <c r="E278" s="25">
        <v>2</v>
      </c>
      <c r="F278" s="25">
        <v>1</v>
      </c>
      <c r="G278" s="25">
        <v>100000</v>
      </c>
      <c r="H278" s="25">
        <v>99969</v>
      </c>
      <c r="I278" s="39">
        <v>0</v>
      </c>
      <c r="J278" s="22">
        <v>0</v>
      </c>
      <c r="K278" s="22">
        <v>0</v>
      </c>
      <c r="L278" s="22">
        <v>0</v>
      </c>
      <c r="M278" s="22">
        <v>1</v>
      </c>
      <c r="N278" s="22">
        <v>99969</v>
      </c>
      <c r="O278" s="22">
        <v>2</v>
      </c>
      <c r="P278" s="22">
        <v>100000</v>
      </c>
      <c r="Q278" s="29">
        <v>0</v>
      </c>
      <c r="R278" s="8"/>
      <c r="S278" s="8">
        <f>+VLOOKUP(B278,[1]Лист2!$A$4:$B$188,2,0)</f>
        <v>3</v>
      </c>
      <c r="T278" s="8"/>
      <c r="U278" s="8">
        <f>+VLOOKUP(B278,[1]Лист2!$A$4:$C$188,3,0)</f>
        <v>211271.5</v>
      </c>
      <c r="V278" s="8">
        <f t="shared" si="105"/>
        <v>3</v>
      </c>
      <c r="W278" s="8">
        <f t="shared" si="106"/>
        <v>211271.5</v>
      </c>
      <c r="X278" s="30">
        <f t="shared" si="107"/>
        <v>0</v>
      </c>
      <c r="Y278" s="30">
        <f t="shared" si="108"/>
        <v>0</v>
      </c>
      <c r="Z278" s="30">
        <f t="shared" si="103"/>
        <v>4</v>
      </c>
      <c r="AA278" s="30">
        <f t="shared" si="104"/>
        <v>281695.33333333331</v>
      </c>
      <c r="AB278" s="30">
        <v>0</v>
      </c>
      <c r="AC278" s="30">
        <v>0</v>
      </c>
      <c r="AD278" s="8">
        <v>0</v>
      </c>
      <c r="AE278" s="8">
        <v>0</v>
      </c>
      <c r="AF278" s="8">
        <v>0</v>
      </c>
      <c r="AG278" s="8">
        <v>0</v>
      </c>
      <c r="AH278" s="23">
        <f t="shared" si="109"/>
        <v>0</v>
      </c>
      <c r="AI278" s="23">
        <f t="shared" si="110"/>
        <v>0</v>
      </c>
      <c r="AJ278" s="23">
        <f t="shared" si="111"/>
        <v>0</v>
      </c>
      <c r="AK278" s="23">
        <f t="shared" si="112"/>
        <v>0</v>
      </c>
      <c r="AL278" s="8">
        <v>0</v>
      </c>
      <c r="AM278" s="8">
        <v>0</v>
      </c>
      <c r="AN278" s="8">
        <v>0</v>
      </c>
      <c r="AO278" s="8">
        <v>0</v>
      </c>
      <c r="AP278" s="26">
        <v>0</v>
      </c>
      <c r="AQ278" s="13"/>
      <c r="AR278" s="14">
        <v>0</v>
      </c>
      <c r="AS278" s="13"/>
      <c r="AT278" s="13"/>
      <c r="AU278" s="13"/>
      <c r="AV278" s="13"/>
      <c r="AW278" s="13"/>
      <c r="AX278" s="13"/>
    </row>
    <row r="279" spans="2:50">
      <c r="B279" s="12">
        <v>11650</v>
      </c>
      <c r="C279" s="11" t="s">
        <v>15</v>
      </c>
      <c r="D279" s="11" t="s">
        <v>174</v>
      </c>
      <c r="E279" s="25">
        <v>1</v>
      </c>
      <c r="F279" s="25">
        <v>0</v>
      </c>
      <c r="G279" s="25">
        <v>24780</v>
      </c>
      <c r="H279" s="25">
        <v>0</v>
      </c>
      <c r="I279" s="40">
        <v>0</v>
      </c>
      <c r="J279" s="37">
        <v>0</v>
      </c>
      <c r="K279" s="37">
        <v>0</v>
      </c>
      <c r="L279" s="37">
        <v>0</v>
      </c>
      <c r="M279" s="22">
        <v>0</v>
      </c>
      <c r="N279" s="22">
        <v>0</v>
      </c>
      <c r="O279" s="22">
        <v>1</v>
      </c>
      <c r="P279" s="22">
        <v>24780</v>
      </c>
      <c r="Q279" s="29">
        <v>0</v>
      </c>
      <c r="R279" s="8">
        <v>2</v>
      </c>
      <c r="S279" s="8"/>
      <c r="T279" s="8">
        <v>18485.59</v>
      </c>
      <c r="U279" s="8"/>
      <c r="V279" s="8">
        <f t="shared" si="105"/>
        <v>0</v>
      </c>
      <c r="W279" s="8">
        <f t="shared" si="106"/>
        <v>0</v>
      </c>
      <c r="X279" s="30">
        <f t="shared" si="107"/>
        <v>2</v>
      </c>
      <c r="Y279" s="30">
        <f t="shared" si="108"/>
        <v>18485.59</v>
      </c>
      <c r="Z279" s="30">
        <f t="shared" ref="Z279:Z309" si="113">((+S279)/3)*4</f>
        <v>0</v>
      </c>
      <c r="AA279" s="30">
        <f t="shared" ref="AA279:AA309" si="114">((+U279)/3)*4</f>
        <v>0</v>
      </c>
      <c r="AB279" s="30">
        <v>2.6666666666666665</v>
      </c>
      <c r="AC279" s="30">
        <v>24647.453333333335</v>
      </c>
      <c r="AD279" s="8">
        <v>6</v>
      </c>
      <c r="AE279" s="8">
        <v>0</v>
      </c>
      <c r="AF279" s="8">
        <v>209958</v>
      </c>
      <c r="AG279" s="8">
        <v>0</v>
      </c>
      <c r="AH279" s="23">
        <f t="shared" si="109"/>
        <v>0</v>
      </c>
      <c r="AI279" s="23">
        <f t="shared" si="110"/>
        <v>0</v>
      </c>
      <c r="AJ279" s="23">
        <f t="shared" si="111"/>
        <v>6</v>
      </c>
      <c r="AK279" s="23">
        <f t="shared" si="112"/>
        <v>209958</v>
      </c>
      <c r="AL279" s="8">
        <v>0</v>
      </c>
      <c r="AM279" s="8">
        <v>0</v>
      </c>
      <c r="AN279" s="8">
        <v>6</v>
      </c>
      <c r="AO279" s="8">
        <v>209958</v>
      </c>
      <c r="AP279" s="26">
        <v>39.494999999999997</v>
      </c>
      <c r="AQ279" s="13"/>
      <c r="AR279" s="14">
        <v>0</v>
      </c>
      <c r="AS279" s="13"/>
      <c r="AT279" s="13"/>
      <c r="AU279" s="13"/>
      <c r="AV279" s="13"/>
      <c r="AW279" s="13"/>
      <c r="AX279" s="13"/>
    </row>
    <row r="280" spans="2:50">
      <c r="B280" s="12">
        <v>11703</v>
      </c>
      <c r="C280" s="11" t="s">
        <v>15</v>
      </c>
      <c r="D280" s="11" t="s">
        <v>174</v>
      </c>
      <c r="E280" s="25">
        <v>1</v>
      </c>
      <c r="F280" s="25">
        <v>0</v>
      </c>
      <c r="G280" s="25">
        <v>30443</v>
      </c>
      <c r="H280" s="25">
        <v>0</v>
      </c>
      <c r="I280" s="40">
        <v>0</v>
      </c>
      <c r="J280" s="37">
        <v>0</v>
      </c>
      <c r="K280" s="37">
        <v>0</v>
      </c>
      <c r="L280" s="37">
        <v>0</v>
      </c>
      <c r="M280" s="22">
        <v>0</v>
      </c>
      <c r="N280" s="22">
        <v>0</v>
      </c>
      <c r="O280" s="22">
        <v>1</v>
      </c>
      <c r="P280" s="22">
        <v>30443</v>
      </c>
      <c r="Q280" s="29">
        <v>3.76</v>
      </c>
      <c r="R280" s="8"/>
      <c r="S280" s="8">
        <f>+VLOOKUP(B280,[1]Лист2!$A$4:$B$188,2,0)</f>
        <v>1</v>
      </c>
      <c r="T280" s="8"/>
      <c r="U280" s="8">
        <f>+VLOOKUP(B280,[1]Лист2!$A$4:$C$188,3,0)</f>
        <v>6000</v>
      </c>
      <c r="V280" s="8">
        <f t="shared" si="105"/>
        <v>1</v>
      </c>
      <c r="W280" s="8">
        <f t="shared" si="106"/>
        <v>6000</v>
      </c>
      <c r="X280" s="30">
        <f t="shared" si="107"/>
        <v>0</v>
      </c>
      <c r="Y280" s="30">
        <f t="shared" si="108"/>
        <v>0</v>
      </c>
      <c r="Z280" s="30">
        <f t="shared" si="113"/>
        <v>1.3333333333333333</v>
      </c>
      <c r="AA280" s="30">
        <f t="shared" si="114"/>
        <v>8000</v>
      </c>
      <c r="AB280" s="30">
        <v>0</v>
      </c>
      <c r="AC280" s="30">
        <v>0</v>
      </c>
      <c r="AD280" s="8">
        <v>5</v>
      </c>
      <c r="AE280" s="8">
        <v>0</v>
      </c>
      <c r="AF280" s="8">
        <v>145204</v>
      </c>
      <c r="AG280" s="8">
        <v>0</v>
      </c>
      <c r="AH280" s="23">
        <f t="shared" si="109"/>
        <v>0</v>
      </c>
      <c r="AI280" s="23">
        <f t="shared" si="110"/>
        <v>0</v>
      </c>
      <c r="AJ280" s="23">
        <f t="shared" si="111"/>
        <v>5</v>
      </c>
      <c r="AK280" s="23">
        <f t="shared" si="112"/>
        <v>145204</v>
      </c>
      <c r="AL280" s="8">
        <v>0</v>
      </c>
      <c r="AM280" s="8">
        <v>0</v>
      </c>
      <c r="AN280" s="8">
        <v>5</v>
      </c>
      <c r="AO280" s="8">
        <v>145204</v>
      </c>
      <c r="AP280" s="26">
        <v>0</v>
      </c>
      <c r="AQ280" s="13"/>
      <c r="AR280" s="14">
        <v>0</v>
      </c>
      <c r="AS280" s="13"/>
      <c r="AT280" s="13"/>
      <c r="AU280" s="13"/>
      <c r="AV280" s="13"/>
      <c r="AW280" s="13"/>
      <c r="AX280" s="13"/>
    </row>
    <row r="281" spans="2:50" s="2" customFormat="1">
      <c r="B281" s="12">
        <v>11606</v>
      </c>
      <c r="C281" s="11" t="s">
        <v>15</v>
      </c>
      <c r="D281" s="11" t="s">
        <v>174</v>
      </c>
      <c r="E281" s="25">
        <v>0</v>
      </c>
      <c r="F281" s="25">
        <v>5</v>
      </c>
      <c r="G281" s="25">
        <v>0</v>
      </c>
      <c r="H281" s="25">
        <v>252262.03999999998</v>
      </c>
      <c r="I281" s="39">
        <v>0</v>
      </c>
      <c r="J281" s="22">
        <v>0</v>
      </c>
      <c r="K281" s="22">
        <v>0</v>
      </c>
      <c r="L281" s="22">
        <v>0</v>
      </c>
      <c r="M281" s="22">
        <v>5</v>
      </c>
      <c r="N281" s="22">
        <v>252262.03999999998</v>
      </c>
      <c r="O281" s="22">
        <v>0</v>
      </c>
      <c r="P281" s="22">
        <v>0</v>
      </c>
      <c r="Q281" s="29">
        <v>167.36351000000002</v>
      </c>
      <c r="R281" s="8"/>
      <c r="S281" s="8"/>
      <c r="T281" s="8"/>
      <c r="U281" s="8"/>
      <c r="V281" s="8">
        <f t="shared" si="105"/>
        <v>0</v>
      </c>
      <c r="W281" s="8">
        <f t="shared" si="106"/>
        <v>0</v>
      </c>
      <c r="X281" s="30">
        <f t="shared" si="107"/>
        <v>0</v>
      </c>
      <c r="Y281" s="30">
        <f t="shared" si="108"/>
        <v>0</v>
      </c>
      <c r="Z281" s="30">
        <f t="shared" si="113"/>
        <v>0</v>
      </c>
      <c r="AA281" s="30">
        <f t="shared" si="114"/>
        <v>0</v>
      </c>
      <c r="AB281" s="30">
        <v>0</v>
      </c>
      <c r="AC281" s="30">
        <v>0</v>
      </c>
      <c r="AD281" s="8">
        <v>0</v>
      </c>
      <c r="AE281" s="8">
        <v>0</v>
      </c>
      <c r="AF281" s="8">
        <v>0</v>
      </c>
      <c r="AG281" s="8">
        <v>0</v>
      </c>
      <c r="AH281" s="23">
        <f t="shared" si="109"/>
        <v>0</v>
      </c>
      <c r="AI281" s="23">
        <f t="shared" si="110"/>
        <v>0</v>
      </c>
      <c r="AJ281" s="23">
        <f t="shared" si="111"/>
        <v>0</v>
      </c>
      <c r="AK281" s="23">
        <f t="shared" si="112"/>
        <v>0</v>
      </c>
      <c r="AL281" s="8">
        <v>0</v>
      </c>
      <c r="AM281" s="8">
        <v>0</v>
      </c>
      <c r="AN281" s="8">
        <v>0</v>
      </c>
      <c r="AO281" s="8">
        <v>0</v>
      </c>
      <c r="AP281" s="26">
        <v>389.64371000000006</v>
      </c>
      <c r="AQ281" s="13"/>
      <c r="AR281" s="14">
        <v>0</v>
      </c>
      <c r="AS281" s="13"/>
      <c r="AT281" s="13"/>
      <c r="AU281" s="13"/>
      <c r="AV281" s="13"/>
      <c r="AW281" s="13"/>
      <c r="AX281" s="13"/>
    </row>
    <row r="282" spans="2:50">
      <c r="B282" s="12">
        <v>11613</v>
      </c>
      <c r="C282" s="11" t="s">
        <v>15</v>
      </c>
      <c r="D282" s="11" t="s">
        <v>174</v>
      </c>
      <c r="E282" s="25">
        <v>0</v>
      </c>
      <c r="F282" s="25">
        <v>3</v>
      </c>
      <c r="G282" s="25">
        <v>0</v>
      </c>
      <c r="H282" s="25">
        <v>51714.16</v>
      </c>
      <c r="I282" s="39">
        <v>0</v>
      </c>
      <c r="J282" s="22">
        <v>0</v>
      </c>
      <c r="K282" s="22">
        <v>0</v>
      </c>
      <c r="L282" s="22">
        <v>0</v>
      </c>
      <c r="M282" s="22">
        <v>3</v>
      </c>
      <c r="N282" s="22">
        <v>51714.16</v>
      </c>
      <c r="O282" s="22">
        <v>0</v>
      </c>
      <c r="P282" s="22">
        <v>0</v>
      </c>
      <c r="Q282" s="29">
        <v>0</v>
      </c>
      <c r="R282" s="8">
        <v>1</v>
      </c>
      <c r="S282" s="8">
        <f>+VLOOKUP(B282,[1]Лист2!$A$4:$B$188,2,0)</f>
        <v>10</v>
      </c>
      <c r="T282" s="8">
        <v>11296.79</v>
      </c>
      <c r="U282" s="8">
        <f>+VLOOKUP(B282,[1]Лист2!$A$4:$C$188,3,0)</f>
        <v>360388.64</v>
      </c>
      <c r="V282" s="8">
        <f t="shared" si="105"/>
        <v>10</v>
      </c>
      <c r="W282" s="8">
        <f t="shared" si="106"/>
        <v>360388.64</v>
      </c>
      <c r="X282" s="30">
        <f t="shared" si="107"/>
        <v>1</v>
      </c>
      <c r="Y282" s="30">
        <f t="shared" si="108"/>
        <v>11296.79</v>
      </c>
      <c r="Z282" s="30">
        <f t="shared" si="113"/>
        <v>13.333333333333334</v>
      </c>
      <c r="AA282" s="30">
        <f t="shared" si="114"/>
        <v>480518.1866666667</v>
      </c>
      <c r="AB282" s="30">
        <v>1.3333333333333333</v>
      </c>
      <c r="AC282" s="30">
        <v>15062.386666666667</v>
      </c>
      <c r="AD282" s="8">
        <v>7</v>
      </c>
      <c r="AE282" s="8">
        <v>8</v>
      </c>
      <c r="AF282" s="8">
        <v>52933.179999999993</v>
      </c>
      <c r="AG282" s="8">
        <v>254611.44</v>
      </c>
      <c r="AH282" s="23">
        <f t="shared" si="109"/>
        <v>8</v>
      </c>
      <c r="AI282" s="23">
        <f t="shared" si="110"/>
        <v>254611.44</v>
      </c>
      <c r="AJ282" s="23">
        <f t="shared" si="111"/>
        <v>7</v>
      </c>
      <c r="AK282" s="23">
        <f t="shared" si="112"/>
        <v>52933.179999999993</v>
      </c>
      <c r="AL282" s="8">
        <v>8</v>
      </c>
      <c r="AM282" s="8">
        <v>254611.44</v>
      </c>
      <c r="AN282" s="8">
        <v>7</v>
      </c>
      <c r="AO282" s="8">
        <v>52933.179999999993</v>
      </c>
      <c r="AP282" s="26">
        <v>0</v>
      </c>
      <c r="AQ282" s="13"/>
      <c r="AR282" s="14">
        <v>0</v>
      </c>
      <c r="AS282" s="13"/>
      <c r="AT282" s="13"/>
      <c r="AU282" s="13"/>
      <c r="AV282" s="13"/>
      <c r="AW282" s="13"/>
      <c r="AX282" s="13"/>
    </row>
    <row r="283" spans="2:50" s="2" customFormat="1">
      <c r="B283" s="12">
        <v>11653</v>
      </c>
      <c r="C283" s="11" t="s">
        <v>15</v>
      </c>
      <c r="D283" s="11" t="s">
        <v>174</v>
      </c>
      <c r="E283" s="25">
        <v>0</v>
      </c>
      <c r="F283" s="25">
        <v>3</v>
      </c>
      <c r="G283" s="25">
        <v>0</v>
      </c>
      <c r="H283" s="25">
        <v>276135</v>
      </c>
      <c r="I283" s="39">
        <v>0</v>
      </c>
      <c r="J283" s="22">
        <v>0</v>
      </c>
      <c r="K283" s="22">
        <v>0</v>
      </c>
      <c r="L283" s="22">
        <v>0</v>
      </c>
      <c r="M283" s="22">
        <v>3</v>
      </c>
      <c r="N283" s="22">
        <v>276135</v>
      </c>
      <c r="O283" s="22">
        <v>0</v>
      </c>
      <c r="P283" s="22">
        <v>0</v>
      </c>
      <c r="Q283" s="29">
        <v>0</v>
      </c>
      <c r="R283" s="8"/>
      <c r="S283" s="8"/>
      <c r="T283" s="8"/>
      <c r="U283" s="8"/>
      <c r="V283" s="8">
        <f t="shared" si="105"/>
        <v>0</v>
      </c>
      <c r="W283" s="8">
        <f t="shared" si="106"/>
        <v>0</v>
      </c>
      <c r="X283" s="30">
        <f t="shared" si="107"/>
        <v>0</v>
      </c>
      <c r="Y283" s="30">
        <f t="shared" si="108"/>
        <v>0</v>
      </c>
      <c r="Z283" s="30">
        <f t="shared" si="113"/>
        <v>0</v>
      </c>
      <c r="AA283" s="30">
        <f t="shared" si="114"/>
        <v>0</v>
      </c>
      <c r="AB283" s="30">
        <v>0</v>
      </c>
      <c r="AC283" s="30">
        <v>0</v>
      </c>
      <c r="AD283" s="8">
        <v>0</v>
      </c>
      <c r="AE283" s="8">
        <v>0</v>
      </c>
      <c r="AF283" s="8">
        <v>0</v>
      </c>
      <c r="AG283" s="8">
        <v>0</v>
      </c>
      <c r="AH283" s="23">
        <f t="shared" si="109"/>
        <v>0</v>
      </c>
      <c r="AI283" s="23">
        <f t="shared" si="110"/>
        <v>0</v>
      </c>
      <c r="AJ283" s="23">
        <f t="shared" si="111"/>
        <v>0</v>
      </c>
      <c r="AK283" s="23">
        <f t="shared" si="112"/>
        <v>0</v>
      </c>
      <c r="AL283" s="8">
        <v>0</v>
      </c>
      <c r="AM283" s="8">
        <v>0</v>
      </c>
      <c r="AN283" s="8">
        <v>0</v>
      </c>
      <c r="AO283" s="8">
        <v>0</v>
      </c>
      <c r="AP283" s="26">
        <v>0</v>
      </c>
      <c r="AQ283" s="13"/>
      <c r="AR283" s="14">
        <v>0</v>
      </c>
      <c r="AS283" s="13"/>
      <c r="AT283" s="13"/>
      <c r="AU283" s="13"/>
      <c r="AV283" s="13"/>
      <c r="AW283" s="13"/>
      <c r="AX283" s="13"/>
    </row>
    <row r="284" spans="2:50">
      <c r="B284" s="12">
        <v>11654</v>
      </c>
      <c r="C284" s="11" t="s">
        <v>15</v>
      </c>
      <c r="D284" s="11" t="s">
        <v>174</v>
      </c>
      <c r="E284" s="25">
        <v>0</v>
      </c>
      <c r="F284" s="25">
        <v>0</v>
      </c>
      <c r="G284" s="25">
        <v>0</v>
      </c>
      <c r="H284" s="25">
        <v>0</v>
      </c>
      <c r="I284" s="40">
        <v>0</v>
      </c>
      <c r="J284" s="37">
        <v>0</v>
      </c>
      <c r="K284" s="37">
        <v>0</v>
      </c>
      <c r="L284" s="37">
        <v>0</v>
      </c>
      <c r="M284" s="37">
        <v>0</v>
      </c>
      <c r="N284" s="37">
        <v>0</v>
      </c>
      <c r="O284" s="37">
        <v>0</v>
      </c>
      <c r="P284" s="37">
        <v>0</v>
      </c>
      <c r="Q284" s="29">
        <v>0</v>
      </c>
      <c r="R284" s="8">
        <v>1</v>
      </c>
      <c r="S284" s="8"/>
      <c r="T284" s="8">
        <v>10000</v>
      </c>
      <c r="U284" s="8"/>
      <c r="V284" s="8">
        <f t="shared" si="105"/>
        <v>0</v>
      </c>
      <c r="W284" s="8">
        <f t="shared" si="106"/>
        <v>0</v>
      </c>
      <c r="X284" s="30">
        <f t="shared" si="107"/>
        <v>1</v>
      </c>
      <c r="Y284" s="30">
        <f t="shared" si="108"/>
        <v>10000</v>
      </c>
      <c r="Z284" s="30">
        <f t="shared" si="113"/>
        <v>0</v>
      </c>
      <c r="AA284" s="30">
        <f t="shared" si="114"/>
        <v>0</v>
      </c>
      <c r="AB284" s="30">
        <v>1.3333333333333333</v>
      </c>
      <c r="AC284" s="30">
        <v>13333.333333333334</v>
      </c>
      <c r="AD284" s="8">
        <v>8</v>
      </c>
      <c r="AE284" s="8">
        <v>0</v>
      </c>
      <c r="AF284" s="8">
        <v>142423.79999999999</v>
      </c>
      <c r="AG284" s="8">
        <v>0</v>
      </c>
      <c r="AH284" s="23">
        <f t="shared" si="109"/>
        <v>0</v>
      </c>
      <c r="AI284" s="23">
        <f t="shared" si="110"/>
        <v>0</v>
      </c>
      <c r="AJ284" s="23">
        <f t="shared" si="111"/>
        <v>8</v>
      </c>
      <c r="AK284" s="23">
        <f t="shared" si="112"/>
        <v>142423.79999999999</v>
      </c>
      <c r="AL284" s="8">
        <v>0</v>
      </c>
      <c r="AM284" s="8">
        <v>0</v>
      </c>
      <c r="AN284" s="8">
        <v>8</v>
      </c>
      <c r="AO284" s="8">
        <v>142423.79999999999</v>
      </c>
      <c r="AP284" s="26">
        <v>0</v>
      </c>
      <c r="AQ284" s="13"/>
      <c r="AR284" s="14">
        <v>0</v>
      </c>
      <c r="AS284" s="13"/>
      <c r="AT284" s="13"/>
      <c r="AU284" s="13"/>
      <c r="AV284" s="13"/>
      <c r="AW284" s="13"/>
      <c r="AX284" s="13"/>
    </row>
    <row r="285" spans="2:50">
      <c r="B285" s="12">
        <v>11975</v>
      </c>
      <c r="C285" s="11" t="s">
        <v>17</v>
      </c>
      <c r="D285" s="11" t="s">
        <v>175</v>
      </c>
      <c r="E285" s="25">
        <v>3</v>
      </c>
      <c r="F285" s="25">
        <v>2</v>
      </c>
      <c r="G285" s="25">
        <v>171104</v>
      </c>
      <c r="H285" s="25">
        <v>242208</v>
      </c>
      <c r="I285" s="39">
        <v>0</v>
      </c>
      <c r="J285" s="22">
        <v>0</v>
      </c>
      <c r="K285" s="22">
        <v>0</v>
      </c>
      <c r="L285" s="22">
        <v>0</v>
      </c>
      <c r="M285" s="22">
        <v>2</v>
      </c>
      <c r="N285" s="22">
        <v>242208</v>
      </c>
      <c r="O285" s="22">
        <v>3</v>
      </c>
      <c r="P285" s="22">
        <v>171104</v>
      </c>
      <c r="Q285" s="29">
        <v>0</v>
      </c>
      <c r="R285" s="8"/>
      <c r="S285" s="8"/>
      <c r="T285" s="8"/>
      <c r="U285" s="8"/>
      <c r="V285" s="8">
        <f t="shared" si="105"/>
        <v>0</v>
      </c>
      <c r="W285" s="8">
        <f t="shared" si="106"/>
        <v>0</v>
      </c>
      <c r="X285" s="30">
        <f t="shared" si="107"/>
        <v>0</v>
      </c>
      <c r="Y285" s="30">
        <f t="shared" si="108"/>
        <v>0</v>
      </c>
      <c r="Z285" s="30">
        <f t="shared" si="113"/>
        <v>0</v>
      </c>
      <c r="AA285" s="30">
        <f t="shared" si="114"/>
        <v>0</v>
      </c>
      <c r="AB285" s="30">
        <v>0</v>
      </c>
      <c r="AC285" s="30">
        <v>0</v>
      </c>
      <c r="AD285" s="8">
        <v>0</v>
      </c>
      <c r="AE285" s="8">
        <v>0</v>
      </c>
      <c r="AF285" s="8">
        <v>0</v>
      </c>
      <c r="AG285" s="8">
        <v>0</v>
      </c>
      <c r="AH285" s="23">
        <f t="shared" si="109"/>
        <v>0</v>
      </c>
      <c r="AI285" s="23">
        <f t="shared" si="110"/>
        <v>0</v>
      </c>
      <c r="AJ285" s="23">
        <f t="shared" si="111"/>
        <v>0</v>
      </c>
      <c r="AK285" s="23">
        <f t="shared" si="112"/>
        <v>0</v>
      </c>
      <c r="AL285" s="8">
        <v>0</v>
      </c>
      <c r="AM285" s="8">
        <v>0</v>
      </c>
      <c r="AN285" s="8">
        <v>0</v>
      </c>
      <c r="AO285" s="8">
        <v>0</v>
      </c>
      <c r="AP285" s="26">
        <v>0</v>
      </c>
      <c r="AQ285" s="13"/>
      <c r="AR285" s="14">
        <v>0</v>
      </c>
      <c r="AS285" s="13"/>
      <c r="AT285" s="13"/>
      <c r="AU285" s="13"/>
      <c r="AV285" s="13"/>
      <c r="AW285" s="13"/>
      <c r="AX285" s="13"/>
    </row>
    <row r="286" spans="2:50">
      <c r="B286" s="12">
        <v>11977</v>
      </c>
      <c r="C286" s="11" t="s">
        <v>17</v>
      </c>
      <c r="D286" s="11" t="s">
        <v>175</v>
      </c>
      <c r="E286" s="25">
        <v>3</v>
      </c>
      <c r="F286" s="25">
        <v>0</v>
      </c>
      <c r="G286" s="25">
        <v>277000</v>
      </c>
      <c r="H286" s="25">
        <v>0</v>
      </c>
      <c r="I286" s="40">
        <v>0</v>
      </c>
      <c r="J286" s="37">
        <v>0</v>
      </c>
      <c r="K286" s="37">
        <v>0</v>
      </c>
      <c r="L286" s="37">
        <v>0</v>
      </c>
      <c r="M286" s="22">
        <v>0</v>
      </c>
      <c r="N286" s="22">
        <v>0</v>
      </c>
      <c r="O286" s="22">
        <v>3</v>
      </c>
      <c r="P286" s="22">
        <v>277000</v>
      </c>
      <c r="Q286" s="29">
        <v>0</v>
      </c>
      <c r="R286" s="8"/>
      <c r="S286" s="8"/>
      <c r="T286" s="8"/>
      <c r="U286" s="8"/>
      <c r="V286" s="8">
        <f t="shared" si="105"/>
        <v>0</v>
      </c>
      <c r="W286" s="8">
        <f t="shared" si="106"/>
        <v>0</v>
      </c>
      <c r="X286" s="30">
        <f t="shared" si="107"/>
        <v>0</v>
      </c>
      <c r="Y286" s="30">
        <f t="shared" si="108"/>
        <v>0</v>
      </c>
      <c r="Z286" s="30">
        <f t="shared" si="113"/>
        <v>0</v>
      </c>
      <c r="AA286" s="30">
        <f t="shared" si="114"/>
        <v>0</v>
      </c>
      <c r="AB286" s="30">
        <v>0</v>
      </c>
      <c r="AC286" s="30">
        <v>0</v>
      </c>
      <c r="AD286" s="8">
        <v>1</v>
      </c>
      <c r="AE286" s="8">
        <v>0</v>
      </c>
      <c r="AF286" s="8">
        <v>2535112.29</v>
      </c>
      <c r="AG286" s="8">
        <v>0</v>
      </c>
      <c r="AH286" s="23">
        <f t="shared" si="109"/>
        <v>0</v>
      </c>
      <c r="AI286" s="23">
        <f t="shared" si="110"/>
        <v>0</v>
      </c>
      <c r="AJ286" s="23">
        <f t="shared" si="111"/>
        <v>1</v>
      </c>
      <c r="AK286" s="23">
        <f t="shared" si="112"/>
        <v>2535112.29</v>
      </c>
      <c r="AL286" s="8">
        <v>0</v>
      </c>
      <c r="AM286" s="8">
        <v>0</v>
      </c>
      <c r="AN286" s="8">
        <v>1</v>
      </c>
      <c r="AO286" s="8">
        <v>2535112.29</v>
      </c>
      <c r="AP286" s="26">
        <v>0</v>
      </c>
      <c r="AQ286" s="13"/>
      <c r="AR286" s="14">
        <v>0</v>
      </c>
      <c r="AS286" s="13"/>
      <c r="AT286" s="13"/>
      <c r="AU286" s="13"/>
      <c r="AV286" s="13"/>
      <c r="AW286" s="13"/>
      <c r="AX286" s="13"/>
    </row>
    <row r="287" spans="2:50">
      <c r="B287" s="12">
        <v>11968</v>
      </c>
      <c r="C287" s="11" t="s">
        <v>17</v>
      </c>
      <c r="D287" s="11" t="s">
        <v>175</v>
      </c>
      <c r="E287" s="25">
        <v>0</v>
      </c>
      <c r="F287" s="25">
        <v>11</v>
      </c>
      <c r="G287" s="25">
        <v>0</v>
      </c>
      <c r="H287" s="25">
        <v>74161.850000000006</v>
      </c>
      <c r="I287" s="39">
        <v>0</v>
      </c>
      <c r="J287" s="22">
        <v>0</v>
      </c>
      <c r="K287" s="22">
        <v>0</v>
      </c>
      <c r="L287" s="22">
        <v>0</v>
      </c>
      <c r="M287" s="22">
        <v>11</v>
      </c>
      <c r="N287" s="22">
        <v>74161.850000000006</v>
      </c>
      <c r="O287" s="22">
        <v>0</v>
      </c>
      <c r="P287" s="22">
        <v>0</v>
      </c>
      <c r="Q287" s="29">
        <v>19.768799999999999</v>
      </c>
      <c r="R287" s="8">
        <v>6</v>
      </c>
      <c r="S287" s="8"/>
      <c r="T287" s="8">
        <v>128037.32</v>
      </c>
      <c r="U287" s="8"/>
      <c r="V287" s="8">
        <f t="shared" si="105"/>
        <v>0</v>
      </c>
      <c r="W287" s="8">
        <f t="shared" si="106"/>
        <v>0</v>
      </c>
      <c r="X287" s="30">
        <f t="shared" si="107"/>
        <v>6</v>
      </c>
      <c r="Y287" s="30">
        <f t="shared" si="108"/>
        <v>128037.32</v>
      </c>
      <c r="Z287" s="30">
        <f t="shared" si="113"/>
        <v>0</v>
      </c>
      <c r="AA287" s="30">
        <f t="shared" si="114"/>
        <v>0</v>
      </c>
      <c r="AB287" s="30">
        <v>8</v>
      </c>
      <c r="AC287" s="30">
        <v>170716.42666666667</v>
      </c>
      <c r="AD287" s="8">
        <v>0</v>
      </c>
      <c r="AE287" s="8">
        <v>0</v>
      </c>
      <c r="AF287" s="8">
        <v>0</v>
      </c>
      <c r="AG287" s="8">
        <v>0</v>
      </c>
      <c r="AH287" s="23">
        <f t="shared" si="109"/>
        <v>0</v>
      </c>
      <c r="AI287" s="23">
        <f t="shared" si="110"/>
        <v>0</v>
      </c>
      <c r="AJ287" s="23">
        <f t="shared" si="111"/>
        <v>0</v>
      </c>
      <c r="AK287" s="23">
        <f t="shared" si="112"/>
        <v>0</v>
      </c>
      <c r="AL287" s="8">
        <v>0</v>
      </c>
      <c r="AM287" s="8">
        <v>0</v>
      </c>
      <c r="AN287" s="8">
        <v>0</v>
      </c>
      <c r="AO287" s="8">
        <v>0</v>
      </c>
      <c r="AP287" s="26">
        <v>19.768799999999999</v>
      </c>
      <c r="AQ287" s="13"/>
      <c r="AR287" s="14">
        <v>0</v>
      </c>
      <c r="AS287" s="13"/>
      <c r="AT287" s="13"/>
      <c r="AU287" s="13"/>
      <c r="AV287" s="13"/>
      <c r="AW287" s="13"/>
      <c r="AX287" s="13"/>
    </row>
    <row r="288" spans="2:50">
      <c r="B288" s="12">
        <v>11973</v>
      </c>
      <c r="C288" s="11" t="s">
        <v>17</v>
      </c>
      <c r="D288" s="11" t="s">
        <v>175</v>
      </c>
      <c r="E288" s="25">
        <v>0</v>
      </c>
      <c r="F288" s="25">
        <v>2</v>
      </c>
      <c r="G288" s="25">
        <v>0</v>
      </c>
      <c r="H288" s="25">
        <v>32000</v>
      </c>
      <c r="I288" s="39">
        <v>0</v>
      </c>
      <c r="J288" s="22">
        <v>0</v>
      </c>
      <c r="K288" s="22">
        <v>0</v>
      </c>
      <c r="L288" s="22">
        <v>0</v>
      </c>
      <c r="M288" s="22">
        <v>2</v>
      </c>
      <c r="N288" s="22">
        <v>32000</v>
      </c>
      <c r="O288" s="22">
        <v>0</v>
      </c>
      <c r="P288" s="22">
        <v>0</v>
      </c>
      <c r="Q288" s="29">
        <v>0</v>
      </c>
      <c r="R288" s="8"/>
      <c r="S288" s="8"/>
      <c r="T288" s="8"/>
      <c r="U288" s="8"/>
      <c r="V288" s="8">
        <f t="shared" si="105"/>
        <v>0</v>
      </c>
      <c r="W288" s="8">
        <f t="shared" si="106"/>
        <v>0</v>
      </c>
      <c r="X288" s="30">
        <f t="shared" si="107"/>
        <v>0</v>
      </c>
      <c r="Y288" s="30">
        <f t="shared" si="108"/>
        <v>0</v>
      </c>
      <c r="Z288" s="30">
        <f t="shared" si="113"/>
        <v>0</v>
      </c>
      <c r="AA288" s="30">
        <f t="shared" si="114"/>
        <v>0</v>
      </c>
      <c r="AB288" s="30">
        <v>0</v>
      </c>
      <c r="AC288" s="30">
        <v>0</v>
      </c>
      <c r="AD288" s="8">
        <v>0</v>
      </c>
      <c r="AE288" s="8">
        <v>1</v>
      </c>
      <c r="AF288" s="8">
        <v>0</v>
      </c>
      <c r="AG288" s="8">
        <v>11000</v>
      </c>
      <c r="AH288" s="23">
        <f t="shared" si="109"/>
        <v>1</v>
      </c>
      <c r="AI288" s="23">
        <f t="shared" si="110"/>
        <v>11000</v>
      </c>
      <c r="AJ288" s="23">
        <f t="shared" si="111"/>
        <v>0</v>
      </c>
      <c r="AK288" s="23">
        <f t="shared" si="112"/>
        <v>0</v>
      </c>
      <c r="AL288" s="8">
        <v>1</v>
      </c>
      <c r="AM288" s="8">
        <v>11000</v>
      </c>
      <c r="AN288" s="8">
        <v>0</v>
      </c>
      <c r="AO288" s="8">
        <v>0</v>
      </c>
      <c r="AP288" s="26">
        <v>0</v>
      </c>
      <c r="AQ288" s="13"/>
      <c r="AR288" s="14">
        <v>0</v>
      </c>
      <c r="AS288" s="13"/>
      <c r="AT288" s="13"/>
      <c r="AU288" s="13"/>
      <c r="AV288" s="13"/>
      <c r="AW288" s="13"/>
      <c r="AX288" s="13"/>
    </row>
    <row r="289" spans="2:50" s="2" customFormat="1">
      <c r="B289" s="12">
        <v>11285</v>
      </c>
      <c r="C289" s="11" t="s">
        <v>21</v>
      </c>
      <c r="D289" s="11" t="s">
        <v>176</v>
      </c>
      <c r="E289" s="25">
        <v>2</v>
      </c>
      <c r="F289" s="25">
        <v>0</v>
      </c>
      <c r="G289" s="25">
        <v>19340</v>
      </c>
      <c r="H289" s="25">
        <v>0</v>
      </c>
      <c r="I289" s="40">
        <v>0</v>
      </c>
      <c r="J289" s="37">
        <v>0</v>
      </c>
      <c r="K289" s="37">
        <v>0</v>
      </c>
      <c r="L289" s="37">
        <v>0</v>
      </c>
      <c r="M289" s="22">
        <v>0</v>
      </c>
      <c r="N289" s="22">
        <v>0</v>
      </c>
      <c r="O289" s="22">
        <v>2</v>
      </c>
      <c r="P289" s="22">
        <v>19340</v>
      </c>
      <c r="Q289" s="29">
        <v>0</v>
      </c>
      <c r="R289" s="8"/>
      <c r="S289" s="8"/>
      <c r="T289" s="8"/>
      <c r="U289" s="8"/>
      <c r="V289" s="8">
        <f t="shared" si="105"/>
        <v>0</v>
      </c>
      <c r="W289" s="8">
        <f t="shared" si="106"/>
        <v>0</v>
      </c>
      <c r="X289" s="30">
        <f t="shared" si="107"/>
        <v>0</v>
      </c>
      <c r="Y289" s="30">
        <f t="shared" si="108"/>
        <v>0</v>
      </c>
      <c r="Z289" s="30">
        <f t="shared" si="113"/>
        <v>0</v>
      </c>
      <c r="AA289" s="30">
        <f t="shared" si="114"/>
        <v>0</v>
      </c>
      <c r="AB289" s="30">
        <v>0</v>
      </c>
      <c r="AC289" s="30">
        <v>0</v>
      </c>
      <c r="AD289" s="8">
        <v>0</v>
      </c>
      <c r="AE289" s="8">
        <v>0</v>
      </c>
      <c r="AF289" s="8">
        <v>0</v>
      </c>
      <c r="AG289" s="8">
        <v>0</v>
      </c>
      <c r="AH289" s="23">
        <f t="shared" si="109"/>
        <v>0</v>
      </c>
      <c r="AI289" s="23">
        <f t="shared" si="110"/>
        <v>0</v>
      </c>
      <c r="AJ289" s="23">
        <f t="shared" si="111"/>
        <v>0</v>
      </c>
      <c r="AK289" s="23">
        <f t="shared" si="112"/>
        <v>0</v>
      </c>
      <c r="AL289" s="8">
        <v>0</v>
      </c>
      <c r="AM289" s="8">
        <v>0</v>
      </c>
      <c r="AN289" s="8">
        <v>0</v>
      </c>
      <c r="AO289" s="8">
        <v>0</v>
      </c>
      <c r="AP289" s="26">
        <v>0</v>
      </c>
      <c r="AQ289" s="13"/>
      <c r="AR289" s="14">
        <v>0</v>
      </c>
      <c r="AS289" s="13"/>
      <c r="AT289" s="13"/>
      <c r="AU289" s="13"/>
      <c r="AV289" s="13"/>
      <c r="AW289" s="13"/>
      <c r="AX289" s="13"/>
    </row>
    <row r="290" spans="2:50" ht="30">
      <c r="B290" s="12">
        <v>10853</v>
      </c>
      <c r="C290" s="11" t="s">
        <v>19</v>
      </c>
      <c r="D290" s="11" t="s">
        <v>177</v>
      </c>
      <c r="E290" s="25">
        <v>6</v>
      </c>
      <c r="F290" s="25">
        <v>1</v>
      </c>
      <c r="G290" s="25">
        <v>13658</v>
      </c>
      <c r="H290" s="25">
        <v>15500</v>
      </c>
      <c r="I290" s="39">
        <v>0</v>
      </c>
      <c r="J290" s="22">
        <v>0</v>
      </c>
      <c r="K290" s="22">
        <v>0</v>
      </c>
      <c r="L290" s="22">
        <v>0</v>
      </c>
      <c r="M290" s="22">
        <v>1</v>
      </c>
      <c r="N290" s="22">
        <v>15500</v>
      </c>
      <c r="O290" s="22">
        <v>6</v>
      </c>
      <c r="P290" s="22">
        <v>13658</v>
      </c>
      <c r="Q290" s="29">
        <v>0</v>
      </c>
      <c r="R290" s="8">
        <v>4</v>
      </c>
      <c r="S290" s="8"/>
      <c r="T290" s="8">
        <v>16126</v>
      </c>
      <c r="U290" s="8"/>
      <c r="V290" s="8">
        <f t="shared" si="105"/>
        <v>0</v>
      </c>
      <c r="W290" s="8">
        <f t="shared" si="106"/>
        <v>0</v>
      </c>
      <c r="X290" s="30">
        <f t="shared" si="107"/>
        <v>4</v>
      </c>
      <c r="Y290" s="30">
        <f t="shared" si="108"/>
        <v>16126</v>
      </c>
      <c r="Z290" s="30">
        <f t="shared" si="113"/>
        <v>0</v>
      </c>
      <c r="AA290" s="30">
        <f t="shared" si="114"/>
        <v>0</v>
      </c>
      <c r="AB290" s="30">
        <v>5.333333333333333</v>
      </c>
      <c r="AC290" s="30">
        <v>21501.333333333332</v>
      </c>
      <c r="AD290" s="8">
        <v>3</v>
      </c>
      <c r="AE290" s="8">
        <v>0</v>
      </c>
      <c r="AF290" s="8">
        <v>50541.59</v>
      </c>
      <c r="AG290" s="8">
        <v>0</v>
      </c>
      <c r="AH290" s="23">
        <f t="shared" si="109"/>
        <v>0</v>
      </c>
      <c r="AI290" s="23">
        <f t="shared" si="110"/>
        <v>0</v>
      </c>
      <c r="AJ290" s="23">
        <f t="shared" si="111"/>
        <v>3</v>
      </c>
      <c r="AK290" s="23">
        <f t="shared" si="112"/>
        <v>50541.59</v>
      </c>
      <c r="AL290" s="8">
        <v>0</v>
      </c>
      <c r="AM290" s="8">
        <v>0</v>
      </c>
      <c r="AN290" s="8">
        <v>3</v>
      </c>
      <c r="AO290" s="8">
        <v>50541.59</v>
      </c>
      <c r="AP290" s="26">
        <v>46.73</v>
      </c>
      <c r="AQ290" s="13"/>
      <c r="AR290" s="14">
        <v>0</v>
      </c>
      <c r="AS290" s="13"/>
      <c r="AT290" s="13"/>
      <c r="AU290" s="13"/>
      <c r="AV290" s="13"/>
      <c r="AW290" s="13"/>
      <c r="AX290" s="13"/>
    </row>
    <row r="291" spans="2:50" ht="30">
      <c r="B291" s="12">
        <v>11088</v>
      </c>
      <c r="C291" s="11" t="s">
        <v>19</v>
      </c>
      <c r="D291" s="11" t="s">
        <v>177</v>
      </c>
      <c r="E291" s="25">
        <v>2</v>
      </c>
      <c r="F291" s="25">
        <v>0</v>
      </c>
      <c r="G291" s="25">
        <v>100000</v>
      </c>
      <c r="H291" s="25">
        <v>0</v>
      </c>
      <c r="I291" s="40">
        <v>0</v>
      </c>
      <c r="J291" s="37">
        <v>0</v>
      </c>
      <c r="K291" s="37">
        <v>0</v>
      </c>
      <c r="L291" s="37">
        <v>0</v>
      </c>
      <c r="M291" s="22">
        <v>0</v>
      </c>
      <c r="N291" s="22">
        <v>0</v>
      </c>
      <c r="O291" s="22">
        <v>2</v>
      </c>
      <c r="P291" s="22">
        <v>100000</v>
      </c>
      <c r="Q291" s="29">
        <v>0</v>
      </c>
      <c r="R291" s="8"/>
      <c r="S291" s="8"/>
      <c r="T291" s="8"/>
      <c r="U291" s="8"/>
      <c r="V291" s="8">
        <f t="shared" si="105"/>
        <v>0</v>
      </c>
      <c r="W291" s="8">
        <f t="shared" si="106"/>
        <v>0</v>
      </c>
      <c r="X291" s="30">
        <f t="shared" si="107"/>
        <v>0</v>
      </c>
      <c r="Y291" s="30">
        <f t="shared" si="108"/>
        <v>0</v>
      </c>
      <c r="Z291" s="30">
        <f t="shared" si="113"/>
        <v>0</v>
      </c>
      <c r="AA291" s="30">
        <f t="shared" si="114"/>
        <v>0</v>
      </c>
      <c r="AB291" s="30">
        <v>0</v>
      </c>
      <c r="AC291" s="30">
        <v>0</v>
      </c>
      <c r="AD291" s="8">
        <v>0</v>
      </c>
      <c r="AE291" s="8">
        <v>0</v>
      </c>
      <c r="AF291" s="8">
        <v>0</v>
      </c>
      <c r="AG291" s="8">
        <v>0</v>
      </c>
      <c r="AH291" s="23">
        <f t="shared" si="109"/>
        <v>0</v>
      </c>
      <c r="AI291" s="23">
        <f t="shared" si="110"/>
        <v>0</v>
      </c>
      <c r="AJ291" s="23">
        <f t="shared" si="111"/>
        <v>0</v>
      </c>
      <c r="AK291" s="23">
        <f t="shared" si="112"/>
        <v>0</v>
      </c>
      <c r="AL291" s="8">
        <v>0</v>
      </c>
      <c r="AM291" s="8">
        <v>0</v>
      </c>
      <c r="AN291" s="8">
        <v>0</v>
      </c>
      <c r="AO291" s="8">
        <v>0</v>
      </c>
      <c r="AP291" s="26">
        <v>0</v>
      </c>
      <c r="AQ291" s="13"/>
      <c r="AR291" s="14">
        <v>0</v>
      </c>
      <c r="AS291" s="13"/>
      <c r="AT291" s="13"/>
      <c r="AU291" s="13"/>
      <c r="AV291" s="13"/>
      <c r="AW291" s="13"/>
      <c r="AX291" s="13"/>
    </row>
    <row r="292" spans="2:50" s="2" customFormat="1" ht="30">
      <c r="B292" s="12">
        <v>11090</v>
      </c>
      <c r="C292" s="11" t="s">
        <v>19</v>
      </c>
      <c r="D292" s="11" t="s">
        <v>177</v>
      </c>
      <c r="E292" s="25">
        <v>2</v>
      </c>
      <c r="F292" s="25">
        <v>0</v>
      </c>
      <c r="G292" s="25">
        <v>15750</v>
      </c>
      <c r="H292" s="25">
        <v>0</v>
      </c>
      <c r="I292" s="40">
        <v>0</v>
      </c>
      <c r="J292" s="37">
        <v>0</v>
      </c>
      <c r="K292" s="37">
        <v>0</v>
      </c>
      <c r="L292" s="37">
        <v>0</v>
      </c>
      <c r="M292" s="22">
        <v>0</v>
      </c>
      <c r="N292" s="22">
        <v>0</v>
      </c>
      <c r="O292" s="22">
        <v>2</v>
      </c>
      <c r="P292" s="22">
        <v>15750</v>
      </c>
      <c r="Q292" s="29">
        <v>0</v>
      </c>
      <c r="R292" s="8"/>
      <c r="S292" s="8"/>
      <c r="T292" s="8"/>
      <c r="U292" s="8"/>
      <c r="V292" s="8">
        <f t="shared" si="105"/>
        <v>0</v>
      </c>
      <c r="W292" s="8">
        <f t="shared" si="106"/>
        <v>0</v>
      </c>
      <c r="X292" s="30">
        <f t="shared" si="107"/>
        <v>0</v>
      </c>
      <c r="Y292" s="30">
        <f t="shared" si="108"/>
        <v>0</v>
      </c>
      <c r="Z292" s="30">
        <f t="shared" si="113"/>
        <v>0</v>
      </c>
      <c r="AA292" s="30">
        <f t="shared" si="114"/>
        <v>0</v>
      </c>
      <c r="AB292" s="30">
        <v>0</v>
      </c>
      <c r="AC292" s="30">
        <v>0</v>
      </c>
      <c r="AD292" s="8">
        <v>3</v>
      </c>
      <c r="AE292" s="8">
        <v>0</v>
      </c>
      <c r="AF292" s="8">
        <v>15751</v>
      </c>
      <c r="AG292" s="8">
        <v>0</v>
      </c>
      <c r="AH292" s="23">
        <f t="shared" si="109"/>
        <v>0</v>
      </c>
      <c r="AI292" s="23">
        <f t="shared" si="110"/>
        <v>0</v>
      </c>
      <c r="AJ292" s="23">
        <f t="shared" si="111"/>
        <v>3</v>
      </c>
      <c r="AK292" s="23">
        <f t="shared" si="112"/>
        <v>15751</v>
      </c>
      <c r="AL292" s="8">
        <v>0</v>
      </c>
      <c r="AM292" s="8">
        <v>0</v>
      </c>
      <c r="AN292" s="8">
        <v>3</v>
      </c>
      <c r="AO292" s="8">
        <v>15751</v>
      </c>
      <c r="AP292" s="26">
        <v>0</v>
      </c>
      <c r="AQ292" s="13"/>
      <c r="AR292" s="14">
        <v>0</v>
      </c>
      <c r="AS292" s="13"/>
      <c r="AT292" s="13"/>
      <c r="AU292" s="13"/>
      <c r="AV292" s="13"/>
      <c r="AW292" s="13"/>
      <c r="AX292" s="13"/>
    </row>
    <row r="293" spans="2:50" ht="30">
      <c r="B293" s="12">
        <v>11083</v>
      </c>
      <c r="C293" s="11" t="s">
        <v>19</v>
      </c>
      <c r="D293" s="11" t="s">
        <v>177</v>
      </c>
      <c r="E293" s="25">
        <v>0</v>
      </c>
      <c r="F293" s="25">
        <v>8</v>
      </c>
      <c r="G293" s="25">
        <v>0</v>
      </c>
      <c r="H293" s="25">
        <v>274286.03999999998</v>
      </c>
      <c r="I293" s="39">
        <v>0</v>
      </c>
      <c r="J293" s="22">
        <v>0</v>
      </c>
      <c r="K293" s="22">
        <v>0</v>
      </c>
      <c r="L293" s="22">
        <v>0</v>
      </c>
      <c r="M293" s="22">
        <v>8</v>
      </c>
      <c r="N293" s="22">
        <v>274286.03999999998</v>
      </c>
      <c r="O293" s="22">
        <v>0</v>
      </c>
      <c r="P293" s="22">
        <v>0</v>
      </c>
      <c r="Q293" s="29">
        <v>7</v>
      </c>
      <c r="R293" s="8"/>
      <c r="S293" s="8">
        <f>+VLOOKUP(B293,[1]Лист2!$A$4:$B$188,2,0)</f>
        <v>7</v>
      </c>
      <c r="T293" s="8"/>
      <c r="U293" s="8">
        <f>+VLOOKUP(B293,[1]Лист2!$A$4:$C$188,3,0)</f>
        <v>186376.27</v>
      </c>
      <c r="V293" s="8">
        <f t="shared" si="105"/>
        <v>7</v>
      </c>
      <c r="W293" s="8">
        <f t="shared" si="106"/>
        <v>186376.27</v>
      </c>
      <c r="X293" s="30">
        <f t="shared" si="107"/>
        <v>0</v>
      </c>
      <c r="Y293" s="30">
        <f t="shared" si="108"/>
        <v>0</v>
      </c>
      <c r="Z293" s="30">
        <f t="shared" si="113"/>
        <v>9.3333333333333339</v>
      </c>
      <c r="AA293" s="30">
        <f t="shared" si="114"/>
        <v>248501.69333333333</v>
      </c>
      <c r="AB293" s="30">
        <v>0</v>
      </c>
      <c r="AC293" s="30">
        <v>0</v>
      </c>
      <c r="AD293" s="8">
        <v>0</v>
      </c>
      <c r="AE293" s="8">
        <v>3</v>
      </c>
      <c r="AF293" s="8">
        <v>0</v>
      </c>
      <c r="AG293" s="8">
        <v>128366.47</v>
      </c>
      <c r="AH293" s="23">
        <f t="shared" si="109"/>
        <v>3</v>
      </c>
      <c r="AI293" s="23">
        <f t="shared" si="110"/>
        <v>128366.47</v>
      </c>
      <c r="AJ293" s="23">
        <f t="shared" si="111"/>
        <v>0</v>
      </c>
      <c r="AK293" s="23">
        <f t="shared" si="112"/>
        <v>0</v>
      </c>
      <c r="AL293" s="8">
        <v>3</v>
      </c>
      <c r="AM293" s="8">
        <v>128366.47</v>
      </c>
      <c r="AN293" s="8">
        <v>0</v>
      </c>
      <c r="AO293" s="8">
        <v>0</v>
      </c>
      <c r="AP293" s="26">
        <v>7</v>
      </c>
      <c r="AQ293" s="13"/>
      <c r="AR293" s="14">
        <v>0</v>
      </c>
      <c r="AS293" s="13"/>
      <c r="AT293" s="13"/>
      <c r="AU293" s="13"/>
      <c r="AV293" s="13"/>
      <c r="AW293" s="13"/>
      <c r="AX293" s="13"/>
    </row>
    <row r="294" spans="2:50" s="2" customFormat="1" ht="30">
      <c r="B294" s="12">
        <v>11089</v>
      </c>
      <c r="C294" s="11" t="s">
        <v>19</v>
      </c>
      <c r="D294" s="11" t="s">
        <v>177</v>
      </c>
      <c r="E294" s="25">
        <v>0</v>
      </c>
      <c r="F294" s="25">
        <v>4</v>
      </c>
      <c r="G294" s="25">
        <v>0</v>
      </c>
      <c r="H294" s="25">
        <v>132303.47</v>
      </c>
      <c r="I294" s="39">
        <v>0</v>
      </c>
      <c r="J294" s="22">
        <v>0</v>
      </c>
      <c r="K294" s="22">
        <v>0</v>
      </c>
      <c r="L294" s="22">
        <v>0</v>
      </c>
      <c r="M294" s="22">
        <v>4</v>
      </c>
      <c r="N294" s="22">
        <v>132303.47</v>
      </c>
      <c r="O294" s="22">
        <v>0</v>
      </c>
      <c r="P294" s="22">
        <v>0</v>
      </c>
      <c r="Q294" s="29">
        <v>52.794799999999995</v>
      </c>
      <c r="R294" s="8"/>
      <c r="S294" s="8"/>
      <c r="T294" s="8"/>
      <c r="U294" s="8"/>
      <c r="V294" s="8">
        <f t="shared" si="105"/>
        <v>0</v>
      </c>
      <c r="W294" s="8">
        <f t="shared" si="106"/>
        <v>0</v>
      </c>
      <c r="X294" s="30">
        <f t="shared" si="107"/>
        <v>0</v>
      </c>
      <c r="Y294" s="30">
        <f t="shared" si="108"/>
        <v>0</v>
      </c>
      <c r="Z294" s="30">
        <f t="shared" si="113"/>
        <v>0</v>
      </c>
      <c r="AA294" s="30">
        <f t="shared" si="114"/>
        <v>0</v>
      </c>
      <c r="AB294" s="30">
        <v>0</v>
      </c>
      <c r="AC294" s="30">
        <v>0</v>
      </c>
      <c r="AD294" s="8">
        <v>0</v>
      </c>
      <c r="AE294" s="8">
        <v>0</v>
      </c>
      <c r="AF294" s="8">
        <v>0</v>
      </c>
      <c r="AG294" s="8">
        <v>0</v>
      </c>
      <c r="AH294" s="23">
        <f t="shared" si="109"/>
        <v>0</v>
      </c>
      <c r="AI294" s="23">
        <f t="shared" si="110"/>
        <v>0</v>
      </c>
      <c r="AJ294" s="23">
        <f t="shared" si="111"/>
        <v>0</v>
      </c>
      <c r="AK294" s="23">
        <f t="shared" si="112"/>
        <v>0</v>
      </c>
      <c r="AL294" s="8">
        <v>0</v>
      </c>
      <c r="AM294" s="8">
        <v>0</v>
      </c>
      <c r="AN294" s="8">
        <v>0</v>
      </c>
      <c r="AO294" s="8">
        <v>0</v>
      </c>
      <c r="AP294" s="26">
        <v>52.794799999999995</v>
      </c>
      <c r="AQ294" s="13"/>
      <c r="AR294" s="14">
        <v>0</v>
      </c>
      <c r="AS294" s="13"/>
      <c r="AT294" s="13"/>
      <c r="AU294" s="13"/>
      <c r="AV294" s="13"/>
      <c r="AW294" s="13"/>
      <c r="AX294" s="13"/>
    </row>
    <row r="295" spans="2:50" ht="30">
      <c r="B295" s="12">
        <v>11091</v>
      </c>
      <c r="C295" s="11" t="s">
        <v>19</v>
      </c>
      <c r="D295" s="11" t="s">
        <v>177</v>
      </c>
      <c r="E295" s="25">
        <v>0</v>
      </c>
      <c r="F295" s="25">
        <v>1</v>
      </c>
      <c r="G295" s="25">
        <v>0</v>
      </c>
      <c r="H295" s="25">
        <v>12650</v>
      </c>
      <c r="I295" s="39">
        <v>0</v>
      </c>
      <c r="J295" s="22">
        <v>0</v>
      </c>
      <c r="K295" s="22">
        <v>0</v>
      </c>
      <c r="L295" s="22">
        <v>0</v>
      </c>
      <c r="M295" s="22">
        <v>1</v>
      </c>
      <c r="N295" s="22">
        <v>12650</v>
      </c>
      <c r="O295" s="22">
        <v>0</v>
      </c>
      <c r="P295" s="22">
        <v>0</v>
      </c>
      <c r="Q295" s="29">
        <v>0</v>
      </c>
      <c r="R295" s="8"/>
      <c r="S295" s="8"/>
      <c r="T295" s="8"/>
      <c r="U295" s="8"/>
      <c r="V295" s="8">
        <f t="shared" si="105"/>
        <v>0</v>
      </c>
      <c r="W295" s="8">
        <f t="shared" si="106"/>
        <v>0</v>
      </c>
      <c r="X295" s="30">
        <f t="shared" si="107"/>
        <v>0</v>
      </c>
      <c r="Y295" s="30">
        <f t="shared" si="108"/>
        <v>0</v>
      </c>
      <c r="Z295" s="30">
        <f t="shared" si="113"/>
        <v>0</v>
      </c>
      <c r="AA295" s="30">
        <f t="shared" si="114"/>
        <v>0</v>
      </c>
      <c r="AB295" s="30">
        <v>0</v>
      </c>
      <c r="AC295" s="30">
        <v>0</v>
      </c>
      <c r="AD295" s="8">
        <v>0</v>
      </c>
      <c r="AE295" s="8">
        <v>0</v>
      </c>
      <c r="AF295" s="8">
        <v>0</v>
      </c>
      <c r="AG295" s="8">
        <v>0</v>
      </c>
      <c r="AH295" s="23">
        <f t="shared" si="109"/>
        <v>0</v>
      </c>
      <c r="AI295" s="23">
        <f t="shared" si="110"/>
        <v>0</v>
      </c>
      <c r="AJ295" s="23">
        <f t="shared" si="111"/>
        <v>0</v>
      </c>
      <c r="AK295" s="23">
        <f t="shared" si="112"/>
        <v>0</v>
      </c>
      <c r="AL295" s="8">
        <v>0</v>
      </c>
      <c r="AM295" s="8">
        <v>0</v>
      </c>
      <c r="AN295" s="8">
        <v>0</v>
      </c>
      <c r="AO295" s="8">
        <v>0</v>
      </c>
      <c r="AP295" s="26">
        <v>0</v>
      </c>
      <c r="AQ295" s="13"/>
      <c r="AR295" s="14">
        <v>0</v>
      </c>
      <c r="AS295" s="13"/>
      <c r="AT295" s="13"/>
      <c r="AU295" s="13"/>
      <c r="AV295" s="13"/>
      <c r="AW295" s="13"/>
      <c r="AX295" s="13"/>
    </row>
    <row r="296" spans="2:50">
      <c r="B296" s="12">
        <v>973</v>
      </c>
      <c r="C296" s="11" t="s">
        <v>35</v>
      </c>
      <c r="D296" s="11" t="s">
        <v>178</v>
      </c>
      <c r="E296" s="25">
        <v>3</v>
      </c>
      <c r="F296" s="25">
        <v>0</v>
      </c>
      <c r="G296" s="25">
        <v>73928.5</v>
      </c>
      <c r="H296" s="25">
        <v>0</v>
      </c>
      <c r="I296" s="40">
        <v>0</v>
      </c>
      <c r="J296" s="37">
        <v>0</v>
      </c>
      <c r="K296" s="37">
        <v>0</v>
      </c>
      <c r="L296" s="37">
        <v>0</v>
      </c>
      <c r="M296" s="22">
        <v>0</v>
      </c>
      <c r="N296" s="22">
        <v>0</v>
      </c>
      <c r="O296" s="22">
        <v>3</v>
      </c>
      <c r="P296" s="22">
        <v>73928.5</v>
      </c>
      <c r="Q296" s="29">
        <v>40.388199999999998</v>
      </c>
      <c r="R296" s="8">
        <v>3</v>
      </c>
      <c r="S296" s="8"/>
      <c r="T296" s="8">
        <v>144848.25</v>
      </c>
      <c r="U296" s="8"/>
      <c r="V296" s="8">
        <f t="shared" si="105"/>
        <v>0</v>
      </c>
      <c r="W296" s="8">
        <f t="shared" si="106"/>
        <v>0</v>
      </c>
      <c r="X296" s="30">
        <f t="shared" si="107"/>
        <v>3</v>
      </c>
      <c r="Y296" s="30">
        <f t="shared" si="108"/>
        <v>144848.25</v>
      </c>
      <c r="Z296" s="30">
        <f t="shared" si="113"/>
        <v>0</v>
      </c>
      <c r="AA296" s="30">
        <f t="shared" si="114"/>
        <v>0</v>
      </c>
      <c r="AB296" s="30">
        <v>4</v>
      </c>
      <c r="AC296" s="30">
        <v>193131</v>
      </c>
      <c r="AD296" s="8">
        <v>0</v>
      </c>
      <c r="AE296" s="8">
        <v>0</v>
      </c>
      <c r="AF296" s="8">
        <v>0</v>
      </c>
      <c r="AG296" s="8">
        <v>0</v>
      </c>
      <c r="AH296" s="23">
        <f t="shared" si="109"/>
        <v>0</v>
      </c>
      <c r="AI296" s="23">
        <f t="shared" si="110"/>
        <v>0</v>
      </c>
      <c r="AJ296" s="23">
        <f t="shared" si="111"/>
        <v>0</v>
      </c>
      <c r="AK296" s="23">
        <f t="shared" si="112"/>
        <v>0</v>
      </c>
      <c r="AL296" s="8">
        <v>0</v>
      </c>
      <c r="AM296" s="8">
        <v>0</v>
      </c>
      <c r="AN296" s="8">
        <v>0</v>
      </c>
      <c r="AO296" s="8">
        <v>0</v>
      </c>
      <c r="AP296" s="26">
        <v>42.088909999999998</v>
      </c>
      <c r="AQ296" s="13"/>
      <c r="AR296" s="14">
        <v>0</v>
      </c>
      <c r="AS296" s="13"/>
      <c r="AT296" s="13"/>
      <c r="AU296" s="13"/>
      <c r="AV296" s="13"/>
      <c r="AW296" s="13"/>
      <c r="AX296" s="13"/>
    </row>
    <row r="297" spans="2:50" s="2" customFormat="1">
      <c r="B297" s="12">
        <v>11849</v>
      </c>
      <c r="C297" s="11" t="s">
        <v>35</v>
      </c>
      <c r="D297" s="11" t="s">
        <v>178</v>
      </c>
      <c r="E297" s="25">
        <v>0</v>
      </c>
      <c r="F297" s="25">
        <v>0</v>
      </c>
      <c r="G297" s="25">
        <v>0</v>
      </c>
      <c r="H297" s="25">
        <v>0</v>
      </c>
      <c r="I297" s="40">
        <v>0</v>
      </c>
      <c r="J297" s="37">
        <v>0</v>
      </c>
      <c r="K297" s="37">
        <v>0</v>
      </c>
      <c r="L297" s="37">
        <v>0</v>
      </c>
      <c r="M297" s="37">
        <v>0</v>
      </c>
      <c r="N297" s="37">
        <v>0</v>
      </c>
      <c r="O297" s="37">
        <v>0</v>
      </c>
      <c r="P297" s="37">
        <v>0</v>
      </c>
      <c r="Q297" s="29">
        <v>400.20596</v>
      </c>
      <c r="R297" s="8">
        <v>15</v>
      </c>
      <c r="S297" s="8"/>
      <c r="T297" s="8">
        <v>1364944.12</v>
      </c>
      <c r="U297" s="8"/>
      <c r="V297" s="8">
        <f t="shared" si="105"/>
        <v>0</v>
      </c>
      <c r="W297" s="8">
        <f t="shared" si="106"/>
        <v>0</v>
      </c>
      <c r="X297" s="30">
        <f t="shared" si="107"/>
        <v>15</v>
      </c>
      <c r="Y297" s="30">
        <f t="shared" si="108"/>
        <v>1364944.12</v>
      </c>
      <c r="Z297" s="30">
        <f t="shared" si="113"/>
        <v>0</v>
      </c>
      <c r="AA297" s="30">
        <f t="shared" si="114"/>
        <v>0</v>
      </c>
      <c r="AB297" s="30">
        <v>20</v>
      </c>
      <c r="AC297" s="30">
        <v>1819925.4933333334</v>
      </c>
      <c r="AD297" s="8">
        <v>8</v>
      </c>
      <c r="AE297" s="8">
        <v>0</v>
      </c>
      <c r="AF297" s="8">
        <v>531546.84</v>
      </c>
      <c r="AG297" s="8">
        <v>0</v>
      </c>
      <c r="AH297" s="23">
        <f t="shared" si="109"/>
        <v>0</v>
      </c>
      <c r="AI297" s="23">
        <f t="shared" si="110"/>
        <v>0</v>
      </c>
      <c r="AJ297" s="23">
        <f t="shared" si="111"/>
        <v>8</v>
      </c>
      <c r="AK297" s="23">
        <f t="shared" si="112"/>
        <v>531546.84</v>
      </c>
      <c r="AL297" s="8">
        <v>0</v>
      </c>
      <c r="AM297" s="8">
        <v>0</v>
      </c>
      <c r="AN297" s="8">
        <v>8</v>
      </c>
      <c r="AO297" s="8">
        <v>531546.84</v>
      </c>
      <c r="AP297" s="26">
        <v>400.20596</v>
      </c>
      <c r="AQ297" s="13"/>
      <c r="AR297" s="14">
        <v>0</v>
      </c>
      <c r="AS297" s="13"/>
      <c r="AT297" s="13"/>
      <c r="AU297" s="13"/>
      <c r="AV297" s="13"/>
      <c r="AW297" s="13"/>
      <c r="AX297" s="13"/>
    </row>
    <row r="298" spans="2:50">
      <c r="B298" s="12">
        <v>11399</v>
      </c>
      <c r="C298" s="11" t="s">
        <v>18</v>
      </c>
      <c r="D298" s="11" t="s">
        <v>179</v>
      </c>
      <c r="E298" s="25">
        <v>0</v>
      </c>
      <c r="F298" s="25">
        <v>2</v>
      </c>
      <c r="G298" s="25">
        <v>0</v>
      </c>
      <c r="H298" s="25">
        <v>41792.490000000005</v>
      </c>
      <c r="I298" s="39">
        <v>0</v>
      </c>
      <c r="J298" s="22">
        <v>0</v>
      </c>
      <c r="K298" s="22">
        <v>0</v>
      </c>
      <c r="L298" s="22">
        <v>0</v>
      </c>
      <c r="M298" s="22">
        <v>2</v>
      </c>
      <c r="N298" s="22">
        <v>41792.490000000005</v>
      </c>
      <c r="O298" s="22">
        <v>0</v>
      </c>
      <c r="P298" s="22">
        <v>0</v>
      </c>
      <c r="Q298" s="29">
        <v>0</v>
      </c>
      <c r="R298" s="8"/>
      <c r="S298" s="8"/>
      <c r="T298" s="8"/>
      <c r="U298" s="8"/>
      <c r="V298" s="8">
        <f t="shared" si="105"/>
        <v>0</v>
      </c>
      <c r="W298" s="8">
        <f t="shared" si="106"/>
        <v>0</v>
      </c>
      <c r="X298" s="30">
        <f t="shared" si="107"/>
        <v>0</v>
      </c>
      <c r="Y298" s="30">
        <f t="shared" si="108"/>
        <v>0</v>
      </c>
      <c r="Z298" s="30">
        <f t="shared" si="113"/>
        <v>0</v>
      </c>
      <c r="AA298" s="30">
        <f t="shared" si="114"/>
        <v>0</v>
      </c>
      <c r="AB298" s="30">
        <v>0</v>
      </c>
      <c r="AC298" s="30">
        <v>0</v>
      </c>
      <c r="AD298" s="8">
        <v>0</v>
      </c>
      <c r="AE298" s="8">
        <v>0</v>
      </c>
      <c r="AF298" s="8">
        <v>0</v>
      </c>
      <c r="AG298" s="8">
        <v>0</v>
      </c>
      <c r="AH298" s="23">
        <f t="shared" si="109"/>
        <v>0</v>
      </c>
      <c r="AI298" s="23">
        <f t="shared" si="110"/>
        <v>0</v>
      </c>
      <c r="AJ298" s="23">
        <f t="shared" si="111"/>
        <v>0</v>
      </c>
      <c r="AK298" s="23">
        <f t="shared" si="112"/>
        <v>0</v>
      </c>
      <c r="AL298" s="8">
        <v>0</v>
      </c>
      <c r="AM298" s="8">
        <v>0</v>
      </c>
      <c r="AN298" s="8">
        <v>0</v>
      </c>
      <c r="AO298" s="8">
        <v>0</v>
      </c>
      <c r="AP298" s="26">
        <v>0</v>
      </c>
      <c r="AQ298" s="13"/>
      <c r="AR298" s="14">
        <v>0</v>
      </c>
      <c r="AS298" s="13"/>
      <c r="AT298" s="13"/>
      <c r="AU298" s="13"/>
      <c r="AV298" s="13"/>
      <c r="AW298" s="13"/>
      <c r="AX298" s="13"/>
    </row>
    <row r="299" spans="2:50">
      <c r="B299" s="12">
        <v>11334</v>
      </c>
      <c r="C299" s="11" t="s">
        <v>18</v>
      </c>
      <c r="D299" s="11" t="s">
        <v>179</v>
      </c>
      <c r="E299" s="25">
        <v>0</v>
      </c>
      <c r="F299" s="25">
        <v>0</v>
      </c>
      <c r="G299" s="25">
        <v>0</v>
      </c>
      <c r="H299" s="25">
        <v>0</v>
      </c>
      <c r="I299" s="40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29">
        <v>0</v>
      </c>
      <c r="R299" s="8">
        <v>1</v>
      </c>
      <c r="S299" s="8"/>
      <c r="T299" s="8">
        <v>108000</v>
      </c>
      <c r="U299" s="8"/>
      <c r="V299" s="8">
        <f t="shared" si="105"/>
        <v>0</v>
      </c>
      <c r="W299" s="8">
        <f t="shared" si="106"/>
        <v>0</v>
      </c>
      <c r="X299" s="30">
        <f t="shared" si="107"/>
        <v>1</v>
      </c>
      <c r="Y299" s="30">
        <f t="shared" si="108"/>
        <v>108000</v>
      </c>
      <c r="Z299" s="30">
        <f t="shared" si="113"/>
        <v>0</v>
      </c>
      <c r="AA299" s="30">
        <f t="shared" si="114"/>
        <v>0</v>
      </c>
      <c r="AB299" s="30">
        <v>1.3333333333333333</v>
      </c>
      <c r="AC299" s="30">
        <v>144000</v>
      </c>
      <c r="AD299" s="8">
        <v>1</v>
      </c>
      <c r="AE299" s="8">
        <v>0</v>
      </c>
      <c r="AF299" s="8">
        <v>108000</v>
      </c>
      <c r="AG299" s="8">
        <v>0</v>
      </c>
      <c r="AH299" s="23">
        <f t="shared" si="109"/>
        <v>0</v>
      </c>
      <c r="AI299" s="23">
        <f t="shared" si="110"/>
        <v>0</v>
      </c>
      <c r="AJ299" s="23">
        <f t="shared" si="111"/>
        <v>1</v>
      </c>
      <c r="AK299" s="23">
        <f t="shared" si="112"/>
        <v>108000</v>
      </c>
      <c r="AL299" s="8">
        <v>0</v>
      </c>
      <c r="AM299" s="8">
        <v>0</v>
      </c>
      <c r="AN299" s="8">
        <v>1</v>
      </c>
      <c r="AO299" s="8">
        <v>108000</v>
      </c>
      <c r="AP299" s="26">
        <v>0</v>
      </c>
      <c r="AQ299" s="13"/>
      <c r="AR299" s="14">
        <v>0</v>
      </c>
      <c r="AS299" s="13"/>
      <c r="AT299" s="13"/>
      <c r="AU299" s="13"/>
      <c r="AV299" s="13"/>
      <c r="AW299" s="13"/>
      <c r="AX299" s="13"/>
    </row>
    <row r="300" spans="2:50" s="2" customFormat="1">
      <c r="B300" s="12">
        <v>11423</v>
      </c>
      <c r="C300" s="11" t="s">
        <v>20</v>
      </c>
      <c r="D300" s="11" t="s">
        <v>180</v>
      </c>
      <c r="E300" s="25">
        <v>283</v>
      </c>
      <c r="F300" s="25">
        <v>36</v>
      </c>
      <c r="G300" s="25">
        <v>28414627.850000005</v>
      </c>
      <c r="H300" s="25">
        <v>1062146.8</v>
      </c>
      <c r="I300" s="39">
        <v>0</v>
      </c>
      <c r="J300" s="22">
        <v>0</v>
      </c>
      <c r="K300" s="22">
        <v>0</v>
      </c>
      <c r="L300" s="22">
        <v>0</v>
      </c>
      <c r="M300" s="22">
        <v>36</v>
      </c>
      <c r="N300" s="22">
        <v>1062146.8</v>
      </c>
      <c r="O300" s="22">
        <v>283</v>
      </c>
      <c r="P300" s="22">
        <v>28414627.850000005</v>
      </c>
      <c r="Q300" s="29">
        <v>0</v>
      </c>
      <c r="R300" s="8">
        <v>326</v>
      </c>
      <c r="S300" s="8">
        <f>+VLOOKUP(B300,[1]Лист2!$A$4:$B$188,2,0)</f>
        <v>48</v>
      </c>
      <c r="T300" s="8">
        <v>29398674.549999997</v>
      </c>
      <c r="U300" s="8">
        <f>+VLOOKUP(B300,[1]Лист2!$A$4:$C$188,3,0)</f>
        <v>915478.94000000006</v>
      </c>
      <c r="V300" s="8">
        <f t="shared" si="105"/>
        <v>48</v>
      </c>
      <c r="W300" s="8">
        <f t="shared" si="106"/>
        <v>915478.94000000006</v>
      </c>
      <c r="X300" s="30">
        <f t="shared" si="107"/>
        <v>326</v>
      </c>
      <c r="Y300" s="30">
        <f t="shared" si="108"/>
        <v>29398674.549999997</v>
      </c>
      <c r="Z300" s="30">
        <f t="shared" si="113"/>
        <v>64</v>
      </c>
      <c r="AA300" s="30">
        <f t="shared" si="114"/>
        <v>1220638.5866666667</v>
      </c>
      <c r="AB300" s="30">
        <v>434.66666666666669</v>
      </c>
      <c r="AC300" s="30">
        <v>39198232.733333327</v>
      </c>
      <c r="AD300" s="8">
        <v>313</v>
      </c>
      <c r="AE300" s="8">
        <v>52</v>
      </c>
      <c r="AF300" s="8">
        <v>34763263.669999994</v>
      </c>
      <c r="AG300" s="8">
        <v>1653217.1300000001</v>
      </c>
      <c r="AH300" s="23">
        <f t="shared" si="109"/>
        <v>52</v>
      </c>
      <c r="AI300" s="23">
        <f t="shared" si="110"/>
        <v>1653217.1300000001</v>
      </c>
      <c r="AJ300" s="23">
        <f t="shared" si="111"/>
        <v>313</v>
      </c>
      <c r="AK300" s="23">
        <f t="shared" si="112"/>
        <v>34763263.669999994</v>
      </c>
      <c r="AL300" s="8">
        <v>52</v>
      </c>
      <c r="AM300" s="8">
        <v>1653217.1300000001</v>
      </c>
      <c r="AN300" s="8">
        <v>313</v>
      </c>
      <c r="AO300" s="8">
        <v>34763263.669999994</v>
      </c>
      <c r="AP300" s="26">
        <v>3.5380400000000001</v>
      </c>
      <c r="AQ300" s="13"/>
      <c r="AR300" s="14">
        <v>0</v>
      </c>
      <c r="AS300" s="13"/>
      <c r="AT300" s="13"/>
      <c r="AU300" s="13"/>
      <c r="AV300" s="13"/>
      <c r="AW300" s="13"/>
      <c r="AX300" s="13"/>
    </row>
    <row r="301" spans="2:50">
      <c r="B301" s="12">
        <v>11429</v>
      </c>
      <c r="C301" s="11" t="s">
        <v>20</v>
      </c>
      <c r="D301" s="11" t="s">
        <v>180</v>
      </c>
      <c r="E301" s="25">
        <v>2</v>
      </c>
      <c r="F301" s="25">
        <v>0</v>
      </c>
      <c r="G301" s="25">
        <v>130000</v>
      </c>
      <c r="H301" s="25">
        <v>0</v>
      </c>
      <c r="I301" s="40">
        <v>0</v>
      </c>
      <c r="J301" s="37">
        <v>0</v>
      </c>
      <c r="K301" s="37">
        <v>0</v>
      </c>
      <c r="L301" s="37">
        <v>0</v>
      </c>
      <c r="M301" s="22">
        <v>0</v>
      </c>
      <c r="N301" s="22">
        <v>0</v>
      </c>
      <c r="O301" s="22">
        <v>2</v>
      </c>
      <c r="P301" s="22">
        <v>130000</v>
      </c>
      <c r="Q301" s="29">
        <v>22.725999999999999</v>
      </c>
      <c r="R301" s="8">
        <v>1</v>
      </c>
      <c r="S301" s="8">
        <f>+VLOOKUP(B301,[1]Лист2!$A$4:$B$188,2,0)</f>
        <v>9</v>
      </c>
      <c r="T301" s="8">
        <v>45160</v>
      </c>
      <c r="U301" s="8">
        <f>+VLOOKUP(B301,[1]Лист2!$A$4:$C$188,3,0)</f>
        <v>355358.27</v>
      </c>
      <c r="V301" s="8">
        <f t="shared" si="105"/>
        <v>9</v>
      </c>
      <c r="W301" s="8">
        <f t="shared" si="106"/>
        <v>355358.27</v>
      </c>
      <c r="X301" s="30">
        <f t="shared" si="107"/>
        <v>1</v>
      </c>
      <c r="Y301" s="30">
        <f t="shared" si="108"/>
        <v>45160</v>
      </c>
      <c r="Z301" s="30">
        <f t="shared" si="113"/>
        <v>12</v>
      </c>
      <c r="AA301" s="30">
        <f t="shared" si="114"/>
        <v>473811.02666666667</v>
      </c>
      <c r="AB301" s="30">
        <v>1.3333333333333333</v>
      </c>
      <c r="AC301" s="30">
        <v>60213.333333333336</v>
      </c>
      <c r="AD301" s="8">
        <v>9</v>
      </c>
      <c r="AE301" s="8">
        <v>4</v>
      </c>
      <c r="AF301" s="8">
        <v>246600</v>
      </c>
      <c r="AG301" s="8">
        <v>12511.34</v>
      </c>
      <c r="AH301" s="23">
        <f t="shared" si="109"/>
        <v>4</v>
      </c>
      <c r="AI301" s="23">
        <f t="shared" si="110"/>
        <v>12511.34</v>
      </c>
      <c r="AJ301" s="23">
        <f t="shared" si="111"/>
        <v>9</v>
      </c>
      <c r="AK301" s="23">
        <f t="shared" si="112"/>
        <v>246600</v>
      </c>
      <c r="AL301" s="8">
        <v>4</v>
      </c>
      <c r="AM301" s="8">
        <v>12511.34</v>
      </c>
      <c r="AN301" s="8">
        <v>9</v>
      </c>
      <c r="AO301" s="8">
        <v>246600</v>
      </c>
      <c r="AP301" s="26">
        <v>0</v>
      </c>
      <c r="AQ301" s="13"/>
      <c r="AR301" s="14">
        <v>0</v>
      </c>
      <c r="AS301" s="13"/>
      <c r="AT301" s="13"/>
      <c r="AU301" s="13"/>
      <c r="AV301" s="13"/>
      <c r="AW301" s="13"/>
      <c r="AX301" s="13"/>
    </row>
    <row r="302" spans="2:50">
      <c r="B302" s="12">
        <v>11433</v>
      </c>
      <c r="C302" s="11" t="s">
        <v>20</v>
      </c>
      <c r="D302" s="11" t="s">
        <v>180</v>
      </c>
      <c r="E302" s="25">
        <v>24</v>
      </c>
      <c r="F302" s="25">
        <v>2</v>
      </c>
      <c r="G302" s="25">
        <v>15723666.199999999</v>
      </c>
      <c r="H302" s="25">
        <v>17220</v>
      </c>
      <c r="I302" s="39">
        <v>0</v>
      </c>
      <c r="J302" s="22">
        <v>0</v>
      </c>
      <c r="K302" s="22">
        <v>0</v>
      </c>
      <c r="L302" s="22">
        <v>0</v>
      </c>
      <c r="M302" s="22">
        <v>2</v>
      </c>
      <c r="N302" s="22">
        <v>17220</v>
      </c>
      <c r="O302" s="22">
        <v>24</v>
      </c>
      <c r="P302" s="22">
        <v>15723666.199999999</v>
      </c>
      <c r="Q302" s="29">
        <v>5272.17173</v>
      </c>
      <c r="R302" s="8">
        <v>9</v>
      </c>
      <c r="S302" s="8"/>
      <c r="T302" s="8">
        <v>4127290.2399999998</v>
      </c>
      <c r="U302" s="8"/>
      <c r="V302" s="8">
        <f t="shared" si="105"/>
        <v>0</v>
      </c>
      <c r="W302" s="8">
        <f t="shared" si="106"/>
        <v>0</v>
      </c>
      <c r="X302" s="30">
        <f t="shared" si="107"/>
        <v>9</v>
      </c>
      <c r="Y302" s="30">
        <f t="shared" si="108"/>
        <v>4127290.2399999998</v>
      </c>
      <c r="Z302" s="30">
        <f t="shared" si="113"/>
        <v>0</v>
      </c>
      <c r="AA302" s="30">
        <f t="shared" si="114"/>
        <v>0</v>
      </c>
      <c r="AB302" s="30">
        <v>12</v>
      </c>
      <c r="AC302" s="30">
        <v>5503053.6533333333</v>
      </c>
      <c r="AD302" s="8">
        <v>2</v>
      </c>
      <c r="AE302" s="8">
        <v>2</v>
      </c>
      <c r="AF302" s="8">
        <v>48988.75</v>
      </c>
      <c r="AG302" s="8">
        <v>17220</v>
      </c>
      <c r="AH302" s="23">
        <f t="shared" si="109"/>
        <v>2</v>
      </c>
      <c r="AI302" s="23">
        <f t="shared" si="110"/>
        <v>17220</v>
      </c>
      <c r="AJ302" s="23">
        <f t="shared" si="111"/>
        <v>2</v>
      </c>
      <c r="AK302" s="23">
        <f t="shared" si="112"/>
        <v>48988.75</v>
      </c>
      <c r="AL302" s="8">
        <v>2</v>
      </c>
      <c r="AM302" s="8">
        <v>17220</v>
      </c>
      <c r="AN302" s="8">
        <v>2</v>
      </c>
      <c r="AO302" s="8">
        <v>48988.75</v>
      </c>
      <c r="AP302" s="26">
        <v>2.5107599999999999</v>
      </c>
      <c r="AQ302" s="13"/>
      <c r="AR302" s="14">
        <v>0</v>
      </c>
      <c r="AS302" s="13"/>
      <c r="AT302" s="13"/>
      <c r="AU302" s="13"/>
      <c r="AV302" s="13"/>
      <c r="AW302" s="13"/>
      <c r="AX302" s="13"/>
    </row>
    <row r="303" spans="2:50" s="2" customFormat="1">
      <c r="B303" s="12">
        <v>11437</v>
      </c>
      <c r="C303" s="11" t="s">
        <v>20</v>
      </c>
      <c r="D303" s="11" t="s">
        <v>180</v>
      </c>
      <c r="E303" s="25">
        <v>143</v>
      </c>
      <c r="F303" s="25">
        <v>0</v>
      </c>
      <c r="G303" s="25">
        <v>4103564.2</v>
      </c>
      <c r="H303" s="25">
        <v>0</v>
      </c>
      <c r="I303" s="40">
        <v>0</v>
      </c>
      <c r="J303" s="37">
        <v>0</v>
      </c>
      <c r="K303" s="37">
        <v>0</v>
      </c>
      <c r="L303" s="37">
        <v>0</v>
      </c>
      <c r="M303" s="22">
        <v>0</v>
      </c>
      <c r="N303" s="22">
        <v>0</v>
      </c>
      <c r="O303" s="22">
        <v>143</v>
      </c>
      <c r="P303" s="22">
        <v>4103564.2</v>
      </c>
      <c r="Q303" s="29">
        <v>0</v>
      </c>
      <c r="R303" s="8">
        <v>158</v>
      </c>
      <c r="S303" s="8"/>
      <c r="T303" s="8">
        <v>6165386.4799999995</v>
      </c>
      <c r="U303" s="8"/>
      <c r="V303" s="8">
        <f t="shared" si="105"/>
        <v>0</v>
      </c>
      <c r="W303" s="8">
        <f t="shared" si="106"/>
        <v>0</v>
      </c>
      <c r="X303" s="30">
        <f t="shared" si="107"/>
        <v>158</v>
      </c>
      <c r="Y303" s="30">
        <f t="shared" si="108"/>
        <v>6165386.4799999995</v>
      </c>
      <c r="Z303" s="30">
        <f t="shared" si="113"/>
        <v>0</v>
      </c>
      <c r="AA303" s="30">
        <f t="shared" si="114"/>
        <v>0</v>
      </c>
      <c r="AB303" s="30">
        <v>210.66666666666666</v>
      </c>
      <c r="AC303" s="30">
        <v>8220515.3066666657</v>
      </c>
      <c r="AD303" s="8">
        <v>112</v>
      </c>
      <c r="AE303" s="8">
        <v>0</v>
      </c>
      <c r="AF303" s="8">
        <v>4928669.79</v>
      </c>
      <c r="AG303" s="8">
        <v>0</v>
      </c>
      <c r="AH303" s="23">
        <f t="shared" si="109"/>
        <v>0</v>
      </c>
      <c r="AI303" s="23">
        <f t="shared" si="110"/>
        <v>0</v>
      </c>
      <c r="AJ303" s="23">
        <f t="shared" si="111"/>
        <v>112</v>
      </c>
      <c r="AK303" s="23">
        <f t="shared" si="112"/>
        <v>4928669.79</v>
      </c>
      <c r="AL303" s="8">
        <v>0</v>
      </c>
      <c r="AM303" s="8">
        <v>0</v>
      </c>
      <c r="AN303" s="8">
        <v>112</v>
      </c>
      <c r="AO303" s="8">
        <v>4928669.79</v>
      </c>
      <c r="AP303" s="26">
        <v>40.578259999999993</v>
      </c>
      <c r="AQ303" s="13"/>
      <c r="AR303" s="14">
        <v>0</v>
      </c>
      <c r="AS303" s="13"/>
      <c r="AT303" s="13"/>
      <c r="AU303" s="13"/>
      <c r="AV303" s="13"/>
      <c r="AW303" s="13"/>
      <c r="AX303" s="13"/>
    </row>
    <row r="304" spans="2:50">
      <c r="B304" s="12">
        <v>11440</v>
      </c>
      <c r="C304" s="11" t="s">
        <v>20</v>
      </c>
      <c r="D304" s="11" t="s">
        <v>180</v>
      </c>
      <c r="E304" s="25">
        <v>5</v>
      </c>
      <c r="F304" s="25">
        <v>0</v>
      </c>
      <c r="G304" s="25">
        <v>858700.01</v>
      </c>
      <c r="H304" s="25">
        <v>0</v>
      </c>
      <c r="I304" s="40">
        <v>0</v>
      </c>
      <c r="J304" s="37">
        <v>0</v>
      </c>
      <c r="K304" s="37">
        <v>0</v>
      </c>
      <c r="L304" s="37">
        <v>0</v>
      </c>
      <c r="M304" s="22">
        <v>0</v>
      </c>
      <c r="N304" s="22">
        <v>0</v>
      </c>
      <c r="O304" s="22">
        <v>5</v>
      </c>
      <c r="P304" s="22">
        <v>858700.01</v>
      </c>
      <c r="Q304" s="29">
        <v>0</v>
      </c>
      <c r="R304" s="8"/>
      <c r="S304" s="8"/>
      <c r="T304" s="8"/>
      <c r="U304" s="8"/>
      <c r="V304" s="8">
        <f t="shared" si="105"/>
        <v>0</v>
      </c>
      <c r="W304" s="8">
        <f t="shared" si="106"/>
        <v>0</v>
      </c>
      <c r="X304" s="30">
        <f t="shared" si="107"/>
        <v>0</v>
      </c>
      <c r="Y304" s="30">
        <f t="shared" si="108"/>
        <v>0</v>
      </c>
      <c r="Z304" s="30">
        <f t="shared" si="113"/>
        <v>0</v>
      </c>
      <c r="AA304" s="30">
        <f t="shared" si="114"/>
        <v>0</v>
      </c>
      <c r="AB304" s="30">
        <v>0</v>
      </c>
      <c r="AC304" s="30">
        <v>0</v>
      </c>
      <c r="AD304" s="8">
        <v>0</v>
      </c>
      <c r="AE304" s="8">
        <v>0</v>
      </c>
      <c r="AF304" s="8">
        <v>0</v>
      </c>
      <c r="AG304" s="8">
        <v>0</v>
      </c>
      <c r="AH304" s="23">
        <f t="shared" si="109"/>
        <v>0</v>
      </c>
      <c r="AI304" s="23">
        <f t="shared" si="110"/>
        <v>0</v>
      </c>
      <c r="AJ304" s="23">
        <f t="shared" si="111"/>
        <v>0</v>
      </c>
      <c r="AK304" s="23">
        <f t="shared" si="112"/>
        <v>0</v>
      </c>
      <c r="AL304" s="8">
        <v>0</v>
      </c>
      <c r="AM304" s="8">
        <v>0</v>
      </c>
      <c r="AN304" s="8">
        <v>0</v>
      </c>
      <c r="AO304" s="8">
        <v>0</v>
      </c>
      <c r="AP304" s="26">
        <v>0</v>
      </c>
      <c r="AQ304" s="13"/>
      <c r="AR304" s="14">
        <v>0</v>
      </c>
      <c r="AS304" s="13"/>
      <c r="AT304" s="13"/>
      <c r="AU304" s="13"/>
      <c r="AV304" s="13"/>
      <c r="AW304" s="13"/>
      <c r="AX304" s="13"/>
    </row>
    <row r="305" spans="2:50">
      <c r="B305" s="12">
        <v>11454</v>
      </c>
      <c r="C305" s="11" t="s">
        <v>20</v>
      </c>
      <c r="D305" s="11" t="s">
        <v>180</v>
      </c>
      <c r="E305" s="25">
        <v>1</v>
      </c>
      <c r="F305" s="25">
        <v>0</v>
      </c>
      <c r="G305" s="25">
        <v>20400</v>
      </c>
      <c r="H305" s="25">
        <v>0</v>
      </c>
      <c r="I305" s="40">
        <v>0</v>
      </c>
      <c r="J305" s="37">
        <v>0</v>
      </c>
      <c r="K305" s="37">
        <v>0</v>
      </c>
      <c r="L305" s="37">
        <v>0</v>
      </c>
      <c r="M305" s="22">
        <v>0</v>
      </c>
      <c r="N305" s="22">
        <v>0</v>
      </c>
      <c r="O305" s="22">
        <v>1</v>
      </c>
      <c r="P305" s="22">
        <v>20400</v>
      </c>
      <c r="Q305" s="29">
        <v>0</v>
      </c>
      <c r="R305" s="8"/>
      <c r="S305" s="8"/>
      <c r="T305" s="8"/>
      <c r="U305" s="8"/>
      <c r="V305" s="8">
        <f t="shared" si="105"/>
        <v>0</v>
      </c>
      <c r="W305" s="8">
        <f t="shared" si="106"/>
        <v>0</v>
      </c>
      <c r="X305" s="30">
        <f t="shared" si="107"/>
        <v>0</v>
      </c>
      <c r="Y305" s="30">
        <f t="shared" si="108"/>
        <v>0</v>
      </c>
      <c r="Z305" s="30">
        <f t="shared" si="113"/>
        <v>0</v>
      </c>
      <c r="AA305" s="30">
        <f t="shared" si="114"/>
        <v>0</v>
      </c>
      <c r="AB305" s="30">
        <v>0</v>
      </c>
      <c r="AC305" s="30">
        <v>0</v>
      </c>
      <c r="AD305" s="8">
        <v>0</v>
      </c>
      <c r="AE305" s="8">
        <v>0</v>
      </c>
      <c r="AF305" s="8">
        <v>0</v>
      </c>
      <c r="AG305" s="8">
        <v>0</v>
      </c>
      <c r="AH305" s="23">
        <f t="shared" si="109"/>
        <v>0</v>
      </c>
      <c r="AI305" s="23">
        <f t="shared" si="110"/>
        <v>0</v>
      </c>
      <c r="AJ305" s="23">
        <f t="shared" si="111"/>
        <v>0</v>
      </c>
      <c r="AK305" s="23">
        <f t="shared" si="112"/>
        <v>0</v>
      </c>
      <c r="AL305" s="8">
        <v>0</v>
      </c>
      <c r="AM305" s="8">
        <v>0</v>
      </c>
      <c r="AN305" s="8">
        <v>0</v>
      </c>
      <c r="AO305" s="8">
        <v>0</v>
      </c>
      <c r="AP305" s="26">
        <v>0</v>
      </c>
      <c r="AQ305" s="13"/>
      <c r="AR305" s="14">
        <v>0</v>
      </c>
      <c r="AS305" s="13"/>
      <c r="AT305" s="13"/>
      <c r="AU305" s="13"/>
      <c r="AV305" s="13"/>
      <c r="AW305" s="13"/>
      <c r="AX305" s="13"/>
    </row>
    <row r="306" spans="2:50" s="2" customFormat="1">
      <c r="B306" s="12">
        <v>11455</v>
      </c>
      <c r="C306" s="11" t="s">
        <v>20</v>
      </c>
      <c r="D306" s="11" t="s">
        <v>180</v>
      </c>
      <c r="E306" s="25">
        <v>1</v>
      </c>
      <c r="F306" s="25">
        <v>0</v>
      </c>
      <c r="G306" s="25">
        <v>68438.5</v>
      </c>
      <c r="H306" s="25">
        <v>0</v>
      </c>
      <c r="I306" s="40">
        <v>0</v>
      </c>
      <c r="J306" s="37">
        <v>0</v>
      </c>
      <c r="K306" s="37">
        <v>0</v>
      </c>
      <c r="L306" s="37">
        <v>0</v>
      </c>
      <c r="M306" s="22">
        <v>0</v>
      </c>
      <c r="N306" s="22">
        <v>0</v>
      </c>
      <c r="O306" s="22">
        <v>1</v>
      </c>
      <c r="P306" s="22">
        <v>68438.5</v>
      </c>
      <c r="Q306" s="29">
        <v>18.862580000000001</v>
      </c>
      <c r="R306" s="8"/>
      <c r="S306" s="8"/>
      <c r="T306" s="8"/>
      <c r="U306" s="8"/>
      <c r="V306" s="8">
        <f t="shared" si="105"/>
        <v>0</v>
      </c>
      <c r="W306" s="8">
        <f t="shared" si="106"/>
        <v>0</v>
      </c>
      <c r="X306" s="30">
        <f t="shared" si="107"/>
        <v>0</v>
      </c>
      <c r="Y306" s="30">
        <f t="shared" si="108"/>
        <v>0</v>
      </c>
      <c r="Z306" s="30">
        <f t="shared" si="113"/>
        <v>0</v>
      </c>
      <c r="AA306" s="30">
        <f t="shared" si="114"/>
        <v>0</v>
      </c>
      <c r="AB306" s="30">
        <v>0</v>
      </c>
      <c r="AC306" s="30">
        <v>0</v>
      </c>
      <c r="AD306" s="8">
        <v>8</v>
      </c>
      <c r="AE306" s="8">
        <v>0</v>
      </c>
      <c r="AF306" s="8">
        <v>208780</v>
      </c>
      <c r="AG306" s="8">
        <v>0</v>
      </c>
      <c r="AH306" s="23">
        <f t="shared" si="109"/>
        <v>0</v>
      </c>
      <c r="AI306" s="23">
        <f t="shared" si="110"/>
        <v>0</v>
      </c>
      <c r="AJ306" s="23">
        <f t="shared" si="111"/>
        <v>8</v>
      </c>
      <c r="AK306" s="23">
        <f t="shared" si="112"/>
        <v>208780</v>
      </c>
      <c r="AL306" s="8">
        <v>0</v>
      </c>
      <c r="AM306" s="8">
        <v>0</v>
      </c>
      <c r="AN306" s="8">
        <v>8</v>
      </c>
      <c r="AO306" s="8">
        <v>208780</v>
      </c>
      <c r="AP306" s="26">
        <v>0</v>
      </c>
      <c r="AQ306" s="13"/>
      <c r="AR306" s="14">
        <v>0</v>
      </c>
      <c r="AS306" s="13"/>
      <c r="AT306" s="13"/>
      <c r="AU306" s="13"/>
      <c r="AV306" s="13"/>
      <c r="AW306" s="13"/>
      <c r="AX306" s="13"/>
    </row>
    <row r="307" spans="2:50">
      <c r="B307" s="12">
        <v>11424</v>
      </c>
      <c r="C307" s="11" t="s">
        <v>20</v>
      </c>
      <c r="D307" s="11" t="s">
        <v>180</v>
      </c>
      <c r="E307" s="25">
        <v>0</v>
      </c>
      <c r="F307" s="25">
        <v>0</v>
      </c>
      <c r="G307" s="25">
        <v>0</v>
      </c>
      <c r="H307" s="25">
        <v>0</v>
      </c>
      <c r="I307" s="40">
        <v>0</v>
      </c>
      <c r="J307" s="37">
        <v>0</v>
      </c>
      <c r="K307" s="37">
        <v>0</v>
      </c>
      <c r="L307" s="37">
        <v>0</v>
      </c>
      <c r="M307" s="37">
        <v>0</v>
      </c>
      <c r="N307" s="37">
        <v>0</v>
      </c>
      <c r="O307" s="37">
        <v>0</v>
      </c>
      <c r="P307" s="37">
        <v>0</v>
      </c>
      <c r="Q307" s="29">
        <v>8.2835999999999999</v>
      </c>
      <c r="R307" s="8">
        <v>2</v>
      </c>
      <c r="S307" s="8">
        <f>+VLOOKUP(B307,[1]Лист2!$A$4:$B$188,2,0)</f>
        <v>1</v>
      </c>
      <c r="T307" s="8">
        <v>29356.560000000001</v>
      </c>
      <c r="U307" s="8">
        <f>+VLOOKUP(B307,[1]Лист2!$A$4:$C$188,3,0)</f>
        <v>7381</v>
      </c>
      <c r="V307" s="8">
        <f t="shared" si="105"/>
        <v>1</v>
      </c>
      <c r="W307" s="8">
        <f t="shared" si="106"/>
        <v>7381</v>
      </c>
      <c r="X307" s="30">
        <f t="shared" si="107"/>
        <v>2</v>
      </c>
      <c r="Y307" s="30">
        <f t="shared" si="108"/>
        <v>29356.560000000001</v>
      </c>
      <c r="Z307" s="30">
        <f t="shared" si="113"/>
        <v>1.3333333333333333</v>
      </c>
      <c r="AA307" s="30">
        <f t="shared" si="114"/>
        <v>9841.3333333333339</v>
      </c>
      <c r="AB307" s="30">
        <v>2.6666666666666665</v>
      </c>
      <c r="AC307" s="30">
        <v>39142.080000000002</v>
      </c>
      <c r="AD307" s="8">
        <v>3</v>
      </c>
      <c r="AE307" s="8">
        <v>0</v>
      </c>
      <c r="AF307" s="8">
        <v>117960.16</v>
      </c>
      <c r="AG307" s="8">
        <v>0</v>
      </c>
      <c r="AH307" s="23">
        <f t="shared" si="109"/>
        <v>0</v>
      </c>
      <c r="AI307" s="23">
        <f t="shared" si="110"/>
        <v>0</v>
      </c>
      <c r="AJ307" s="23">
        <f t="shared" si="111"/>
        <v>3</v>
      </c>
      <c r="AK307" s="23">
        <f t="shared" si="112"/>
        <v>117960.16</v>
      </c>
      <c r="AL307" s="8">
        <v>0</v>
      </c>
      <c r="AM307" s="8">
        <v>0</v>
      </c>
      <c r="AN307" s="8">
        <v>3</v>
      </c>
      <c r="AO307" s="8">
        <v>117960.16</v>
      </c>
      <c r="AP307" s="26">
        <v>8.2835999999999999</v>
      </c>
      <c r="AQ307" s="13"/>
      <c r="AR307" s="14">
        <v>0</v>
      </c>
      <c r="AS307" s="13"/>
      <c r="AT307" s="13"/>
      <c r="AU307" s="13"/>
      <c r="AV307" s="13"/>
      <c r="AW307" s="13"/>
      <c r="AX307" s="13"/>
    </row>
    <row r="308" spans="2:50">
      <c r="B308" s="12">
        <v>11432</v>
      </c>
      <c r="C308" s="11" t="s">
        <v>20</v>
      </c>
      <c r="D308" s="11" t="s">
        <v>180</v>
      </c>
      <c r="E308" s="25">
        <v>0</v>
      </c>
      <c r="F308" s="25">
        <v>0</v>
      </c>
      <c r="G308" s="25">
        <v>0</v>
      </c>
      <c r="H308" s="25">
        <v>0</v>
      </c>
      <c r="I308" s="40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7">
        <v>0</v>
      </c>
      <c r="Q308" s="29">
        <v>0</v>
      </c>
      <c r="R308" s="8"/>
      <c r="S308" s="8"/>
      <c r="T308" s="8"/>
      <c r="U308" s="8"/>
      <c r="V308" s="8">
        <f t="shared" si="105"/>
        <v>0</v>
      </c>
      <c r="W308" s="8">
        <f t="shared" si="106"/>
        <v>0</v>
      </c>
      <c r="X308" s="30">
        <f t="shared" si="107"/>
        <v>0</v>
      </c>
      <c r="Y308" s="30">
        <f t="shared" si="108"/>
        <v>0</v>
      </c>
      <c r="Z308" s="30">
        <f t="shared" si="113"/>
        <v>0</v>
      </c>
      <c r="AA308" s="30">
        <f t="shared" si="114"/>
        <v>0</v>
      </c>
      <c r="AB308" s="30">
        <v>0</v>
      </c>
      <c r="AC308" s="30">
        <v>0</v>
      </c>
      <c r="AD308" s="8">
        <v>0</v>
      </c>
      <c r="AE308" s="8">
        <v>2</v>
      </c>
      <c r="AF308" s="8">
        <v>0</v>
      </c>
      <c r="AG308" s="8">
        <v>99483.44</v>
      </c>
      <c r="AH308" s="23">
        <f t="shared" si="109"/>
        <v>2</v>
      </c>
      <c r="AI308" s="23">
        <f t="shared" si="110"/>
        <v>99483.44</v>
      </c>
      <c r="AJ308" s="23">
        <f t="shared" si="111"/>
        <v>0</v>
      </c>
      <c r="AK308" s="23">
        <f t="shared" si="112"/>
        <v>0</v>
      </c>
      <c r="AL308" s="8">
        <v>2</v>
      </c>
      <c r="AM308" s="8">
        <v>99483.44</v>
      </c>
      <c r="AN308" s="32">
        <v>0</v>
      </c>
      <c r="AO308" s="32">
        <v>0</v>
      </c>
      <c r="AP308" s="26">
        <v>0</v>
      </c>
      <c r="AQ308" s="13"/>
      <c r="AR308" s="14">
        <v>0</v>
      </c>
      <c r="AS308" s="13"/>
      <c r="AT308" s="13"/>
      <c r="AU308" s="13"/>
      <c r="AV308" s="13"/>
      <c r="AW308" s="13"/>
      <c r="AX308" s="13"/>
    </row>
    <row r="309" spans="2:50" ht="15.75" thickBot="1">
      <c r="B309" s="12">
        <v>11451</v>
      </c>
      <c r="C309" s="11" t="s">
        <v>20</v>
      </c>
      <c r="D309" s="11" t="s">
        <v>180</v>
      </c>
      <c r="E309" s="25">
        <v>0</v>
      </c>
      <c r="F309" s="25">
        <v>0</v>
      </c>
      <c r="G309" s="25">
        <v>0</v>
      </c>
      <c r="H309" s="25">
        <v>0</v>
      </c>
      <c r="I309" s="41">
        <v>0</v>
      </c>
      <c r="J309" s="38">
        <v>0</v>
      </c>
      <c r="K309" s="38">
        <v>0</v>
      </c>
      <c r="L309" s="38">
        <v>0</v>
      </c>
      <c r="M309" s="38">
        <v>0</v>
      </c>
      <c r="N309" s="38">
        <v>0</v>
      </c>
      <c r="O309" s="38">
        <v>0</v>
      </c>
      <c r="P309" s="38">
        <v>0</v>
      </c>
      <c r="Q309" s="29">
        <v>43.977499999999999</v>
      </c>
      <c r="R309" s="8">
        <v>1</v>
      </c>
      <c r="S309" s="8">
        <f>+VLOOKUP(B309,[1]Лист2!$A$4:$B$188,2,0)</f>
        <v>2</v>
      </c>
      <c r="T309" s="8">
        <v>2888</v>
      </c>
      <c r="U309" s="8">
        <f>+VLOOKUP(B309,[1]Лист2!$A$4:$C$188,3,0)</f>
        <v>248060</v>
      </c>
      <c r="V309" s="8">
        <f t="shared" si="105"/>
        <v>2</v>
      </c>
      <c r="W309" s="8">
        <f t="shared" si="106"/>
        <v>248060</v>
      </c>
      <c r="X309" s="30">
        <f t="shared" si="107"/>
        <v>1</v>
      </c>
      <c r="Y309" s="30">
        <f t="shared" si="108"/>
        <v>2888</v>
      </c>
      <c r="Z309" s="30">
        <f t="shared" si="113"/>
        <v>2.6666666666666665</v>
      </c>
      <c r="AA309" s="30">
        <f t="shared" si="114"/>
        <v>330746.66666666669</v>
      </c>
      <c r="AB309" s="30">
        <v>1.3333333333333333</v>
      </c>
      <c r="AC309" s="30">
        <v>3850.6666666666665</v>
      </c>
      <c r="AD309" s="33">
        <v>0</v>
      </c>
      <c r="AE309" s="33">
        <v>4</v>
      </c>
      <c r="AF309" s="33">
        <v>0</v>
      </c>
      <c r="AG309" s="33">
        <v>774000</v>
      </c>
      <c r="AH309" s="23">
        <f t="shared" si="109"/>
        <v>4</v>
      </c>
      <c r="AI309" s="23">
        <f t="shared" si="110"/>
        <v>774000</v>
      </c>
      <c r="AJ309" s="23">
        <f t="shared" si="111"/>
        <v>0</v>
      </c>
      <c r="AK309" s="23">
        <f t="shared" si="112"/>
        <v>0</v>
      </c>
      <c r="AL309" s="33">
        <v>4</v>
      </c>
      <c r="AM309" s="33">
        <v>774000</v>
      </c>
      <c r="AN309" s="34">
        <v>0</v>
      </c>
      <c r="AO309" s="34">
        <v>0</v>
      </c>
      <c r="AP309" s="26">
        <v>278.55842000000001</v>
      </c>
      <c r="AQ309" s="13"/>
      <c r="AR309" s="14">
        <v>0</v>
      </c>
      <c r="AS309" s="13"/>
      <c r="AT309" s="13"/>
      <c r="AU309" s="13"/>
      <c r="AV309" s="13"/>
      <c r="AW309" s="13"/>
      <c r="AX309" s="13"/>
    </row>
  </sheetData>
  <autoFilter ref="A6:AX309"/>
  <mergeCells count="45">
    <mergeCell ref="AT3:AT5"/>
    <mergeCell ref="AQ3:AQ5"/>
    <mergeCell ref="AR3:AR5"/>
    <mergeCell ref="AU3:AU5"/>
    <mergeCell ref="AP3:AP5"/>
    <mergeCell ref="AD3:AD5"/>
    <mergeCell ref="AE3:AE5"/>
    <mergeCell ref="AF3:AF5"/>
    <mergeCell ref="AG3:AG5"/>
    <mergeCell ref="AL3:AO3"/>
    <mergeCell ref="AL4:AM4"/>
    <mergeCell ref="AN4:AO4"/>
    <mergeCell ref="AH4:AI4"/>
    <mergeCell ref="AJ4:AK4"/>
    <mergeCell ref="AH3:AK3"/>
    <mergeCell ref="C2:C5"/>
    <mergeCell ref="M4:N4"/>
    <mergeCell ref="O4:P4"/>
    <mergeCell ref="E2:Q2"/>
    <mergeCell ref="I3:L3"/>
    <mergeCell ref="I4:J4"/>
    <mergeCell ref="K4:L4"/>
    <mergeCell ref="M3:P3"/>
    <mergeCell ref="E3:E5"/>
    <mergeCell ref="F3:F5"/>
    <mergeCell ref="G3:G5"/>
    <mergeCell ref="H3:H5"/>
    <mergeCell ref="D2:D5"/>
    <mergeCell ref="Q3:Q5"/>
    <mergeCell ref="AV3:AV5"/>
    <mergeCell ref="AX3:AX5"/>
    <mergeCell ref="AD2:AP2"/>
    <mergeCell ref="AS3:AS5"/>
    <mergeCell ref="R2:AC2"/>
    <mergeCell ref="R3:R5"/>
    <mergeCell ref="S3:S5"/>
    <mergeCell ref="T3:T5"/>
    <mergeCell ref="U3:U5"/>
    <mergeCell ref="V3:Y3"/>
    <mergeCell ref="Z3:AC3"/>
    <mergeCell ref="V4:W4"/>
    <mergeCell ref="X4:Y4"/>
    <mergeCell ref="Z4:AA4"/>
    <mergeCell ref="AB4:AC4"/>
    <mergeCell ref="AW3:AW5"/>
  </mergeCells>
  <pageMargins left="0.7" right="0.7" top="0.75" bottom="0.75" header="0.3" footer="0.3"/>
  <pageSetup paperSize="9"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банк ва ҳудуд кесимида</vt:lpstr>
      <vt:lpstr>'банк ва ҳудуд кесимида'!Область_печати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Davronbekov Javlon Kamol o'g'li</cp:lastModifiedBy>
  <cp:lastPrinted>2026-04-15T13:25:57Z</cp:lastPrinted>
  <dcterms:created xsi:type="dcterms:W3CDTF">2025-12-17T10:31:16Z</dcterms:created>
  <dcterms:modified xsi:type="dcterms:W3CDTF">2026-05-24T08:58:06Z</dcterms:modified>
</cp:coreProperties>
</file>