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b\2026\01022026\Портфель\Алишер учун\"/>
    </mc:Choice>
  </mc:AlternateContent>
  <xr:revisionPtr revIDLastSave="0" documentId="13_ncr:1_{997B6F83-D115-489E-AC16-6B6C96E889D4}" xr6:coauthVersionLast="47" xr6:coauthVersionMax="47" xr10:uidLastSave="{00000000-0000-0000-0000-000000000000}"/>
  <bookViews>
    <workbookView xWindow="-120" yWindow="-120" windowWidth="38640" windowHeight="21120" activeTab="8" xr2:uid="{00000000-000D-0000-FFFF-FFFF00000000}"/>
  </bookViews>
  <sheets>
    <sheet name="Солиштирма 2024" sheetId="15" r:id="rId1"/>
    <sheet name="Солиштирма 2025" sheetId="14" r:id="rId2"/>
    <sheet name="Соҳа" sheetId="8" r:id="rId3"/>
    <sheet name="Бошқа" sheetId="16" r:id="rId4"/>
    <sheet name="Йиллар" sheetId="17" r:id="rId5"/>
    <sheet name="Валюта" sheetId="18" r:id="rId6"/>
    <sheet name="Чора кўрилиши" sheetId="19" r:id="rId7"/>
    <sheet name="Дав т. ходимлари" sheetId="20" r:id="rId8"/>
    <sheet name="Йириклар" sheetId="21" r:id="rId9"/>
  </sheets>
  <definedNames>
    <definedName name="______________________________xlfn.BAHTTEXT" hidden="1">#NAME?</definedName>
    <definedName name="_____________________________xlfn.BAHTTEXT" hidden="1">#NAME?</definedName>
    <definedName name="____________________________xlfn.BAHTTEXT" hidden="1">#NAME?</definedName>
    <definedName name="___________________________xlfn.BAHTTEXT" hidden="1">#NAME?</definedName>
    <definedName name="__________________________xlfn.BAHTTEXT" hidden="1">#NAME?</definedName>
    <definedName name="_________________________xlfn.BAHTTEXT" hidden="1">#NAME?</definedName>
    <definedName name="________________________xlfn.BAHTTEXT" hidden="1">#NAME?</definedName>
    <definedName name="_______________________xlfn.BAHTTEXT" hidden="1">#NAME?</definedName>
    <definedName name="______________________xlfn.BAHTTEXT" hidden="1">#NAME?</definedName>
    <definedName name="_____________________xlfn.BAHTTEXT" hidden="1">#NAME?</definedName>
    <definedName name="____________________xlfn.BAHTTEXT" hidden="1">#NAME?</definedName>
    <definedName name="___________________xlfn.BAHTTEXT" hidden="1">#NAME?</definedName>
    <definedName name="__________________xlfn.BAHTTEXT" hidden="1">#NAME?</definedName>
    <definedName name="_________________xlfn.BAHTTEXT" hidden="1">#NAME?</definedName>
    <definedName name="________________xlfn.BAHTTEXT" hidden="1">#NAME?</definedName>
    <definedName name="_______________xlfn.BAHTTEXT" hidden="1">#NAME?</definedName>
    <definedName name="______________xlfn.BAHTTEXT" hidden="1">#NAME?</definedName>
    <definedName name="_____________xlfn.BAHTTEXT" hidden="1">#NAME?</definedName>
    <definedName name="____________xlfn.BAHTTEXT" hidden="1">#NAME?</definedName>
    <definedName name="___________xlfn.BAHTTEXT" hidden="1">#NAME?</definedName>
    <definedName name="__________xlfn.BAHTTEXT" hidden="1">#NAME?</definedName>
    <definedName name="_________xlfn.BAHTTEXT" hidden="1">#NAME?</definedName>
    <definedName name="________xlfn.BAHTTEXT" hidden="1">#NAME?</definedName>
    <definedName name="_______xlfn.BAHTTEXT" hidden="1">#NAME?</definedName>
    <definedName name="______xlfn.BAHTTEXT" hidden="1">#NAME?</definedName>
    <definedName name="_____add21" localSheetId="0" hidden="1">#REF!</definedName>
    <definedName name="_____add21" localSheetId="1" hidden="1">#REF!</definedName>
    <definedName name="_____add21" hidden="1">#REF!</definedName>
    <definedName name="_____xlfn.BAHTTEXT" hidden="1">#NAME?</definedName>
    <definedName name="_____xlfn.RTD" hidden="1">#NAME?</definedName>
    <definedName name="____add21" localSheetId="0" hidden="1">#REF!</definedName>
    <definedName name="____add21" localSheetId="1" hidden="1">#REF!</definedName>
    <definedName name="____add21" hidden="1">#REF!</definedName>
    <definedName name="____xlfn.BAHTTEXT" hidden="1">#NAME?</definedName>
    <definedName name="____xlfn.RTD" hidden="1">#NAME?</definedName>
    <definedName name="___A1" localSheetId="0" hidden="1">#REF!</definedName>
    <definedName name="___A1" localSheetId="1" hidden="1">#REF!</definedName>
    <definedName name="___A1" hidden="1">#REF!</definedName>
    <definedName name="___add21" localSheetId="0" hidden="1">#REF!</definedName>
    <definedName name="___add21" localSheetId="1" hidden="1">#REF!</definedName>
    <definedName name="___add21" hidden="1">#REF!</definedName>
    <definedName name="___xlfn.BAHTTEXT" hidden="1">#NAME?</definedName>
    <definedName name="___xlfn.RTD" hidden="1">#NAME?</definedName>
    <definedName name="__123Graph_A" localSheetId="0" hidden="1">#REF!</definedName>
    <definedName name="__123Graph_A" localSheetId="1" hidden="1">#REF!</definedName>
    <definedName name="__123Graph_A" hidden="1">#REF!</definedName>
    <definedName name="__123Graph_B" localSheetId="0" hidden="1">#REF!</definedName>
    <definedName name="__123Graph_B" localSheetId="1" hidden="1">#REF!</definedName>
    <definedName name="__123Graph_B" hidden="1">#REF!</definedName>
    <definedName name="__123Graph_X" localSheetId="0" hidden="1">#REF!</definedName>
    <definedName name="__123Graph_X" localSheetId="1" hidden="1">#REF!</definedName>
    <definedName name="__123Graph_X" hidden="1">#REF!</definedName>
    <definedName name="__2__123Graph_ACHART_1" hidden="1">#REF!</definedName>
    <definedName name="__4__123Graph_ACHART_2" hidden="1">#REF!</definedName>
    <definedName name="__A1" localSheetId="0" hidden="1">#REF!</definedName>
    <definedName name="__A1" localSheetId="1" hidden="1">#REF!</definedName>
    <definedName name="__A1" hidden="1">#REF!</definedName>
    <definedName name="__add21" localSheetId="0" hidden="1">#REF!</definedName>
    <definedName name="__add21" localSheetId="1" hidden="1">#REF!</definedName>
    <definedName name="__add21" hidden="1">#REF!</definedName>
    <definedName name="__xlfn.BAHTTEXT" hidden="1">#NAME?</definedName>
    <definedName name="__xlfn.RTD" hidden="1">#NAME?</definedName>
    <definedName name="_10__123Graph_AREALEX_WAGE" localSheetId="0" hidden="1">#REF!</definedName>
    <definedName name="_10__123Graph_AREALEX_WAGE" localSheetId="1" hidden="1">#REF!</definedName>
    <definedName name="_10__123Graph_AREALEX_WAGE" hidden="1">#REF!</definedName>
    <definedName name="_10__123Graph_BCHART_2" hidden="1">#REF!</definedName>
    <definedName name="_10__123Graph_BREALEX_WAGE" localSheetId="0" hidden="1">#REF!</definedName>
    <definedName name="_10__123Graph_BREALEX_WAGE" localSheetId="1" hidden="1">#REF!</definedName>
    <definedName name="_10__123Graph_BREALEX_WAGE" hidden="1">#REF!</definedName>
    <definedName name="_11__123Graph_BCHART_1" hidden="1">#REF!</definedName>
    <definedName name="_12__123Graph_BREALEX_WAGE" localSheetId="0" hidden="1">#REF!</definedName>
    <definedName name="_12__123Graph_BREALEX_WAGE" localSheetId="1" hidden="1">#REF!</definedName>
    <definedName name="_12__123Graph_BREALEX_WAGE" hidden="1">#REF!</definedName>
    <definedName name="_12__123Graph_CCHART_1" hidden="1">#REF!</definedName>
    <definedName name="_13__123Graph_BCHART_1" hidden="1">#REF!</definedName>
    <definedName name="_14__123Graph_BCHART_2" hidden="1">#REF!</definedName>
    <definedName name="_14__123Graph_CCHART_1" hidden="1">#REF!</definedName>
    <definedName name="_14__123Graph_CCHART_2" hidden="1">#REF!</definedName>
    <definedName name="_16__123Graph_BCHART_2" hidden="1">#REF!</definedName>
    <definedName name="_16__123Graph_BREALEX_WAGE" localSheetId="0" hidden="1">#REF!</definedName>
    <definedName name="_16__123Graph_BREALEX_WAGE" localSheetId="1" hidden="1">#REF!</definedName>
    <definedName name="_16__123Graph_BREALEX_WAGE" hidden="1">#REF!</definedName>
    <definedName name="_16__123Graph_CCHART_2" hidden="1">#REF!</definedName>
    <definedName name="_16__123Graph_XCHART_1" hidden="1">#REF!</definedName>
    <definedName name="_18__123Graph_XCHART_1" hidden="1">#REF!</definedName>
    <definedName name="_18__123Graph_XCHART_2" hidden="1">#REF!</definedName>
    <definedName name="_19__123Graph_CCHART_1" hidden="1">#REF!</definedName>
    <definedName name="_19__123Graph_XREALEX_WAGE" localSheetId="0" hidden="1">#REF!</definedName>
    <definedName name="_19__123Graph_XREALEX_WAGE" localSheetId="1" hidden="1">#REF!</definedName>
    <definedName name="_19__123Graph_XREALEX_WAGE" hidden="1">#REF!</definedName>
    <definedName name="_2__123Graph_ACHART_1" hidden="1">#REF!</definedName>
    <definedName name="_20__123Graph_BREALEX_WAGE" localSheetId="0" hidden="1">#REF!</definedName>
    <definedName name="_20__123Graph_BREALEX_WAGE" localSheetId="1" hidden="1">#REF!</definedName>
    <definedName name="_20__123Graph_BREALEX_WAGE" hidden="1">#REF!</definedName>
    <definedName name="_20__123Graph_XCHART_2" hidden="1">#REF!</definedName>
    <definedName name="_22__123Graph_CCHART_2" hidden="1">#REF!</definedName>
    <definedName name="_22__123Graph_XREALEX_WAGE" localSheetId="0" hidden="1">#REF!</definedName>
    <definedName name="_22__123Graph_XREALEX_WAGE" localSheetId="1" hidden="1">#REF!</definedName>
    <definedName name="_22__123Graph_XREALEX_WAGE" hidden="1">#REF!</definedName>
    <definedName name="_23__123Graph_CCHART_1" hidden="1">#REF!</definedName>
    <definedName name="_25__123Graph_XCHART_1" hidden="1">#REF!</definedName>
    <definedName name="_26__123Graph_CCHART_2" hidden="1">#REF!</definedName>
    <definedName name="_28__123Graph_XCHART_2" hidden="1">#REF!</definedName>
    <definedName name="_29__123Graph_XCHART_1" hidden="1">#REF!</definedName>
    <definedName name="_3__123Graph_ACHART_1" hidden="1">#REF!</definedName>
    <definedName name="_30__123Graph_XREALEX_WAGE" localSheetId="0" hidden="1">#REF!</definedName>
    <definedName name="_30__123Graph_XREALEX_WAGE" localSheetId="1" hidden="1">#REF!</definedName>
    <definedName name="_30__123Graph_XREALEX_WAGE" hidden="1">#REF!</definedName>
    <definedName name="_32__123Graph_XCHART_2" hidden="1">#REF!</definedName>
    <definedName name="_36__123Graph_XREALEX_WAGE" localSheetId="0" hidden="1">#REF!</definedName>
    <definedName name="_36__123Graph_XREALEX_WAGE" localSheetId="1" hidden="1">#REF!</definedName>
    <definedName name="_36__123Graph_XREALEX_WAGE" hidden="1">#REF!</definedName>
    <definedName name="_4__123Graph_ACHART_2" hidden="1">#REF!</definedName>
    <definedName name="_5__123Graph_AREALEX_WAGE" localSheetId="0" hidden="1">#REF!</definedName>
    <definedName name="_5__123Graph_AREALEX_WAGE" localSheetId="1" hidden="1">#REF!</definedName>
    <definedName name="_5__123Graph_AREALEX_WAGE" hidden="1">#REF!</definedName>
    <definedName name="_6__123Graph_ACHART_2" hidden="1">#REF!</definedName>
    <definedName name="_6__123Graph_AREALEX_WAGE" localSheetId="0" hidden="1">#REF!</definedName>
    <definedName name="_6__123Graph_AREALEX_WAGE" localSheetId="1" hidden="1">#REF!</definedName>
    <definedName name="_6__123Graph_AREALEX_WAGE" hidden="1">#REF!</definedName>
    <definedName name="_7__123Graph_BCHART_1" hidden="1">#REF!</definedName>
    <definedName name="_8__123Graph_AREALEX_WAGE" localSheetId="0" hidden="1">#REF!</definedName>
    <definedName name="_8__123Graph_AREALEX_WAGE" localSheetId="1" hidden="1">#REF!</definedName>
    <definedName name="_8__123Graph_AREALEX_WAGE" hidden="1">#REF!</definedName>
    <definedName name="_8__123Graph_BCHART_1" hidden="1">#REF!</definedName>
    <definedName name="_9__123Graph_BCHART_2" hidden="1">#REF!</definedName>
    <definedName name="_A61" localSheetId="0" hidden="1">{#N/A,#N/A,FALSE,"BODY"}</definedName>
    <definedName name="_A61" localSheetId="1" hidden="1">{#N/A,#N/A,FALSE,"BODY"}</definedName>
    <definedName name="_A61" hidden="1">{#N/A,#N/A,FALSE,"BODY"}</definedName>
    <definedName name="_add21" localSheetId="0" hidden="1">#REF!</definedName>
    <definedName name="_add21" localSheetId="1" hidden="1">#REF!</definedName>
    <definedName name="_add21" hidden="1">#REF!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Fill" localSheetId="0" hidden="1">#REF!</definedName>
    <definedName name="_Fill" localSheetId="1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MatInverse_In" localSheetId="0" hidden="1">#REF!</definedName>
    <definedName name="_MatInverse_In" localSheetId="1" hidden="1">#REF!</definedName>
    <definedName name="_MatInverse_In" hidden="1">#REF!</definedName>
    <definedName name="_MatInverse_Out" localSheetId="0" hidden="1">#REF!</definedName>
    <definedName name="_MatInverse_Out" localSheetId="1" hidden="1">#REF!</definedName>
    <definedName name="_MatInverse_Out" hidden="1">#REF!</definedName>
    <definedName name="_Order1" hidden="1">255</definedName>
    <definedName name="_Order2" hidden="1">0</definedName>
    <definedName name="_Parse_Out" localSheetId="0" hidden="1">#REF!</definedName>
    <definedName name="_Parse_Out" localSheetId="1" hidden="1">#REF!</definedName>
    <definedName name="_Parse_Out" hidden="1">#REF!</definedName>
    <definedName name="_Sort" localSheetId="0" hidden="1">#REF!</definedName>
    <definedName name="_Sort" localSheetId="1" hidden="1">#REF!</definedName>
    <definedName name="_Sort" hidden="1">#REF!</definedName>
    <definedName name="_xlnm._FilterDatabase" localSheetId="3" hidden="1">Бошқа!$A$6:$AN$102</definedName>
    <definedName name="_xlnm._FilterDatabase" localSheetId="5" hidden="1">Валюта!$A$7:$AQ$103</definedName>
    <definedName name="_xlnm._FilterDatabase" localSheetId="7" hidden="1">'Дав т. ходимлари'!$A$6:$AU$102</definedName>
    <definedName name="_xlnm._FilterDatabase" localSheetId="4" hidden="1">Йиллар!$A$7:$BW$103</definedName>
    <definedName name="_xlnm._FilterDatabase" localSheetId="8" hidden="1">Йириклар!$A$5:$AX$1059</definedName>
    <definedName name="_xlnm._FilterDatabase" localSheetId="0" hidden="1">'Солиштирма 2024'!$A$6:$BP$100</definedName>
    <definedName name="_xlnm._FilterDatabase" localSheetId="1" hidden="1">'Солиштирма 2025'!$A$6:$CZ$100</definedName>
    <definedName name="_xlnm._FilterDatabase" localSheetId="2" hidden="1">Соҳа!$A$7:$GE$103</definedName>
    <definedName name="_xlnm._FilterDatabase" localSheetId="6" hidden="1">'Чора кўрилиши'!$A$6:$AI$102</definedName>
    <definedName name="_xlnm._FilterDatabase" hidden="1">#REF!</definedName>
    <definedName name="aaaaaaaaaaaaaaaaaaaaaaaaaaaaaaaaaaaaaaaaaaaaaaaaaaaaaaaaaaaaaaa" localSheetId="0" hidden="1">#REF!</definedName>
    <definedName name="aaaaaaaaaaaaaaaaaaaaaaaaaaaaaaaaaaaaaaaaaaaaaaaaaaaaaaaaaaaaaaa" localSheetId="1" hidden="1">#REF!</definedName>
    <definedName name="aaaaaaaaaaaaaaaaaaaaaaaaaaaaaaaaaaaaaaaaaaaaaaaaaaaaaaaaaaaaaaa" hidden="1">#REF!</definedName>
    <definedName name="Access_Button" hidden="1">"Kaspl_5_ПЛАН_4_Таблица1"</definedName>
    <definedName name="AccessDatabase" hidden="1">"C:\Мои документы\Kaspl_5.mdb"</definedName>
    <definedName name="AS2DocOpenMode" hidden="1">"AS2DocumentEdit"</definedName>
    <definedName name="b" localSheetId="0" hidden="1">{#N/A,#N/A,FALSE,"BODY"}</definedName>
    <definedName name="b" localSheetId="1" hidden="1">{#N/A,#N/A,FALSE,"BODY"}</definedName>
    <definedName name="b" hidden="1">{#N/A,#N/A,FALSE,"BODY"}</definedName>
    <definedName name="ew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ew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ew" hidden="1">{"BOP_TAB",#N/A,FALSE,"N";"MIDTERM_TAB",#N/A,FALSE,"O";"FUND_CRED",#N/A,FALSE,"P";"DEBT_TAB1",#N/A,FALSE,"Q";"DEBT_TAB2",#N/A,FALSE,"Q";"FORFIN_TAB1",#N/A,FALSE,"R";"FORFIN_TAB2",#N/A,FALSE,"R";"BOP_ANALY",#N/A,FALSE,"U"}</definedName>
    <definedName name="ewq" localSheetId="0" hidden="1">{"BOP_TAB",#N/A,FALSE,"N";"MIDTERM_TAB",#N/A,FALSE,"O"}</definedName>
    <definedName name="ewq" localSheetId="1" hidden="1">{"BOP_TAB",#N/A,FALSE,"N";"MIDTERM_TAB",#N/A,FALSE,"O"}</definedName>
    <definedName name="ewq" hidden="1">{"BOP_TAB",#N/A,FALSE,"N";"MIDTERM_TAB",#N/A,FALSE,"O"}</definedName>
    <definedName name="HTML_Control1" localSheetId="0" hidden="1">{"'Monthly 1997'!$A$3:$S$89"}</definedName>
    <definedName name="HTML_Control1" localSheetId="1" hidden="1">{"'Monthly 1997'!$A$3:$S$89"}</definedName>
    <definedName name="HTML_Control1" hidden="1">{"'Monthly 1997'!$A$3:$S$89"}</definedName>
    <definedName name="kbcnjr" localSheetId="0" hidden="1">#REF!</definedName>
    <definedName name="kbcnjr" localSheetId="1" hidden="1">#REF!</definedName>
    <definedName name="kbcnjr" hidden="1">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encount" hidden="1">2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localSheetId="1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wr" localSheetId="0" hidden="1">#REF!</definedName>
    <definedName name="wr" localSheetId="1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localSheetId="1" hidden="1">{"BOP_TAB",#N/A,FALSE,"N";"MIDTERM_TAB",#N/A,FALSE,"O"}</definedName>
    <definedName name="wrn.BOP_MIDTERM.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localSheetId="1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wrn.WEO." localSheetId="1" hidden="1">{"WEO",#N/A,FALSE,"T"}</definedName>
    <definedName name="wrn.WEO." hidden="1">{"WEO",#N/A,FALSE,"T"}</definedName>
    <definedName name="Z_1D408E72_59E9_4981_9A27_AF423D050CDD_.wvu.Cols" localSheetId="0" hidden="1">#REF!</definedName>
    <definedName name="Z_1D408E72_59E9_4981_9A27_AF423D050CDD_.wvu.Cols" localSheetId="1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localSheetId="1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localSheetId="1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localSheetId="1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localSheetId="1" hidden="1">#REF!</definedName>
    <definedName name="Z_363221E4_558F_4717_B6AD_63B76229A86A_.wvu.PrintArea" hidden="1">#REF!</definedName>
    <definedName name="Z_3A9B8CE0_90FE_45F7_B16A_6C9B6CFEF69B_.wvu.PrintTitles" hidden="1">#REF!,#REF!</definedName>
    <definedName name="Z_5167EBEB_44EA_47B0_97C1_BDFB74A1E9C1_.wvu.PrintArea" localSheetId="0" hidden="1">#REF!</definedName>
    <definedName name="Z_5167EBEB_44EA_47B0_97C1_BDFB74A1E9C1_.wvu.PrintArea" localSheetId="1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localSheetId="1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localSheetId="1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localSheetId="1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localSheetId="1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localSheetId="1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localSheetId="1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localSheetId="1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localSheetId="1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localSheetId="1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localSheetId="1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localSheetId="1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localSheetId="1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localSheetId="1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localSheetId="1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localSheetId="1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localSheetId="1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localSheetId="1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localSheetId="1" hidden="1">#REF!</definedName>
    <definedName name="Z_D205962A_A136_4D1E_8153_3458A266DBC1_.wvu.PrintArea" hidden="1">#REF!</definedName>
    <definedName name="Z_D4F8E9F6_5FCD_431C_A367_31DAEB399AF5_.wvu.FilterData" localSheetId="0" hidden="1">#REF!</definedName>
    <definedName name="Z_D4F8E9F6_5FCD_431C_A367_31DAEB399AF5_.wvu.FilterData" localSheetId="1" hidden="1">#REF!</definedName>
    <definedName name="Z_D4F8E9F6_5FCD_431C_A367_31DAEB399AF5_.wvu.FilterData" hidden="1">#REF!</definedName>
    <definedName name="Z_D851514D_BBEB_4B79_8707_98EE9C125F6D_.wvu.PrintArea" localSheetId="0" hidden="1">#REF!</definedName>
    <definedName name="Z_D851514D_BBEB_4B79_8707_98EE9C125F6D_.wvu.PrintArea" localSheetId="1" hidden="1">#REF!</definedName>
    <definedName name="Z_D851514D_BBEB_4B79_8707_98EE9C125F6D_.wvu.PrintArea" hidden="1">#REF!</definedName>
    <definedName name="Z_E1467D9E_08D8_4B26_A1A2_A7B2112B5B89_.wvu.PrintArea" localSheetId="0" hidden="1">#REF!</definedName>
    <definedName name="Z_E1467D9E_08D8_4B26_A1A2_A7B2112B5B89_.wvu.PrintArea" localSheetId="1" hidden="1">#REF!</definedName>
    <definedName name="Z_E1467D9E_08D8_4B26_A1A2_A7B2112B5B89_.wvu.PrintArea" hidden="1">#REF!</definedName>
    <definedName name="Z_E90A5213_D3DE_4C04_A09A_42130CCA258A_.wvu.Cols" localSheetId="0" hidden="1">#REF!</definedName>
    <definedName name="Z_E90A5213_D3DE_4C04_A09A_42130CCA258A_.wvu.Cols" localSheetId="1" hidden="1">#REF!</definedName>
    <definedName name="Z_E90A5213_D3DE_4C04_A09A_42130CCA258A_.wvu.Cols" hidden="1">#REF!</definedName>
    <definedName name="Z_E90A5213_D3DE_4C04_A09A_42130CCA258A_.wvu.PrintArea" localSheetId="0" hidden="1">#REF!</definedName>
    <definedName name="Z_E90A5213_D3DE_4C04_A09A_42130CCA258A_.wvu.PrintArea" localSheetId="1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localSheetId="1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localSheetId="1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localSheetId="1" hidden="1">#REF!</definedName>
    <definedName name="Z_F93FC798_0AC9_4DC8_A37A_5AC4EB838A1D_.wvu.PrintArea" hidden="1">#REF!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папап" localSheetId="0" hidden="1">#REF!</definedName>
    <definedName name="апапап" localSheetId="1" hidden="1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банклар" localSheetId="0" hidden="1">#REF!</definedName>
    <definedName name="банклар" localSheetId="1" hidden="1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ваа" localSheetId="0" hidden="1">{#N/A,#N/A,FALSE,"BODY"}</definedName>
    <definedName name="ваа" localSheetId="1" hidden="1">{#N/A,#N/A,FALSE,"BODY"}</definedName>
    <definedName name="ваа" hidden="1">{#N/A,#N/A,FALSE,"BODY"}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ыпвпваып" localSheetId="0" hidden="1">#REF!</definedName>
    <definedName name="выпвпваып" localSheetId="1" hidden="1">#REF!</definedName>
    <definedName name="выпвпваып" hidden="1">#REF!</definedName>
    <definedName name="выф" localSheetId="0" hidden="1">#REF!</definedName>
    <definedName name="выф" localSheetId="1" hidden="1">#REF!</definedName>
    <definedName name="выф" hidden="1">#REF!</definedName>
    <definedName name="выфв" localSheetId="0" hidden="1">#REF!</definedName>
    <definedName name="выфв" localSheetId="1" hidden="1">#REF!</definedName>
    <definedName name="выфв" hidden="1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localSheetId="1" hidden="1">{"MONA",#N/A,FALSE,"S"}</definedName>
    <definedName name="ддд" hidden="1">{"MONA",#N/A,FALSE,"S"}</definedName>
    <definedName name="дехконобод" localSheetId="0" hidden="1">{#N/A,#N/A,FALSE,"BODY"}</definedName>
    <definedName name="дехконобод" localSheetId="1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ректору" localSheetId="0" hidden="1">{#N/A,#N/A,FALSE,"Aging Summary";#N/A,#N/A,FALSE,"Ratio Analysis";#N/A,#N/A,FALSE,"Test 120 Day Accts";#N/A,#N/A,FALSE,"Tickmarks"}</definedName>
    <definedName name="директору" localSheetId="1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localSheetId="1" hidden="1">#REF!</definedName>
    <definedName name="ёё" hidden="1">#REF!</definedName>
    <definedName name="енр" localSheetId="0" hidden="1">#REF!</definedName>
    <definedName name="енр" localSheetId="1" hidden="1">#REF!</definedName>
    <definedName name="енр" hidden="1">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потека" hidden="1">#REF!,#REF!,#REF!,#REF!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Й" localSheetId="0" hidden="1">#REF!</definedName>
    <definedName name="ЙЙЙЙ" localSheetId="1" hidden="1">#REF!</definedName>
    <definedName name="ЙЙЙЙ" hidden="1">#REF!</definedName>
    <definedName name="Карбамид" localSheetId="0" hidden="1">{"'Monthly 1997'!$A$3:$S$89"}</definedName>
    <definedName name="Карбамид" localSheetId="1" hidden="1">{"'Monthly 1997'!$A$3:$S$89"}</definedName>
    <definedName name="Карбамид" hidden="1">{"'Monthly 1997'!$A$3:$S$89"}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лл" localSheetId="0" hidden="1">{#N/A,#N/A,TRUE,"일정"}</definedName>
    <definedName name="лл" localSheetId="1" hidden="1">{#N/A,#N/A,TRUE,"일정"}</definedName>
    <definedName name="лл" hidden="1">{#N/A,#N/A,TRUE,"일정"}</definedName>
    <definedName name="мин.эк." localSheetId="0" hidden="1">{#N/A,#N/A,FALSE,"Aging Summary";#N/A,#N/A,FALSE,"Ratio Analysis";#N/A,#N/A,FALSE,"Test 120 Day Accts";#N/A,#N/A,FALSE,"Tickmarks"}</definedName>
    <definedName name="мин.эк." localSheetId="1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фин" localSheetId="0" hidden="1">#REF!</definedName>
    <definedName name="Минфин" localSheetId="1" hidden="1">#REF!</definedName>
    <definedName name="Минфин" hidden="1">#REF!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обил" localSheetId="0" hidden="1">#REF!</definedName>
    <definedName name="мобил" localSheetId="1" hidden="1">#REF!</definedName>
    <definedName name="мобил" hidden="1">#REF!</definedName>
    <definedName name="нар26" localSheetId="0" hidden="1">#REF!,#REF!,#REF!,#REF!</definedName>
    <definedName name="нар26" localSheetId="1" hidden="1">#REF!,#REF!,#REF!,#REF!</definedName>
    <definedName name="нар26" hidden="1">#REF!,#REF!,#REF!,#REF!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Print_Area" localSheetId="3">Бошқа!$B$1:$AE$101</definedName>
    <definedName name="_xlnm.Print_Area" localSheetId="5">Валюта!$B$1:$AH$102</definedName>
    <definedName name="_xlnm.Print_Area" localSheetId="7">'Дав т. ходимлари'!$B$1:$AL$101</definedName>
    <definedName name="_xlnm.Print_Area" localSheetId="4">Йиллар!$B$1:$BN$102</definedName>
    <definedName name="_xlnm.Print_Area" localSheetId="2">Соҳа!$B$1:$FV$102</definedName>
    <definedName name="_xlnm.Print_Area" localSheetId="6">'Чора кўрилиши'!$B$1:$Z$101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проба" localSheetId="0" hidden="1">#REF!,#REF!</definedName>
    <definedName name="проба" localSheetId="1" hidden="1">#REF!,#REF!</definedName>
    <definedName name="проба" hidden="1">#REF!,#REF!</definedName>
    <definedName name="рорро" localSheetId="0" hidden="1">{#N/A,#N/A,FALSE,"BODY"}</definedName>
    <definedName name="рорро" localSheetId="1" hidden="1">{#N/A,#N/A,FALSE,"BODY"}</definedName>
    <definedName name="рорро" hidden="1">{#N/A,#N/A,FALSE,"BODY"}</definedName>
    <definedName name="рр" localSheetId="0" hidden="1">{#N/A,#N/A,TRUE,"일정"}</definedName>
    <definedName name="рр" localSheetId="1" hidden="1">{#N/A,#N/A,TRUE,"일정"}</definedName>
    <definedName name="рр" hidden="1">{#N/A,#N/A,TRUE,"일정"}</definedName>
    <definedName name="Т.Раис" localSheetId="0" hidden="1">#REF!</definedName>
    <definedName name="Т.Раис" localSheetId="1" hidden="1">#REF!</definedName>
    <definedName name="Т.Раис" hidden="1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в" localSheetId="0" hidden="1">#REF!</definedName>
    <definedName name="цв" localSheetId="1" hidden="1">#REF!</definedName>
    <definedName name="цв" hidden="1">#REF!</definedName>
    <definedName name="цвфй" localSheetId="0" hidden="1">#REF!</definedName>
    <definedName name="цвфй" localSheetId="1" hidden="1">#REF!</definedName>
    <definedName name="цвфй" hidden="1">#REF!</definedName>
    <definedName name="цукцкцк" localSheetId="0" hidden="1">#REF!</definedName>
    <definedName name="цукцкцк" localSheetId="1" hidden="1">#REF!</definedName>
    <definedName name="цукцкцк" hidden="1">#REF!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" localSheetId="0" hidden="1">#REF!</definedName>
    <definedName name="ы" localSheetId="1" hidden="1">#REF!</definedName>
    <definedName name="ы" hidden="1">#REF!</definedName>
    <definedName name="ыафыафывафыафыафыа" localSheetId="0" hidden="1">#REF!</definedName>
    <definedName name="ыафыафывафыафыафыа" localSheetId="1" hidden="1">#REF!</definedName>
    <definedName name="ыафыафывафыафыафыа" hidden="1">#REF!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1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localSheetId="1" hidden="1">#REF!</definedName>
    <definedName name="я\чсячсячсячсячсячсячсмячс" hidden="1">#REF!</definedName>
    <definedName name="ячсячсячсячсячс" localSheetId="0" hidden="1">#REF!</definedName>
    <definedName name="ячсячсячсячсячс" localSheetId="1" hidden="1">#REF!</definedName>
    <definedName name="ячсячсячсячсячс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A276" i="21" s="1"/>
  <c r="A277" i="21" s="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88" i="21" s="1"/>
  <c r="A289" i="21" s="1"/>
  <c r="A290" i="21" s="1"/>
  <c r="A291" i="21" s="1"/>
  <c r="A292" i="21" s="1"/>
  <c r="A293" i="21" s="1"/>
  <c r="A294" i="21" s="1"/>
  <c r="A295" i="21" s="1"/>
  <c r="A296" i="21" s="1"/>
  <c r="A297" i="21" s="1"/>
  <c r="A298" i="21" s="1"/>
  <c r="A299" i="21" s="1"/>
  <c r="A300" i="21" s="1"/>
  <c r="A301" i="21" s="1"/>
  <c r="A302" i="21" s="1"/>
  <c r="A303" i="21" s="1"/>
  <c r="A304" i="21" s="1"/>
  <c r="A305" i="21" s="1"/>
  <c r="A306" i="21" s="1"/>
  <c r="A307" i="21" s="1"/>
  <c r="A308" i="21" s="1"/>
  <c r="A309" i="21" s="1"/>
  <c r="A310" i="21" s="1"/>
  <c r="A311" i="21" s="1"/>
  <c r="A312" i="21" s="1"/>
  <c r="A313" i="21" s="1"/>
  <c r="A314" i="21" s="1"/>
  <c r="A315" i="21" s="1"/>
  <c r="A316" i="21" s="1"/>
  <c r="A317" i="21" s="1"/>
  <c r="A318" i="21" s="1"/>
  <c r="A319" i="21" s="1"/>
  <c r="A320" i="21" s="1"/>
  <c r="A321" i="21" s="1"/>
  <c r="A322" i="21" s="1"/>
  <c r="A323" i="21" s="1"/>
  <c r="A324" i="21" s="1"/>
  <c r="A325" i="21" s="1"/>
  <c r="A326" i="21" s="1"/>
  <c r="A327" i="21" s="1"/>
  <c r="A328" i="21" s="1"/>
  <c r="A329" i="21" s="1"/>
  <c r="A330" i="21" s="1"/>
  <c r="A331" i="21" s="1"/>
  <c r="A332" i="21" s="1"/>
  <c r="A333" i="21" s="1"/>
  <c r="A334" i="21" s="1"/>
  <c r="A335" i="21" s="1"/>
  <c r="A336" i="21" s="1"/>
  <c r="A337" i="21" s="1"/>
  <c r="A338" i="21" s="1"/>
  <c r="A339" i="21" s="1"/>
  <c r="A340" i="21" s="1"/>
  <c r="A341" i="21" s="1"/>
  <c r="A342" i="21" s="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A358" i="21" s="1"/>
  <c r="A359" i="21" s="1"/>
  <c r="A360" i="21" s="1"/>
  <c r="A361" i="21" s="1"/>
  <c r="A362" i="21" s="1"/>
  <c r="A363" i="21" s="1"/>
  <c r="A364" i="21" s="1"/>
  <c r="A365" i="21" s="1"/>
  <c r="A366" i="21" s="1"/>
  <c r="A367" i="21" s="1"/>
  <c r="A368" i="21" s="1"/>
  <c r="A369" i="21" s="1"/>
  <c r="A370" i="21" s="1"/>
  <c r="A371" i="21" s="1"/>
  <c r="A372" i="21" s="1"/>
  <c r="A373" i="21" s="1"/>
  <c r="A374" i="21" s="1"/>
  <c r="A375" i="21" s="1"/>
  <c r="A376" i="21" s="1"/>
  <c r="A377" i="21" s="1"/>
  <c r="A378" i="21" s="1"/>
  <c r="A379" i="21" s="1"/>
  <c r="A380" i="21" s="1"/>
  <c r="A381" i="21" s="1"/>
  <c r="A382" i="21" s="1"/>
  <c r="A383" i="21" s="1"/>
  <c r="A384" i="21" s="1"/>
  <c r="A385" i="21" s="1"/>
  <c r="A386" i="21" s="1"/>
  <c r="A387" i="21" s="1"/>
  <c r="A388" i="21" s="1"/>
  <c r="A389" i="21" s="1"/>
  <c r="A390" i="21" s="1"/>
  <c r="A391" i="21" s="1"/>
  <c r="A392" i="21" s="1"/>
  <c r="A393" i="21" s="1"/>
  <c r="A394" i="21" s="1"/>
  <c r="A395" i="21" s="1"/>
  <c r="A396" i="21" s="1"/>
  <c r="A397" i="21" s="1"/>
  <c r="A398" i="21" s="1"/>
  <c r="A399" i="21" s="1"/>
  <c r="A400" i="21" s="1"/>
  <c r="A401" i="21" s="1"/>
  <c r="A402" i="21" s="1"/>
  <c r="A403" i="21" s="1"/>
  <c r="A404" i="21" s="1"/>
  <c r="A405" i="21" s="1"/>
  <c r="A406" i="21" s="1"/>
  <c r="A407" i="21" s="1"/>
  <c r="A408" i="21" s="1"/>
  <c r="A409" i="21" s="1"/>
  <c r="A410" i="21" s="1"/>
  <c r="A411" i="21" s="1"/>
  <c r="A412" i="21" s="1"/>
  <c r="A413" i="21" s="1"/>
  <c r="A414" i="21" s="1"/>
  <c r="A415" i="21" s="1"/>
  <c r="A416" i="21" s="1"/>
  <c r="A417" i="21" s="1"/>
  <c r="A418" i="21" s="1"/>
  <c r="A419" i="21" s="1"/>
  <c r="A420" i="21" s="1"/>
  <c r="A421" i="21" s="1"/>
  <c r="A422" i="21" s="1"/>
  <c r="A423" i="21" s="1"/>
  <c r="A424" i="21" s="1"/>
  <c r="A425" i="21" s="1"/>
  <c r="A426" i="21" s="1"/>
  <c r="A427" i="21" s="1"/>
  <c r="A428" i="21" s="1"/>
  <c r="A429" i="21" s="1"/>
  <c r="A430" i="21" s="1"/>
  <c r="A431" i="21" s="1"/>
  <c r="A432" i="21" s="1"/>
  <c r="A433" i="21" s="1"/>
  <c r="A434" i="21" s="1"/>
  <c r="A435" i="21" s="1"/>
  <c r="A436" i="21" s="1"/>
  <c r="A437" i="21" s="1"/>
  <c r="A438" i="21" s="1"/>
  <c r="A439" i="21" s="1"/>
  <c r="A440" i="21" s="1"/>
  <c r="A441" i="21" s="1"/>
  <c r="A442" i="21" s="1"/>
  <c r="A443" i="21" s="1"/>
  <c r="A444" i="21" s="1"/>
  <c r="A445" i="21" s="1"/>
  <c r="A446" i="21" s="1"/>
  <c r="A447" i="21" s="1"/>
  <c r="A448" i="21" s="1"/>
  <c r="A449" i="21" s="1"/>
  <c r="A450" i="21" s="1"/>
  <c r="A451" i="21" s="1"/>
  <c r="A452" i="21" s="1"/>
  <c r="A453" i="21" s="1"/>
  <c r="A454" i="21" s="1"/>
  <c r="A455" i="21" s="1"/>
  <c r="A456" i="21" s="1"/>
  <c r="A457" i="21" s="1"/>
  <c r="A458" i="21" s="1"/>
  <c r="A459" i="21" s="1"/>
  <c r="A460" i="21" s="1"/>
  <c r="A461" i="21" s="1"/>
  <c r="A462" i="21" s="1"/>
  <c r="A463" i="21" s="1"/>
  <c r="A464" i="21" s="1"/>
  <c r="A465" i="21" s="1"/>
  <c r="A466" i="21" s="1"/>
  <c r="A467" i="21" s="1"/>
  <c r="A468" i="21" s="1"/>
  <c r="A469" i="21" s="1"/>
  <c r="A470" i="21" s="1"/>
  <c r="A471" i="21" s="1"/>
  <c r="A472" i="21" s="1"/>
  <c r="A473" i="21" s="1"/>
  <c r="A474" i="21" s="1"/>
  <c r="A475" i="21" s="1"/>
  <c r="A476" i="21" s="1"/>
  <c r="A477" i="21" s="1"/>
  <c r="A478" i="21" s="1"/>
  <c r="A479" i="21" s="1"/>
  <c r="A480" i="21" s="1"/>
  <c r="A481" i="21" s="1"/>
  <c r="A482" i="21" s="1"/>
  <c r="A483" i="21" s="1"/>
  <c r="A484" i="21" s="1"/>
  <c r="A485" i="21" s="1"/>
  <c r="A486" i="21" s="1"/>
  <c r="A487" i="21" s="1"/>
  <c r="A488" i="21" s="1"/>
  <c r="A489" i="21" s="1"/>
  <c r="A490" i="21" s="1"/>
  <c r="A491" i="21" s="1"/>
  <c r="A492" i="21" s="1"/>
  <c r="A493" i="21" s="1"/>
  <c r="A494" i="21" s="1"/>
  <c r="A495" i="21" s="1"/>
  <c r="A496" i="21" s="1"/>
  <c r="A497" i="21" s="1"/>
  <c r="A498" i="21" s="1"/>
  <c r="A499" i="21" s="1"/>
  <c r="A500" i="21" s="1"/>
  <c r="A501" i="21" s="1"/>
  <c r="A502" i="21" s="1"/>
  <c r="A503" i="21" s="1"/>
  <c r="A504" i="21" s="1"/>
  <c r="A505" i="21" s="1"/>
  <c r="A506" i="21" s="1"/>
  <c r="A507" i="21" s="1"/>
  <c r="A508" i="21" s="1"/>
  <c r="A509" i="21" s="1"/>
  <c r="A510" i="21" s="1"/>
  <c r="A511" i="21" s="1"/>
  <c r="A512" i="21" s="1"/>
  <c r="A513" i="21" s="1"/>
  <c r="A514" i="21" s="1"/>
  <c r="A515" i="21" s="1"/>
  <c r="A516" i="21" s="1"/>
  <c r="A517" i="21" s="1"/>
  <c r="A518" i="21" s="1"/>
  <c r="A519" i="21" s="1"/>
  <c r="A520" i="21" s="1"/>
  <c r="A521" i="21" s="1"/>
  <c r="A522" i="21" s="1"/>
  <c r="A523" i="21" s="1"/>
  <c r="A524" i="21" s="1"/>
  <c r="A525" i="21" s="1"/>
  <c r="A526" i="21" s="1"/>
  <c r="A527" i="21" s="1"/>
  <c r="A528" i="21" s="1"/>
  <c r="A529" i="21" s="1"/>
  <c r="A530" i="21" s="1"/>
  <c r="A531" i="21" s="1"/>
  <c r="A532" i="21" s="1"/>
  <c r="A533" i="21" s="1"/>
  <c r="A534" i="21" s="1"/>
  <c r="A535" i="21" s="1"/>
  <c r="A536" i="21" s="1"/>
  <c r="A537" i="21" s="1"/>
  <c r="A538" i="21" s="1"/>
  <c r="A539" i="21" s="1"/>
  <c r="A540" i="21" s="1"/>
  <c r="A541" i="21" s="1"/>
  <c r="A542" i="21" s="1"/>
  <c r="A543" i="21" s="1"/>
  <c r="A544" i="21" s="1"/>
  <c r="A545" i="21" s="1"/>
  <c r="A546" i="21" s="1"/>
  <c r="A547" i="21" s="1"/>
  <c r="A548" i="21" s="1"/>
  <c r="A549" i="21" s="1"/>
  <c r="A550" i="21" s="1"/>
  <c r="A551" i="21" s="1"/>
  <c r="A552" i="21" s="1"/>
  <c r="A553" i="21" s="1"/>
  <c r="A554" i="21" s="1"/>
  <c r="A555" i="21" s="1"/>
  <c r="A556" i="21" s="1"/>
  <c r="A557" i="21" s="1"/>
  <c r="A558" i="21" s="1"/>
  <c r="A559" i="21" s="1"/>
  <c r="A560" i="21" s="1"/>
  <c r="A561" i="21" s="1"/>
  <c r="A562" i="21" s="1"/>
  <c r="A563" i="21" s="1"/>
  <c r="A564" i="21" s="1"/>
  <c r="A565" i="21" s="1"/>
  <c r="A566" i="21" s="1"/>
  <c r="A567" i="21" s="1"/>
  <c r="A568" i="21" s="1"/>
  <c r="A569" i="21" s="1"/>
  <c r="A570" i="21" s="1"/>
  <c r="A571" i="21" s="1"/>
  <c r="A572" i="21" s="1"/>
  <c r="A573" i="21" s="1"/>
  <c r="A574" i="21" s="1"/>
  <c r="A575" i="21" s="1"/>
  <c r="A576" i="21" s="1"/>
  <c r="A577" i="21" s="1"/>
  <c r="A578" i="21" s="1"/>
  <c r="A579" i="21" s="1"/>
  <c r="A580" i="21" s="1"/>
  <c r="A581" i="21" s="1"/>
  <c r="A582" i="21" s="1"/>
  <c r="A583" i="21" s="1"/>
  <c r="A584" i="21" s="1"/>
  <c r="A585" i="21" s="1"/>
  <c r="A586" i="21" s="1"/>
  <c r="A587" i="21" s="1"/>
  <c r="A588" i="21" s="1"/>
  <c r="A589" i="21" s="1"/>
  <c r="A590" i="21" s="1"/>
  <c r="A591" i="21" s="1"/>
  <c r="A592" i="21" s="1"/>
  <c r="A593" i="21" s="1"/>
  <c r="A594" i="21" s="1"/>
  <c r="A595" i="21" s="1"/>
  <c r="A596" i="21" s="1"/>
  <c r="A597" i="21" s="1"/>
  <c r="A598" i="21" s="1"/>
  <c r="A599" i="21" s="1"/>
  <c r="A600" i="21" s="1"/>
  <c r="A601" i="21" s="1"/>
  <c r="A602" i="21" s="1"/>
  <c r="A603" i="21" s="1"/>
  <c r="A604" i="21" s="1"/>
  <c r="A605" i="21" s="1"/>
  <c r="A606" i="21" s="1"/>
  <c r="A607" i="21" s="1"/>
  <c r="A608" i="21" s="1"/>
  <c r="A609" i="21" s="1"/>
  <c r="A610" i="21" s="1"/>
  <c r="A611" i="21" s="1"/>
  <c r="A612" i="21" s="1"/>
  <c r="A613" i="21" s="1"/>
  <c r="A614" i="21" s="1"/>
  <c r="A615" i="21" s="1"/>
  <c r="A616" i="21" s="1"/>
  <c r="A617" i="21" s="1"/>
  <c r="A618" i="21" s="1"/>
  <c r="A619" i="21" s="1"/>
  <c r="A620" i="21" s="1"/>
  <c r="A621" i="21" s="1"/>
  <c r="A622" i="21" s="1"/>
  <c r="A623" i="21" s="1"/>
  <c r="A624" i="21" s="1"/>
  <c r="A625" i="21" s="1"/>
  <c r="A626" i="21" s="1"/>
  <c r="A627" i="21" s="1"/>
  <c r="A628" i="21" s="1"/>
  <c r="A629" i="21" s="1"/>
  <c r="A630" i="21" s="1"/>
  <c r="A631" i="21" s="1"/>
  <c r="A632" i="21" s="1"/>
  <c r="A633" i="21" s="1"/>
  <c r="A634" i="21" s="1"/>
  <c r="A635" i="21" s="1"/>
  <c r="A636" i="21" s="1"/>
  <c r="A637" i="21" s="1"/>
  <c r="A638" i="21" s="1"/>
  <c r="A639" i="21" s="1"/>
  <c r="A640" i="21" s="1"/>
  <c r="A641" i="21" s="1"/>
  <c r="A642" i="21" s="1"/>
  <c r="A643" i="21" s="1"/>
  <c r="A644" i="21" s="1"/>
  <c r="A645" i="21" s="1"/>
  <c r="A646" i="21" s="1"/>
  <c r="A647" i="21" s="1"/>
  <c r="A648" i="21" s="1"/>
  <c r="A649" i="21" s="1"/>
  <c r="A650" i="21" s="1"/>
  <c r="A651" i="21" s="1"/>
  <c r="A652" i="21" s="1"/>
  <c r="A653" i="21" s="1"/>
  <c r="A654" i="21" s="1"/>
  <c r="A655" i="21" s="1"/>
  <c r="A656" i="21" s="1"/>
  <c r="A657" i="21" s="1"/>
  <c r="A658" i="21" s="1"/>
  <c r="A659" i="21" s="1"/>
  <c r="A660" i="21" s="1"/>
  <c r="A661" i="21" s="1"/>
  <c r="A662" i="21" s="1"/>
  <c r="A663" i="21" s="1"/>
  <c r="A664" i="21" s="1"/>
  <c r="A665" i="21" s="1"/>
  <c r="A666" i="21" s="1"/>
  <c r="A667" i="21" s="1"/>
  <c r="A668" i="21" s="1"/>
  <c r="A669" i="21" s="1"/>
  <c r="A670" i="21" s="1"/>
  <c r="A671" i="21" s="1"/>
  <c r="A672" i="21" s="1"/>
  <c r="A673" i="21" s="1"/>
  <c r="A674" i="21" s="1"/>
  <c r="A675" i="21" s="1"/>
  <c r="A676" i="21" s="1"/>
  <c r="A677" i="21" s="1"/>
  <c r="A678" i="21" s="1"/>
  <c r="A679" i="21" s="1"/>
  <c r="A680" i="21" s="1"/>
  <c r="A681" i="21" s="1"/>
  <c r="A682" i="21" s="1"/>
  <c r="A683" i="21" s="1"/>
  <c r="A684" i="21" s="1"/>
  <c r="A685" i="21" s="1"/>
  <c r="A686" i="21" s="1"/>
  <c r="A687" i="21" s="1"/>
  <c r="A688" i="21" s="1"/>
  <c r="A689" i="21" s="1"/>
  <c r="A690" i="21" s="1"/>
  <c r="A691" i="21" s="1"/>
  <c r="A692" i="21" s="1"/>
  <c r="A693" i="21" s="1"/>
  <c r="A694" i="21" s="1"/>
  <c r="A695" i="21" s="1"/>
  <c r="A696" i="21" s="1"/>
  <c r="A697" i="21" s="1"/>
  <c r="A698" i="21" s="1"/>
  <c r="A699" i="21" s="1"/>
  <c r="A700" i="21" s="1"/>
  <c r="A701" i="21" s="1"/>
  <c r="A702" i="21" s="1"/>
  <c r="A703" i="21" s="1"/>
  <c r="A704" i="21" s="1"/>
  <c r="A705" i="21" s="1"/>
  <c r="A706" i="21" s="1"/>
  <c r="A707" i="21" s="1"/>
  <c r="A708" i="21" s="1"/>
  <c r="A709" i="21" s="1"/>
  <c r="A710" i="21" s="1"/>
  <c r="A711" i="21" s="1"/>
  <c r="A712" i="21" s="1"/>
  <c r="A713" i="21" s="1"/>
  <c r="A714" i="21" s="1"/>
  <c r="A715" i="21" s="1"/>
  <c r="A716" i="21" s="1"/>
  <c r="A717" i="21" s="1"/>
  <c r="A718" i="21" s="1"/>
  <c r="A719" i="21" s="1"/>
  <c r="A720" i="21" s="1"/>
  <c r="A721" i="21" s="1"/>
  <c r="A722" i="21" s="1"/>
  <c r="A723" i="21" s="1"/>
  <c r="A724" i="21" s="1"/>
  <c r="A725" i="21" s="1"/>
  <c r="A726" i="21" s="1"/>
  <c r="A727" i="21" s="1"/>
  <c r="A728" i="21" s="1"/>
  <c r="A729" i="21" s="1"/>
  <c r="A730" i="21" s="1"/>
  <c r="A731" i="21" s="1"/>
  <c r="A732" i="21" s="1"/>
  <c r="A733" i="21" s="1"/>
  <c r="A734" i="21" s="1"/>
  <c r="A735" i="21" s="1"/>
  <c r="A736" i="21" s="1"/>
  <c r="A737" i="21" s="1"/>
  <c r="A738" i="21" s="1"/>
  <c r="A739" i="21" s="1"/>
  <c r="A740" i="21" s="1"/>
  <c r="A741" i="21" s="1"/>
  <c r="A742" i="21" s="1"/>
  <c r="A743" i="21" s="1"/>
  <c r="A744" i="21" s="1"/>
  <c r="A745" i="21" s="1"/>
  <c r="A746" i="21" s="1"/>
  <c r="A747" i="21" s="1"/>
  <c r="A748" i="21" s="1"/>
  <c r="A749" i="21" s="1"/>
  <c r="A750" i="21" s="1"/>
  <c r="A751" i="21" s="1"/>
  <c r="A752" i="21" s="1"/>
  <c r="A753" i="21" s="1"/>
  <c r="A754" i="21" s="1"/>
  <c r="A755" i="21" s="1"/>
  <c r="A756" i="21" s="1"/>
  <c r="A757" i="21" s="1"/>
  <c r="A758" i="21" s="1"/>
  <c r="A759" i="21" s="1"/>
  <c r="A760" i="21" s="1"/>
  <c r="A761" i="21" s="1"/>
  <c r="A762" i="21" s="1"/>
  <c r="A763" i="21" s="1"/>
  <c r="A764" i="21" s="1"/>
  <c r="A765" i="21" s="1"/>
  <c r="A766" i="21" s="1"/>
  <c r="A767" i="21" s="1"/>
  <c r="A768" i="21" s="1"/>
  <c r="A769" i="21" s="1"/>
  <c r="A770" i="21" s="1"/>
  <c r="A771" i="21" s="1"/>
  <c r="A772" i="21" s="1"/>
  <c r="A773" i="21" s="1"/>
  <c r="A774" i="21" s="1"/>
  <c r="A775" i="21" s="1"/>
  <c r="A776" i="21" s="1"/>
  <c r="A777" i="21" s="1"/>
  <c r="A778" i="21" s="1"/>
  <c r="A779" i="21" s="1"/>
  <c r="A780" i="21" s="1"/>
  <c r="A781" i="21" s="1"/>
  <c r="A782" i="21" s="1"/>
  <c r="A783" i="21" s="1"/>
  <c r="A784" i="21" s="1"/>
  <c r="A785" i="21" s="1"/>
  <c r="A786" i="21" s="1"/>
  <c r="A787" i="21" s="1"/>
  <c r="A788" i="21" s="1"/>
  <c r="A789" i="21" s="1"/>
  <c r="A790" i="21" s="1"/>
  <c r="A791" i="21" s="1"/>
  <c r="A792" i="21" s="1"/>
  <c r="A793" i="21" s="1"/>
  <c r="A794" i="21" s="1"/>
  <c r="A795" i="21" s="1"/>
  <c r="A796" i="21" s="1"/>
  <c r="A797" i="21" s="1"/>
  <c r="A798" i="21" s="1"/>
  <c r="A799" i="21" s="1"/>
  <c r="A800" i="21" s="1"/>
  <c r="A801" i="21" s="1"/>
  <c r="A802" i="21" s="1"/>
  <c r="A803" i="21" s="1"/>
  <c r="A804" i="21" s="1"/>
  <c r="A805" i="21" s="1"/>
  <c r="A806" i="21" s="1"/>
  <c r="A807" i="21" s="1"/>
  <c r="A808" i="21" s="1"/>
  <c r="A809" i="21" s="1"/>
  <c r="A810" i="21" s="1"/>
  <c r="A811" i="21" s="1"/>
  <c r="A812" i="21" s="1"/>
  <c r="A813" i="21" s="1"/>
  <c r="A814" i="21" s="1"/>
  <c r="A815" i="21" s="1"/>
  <c r="A816" i="21" s="1"/>
  <c r="A817" i="21" s="1"/>
  <c r="A818" i="21" s="1"/>
  <c r="A819" i="21" s="1"/>
  <c r="A820" i="21" s="1"/>
  <c r="A821" i="21" s="1"/>
  <c r="A822" i="21" s="1"/>
  <c r="A823" i="21" s="1"/>
  <c r="A824" i="21" s="1"/>
  <c r="A825" i="21" s="1"/>
  <c r="A826" i="21" s="1"/>
  <c r="A827" i="21" s="1"/>
  <c r="A828" i="21" s="1"/>
  <c r="A829" i="21" s="1"/>
  <c r="A830" i="21" s="1"/>
  <c r="A831" i="21" s="1"/>
  <c r="A832" i="21" s="1"/>
  <c r="A833" i="21" s="1"/>
  <c r="A834" i="21" s="1"/>
  <c r="A835" i="21" s="1"/>
  <c r="A836" i="21" s="1"/>
  <c r="A837" i="21" s="1"/>
  <c r="A838" i="21" s="1"/>
  <c r="A839" i="21" s="1"/>
  <c r="A840" i="21" s="1"/>
  <c r="A841" i="21" s="1"/>
  <c r="A842" i="21" s="1"/>
  <c r="A843" i="21" s="1"/>
  <c r="A844" i="21" s="1"/>
  <c r="A845" i="21" s="1"/>
  <c r="A846" i="21" s="1"/>
  <c r="A847" i="21" s="1"/>
  <c r="A848" i="21" s="1"/>
  <c r="A849" i="21" s="1"/>
  <c r="A850" i="21" s="1"/>
  <c r="A851" i="21" s="1"/>
  <c r="A852" i="21" s="1"/>
  <c r="A853" i="21" s="1"/>
  <c r="A854" i="21" s="1"/>
  <c r="A855" i="21" s="1"/>
  <c r="A856" i="21" s="1"/>
  <c r="A857" i="21" s="1"/>
  <c r="A858" i="21" s="1"/>
  <c r="A859" i="21" s="1"/>
  <c r="A860" i="21" s="1"/>
  <c r="A861" i="21" s="1"/>
  <c r="A862" i="21" s="1"/>
  <c r="A863" i="21" s="1"/>
  <c r="A864" i="21" s="1"/>
  <c r="A865" i="21" s="1"/>
  <c r="A866" i="21" s="1"/>
  <c r="A867" i="21" s="1"/>
  <c r="A868" i="21" s="1"/>
  <c r="A869" i="21" s="1"/>
  <c r="A870" i="21" s="1"/>
  <c r="A871" i="21" s="1"/>
  <c r="A872" i="21" s="1"/>
  <c r="A873" i="21" s="1"/>
  <c r="A874" i="21" s="1"/>
  <c r="A875" i="21" s="1"/>
  <c r="A876" i="21" s="1"/>
  <c r="A877" i="21" s="1"/>
  <c r="A878" i="21" s="1"/>
  <c r="A879" i="21" s="1"/>
  <c r="A880" i="21" s="1"/>
  <c r="A881" i="21" s="1"/>
  <c r="A882" i="21" s="1"/>
  <c r="A883" i="21" s="1"/>
  <c r="A884" i="21" s="1"/>
  <c r="A885" i="21" s="1"/>
  <c r="A886" i="21" s="1"/>
  <c r="A887" i="21" s="1"/>
  <c r="A888" i="21" s="1"/>
  <c r="A889" i="21" s="1"/>
  <c r="A890" i="21" s="1"/>
  <c r="A891" i="21" s="1"/>
  <c r="A892" i="21" s="1"/>
  <c r="A893" i="21" s="1"/>
  <c r="A894" i="21" s="1"/>
  <c r="A895" i="21" s="1"/>
  <c r="A896" i="21" s="1"/>
  <c r="A897" i="21" s="1"/>
  <c r="A898" i="21" s="1"/>
  <c r="A899" i="21" s="1"/>
  <c r="A900" i="21" s="1"/>
  <c r="A901" i="21" s="1"/>
  <c r="A902" i="21" s="1"/>
  <c r="A903" i="21" s="1"/>
  <c r="A904" i="21" s="1"/>
  <c r="A905" i="21" s="1"/>
  <c r="A906" i="21" s="1"/>
  <c r="A907" i="21" s="1"/>
  <c r="A908" i="21" s="1"/>
  <c r="A909" i="21" s="1"/>
  <c r="A910" i="21" s="1"/>
  <c r="A911" i="21" s="1"/>
  <c r="A912" i="21" s="1"/>
  <c r="A913" i="21" s="1"/>
  <c r="A914" i="21" s="1"/>
  <c r="A915" i="21" s="1"/>
  <c r="A916" i="21" s="1"/>
  <c r="A917" i="21" s="1"/>
  <c r="A918" i="21" s="1"/>
  <c r="A919" i="21" s="1"/>
  <c r="A920" i="21" s="1"/>
  <c r="A921" i="21" s="1"/>
  <c r="A922" i="21" s="1"/>
  <c r="A923" i="21" s="1"/>
  <c r="A924" i="21" s="1"/>
  <c r="A925" i="21" s="1"/>
  <c r="A926" i="21" s="1"/>
  <c r="A927" i="21" s="1"/>
  <c r="A928" i="21" s="1"/>
  <c r="A929" i="21" s="1"/>
  <c r="A930" i="21" s="1"/>
  <c r="A931" i="21" s="1"/>
  <c r="A932" i="21" s="1"/>
  <c r="A933" i="21" s="1"/>
  <c r="A934" i="21" s="1"/>
  <c r="A935" i="21" s="1"/>
  <c r="A936" i="21" s="1"/>
  <c r="A937" i="21" s="1"/>
  <c r="A938" i="21" s="1"/>
  <c r="A939" i="21" s="1"/>
  <c r="A940" i="21" s="1"/>
  <c r="A941" i="21" s="1"/>
  <c r="A942" i="21" s="1"/>
  <c r="A943" i="21" s="1"/>
  <c r="A944" i="21" s="1"/>
  <c r="A945" i="21" s="1"/>
  <c r="A946" i="21" s="1"/>
  <c r="A947" i="21" s="1"/>
  <c r="A948" i="21" s="1"/>
  <c r="A949" i="21" s="1"/>
  <c r="A950" i="21" s="1"/>
  <c r="A951" i="21" s="1"/>
  <c r="A952" i="21" s="1"/>
  <c r="A953" i="21" s="1"/>
  <c r="A954" i="21" s="1"/>
  <c r="A955" i="21" s="1"/>
  <c r="A956" i="21" s="1"/>
  <c r="A957" i="21" s="1"/>
  <c r="A958" i="21" s="1"/>
  <c r="A959" i="21" s="1"/>
  <c r="A960" i="21" s="1"/>
  <c r="A961" i="21" s="1"/>
  <c r="A962" i="21" s="1"/>
  <c r="A963" i="21" s="1"/>
  <c r="A964" i="21" s="1"/>
  <c r="A965" i="21" s="1"/>
  <c r="A966" i="21" s="1"/>
  <c r="A967" i="21" s="1"/>
  <c r="A968" i="21" s="1"/>
  <c r="A969" i="21" s="1"/>
  <c r="A970" i="21" s="1"/>
  <c r="A971" i="21" s="1"/>
  <c r="A972" i="21" s="1"/>
  <c r="A973" i="21" s="1"/>
  <c r="A974" i="21" s="1"/>
  <c r="A975" i="21" s="1"/>
  <c r="A976" i="21" s="1"/>
  <c r="A977" i="21" s="1"/>
  <c r="A978" i="21" s="1"/>
  <c r="A979" i="21" s="1"/>
  <c r="A980" i="21" s="1"/>
  <c r="A981" i="21" s="1"/>
  <c r="A982" i="21" s="1"/>
  <c r="A983" i="21" s="1"/>
  <c r="A984" i="21" s="1"/>
  <c r="A985" i="21" s="1"/>
  <c r="A986" i="21" s="1"/>
  <c r="A987" i="21" s="1"/>
  <c r="A988" i="21" s="1"/>
  <c r="A989" i="21" s="1"/>
  <c r="A990" i="21" s="1"/>
  <c r="A991" i="21" s="1"/>
  <c r="A992" i="21" s="1"/>
  <c r="A993" i="21" s="1"/>
  <c r="A994" i="21" s="1"/>
  <c r="A995" i="21" s="1"/>
  <c r="A996" i="21" s="1"/>
  <c r="A997" i="21" s="1"/>
  <c r="A998" i="21" s="1"/>
  <c r="A999" i="21" s="1"/>
  <c r="A1000" i="21" s="1"/>
  <c r="A1001" i="21" s="1"/>
  <c r="A1002" i="21" s="1"/>
  <c r="A1003" i="21" s="1"/>
  <c r="A1004" i="21" s="1"/>
  <c r="A1005" i="21" s="1"/>
  <c r="A1006" i="21" s="1"/>
  <c r="A1007" i="21" s="1"/>
  <c r="A1008" i="21" s="1"/>
  <c r="A1009" i="21" s="1"/>
  <c r="A1010" i="21" s="1"/>
  <c r="A1011" i="21" s="1"/>
  <c r="A1012" i="21" s="1"/>
  <c r="A1013" i="21" s="1"/>
  <c r="A1014" i="21" s="1"/>
  <c r="A1015" i="21" s="1"/>
  <c r="A1016" i="21" s="1"/>
  <c r="A1017" i="21" s="1"/>
  <c r="A1018" i="21" s="1"/>
  <c r="A1019" i="21" s="1"/>
  <c r="A1020" i="21" s="1"/>
  <c r="A1021" i="21" s="1"/>
  <c r="A1022" i="21" s="1"/>
  <c r="A1023" i="21" s="1"/>
  <c r="A1024" i="21" s="1"/>
  <c r="A1025" i="21" s="1"/>
  <c r="A1026" i="21" s="1"/>
  <c r="A1027" i="21" s="1"/>
  <c r="A1028" i="21" s="1"/>
  <c r="A1029" i="21" s="1"/>
  <c r="A1030" i="21" s="1"/>
  <c r="A1031" i="21" s="1"/>
  <c r="A1032" i="21" s="1"/>
  <c r="A1033" i="21" s="1"/>
  <c r="A1034" i="21" s="1"/>
  <c r="A1035" i="21" s="1"/>
  <c r="A1036" i="21" s="1"/>
  <c r="A1037" i="21" s="1"/>
  <c r="A1038" i="21" s="1"/>
  <c r="A1039" i="21" s="1"/>
  <c r="A1040" i="21" s="1"/>
  <c r="A1041" i="21" s="1"/>
  <c r="A1042" i="21" s="1"/>
  <c r="A1043" i="21" s="1"/>
  <c r="A1044" i="21" s="1"/>
  <c r="A1045" i="21" s="1"/>
  <c r="A1046" i="21" s="1"/>
  <c r="A1047" i="21" s="1"/>
  <c r="A1048" i="21" s="1"/>
  <c r="A1049" i="21" s="1"/>
  <c r="A1050" i="21" s="1"/>
  <c r="A1051" i="21" s="1"/>
  <c r="A1052" i="21" s="1"/>
  <c r="A1053" i="21" s="1"/>
  <c r="A1054" i="21" s="1"/>
  <c r="A1055" i="21" s="1"/>
  <c r="A1056" i="21" s="1"/>
  <c r="A1057" i="21" s="1"/>
  <c r="A1058" i="21" s="1"/>
  <c r="A1059" i="21" s="1"/>
  <c r="D5" i="21"/>
  <c r="E5" i="21" s="1"/>
  <c r="F5" i="21" s="1"/>
  <c r="G5" i="21" s="1"/>
  <c r="H5" i="21" s="1"/>
  <c r="E1059" i="21"/>
  <c r="B1059" i="21" s="1"/>
  <c r="E1058" i="21"/>
  <c r="B1058" i="21" s="1"/>
  <c r="E1057" i="21"/>
  <c r="B1057" i="21" s="1"/>
  <c r="E1056" i="21"/>
  <c r="B1056" i="21" s="1"/>
  <c r="E1055" i="21"/>
  <c r="B1055" i="21" s="1"/>
  <c r="E1054" i="21"/>
  <c r="B1054" i="21" s="1"/>
  <c r="E1053" i="21"/>
  <c r="B1053" i="21" s="1"/>
  <c r="E1052" i="21"/>
  <c r="B1052" i="21" s="1"/>
  <c r="E1051" i="21"/>
  <c r="B1051" i="21" s="1"/>
  <c r="E1050" i="21"/>
  <c r="B1050" i="21" s="1"/>
  <c r="E1049" i="21"/>
  <c r="B1049" i="21" s="1"/>
  <c r="E1048" i="21"/>
  <c r="B1048" i="21" s="1"/>
  <c r="E1047" i="21"/>
  <c r="B1047" i="21" s="1"/>
  <c r="E1046" i="21"/>
  <c r="B1046" i="21" s="1"/>
  <c r="E1045" i="21"/>
  <c r="B1045" i="21" s="1"/>
  <c r="E1044" i="21"/>
  <c r="B1044" i="21" s="1"/>
  <c r="E1043" i="21"/>
  <c r="B1043" i="21" s="1"/>
  <c r="E1042" i="21"/>
  <c r="B1042" i="21" s="1"/>
  <c r="E1041" i="21"/>
  <c r="B1041" i="21" s="1"/>
  <c r="E1040" i="21"/>
  <c r="B1040" i="21" s="1"/>
  <c r="E1039" i="21"/>
  <c r="B1039" i="21" s="1"/>
  <c r="E1038" i="21"/>
  <c r="B1038" i="21" s="1"/>
  <c r="E1037" i="21"/>
  <c r="B1037" i="21" s="1"/>
  <c r="E1036" i="21"/>
  <c r="B1036" i="21" s="1"/>
  <c r="E1035" i="21"/>
  <c r="B1035" i="21" s="1"/>
  <c r="E1034" i="21"/>
  <c r="B1034" i="21" s="1"/>
  <c r="E1033" i="21"/>
  <c r="B1033" i="21" s="1"/>
  <c r="E1032" i="21"/>
  <c r="B1032" i="21" s="1"/>
  <c r="E1031" i="21"/>
  <c r="B1031" i="21" s="1"/>
  <c r="E1030" i="21"/>
  <c r="B1030" i="21" s="1"/>
  <c r="E1029" i="21"/>
  <c r="B1029" i="21" s="1"/>
  <c r="E1028" i="21"/>
  <c r="B1028" i="21" s="1"/>
  <c r="E1027" i="21"/>
  <c r="B1027" i="21" s="1"/>
  <c r="E1026" i="21"/>
  <c r="B1026" i="21" s="1"/>
  <c r="E1025" i="21"/>
  <c r="B1025" i="21" s="1"/>
  <c r="E1024" i="21"/>
  <c r="B1024" i="21" s="1"/>
  <c r="E1023" i="21"/>
  <c r="B1023" i="21" s="1"/>
  <c r="E1022" i="21"/>
  <c r="B1022" i="21" s="1"/>
  <c r="E1021" i="21"/>
  <c r="B1021" i="21" s="1"/>
  <c r="E1020" i="21"/>
  <c r="B1020" i="21" s="1"/>
  <c r="E1019" i="21"/>
  <c r="B1019" i="21" s="1"/>
  <c r="E1018" i="21"/>
  <c r="B1018" i="21" s="1"/>
  <c r="E1017" i="21"/>
  <c r="B1017" i="21" s="1"/>
  <c r="B1016" i="21"/>
  <c r="B1015" i="21"/>
  <c r="B1014" i="21"/>
  <c r="B1013" i="21"/>
  <c r="B1012" i="21"/>
  <c r="B1011" i="21"/>
  <c r="B1010" i="21"/>
  <c r="B1009" i="21"/>
  <c r="B1008" i="21"/>
  <c r="B1007" i="21"/>
  <c r="P1006" i="21"/>
  <c r="B1006" i="21"/>
  <c r="B1005" i="21"/>
  <c r="B1004" i="21"/>
  <c r="P1003" i="21"/>
  <c r="B1003" i="21"/>
  <c r="B1002" i="21"/>
  <c r="P1001" i="21"/>
  <c r="B1001" i="21"/>
  <c r="B1000" i="21"/>
  <c r="B999" i="21"/>
  <c r="B998" i="21"/>
  <c r="B997" i="21"/>
  <c r="B996" i="21"/>
  <c r="P995" i="21"/>
  <c r="B995" i="21"/>
  <c r="B994" i="21"/>
  <c r="B993" i="21"/>
  <c r="B992" i="21"/>
  <c r="B991" i="21"/>
  <c r="B990" i="21"/>
  <c r="P989" i="21"/>
  <c r="B989" i="21"/>
  <c r="B988" i="21"/>
  <c r="B987" i="21"/>
  <c r="B986" i="21"/>
  <c r="B985" i="21"/>
  <c r="B984" i="21"/>
  <c r="B983" i="21"/>
  <c r="B982" i="21"/>
  <c r="B981" i="21"/>
  <c r="B980" i="21"/>
  <c r="B979" i="21"/>
  <c r="B978" i="21"/>
  <c r="B977" i="21"/>
  <c r="B976" i="21"/>
  <c r="B975" i="21"/>
  <c r="P974" i="21"/>
  <c r="B974" i="21"/>
  <c r="P973" i="21"/>
  <c r="B973" i="21"/>
  <c r="B972" i="21"/>
  <c r="B971" i="21"/>
  <c r="B970" i="21"/>
  <c r="B969" i="21"/>
  <c r="B968" i="21"/>
  <c r="B967" i="21"/>
  <c r="B966" i="21"/>
  <c r="B965" i="21"/>
  <c r="B964" i="21"/>
  <c r="P963" i="21"/>
  <c r="B963" i="21"/>
  <c r="B962" i="21"/>
  <c r="B961" i="21"/>
  <c r="B960" i="21"/>
  <c r="B959" i="21"/>
  <c r="P958" i="21"/>
  <c r="B958" i="21"/>
  <c r="B957" i="21"/>
  <c r="P956" i="21"/>
  <c r="B956" i="21"/>
  <c r="B955" i="21"/>
  <c r="B954" i="21"/>
  <c r="B953" i="21"/>
  <c r="P952" i="21"/>
  <c r="B952" i="21"/>
  <c r="B951" i="21"/>
  <c r="P950" i="21"/>
  <c r="B950" i="21"/>
  <c r="P949" i="21"/>
  <c r="B949" i="21"/>
  <c r="B948" i="21"/>
  <c r="P947" i="21"/>
  <c r="B947" i="21"/>
  <c r="B946" i="21"/>
  <c r="B945" i="21"/>
  <c r="P944" i="21"/>
  <c r="B944" i="21"/>
  <c r="B943" i="21"/>
  <c r="P942" i="21"/>
  <c r="B942" i="21"/>
  <c r="P941" i="21"/>
  <c r="B941" i="21"/>
  <c r="B940" i="21"/>
  <c r="B939" i="21"/>
  <c r="B938" i="21"/>
  <c r="B937" i="21"/>
  <c r="B936" i="21"/>
  <c r="P935" i="21"/>
  <c r="B935" i="21"/>
  <c r="B934" i="21"/>
  <c r="B933" i="21"/>
  <c r="B932" i="21"/>
  <c r="B931" i="21"/>
  <c r="B930" i="21"/>
  <c r="B929" i="21"/>
  <c r="B928" i="21"/>
  <c r="B927" i="21"/>
  <c r="P926" i="21"/>
  <c r="B926" i="21"/>
  <c r="P925" i="21"/>
  <c r="B925" i="21"/>
  <c r="B924" i="21"/>
  <c r="B923" i="21"/>
  <c r="B922" i="21"/>
  <c r="P921" i="21"/>
  <c r="B921" i="21"/>
  <c r="B920" i="21"/>
  <c r="B919" i="21"/>
  <c r="B918" i="21"/>
  <c r="B917" i="21"/>
  <c r="B916" i="21"/>
  <c r="B915" i="21"/>
  <c r="B914" i="21"/>
  <c r="B913" i="21"/>
  <c r="B912" i="21"/>
  <c r="B911" i="21"/>
  <c r="B910" i="21"/>
  <c r="B909" i="21"/>
  <c r="B908" i="21"/>
  <c r="B907" i="21"/>
  <c r="B906" i="21"/>
  <c r="B905" i="21"/>
  <c r="B904" i="21"/>
  <c r="B903" i="21"/>
  <c r="B902" i="21"/>
  <c r="B901" i="21"/>
  <c r="B900" i="21"/>
  <c r="B899" i="21"/>
  <c r="B898" i="21"/>
  <c r="B897" i="21"/>
  <c r="B896" i="21"/>
  <c r="B895" i="21"/>
  <c r="B894" i="21"/>
  <c r="B893" i="21"/>
  <c r="B892" i="21"/>
  <c r="B891" i="21"/>
  <c r="B890" i="21"/>
  <c r="B889" i="21"/>
  <c r="B888" i="21"/>
  <c r="B887" i="21"/>
  <c r="B886" i="21"/>
  <c r="B885" i="21"/>
  <c r="B884" i="21"/>
  <c r="B883" i="21"/>
  <c r="B882" i="21"/>
  <c r="B881" i="21"/>
  <c r="B880" i="21"/>
  <c r="B879" i="21"/>
  <c r="B878" i="21"/>
  <c r="B877" i="21"/>
  <c r="B876" i="21"/>
  <c r="B875" i="21"/>
  <c r="B874" i="21"/>
  <c r="B873" i="21"/>
  <c r="B872" i="21"/>
  <c r="B871" i="21"/>
  <c r="B870" i="21"/>
  <c r="B869" i="21"/>
  <c r="B868" i="21"/>
  <c r="B867" i="21"/>
  <c r="B866" i="21"/>
  <c r="B865" i="21"/>
  <c r="B864" i="21"/>
  <c r="B863" i="21"/>
  <c r="B862" i="21"/>
  <c r="B861" i="21"/>
  <c r="B860" i="21"/>
  <c r="B859" i="21"/>
  <c r="P858" i="21"/>
  <c r="B858" i="21"/>
  <c r="B857" i="21"/>
  <c r="B856" i="21"/>
  <c r="B855" i="21"/>
  <c r="B854" i="21"/>
  <c r="B853" i="21"/>
  <c r="B852" i="21"/>
  <c r="B851" i="21"/>
  <c r="B850" i="21"/>
  <c r="B849" i="21"/>
  <c r="B848" i="21"/>
  <c r="B847" i="21"/>
  <c r="B846" i="21"/>
  <c r="B845" i="21"/>
  <c r="B844" i="21"/>
  <c r="B843" i="21"/>
  <c r="B842" i="21"/>
  <c r="B841" i="21"/>
  <c r="B840" i="21"/>
  <c r="B839" i="21"/>
  <c r="B838" i="21"/>
  <c r="B837" i="21"/>
  <c r="B836" i="21"/>
  <c r="B835" i="21"/>
  <c r="B834" i="21"/>
  <c r="B833" i="21"/>
  <c r="B832" i="21"/>
  <c r="B831" i="21"/>
  <c r="B830" i="21"/>
  <c r="B829" i="21"/>
  <c r="B828" i="21"/>
  <c r="B827" i="21"/>
  <c r="B826" i="21"/>
  <c r="B825" i="21"/>
  <c r="B824" i="21"/>
  <c r="B823" i="21"/>
  <c r="B822" i="21"/>
  <c r="B821" i="21"/>
  <c r="B820" i="21"/>
  <c r="B819" i="21"/>
  <c r="B818" i="21"/>
  <c r="B817" i="21"/>
  <c r="B816" i="21"/>
  <c r="B815" i="21"/>
  <c r="B814" i="21"/>
  <c r="B813" i="21"/>
  <c r="B812" i="21"/>
  <c r="B811" i="21"/>
  <c r="B810" i="21"/>
  <c r="B809" i="21"/>
  <c r="B808" i="21"/>
  <c r="B807" i="21"/>
  <c r="B806" i="21"/>
  <c r="B805" i="21"/>
  <c r="B804" i="21"/>
  <c r="B803" i="21"/>
  <c r="B802" i="21"/>
  <c r="B801" i="21"/>
  <c r="B800" i="21"/>
  <c r="B799" i="21"/>
  <c r="B798" i="21"/>
  <c r="B797" i="21"/>
  <c r="B796" i="21"/>
  <c r="B795" i="21"/>
  <c r="B794" i="21"/>
  <c r="B793" i="21"/>
  <c r="B792" i="21"/>
  <c r="B791" i="21"/>
  <c r="B790" i="21"/>
  <c r="B789" i="21"/>
  <c r="B788" i="21"/>
  <c r="B787" i="21"/>
  <c r="B786" i="21"/>
  <c r="B785" i="21"/>
  <c r="B784" i="21"/>
  <c r="B783" i="21"/>
  <c r="B782" i="21"/>
  <c r="B781" i="21"/>
  <c r="B780" i="21"/>
  <c r="B779" i="21"/>
  <c r="B778" i="21"/>
  <c r="B777" i="21"/>
  <c r="B776" i="21"/>
  <c r="B775" i="21"/>
  <c r="B774" i="21"/>
  <c r="B773" i="21"/>
  <c r="B772" i="21"/>
  <c r="B771" i="21"/>
  <c r="B770" i="21"/>
  <c r="B769" i="21"/>
  <c r="B768" i="21"/>
  <c r="B767" i="21"/>
  <c r="B766" i="21"/>
  <c r="B765" i="21"/>
  <c r="B764" i="21"/>
  <c r="B763" i="21"/>
  <c r="B762" i="21"/>
  <c r="B761" i="21"/>
  <c r="B760" i="21"/>
  <c r="B759" i="21"/>
  <c r="B758" i="21"/>
  <c r="B757" i="21"/>
  <c r="B756" i="21"/>
  <c r="B755" i="21"/>
  <c r="B754" i="21"/>
  <c r="B753" i="21"/>
  <c r="B752" i="21"/>
  <c r="B751" i="21"/>
  <c r="B750" i="21"/>
  <c r="B749" i="21"/>
  <c r="B748" i="21"/>
  <c r="B747" i="21"/>
  <c r="B746" i="21"/>
  <c r="B745" i="21"/>
  <c r="B744" i="21"/>
  <c r="B743" i="21"/>
  <c r="B742" i="21"/>
  <c r="B741" i="21"/>
  <c r="B740" i="21"/>
  <c r="B739" i="21"/>
  <c r="B738" i="21"/>
  <c r="B737" i="21"/>
  <c r="B736" i="21"/>
  <c r="B735" i="21"/>
  <c r="B734" i="21"/>
  <c r="B733" i="21"/>
  <c r="B732" i="21"/>
  <c r="B731" i="21"/>
  <c r="B730" i="21"/>
  <c r="B729" i="21"/>
  <c r="B728" i="21"/>
  <c r="B727" i="21"/>
  <c r="B726" i="21"/>
  <c r="B725" i="21"/>
  <c r="B724" i="21"/>
  <c r="B723" i="21"/>
  <c r="B722" i="21"/>
  <c r="B721" i="21"/>
  <c r="B720" i="21"/>
  <c r="B719" i="21"/>
  <c r="B718" i="21"/>
  <c r="B717" i="21"/>
  <c r="B716" i="21"/>
  <c r="B715" i="21"/>
  <c r="B714" i="21"/>
  <c r="B713" i="21"/>
  <c r="B712" i="21"/>
  <c r="B711" i="21"/>
  <c r="B710" i="21"/>
  <c r="B709" i="21"/>
  <c r="B708" i="21"/>
  <c r="B707" i="21"/>
  <c r="B706" i="21"/>
  <c r="B705" i="21"/>
  <c r="B704" i="21"/>
  <c r="B703" i="21"/>
  <c r="B702" i="21"/>
  <c r="B701" i="21"/>
  <c r="B700" i="21"/>
  <c r="B699" i="21"/>
  <c r="B698" i="21"/>
  <c r="B697" i="21"/>
  <c r="B696" i="21"/>
  <c r="B695" i="21"/>
  <c r="B694" i="21"/>
  <c r="B693" i="21"/>
  <c r="B692" i="21"/>
  <c r="B691" i="21"/>
  <c r="B690" i="21"/>
  <c r="B689" i="21"/>
  <c r="B688" i="21"/>
  <c r="B687" i="21"/>
  <c r="B686" i="21"/>
  <c r="B685" i="21"/>
  <c r="B684" i="21"/>
  <c r="B683" i="21"/>
  <c r="B682" i="21"/>
  <c r="B681" i="21"/>
  <c r="B680" i="21"/>
  <c r="B679" i="21"/>
  <c r="B678" i="21"/>
  <c r="B677" i="21"/>
  <c r="B676" i="21"/>
  <c r="B675" i="21"/>
  <c r="B674" i="21"/>
  <c r="B673" i="21"/>
  <c r="B672" i="21"/>
  <c r="B671" i="21"/>
  <c r="B670" i="21"/>
  <c r="B669" i="21"/>
  <c r="B668" i="21"/>
  <c r="B667" i="21"/>
  <c r="B666" i="21"/>
  <c r="B665" i="21"/>
  <c r="B664" i="21"/>
  <c r="B663" i="21"/>
  <c r="B662" i="21"/>
  <c r="B661" i="21"/>
  <c r="B660" i="21"/>
  <c r="B659" i="21"/>
  <c r="B658" i="21"/>
  <c r="B657" i="21"/>
  <c r="B656" i="21"/>
  <c r="B655" i="21"/>
  <c r="B654" i="21"/>
  <c r="B653" i="21"/>
  <c r="B652" i="21"/>
  <c r="B651" i="21"/>
  <c r="B650" i="21"/>
  <c r="B649" i="21"/>
  <c r="B648" i="21"/>
  <c r="B647" i="21"/>
  <c r="B646" i="21"/>
  <c r="B645" i="21"/>
  <c r="B644" i="21"/>
  <c r="B643" i="21"/>
  <c r="B642" i="21"/>
  <c r="B641" i="21"/>
  <c r="B640" i="21"/>
  <c r="B639" i="21"/>
  <c r="B638" i="21"/>
  <c r="B637" i="21"/>
  <c r="B636" i="21"/>
  <c r="B635" i="21"/>
  <c r="B634" i="21"/>
  <c r="B633" i="21"/>
  <c r="B632" i="21"/>
  <c r="B631" i="21"/>
  <c r="B630" i="21"/>
  <c r="B629" i="21"/>
  <c r="B628" i="21"/>
  <c r="B627" i="21"/>
  <c r="P626" i="21"/>
  <c r="B626" i="21"/>
  <c r="P625" i="21"/>
  <c r="B625" i="21"/>
  <c r="B624" i="21"/>
  <c r="B623" i="21"/>
  <c r="B622" i="21"/>
  <c r="B621" i="21"/>
  <c r="P620" i="21"/>
  <c r="B620" i="21"/>
  <c r="B619" i="21"/>
  <c r="B618" i="21"/>
  <c r="B617" i="21"/>
  <c r="B616" i="21"/>
  <c r="B615" i="21"/>
  <c r="B614" i="21"/>
  <c r="B613" i="21"/>
  <c r="B612" i="21"/>
  <c r="B611" i="21"/>
  <c r="B610" i="21"/>
  <c r="B609" i="21"/>
  <c r="B608" i="21"/>
  <c r="B607" i="21"/>
  <c r="B606" i="21"/>
  <c r="B605" i="21"/>
  <c r="B604" i="21"/>
  <c r="B603" i="21"/>
  <c r="B602" i="21"/>
  <c r="B601" i="21"/>
  <c r="B600" i="21"/>
  <c r="B599" i="21"/>
  <c r="B598" i="21"/>
  <c r="B597" i="21"/>
  <c r="B596" i="21"/>
  <c r="B595" i="21"/>
  <c r="B594" i="21"/>
  <c r="B593" i="21"/>
  <c r="B592" i="21"/>
  <c r="B591" i="21"/>
  <c r="B590" i="21"/>
  <c r="B589" i="21"/>
  <c r="B588" i="21"/>
  <c r="B587" i="21"/>
  <c r="B586" i="21"/>
  <c r="B585" i="21"/>
  <c r="B584" i="21"/>
  <c r="B583" i="21"/>
  <c r="B582" i="21"/>
  <c r="B581" i="21"/>
  <c r="B580" i="21"/>
  <c r="B579" i="21"/>
  <c r="B578" i="21"/>
  <c r="B577" i="21"/>
  <c r="B576" i="21"/>
  <c r="B575" i="21"/>
  <c r="B574" i="21"/>
  <c r="B573" i="21"/>
  <c r="B572" i="21"/>
  <c r="B571" i="21"/>
  <c r="B570" i="21"/>
  <c r="B569" i="21"/>
  <c r="B568" i="21"/>
  <c r="B567" i="21"/>
  <c r="B566" i="21"/>
  <c r="B565" i="21"/>
  <c r="B564" i="21"/>
  <c r="B563" i="21"/>
  <c r="B562" i="21"/>
  <c r="B561" i="21"/>
  <c r="B560" i="21"/>
  <c r="B559" i="21"/>
  <c r="B558" i="21"/>
  <c r="B557" i="21"/>
  <c r="B556" i="21"/>
  <c r="B555" i="21"/>
  <c r="B554" i="21"/>
  <c r="B553" i="21"/>
  <c r="B552" i="21"/>
  <c r="B551" i="21"/>
  <c r="B550" i="21"/>
  <c r="B549" i="21"/>
  <c r="B548" i="21"/>
  <c r="B547" i="21"/>
  <c r="B546" i="21"/>
  <c r="B545" i="21"/>
  <c r="B544" i="21"/>
  <c r="B543" i="21"/>
  <c r="B542" i="21"/>
  <c r="B541" i="21"/>
  <c r="B540" i="21"/>
  <c r="B539" i="21"/>
  <c r="B538" i="21"/>
  <c r="B537" i="21"/>
  <c r="B536" i="21"/>
  <c r="B535" i="21"/>
  <c r="B534" i="21"/>
  <c r="P533" i="21"/>
  <c r="B533" i="21"/>
  <c r="B532" i="21"/>
  <c r="B531" i="21"/>
  <c r="B530" i="21"/>
  <c r="B529" i="21"/>
  <c r="B528" i="21"/>
  <c r="B527" i="21"/>
  <c r="B526" i="21"/>
  <c r="B525" i="21"/>
  <c r="P524" i="21"/>
  <c r="B524" i="21"/>
  <c r="B523" i="21"/>
  <c r="B522" i="21"/>
  <c r="B521" i="21"/>
  <c r="B520" i="21"/>
  <c r="B519" i="21"/>
  <c r="B518" i="21"/>
  <c r="B517" i="21"/>
  <c r="B516" i="21"/>
  <c r="B515" i="21"/>
  <c r="B514" i="21"/>
  <c r="B513" i="21"/>
  <c r="B512" i="21"/>
  <c r="B511" i="21"/>
  <c r="B510" i="21"/>
  <c r="B509" i="21"/>
  <c r="B508" i="21"/>
  <c r="B507" i="21"/>
  <c r="B506" i="21"/>
  <c r="B505" i="21"/>
  <c r="B504" i="21"/>
  <c r="B503" i="21"/>
  <c r="B502" i="21"/>
  <c r="B501" i="21"/>
  <c r="B500" i="21"/>
  <c r="B499" i="21"/>
  <c r="B498" i="21"/>
  <c r="B497" i="21"/>
  <c r="B496" i="21"/>
  <c r="B495" i="21"/>
  <c r="B494" i="21"/>
  <c r="B493" i="21"/>
  <c r="B492" i="21"/>
  <c r="B491" i="21"/>
  <c r="B490" i="21"/>
  <c r="B489" i="21"/>
  <c r="B488" i="21"/>
  <c r="B487" i="21"/>
  <c r="B486" i="21"/>
  <c r="B485" i="21"/>
  <c r="B484" i="21"/>
  <c r="B483" i="21"/>
  <c r="B482" i="21"/>
  <c r="P481" i="21"/>
  <c r="B481" i="21"/>
  <c r="B480" i="21"/>
  <c r="B479" i="21"/>
  <c r="B478" i="21"/>
  <c r="P477" i="21"/>
  <c r="B477" i="21"/>
  <c r="P476" i="21"/>
  <c r="B476" i="21"/>
  <c r="P475" i="21"/>
  <c r="B475" i="21"/>
  <c r="B474" i="21"/>
  <c r="B473" i="21"/>
  <c r="B472" i="21"/>
  <c r="B471" i="21"/>
  <c r="B470" i="21"/>
  <c r="B469" i="21"/>
  <c r="B468" i="21"/>
  <c r="P467" i="21"/>
  <c r="B467" i="21"/>
  <c r="B466" i="21"/>
  <c r="B465" i="21"/>
  <c r="B464" i="21"/>
  <c r="B463" i="21"/>
  <c r="B462" i="21"/>
  <c r="B461" i="21"/>
  <c r="B460" i="21"/>
  <c r="B459" i="21"/>
  <c r="B458" i="21"/>
  <c r="B457" i="21"/>
  <c r="B456" i="21"/>
  <c r="B455" i="21"/>
  <c r="B454" i="21"/>
  <c r="B453" i="21"/>
  <c r="B452" i="21"/>
  <c r="P451" i="21"/>
  <c r="B451" i="21"/>
  <c r="B450" i="21"/>
  <c r="B449" i="21"/>
  <c r="B448" i="21"/>
  <c r="B447" i="21"/>
  <c r="B446" i="21"/>
  <c r="B445" i="21"/>
  <c r="B444" i="21"/>
  <c r="B443" i="21"/>
  <c r="B442" i="21"/>
  <c r="B441" i="21"/>
  <c r="B440" i="21"/>
  <c r="B439" i="21"/>
  <c r="B438" i="21"/>
  <c r="B437" i="21"/>
  <c r="B436" i="21"/>
  <c r="B435" i="21"/>
  <c r="B434" i="21"/>
  <c r="B433" i="21"/>
  <c r="B432" i="21"/>
  <c r="B431" i="21"/>
  <c r="B430" i="21"/>
  <c r="B429" i="21"/>
  <c r="B428" i="21"/>
  <c r="B427" i="21"/>
  <c r="B426" i="21"/>
  <c r="B425" i="21"/>
  <c r="B424" i="21"/>
  <c r="B423" i="21"/>
  <c r="B422" i="21"/>
  <c r="B421" i="21"/>
  <c r="B420" i="21"/>
  <c r="B419" i="21"/>
  <c r="B418" i="21"/>
  <c r="B417" i="21"/>
  <c r="B416" i="21"/>
  <c r="B415" i="21"/>
  <c r="B414" i="21"/>
  <c r="B413" i="21"/>
  <c r="B412" i="21"/>
  <c r="B411" i="21"/>
  <c r="B410" i="21"/>
  <c r="B409" i="21"/>
  <c r="B408" i="21"/>
  <c r="B407" i="21"/>
  <c r="B406" i="21"/>
  <c r="B405" i="21"/>
  <c r="B404" i="21"/>
  <c r="B403" i="21"/>
  <c r="B402" i="21"/>
  <c r="B401" i="21"/>
  <c r="B400" i="21"/>
  <c r="B399" i="21"/>
  <c r="B398" i="21"/>
  <c r="B397" i="21"/>
  <c r="B396" i="21"/>
  <c r="B395" i="21"/>
  <c r="E394" i="21"/>
  <c r="B394" i="21" s="1"/>
  <c r="E393" i="21"/>
  <c r="B393" i="21" s="1"/>
  <c r="E392" i="21"/>
  <c r="B392" i="21" s="1"/>
  <c r="E391" i="21"/>
  <c r="B391" i="21" s="1"/>
  <c r="E390" i="21"/>
  <c r="B390" i="21" s="1"/>
  <c r="E389" i="21"/>
  <c r="B389" i="21" s="1"/>
  <c r="E388" i="21"/>
  <c r="B388" i="21" s="1"/>
  <c r="E387" i="21"/>
  <c r="B387" i="21" s="1"/>
  <c r="E386" i="21"/>
  <c r="B386" i="21" s="1"/>
  <c r="E385" i="21"/>
  <c r="B385" i="21" s="1"/>
  <c r="E384" i="21"/>
  <c r="B384" i="21" s="1"/>
  <c r="E383" i="21"/>
  <c r="B383" i="21" s="1"/>
  <c r="E382" i="21"/>
  <c r="B382" i="21" s="1"/>
  <c r="E381" i="21"/>
  <c r="B381" i="21" s="1"/>
  <c r="E380" i="21"/>
  <c r="B380" i="21" s="1"/>
  <c r="E379" i="21"/>
  <c r="B379" i="21" s="1"/>
  <c r="E378" i="21"/>
  <c r="B378" i="21" s="1"/>
  <c r="E377" i="21"/>
  <c r="B377" i="21" s="1"/>
  <c r="E376" i="21"/>
  <c r="B376" i="21" s="1"/>
  <c r="E375" i="21"/>
  <c r="B375" i="21" s="1"/>
  <c r="E374" i="21"/>
  <c r="B374" i="21" s="1"/>
  <c r="E373" i="21"/>
  <c r="B373" i="21" s="1"/>
  <c r="E372" i="21"/>
  <c r="B372" i="21" s="1"/>
  <c r="E371" i="21"/>
  <c r="B371" i="21" s="1"/>
  <c r="E370" i="21"/>
  <c r="B370" i="21" s="1"/>
  <c r="E369" i="21"/>
  <c r="B369" i="21" s="1"/>
  <c r="E368" i="21"/>
  <c r="B368" i="21" s="1"/>
  <c r="E367" i="21"/>
  <c r="B367" i="21" s="1"/>
  <c r="E366" i="21"/>
  <c r="B366" i="21" s="1"/>
  <c r="E365" i="21"/>
  <c r="B365" i="21" s="1"/>
  <c r="E364" i="21"/>
  <c r="B364" i="21" s="1"/>
  <c r="E363" i="21"/>
  <c r="B363" i="21" s="1"/>
  <c r="E362" i="21"/>
  <c r="B362" i="21" s="1"/>
  <c r="E361" i="21"/>
  <c r="B361" i="21" s="1"/>
  <c r="E360" i="21"/>
  <c r="B360" i="21" s="1"/>
  <c r="E359" i="21"/>
  <c r="B359" i="21" s="1"/>
  <c r="E358" i="21"/>
  <c r="B358" i="21" s="1"/>
  <c r="E357" i="21"/>
  <c r="B357" i="21" s="1"/>
  <c r="E356" i="21"/>
  <c r="B356" i="21" s="1"/>
  <c r="E355" i="21"/>
  <c r="B355" i="21" s="1"/>
  <c r="E354" i="21"/>
  <c r="B354" i="21" s="1"/>
  <c r="E353" i="21"/>
  <c r="B353" i="21" s="1"/>
  <c r="E352" i="21"/>
  <c r="B352" i="21" s="1"/>
  <c r="E351" i="21"/>
  <c r="B351" i="21" s="1"/>
  <c r="E350" i="21"/>
  <c r="B350" i="21" s="1"/>
  <c r="E349" i="21"/>
  <c r="B349" i="21" s="1"/>
  <c r="E348" i="21"/>
  <c r="B348" i="21" s="1"/>
  <c r="E347" i="21"/>
  <c r="B347" i="21" s="1"/>
  <c r="E346" i="21"/>
  <c r="B346" i="21" s="1"/>
  <c r="E345" i="21"/>
  <c r="B345" i="21" s="1"/>
  <c r="E344" i="21"/>
  <c r="B344" i="21" s="1"/>
  <c r="E343" i="21"/>
  <c r="B343" i="21" s="1"/>
  <c r="E342" i="21"/>
  <c r="B342" i="21" s="1"/>
  <c r="E341" i="21"/>
  <c r="B341" i="21" s="1"/>
  <c r="E340" i="21"/>
  <c r="B340" i="21" s="1"/>
  <c r="E339" i="21"/>
  <c r="B339" i="21" s="1"/>
  <c r="E338" i="21"/>
  <c r="B338" i="21" s="1"/>
  <c r="E337" i="21"/>
  <c r="B337" i="21" s="1"/>
  <c r="E336" i="21"/>
  <c r="B336" i="21" s="1"/>
  <c r="E335" i="21"/>
  <c r="B335" i="21" s="1"/>
  <c r="E334" i="21"/>
  <c r="B334" i="21" s="1"/>
  <c r="E333" i="21"/>
  <c r="B333" i="21" s="1"/>
  <c r="E332" i="21"/>
  <c r="B332" i="21" s="1"/>
  <c r="E331" i="21"/>
  <c r="B331" i="21" s="1"/>
  <c r="P330" i="21"/>
  <c r="E330" i="21"/>
  <c r="B330" i="21" s="1"/>
  <c r="E329" i="21"/>
  <c r="B329" i="21" s="1"/>
  <c r="P328" i="21"/>
  <c r="E328" i="21"/>
  <c r="B328" i="21" s="1"/>
  <c r="E327" i="21"/>
  <c r="B327" i="21" s="1"/>
  <c r="E326" i="21"/>
  <c r="B326" i="21" s="1"/>
  <c r="E325" i="21"/>
  <c r="B325" i="21" s="1"/>
  <c r="E324" i="21"/>
  <c r="B324" i="21" s="1"/>
  <c r="E323" i="21"/>
  <c r="B323" i="21" s="1"/>
  <c r="E322" i="21"/>
  <c r="B322" i="21" s="1"/>
  <c r="E321" i="21"/>
  <c r="B321" i="21" s="1"/>
  <c r="E320" i="21"/>
  <c r="B320" i="21" s="1"/>
  <c r="E319" i="21"/>
  <c r="B319" i="21" s="1"/>
  <c r="E318" i="21"/>
  <c r="B318" i="21" s="1"/>
  <c r="E317" i="21"/>
  <c r="B317" i="21" s="1"/>
  <c r="E316" i="21"/>
  <c r="B316" i="21" s="1"/>
  <c r="E315" i="21"/>
  <c r="B315" i="21" s="1"/>
  <c r="E314" i="21"/>
  <c r="B314" i="21" s="1"/>
  <c r="E313" i="21"/>
  <c r="B313" i="21" s="1"/>
  <c r="E312" i="21"/>
  <c r="B312" i="21" s="1"/>
  <c r="E311" i="21"/>
  <c r="B311" i="21" s="1"/>
  <c r="E310" i="21"/>
  <c r="B310" i="21" s="1"/>
  <c r="E309" i="21"/>
  <c r="B309" i="21" s="1"/>
  <c r="E308" i="21"/>
  <c r="B308" i="21" s="1"/>
  <c r="E307" i="21"/>
  <c r="B307" i="21" s="1"/>
  <c r="E306" i="21"/>
  <c r="B306" i="21" s="1"/>
  <c r="E305" i="21"/>
  <c r="B305" i="21" s="1"/>
  <c r="E304" i="21"/>
  <c r="B304" i="21" s="1"/>
  <c r="P303" i="21"/>
  <c r="E303" i="21"/>
  <c r="B303" i="21" s="1"/>
  <c r="E302" i="21"/>
  <c r="B302" i="21" s="1"/>
  <c r="E301" i="21"/>
  <c r="B301" i="21" s="1"/>
  <c r="E300" i="21"/>
  <c r="B300" i="21" s="1"/>
  <c r="E299" i="21"/>
  <c r="B299" i="21" s="1"/>
  <c r="E298" i="21"/>
  <c r="B298" i="21" s="1"/>
  <c r="E297" i="21"/>
  <c r="B297" i="21" s="1"/>
  <c r="E296" i="21"/>
  <c r="B296" i="21" s="1"/>
  <c r="E295" i="21"/>
  <c r="B295" i="21" s="1"/>
  <c r="E294" i="21"/>
  <c r="B294" i="21" s="1"/>
  <c r="E293" i="21"/>
  <c r="B293" i="21" s="1"/>
  <c r="E292" i="21"/>
  <c r="B292" i="21" s="1"/>
  <c r="E291" i="21"/>
  <c r="B291" i="21" s="1"/>
  <c r="E290" i="21"/>
  <c r="B290" i="21" s="1"/>
  <c r="E289" i="21"/>
  <c r="B289" i="21" s="1"/>
  <c r="E288" i="21"/>
  <c r="B288" i="21" s="1"/>
  <c r="E287" i="21"/>
  <c r="B287" i="21" s="1"/>
  <c r="E286" i="21"/>
  <c r="B286" i="21" s="1"/>
  <c r="E285" i="21"/>
  <c r="B285" i="21" s="1"/>
  <c r="E284" i="21"/>
  <c r="B284" i="21" s="1"/>
  <c r="E283" i="21"/>
  <c r="B283" i="21" s="1"/>
  <c r="E282" i="21"/>
  <c r="B282" i="21" s="1"/>
  <c r="E281" i="21"/>
  <c r="B281" i="21" s="1"/>
  <c r="E280" i="21"/>
  <c r="B280" i="21" s="1"/>
  <c r="E279" i="21"/>
  <c r="B279" i="21" s="1"/>
  <c r="E278" i="21"/>
  <c r="B278" i="21" s="1"/>
  <c r="E277" i="21"/>
  <c r="B277" i="21" s="1"/>
  <c r="E276" i="21"/>
  <c r="B276" i="21" s="1"/>
  <c r="E275" i="21"/>
  <c r="B275" i="21" s="1"/>
  <c r="E274" i="21"/>
  <c r="B274" i="21" s="1"/>
  <c r="E273" i="21"/>
  <c r="B273" i="21" s="1"/>
  <c r="E272" i="21"/>
  <c r="B272" i="21" s="1"/>
  <c r="E271" i="21"/>
  <c r="B271" i="21" s="1"/>
  <c r="E270" i="21"/>
  <c r="B270" i="21" s="1"/>
  <c r="E269" i="21"/>
  <c r="B269" i="21" s="1"/>
  <c r="E268" i="21"/>
  <c r="B268" i="21" s="1"/>
  <c r="E267" i="21"/>
  <c r="B267" i="21" s="1"/>
  <c r="E266" i="21"/>
  <c r="B266" i="21" s="1"/>
  <c r="E265" i="21"/>
  <c r="B265" i="21" s="1"/>
  <c r="E264" i="21"/>
  <c r="B264" i="21" s="1"/>
  <c r="E263" i="21"/>
  <c r="B263" i="21" s="1"/>
  <c r="E262" i="21"/>
  <c r="B262" i="21" s="1"/>
  <c r="P261" i="21"/>
  <c r="E261" i="21"/>
  <c r="B261" i="21" s="1"/>
  <c r="E260" i="21"/>
  <c r="B260" i="21" s="1"/>
  <c r="E259" i="21"/>
  <c r="B259" i="21" s="1"/>
  <c r="E258" i="21"/>
  <c r="B258" i="21" s="1"/>
  <c r="E257" i="21"/>
  <c r="B257" i="21" s="1"/>
  <c r="E256" i="21"/>
  <c r="B256" i="21" s="1"/>
  <c r="E255" i="21"/>
  <c r="B255" i="21" s="1"/>
  <c r="E254" i="21"/>
  <c r="B254" i="21" s="1"/>
  <c r="E253" i="21"/>
  <c r="B253" i="21" s="1"/>
  <c r="E252" i="21"/>
  <c r="B252" i="21" s="1"/>
  <c r="E251" i="21"/>
  <c r="B251" i="21" s="1"/>
  <c r="E250" i="21"/>
  <c r="B250" i="21" s="1"/>
  <c r="E249" i="21"/>
  <c r="B249" i="21" s="1"/>
  <c r="E248" i="21"/>
  <c r="B248" i="21" s="1"/>
  <c r="E247" i="21"/>
  <c r="B247" i="21" s="1"/>
  <c r="E246" i="21"/>
  <c r="B246" i="21" s="1"/>
  <c r="E245" i="21"/>
  <c r="B245" i="21" s="1"/>
  <c r="E244" i="21"/>
  <c r="B244" i="21" s="1"/>
  <c r="E243" i="21"/>
  <c r="B243" i="21" s="1"/>
  <c r="E242" i="21"/>
  <c r="B242" i="21" s="1"/>
  <c r="E241" i="21"/>
  <c r="B241" i="21" s="1"/>
  <c r="E240" i="21"/>
  <c r="B240" i="21" s="1"/>
  <c r="E239" i="21"/>
  <c r="B239" i="21" s="1"/>
  <c r="E238" i="21"/>
  <c r="B238" i="21" s="1"/>
  <c r="P237" i="21"/>
  <c r="E237" i="21"/>
  <c r="B237" i="21" s="1"/>
  <c r="E236" i="21"/>
  <c r="B236" i="21" s="1"/>
  <c r="E235" i="21"/>
  <c r="B235" i="21" s="1"/>
  <c r="E234" i="21"/>
  <c r="B234" i="21" s="1"/>
  <c r="E233" i="21"/>
  <c r="B233" i="21" s="1"/>
  <c r="E232" i="21"/>
  <c r="B232" i="21" s="1"/>
  <c r="E231" i="21"/>
  <c r="B231" i="21" s="1"/>
  <c r="E230" i="21"/>
  <c r="B230" i="21" s="1"/>
  <c r="E229" i="21"/>
  <c r="B229" i="21" s="1"/>
  <c r="E228" i="21"/>
  <c r="B228" i="21" s="1"/>
  <c r="E227" i="21"/>
  <c r="B227" i="21" s="1"/>
  <c r="E226" i="21"/>
  <c r="B226" i="21" s="1"/>
  <c r="E225" i="21"/>
  <c r="B225" i="21" s="1"/>
  <c r="E224" i="21"/>
  <c r="B224" i="21" s="1"/>
  <c r="E223" i="21"/>
  <c r="B223" i="21" s="1"/>
  <c r="E222" i="21"/>
  <c r="B222" i="21" s="1"/>
  <c r="P221" i="21"/>
  <c r="E221" i="21"/>
  <c r="B221" i="21" s="1"/>
  <c r="E220" i="21"/>
  <c r="B220" i="21" s="1"/>
  <c r="E219" i="21"/>
  <c r="B219" i="21" s="1"/>
  <c r="E218" i="21"/>
  <c r="B218" i="21" s="1"/>
  <c r="E217" i="21"/>
  <c r="B217" i="21" s="1"/>
  <c r="E216" i="21"/>
  <c r="B216" i="21" s="1"/>
  <c r="E215" i="21"/>
  <c r="B215" i="21" s="1"/>
  <c r="E214" i="21"/>
  <c r="B214" i="21" s="1"/>
  <c r="E213" i="21"/>
  <c r="B213" i="21" s="1"/>
  <c r="E212" i="21"/>
  <c r="B212" i="21" s="1"/>
  <c r="E211" i="21"/>
  <c r="B211" i="21" s="1"/>
  <c r="E210" i="21"/>
  <c r="B210" i="21" s="1"/>
  <c r="E209" i="21"/>
  <c r="B209" i="21" s="1"/>
  <c r="E208" i="21"/>
  <c r="B208" i="21" s="1"/>
  <c r="E207" i="21"/>
  <c r="B207" i="21" s="1"/>
  <c r="E206" i="21"/>
  <c r="B206" i="21" s="1"/>
  <c r="E205" i="21"/>
  <c r="B205" i="21" s="1"/>
  <c r="E204" i="21"/>
  <c r="B204" i="21" s="1"/>
  <c r="E203" i="21"/>
  <c r="B203" i="21" s="1"/>
  <c r="E202" i="21"/>
  <c r="B202" i="21" s="1"/>
  <c r="E201" i="21"/>
  <c r="B201" i="21" s="1"/>
  <c r="E200" i="21"/>
  <c r="B200" i="21" s="1"/>
  <c r="E199" i="21"/>
  <c r="B199" i="21" s="1"/>
  <c r="E198" i="21"/>
  <c r="B198" i="21" s="1"/>
  <c r="E197" i="21"/>
  <c r="B197" i="21" s="1"/>
  <c r="P196" i="21"/>
  <c r="E196" i="21"/>
  <c r="B196" i="21" s="1"/>
  <c r="E195" i="21"/>
  <c r="B195" i="21" s="1"/>
  <c r="E194" i="21"/>
  <c r="B194" i="21" s="1"/>
  <c r="E193" i="21"/>
  <c r="B193" i="21" s="1"/>
  <c r="E192" i="21"/>
  <c r="B192" i="21" s="1"/>
  <c r="E191" i="21"/>
  <c r="B191" i="21" s="1"/>
  <c r="E190" i="21"/>
  <c r="B190" i="21" s="1"/>
  <c r="E189" i="21"/>
  <c r="B189" i="21" s="1"/>
  <c r="E188" i="21"/>
  <c r="B188" i="21" s="1"/>
  <c r="E187" i="21"/>
  <c r="B187" i="21" s="1"/>
  <c r="E186" i="21"/>
  <c r="B186" i="21" s="1"/>
  <c r="E185" i="21"/>
  <c r="B185" i="21" s="1"/>
  <c r="E184" i="21"/>
  <c r="B184" i="21" s="1"/>
  <c r="E183" i="21"/>
  <c r="B183" i="21" s="1"/>
  <c r="E182" i="21"/>
  <c r="B182" i="21" s="1"/>
  <c r="E181" i="21"/>
  <c r="B181" i="21" s="1"/>
  <c r="E180" i="21"/>
  <c r="B180" i="21" s="1"/>
  <c r="E179" i="21"/>
  <c r="B179" i="21" s="1"/>
  <c r="E178" i="21"/>
  <c r="B178" i="21" s="1"/>
  <c r="E177" i="21"/>
  <c r="B177" i="21" s="1"/>
  <c r="E176" i="21"/>
  <c r="B176" i="21" s="1"/>
  <c r="E175" i="21"/>
  <c r="B175" i="21" s="1"/>
  <c r="E174" i="21"/>
  <c r="B174" i="21" s="1"/>
  <c r="E173" i="21"/>
  <c r="B173" i="21" s="1"/>
  <c r="E172" i="21"/>
  <c r="B172" i="21" s="1"/>
  <c r="E171" i="21"/>
  <c r="B171" i="21" s="1"/>
  <c r="E170" i="21"/>
  <c r="B170" i="21" s="1"/>
  <c r="E169" i="21"/>
  <c r="B169" i="21" s="1"/>
  <c r="E168" i="21"/>
  <c r="B168" i="21" s="1"/>
  <c r="E167" i="21"/>
  <c r="B167" i="21" s="1"/>
  <c r="E166" i="21"/>
  <c r="B166" i="21" s="1"/>
  <c r="E165" i="21"/>
  <c r="B165" i="21" s="1"/>
  <c r="E164" i="21"/>
  <c r="B164" i="21" s="1"/>
  <c r="E163" i="21"/>
  <c r="B163" i="21" s="1"/>
  <c r="E162" i="21"/>
  <c r="B162" i="21" s="1"/>
  <c r="E161" i="21"/>
  <c r="B161" i="21" s="1"/>
  <c r="E160" i="21"/>
  <c r="B160" i="21" s="1"/>
  <c r="E159" i="21"/>
  <c r="B159" i="21" s="1"/>
  <c r="E158" i="21"/>
  <c r="B158" i="21" s="1"/>
  <c r="E157" i="21"/>
  <c r="B157" i="21" s="1"/>
  <c r="E156" i="21"/>
  <c r="B156" i="21" s="1"/>
  <c r="E155" i="21"/>
  <c r="B155" i="21" s="1"/>
  <c r="E154" i="21"/>
  <c r="B154" i="21" s="1"/>
  <c r="E153" i="21"/>
  <c r="B153" i="21" s="1"/>
  <c r="E152" i="21"/>
  <c r="B152" i="21" s="1"/>
  <c r="E151" i="21"/>
  <c r="B151" i="21" s="1"/>
  <c r="E150" i="21"/>
  <c r="B150" i="21" s="1"/>
  <c r="E149" i="21"/>
  <c r="B149" i="21" s="1"/>
  <c r="E148" i="21"/>
  <c r="B148" i="21" s="1"/>
  <c r="E147" i="21"/>
  <c r="B147" i="21" s="1"/>
  <c r="E146" i="21"/>
  <c r="B146" i="21" s="1"/>
  <c r="E145" i="21"/>
  <c r="B145" i="21" s="1"/>
  <c r="E144" i="21"/>
  <c r="B144" i="21" s="1"/>
  <c r="E143" i="21"/>
  <c r="B143" i="21" s="1"/>
  <c r="E142" i="21"/>
  <c r="B142" i="21" s="1"/>
  <c r="E141" i="21"/>
  <c r="B141" i="21" s="1"/>
  <c r="E140" i="21"/>
  <c r="B140" i="21" s="1"/>
  <c r="E139" i="21"/>
  <c r="B139" i="21" s="1"/>
  <c r="E138" i="21"/>
  <c r="B138" i="21" s="1"/>
  <c r="E137" i="21"/>
  <c r="B137" i="21" s="1"/>
  <c r="E136" i="21"/>
  <c r="B136" i="21" s="1"/>
  <c r="E135" i="21"/>
  <c r="B135" i="21" s="1"/>
  <c r="E134" i="21"/>
  <c r="B134" i="21" s="1"/>
  <c r="E133" i="21"/>
  <c r="B133" i="21" s="1"/>
  <c r="E132" i="21"/>
  <c r="B132" i="21" s="1"/>
  <c r="E131" i="21"/>
  <c r="B131" i="21" s="1"/>
  <c r="E130" i="21"/>
  <c r="B130" i="21" s="1"/>
  <c r="E129" i="21"/>
  <c r="B129" i="21" s="1"/>
  <c r="E128" i="21"/>
  <c r="B128" i="21" s="1"/>
  <c r="E127" i="21"/>
  <c r="B127" i="21" s="1"/>
  <c r="E126" i="21"/>
  <c r="B126" i="21" s="1"/>
  <c r="E125" i="21"/>
  <c r="B125" i="21" s="1"/>
  <c r="E124" i="21"/>
  <c r="B124" i="21" s="1"/>
  <c r="E123" i="21"/>
  <c r="B123" i="21" s="1"/>
  <c r="E122" i="21"/>
  <c r="B122" i="21" s="1"/>
  <c r="E121" i="21"/>
  <c r="B121" i="21" s="1"/>
  <c r="E120" i="21"/>
  <c r="B120" i="21" s="1"/>
  <c r="E119" i="21"/>
  <c r="B119" i="21" s="1"/>
  <c r="E118" i="21"/>
  <c r="B118" i="21" s="1"/>
  <c r="E117" i="21"/>
  <c r="B117" i="21" s="1"/>
  <c r="E116" i="21"/>
  <c r="B116" i="21" s="1"/>
  <c r="E115" i="21"/>
  <c r="B115" i="21" s="1"/>
  <c r="E114" i="21"/>
  <c r="B114" i="21" s="1"/>
  <c r="E113" i="21"/>
  <c r="B113" i="21" s="1"/>
  <c r="E112" i="21"/>
  <c r="B112" i="21" s="1"/>
  <c r="E111" i="21"/>
  <c r="B111" i="21" s="1"/>
  <c r="E110" i="21"/>
  <c r="B110" i="21" s="1"/>
  <c r="E109" i="21"/>
  <c r="B109" i="21" s="1"/>
  <c r="E108" i="21"/>
  <c r="B108" i="21" s="1"/>
  <c r="E107" i="21"/>
  <c r="B107" i="21" s="1"/>
  <c r="E106" i="21"/>
  <c r="B106" i="21" s="1"/>
  <c r="E105" i="21"/>
  <c r="B105" i="21" s="1"/>
  <c r="E104" i="21"/>
  <c r="B104" i="21" s="1"/>
  <c r="P103" i="21"/>
  <c r="E103" i="21"/>
  <c r="B103" i="21" s="1"/>
  <c r="E102" i="21"/>
  <c r="B102" i="21" s="1"/>
  <c r="E101" i="21"/>
  <c r="B101" i="21" s="1"/>
  <c r="E100" i="21"/>
  <c r="B100" i="21" s="1"/>
  <c r="E99" i="21"/>
  <c r="B99" i="21" s="1"/>
  <c r="E98" i="21"/>
  <c r="B98" i="21" s="1"/>
  <c r="E97" i="21"/>
  <c r="B97" i="21" s="1"/>
  <c r="E96" i="21"/>
  <c r="B96" i="21" s="1"/>
  <c r="E95" i="21"/>
  <c r="B95" i="21" s="1"/>
  <c r="E94" i="21"/>
  <c r="B94" i="21" s="1"/>
  <c r="E93" i="21"/>
  <c r="B93" i="21" s="1"/>
  <c r="E92" i="21"/>
  <c r="B92" i="21" s="1"/>
  <c r="E91" i="21"/>
  <c r="B91" i="21" s="1"/>
  <c r="E90" i="21"/>
  <c r="B90" i="21" s="1"/>
  <c r="E89" i="21"/>
  <c r="B89" i="21" s="1"/>
  <c r="E88" i="21"/>
  <c r="B88" i="21" s="1"/>
  <c r="E87" i="21"/>
  <c r="B87" i="21" s="1"/>
  <c r="E86" i="21"/>
  <c r="B86" i="21" s="1"/>
  <c r="E85" i="21"/>
  <c r="B85" i="21" s="1"/>
  <c r="E84" i="21"/>
  <c r="B84" i="21" s="1"/>
  <c r="E83" i="21"/>
  <c r="B83" i="21" s="1"/>
  <c r="P82" i="21"/>
  <c r="E82" i="21"/>
  <c r="B82" i="21" s="1"/>
  <c r="E81" i="21"/>
  <c r="B81" i="21" s="1"/>
  <c r="E80" i="21"/>
  <c r="B80" i="21" s="1"/>
  <c r="P79" i="21"/>
  <c r="E79" i="21"/>
  <c r="B79" i="21" s="1"/>
  <c r="E78" i="21"/>
  <c r="B78" i="21" s="1"/>
  <c r="E77" i="21"/>
  <c r="B77" i="21" s="1"/>
  <c r="E76" i="21"/>
  <c r="B76" i="21" s="1"/>
  <c r="E75" i="21"/>
  <c r="B75" i="21" s="1"/>
  <c r="E74" i="21"/>
  <c r="B74" i="21" s="1"/>
  <c r="E73" i="21"/>
  <c r="B73" i="21" s="1"/>
  <c r="E72" i="21"/>
  <c r="B72" i="21" s="1"/>
  <c r="E71" i="21"/>
  <c r="B71" i="21" s="1"/>
  <c r="E70" i="21"/>
  <c r="B70" i="21" s="1"/>
  <c r="E69" i="21"/>
  <c r="B69" i="21" s="1"/>
  <c r="E68" i="21"/>
  <c r="B68" i="21" s="1"/>
  <c r="E67" i="21"/>
  <c r="B67" i="21" s="1"/>
  <c r="E66" i="21"/>
  <c r="B66" i="21" s="1"/>
  <c r="E65" i="21"/>
  <c r="B65" i="21" s="1"/>
  <c r="E64" i="21"/>
  <c r="B64" i="21" s="1"/>
  <c r="E63" i="21"/>
  <c r="B63" i="21" s="1"/>
  <c r="E62" i="21"/>
  <c r="B62" i="21" s="1"/>
  <c r="E61" i="21"/>
  <c r="B61" i="21" s="1"/>
  <c r="E60" i="21"/>
  <c r="B60" i="21" s="1"/>
  <c r="E59" i="21"/>
  <c r="B59" i="21" s="1"/>
  <c r="E58" i="21"/>
  <c r="B58" i="21" s="1"/>
  <c r="E57" i="21"/>
  <c r="B57" i="21" s="1"/>
  <c r="E56" i="21"/>
  <c r="B56" i="21" s="1"/>
  <c r="E55" i="21"/>
  <c r="B55" i="21" s="1"/>
  <c r="E54" i="21"/>
  <c r="B54" i="21" s="1"/>
  <c r="E53" i="21"/>
  <c r="B53" i="21" s="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P36" i="21"/>
  <c r="B36" i="21"/>
  <c r="B35" i="21"/>
  <c r="B34" i="21"/>
  <c r="B33" i="21"/>
  <c r="B32" i="21"/>
  <c r="P31" i="21"/>
  <c r="B31" i="21"/>
  <c r="B30" i="21"/>
  <c r="P29" i="21"/>
  <c r="B29" i="21"/>
  <c r="B28" i="21"/>
  <c r="P27" i="21"/>
  <c r="B27" i="21"/>
  <c r="B26" i="21"/>
  <c r="B25" i="21"/>
  <c r="B24" i="21"/>
  <c r="P23" i="21"/>
  <c r="B23" i="21"/>
  <c r="B22" i="21"/>
  <c r="B21" i="21"/>
  <c r="P20" i="21"/>
  <c r="B20" i="21"/>
  <c r="B19" i="21"/>
  <c r="B18" i="21"/>
  <c r="B17" i="21"/>
  <c r="P16" i="21"/>
  <c r="B16" i="21"/>
  <c r="P15" i="21"/>
  <c r="B15" i="21"/>
  <c r="B14" i="21"/>
  <c r="B13" i="21"/>
  <c r="B12" i="21"/>
  <c r="B11" i="21"/>
  <c r="B10" i="21"/>
  <c r="B9" i="21"/>
  <c r="B8" i="21"/>
  <c r="B7" i="21"/>
  <c r="A7" i="21"/>
  <c r="B6" i="21"/>
  <c r="AP1" i="21"/>
  <c r="U1" i="21"/>
  <c r="I5" i="21" l="1"/>
  <c r="J5" i="21" s="1"/>
  <c r="K5" i="21" s="1"/>
  <c r="L5" i="21" s="1"/>
  <c r="M5" i="21" s="1"/>
  <c r="N5" i="21" s="1"/>
  <c r="O5" i="21" s="1"/>
  <c r="P5" i="21" s="1"/>
  <c r="Q5" i="21" s="1"/>
  <c r="R5" i="21" s="1"/>
  <c r="S5" i="21" s="1"/>
  <c r="T5" i="21" s="1"/>
  <c r="U5" i="21" s="1"/>
  <c r="V5" i="21" s="1"/>
  <c r="W5" i="21" s="1"/>
  <c r="X5" i="21" s="1"/>
  <c r="Y5" i="21" s="1"/>
  <c r="Z5" i="21" s="1"/>
  <c r="AA5" i="21" s="1"/>
  <c r="AB5" i="21" s="1"/>
  <c r="AC5" i="21" s="1"/>
  <c r="AD5" i="21" s="1"/>
  <c r="AE5" i="21" s="1"/>
  <c r="AF5" i="21" s="1"/>
  <c r="AG5" i="21" s="1"/>
  <c r="AH5" i="21" s="1"/>
  <c r="AI5" i="21" s="1"/>
  <c r="AJ5" i="21" s="1"/>
  <c r="AK5" i="21" s="1"/>
  <c r="AL5" i="21" s="1"/>
  <c r="AM5" i="21" s="1"/>
  <c r="AN5" i="21" s="1"/>
  <c r="AO5" i="21" s="1"/>
  <c r="AP5" i="21" s="1"/>
  <c r="AQ5" i="21" s="1"/>
  <c r="AR5" i="21" s="1"/>
  <c r="AS5" i="21" s="1"/>
  <c r="AT5" i="21" s="1"/>
  <c r="AU5" i="21" s="1"/>
  <c r="AV5" i="21" s="1"/>
  <c r="AW5" i="21" s="1"/>
  <c r="AX5" i="21" s="1"/>
  <c r="AB6" i="20" l="1"/>
  <c r="AA6" i="20"/>
  <c r="Q6" i="20"/>
  <c r="P6" i="20"/>
  <c r="AD6" i="20"/>
  <c r="AC6" i="20"/>
  <c r="S6" i="20"/>
  <c r="R6" i="20"/>
  <c r="I6" i="20"/>
  <c r="AL6" i="20"/>
  <c r="AK6" i="20"/>
  <c r="AJ6" i="20"/>
  <c r="AI6" i="20"/>
  <c r="AH6" i="20"/>
  <c r="AG6" i="20"/>
  <c r="AF6" i="20"/>
  <c r="AE6" i="20"/>
  <c r="Z6" i="20"/>
  <c r="Y6" i="20"/>
  <c r="X6" i="20"/>
  <c r="W6" i="20"/>
  <c r="V6" i="20"/>
  <c r="U6" i="20"/>
  <c r="T6" i="20"/>
  <c r="O6" i="20"/>
  <c r="N6" i="20"/>
  <c r="M6" i="20"/>
  <c r="L6" i="20"/>
  <c r="K6" i="20"/>
  <c r="B8" i="20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J6" i="20" l="1"/>
  <c r="G6" i="20"/>
  <c r="H6" i="20"/>
  <c r="L6" i="19" l="1"/>
  <c r="J6" i="19"/>
  <c r="I6" i="19"/>
  <c r="K6" i="19" l="1"/>
  <c r="AC6" i="16"/>
  <c r="AB6" i="16"/>
  <c r="AD6" i="16" l="1"/>
  <c r="AE6" i="16"/>
  <c r="B8" i="19" l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H6" i="19"/>
  <c r="G6" i="19"/>
  <c r="U6" i="16"/>
  <c r="T6" i="16"/>
  <c r="W6" i="16"/>
  <c r="V6" i="16"/>
  <c r="AL102" i="18"/>
  <c r="AK102" i="18"/>
  <c r="AJ102" i="18"/>
  <c r="AI102" i="18"/>
  <c r="AL101" i="18"/>
  <c r="AK101" i="18"/>
  <c r="AJ101" i="18"/>
  <c r="AI101" i="18"/>
  <c r="AL100" i="18"/>
  <c r="AK100" i="18"/>
  <c r="AJ100" i="18"/>
  <c r="AI100" i="18"/>
  <c r="AL99" i="18"/>
  <c r="AK99" i="18"/>
  <c r="AJ99" i="18"/>
  <c r="AI99" i="18"/>
  <c r="AL98" i="18"/>
  <c r="AK98" i="18"/>
  <c r="AJ98" i="18"/>
  <c r="AI98" i="18"/>
  <c r="AL97" i="18"/>
  <c r="AK97" i="18"/>
  <c r="AJ97" i="18"/>
  <c r="AI97" i="18"/>
  <c r="AL96" i="18"/>
  <c r="AK96" i="18"/>
  <c r="AJ96" i="18"/>
  <c r="AI96" i="18"/>
  <c r="AL95" i="18"/>
  <c r="AK95" i="18"/>
  <c r="AJ95" i="18"/>
  <c r="AI95" i="18"/>
  <c r="AL94" i="18"/>
  <c r="AK94" i="18"/>
  <c r="AJ94" i="18"/>
  <c r="AI94" i="18"/>
  <c r="AL93" i="18"/>
  <c r="AK93" i="18"/>
  <c r="AJ93" i="18"/>
  <c r="AI93" i="18"/>
  <c r="AL92" i="18"/>
  <c r="AK92" i="18"/>
  <c r="AJ92" i="18"/>
  <c r="AI92" i="18"/>
  <c r="AL91" i="18"/>
  <c r="AK91" i="18"/>
  <c r="AJ91" i="18"/>
  <c r="AI91" i="18"/>
  <c r="AL90" i="18"/>
  <c r="AK90" i="18"/>
  <c r="AJ90" i="18"/>
  <c r="AI90" i="18"/>
  <c r="AL89" i="18"/>
  <c r="AK89" i="18"/>
  <c r="AJ89" i="18"/>
  <c r="AI89" i="18"/>
  <c r="AL88" i="18"/>
  <c r="AK88" i="18"/>
  <c r="AJ88" i="18"/>
  <c r="AI88" i="18"/>
  <c r="AL87" i="18"/>
  <c r="AK87" i="18"/>
  <c r="AJ87" i="18"/>
  <c r="AI87" i="18"/>
  <c r="AL86" i="18"/>
  <c r="AK86" i="18"/>
  <c r="AJ86" i="18"/>
  <c r="AI86" i="18"/>
  <c r="AL85" i="18"/>
  <c r="AK85" i="18"/>
  <c r="AJ85" i="18"/>
  <c r="AI85" i="18"/>
  <c r="AL84" i="18"/>
  <c r="AK84" i="18"/>
  <c r="AJ84" i="18"/>
  <c r="AI84" i="18"/>
  <c r="AL83" i="18"/>
  <c r="AK83" i="18"/>
  <c r="AJ83" i="18"/>
  <c r="AI83" i="18"/>
  <c r="AL82" i="18"/>
  <c r="AK82" i="18"/>
  <c r="AJ82" i="18"/>
  <c r="AI82" i="18"/>
  <c r="AL81" i="18"/>
  <c r="AK81" i="18"/>
  <c r="AJ81" i="18"/>
  <c r="AI81" i="18"/>
  <c r="AL80" i="18"/>
  <c r="AK80" i="18"/>
  <c r="AJ80" i="18"/>
  <c r="AI80" i="18"/>
  <c r="AL79" i="18"/>
  <c r="AK79" i="18"/>
  <c r="AJ79" i="18"/>
  <c r="AI79" i="18"/>
  <c r="AL78" i="18"/>
  <c r="AK78" i="18"/>
  <c r="AJ78" i="18"/>
  <c r="AI78" i="18"/>
  <c r="AL77" i="18"/>
  <c r="AK77" i="18"/>
  <c r="AJ77" i="18"/>
  <c r="AI77" i="18"/>
  <c r="AL76" i="18"/>
  <c r="AK76" i="18"/>
  <c r="AJ76" i="18"/>
  <c r="AI76" i="18"/>
  <c r="AL75" i="18"/>
  <c r="AK75" i="18"/>
  <c r="AJ75" i="18"/>
  <c r="AI75" i="18"/>
  <c r="AL74" i="18"/>
  <c r="AK74" i="18"/>
  <c r="AJ74" i="18"/>
  <c r="AI74" i="18"/>
  <c r="AL73" i="18"/>
  <c r="AK73" i="18"/>
  <c r="AJ73" i="18"/>
  <c r="AI73" i="18"/>
  <c r="AL72" i="18"/>
  <c r="AK72" i="18"/>
  <c r="AJ72" i="18"/>
  <c r="AI72" i="18"/>
  <c r="AL71" i="18"/>
  <c r="AK71" i="18"/>
  <c r="AJ71" i="18"/>
  <c r="AI71" i="18"/>
  <c r="AL70" i="18"/>
  <c r="AK70" i="18"/>
  <c r="AJ70" i="18"/>
  <c r="AI70" i="18"/>
  <c r="AL69" i="18"/>
  <c r="AK69" i="18"/>
  <c r="AJ69" i="18"/>
  <c r="AI69" i="18"/>
  <c r="AL68" i="18"/>
  <c r="AK68" i="18"/>
  <c r="AJ68" i="18"/>
  <c r="AI68" i="18"/>
  <c r="AL67" i="18"/>
  <c r="AK67" i="18"/>
  <c r="AJ67" i="18"/>
  <c r="AI67" i="18"/>
  <c r="AL66" i="18"/>
  <c r="AK66" i="18"/>
  <c r="AJ66" i="18"/>
  <c r="AI66" i="18"/>
  <c r="AL65" i="18"/>
  <c r="AK65" i="18"/>
  <c r="AJ65" i="18"/>
  <c r="AI65" i="18"/>
  <c r="AL64" i="18"/>
  <c r="AK64" i="18"/>
  <c r="AJ64" i="18"/>
  <c r="AI64" i="18"/>
  <c r="AL63" i="18"/>
  <c r="AK63" i="18"/>
  <c r="AJ63" i="18"/>
  <c r="AI63" i="18"/>
  <c r="AL62" i="18"/>
  <c r="AK62" i="18"/>
  <c r="AJ62" i="18"/>
  <c r="AI62" i="18"/>
  <c r="AL61" i="18"/>
  <c r="AK61" i="18"/>
  <c r="AJ61" i="18"/>
  <c r="AI61" i="18"/>
  <c r="AL60" i="18"/>
  <c r="AK60" i="18"/>
  <c r="AJ60" i="18"/>
  <c r="AI60" i="18"/>
  <c r="AL59" i="18"/>
  <c r="AK59" i="18"/>
  <c r="AJ59" i="18"/>
  <c r="AI59" i="18"/>
  <c r="AL58" i="18"/>
  <c r="AK58" i="18"/>
  <c r="AJ58" i="18"/>
  <c r="AI58" i="18"/>
  <c r="AL57" i="18"/>
  <c r="AK57" i="18"/>
  <c r="AJ57" i="18"/>
  <c r="AI57" i="18"/>
  <c r="AL56" i="18"/>
  <c r="AK56" i="18"/>
  <c r="AJ56" i="18"/>
  <c r="AI56" i="18"/>
  <c r="AL55" i="18"/>
  <c r="AK55" i="18"/>
  <c r="AJ55" i="18"/>
  <c r="AI55" i="18"/>
  <c r="AL54" i="18"/>
  <c r="AK54" i="18"/>
  <c r="AJ54" i="18"/>
  <c r="AI54" i="18"/>
  <c r="AL53" i="18"/>
  <c r="AK53" i="18"/>
  <c r="AJ53" i="18"/>
  <c r="AI53" i="18"/>
  <c r="AL52" i="18"/>
  <c r="AK52" i="18"/>
  <c r="AJ52" i="18"/>
  <c r="AI52" i="18"/>
  <c r="AL51" i="18"/>
  <c r="AK51" i="18"/>
  <c r="AJ51" i="18"/>
  <c r="AI51" i="18"/>
  <c r="AL50" i="18"/>
  <c r="AK50" i="18"/>
  <c r="AJ50" i="18"/>
  <c r="AI50" i="18"/>
  <c r="AL49" i="18"/>
  <c r="AK49" i="18"/>
  <c r="AJ49" i="18"/>
  <c r="AI49" i="18"/>
  <c r="AL48" i="18"/>
  <c r="AK48" i="18"/>
  <c r="AJ48" i="18"/>
  <c r="AI48" i="18"/>
  <c r="AL47" i="18"/>
  <c r="AK47" i="18"/>
  <c r="AJ47" i="18"/>
  <c r="AI47" i="18"/>
  <c r="AL46" i="18"/>
  <c r="AK46" i="18"/>
  <c r="AJ46" i="18"/>
  <c r="AI46" i="18"/>
  <c r="AL45" i="18"/>
  <c r="AK45" i="18"/>
  <c r="AJ45" i="18"/>
  <c r="AI45" i="18"/>
  <c r="AL44" i="18"/>
  <c r="AK44" i="18"/>
  <c r="AJ44" i="18"/>
  <c r="AI44" i="18"/>
  <c r="AL43" i="18"/>
  <c r="AK43" i="18"/>
  <c r="AJ43" i="18"/>
  <c r="AI43" i="18"/>
  <c r="AL42" i="18"/>
  <c r="AK42" i="18"/>
  <c r="AJ42" i="18"/>
  <c r="AI42" i="18"/>
  <c r="AL41" i="18"/>
  <c r="AK41" i="18"/>
  <c r="AJ41" i="18"/>
  <c r="AI41" i="18"/>
  <c r="AL40" i="18"/>
  <c r="AK40" i="18"/>
  <c r="AJ40" i="18"/>
  <c r="AI40" i="18"/>
  <c r="AL39" i="18"/>
  <c r="AK39" i="18"/>
  <c r="AJ39" i="18"/>
  <c r="AI39" i="18"/>
  <c r="AL38" i="18"/>
  <c r="AK38" i="18"/>
  <c r="AJ38" i="18"/>
  <c r="AI38" i="18"/>
  <c r="AL37" i="18"/>
  <c r="AK37" i="18"/>
  <c r="AJ37" i="18"/>
  <c r="AI37" i="18"/>
  <c r="AL36" i="18"/>
  <c r="AK36" i="18"/>
  <c r="AJ36" i="18"/>
  <c r="AI36" i="18"/>
  <c r="AL35" i="18"/>
  <c r="AK35" i="18"/>
  <c r="AJ35" i="18"/>
  <c r="AI35" i="18"/>
  <c r="AL34" i="18"/>
  <c r="AK34" i="18"/>
  <c r="AJ34" i="18"/>
  <c r="AI34" i="18"/>
  <c r="AL33" i="18"/>
  <c r="AK33" i="18"/>
  <c r="AJ33" i="18"/>
  <c r="AI33" i="18"/>
  <c r="AL32" i="18"/>
  <c r="AK32" i="18"/>
  <c r="AJ32" i="18"/>
  <c r="AI32" i="18"/>
  <c r="AL31" i="18"/>
  <c r="AK31" i="18"/>
  <c r="AJ31" i="18"/>
  <c r="AI31" i="18"/>
  <c r="AL30" i="18"/>
  <c r="AK30" i="18"/>
  <c r="AJ30" i="18"/>
  <c r="AI30" i="18"/>
  <c r="AL29" i="18"/>
  <c r="AK29" i="18"/>
  <c r="AJ29" i="18"/>
  <c r="AI29" i="18"/>
  <c r="AL28" i="18"/>
  <c r="AK28" i="18"/>
  <c r="AJ28" i="18"/>
  <c r="AI28" i="18"/>
  <c r="AL27" i="18"/>
  <c r="AK27" i="18"/>
  <c r="AJ27" i="18"/>
  <c r="AI27" i="18"/>
  <c r="AL26" i="18"/>
  <c r="AK26" i="18"/>
  <c r="AJ26" i="18"/>
  <c r="AI26" i="18"/>
  <c r="AL25" i="18"/>
  <c r="AK25" i="18"/>
  <c r="AJ25" i="18"/>
  <c r="AI25" i="18"/>
  <c r="AL24" i="18"/>
  <c r="AK24" i="18"/>
  <c r="AJ24" i="18"/>
  <c r="AI24" i="18"/>
  <c r="AL23" i="18"/>
  <c r="AK23" i="18"/>
  <c r="AJ23" i="18"/>
  <c r="AI23" i="18"/>
  <c r="AL22" i="18"/>
  <c r="AK22" i="18"/>
  <c r="AJ22" i="18"/>
  <c r="AI22" i="18"/>
  <c r="AL21" i="18"/>
  <c r="AK21" i="18"/>
  <c r="AJ21" i="18"/>
  <c r="AI21" i="18"/>
  <c r="AL20" i="18"/>
  <c r="AK20" i="18"/>
  <c r="AJ20" i="18"/>
  <c r="AI20" i="18"/>
  <c r="AL19" i="18"/>
  <c r="AK19" i="18"/>
  <c r="AJ19" i="18"/>
  <c r="AI19" i="18"/>
  <c r="AL18" i="18"/>
  <c r="AK18" i="18"/>
  <c r="AJ18" i="18"/>
  <c r="AI18" i="18"/>
  <c r="AL17" i="18"/>
  <c r="AK17" i="18"/>
  <c r="AJ17" i="18"/>
  <c r="AI17" i="18"/>
  <c r="AL16" i="18"/>
  <c r="AK16" i="18"/>
  <c r="AJ16" i="18"/>
  <c r="AI16" i="18"/>
  <c r="AL15" i="18"/>
  <c r="AK15" i="18"/>
  <c r="AJ15" i="18"/>
  <c r="AI15" i="18"/>
  <c r="AL14" i="18"/>
  <c r="AK14" i="18"/>
  <c r="AJ14" i="18"/>
  <c r="AI14" i="18"/>
  <c r="AL13" i="18"/>
  <c r="AK13" i="18"/>
  <c r="AJ13" i="18"/>
  <c r="AI13" i="18"/>
  <c r="AL12" i="18"/>
  <c r="AK12" i="18"/>
  <c r="AJ12" i="18"/>
  <c r="AI12" i="18"/>
  <c r="AL11" i="18"/>
  <c r="AK11" i="18"/>
  <c r="AJ11" i="18"/>
  <c r="AI11" i="18"/>
  <c r="AL10" i="18"/>
  <c r="AK10" i="18"/>
  <c r="AJ10" i="18"/>
  <c r="AI10" i="18"/>
  <c r="AL9" i="18"/>
  <c r="AK9" i="18"/>
  <c r="AJ9" i="18"/>
  <c r="AI9" i="18"/>
  <c r="AL8" i="18"/>
  <c r="AK8" i="18"/>
  <c r="AJ8" i="18"/>
  <c r="AI8" i="18"/>
  <c r="O7" i="18" l="1"/>
  <c r="Q7" i="18"/>
  <c r="P7" i="18"/>
  <c r="R7" i="18"/>
  <c r="B9" i="18" l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101" i="18" s="1"/>
  <c r="B102" i="18" s="1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N7" i="18"/>
  <c r="M7" i="18"/>
  <c r="L7" i="18"/>
  <c r="K7" i="18"/>
  <c r="AI7" i="18" s="1"/>
  <c r="J7" i="18"/>
  <c r="I7" i="18"/>
  <c r="H7" i="18"/>
  <c r="G7" i="18"/>
  <c r="BD7" i="17"/>
  <c r="BC7" i="17"/>
  <c r="AV7" i="17"/>
  <c r="AU7" i="17"/>
  <c r="AR7" i="17"/>
  <c r="AQ7" i="17"/>
  <c r="BR102" i="17"/>
  <c r="BQ102" i="17"/>
  <c r="BP102" i="17"/>
  <c r="BO102" i="17"/>
  <c r="BR101" i="17"/>
  <c r="BQ101" i="17"/>
  <c r="BP101" i="17"/>
  <c r="BO101" i="17"/>
  <c r="BR100" i="17"/>
  <c r="BQ100" i="17"/>
  <c r="BP100" i="17"/>
  <c r="BO100" i="17"/>
  <c r="BR99" i="17"/>
  <c r="BQ99" i="17"/>
  <c r="BP99" i="17"/>
  <c r="BO99" i="17"/>
  <c r="BR98" i="17"/>
  <c r="BQ98" i="17"/>
  <c r="BP98" i="17"/>
  <c r="BO98" i="17"/>
  <c r="BR97" i="17"/>
  <c r="BQ97" i="17"/>
  <c r="BP97" i="17"/>
  <c r="BO97" i="17"/>
  <c r="BR96" i="17"/>
  <c r="BQ96" i="17"/>
  <c r="BP96" i="17"/>
  <c r="BO96" i="17"/>
  <c r="BR95" i="17"/>
  <c r="BQ95" i="17"/>
  <c r="BP95" i="17"/>
  <c r="BO95" i="17"/>
  <c r="BR94" i="17"/>
  <c r="BQ94" i="17"/>
  <c r="BP94" i="17"/>
  <c r="BO94" i="17"/>
  <c r="BR93" i="17"/>
  <c r="BQ93" i="17"/>
  <c r="BP93" i="17"/>
  <c r="BO93" i="17"/>
  <c r="BR92" i="17"/>
  <c r="BQ92" i="17"/>
  <c r="BP92" i="17"/>
  <c r="BO92" i="17"/>
  <c r="BR91" i="17"/>
  <c r="BQ91" i="17"/>
  <c r="BP91" i="17"/>
  <c r="BO91" i="17"/>
  <c r="BR90" i="17"/>
  <c r="BQ90" i="17"/>
  <c r="BP90" i="17"/>
  <c r="BO90" i="17"/>
  <c r="BR89" i="17"/>
  <c r="BQ89" i="17"/>
  <c r="BP89" i="17"/>
  <c r="BO89" i="17"/>
  <c r="BR88" i="17"/>
  <c r="BQ88" i="17"/>
  <c r="BP88" i="17"/>
  <c r="BO88" i="17"/>
  <c r="BR87" i="17"/>
  <c r="BQ87" i="17"/>
  <c r="BP87" i="17"/>
  <c r="BO87" i="17"/>
  <c r="BR86" i="17"/>
  <c r="BQ86" i="17"/>
  <c r="BP86" i="17"/>
  <c r="BO86" i="17"/>
  <c r="BR85" i="17"/>
  <c r="BQ85" i="17"/>
  <c r="BP85" i="17"/>
  <c r="BO85" i="17"/>
  <c r="BR84" i="17"/>
  <c r="BQ84" i="17"/>
  <c r="BP84" i="17"/>
  <c r="BO84" i="17"/>
  <c r="BR83" i="17"/>
  <c r="BQ83" i="17"/>
  <c r="BP83" i="17"/>
  <c r="BO83" i="17"/>
  <c r="BR82" i="17"/>
  <c r="BQ82" i="17"/>
  <c r="BP82" i="17"/>
  <c r="BO82" i="17"/>
  <c r="BR81" i="17"/>
  <c r="BQ81" i="17"/>
  <c r="BP81" i="17"/>
  <c r="BO81" i="17"/>
  <c r="BR80" i="17"/>
  <c r="BQ80" i="17"/>
  <c r="BP80" i="17"/>
  <c r="BO80" i="17"/>
  <c r="BR79" i="17"/>
  <c r="BQ79" i="17"/>
  <c r="BP79" i="17"/>
  <c r="BO79" i="17"/>
  <c r="BR78" i="17"/>
  <c r="BQ78" i="17"/>
  <c r="BP78" i="17"/>
  <c r="BO78" i="17"/>
  <c r="BR77" i="17"/>
  <c r="BQ77" i="17"/>
  <c r="BP77" i="17"/>
  <c r="BO77" i="17"/>
  <c r="BR76" i="17"/>
  <c r="BQ76" i="17"/>
  <c r="BP76" i="17"/>
  <c r="BO76" i="17"/>
  <c r="BR75" i="17"/>
  <c r="BQ75" i="17"/>
  <c r="BP75" i="17"/>
  <c r="BO75" i="17"/>
  <c r="BR74" i="17"/>
  <c r="BQ74" i="17"/>
  <c r="BP74" i="17"/>
  <c r="BO74" i="17"/>
  <c r="BR73" i="17"/>
  <c r="BQ73" i="17"/>
  <c r="BP73" i="17"/>
  <c r="BO73" i="17"/>
  <c r="BR72" i="17"/>
  <c r="BQ72" i="17"/>
  <c r="BP72" i="17"/>
  <c r="BO72" i="17"/>
  <c r="BR71" i="17"/>
  <c r="BQ71" i="17"/>
  <c r="BP71" i="17"/>
  <c r="BO71" i="17"/>
  <c r="BR70" i="17"/>
  <c r="BQ70" i="17"/>
  <c r="BP70" i="17"/>
  <c r="BO70" i="17"/>
  <c r="BR69" i="17"/>
  <c r="BQ69" i="17"/>
  <c r="BP69" i="17"/>
  <c r="BO69" i="17"/>
  <c r="BR68" i="17"/>
  <c r="BQ68" i="17"/>
  <c r="BP68" i="17"/>
  <c r="BO68" i="17"/>
  <c r="BR67" i="17"/>
  <c r="BQ67" i="17"/>
  <c r="BP67" i="17"/>
  <c r="BO67" i="17"/>
  <c r="BR66" i="17"/>
  <c r="BQ66" i="17"/>
  <c r="BP66" i="17"/>
  <c r="BO66" i="17"/>
  <c r="BR65" i="17"/>
  <c r="BQ65" i="17"/>
  <c r="BP65" i="17"/>
  <c r="BO65" i="17"/>
  <c r="BR64" i="17"/>
  <c r="BQ64" i="17"/>
  <c r="BP64" i="17"/>
  <c r="BO64" i="17"/>
  <c r="BR63" i="17"/>
  <c r="BQ63" i="17"/>
  <c r="BP63" i="17"/>
  <c r="BO63" i="17"/>
  <c r="BR62" i="17"/>
  <c r="BQ62" i="17"/>
  <c r="BP62" i="17"/>
  <c r="BO62" i="17"/>
  <c r="BR61" i="17"/>
  <c r="BQ61" i="17"/>
  <c r="BP61" i="17"/>
  <c r="BO61" i="17"/>
  <c r="BR60" i="17"/>
  <c r="BQ60" i="17"/>
  <c r="BP60" i="17"/>
  <c r="BO60" i="17"/>
  <c r="BR59" i="17"/>
  <c r="BQ59" i="17"/>
  <c r="BP59" i="17"/>
  <c r="BO59" i="17"/>
  <c r="BR58" i="17"/>
  <c r="BQ58" i="17"/>
  <c r="BP58" i="17"/>
  <c r="BO58" i="17"/>
  <c r="BR57" i="17"/>
  <c r="BQ57" i="17"/>
  <c r="BP57" i="17"/>
  <c r="BO57" i="17"/>
  <c r="BR56" i="17"/>
  <c r="BQ56" i="17"/>
  <c r="BP56" i="17"/>
  <c r="BO56" i="17"/>
  <c r="BR55" i="17"/>
  <c r="BQ55" i="17"/>
  <c r="BP55" i="17"/>
  <c r="BO55" i="17"/>
  <c r="BR54" i="17"/>
  <c r="BQ54" i="17"/>
  <c r="BP54" i="17"/>
  <c r="BO54" i="17"/>
  <c r="BR53" i="17"/>
  <c r="BQ53" i="17"/>
  <c r="BP53" i="17"/>
  <c r="BO53" i="17"/>
  <c r="BR52" i="17"/>
  <c r="BQ52" i="17"/>
  <c r="BP52" i="17"/>
  <c r="BO52" i="17"/>
  <c r="BR51" i="17"/>
  <c r="BQ51" i="17"/>
  <c r="BP51" i="17"/>
  <c r="BO51" i="17"/>
  <c r="BR50" i="17"/>
  <c r="BQ50" i="17"/>
  <c r="BP50" i="17"/>
  <c r="BO50" i="17"/>
  <c r="BR49" i="17"/>
  <c r="BQ49" i="17"/>
  <c r="BP49" i="17"/>
  <c r="BO49" i="17"/>
  <c r="BR48" i="17"/>
  <c r="BQ48" i="17"/>
  <c r="BP48" i="17"/>
  <c r="BO48" i="17"/>
  <c r="BR47" i="17"/>
  <c r="BQ47" i="17"/>
  <c r="BP47" i="17"/>
  <c r="BO47" i="17"/>
  <c r="BR46" i="17"/>
  <c r="BQ46" i="17"/>
  <c r="BP46" i="17"/>
  <c r="BO46" i="17"/>
  <c r="BR45" i="17"/>
  <c r="BQ45" i="17"/>
  <c r="BP45" i="17"/>
  <c r="BO45" i="17"/>
  <c r="BR44" i="17"/>
  <c r="BQ44" i="17"/>
  <c r="BP44" i="17"/>
  <c r="BO44" i="17"/>
  <c r="BR43" i="17"/>
  <c r="BQ43" i="17"/>
  <c r="BP43" i="17"/>
  <c r="BO43" i="17"/>
  <c r="BR42" i="17"/>
  <c r="BQ42" i="17"/>
  <c r="BP42" i="17"/>
  <c r="BO42" i="17"/>
  <c r="BR41" i="17"/>
  <c r="BQ41" i="17"/>
  <c r="BP41" i="17"/>
  <c r="BO41" i="17"/>
  <c r="BR40" i="17"/>
  <c r="BQ40" i="17"/>
  <c r="BP40" i="17"/>
  <c r="BO40" i="17"/>
  <c r="BR39" i="17"/>
  <c r="BQ39" i="17"/>
  <c r="BP39" i="17"/>
  <c r="BO39" i="17"/>
  <c r="BR38" i="17"/>
  <c r="BQ38" i="17"/>
  <c r="BP38" i="17"/>
  <c r="BO38" i="17"/>
  <c r="BR37" i="17"/>
  <c r="BQ37" i="17"/>
  <c r="BP37" i="17"/>
  <c r="BO37" i="17"/>
  <c r="BR36" i="17"/>
  <c r="BQ36" i="17"/>
  <c r="BP36" i="17"/>
  <c r="BO36" i="17"/>
  <c r="BR35" i="17"/>
  <c r="BQ35" i="17"/>
  <c r="BP35" i="17"/>
  <c r="BO35" i="17"/>
  <c r="BR34" i="17"/>
  <c r="BQ34" i="17"/>
  <c r="BP34" i="17"/>
  <c r="BO34" i="17"/>
  <c r="BR33" i="17"/>
  <c r="BQ33" i="17"/>
  <c r="BP33" i="17"/>
  <c r="BO33" i="17"/>
  <c r="BR32" i="17"/>
  <c r="BQ32" i="17"/>
  <c r="BP32" i="17"/>
  <c r="BO32" i="17"/>
  <c r="BR31" i="17"/>
  <c r="BQ31" i="17"/>
  <c r="BP31" i="17"/>
  <c r="BO31" i="17"/>
  <c r="BR30" i="17"/>
  <c r="BQ30" i="17"/>
  <c r="BP30" i="17"/>
  <c r="BO30" i="17"/>
  <c r="BR29" i="17"/>
  <c r="BQ29" i="17"/>
  <c r="BP29" i="17"/>
  <c r="BO29" i="17"/>
  <c r="BR28" i="17"/>
  <c r="BQ28" i="17"/>
  <c r="BP28" i="17"/>
  <c r="BO28" i="17"/>
  <c r="BR27" i="17"/>
  <c r="BQ27" i="17"/>
  <c r="BP27" i="17"/>
  <c r="BO27" i="17"/>
  <c r="BR26" i="17"/>
  <c r="BQ26" i="17"/>
  <c r="BP26" i="17"/>
  <c r="BO26" i="17"/>
  <c r="BR25" i="17"/>
  <c r="BQ25" i="17"/>
  <c r="BP25" i="17"/>
  <c r="BO25" i="17"/>
  <c r="BR24" i="17"/>
  <c r="BQ24" i="17"/>
  <c r="BP24" i="17"/>
  <c r="BO24" i="17"/>
  <c r="BR23" i="17"/>
  <c r="BQ23" i="17"/>
  <c r="BP23" i="17"/>
  <c r="BO23" i="17"/>
  <c r="BR22" i="17"/>
  <c r="BQ22" i="17"/>
  <c r="BP22" i="17"/>
  <c r="BO22" i="17"/>
  <c r="BR21" i="17"/>
  <c r="BQ21" i="17"/>
  <c r="BP21" i="17"/>
  <c r="BO21" i="17"/>
  <c r="BR20" i="17"/>
  <c r="BQ20" i="17"/>
  <c r="BP20" i="17"/>
  <c r="BO20" i="17"/>
  <c r="BR19" i="17"/>
  <c r="BQ19" i="17"/>
  <c r="BP19" i="17"/>
  <c r="BO19" i="17"/>
  <c r="BR18" i="17"/>
  <c r="BQ18" i="17"/>
  <c r="BP18" i="17"/>
  <c r="BO18" i="17"/>
  <c r="BR17" i="17"/>
  <c r="BQ17" i="17"/>
  <c r="BP17" i="17"/>
  <c r="BO17" i="17"/>
  <c r="BR16" i="17"/>
  <c r="BQ16" i="17"/>
  <c r="BP16" i="17"/>
  <c r="BO16" i="17"/>
  <c r="BR15" i="17"/>
  <c r="BQ15" i="17"/>
  <c r="BP15" i="17"/>
  <c r="BO15" i="17"/>
  <c r="BR14" i="17"/>
  <c r="BQ14" i="17"/>
  <c r="BP14" i="17"/>
  <c r="BO14" i="17"/>
  <c r="BR13" i="17"/>
  <c r="BQ13" i="17"/>
  <c r="BP13" i="17"/>
  <c r="BO13" i="17"/>
  <c r="BR12" i="17"/>
  <c r="BQ12" i="17"/>
  <c r="BP12" i="17"/>
  <c r="BO12" i="17"/>
  <c r="BR11" i="17"/>
  <c r="BQ11" i="17"/>
  <c r="BP11" i="17"/>
  <c r="BO11" i="17"/>
  <c r="BR10" i="17"/>
  <c r="BQ10" i="17"/>
  <c r="BP10" i="17"/>
  <c r="BO10" i="17"/>
  <c r="BR9" i="17"/>
  <c r="BQ9" i="17"/>
  <c r="BP9" i="17"/>
  <c r="BO9" i="17"/>
  <c r="AJ7" i="17"/>
  <c r="AI7" i="17"/>
  <c r="AG7" i="17"/>
  <c r="AE7" i="17"/>
  <c r="AD7" i="17"/>
  <c r="Y7" i="17"/>
  <c r="X7" i="17"/>
  <c r="O7" i="17"/>
  <c r="BR8" i="17"/>
  <c r="BQ8" i="17"/>
  <c r="BP8" i="17"/>
  <c r="BO8" i="17"/>
  <c r="BN7" i="17"/>
  <c r="BB7" i="17"/>
  <c r="BA7" i="17"/>
  <c r="AZ7" i="17"/>
  <c r="AY7" i="17"/>
  <c r="AX7" i="17"/>
  <c r="AW7" i="17"/>
  <c r="AT7" i="17"/>
  <c r="AS7" i="17"/>
  <c r="AB7" i="17"/>
  <c r="AF7" i="17"/>
  <c r="AC7" i="17"/>
  <c r="AA7" i="17"/>
  <c r="V7" i="17"/>
  <c r="S7" i="17"/>
  <c r="P7" i="17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M7" i="17"/>
  <c r="BL7" i="17"/>
  <c r="BK7" i="17"/>
  <c r="BJ7" i="17"/>
  <c r="BI7" i="17"/>
  <c r="BH7" i="17"/>
  <c r="BG7" i="17"/>
  <c r="BF7" i="17"/>
  <c r="BE7" i="17"/>
  <c r="W7" i="17"/>
  <c r="J7" i="17"/>
  <c r="I7" i="17"/>
  <c r="H7" i="17"/>
  <c r="G7" i="17"/>
  <c r="EE7" i="8"/>
  <c r="GD102" i="8"/>
  <c r="GC102" i="8"/>
  <c r="GB102" i="8"/>
  <c r="GA102" i="8"/>
  <c r="GD101" i="8"/>
  <c r="GC101" i="8"/>
  <c r="GB101" i="8"/>
  <c r="GA101" i="8"/>
  <c r="GD100" i="8"/>
  <c r="GC100" i="8"/>
  <c r="GB100" i="8"/>
  <c r="GA100" i="8"/>
  <c r="GD99" i="8"/>
  <c r="GC99" i="8"/>
  <c r="GB99" i="8"/>
  <c r="GA99" i="8"/>
  <c r="GD98" i="8"/>
  <c r="GC98" i="8"/>
  <c r="GB98" i="8"/>
  <c r="GA98" i="8"/>
  <c r="GD97" i="8"/>
  <c r="GC97" i="8"/>
  <c r="GB97" i="8"/>
  <c r="GA97" i="8"/>
  <c r="GD96" i="8"/>
  <c r="GC96" i="8"/>
  <c r="GB96" i="8"/>
  <c r="GA96" i="8"/>
  <c r="GD95" i="8"/>
  <c r="GC95" i="8"/>
  <c r="GB95" i="8"/>
  <c r="GA95" i="8"/>
  <c r="GD94" i="8"/>
  <c r="GC94" i="8"/>
  <c r="GB94" i="8"/>
  <c r="GA94" i="8"/>
  <c r="GD93" i="8"/>
  <c r="GC93" i="8"/>
  <c r="GB93" i="8"/>
  <c r="GA93" i="8"/>
  <c r="GD92" i="8"/>
  <c r="GC92" i="8"/>
  <c r="GB92" i="8"/>
  <c r="GA92" i="8"/>
  <c r="GD91" i="8"/>
  <c r="GC91" i="8"/>
  <c r="GB91" i="8"/>
  <c r="GA91" i="8"/>
  <c r="GD90" i="8"/>
  <c r="GC90" i="8"/>
  <c r="GB90" i="8"/>
  <c r="GA90" i="8"/>
  <c r="GD89" i="8"/>
  <c r="GC89" i="8"/>
  <c r="GB89" i="8"/>
  <c r="GA89" i="8"/>
  <c r="GD88" i="8"/>
  <c r="GC88" i="8"/>
  <c r="GB88" i="8"/>
  <c r="GA88" i="8"/>
  <c r="GD87" i="8"/>
  <c r="GC87" i="8"/>
  <c r="GB87" i="8"/>
  <c r="GA87" i="8"/>
  <c r="GD86" i="8"/>
  <c r="GC86" i="8"/>
  <c r="GB86" i="8"/>
  <c r="GA86" i="8"/>
  <c r="GD85" i="8"/>
  <c r="GC85" i="8"/>
  <c r="GB85" i="8"/>
  <c r="GA85" i="8"/>
  <c r="GD84" i="8"/>
  <c r="GC84" i="8"/>
  <c r="GB84" i="8"/>
  <c r="GA84" i="8"/>
  <c r="GD83" i="8"/>
  <c r="GC83" i="8"/>
  <c r="GB83" i="8"/>
  <c r="GA83" i="8"/>
  <c r="GD82" i="8"/>
  <c r="GC82" i="8"/>
  <c r="GB82" i="8"/>
  <c r="GA82" i="8"/>
  <c r="GD81" i="8"/>
  <c r="GC81" i="8"/>
  <c r="GB81" i="8"/>
  <c r="GA81" i="8"/>
  <c r="GD80" i="8"/>
  <c r="GC80" i="8"/>
  <c r="GB80" i="8"/>
  <c r="GA80" i="8"/>
  <c r="GD79" i="8"/>
  <c r="GC79" i="8"/>
  <c r="GB79" i="8"/>
  <c r="GA79" i="8"/>
  <c r="GD78" i="8"/>
  <c r="GC78" i="8"/>
  <c r="GB78" i="8"/>
  <c r="GA78" i="8"/>
  <c r="GD77" i="8"/>
  <c r="GC77" i="8"/>
  <c r="GB77" i="8"/>
  <c r="GA77" i="8"/>
  <c r="GD76" i="8"/>
  <c r="GC76" i="8"/>
  <c r="GB76" i="8"/>
  <c r="GA76" i="8"/>
  <c r="GD75" i="8"/>
  <c r="GC75" i="8"/>
  <c r="GB75" i="8"/>
  <c r="GA75" i="8"/>
  <c r="GD74" i="8"/>
  <c r="GC74" i="8"/>
  <c r="GB74" i="8"/>
  <c r="GA74" i="8"/>
  <c r="GD73" i="8"/>
  <c r="GC73" i="8"/>
  <c r="GB73" i="8"/>
  <c r="GA73" i="8"/>
  <c r="GD72" i="8"/>
  <c r="GC72" i="8"/>
  <c r="GB72" i="8"/>
  <c r="GA72" i="8"/>
  <c r="GD71" i="8"/>
  <c r="GC71" i="8"/>
  <c r="GB71" i="8"/>
  <c r="GA71" i="8"/>
  <c r="GD70" i="8"/>
  <c r="GC70" i="8"/>
  <c r="GB70" i="8"/>
  <c r="GA70" i="8"/>
  <c r="GD69" i="8"/>
  <c r="GC69" i="8"/>
  <c r="GB69" i="8"/>
  <c r="GA69" i="8"/>
  <c r="GD68" i="8"/>
  <c r="GC68" i="8"/>
  <c r="GB68" i="8"/>
  <c r="GA68" i="8"/>
  <c r="GD67" i="8"/>
  <c r="GC67" i="8"/>
  <c r="GB67" i="8"/>
  <c r="GA67" i="8"/>
  <c r="GD66" i="8"/>
  <c r="GC66" i="8"/>
  <c r="GB66" i="8"/>
  <c r="GA66" i="8"/>
  <c r="GD65" i="8"/>
  <c r="GC65" i="8"/>
  <c r="GB65" i="8"/>
  <c r="GA65" i="8"/>
  <c r="GD64" i="8"/>
  <c r="GC64" i="8"/>
  <c r="GB64" i="8"/>
  <c r="GA64" i="8"/>
  <c r="GD63" i="8"/>
  <c r="GC63" i="8"/>
  <c r="GB63" i="8"/>
  <c r="GA63" i="8"/>
  <c r="GD62" i="8"/>
  <c r="GC62" i="8"/>
  <c r="GB62" i="8"/>
  <c r="GA62" i="8"/>
  <c r="GD61" i="8"/>
  <c r="GC61" i="8"/>
  <c r="GB61" i="8"/>
  <c r="GA61" i="8"/>
  <c r="GD60" i="8"/>
  <c r="GC60" i="8"/>
  <c r="GB60" i="8"/>
  <c r="GA60" i="8"/>
  <c r="GD59" i="8"/>
  <c r="GC59" i="8"/>
  <c r="GB59" i="8"/>
  <c r="GA59" i="8"/>
  <c r="GD58" i="8"/>
  <c r="GC58" i="8"/>
  <c r="GB58" i="8"/>
  <c r="GA58" i="8"/>
  <c r="GD57" i="8"/>
  <c r="GC57" i="8"/>
  <c r="GB57" i="8"/>
  <c r="GA57" i="8"/>
  <c r="GD56" i="8"/>
  <c r="GC56" i="8"/>
  <c r="GB56" i="8"/>
  <c r="GA56" i="8"/>
  <c r="GD55" i="8"/>
  <c r="GC55" i="8"/>
  <c r="GB55" i="8"/>
  <c r="GA55" i="8"/>
  <c r="GD54" i="8"/>
  <c r="GC54" i="8"/>
  <c r="GB54" i="8"/>
  <c r="GA54" i="8"/>
  <c r="GD53" i="8"/>
  <c r="GC53" i="8"/>
  <c r="GB53" i="8"/>
  <c r="GA53" i="8"/>
  <c r="GD52" i="8"/>
  <c r="GC52" i="8"/>
  <c r="GB52" i="8"/>
  <c r="GA52" i="8"/>
  <c r="GD51" i="8"/>
  <c r="GC51" i="8"/>
  <c r="GB51" i="8"/>
  <c r="GA51" i="8"/>
  <c r="GD50" i="8"/>
  <c r="GC50" i="8"/>
  <c r="GB50" i="8"/>
  <c r="GA50" i="8"/>
  <c r="GD49" i="8"/>
  <c r="GC49" i="8"/>
  <c r="GB49" i="8"/>
  <c r="GA49" i="8"/>
  <c r="GD48" i="8"/>
  <c r="GC48" i="8"/>
  <c r="GB48" i="8"/>
  <c r="GA48" i="8"/>
  <c r="GD47" i="8"/>
  <c r="GC47" i="8"/>
  <c r="GB47" i="8"/>
  <c r="GA47" i="8"/>
  <c r="GD46" i="8"/>
  <c r="GC46" i="8"/>
  <c r="GB46" i="8"/>
  <c r="GA46" i="8"/>
  <c r="GD45" i="8"/>
  <c r="GC45" i="8"/>
  <c r="GB45" i="8"/>
  <c r="GA45" i="8"/>
  <c r="GD44" i="8"/>
  <c r="GC44" i="8"/>
  <c r="GB44" i="8"/>
  <c r="GA44" i="8"/>
  <c r="GD43" i="8"/>
  <c r="GC43" i="8"/>
  <c r="GB43" i="8"/>
  <c r="GA43" i="8"/>
  <c r="GD42" i="8"/>
  <c r="GC42" i="8"/>
  <c r="GB42" i="8"/>
  <c r="GA42" i="8"/>
  <c r="GD41" i="8"/>
  <c r="GC41" i="8"/>
  <c r="GB41" i="8"/>
  <c r="GA41" i="8"/>
  <c r="GD40" i="8"/>
  <c r="GC40" i="8"/>
  <c r="GB40" i="8"/>
  <c r="GA40" i="8"/>
  <c r="GD39" i="8"/>
  <c r="GC39" i="8"/>
  <c r="GB39" i="8"/>
  <c r="GA39" i="8"/>
  <c r="GD38" i="8"/>
  <c r="GC38" i="8"/>
  <c r="GB38" i="8"/>
  <c r="GA38" i="8"/>
  <c r="GD37" i="8"/>
  <c r="GC37" i="8"/>
  <c r="GB37" i="8"/>
  <c r="GA37" i="8"/>
  <c r="GD36" i="8"/>
  <c r="GC36" i="8"/>
  <c r="GB36" i="8"/>
  <c r="GA36" i="8"/>
  <c r="GD35" i="8"/>
  <c r="GC35" i="8"/>
  <c r="GB35" i="8"/>
  <c r="GA35" i="8"/>
  <c r="GD34" i="8"/>
  <c r="GC34" i="8"/>
  <c r="GB34" i="8"/>
  <c r="GA34" i="8"/>
  <c r="GD33" i="8"/>
  <c r="GC33" i="8"/>
  <c r="GB33" i="8"/>
  <c r="GA33" i="8"/>
  <c r="GD32" i="8"/>
  <c r="GC32" i="8"/>
  <c r="GB32" i="8"/>
  <c r="GA32" i="8"/>
  <c r="GD31" i="8"/>
  <c r="GC31" i="8"/>
  <c r="GB31" i="8"/>
  <c r="GA31" i="8"/>
  <c r="GD30" i="8"/>
  <c r="GC30" i="8"/>
  <c r="GB30" i="8"/>
  <c r="GA30" i="8"/>
  <c r="GD29" i="8"/>
  <c r="GC29" i="8"/>
  <c r="GB29" i="8"/>
  <c r="GA29" i="8"/>
  <c r="GD28" i="8"/>
  <c r="GC28" i="8"/>
  <c r="GB28" i="8"/>
  <c r="GA28" i="8"/>
  <c r="GD27" i="8"/>
  <c r="GC27" i="8"/>
  <c r="GB27" i="8"/>
  <c r="GA27" i="8"/>
  <c r="GD26" i="8"/>
  <c r="GC26" i="8"/>
  <c r="GB26" i="8"/>
  <c r="GA26" i="8"/>
  <c r="GD25" i="8"/>
  <c r="GC25" i="8"/>
  <c r="GB25" i="8"/>
  <c r="GA25" i="8"/>
  <c r="GD24" i="8"/>
  <c r="GC24" i="8"/>
  <c r="GB24" i="8"/>
  <c r="GA24" i="8"/>
  <c r="GD23" i="8"/>
  <c r="GC23" i="8"/>
  <c r="GB23" i="8"/>
  <c r="GA23" i="8"/>
  <c r="GD22" i="8"/>
  <c r="GC22" i="8"/>
  <c r="GB22" i="8"/>
  <c r="GA22" i="8"/>
  <c r="GD21" i="8"/>
  <c r="GC21" i="8"/>
  <c r="GB21" i="8"/>
  <c r="GA21" i="8"/>
  <c r="GD20" i="8"/>
  <c r="GC20" i="8"/>
  <c r="GB20" i="8"/>
  <c r="GA20" i="8"/>
  <c r="GD19" i="8"/>
  <c r="GC19" i="8"/>
  <c r="GB19" i="8"/>
  <c r="GA19" i="8"/>
  <c r="GD18" i="8"/>
  <c r="GC18" i="8"/>
  <c r="GB18" i="8"/>
  <c r="GA18" i="8"/>
  <c r="GD17" i="8"/>
  <c r="GC17" i="8"/>
  <c r="GB17" i="8"/>
  <c r="GA17" i="8"/>
  <c r="GD16" i="8"/>
  <c r="GC16" i="8"/>
  <c r="GB16" i="8"/>
  <c r="GA16" i="8"/>
  <c r="GD15" i="8"/>
  <c r="GC15" i="8"/>
  <c r="GB15" i="8"/>
  <c r="GA15" i="8"/>
  <c r="GD14" i="8"/>
  <c r="GC14" i="8"/>
  <c r="GB14" i="8"/>
  <c r="GA14" i="8"/>
  <c r="GD13" i="8"/>
  <c r="GC13" i="8"/>
  <c r="GB13" i="8"/>
  <c r="GA13" i="8"/>
  <c r="GD12" i="8"/>
  <c r="GC12" i="8"/>
  <c r="GB12" i="8"/>
  <c r="GA12" i="8"/>
  <c r="GD11" i="8"/>
  <c r="GC11" i="8"/>
  <c r="GB11" i="8"/>
  <c r="GA11" i="8"/>
  <c r="GD10" i="8"/>
  <c r="GC10" i="8"/>
  <c r="GB10" i="8"/>
  <c r="GA10" i="8"/>
  <c r="GD9" i="8"/>
  <c r="GC9" i="8"/>
  <c r="GB9" i="8"/>
  <c r="GA9" i="8"/>
  <c r="GD8" i="8"/>
  <c r="GC8" i="8"/>
  <c r="GB8" i="8"/>
  <c r="GA8" i="8"/>
  <c r="AJ7" i="18" l="1"/>
  <c r="AK7" i="18"/>
  <c r="AL7" i="18"/>
  <c r="Q7" i="17"/>
  <c r="R7" i="17"/>
  <c r="U7" i="17"/>
  <c r="T7" i="17"/>
  <c r="AK7" i="17"/>
  <c r="AO7" i="17"/>
  <c r="AN7" i="17"/>
  <c r="AP7" i="17"/>
  <c r="AM7" i="17"/>
  <c r="Z7" i="17"/>
  <c r="AH7" i="17"/>
  <c r="AL7" i="17"/>
  <c r="M7" i="17"/>
  <c r="BQ7" i="17" s="1"/>
  <c r="N7" i="17"/>
  <c r="BR7" i="17" s="1"/>
  <c r="L7" i="17"/>
  <c r="BP7" i="17" s="1"/>
  <c r="K7" i="17"/>
  <c r="BO7" i="17" s="1"/>
  <c r="DZ7" i="8" l="1"/>
  <c r="DY7" i="8"/>
  <c r="DX7" i="8"/>
  <c r="DW7" i="8"/>
  <c r="FZ102" i="8"/>
  <c r="FY102" i="8"/>
  <c r="FX102" i="8"/>
  <c r="FW102" i="8"/>
  <c r="FZ101" i="8"/>
  <c r="FY101" i="8"/>
  <c r="FX101" i="8"/>
  <c r="FW101" i="8"/>
  <c r="FZ100" i="8"/>
  <c r="FY100" i="8"/>
  <c r="FX100" i="8"/>
  <c r="FW100" i="8"/>
  <c r="FZ99" i="8"/>
  <c r="FY99" i="8"/>
  <c r="FX99" i="8"/>
  <c r="FW99" i="8"/>
  <c r="FZ98" i="8"/>
  <c r="FY98" i="8"/>
  <c r="FX98" i="8"/>
  <c r="FW98" i="8"/>
  <c r="FZ97" i="8"/>
  <c r="FY97" i="8"/>
  <c r="FX97" i="8"/>
  <c r="FW97" i="8"/>
  <c r="FZ96" i="8"/>
  <c r="FY96" i="8"/>
  <c r="FX96" i="8"/>
  <c r="FW96" i="8"/>
  <c r="FZ95" i="8"/>
  <c r="FY95" i="8"/>
  <c r="FX95" i="8"/>
  <c r="FW95" i="8"/>
  <c r="FZ94" i="8"/>
  <c r="FY94" i="8"/>
  <c r="FX94" i="8"/>
  <c r="FW94" i="8"/>
  <c r="FZ93" i="8"/>
  <c r="FY93" i="8"/>
  <c r="FX93" i="8"/>
  <c r="FW93" i="8"/>
  <c r="FZ92" i="8"/>
  <c r="FY92" i="8"/>
  <c r="FX92" i="8"/>
  <c r="FW92" i="8"/>
  <c r="FZ91" i="8"/>
  <c r="FY91" i="8"/>
  <c r="FX91" i="8"/>
  <c r="FW91" i="8"/>
  <c r="FZ90" i="8"/>
  <c r="FY90" i="8"/>
  <c r="FX90" i="8"/>
  <c r="FW90" i="8"/>
  <c r="FZ89" i="8"/>
  <c r="FY89" i="8"/>
  <c r="FX89" i="8"/>
  <c r="FW89" i="8"/>
  <c r="FZ88" i="8"/>
  <c r="FY88" i="8"/>
  <c r="FX88" i="8"/>
  <c r="FW88" i="8"/>
  <c r="FZ87" i="8"/>
  <c r="FY87" i="8"/>
  <c r="FX87" i="8"/>
  <c r="FW87" i="8"/>
  <c r="FZ86" i="8"/>
  <c r="FY86" i="8"/>
  <c r="FX86" i="8"/>
  <c r="FW86" i="8"/>
  <c r="FZ85" i="8"/>
  <c r="FY85" i="8"/>
  <c r="FX85" i="8"/>
  <c r="FW85" i="8"/>
  <c r="FZ84" i="8"/>
  <c r="FY84" i="8"/>
  <c r="FX84" i="8"/>
  <c r="FW84" i="8"/>
  <c r="FZ83" i="8"/>
  <c r="FY83" i="8"/>
  <c r="FX83" i="8"/>
  <c r="FW83" i="8"/>
  <c r="FZ82" i="8"/>
  <c r="FY82" i="8"/>
  <c r="FX82" i="8"/>
  <c r="FW82" i="8"/>
  <c r="FZ81" i="8"/>
  <c r="FY81" i="8"/>
  <c r="FX81" i="8"/>
  <c r="FW81" i="8"/>
  <c r="FZ80" i="8"/>
  <c r="FY80" i="8"/>
  <c r="FX80" i="8"/>
  <c r="FW80" i="8"/>
  <c r="FZ79" i="8"/>
  <c r="FY79" i="8"/>
  <c r="FX79" i="8"/>
  <c r="FW79" i="8"/>
  <c r="FZ78" i="8"/>
  <c r="FY78" i="8"/>
  <c r="FX78" i="8"/>
  <c r="FW78" i="8"/>
  <c r="FZ77" i="8"/>
  <c r="FY77" i="8"/>
  <c r="FX77" i="8"/>
  <c r="FW77" i="8"/>
  <c r="FZ76" i="8"/>
  <c r="FY76" i="8"/>
  <c r="FX76" i="8"/>
  <c r="FW76" i="8"/>
  <c r="FZ75" i="8"/>
  <c r="FY75" i="8"/>
  <c r="FX75" i="8"/>
  <c r="FW75" i="8"/>
  <c r="FZ74" i="8"/>
  <c r="FY74" i="8"/>
  <c r="FX74" i="8"/>
  <c r="FW74" i="8"/>
  <c r="FZ73" i="8"/>
  <c r="FY73" i="8"/>
  <c r="FX73" i="8"/>
  <c r="FW73" i="8"/>
  <c r="FZ72" i="8"/>
  <c r="FY72" i="8"/>
  <c r="FX72" i="8"/>
  <c r="FW72" i="8"/>
  <c r="FZ71" i="8"/>
  <c r="FY71" i="8"/>
  <c r="FX71" i="8"/>
  <c r="FW71" i="8"/>
  <c r="FZ70" i="8"/>
  <c r="FY70" i="8"/>
  <c r="FX70" i="8"/>
  <c r="FW70" i="8"/>
  <c r="FZ69" i="8"/>
  <c r="FY69" i="8"/>
  <c r="FX69" i="8"/>
  <c r="FW69" i="8"/>
  <c r="FZ68" i="8"/>
  <c r="FY68" i="8"/>
  <c r="FX68" i="8"/>
  <c r="FW68" i="8"/>
  <c r="FZ67" i="8"/>
  <c r="FY67" i="8"/>
  <c r="FX67" i="8"/>
  <c r="FW67" i="8"/>
  <c r="FZ66" i="8"/>
  <c r="FY66" i="8"/>
  <c r="FX66" i="8"/>
  <c r="FW66" i="8"/>
  <c r="FZ65" i="8"/>
  <c r="FY65" i="8"/>
  <c r="FX65" i="8"/>
  <c r="FW65" i="8"/>
  <c r="FZ64" i="8"/>
  <c r="FY64" i="8"/>
  <c r="FX64" i="8"/>
  <c r="FW64" i="8"/>
  <c r="FZ63" i="8"/>
  <c r="FY63" i="8"/>
  <c r="FX63" i="8"/>
  <c r="FW63" i="8"/>
  <c r="FZ62" i="8"/>
  <c r="FY62" i="8"/>
  <c r="FX62" i="8"/>
  <c r="FW62" i="8"/>
  <c r="FZ61" i="8"/>
  <c r="FY61" i="8"/>
  <c r="FX61" i="8"/>
  <c r="FW61" i="8"/>
  <c r="FZ60" i="8"/>
  <c r="FY60" i="8"/>
  <c r="FX60" i="8"/>
  <c r="FW60" i="8"/>
  <c r="FZ59" i="8"/>
  <c r="FY59" i="8"/>
  <c r="FX59" i="8"/>
  <c r="FW59" i="8"/>
  <c r="FZ58" i="8"/>
  <c r="FY58" i="8"/>
  <c r="FX58" i="8"/>
  <c r="FW58" i="8"/>
  <c r="FZ57" i="8"/>
  <c r="FY57" i="8"/>
  <c r="FX57" i="8"/>
  <c r="FW57" i="8"/>
  <c r="FZ56" i="8"/>
  <c r="FY56" i="8"/>
  <c r="FX56" i="8"/>
  <c r="FW56" i="8"/>
  <c r="FZ55" i="8"/>
  <c r="FY55" i="8"/>
  <c r="FX55" i="8"/>
  <c r="FW55" i="8"/>
  <c r="FZ54" i="8"/>
  <c r="FY54" i="8"/>
  <c r="FX54" i="8"/>
  <c r="FW54" i="8"/>
  <c r="FZ53" i="8"/>
  <c r="FY53" i="8"/>
  <c r="FX53" i="8"/>
  <c r="FW53" i="8"/>
  <c r="FZ52" i="8"/>
  <c r="FY52" i="8"/>
  <c r="FX52" i="8"/>
  <c r="FW52" i="8"/>
  <c r="FZ51" i="8"/>
  <c r="FY51" i="8"/>
  <c r="FX51" i="8"/>
  <c r="FW51" i="8"/>
  <c r="FZ50" i="8"/>
  <c r="FY50" i="8"/>
  <c r="FX50" i="8"/>
  <c r="FW50" i="8"/>
  <c r="FZ49" i="8"/>
  <c r="FY49" i="8"/>
  <c r="FX49" i="8"/>
  <c r="FW49" i="8"/>
  <c r="FZ48" i="8"/>
  <c r="FY48" i="8"/>
  <c r="FX48" i="8"/>
  <c r="FW48" i="8"/>
  <c r="FZ47" i="8"/>
  <c r="FY47" i="8"/>
  <c r="FX47" i="8"/>
  <c r="FW47" i="8"/>
  <c r="FZ46" i="8"/>
  <c r="FY46" i="8"/>
  <c r="FX46" i="8"/>
  <c r="FW46" i="8"/>
  <c r="FZ45" i="8"/>
  <c r="FY45" i="8"/>
  <c r="FX45" i="8"/>
  <c r="FW45" i="8"/>
  <c r="FZ44" i="8"/>
  <c r="FY44" i="8"/>
  <c r="FX44" i="8"/>
  <c r="FW44" i="8"/>
  <c r="FZ43" i="8"/>
  <c r="FY43" i="8"/>
  <c r="FX43" i="8"/>
  <c r="FW43" i="8"/>
  <c r="FZ42" i="8"/>
  <c r="FY42" i="8"/>
  <c r="FX42" i="8"/>
  <c r="FW42" i="8"/>
  <c r="FZ41" i="8"/>
  <c r="FY41" i="8"/>
  <c r="FX41" i="8"/>
  <c r="FW41" i="8"/>
  <c r="FZ40" i="8"/>
  <c r="FY40" i="8"/>
  <c r="FX40" i="8"/>
  <c r="FW40" i="8"/>
  <c r="FZ39" i="8"/>
  <c r="FY39" i="8"/>
  <c r="FX39" i="8"/>
  <c r="FW39" i="8"/>
  <c r="FZ38" i="8"/>
  <c r="FY38" i="8"/>
  <c r="FX38" i="8"/>
  <c r="FW38" i="8"/>
  <c r="FZ37" i="8"/>
  <c r="FY37" i="8"/>
  <c r="FX37" i="8"/>
  <c r="FW37" i="8"/>
  <c r="FZ36" i="8"/>
  <c r="FY36" i="8"/>
  <c r="FX36" i="8"/>
  <c r="FW36" i="8"/>
  <c r="FZ35" i="8"/>
  <c r="FY35" i="8"/>
  <c r="FX35" i="8"/>
  <c r="FW35" i="8"/>
  <c r="FZ34" i="8"/>
  <c r="FY34" i="8"/>
  <c r="FX34" i="8"/>
  <c r="FW34" i="8"/>
  <c r="FZ33" i="8"/>
  <c r="FY33" i="8"/>
  <c r="FX33" i="8"/>
  <c r="FW33" i="8"/>
  <c r="FZ32" i="8"/>
  <c r="FY32" i="8"/>
  <c r="FX32" i="8"/>
  <c r="FW32" i="8"/>
  <c r="FZ31" i="8"/>
  <c r="FY31" i="8"/>
  <c r="FX31" i="8"/>
  <c r="FW31" i="8"/>
  <c r="FZ30" i="8"/>
  <c r="FY30" i="8"/>
  <c r="FX30" i="8"/>
  <c r="FW30" i="8"/>
  <c r="FZ29" i="8"/>
  <c r="FY29" i="8"/>
  <c r="FX29" i="8"/>
  <c r="FW29" i="8"/>
  <c r="FZ28" i="8"/>
  <c r="FY28" i="8"/>
  <c r="FX28" i="8"/>
  <c r="FW28" i="8"/>
  <c r="FZ27" i="8"/>
  <c r="FY27" i="8"/>
  <c r="FX27" i="8"/>
  <c r="FW27" i="8"/>
  <c r="FZ26" i="8"/>
  <c r="FY26" i="8"/>
  <c r="FX26" i="8"/>
  <c r="FW26" i="8"/>
  <c r="FZ25" i="8"/>
  <c r="FY25" i="8"/>
  <c r="FX25" i="8"/>
  <c r="FW25" i="8"/>
  <c r="FZ24" i="8"/>
  <c r="FY24" i="8"/>
  <c r="FX24" i="8"/>
  <c r="FW24" i="8"/>
  <c r="FZ23" i="8"/>
  <c r="FY23" i="8"/>
  <c r="FX23" i="8"/>
  <c r="FW23" i="8"/>
  <c r="FZ22" i="8"/>
  <c r="FY22" i="8"/>
  <c r="FX22" i="8"/>
  <c r="FW22" i="8"/>
  <c r="FZ21" i="8"/>
  <c r="FY21" i="8"/>
  <c r="FX21" i="8"/>
  <c r="FW21" i="8"/>
  <c r="FZ20" i="8"/>
  <c r="FY20" i="8"/>
  <c r="FX20" i="8"/>
  <c r="FW20" i="8"/>
  <c r="FZ19" i="8"/>
  <c r="FY19" i="8"/>
  <c r="FX19" i="8"/>
  <c r="FW19" i="8"/>
  <c r="FZ18" i="8"/>
  <c r="FY18" i="8"/>
  <c r="FX18" i="8"/>
  <c r="FW18" i="8"/>
  <c r="FZ17" i="8"/>
  <c r="FY17" i="8"/>
  <c r="FX17" i="8"/>
  <c r="FW17" i="8"/>
  <c r="FZ16" i="8"/>
  <c r="FY16" i="8"/>
  <c r="FX16" i="8"/>
  <c r="FW16" i="8"/>
  <c r="FZ15" i="8"/>
  <c r="FY15" i="8"/>
  <c r="FX15" i="8"/>
  <c r="FW15" i="8"/>
  <c r="FZ14" i="8"/>
  <c r="FY14" i="8"/>
  <c r="FX14" i="8"/>
  <c r="FW14" i="8"/>
  <c r="FZ13" i="8"/>
  <c r="FY13" i="8"/>
  <c r="FX13" i="8"/>
  <c r="FW13" i="8"/>
  <c r="FZ12" i="8"/>
  <c r="FY12" i="8"/>
  <c r="FX12" i="8"/>
  <c r="FW12" i="8"/>
  <c r="FZ11" i="8"/>
  <c r="FY11" i="8"/>
  <c r="FX11" i="8"/>
  <c r="FW11" i="8"/>
  <c r="FZ10" i="8"/>
  <c r="FY10" i="8"/>
  <c r="FX10" i="8"/>
  <c r="FW10" i="8"/>
  <c r="FZ9" i="8"/>
  <c r="FY9" i="8"/>
  <c r="FX9" i="8"/>
  <c r="FW9" i="8"/>
  <c r="FZ8" i="8"/>
  <c r="FY8" i="8"/>
  <c r="FX8" i="8"/>
  <c r="FW8" i="8"/>
  <c r="B8" i="16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AA6" i="16"/>
  <c r="Z6" i="16"/>
  <c r="Y6" i="16"/>
  <c r="X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BL6" i="15" l="1"/>
  <c r="BK6" i="15"/>
  <c r="BJ6" i="15"/>
  <c r="BI6" i="15"/>
  <c r="BG6" i="15"/>
  <c r="BF6" i="15"/>
  <c r="BE6" i="15"/>
  <c r="BD6" i="15"/>
  <c r="BB6" i="15"/>
  <c r="BA6" i="15"/>
  <c r="AZ6" i="15"/>
  <c r="AY6" i="15"/>
  <c r="AW6" i="15"/>
  <c r="AV6" i="15"/>
  <c r="AU6" i="15"/>
  <c r="AT6" i="15"/>
  <c r="AR6" i="15"/>
  <c r="AQ6" i="15"/>
  <c r="AP6" i="15"/>
  <c r="AO6" i="15"/>
  <c r="AM6" i="15"/>
  <c r="AL6" i="15"/>
  <c r="AK6" i="15"/>
  <c r="AJ6" i="15"/>
  <c r="AH6" i="15"/>
  <c r="AG6" i="15"/>
  <c r="AF6" i="15"/>
  <c r="AE6" i="15"/>
  <c r="AC6" i="15"/>
  <c r="AB6" i="15"/>
  <c r="AA6" i="15"/>
  <c r="Z6" i="15"/>
  <c r="X6" i="15"/>
  <c r="W6" i="15"/>
  <c r="V6" i="15"/>
  <c r="U6" i="15"/>
  <c r="S6" i="15"/>
  <c r="R6" i="15"/>
  <c r="Q6" i="15"/>
  <c r="P6" i="15"/>
  <c r="N6" i="15"/>
  <c r="M6" i="15"/>
  <c r="L6" i="15"/>
  <c r="K6" i="15"/>
  <c r="I6" i="15"/>
  <c r="H6" i="15"/>
  <c r="G6" i="15"/>
  <c r="F6" i="15"/>
  <c r="CV6" i="14"/>
  <c r="CU6" i="14"/>
  <c r="CS6" i="14"/>
  <c r="CR6" i="14"/>
  <c r="CQ6" i="14"/>
  <c r="CP6" i="14"/>
  <c r="CN6" i="14"/>
  <c r="CM6" i="14"/>
  <c r="CK6" i="14"/>
  <c r="CJ6" i="14"/>
  <c r="CI6" i="14"/>
  <c r="CH6" i="14"/>
  <c r="CF6" i="14"/>
  <c r="CE6" i="14"/>
  <c r="CC6" i="14"/>
  <c r="CB6" i="14"/>
  <c r="CA6" i="14"/>
  <c r="BZ6" i="14"/>
  <c r="BX6" i="14"/>
  <c r="BW6" i="14"/>
  <c r="BU6" i="14"/>
  <c r="BT6" i="14"/>
  <c r="BS6" i="14"/>
  <c r="BR6" i="14"/>
  <c r="BP6" i="14"/>
  <c r="BO6" i="14"/>
  <c r="BM6" i="14"/>
  <c r="BL6" i="14"/>
  <c r="BK6" i="14"/>
  <c r="BJ6" i="14"/>
  <c r="BH6" i="14"/>
  <c r="BG6" i="14"/>
  <c r="BE6" i="14"/>
  <c r="BD6" i="14"/>
  <c r="BC6" i="14"/>
  <c r="BB6" i="14"/>
  <c r="AZ6" i="14"/>
  <c r="AY6" i="14"/>
  <c r="AW6" i="14"/>
  <c r="AV6" i="14"/>
  <c r="AU6" i="14"/>
  <c r="AT6" i="14"/>
  <c r="AR6" i="14"/>
  <c r="AQ6" i="14"/>
  <c r="AO6" i="14"/>
  <c r="AN6" i="14"/>
  <c r="AM6" i="14"/>
  <c r="AL6" i="14"/>
  <c r="AJ6" i="14"/>
  <c r="AI6" i="14"/>
  <c r="AG6" i="14"/>
  <c r="AF6" i="14"/>
  <c r="AE6" i="14"/>
  <c r="AD6" i="14"/>
  <c r="AB6" i="14"/>
  <c r="AA6" i="14"/>
  <c r="Y6" i="14"/>
  <c r="X6" i="14"/>
  <c r="W6" i="14"/>
  <c r="V6" i="14"/>
  <c r="T6" i="14"/>
  <c r="S6" i="14"/>
  <c r="Q6" i="14"/>
  <c r="P6" i="14"/>
  <c r="O6" i="14"/>
  <c r="N6" i="14"/>
  <c r="L6" i="14"/>
  <c r="K6" i="14"/>
  <c r="I6" i="14"/>
  <c r="H6" i="14"/>
  <c r="G6" i="14"/>
  <c r="F6" i="14"/>
  <c r="BF6" i="14" l="1"/>
  <c r="BM100" i="15" l="1"/>
  <c r="BH100" i="15"/>
  <c r="BC100" i="15"/>
  <c r="AX100" i="15"/>
  <c r="AS100" i="15"/>
  <c r="AN100" i="15"/>
  <c r="AI100" i="15"/>
  <c r="AD100" i="15"/>
  <c r="Y100" i="15"/>
  <c r="T100" i="15"/>
  <c r="O100" i="15"/>
  <c r="J100" i="15"/>
  <c r="BM99" i="15"/>
  <c r="BH99" i="15"/>
  <c r="BC99" i="15"/>
  <c r="AX99" i="15"/>
  <c r="AS99" i="15"/>
  <c r="AN99" i="15"/>
  <c r="AI99" i="15"/>
  <c r="AD99" i="15"/>
  <c r="Y99" i="15"/>
  <c r="T99" i="15"/>
  <c r="O99" i="15"/>
  <c r="J99" i="15"/>
  <c r="BM98" i="15"/>
  <c r="BH98" i="15"/>
  <c r="BC98" i="15"/>
  <c r="AX98" i="15"/>
  <c r="AS98" i="15"/>
  <c r="AN98" i="15"/>
  <c r="AI98" i="15"/>
  <c r="AD98" i="15"/>
  <c r="Y98" i="15"/>
  <c r="T98" i="15"/>
  <c r="O98" i="15"/>
  <c r="J98" i="15"/>
  <c r="BM97" i="15"/>
  <c r="BH97" i="15"/>
  <c r="BC97" i="15"/>
  <c r="AX97" i="15"/>
  <c r="AS97" i="15"/>
  <c r="AN97" i="15"/>
  <c r="AI97" i="15"/>
  <c r="AD97" i="15"/>
  <c r="Y97" i="15"/>
  <c r="T97" i="15"/>
  <c r="O97" i="15"/>
  <c r="J97" i="15"/>
  <c r="BM96" i="15"/>
  <c r="BH96" i="15"/>
  <c r="BC96" i="15"/>
  <c r="AX96" i="15"/>
  <c r="AS96" i="15"/>
  <c r="AN96" i="15"/>
  <c r="AI96" i="15"/>
  <c r="AD96" i="15"/>
  <c r="Y96" i="15"/>
  <c r="T96" i="15"/>
  <c r="O96" i="15"/>
  <c r="J96" i="15"/>
  <c r="BM95" i="15"/>
  <c r="BH95" i="15"/>
  <c r="BC95" i="15"/>
  <c r="AX95" i="15"/>
  <c r="AS95" i="15"/>
  <c r="AN95" i="15"/>
  <c r="AI95" i="15"/>
  <c r="AD95" i="15"/>
  <c r="Y95" i="15"/>
  <c r="T95" i="15"/>
  <c r="O95" i="15"/>
  <c r="J95" i="15"/>
  <c r="BM94" i="15"/>
  <c r="BH94" i="15"/>
  <c r="BC94" i="15"/>
  <c r="AX94" i="15"/>
  <c r="AS94" i="15"/>
  <c r="AN94" i="15"/>
  <c r="AI94" i="15"/>
  <c r="AD94" i="15"/>
  <c r="Y94" i="15"/>
  <c r="T94" i="15"/>
  <c r="O94" i="15"/>
  <c r="J94" i="15"/>
  <c r="BM93" i="15"/>
  <c r="BH93" i="15"/>
  <c r="BC93" i="15"/>
  <c r="AX93" i="15"/>
  <c r="AS93" i="15"/>
  <c r="AN93" i="15"/>
  <c r="AI93" i="15"/>
  <c r="AD93" i="15"/>
  <c r="Y93" i="15"/>
  <c r="T93" i="15"/>
  <c r="O93" i="15"/>
  <c r="J93" i="15"/>
  <c r="BM92" i="15"/>
  <c r="BH92" i="15"/>
  <c r="BC92" i="15"/>
  <c r="AX92" i="15"/>
  <c r="AS92" i="15"/>
  <c r="AN92" i="15"/>
  <c r="AI92" i="15"/>
  <c r="AD92" i="15"/>
  <c r="Y92" i="15"/>
  <c r="T92" i="15"/>
  <c r="O92" i="15"/>
  <c r="J92" i="15"/>
  <c r="BM91" i="15"/>
  <c r="BH91" i="15"/>
  <c r="BC91" i="15"/>
  <c r="AX91" i="15"/>
  <c r="AS91" i="15"/>
  <c r="AN91" i="15"/>
  <c r="AI91" i="15"/>
  <c r="AD91" i="15"/>
  <c r="Y91" i="15"/>
  <c r="T91" i="15"/>
  <c r="O91" i="15"/>
  <c r="J91" i="15"/>
  <c r="BM90" i="15"/>
  <c r="BH90" i="15"/>
  <c r="BC90" i="15"/>
  <c r="AX90" i="15"/>
  <c r="AS90" i="15"/>
  <c r="AN90" i="15"/>
  <c r="AI90" i="15"/>
  <c r="AD90" i="15"/>
  <c r="Y90" i="15"/>
  <c r="T90" i="15"/>
  <c r="O90" i="15"/>
  <c r="J90" i="15"/>
  <c r="BM89" i="15"/>
  <c r="BH89" i="15"/>
  <c r="BC89" i="15"/>
  <c r="AX89" i="15"/>
  <c r="AS89" i="15"/>
  <c r="AN89" i="15"/>
  <c r="AI89" i="15"/>
  <c r="AD89" i="15"/>
  <c r="Y89" i="15"/>
  <c r="T89" i="15"/>
  <c r="O89" i="15"/>
  <c r="J89" i="15"/>
  <c r="BM88" i="15"/>
  <c r="BH88" i="15"/>
  <c r="BC88" i="15"/>
  <c r="AX88" i="15"/>
  <c r="AS88" i="15"/>
  <c r="AN88" i="15"/>
  <c r="AI88" i="15"/>
  <c r="AD88" i="15"/>
  <c r="Y88" i="15"/>
  <c r="T88" i="15"/>
  <c r="O88" i="15"/>
  <c r="J88" i="15"/>
  <c r="BM87" i="15"/>
  <c r="BH87" i="15"/>
  <c r="BC87" i="15"/>
  <c r="AX87" i="15"/>
  <c r="AS87" i="15"/>
  <c r="AN87" i="15"/>
  <c r="AI87" i="15"/>
  <c r="AD87" i="15"/>
  <c r="Y87" i="15"/>
  <c r="T87" i="15"/>
  <c r="O87" i="15"/>
  <c r="J87" i="15"/>
  <c r="BM86" i="15"/>
  <c r="BH86" i="15"/>
  <c r="BC86" i="15"/>
  <c r="AX86" i="15"/>
  <c r="AS86" i="15"/>
  <c r="AN86" i="15"/>
  <c r="AI86" i="15"/>
  <c r="AD86" i="15"/>
  <c r="Y86" i="15"/>
  <c r="T86" i="15"/>
  <c r="O86" i="15"/>
  <c r="J86" i="15"/>
  <c r="BM85" i="15"/>
  <c r="BH85" i="15"/>
  <c r="BC85" i="15"/>
  <c r="AX85" i="15"/>
  <c r="AS85" i="15"/>
  <c r="AN85" i="15"/>
  <c r="AI85" i="15"/>
  <c r="AD85" i="15"/>
  <c r="Y85" i="15"/>
  <c r="T85" i="15"/>
  <c r="O85" i="15"/>
  <c r="J85" i="15"/>
  <c r="BM84" i="15"/>
  <c r="BH84" i="15"/>
  <c r="BC84" i="15"/>
  <c r="AX84" i="15"/>
  <c r="AS84" i="15"/>
  <c r="AN84" i="15"/>
  <c r="AI84" i="15"/>
  <c r="AD84" i="15"/>
  <c r="Y84" i="15"/>
  <c r="T84" i="15"/>
  <c r="O84" i="15"/>
  <c r="J84" i="15"/>
  <c r="BM83" i="15"/>
  <c r="BH83" i="15"/>
  <c r="BC83" i="15"/>
  <c r="AX83" i="15"/>
  <c r="AS83" i="15"/>
  <c r="AN83" i="15"/>
  <c r="AI83" i="15"/>
  <c r="AD83" i="15"/>
  <c r="Y83" i="15"/>
  <c r="T83" i="15"/>
  <c r="O83" i="15"/>
  <c r="J83" i="15"/>
  <c r="BM82" i="15"/>
  <c r="BH82" i="15"/>
  <c r="BC82" i="15"/>
  <c r="AX82" i="15"/>
  <c r="AS82" i="15"/>
  <c r="AN82" i="15"/>
  <c r="AI82" i="15"/>
  <c r="AD82" i="15"/>
  <c r="Y82" i="15"/>
  <c r="T82" i="15"/>
  <c r="O82" i="15"/>
  <c r="J82" i="15"/>
  <c r="BM81" i="15"/>
  <c r="BH81" i="15"/>
  <c r="BC81" i="15"/>
  <c r="AX81" i="15"/>
  <c r="AS81" i="15"/>
  <c r="AN81" i="15"/>
  <c r="AI81" i="15"/>
  <c r="AD81" i="15"/>
  <c r="Y81" i="15"/>
  <c r="T81" i="15"/>
  <c r="O81" i="15"/>
  <c r="J81" i="15"/>
  <c r="BM80" i="15"/>
  <c r="BH80" i="15"/>
  <c r="BC80" i="15"/>
  <c r="AX80" i="15"/>
  <c r="AS80" i="15"/>
  <c r="AN80" i="15"/>
  <c r="AI80" i="15"/>
  <c r="AD80" i="15"/>
  <c r="Y80" i="15"/>
  <c r="T80" i="15"/>
  <c r="O80" i="15"/>
  <c r="J80" i="15"/>
  <c r="BM79" i="15"/>
  <c r="BH79" i="15"/>
  <c r="BC79" i="15"/>
  <c r="AX79" i="15"/>
  <c r="AS79" i="15"/>
  <c r="AN79" i="15"/>
  <c r="AI79" i="15"/>
  <c r="AD79" i="15"/>
  <c r="Y79" i="15"/>
  <c r="T79" i="15"/>
  <c r="O79" i="15"/>
  <c r="J79" i="15"/>
  <c r="BM78" i="15"/>
  <c r="BH78" i="15"/>
  <c r="BC78" i="15"/>
  <c r="AX78" i="15"/>
  <c r="AS78" i="15"/>
  <c r="AN78" i="15"/>
  <c r="AI78" i="15"/>
  <c r="AD78" i="15"/>
  <c r="Y78" i="15"/>
  <c r="T78" i="15"/>
  <c r="O78" i="15"/>
  <c r="J78" i="15"/>
  <c r="BM77" i="15"/>
  <c r="BH77" i="15"/>
  <c r="BC77" i="15"/>
  <c r="AX77" i="15"/>
  <c r="AS77" i="15"/>
  <c r="AN77" i="15"/>
  <c r="AI77" i="15"/>
  <c r="AD77" i="15"/>
  <c r="Y77" i="15"/>
  <c r="T77" i="15"/>
  <c r="O77" i="15"/>
  <c r="J77" i="15"/>
  <c r="BM76" i="15"/>
  <c r="BH76" i="15"/>
  <c r="BC76" i="15"/>
  <c r="AX76" i="15"/>
  <c r="AS76" i="15"/>
  <c r="AN76" i="15"/>
  <c r="AI76" i="15"/>
  <c r="AD76" i="15"/>
  <c r="Y76" i="15"/>
  <c r="T76" i="15"/>
  <c r="O76" i="15"/>
  <c r="J76" i="15"/>
  <c r="BM75" i="15"/>
  <c r="BH75" i="15"/>
  <c r="BC75" i="15"/>
  <c r="AX75" i="15"/>
  <c r="AS75" i="15"/>
  <c r="AN75" i="15"/>
  <c r="AI75" i="15"/>
  <c r="AD75" i="15"/>
  <c r="Y75" i="15"/>
  <c r="T75" i="15"/>
  <c r="O75" i="15"/>
  <c r="J75" i="15"/>
  <c r="BM74" i="15"/>
  <c r="BH74" i="15"/>
  <c r="BC74" i="15"/>
  <c r="AX74" i="15"/>
  <c r="AS74" i="15"/>
  <c r="AN74" i="15"/>
  <c r="AI74" i="15"/>
  <c r="AD74" i="15"/>
  <c r="Y74" i="15"/>
  <c r="T74" i="15"/>
  <c r="O74" i="15"/>
  <c r="J74" i="15"/>
  <c r="BM73" i="15"/>
  <c r="BH73" i="15"/>
  <c r="BC73" i="15"/>
  <c r="AX73" i="15"/>
  <c r="AS73" i="15"/>
  <c r="AN73" i="15"/>
  <c r="AI73" i="15"/>
  <c r="AD73" i="15"/>
  <c r="Y73" i="15"/>
  <c r="T73" i="15"/>
  <c r="O73" i="15"/>
  <c r="J73" i="15"/>
  <c r="BM72" i="15"/>
  <c r="BH72" i="15"/>
  <c r="BC72" i="15"/>
  <c r="AX72" i="15"/>
  <c r="AS72" i="15"/>
  <c r="AN72" i="15"/>
  <c r="AI72" i="15"/>
  <c r="AD72" i="15"/>
  <c r="Y72" i="15"/>
  <c r="T72" i="15"/>
  <c r="O72" i="15"/>
  <c r="J72" i="15"/>
  <c r="BM71" i="15"/>
  <c r="BH71" i="15"/>
  <c r="BC71" i="15"/>
  <c r="AX71" i="15"/>
  <c r="AS71" i="15"/>
  <c r="AN71" i="15"/>
  <c r="AI71" i="15"/>
  <c r="AD71" i="15"/>
  <c r="Y71" i="15"/>
  <c r="T71" i="15"/>
  <c r="O71" i="15"/>
  <c r="J71" i="15"/>
  <c r="BM70" i="15"/>
  <c r="BH70" i="15"/>
  <c r="BC70" i="15"/>
  <c r="AX70" i="15"/>
  <c r="AS70" i="15"/>
  <c r="AN70" i="15"/>
  <c r="AI70" i="15"/>
  <c r="AD70" i="15"/>
  <c r="Y70" i="15"/>
  <c r="T70" i="15"/>
  <c r="O70" i="15"/>
  <c r="J70" i="15"/>
  <c r="BM69" i="15"/>
  <c r="BH69" i="15"/>
  <c r="BC69" i="15"/>
  <c r="AX69" i="15"/>
  <c r="AS69" i="15"/>
  <c r="AN69" i="15"/>
  <c r="AI69" i="15"/>
  <c r="AD69" i="15"/>
  <c r="Y69" i="15"/>
  <c r="T69" i="15"/>
  <c r="O69" i="15"/>
  <c r="J69" i="15"/>
  <c r="BM68" i="15"/>
  <c r="BH68" i="15"/>
  <c r="BC68" i="15"/>
  <c r="AX68" i="15"/>
  <c r="AS68" i="15"/>
  <c r="AN68" i="15"/>
  <c r="AI68" i="15"/>
  <c r="AD68" i="15"/>
  <c r="Y68" i="15"/>
  <c r="T68" i="15"/>
  <c r="O68" i="15"/>
  <c r="J68" i="15"/>
  <c r="BM67" i="15"/>
  <c r="BH67" i="15"/>
  <c r="BC67" i="15"/>
  <c r="AX67" i="15"/>
  <c r="AS67" i="15"/>
  <c r="AN67" i="15"/>
  <c r="AI67" i="15"/>
  <c r="AD67" i="15"/>
  <c r="Y67" i="15"/>
  <c r="T67" i="15"/>
  <c r="O67" i="15"/>
  <c r="J67" i="15"/>
  <c r="BM66" i="15"/>
  <c r="BH66" i="15"/>
  <c r="BC66" i="15"/>
  <c r="AX66" i="15"/>
  <c r="AS66" i="15"/>
  <c r="AN66" i="15"/>
  <c r="AI66" i="15"/>
  <c r="AD66" i="15"/>
  <c r="Y66" i="15"/>
  <c r="T66" i="15"/>
  <c r="O66" i="15"/>
  <c r="J66" i="15"/>
  <c r="BM65" i="15"/>
  <c r="BH65" i="15"/>
  <c r="BC65" i="15"/>
  <c r="AX65" i="15"/>
  <c r="AS65" i="15"/>
  <c r="AN65" i="15"/>
  <c r="AI65" i="15"/>
  <c r="AD65" i="15"/>
  <c r="Y65" i="15"/>
  <c r="T65" i="15"/>
  <c r="O65" i="15"/>
  <c r="J65" i="15"/>
  <c r="BM64" i="15"/>
  <c r="BH64" i="15"/>
  <c r="BC64" i="15"/>
  <c r="AX64" i="15"/>
  <c r="AS64" i="15"/>
  <c r="AN64" i="15"/>
  <c r="AI64" i="15"/>
  <c r="AD64" i="15"/>
  <c r="Y64" i="15"/>
  <c r="T64" i="15"/>
  <c r="O64" i="15"/>
  <c r="J64" i="15"/>
  <c r="BM63" i="15"/>
  <c r="BH63" i="15"/>
  <c r="BC63" i="15"/>
  <c r="AX63" i="15"/>
  <c r="AS63" i="15"/>
  <c r="AN63" i="15"/>
  <c r="AI63" i="15"/>
  <c r="AD63" i="15"/>
  <c r="Y63" i="15"/>
  <c r="T63" i="15"/>
  <c r="O63" i="15"/>
  <c r="J63" i="15"/>
  <c r="BM62" i="15"/>
  <c r="BH62" i="15"/>
  <c r="BC62" i="15"/>
  <c r="AX62" i="15"/>
  <c r="AS62" i="15"/>
  <c r="AN62" i="15"/>
  <c r="AI62" i="15"/>
  <c r="AD62" i="15"/>
  <c r="Y62" i="15"/>
  <c r="T62" i="15"/>
  <c r="O62" i="15"/>
  <c r="J62" i="15"/>
  <c r="BM61" i="15"/>
  <c r="BH61" i="15"/>
  <c r="BC61" i="15"/>
  <c r="AX61" i="15"/>
  <c r="AS61" i="15"/>
  <c r="AN61" i="15"/>
  <c r="AI61" i="15"/>
  <c r="AD61" i="15"/>
  <c r="Y61" i="15"/>
  <c r="T61" i="15"/>
  <c r="O61" i="15"/>
  <c r="J61" i="15"/>
  <c r="BM60" i="15"/>
  <c r="BH60" i="15"/>
  <c r="BC60" i="15"/>
  <c r="AX60" i="15"/>
  <c r="AS60" i="15"/>
  <c r="AN60" i="15"/>
  <c r="AI60" i="15"/>
  <c r="AD60" i="15"/>
  <c r="Y60" i="15"/>
  <c r="T60" i="15"/>
  <c r="O60" i="15"/>
  <c r="J60" i="15"/>
  <c r="BM59" i="15"/>
  <c r="BH59" i="15"/>
  <c r="BC59" i="15"/>
  <c r="AX59" i="15"/>
  <c r="AS59" i="15"/>
  <c r="AN59" i="15"/>
  <c r="AI59" i="15"/>
  <c r="AD59" i="15"/>
  <c r="Y59" i="15"/>
  <c r="T59" i="15"/>
  <c r="O59" i="15"/>
  <c r="J59" i="15"/>
  <c r="BM58" i="15"/>
  <c r="BH58" i="15"/>
  <c r="BC58" i="15"/>
  <c r="AX58" i="15"/>
  <c r="AS58" i="15"/>
  <c r="AN58" i="15"/>
  <c r="AI58" i="15"/>
  <c r="AD58" i="15"/>
  <c r="Y58" i="15"/>
  <c r="T58" i="15"/>
  <c r="O58" i="15"/>
  <c r="J58" i="15"/>
  <c r="BM57" i="15"/>
  <c r="BH57" i="15"/>
  <c r="BC57" i="15"/>
  <c r="AX57" i="15"/>
  <c r="AS57" i="15"/>
  <c r="AN57" i="15"/>
  <c r="AI57" i="15"/>
  <c r="AD57" i="15"/>
  <c r="Y57" i="15"/>
  <c r="T57" i="15"/>
  <c r="O57" i="15"/>
  <c r="J57" i="15"/>
  <c r="BM56" i="15"/>
  <c r="BH56" i="15"/>
  <c r="BC56" i="15"/>
  <c r="AX56" i="15"/>
  <c r="AS56" i="15"/>
  <c r="AN56" i="15"/>
  <c r="AI56" i="15"/>
  <c r="AD56" i="15"/>
  <c r="Y56" i="15"/>
  <c r="T56" i="15"/>
  <c r="O56" i="15"/>
  <c r="J56" i="15"/>
  <c r="BM55" i="15"/>
  <c r="BH55" i="15"/>
  <c r="BC55" i="15"/>
  <c r="AX55" i="15"/>
  <c r="AS55" i="15"/>
  <c r="AN55" i="15"/>
  <c r="AI55" i="15"/>
  <c r="AD55" i="15"/>
  <c r="Y55" i="15"/>
  <c r="T55" i="15"/>
  <c r="O55" i="15"/>
  <c r="J55" i="15"/>
  <c r="BM54" i="15"/>
  <c r="BH54" i="15"/>
  <c r="BC54" i="15"/>
  <c r="AX54" i="15"/>
  <c r="AS54" i="15"/>
  <c r="AN54" i="15"/>
  <c r="AI54" i="15"/>
  <c r="AD54" i="15"/>
  <c r="Y54" i="15"/>
  <c r="T54" i="15"/>
  <c r="O54" i="15"/>
  <c r="J54" i="15"/>
  <c r="BM53" i="15"/>
  <c r="BH53" i="15"/>
  <c r="BC53" i="15"/>
  <c r="AX53" i="15"/>
  <c r="AS53" i="15"/>
  <c r="AN53" i="15"/>
  <c r="AI53" i="15"/>
  <c r="AD53" i="15"/>
  <c r="Y53" i="15"/>
  <c r="T53" i="15"/>
  <c r="O53" i="15"/>
  <c r="J53" i="15"/>
  <c r="BM52" i="15"/>
  <c r="BH52" i="15"/>
  <c r="BC52" i="15"/>
  <c r="AX52" i="15"/>
  <c r="AS52" i="15"/>
  <c r="AN52" i="15"/>
  <c r="AI52" i="15"/>
  <c r="AD52" i="15"/>
  <c r="Y52" i="15"/>
  <c r="T52" i="15"/>
  <c r="O52" i="15"/>
  <c r="J52" i="15"/>
  <c r="BM51" i="15"/>
  <c r="BH51" i="15"/>
  <c r="BC51" i="15"/>
  <c r="AX51" i="15"/>
  <c r="AS51" i="15"/>
  <c r="AN51" i="15"/>
  <c r="AI51" i="15"/>
  <c r="AD51" i="15"/>
  <c r="Y51" i="15"/>
  <c r="T51" i="15"/>
  <c r="O51" i="15"/>
  <c r="J51" i="15"/>
  <c r="BM50" i="15"/>
  <c r="BH50" i="15"/>
  <c r="BC50" i="15"/>
  <c r="AX50" i="15"/>
  <c r="AS50" i="15"/>
  <c r="AN50" i="15"/>
  <c r="AI50" i="15"/>
  <c r="AD50" i="15"/>
  <c r="Y50" i="15"/>
  <c r="T50" i="15"/>
  <c r="O50" i="15"/>
  <c r="J50" i="15"/>
  <c r="BM49" i="15"/>
  <c r="BH49" i="15"/>
  <c r="BC49" i="15"/>
  <c r="AX49" i="15"/>
  <c r="AS49" i="15"/>
  <c r="AN49" i="15"/>
  <c r="AI49" i="15"/>
  <c r="AD49" i="15"/>
  <c r="Y49" i="15"/>
  <c r="T49" i="15"/>
  <c r="O49" i="15"/>
  <c r="J49" i="15"/>
  <c r="BM48" i="15"/>
  <c r="BH48" i="15"/>
  <c r="BC48" i="15"/>
  <c r="AX48" i="15"/>
  <c r="AS48" i="15"/>
  <c r="AN48" i="15"/>
  <c r="AI48" i="15"/>
  <c r="AD48" i="15"/>
  <c r="Y48" i="15"/>
  <c r="T48" i="15"/>
  <c r="O48" i="15"/>
  <c r="J48" i="15"/>
  <c r="BM47" i="15"/>
  <c r="BH47" i="15"/>
  <c r="BC47" i="15"/>
  <c r="AX47" i="15"/>
  <c r="AS47" i="15"/>
  <c r="AN47" i="15"/>
  <c r="AI47" i="15"/>
  <c r="AD47" i="15"/>
  <c r="Y47" i="15"/>
  <c r="T47" i="15"/>
  <c r="O47" i="15"/>
  <c r="J47" i="15"/>
  <c r="BM46" i="15"/>
  <c r="BH46" i="15"/>
  <c r="BC46" i="15"/>
  <c r="AX46" i="15"/>
  <c r="AS46" i="15"/>
  <c r="AN46" i="15"/>
  <c r="AI46" i="15"/>
  <c r="AD46" i="15"/>
  <c r="Y46" i="15"/>
  <c r="T46" i="15"/>
  <c r="O46" i="15"/>
  <c r="J46" i="15"/>
  <c r="BM45" i="15"/>
  <c r="BH45" i="15"/>
  <c r="BC45" i="15"/>
  <c r="AX45" i="15"/>
  <c r="AS45" i="15"/>
  <c r="AN45" i="15"/>
  <c r="AI45" i="15"/>
  <c r="AD45" i="15"/>
  <c r="Y45" i="15"/>
  <c r="T45" i="15"/>
  <c r="O45" i="15"/>
  <c r="J45" i="15"/>
  <c r="BM44" i="15"/>
  <c r="BH44" i="15"/>
  <c r="BC44" i="15"/>
  <c r="AX44" i="15"/>
  <c r="AS44" i="15"/>
  <c r="AN44" i="15"/>
  <c r="AI44" i="15"/>
  <c r="AD44" i="15"/>
  <c r="Y44" i="15"/>
  <c r="T44" i="15"/>
  <c r="O44" i="15"/>
  <c r="J44" i="15"/>
  <c r="BM43" i="15"/>
  <c r="BH43" i="15"/>
  <c r="BC43" i="15"/>
  <c r="AX43" i="15"/>
  <c r="AS43" i="15"/>
  <c r="AN43" i="15"/>
  <c r="AI43" i="15"/>
  <c r="AD43" i="15"/>
  <c r="Y43" i="15"/>
  <c r="T43" i="15"/>
  <c r="O43" i="15"/>
  <c r="J43" i="15"/>
  <c r="BM42" i="15"/>
  <c r="BH42" i="15"/>
  <c r="BC42" i="15"/>
  <c r="AX42" i="15"/>
  <c r="AS42" i="15"/>
  <c r="AN42" i="15"/>
  <c r="AI42" i="15"/>
  <c r="AD42" i="15"/>
  <c r="Y42" i="15"/>
  <c r="T42" i="15"/>
  <c r="O42" i="15"/>
  <c r="J42" i="15"/>
  <c r="BM41" i="15"/>
  <c r="BH41" i="15"/>
  <c r="BC41" i="15"/>
  <c r="AX41" i="15"/>
  <c r="AS41" i="15"/>
  <c r="AN41" i="15"/>
  <c r="AI41" i="15"/>
  <c r="AD41" i="15"/>
  <c r="Y41" i="15"/>
  <c r="T41" i="15"/>
  <c r="O41" i="15"/>
  <c r="J41" i="15"/>
  <c r="BM40" i="15"/>
  <c r="BH40" i="15"/>
  <c r="BC40" i="15"/>
  <c r="AX40" i="15"/>
  <c r="AS40" i="15"/>
  <c r="AN40" i="15"/>
  <c r="AI40" i="15"/>
  <c r="AD40" i="15"/>
  <c r="Y40" i="15"/>
  <c r="T40" i="15"/>
  <c r="O40" i="15"/>
  <c r="J40" i="15"/>
  <c r="BM39" i="15"/>
  <c r="BH39" i="15"/>
  <c r="BC39" i="15"/>
  <c r="AX39" i="15"/>
  <c r="AS39" i="15"/>
  <c r="AN39" i="15"/>
  <c r="AI39" i="15"/>
  <c r="AD39" i="15"/>
  <c r="Y39" i="15"/>
  <c r="T39" i="15"/>
  <c r="O39" i="15"/>
  <c r="J39" i="15"/>
  <c r="BM38" i="15"/>
  <c r="BH38" i="15"/>
  <c r="BC38" i="15"/>
  <c r="AX38" i="15"/>
  <c r="AS38" i="15"/>
  <c r="AN38" i="15"/>
  <c r="AI38" i="15"/>
  <c r="AD38" i="15"/>
  <c r="Y38" i="15"/>
  <c r="T38" i="15"/>
  <c r="O38" i="15"/>
  <c r="J38" i="15"/>
  <c r="BM37" i="15"/>
  <c r="BH37" i="15"/>
  <c r="BC37" i="15"/>
  <c r="AX37" i="15"/>
  <c r="AS37" i="15"/>
  <c r="AN37" i="15"/>
  <c r="AI37" i="15"/>
  <c r="AD37" i="15"/>
  <c r="Y37" i="15"/>
  <c r="T37" i="15"/>
  <c r="O37" i="15"/>
  <c r="J37" i="15"/>
  <c r="BM36" i="15"/>
  <c r="BH36" i="15"/>
  <c r="BC36" i="15"/>
  <c r="AX36" i="15"/>
  <c r="AS36" i="15"/>
  <c r="AN36" i="15"/>
  <c r="AI36" i="15"/>
  <c r="AD36" i="15"/>
  <c r="Y36" i="15"/>
  <c r="T36" i="15"/>
  <c r="O36" i="15"/>
  <c r="J36" i="15"/>
  <c r="BM35" i="15"/>
  <c r="BH35" i="15"/>
  <c r="BC35" i="15"/>
  <c r="AX35" i="15"/>
  <c r="AS35" i="15"/>
  <c r="AN35" i="15"/>
  <c r="AI35" i="15"/>
  <c r="AD35" i="15"/>
  <c r="Y35" i="15"/>
  <c r="T35" i="15"/>
  <c r="O35" i="15"/>
  <c r="J35" i="15"/>
  <c r="BM34" i="15"/>
  <c r="BH34" i="15"/>
  <c r="BC34" i="15"/>
  <c r="AX34" i="15"/>
  <c r="AS34" i="15"/>
  <c r="AN34" i="15"/>
  <c r="AI34" i="15"/>
  <c r="AD34" i="15"/>
  <c r="Y34" i="15"/>
  <c r="T34" i="15"/>
  <c r="O34" i="15"/>
  <c r="J34" i="15"/>
  <c r="BM33" i="15"/>
  <c r="BH33" i="15"/>
  <c r="BC33" i="15"/>
  <c r="AX33" i="15"/>
  <c r="AS33" i="15"/>
  <c r="AN33" i="15"/>
  <c r="AI33" i="15"/>
  <c r="AD33" i="15"/>
  <c r="Y33" i="15"/>
  <c r="T33" i="15"/>
  <c r="O33" i="15"/>
  <c r="J33" i="15"/>
  <c r="BM32" i="15"/>
  <c r="BH32" i="15"/>
  <c r="BC32" i="15"/>
  <c r="AX32" i="15"/>
  <c r="AS32" i="15"/>
  <c r="AN32" i="15"/>
  <c r="AI32" i="15"/>
  <c r="AD32" i="15"/>
  <c r="Y32" i="15"/>
  <c r="T32" i="15"/>
  <c r="O32" i="15"/>
  <c r="J32" i="15"/>
  <c r="BM31" i="15"/>
  <c r="BH31" i="15"/>
  <c r="BC31" i="15"/>
  <c r="AX31" i="15"/>
  <c r="AS31" i="15"/>
  <c r="AN31" i="15"/>
  <c r="AI31" i="15"/>
  <c r="AD31" i="15"/>
  <c r="Y31" i="15"/>
  <c r="T31" i="15"/>
  <c r="O31" i="15"/>
  <c r="J31" i="15"/>
  <c r="BM30" i="15"/>
  <c r="BH30" i="15"/>
  <c r="BC30" i="15"/>
  <c r="AX30" i="15"/>
  <c r="AS30" i="15"/>
  <c r="AN30" i="15"/>
  <c r="AI30" i="15"/>
  <c r="AD30" i="15"/>
  <c r="Y30" i="15"/>
  <c r="T30" i="15"/>
  <c r="O30" i="15"/>
  <c r="J30" i="15"/>
  <c r="BM29" i="15"/>
  <c r="BH29" i="15"/>
  <c r="BC29" i="15"/>
  <c r="AX29" i="15"/>
  <c r="AS29" i="15"/>
  <c r="AN29" i="15"/>
  <c r="AI29" i="15"/>
  <c r="AD29" i="15"/>
  <c r="Y29" i="15"/>
  <c r="T29" i="15"/>
  <c r="O29" i="15"/>
  <c r="J29" i="15"/>
  <c r="BM28" i="15"/>
  <c r="BH28" i="15"/>
  <c r="BC28" i="15"/>
  <c r="AX28" i="15"/>
  <c r="AS28" i="15"/>
  <c r="AN28" i="15"/>
  <c r="AI28" i="15"/>
  <c r="AD28" i="15"/>
  <c r="Y28" i="15"/>
  <c r="T28" i="15"/>
  <c r="O28" i="15"/>
  <c r="J28" i="15"/>
  <c r="BM27" i="15"/>
  <c r="BH27" i="15"/>
  <c r="BC27" i="15"/>
  <c r="AX27" i="15"/>
  <c r="AS27" i="15"/>
  <c r="AN27" i="15"/>
  <c r="AI27" i="15"/>
  <c r="AD27" i="15"/>
  <c r="Y27" i="15"/>
  <c r="T27" i="15"/>
  <c r="O27" i="15"/>
  <c r="J27" i="15"/>
  <c r="BM26" i="15"/>
  <c r="BH26" i="15"/>
  <c r="BC26" i="15"/>
  <c r="AX26" i="15"/>
  <c r="AS26" i="15"/>
  <c r="AN26" i="15"/>
  <c r="AI26" i="15"/>
  <c r="AD26" i="15"/>
  <c r="Y26" i="15"/>
  <c r="T26" i="15"/>
  <c r="O26" i="15"/>
  <c r="J26" i="15"/>
  <c r="BM25" i="15"/>
  <c r="BH25" i="15"/>
  <c r="BC25" i="15"/>
  <c r="AX25" i="15"/>
  <c r="AS25" i="15"/>
  <c r="AN25" i="15"/>
  <c r="AI25" i="15"/>
  <c r="AD25" i="15"/>
  <c r="Y25" i="15"/>
  <c r="T25" i="15"/>
  <c r="O25" i="15"/>
  <c r="J25" i="15"/>
  <c r="BM24" i="15"/>
  <c r="BH24" i="15"/>
  <c r="BC24" i="15"/>
  <c r="AX24" i="15"/>
  <c r="AS24" i="15"/>
  <c r="AN24" i="15"/>
  <c r="AI24" i="15"/>
  <c r="AD24" i="15"/>
  <c r="Y24" i="15"/>
  <c r="T24" i="15"/>
  <c r="O24" i="15"/>
  <c r="J24" i="15"/>
  <c r="BM23" i="15"/>
  <c r="BH23" i="15"/>
  <c r="BC23" i="15"/>
  <c r="AX23" i="15"/>
  <c r="AS23" i="15"/>
  <c r="AN23" i="15"/>
  <c r="AI23" i="15"/>
  <c r="AD23" i="15"/>
  <c r="Y23" i="15"/>
  <c r="T23" i="15"/>
  <c r="O23" i="15"/>
  <c r="J23" i="15"/>
  <c r="BM22" i="15"/>
  <c r="BH22" i="15"/>
  <c r="BC22" i="15"/>
  <c r="AX22" i="15"/>
  <c r="AS22" i="15"/>
  <c r="AN22" i="15"/>
  <c r="AI22" i="15"/>
  <c r="AD22" i="15"/>
  <c r="Y22" i="15"/>
  <c r="T22" i="15"/>
  <c r="O22" i="15"/>
  <c r="J22" i="15"/>
  <c r="BM21" i="15"/>
  <c r="BH21" i="15"/>
  <c r="BC21" i="15"/>
  <c r="AX21" i="15"/>
  <c r="AS21" i="15"/>
  <c r="AN21" i="15"/>
  <c r="AI21" i="15"/>
  <c r="AD21" i="15"/>
  <c r="Y21" i="15"/>
  <c r="T21" i="15"/>
  <c r="O21" i="15"/>
  <c r="J21" i="15"/>
  <c r="BM20" i="15"/>
  <c r="BH20" i="15"/>
  <c r="BC20" i="15"/>
  <c r="AX20" i="15"/>
  <c r="AS20" i="15"/>
  <c r="AN20" i="15"/>
  <c r="AI20" i="15"/>
  <c r="AD20" i="15"/>
  <c r="Y20" i="15"/>
  <c r="T20" i="15"/>
  <c r="O20" i="15"/>
  <c r="J20" i="15"/>
  <c r="BM19" i="15"/>
  <c r="BH19" i="15"/>
  <c r="BC19" i="15"/>
  <c r="AX19" i="15"/>
  <c r="AS19" i="15"/>
  <c r="AN19" i="15"/>
  <c r="AI19" i="15"/>
  <c r="AD19" i="15"/>
  <c r="Y19" i="15"/>
  <c r="T19" i="15"/>
  <c r="O19" i="15"/>
  <c r="J19" i="15"/>
  <c r="BM18" i="15"/>
  <c r="BH18" i="15"/>
  <c r="BC18" i="15"/>
  <c r="AX18" i="15"/>
  <c r="AS18" i="15"/>
  <c r="AN18" i="15"/>
  <c r="AI18" i="15"/>
  <c r="AD18" i="15"/>
  <c r="Y18" i="15"/>
  <c r="T18" i="15"/>
  <c r="O18" i="15"/>
  <c r="J18" i="15"/>
  <c r="BM17" i="15"/>
  <c r="BH17" i="15"/>
  <c r="BC17" i="15"/>
  <c r="AX17" i="15"/>
  <c r="AS17" i="15"/>
  <c r="AN17" i="15"/>
  <c r="AI17" i="15"/>
  <c r="AD17" i="15"/>
  <c r="Y17" i="15"/>
  <c r="T17" i="15"/>
  <c r="O17" i="15"/>
  <c r="J17" i="15"/>
  <c r="BM16" i="15"/>
  <c r="BH16" i="15"/>
  <c r="BC16" i="15"/>
  <c r="AX16" i="15"/>
  <c r="AS16" i="15"/>
  <c r="AN16" i="15"/>
  <c r="AI16" i="15"/>
  <c r="AD16" i="15"/>
  <c r="Y16" i="15"/>
  <c r="T16" i="15"/>
  <c r="O16" i="15"/>
  <c r="J16" i="15"/>
  <c r="BM15" i="15"/>
  <c r="BH15" i="15"/>
  <c r="BC15" i="15"/>
  <c r="AX15" i="15"/>
  <c r="AS15" i="15"/>
  <c r="AN15" i="15"/>
  <c r="AI15" i="15"/>
  <c r="AD15" i="15"/>
  <c r="Y15" i="15"/>
  <c r="T15" i="15"/>
  <c r="O15" i="15"/>
  <c r="J15" i="15"/>
  <c r="BM14" i="15"/>
  <c r="BH14" i="15"/>
  <c r="BC14" i="15"/>
  <c r="AX14" i="15"/>
  <c r="AS14" i="15"/>
  <c r="AN14" i="15"/>
  <c r="AI14" i="15"/>
  <c r="AD14" i="15"/>
  <c r="Y14" i="15"/>
  <c r="T14" i="15"/>
  <c r="O14" i="15"/>
  <c r="J14" i="15"/>
  <c r="BM13" i="15"/>
  <c r="BH13" i="15"/>
  <c r="BC13" i="15"/>
  <c r="AX13" i="15"/>
  <c r="AS13" i="15"/>
  <c r="AN13" i="15"/>
  <c r="AI13" i="15"/>
  <c r="AD13" i="15"/>
  <c r="Y13" i="15"/>
  <c r="T13" i="15"/>
  <c r="O13" i="15"/>
  <c r="J13" i="15"/>
  <c r="BM12" i="15"/>
  <c r="BH12" i="15"/>
  <c r="BC12" i="15"/>
  <c r="AX12" i="15"/>
  <c r="AS12" i="15"/>
  <c r="AN12" i="15"/>
  <c r="AI12" i="15"/>
  <c r="AD12" i="15"/>
  <c r="Y12" i="15"/>
  <c r="T12" i="15"/>
  <c r="O12" i="15"/>
  <c r="J12" i="15"/>
  <c r="BM11" i="15"/>
  <c r="BH11" i="15"/>
  <c r="BC11" i="15"/>
  <c r="AX11" i="15"/>
  <c r="AS11" i="15"/>
  <c r="AN11" i="15"/>
  <c r="AI11" i="15"/>
  <c r="AD11" i="15"/>
  <c r="Y11" i="15"/>
  <c r="T11" i="15"/>
  <c r="O11" i="15"/>
  <c r="J11" i="15"/>
  <c r="BM10" i="15"/>
  <c r="BH10" i="15"/>
  <c r="BC10" i="15"/>
  <c r="AX10" i="15"/>
  <c r="AS10" i="15"/>
  <c r="AN10" i="15"/>
  <c r="AI10" i="15"/>
  <c r="AD10" i="15"/>
  <c r="Y10" i="15"/>
  <c r="T10" i="15"/>
  <c r="O10" i="15"/>
  <c r="J10" i="15"/>
  <c r="BM9" i="15"/>
  <c r="BH9" i="15"/>
  <c r="BC9" i="15"/>
  <c r="AX9" i="15"/>
  <c r="AS9" i="15"/>
  <c r="AN9" i="15"/>
  <c r="AI9" i="15"/>
  <c r="AD9" i="15"/>
  <c r="Y9" i="15"/>
  <c r="T9" i="15"/>
  <c r="O9" i="15"/>
  <c r="J9" i="15"/>
  <c r="BM8" i="15"/>
  <c r="BH8" i="15"/>
  <c r="BC8" i="15"/>
  <c r="AX8" i="15"/>
  <c r="AS8" i="15"/>
  <c r="AN8" i="15"/>
  <c r="AI8" i="15"/>
  <c r="AD8" i="15"/>
  <c r="Y8" i="15"/>
  <c r="T8" i="15"/>
  <c r="O8" i="15"/>
  <c r="J8" i="15"/>
  <c r="BM7" i="15"/>
  <c r="BH7" i="15"/>
  <c r="BC7" i="15"/>
  <c r="AX7" i="15"/>
  <c r="AS7" i="15"/>
  <c r="AN7" i="15"/>
  <c r="AI7" i="15"/>
  <c r="AD7" i="15"/>
  <c r="Y7" i="15"/>
  <c r="T7" i="15"/>
  <c r="O7" i="15"/>
  <c r="J7" i="15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T6" i="15"/>
  <c r="AI6" i="15" l="1"/>
  <c r="AX6" i="15"/>
  <c r="BN6" i="15"/>
  <c r="BM6" i="15"/>
  <c r="BO6" i="15"/>
  <c r="AN6" i="15"/>
  <c r="J6" i="15"/>
  <c r="O6" i="15"/>
  <c r="AS6" i="15"/>
  <c r="Y6" i="15"/>
  <c r="AD6" i="15" l="1"/>
  <c r="BC6" i="15"/>
  <c r="BH6" i="15"/>
  <c r="CW100" i="14" l="1"/>
  <c r="CT100" i="14"/>
  <c r="CO100" i="14"/>
  <c r="CL100" i="14"/>
  <c r="CG100" i="14"/>
  <c r="CD100" i="14"/>
  <c r="BY100" i="14"/>
  <c r="BV100" i="14"/>
  <c r="BQ100" i="14"/>
  <c r="BN100" i="14"/>
  <c r="BI100" i="14"/>
  <c r="BF100" i="14"/>
  <c r="BA100" i="14"/>
  <c r="AX100" i="14"/>
  <c r="AS100" i="14"/>
  <c r="AP100" i="14"/>
  <c r="AK100" i="14"/>
  <c r="AH100" i="14"/>
  <c r="AC100" i="14"/>
  <c r="Z100" i="14"/>
  <c r="U100" i="14"/>
  <c r="R100" i="14"/>
  <c r="M100" i="14"/>
  <c r="J100" i="14"/>
  <c r="CW99" i="14"/>
  <c r="CT99" i="14"/>
  <c r="CO99" i="14"/>
  <c r="CL99" i="14"/>
  <c r="CG99" i="14"/>
  <c r="CD99" i="14"/>
  <c r="BY99" i="14"/>
  <c r="BV99" i="14"/>
  <c r="BQ99" i="14"/>
  <c r="BN99" i="14"/>
  <c r="BI99" i="14"/>
  <c r="BF99" i="14"/>
  <c r="BA99" i="14"/>
  <c r="AX99" i="14"/>
  <c r="AS99" i="14"/>
  <c r="AP99" i="14"/>
  <c r="AK99" i="14"/>
  <c r="AH99" i="14"/>
  <c r="AC99" i="14"/>
  <c r="Z99" i="14"/>
  <c r="U99" i="14"/>
  <c r="R99" i="14"/>
  <c r="M99" i="14"/>
  <c r="J99" i="14"/>
  <c r="CW98" i="14"/>
  <c r="CT98" i="14"/>
  <c r="CO98" i="14"/>
  <c r="CL98" i="14"/>
  <c r="CG98" i="14"/>
  <c r="CD98" i="14"/>
  <c r="BY98" i="14"/>
  <c r="BV98" i="14"/>
  <c r="BQ98" i="14"/>
  <c r="BN98" i="14"/>
  <c r="BI98" i="14"/>
  <c r="BF98" i="14"/>
  <c r="BA98" i="14"/>
  <c r="AX98" i="14"/>
  <c r="AS98" i="14"/>
  <c r="AP98" i="14"/>
  <c r="AK98" i="14"/>
  <c r="AH98" i="14"/>
  <c r="AC98" i="14"/>
  <c r="Z98" i="14"/>
  <c r="U98" i="14"/>
  <c r="R98" i="14"/>
  <c r="M98" i="14"/>
  <c r="J98" i="14"/>
  <c r="CW97" i="14"/>
  <c r="CT97" i="14"/>
  <c r="CO97" i="14"/>
  <c r="CL97" i="14"/>
  <c r="CG97" i="14"/>
  <c r="CD97" i="14"/>
  <c r="BY97" i="14"/>
  <c r="BV97" i="14"/>
  <c r="BQ97" i="14"/>
  <c r="BN97" i="14"/>
  <c r="BI97" i="14"/>
  <c r="BF97" i="14"/>
  <c r="BA97" i="14"/>
  <c r="AX97" i="14"/>
  <c r="AS97" i="14"/>
  <c r="AP97" i="14"/>
  <c r="AK97" i="14"/>
  <c r="AH97" i="14"/>
  <c r="AC97" i="14"/>
  <c r="Z97" i="14"/>
  <c r="U97" i="14"/>
  <c r="R97" i="14"/>
  <c r="M97" i="14"/>
  <c r="J97" i="14"/>
  <c r="CW96" i="14"/>
  <c r="CT96" i="14"/>
  <c r="CO96" i="14"/>
  <c r="CL96" i="14"/>
  <c r="CG96" i="14"/>
  <c r="CD96" i="14"/>
  <c r="BY96" i="14"/>
  <c r="BV96" i="14"/>
  <c r="BQ96" i="14"/>
  <c r="BN96" i="14"/>
  <c r="BI96" i="14"/>
  <c r="BF96" i="14"/>
  <c r="BA96" i="14"/>
  <c r="AX96" i="14"/>
  <c r="AS96" i="14"/>
  <c r="AP96" i="14"/>
  <c r="AK96" i="14"/>
  <c r="AH96" i="14"/>
  <c r="AC96" i="14"/>
  <c r="Z96" i="14"/>
  <c r="U96" i="14"/>
  <c r="R96" i="14"/>
  <c r="M96" i="14"/>
  <c r="J96" i="14"/>
  <c r="CW95" i="14"/>
  <c r="CT95" i="14"/>
  <c r="CO95" i="14"/>
  <c r="CL95" i="14"/>
  <c r="CG95" i="14"/>
  <c r="CD95" i="14"/>
  <c r="BY95" i="14"/>
  <c r="BV95" i="14"/>
  <c r="BQ95" i="14"/>
  <c r="BN95" i="14"/>
  <c r="BI95" i="14"/>
  <c r="BF95" i="14"/>
  <c r="BA95" i="14"/>
  <c r="AX95" i="14"/>
  <c r="AS95" i="14"/>
  <c r="AP95" i="14"/>
  <c r="AK95" i="14"/>
  <c r="AH95" i="14"/>
  <c r="AC95" i="14"/>
  <c r="Z95" i="14"/>
  <c r="U95" i="14"/>
  <c r="R95" i="14"/>
  <c r="M95" i="14"/>
  <c r="J95" i="14"/>
  <c r="CW94" i="14"/>
  <c r="CT94" i="14"/>
  <c r="CO94" i="14"/>
  <c r="CL94" i="14"/>
  <c r="CG94" i="14"/>
  <c r="CD94" i="14"/>
  <c r="BY94" i="14"/>
  <c r="BV94" i="14"/>
  <c r="BQ94" i="14"/>
  <c r="BN94" i="14"/>
  <c r="BI94" i="14"/>
  <c r="BF94" i="14"/>
  <c r="BA94" i="14"/>
  <c r="AX94" i="14"/>
  <c r="AS94" i="14"/>
  <c r="AP94" i="14"/>
  <c r="AK94" i="14"/>
  <c r="AH94" i="14"/>
  <c r="AC94" i="14"/>
  <c r="Z94" i="14"/>
  <c r="U94" i="14"/>
  <c r="R94" i="14"/>
  <c r="M94" i="14"/>
  <c r="J94" i="14"/>
  <c r="CW93" i="14"/>
  <c r="CT93" i="14"/>
  <c r="CO93" i="14"/>
  <c r="CL93" i="14"/>
  <c r="CG93" i="14"/>
  <c r="CD93" i="14"/>
  <c r="BY93" i="14"/>
  <c r="BV93" i="14"/>
  <c r="BQ93" i="14"/>
  <c r="BN93" i="14"/>
  <c r="BI93" i="14"/>
  <c r="BF93" i="14"/>
  <c r="BA93" i="14"/>
  <c r="AX93" i="14"/>
  <c r="AS93" i="14"/>
  <c r="AP93" i="14"/>
  <c r="AK93" i="14"/>
  <c r="AH93" i="14"/>
  <c r="AC93" i="14"/>
  <c r="Z93" i="14"/>
  <c r="U93" i="14"/>
  <c r="R93" i="14"/>
  <c r="M93" i="14"/>
  <c r="J93" i="14"/>
  <c r="CW92" i="14"/>
  <c r="CT92" i="14"/>
  <c r="CO92" i="14"/>
  <c r="CL92" i="14"/>
  <c r="CG92" i="14"/>
  <c r="CD92" i="14"/>
  <c r="BY92" i="14"/>
  <c r="BV92" i="14"/>
  <c r="BQ92" i="14"/>
  <c r="BN92" i="14"/>
  <c r="BI92" i="14"/>
  <c r="BF92" i="14"/>
  <c r="BA92" i="14"/>
  <c r="AX92" i="14"/>
  <c r="AS92" i="14"/>
  <c r="AP92" i="14"/>
  <c r="AK92" i="14"/>
  <c r="AH92" i="14"/>
  <c r="AC92" i="14"/>
  <c r="Z92" i="14"/>
  <c r="U92" i="14"/>
  <c r="R92" i="14"/>
  <c r="M92" i="14"/>
  <c r="J92" i="14"/>
  <c r="CW91" i="14"/>
  <c r="CT91" i="14"/>
  <c r="CO91" i="14"/>
  <c r="CL91" i="14"/>
  <c r="CG91" i="14"/>
  <c r="CD91" i="14"/>
  <c r="BY91" i="14"/>
  <c r="BV91" i="14"/>
  <c r="BQ91" i="14"/>
  <c r="BN91" i="14"/>
  <c r="BI91" i="14"/>
  <c r="BF91" i="14"/>
  <c r="BA91" i="14"/>
  <c r="AX91" i="14"/>
  <c r="AS91" i="14"/>
  <c r="AP91" i="14"/>
  <c r="AK91" i="14"/>
  <c r="AH91" i="14"/>
  <c r="AC91" i="14"/>
  <c r="Z91" i="14"/>
  <c r="U91" i="14"/>
  <c r="R91" i="14"/>
  <c r="M91" i="14"/>
  <c r="J91" i="14"/>
  <c r="CW90" i="14"/>
  <c r="CT90" i="14"/>
  <c r="CO90" i="14"/>
  <c r="CL90" i="14"/>
  <c r="CG90" i="14"/>
  <c r="CD90" i="14"/>
  <c r="BY90" i="14"/>
  <c r="BV90" i="14"/>
  <c r="BQ90" i="14"/>
  <c r="BN90" i="14"/>
  <c r="BI90" i="14"/>
  <c r="BF90" i="14"/>
  <c r="BA90" i="14"/>
  <c r="AX90" i="14"/>
  <c r="AS90" i="14"/>
  <c r="AP90" i="14"/>
  <c r="AK90" i="14"/>
  <c r="AH90" i="14"/>
  <c r="AC90" i="14"/>
  <c r="Z90" i="14"/>
  <c r="U90" i="14"/>
  <c r="R90" i="14"/>
  <c r="M90" i="14"/>
  <c r="J90" i="14"/>
  <c r="CW89" i="14"/>
  <c r="CT89" i="14"/>
  <c r="CO89" i="14"/>
  <c r="CL89" i="14"/>
  <c r="CG89" i="14"/>
  <c r="CD89" i="14"/>
  <c r="BY89" i="14"/>
  <c r="BV89" i="14"/>
  <c r="BQ89" i="14"/>
  <c r="BN89" i="14"/>
  <c r="BI89" i="14"/>
  <c r="BF89" i="14"/>
  <c r="BA89" i="14"/>
  <c r="AX89" i="14"/>
  <c r="AS89" i="14"/>
  <c r="AP89" i="14"/>
  <c r="AK89" i="14"/>
  <c r="AH89" i="14"/>
  <c r="AC89" i="14"/>
  <c r="Z89" i="14"/>
  <c r="U89" i="14"/>
  <c r="R89" i="14"/>
  <c r="M89" i="14"/>
  <c r="J89" i="14"/>
  <c r="CW88" i="14"/>
  <c r="CT88" i="14"/>
  <c r="CO88" i="14"/>
  <c r="CL88" i="14"/>
  <c r="CG88" i="14"/>
  <c r="CD88" i="14"/>
  <c r="BY88" i="14"/>
  <c r="BV88" i="14"/>
  <c r="BQ88" i="14"/>
  <c r="BN88" i="14"/>
  <c r="BI88" i="14"/>
  <c r="BF88" i="14"/>
  <c r="BA88" i="14"/>
  <c r="AX88" i="14"/>
  <c r="AS88" i="14"/>
  <c r="AP88" i="14"/>
  <c r="AK88" i="14"/>
  <c r="AH88" i="14"/>
  <c r="AC88" i="14"/>
  <c r="Z88" i="14"/>
  <c r="U88" i="14"/>
  <c r="R88" i="14"/>
  <c r="M88" i="14"/>
  <c r="J88" i="14"/>
  <c r="CW87" i="14"/>
  <c r="CT87" i="14"/>
  <c r="CO87" i="14"/>
  <c r="CL87" i="14"/>
  <c r="CG87" i="14"/>
  <c r="CD87" i="14"/>
  <c r="BY87" i="14"/>
  <c r="BV87" i="14"/>
  <c r="BQ87" i="14"/>
  <c r="BN87" i="14"/>
  <c r="BI87" i="14"/>
  <c r="BF87" i="14"/>
  <c r="BA87" i="14"/>
  <c r="AX87" i="14"/>
  <c r="AS87" i="14"/>
  <c r="AP87" i="14"/>
  <c r="AK87" i="14"/>
  <c r="AH87" i="14"/>
  <c r="AC87" i="14"/>
  <c r="Z87" i="14"/>
  <c r="U87" i="14"/>
  <c r="R87" i="14"/>
  <c r="M87" i="14"/>
  <c r="J87" i="14"/>
  <c r="CW86" i="14"/>
  <c r="CT86" i="14"/>
  <c r="CO86" i="14"/>
  <c r="CL86" i="14"/>
  <c r="CG86" i="14"/>
  <c r="CD86" i="14"/>
  <c r="BY86" i="14"/>
  <c r="BV86" i="14"/>
  <c r="BQ86" i="14"/>
  <c r="BN86" i="14"/>
  <c r="BI86" i="14"/>
  <c r="BF86" i="14"/>
  <c r="BA86" i="14"/>
  <c r="AX86" i="14"/>
  <c r="AS86" i="14"/>
  <c r="AP86" i="14"/>
  <c r="AK86" i="14"/>
  <c r="AH86" i="14"/>
  <c r="AC86" i="14"/>
  <c r="Z86" i="14"/>
  <c r="U86" i="14"/>
  <c r="R86" i="14"/>
  <c r="M86" i="14"/>
  <c r="J86" i="14"/>
  <c r="CW85" i="14"/>
  <c r="CT85" i="14"/>
  <c r="CO85" i="14"/>
  <c r="CL85" i="14"/>
  <c r="CG85" i="14"/>
  <c r="CD85" i="14"/>
  <c r="BY85" i="14"/>
  <c r="BV85" i="14"/>
  <c r="BQ85" i="14"/>
  <c r="BN85" i="14"/>
  <c r="BI85" i="14"/>
  <c r="BF85" i="14"/>
  <c r="BA85" i="14"/>
  <c r="AX85" i="14"/>
  <c r="AS85" i="14"/>
  <c r="AP85" i="14"/>
  <c r="AK85" i="14"/>
  <c r="AH85" i="14"/>
  <c r="AC85" i="14"/>
  <c r="Z85" i="14"/>
  <c r="U85" i="14"/>
  <c r="R85" i="14"/>
  <c r="M85" i="14"/>
  <c r="J85" i="14"/>
  <c r="CW84" i="14"/>
  <c r="CT84" i="14"/>
  <c r="CO84" i="14"/>
  <c r="CL84" i="14"/>
  <c r="CG84" i="14"/>
  <c r="CD84" i="14"/>
  <c r="BY84" i="14"/>
  <c r="BV84" i="14"/>
  <c r="BQ84" i="14"/>
  <c r="BN84" i="14"/>
  <c r="BI84" i="14"/>
  <c r="BF84" i="14"/>
  <c r="BA84" i="14"/>
  <c r="AX84" i="14"/>
  <c r="AS84" i="14"/>
  <c r="AP84" i="14"/>
  <c r="AK84" i="14"/>
  <c r="AH84" i="14"/>
  <c r="AC84" i="14"/>
  <c r="Z84" i="14"/>
  <c r="U84" i="14"/>
  <c r="R84" i="14"/>
  <c r="M84" i="14"/>
  <c r="J84" i="14"/>
  <c r="CW83" i="14"/>
  <c r="CT83" i="14"/>
  <c r="CO83" i="14"/>
  <c r="CL83" i="14"/>
  <c r="CG83" i="14"/>
  <c r="CD83" i="14"/>
  <c r="BY83" i="14"/>
  <c r="BV83" i="14"/>
  <c r="BQ83" i="14"/>
  <c r="BN83" i="14"/>
  <c r="BI83" i="14"/>
  <c r="BF83" i="14"/>
  <c r="BA83" i="14"/>
  <c r="AX83" i="14"/>
  <c r="AS83" i="14"/>
  <c r="AP83" i="14"/>
  <c r="AK83" i="14"/>
  <c r="AH83" i="14"/>
  <c r="AC83" i="14"/>
  <c r="Z83" i="14"/>
  <c r="U83" i="14"/>
  <c r="R83" i="14"/>
  <c r="M83" i="14"/>
  <c r="J83" i="14"/>
  <c r="CW82" i="14"/>
  <c r="CT82" i="14"/>
  <c r="CO82" i="14"/>
  <c r="CL82" i="14"/>
  <c r="CG82" i="14"/>
  <c r="CD82" i="14"/>
  <c r="BY82" i="14"/>
  <c r="BV82" i="14"/>
  <c r="BQ82" i="14"/>
  <c r="BN82" i="14"/>
  <c r="BI82" i="14"/>
  <c r="BF82" i="14"/>
  <c r="BA82" i="14"/>
  <c r="AX82" i="14"/>
  <c r="AS82" i="14"/>
  <c r="AP82" i="14"/>
  <c r="AK82" i="14"/>
  <c r="AH82" i="14"/>
  <c r="AC82" i="14"/>
  <c r="Z82" i="14"/>
  <c r="U82" i="14"/>
  <c r="R82" i="14"/>
  <c r="M82" i="14"/>
  <c r="J82" i="14"/>
  <c r="CW81" i="14"/>
  <c r="CT81" i="14"/>
  <c r="CO81" i="14"/>
  <c r="CL81" i="14"/>
  <c r="CG81" i="14"/>
  <c r="CD81" i="14"/>
  <c r="BY81" i="14"/>
  <c r="BV81" i="14"/>
  <c r="BQ81" i="14"/>
  <c r="BN81" i="14"/>
  <c r="BI81" i="14"/>
  <c r="BF81" i="14"/>
  <c r="BA81" i="14"/>
  <c r="AX81" i="14"/>
  <c r="AS81" i="14"/>
  <c r="AP81" i="14"/>
  <c r="AK81" i="14"/>
  <c r="AH81" i="14"/>
  <c r="AC81" i="14"/>
  <c r="Z81" i="14"/>
  <c r="U81" i="14"/>
  <c r="R81" i="14"/>
  <c r="M81" i="14"/>
  <c r="J81" i="14"/>
  <c r="CW80" i="14"/>
  <c r="CT80" i="14"/>
  <c r="CO80" i="14"/>
  <c r="CL80" i="14"/>
  <c r="CG80" i="14"/>
  <c r="CD80" i="14"/>
  <c r="BY80" i="14"/>
  <c r="BV80" i="14"/>
  <c r="BQ80" i="14"/>
  <c r="BN80" i="14"/>
  <c r="BI80" i="14"/>
  <c r="BF80" i="14"/>
  <c r="BA80" i="14"/>
  <c r="AX80" i="14"/>
  <c r="AS80" i="14"/>
  <c r="AP80" i="14"/>
  <c r="AK80" i="14"/>
  <c r="AH80" i="14"/>
  <c r="AC80" i="14"/>
  <c r="Z80" i="14"/>
  <c r="U80" i="14"/>
  <c r="R80" i="14"/>
  <c r="M80" i="14"/>
  <c r="J80" i="14"/>
  <c r="CW79" i="14"/>
  <c r="CT79" i="14"/>
  <c r="CO79" i="14"/>
  <c r="CL79" i="14"/>
  <c r="CG79" i="14"/>
  <c r="CD79" i="14"/>
  <c r="BY79" i="14"/>
  <c r="BV79" i="14"/>
  <c r="BQ79" i="14"/>
  <c r="BN79" i="14"/>
  <c r="BI79" i="14"/>
  <c r="BF79" i="14"/>
  <c r="BA79" i="14"/>
  <c r="AX79" i="14"/>
  <c r="AS79" i="14"/>
  <c r="AP79" i="14"/>
  <c r="AK79" i="14"/>
  <c r="AH79" i="14"/>
  <c r="AC79" i="14"/>
  <c r="Z79" i="14"/>
  <c r="U79" i="14"/>
  <c r="R79" i="14"/>
  <c r="M79" i="14"/>
  <c r="J79" i="14"/>
  <c r="CW78" i="14"/>
  <c r="CT78" i="14"/>
  <c r="CO78" i="14"/>
  <c r="CL78" i="14"/>
  <c r="CG78" i="14"/>
  <c r="CD78" i="14"/>
  <c r="BY78" i="14"/>
  <c r="BV78" i="14"/>
  <c r="BQ78" i="14"/>
  <c r="BN78" i="14"/>
  <c r="BI78" i="14"/>
  <c r="BF78" i="14"/>
  <c r="BA78" i="14"/>
  <c r="AX78" i="14"/>
  <c r="AS78" i="14"/>
  <c r="AP78" i="14"/>
  <c r="AK78" i="14"/>
  <c r="AH78" i="14"/>
  <c r="AC78" i="14"/>
  <c r="Z78" i="14"/>
  <c r="U78" i="14"/>
  <c r="R78" i="14"/>
  <c r="M78" i="14"/>
  <c r="J78" i="14"/>
  <c r="CW77" i="14"/>
  <c r="CT77" i="14"/>
  <c r="CO77" i="14"/>
  <c r="CL77" i="14"/>
  <c r="CG77" i="14"/>
  <c r="CD77" i="14"/>
  <c r="BY77" i="14"/>
  <c r="BV77" i="14"/>
  <c r="BQ77" i="14"/>
  <c r="BN77" i="14"/>
  <c r="BI77" i="14"/>
  <c r="BF77" i="14"/>
  <c r="BA77" i="14"/>
  <c r="AX77" i="14"/>
  <c r="AS77" i="14"/>
  <c r="AP77" i="14"/>
  <c r="AK77" i="14"/>
  <c r="AH77" i="14"/>
  <c r="AC77" i="14"/>
  <c r="Z77" i="14"/>
  <c r="U77" i="14"/>
  <c r="R77" i="14"/>
  <c r="M77" i="14"/>
  <c r="J77" i="14"/>
  <c r="CW76" i="14"/>
  <c r="CT76" i="14"/>
  <c r="CO76" i="14"/>
  <c r="CL76" i="14"/>
  <c r="CG76" i="14"/>
  <c r="CD76" i="14"/>
  <c r="BY76" i="14"/>
  <c r="BV76" i="14"/>
  <c r="BQ76" i="14"/>
  <c r="BN76" i="14"/>
  <c r="BI76" i="14"/>
  <c r="BF76" i="14"/>
  <c r="BA76" i="14"/>
  <c r="AX76" i="14"/>
  <c r="AS76" i="14"/>
  <c r="AP76" i="14"/>
  <c r="AK76" i="14"/>
  <c r="AH76" i="14"/>
  <c r="AC76" i="14"/>
  <c r="Z76" i="14"/>
  <c r="U76" i="14"/>
  <c r="R76" i="14"/>
  <c r="M76" i="14"/>
  <c r="J76" i="14"/>
  <c r="CW75" i="14"/>
  <c r="CT75" i="14"/>
  <c r="CO75" i="14"/>
  <c r="CL75" i="14"/>
  <c r="CG75" i="14"/>
  <c r="CD75" i="14"/>
  <c r="BY75" i="14"/>
  <c r="BV75" i="14"/>
  <c r="BQ75" i="14"/>
  <c r="BN75" i="14"/>
  <c r="BI75" i="14"/>
  <c r="BF75" i="14"/>
  <c r="BA75" i="14"/>
  <c r="AX75" i="14"/>
  <c r="AS75" i="14"/>
  <c r="AP75" i="14"/>
  <c r="AK75" i="14"/>
  <c r="AH75" i="14"/>
  <c r="AC75" i="14"/>
  <c r="Z75" i="14"/>
  <c r="U75" i="14"/>
  <c r="R75" i="14"/>
  <c r="M75" i="14"/>
  <c r="J75" i="14"/>
  <c r="CW74" i="14"/>
  <c r="CT74" i="14"/>
  <c r="CO74" i="14"/>
  <c r="CL74" i="14"/>
  <c r="CG74" i="14"/>
  <c r="CD74" i="14"/>
  <c r="BY74" i="14"/>
  <c r="BV74" i="14"/>
  <c r="BQ74" i="14"/>
  <c r="BN74" i="14"/>
  <c r="BI74" i="14"/>
  <c r="BF74" i="14"/>
  <c r="BA74" i="14"/>
  <c r="AX74" i="14"/>
  <c r="AS74" i="14"/>
  <c r="AP74" i="14"/>
  <c r="AK74" i="14"/>
  <c r="AH74" i="14"/>
  <c r="AC74" i="14"/>
  <c r="Z74" i="14"/>
  <c r="U74" i="14"/>
  <c r="R74" i="14"/>
  <c r="M74" i="14"/>
  <c r="J74" i="14"/>
  <c r="CW73" i="14"/>
  <c r="CT73" i="14"/>
  <c r="CO73" i="14"/>
  <c r="CL73" i="14"/>
  <c r="CG73" i="14"/>
  <c r="CD73" i="14"/>
  <c r="BY73" i="14"/>
  <c r="BV73" i="14"/>
  <c r="BQ73" i="14"/>
  <c r="BN73" i="14"/>
  <c r="BI73" i="14"/>
  <c r="BF73" i="14"/>
  <c r="BA73" i="14"/>
  <c r="AX73" i="14"/>
  <c r="AS73" i="14"/>
  <c r="AP73" i="14"/>
  <c r="AK73" i="14"/>
  <c r="AH73" i="14"/>
  <c r="AC73" i="14"/>
  <c r="Z73" i="14"/>
  <c r="U73" i="14"/>
  <c r="R73" i="14"/>
  <c r="M73" i="14"/>
  <c r="J73" i="14"/>
  <c r="CW72" i="14"/>
  <c r="CT72" i="14"/>
  <c r="CO72" i="14"/>
  <c r="CL72" i="14"/>
  <c r="CG72" i="14"/>
  <c r="CD72" i="14"/>
  <c r="BY72" i="14"/>
  <c r="BV72" i="14"/>
  <c r="BQ72" i="14"/>
  <c r="BN72" i="14"/>
  <c r="BI72" i="14"/>
  <c r="BF72" i="14"/>
  <c r="BA72" i="14"/>
  <c r="AX72" i="14"/>
  <c r="AS72" i="14"/>
  <c r="AP72" i="14"/>
  <c r="AK72" i="14"/>
  <c r="AH72" i="14"/>
  <c r="AC72" i="14"/>
  <c r="Z72" i="14"/>
  <c r="U72" i="14"/>
  <c r="R72" i="14"/>
  <c r="M72" i="14"/>
  <c r="J72" i="14"/>
  <c r="CW71" i="14"/>
  <c r="CT71" i="14"/>
  <c r="CO71" i="14"/>
  <c r="CL71" i="14"/>
  <c r="CG71" i="14"/>
  <c r="CD71" i="14"/>
  <c r="BY71" i="14"/>
  <c r="BV71" i="14"/>
  <c r="BQ71" i="14"/>
  <c r="BN71" i="14"/>
  <c r="BI71" i="14"/>
  <c r="BF71" i="14"/>
  <c r="BA71" i="14"/>
  <c r="AX71" i="14"/>
  <c r="AS71" i="14"/>
  <c r="AP71" i="14"/>
  <c r="AK71" i="14"/>
  <c r="AH71" i="14"/>
  <c r="AC71" i="14"/>
  <c r="Z71" i="14"/>
  <c r="U71" i="14"/>
  <c r="R71" i="14"/>
  <c r="M71" i="14"/>
  <c r="J71" i="14"/>
  <c r="CW70" i="14"/>
  <c r="CT70" i="14"/>
  <c r="CO70" i="14"/>
  <c r="CL70" i="14"/>
  <c r="CG70" i="14"/>
  <c r="CD70" i="14"/>
  <c r="BY70" i="14"/>
  <c r="BV70" i="14"/>
  <c r="BQ70" i="14"/>
  <c r="BN70" i="14"/>
  <c r="BI70" i="14"/>
  <c r="BF70" i="14"/>
  <c r="BA70" i="14"/>
  <c r="AX70" i="14"/>
  <c r="AS70" i="14"/>
  <c r="AP70" i="14"/>
  <c r="AK70" i="14"/>
  <c r="AH70" i="14"/>
  <c r="AC70" i="14"/>
  <c r="Z70" i="14"/>
  <c r="U70" i="14"/>
  <c r="R70" i="14"/>
  <c r="M70" i="14"/>
  <c r="J70" i="14"/>
  <c r="CW69" i="14"/>
  <c r="CT69" i="14"/>
  <c r="CO69" i="14"/>
  <c r="CL69" i="14"/>
  <c r="CG69" i="14"/>
  <c r="CD69" i="14"/>
  <c r="BY69" i="14"/>
  <c r="BV69" i="14"/>
  <c r="BQ69" i="14"/>
  <c r="BN69" i="14"/>
  <c r="BI69" i="14"/>
  <c r="BF69" i="14"/>
  <c r="BA69" i="14"/>
  <c r="AX69" i="14"/>
  <c r="AS69" i="14"/>
  <c r="AP69" i="14"/>
  <c r="AK69" i="14"/>
  <c r="AH69" i="14"/>
  <c r="AC69" i="14"/>
  <c r="Z69" i="14"/>
  <c r="U69" i="14"/>
  <c r="R69" i="14"/>
  <c r="M69" i="14"/>
  <c r="J69" i="14"/>
  <c r="CW68" i="14"/>
  <c r="CT68" i="14"/>
  <c r="CO68" i="14"/>
  <c r="CL68" i="14"/>
  <c r="CG68" i="14"/>
  <c r="CD68" i="14"/>
  <c r="BY68" i="14"/>
  <c r="BV68" i="14"/>
  <c r="BQ68" i="14"/>
  <c r="BN68" i="14"/>
  <c r="BI68" i="14"/>
  <c r="BF68" i="14"/>
  <c r="BA68" i="14"/>
  <c r="AX68" i="14"/>
  <c r="AS68" i="14"/>
  <c r="AP68" i="14"/>
  <c r="AK68" i="14"/>
  <c r="AH68" i="14"/>
  <c r="AC68" i="14"/>
  <c r="Z68" i="14"/>
  <c r="U68" i="14"/>
  <c r="R68" i="14"/>
  <c r="M68" i="14"/>
  <c r="J68" i="14"/>
  <c r="CW67" i="14"/>
  <c r="CT67" i="14"/>
  <c r="CO67" i="14"/>
  <c r="CL67" i="14"/>
  <c r="CG67" i="14"/>
  <c r="CD67" i="14"/>
  <c r="BY67" i="14"/>
  <c r="BV67" i="14"/>
  <c r="BQ67" i="14"/>
  <c r="BN67" i="14"/>
  <c r="BI67" i="14"/>
  <c r="BF67" i="14"/>
  <c r="BA67" i="14"/>
  <c r="AX67" i="14"/>
  <c r="AS67" i="14"/>
  <c r="AP67" i="14"/>
  <c r="AK67" i="14"/>
  <c r="AH67" i="14"/>
  <c r="AC67" i="14"/>
  <c r="Z67" i="14"/>
  <c r="U67" i="14"/>
  <c r="R67" i="14"/>
  <c r="M67" i="14"/>
  <c r="J67" i="14"/>
  <c r="CW66" i="14"/>
  <c r="CT66" i="14"/>
  <c r="CO66" i="14"/>
  <c r="CL66" i="14"/>
  <c r="CG66" i="14"/>
  <c r="CD66" i="14"/>
  <c r="BY66" i="14"/>
  <c r="BV66" i="14"/>
  <c r="BQ66" i="14"/>
  <c r="BN66" i="14"/>
  <c r="BI66" i="14"/>
  <c r="BF66" i="14"/>
  <c r="BA66" i="14"/>
  <c r="AX66" i="14"/>
  <c r="AS66" i="14"/>
  <c r="AP66" i="14"/>
  <c r="AK66" i="14"/>
  <c r="AH66" i="14"/>
  <c r="AC66" i="14"/>
  <c r="Z66" i="14"/>
  <c r="U66" i="14"/>
  <c r="R66" i="14"/>
  <c r="M66" i="14"/>
  <c r="J66" i="14"/>
  <c r="CW65" i="14"/>
  <c r="CT65" i="14"/>
  <c r="CO65" i="14"/>
  <c r="CL65" i="14"/>
  <c r="CG65" i="14"/>
  <c r="CD65" i="14"/>
  <c r="BY65" i="14"/>
  <c r="BV65" i="14"/>
  <c r="BQ65" i="14"/>
  <c r="BN65" i="14"/>
  <c r="BI65" i="14"/>
  <c r="BF65" i="14"/>
  <c r="BA65" i="14"/>
  <c r="AX65" i="14"/>
  <c r="AS65" i="14"/>
  <c r="AP65" i="14"/>
  <c r="AK65" i="14"/>
  <c r="AH65" i="14"/>
  <c r="AC65" i="14"/>
  <c r="Z65" i="14"/>
  <c r="U65" i="14"/>
  <c r="R65" i="14"/>
  <c r="M65" i="14"/>
  <c r="J65" i="14"/>
  <c r="CW64" i="14"/>
  <c r="CT64" i="14"/>
  <c r="CO64" i="14"/>
  <c r="CL64" i="14"/>
  <c r="CG64" i="14"/>
  <c r="CD64" i="14"/>
  <c r="BY64" i="14"/>
  <c r="BV64" i="14"/>
  <c r="BQ64" i="14"/>
  <c r="BN64" i="14"/>
  <c r="BI64" i="14"/>
  <c r="BF64" i="14"/>
  <c r="BA64" i="14"/>
  <c r="AX64" i="14"/>
  <c r="AS64" i="14"/>
  <c r="AP64" i="14"/>
  <c r="AK64" i="14"/>
  <c r="AH64" i="14"/>
  <c r="AC64" i="14"/>
  <c r="Z64" i="14"/>
  <c r="U64" i="14"/>
  <c r="R64" i="14"/>
  <c r="M64" i="14"/>
  <c r="J64" i="14"/>
  <c r="CW63" i="14"/>
  <c r="CT63" i="14"/>
  <c r="CO63" i="14"/>
  <c r="CL63" i="14"/>
  <c r="CG63" i="14"/>
  <c r="CD63" i="14"/>
  <c r="BY63" i="14"/>
  <c r="BV63" i="14"/>
  <c r="BQ63" i="14"/>
  <c r="BN63" i="14"/>
  <c r="BI63" i="14"/>
  <c r="BF63" i="14"/>
  <c r="BA63" i="14"/>
  <c r="AX63" i="14"/>
  <c r="AS63" i="14"/>
  <c r="AP63" i="14"/>
  <c r="AK63" i="14"/>
  <c r="AH63" i="14"/>
  <c r="AC63" i="14"/>
  <c r="Z63" i="14"/>
  <c r="U63" i="14"/>
  <c r="R63" i="14"/>
  <c r="M63" i="14"/>
  <c r="J63" i="14"/>
  <c r="CW62" i="14"/>
  <c r="CT62" i="14"/>
  <c r="CO62" i="14"/>
  <c r="CL62" i="14"/>
  <c r="CG62" i="14"/>
  <c r="CD62" i="14"/>
  <c r="BY62" i="14"/>
  <c r="BV62" i="14"/>
  <c r="BQ62" i="14"/>
  <c r="BN62" i="14"/>
  <c r="BI62" i="14"/>
  <c r="BF62" i="14"/>
  <c r="BA62" i="14"/>
  <c r="AX62" i="14"/>
  <c r="AS62" i="14"/>
  <c r="AP62" i="14"/>
  <c r="AK62" i="14"/>
  <c r="AH62" i="14"/>
  <c r="AC62" i="14"/>
  <c r="Z62" i="14"/>
  <c r="U62" i="14"/>
  <c r="R62" i="14"/>
  <c r="M62" i="14"/>
  <c r="J62" i="14"/>
  <c r="CW61" i="14"/>
  <c r="CT61" i="14"/>
  <c r="CO61" i="14"/>
  <c r="CL61" i="14"/>
  <c r="CG61" i="14"/>
  <c r="CD61" i="14"/>
  <c r="BY61" i="14"/>
  <c r="BV61" i="14"/>
  <c r="BQ61" i="14"/>
  <c r="BN61" i="14"/>
  <c r="BI61" i="14"/>
  <c r="BF61" i="14"/>
  <c r="BA61" i="14"/>
  <c r="AX61" i="14"/>
  <c r="AS61" i="14"/>
  <c r="AP61" i="14"/>
  <c r="AK61" i="14"/>
  <c r="AH61" i="14"/>
  <c r="AC61" i="14"/>
  <c r="Z61" i="14"/>
  <c r="U61" i="14"/>
  <c r="R61" i="14"/>
  <c r="M61" i="14"/>
  <c r="J61" i="14"/>
  <c r="CW60" i="14"/>
  <c r="CT60" i="14"/>
  <c r="CO60" i="14"/>
  <c r="CL60" i="14"/>
  <c r="CG60" i="14"/>
  <c r="CD60" i="14"/>
  <c r="BY60" i="14"/>
  <c r="BV60" i="14"/>
  <c r="BQ60" i="14"/>
  <c r="BN60" i="14"/>
  <c r="BI60" i="14"/>
  <c r="BF60" i="14"/>
  <c r="BA60" i="14"/>
  <c r="AX60" i="14"/>
  <c r="AS60" i="14"/>
  <c r="AP60" i="14"/>
  <c r="AK60" i="14"/>
  <c r="AH60" i="14"/>
  <c r="AC60" i="14"/>
  <c r="Z60" i="14"/>
  <c r="U60" i="14"/>
  <c r="R60" i="14"/>
  <c r="M60" i="14"/>
  <c r="J60" i="14"/>
  <c r="CW59" i="14"/>
  <c r="CT59" i="14"/>
  <c r="CO59" i="14"/>
  <c r="CL59" i="14"/>
  <c r="CG59" i="14"/>
  <c r="CD59" i="14"/>
  <c r="BY59" i="14"/>
  <c r="BV59" i="14"/>
  <c r="BQ59" i="14"/>
  <c r="BN59" i="14"/>
  <c r="BI59" i="14"/>
  <c r="BF59" i="14"/>
  <c r="BA59" i="14"/>
  <c r="AX59" i="14"/>
  <c r="AS59" i="14"/>
  <c r="AP59" i="14"/>
  <c r="AK59" i="14"/>
  <c r="AH59" i="14"/>
  <c r="AC59" i="14"/>
  <c r="Z59" i="14"/>
  <c r="U59" i="14"/>
  <c r="R59" i="14"/>
  <c r="M59" i="14"/>
  <c r="J59" i="14"/>
  <c r="CW58" i="14"/>
  <c r="CT58" i="14"/>
  <c r="CO58" i="14"/>
  <c r="CL58" i="14"/>
  <c r="CG58" i="14"/>
  <c r="CD58" i="14"/>
  <c r="BY58" i="14"/>
  <c r="BV58" i="14"/>
  <c r="BQ58" i="14"/>
  <c r="BN58" i="14"/>
  <c r="BI58" i="14"/>
  <c r="BF58" i="14"/>
  <c r="BA58" i="14"/>
  <c r="AX58" i="14"/>
  <c r="AS58" i="14"/>
  <c r="AP58" i="14"/>
  <c r="AK58" i="14"/>
  <c r="AH58" i="14"/>
  <c r="AC58" i="14"/>
  <c r="Z58" i="14"/>
  <c r="U58" i="14"/>
  <c r="R58" i="14"/>
  <c r="M58" i="14"/>
  <c r="J58" i="14"/>
  <c r="CW57" i="14"/>
  <c r="CT57" i="14"/>
  <c r="CO57" i="14"/>
  <c r="CL57" i="14"/>
  <c r="CG57" i="14"/>
  <c r="CD57" i="14"/>
  <c r="BY57" i="14"/>
  <c r="BV57" i="14"/>
  <c r="BQ57" i="14"/>
  <c r="BN57" i="14"/>
  <c r="BI57" i="14"/>
  <c r="BF57" i="14"/>
  <c r="BA57" i="14"/>
  <c r="AX57" i="14"/>
  <c r="AS57" i="14"/>
  <c r="AP57" i="14"/>
  <c r="AK57" i="14"/>
  <c r="AH57" i="14"/>
  <c r="AC57" i="14"/>
  <c r="Z57" i="14"/>
  <c r="U57" i="14"/>
  <c r="R57" i="14"/>
  <c r="M57" i="14"/>
  <c r="J57" i="14"/>
  <c r="CW56" i="14"/>
  <c r="CT56" i="14"/>
  <c r="CO56" i="14"/>
  <c r="CL56" i="14"/>
  <c r="CG56" i="14"/>
  <c r="CD56" i="14"/>
  <c r="BY56" i="14"/>
  <c r="BV56" i="14"/>
  <c r="BQ56" i="14"/>
  <c r="BN56" i="14"/>
  <c r="BI56" i="14"/>
  <c r="BF56" i="14"/>
  <c r="BA56" i="14"/>
  <c r="AX56" i="14"/>
  <c r="AS56" i="14"/>
  <c r="AP56" i="14"/>
  <c r="AK56" i="14"/>
  <c r="AH56" i="14"/>
  <c r="AC56" i="14"/>
  <c r="Z56" i="14"/>
  <c r="U56" i="14"/>
  <c r="R56" i="14"/>
  <c r="M56" i="14"/>
  <c r="J56" i="14"/>
  <c r="CW55" i="14"/>
  <c r="CT55" i="14"/>
  <c r="CO55" i="14"/>
  <c r="CL55" i="14"/>
  <c r="CG55" i="14"/>
  <c r="CD55" i="14"/>
  <c r="BY55" i="14"/>
  <c r="BV55" i="14"/>
  <c r="BQ55" i="14"/>
  <c r="BN55" i="14"/>
  <c r="BI55" i="14"/>
  <c r="BF55" i="14"/>
  <c r="BA55" i="14"/>
  <c r="AX55" i="14"/>
  <c r="AS55" i="14"/>
  <c r="AP55" i="14"/>
  <c r="AK55" i="14"/>
  <c r="AH55" i="14"/>
  <c r="AC55" i="14"/>
  <c r="Z55" i="14"/>
  <c r="U55" i="14"/>
  <c r="R55" i="14"/>
  <c r="M55" i="14"/>
  <c r="J55" i="14"/>
  <c r="CW54" i="14"/>
  <c r="CT54" i="14"/>
  <c r="CO54" i="14"/>
  <c r="CL54" i="14"/>
  <c r="CG54" i="14"/>
  <c r="CD54" i="14"/>
  <c r="BY54" i="14"/>
  <c r="BV54" i="14"/>
  <c r="BQ54" i="14"/>
  <c r="BN54" i="14"/>
  <c r="BI54" i="14"/>
  <c r="BF54" i="14"/>
  <c r="BA54" i="14"/>
  <c r="AX54" i="14"/>
  <c r="AS54" i="14"/>
  <c r="AP54" i="14"/>
  <c r="AK54" i="14"/>
  <c r="AH54" i="14"/>
  <c r="AC54" i="14"/>
  <c r="Z54" i="14"/>
  <c r="U54" i="14"/>
  <c r="R54" i="14"/>
  <c r="M54" i="14"/>
  <c r="J54" i="14"/>
  <c r="CW53" i="14"/>
  <c r="CT53" i="14"/>
  <c r="CO53" i="14"/>
  <c r="CL53" i="14"/>
  <c r="CG53" i="14"/>
  <c r="CD53" i="14"/>
  <c r="BY53" i="14"/>
  <c r="BV53" i="14"/>
  <c r="BQ53" i="14"/>
  <c r="BN53" i="14"/>
  <c r="BI53" i="14"/>
  <c r="BF53" i="14"/>
  <c r="BA53" i="14"/>
  <c r="AX53" i="14"/>
  <c r="AS53" i="14"/>
  <c r="AP53" i="14"/>
  <c r="AK53" i="14"/>
  <c r="AH53" i="14"/>
  <c r="AC53" i="14"/>
  <c r="Z53" i="14"/>
  <c r="U53" i="14"/>
  <c r="R53" i="14"/>
  <c r="M53" i="14"/>
  <c r="J53" i="14"/>
  <c r="CW52" i="14"/>
  <c r="CT52" i="14"/>
  <c r="CO52" i="14"/>
  <c r="CL52" i="14"/>
  <c r="CG52" i="14"/>
  <c r="CD52" i="14"/>
  <c r="BY52" i="14"/>
  <c r="BV52" i="14"/>
  <c r="BQ52" i="14"/>
  <c r="BN52" i="14"/>
  <c r="BI52" i="14"/>
  <c r="BF52" i="14"/>
  <c r="BA52" i="14"/>
  <c r="AX52" i="14"/>
  <c r="AS52" i="14"/>
  <c r="AP52" i="14"/>
  <c r="AK52" i="14"/>
  <c r="AH52" i="14"/>
  <c r="AC52" i="14"/>
  <c r="Z52" i="14"/>
  <c r="U52" i="14"/>
  <c r="R52" i="14"/>
  <c r="M52" i="14"/>
  <c r="J52" i="14"/>
  <c r="CW51" i="14"/>
  <c r="CT51" i="14"/>
  <c r="CO51" i="14"/>
  <c r="CL51" i="14"/>
  <c r="CG51" i="14"/>
  <c r="CD51" i="14"/>
  <c r="BY51" i="14"/>
  <c r="BV51" i="14"/>
  <c r="BQ51" i="14"/>
  <c r="BN51" i="14"/>
  <c r="BI51" i="14"/>
  <c r="BF51" i="14"/>
  <c r="BA51" i="14"/>
  <c r="AX51" i="14"/>
  <c r="AS51" i="14"/>
  <c r="AP51" i="14"/>
  <c r="AK51" i="14"/>
  <c r="AH51" i="14"/>
  <c r="AC51" i="14"/>
  <c r="Z51" i="14"/>
  <c r="U51" i="14"/>
  <c r="R51" i="14"/>
  <c r="M51" i="14"/>
  <c r="J51" i="14"/>
  <c r="CW50" i="14"/>
  <c r="CT50" i="14"/>
  <c r="CO50" i="14"/>
  <c r="CL50" i="14"/>
  <c r="CG50" i="14"/>
  <c r="CD50" i="14"/>
  <c r="BY50" i="14"/>
  <c r="BV50" i="14"/>
  <c r="BQ50" i="14"/>
  <c r="BN50" i="14"/>
  <c r="BI50" i="14"/>
  <c r="BF50" i="14"/>
  <c r="BA50" i="14"/>
  <c r="AX50" i="14"/>
  <c r="AS50" i="14"/>
  <c r="AP50" i="14"/>
  <c r="AK50" i="14"/>
  <c r="AH50" i="14"/>
  <c r="AC50" i="14"/>
  <c r="Z50" i="14"/>
  <c r="U50" i="14"/>
  <c r="R50" i="14"/>
  <c r="M50" i="14"/>
  <c r="J50" i="14"/>
  <c r="CW49" i="14"/>
  <c r="CT49" i="14"/>
  <c r="CO49" i="14"/>
  <c r="CL49" i="14"/>
  <c r="CG49" i="14"/>
  <c r="CD49" i="14"/>
  <c r="BY49" i="14"/>
  <c r="BV49" i="14"/>
  <c r="BQ49" i="14"/>
  <c r="BN49" i="14"/>
  <c r="BI49" i="14"/>
  <c r="BF49" i="14"/>
  <c r="BA49" i="14"/>
  <c r="AX49" i="14"/>
  <c r="AS49" i="14"/>
  <c r="AP49" i="14"/>
  <c r="AK49" i="14"/>
  <c r="AH49" i="14"/>
  <c r="AC49" i="14"/>
  <c r="Z49" i="14"/>
  <c r="U49" i="14"/>
  <c r="R49" i="14"/>
  <c r="M49" i="14"/>
  <c r="J49" i="14"/>
  <c r="CW48" i="14"/>
  <c r="CT48" i="14"/>
  <c r="CO48" i="14"/>
  <c r="CL48" i="14"/>
  <c r="CG48" i="14"/>
  <c r="CD48" i="14"/>
  <c r="BY48" i="14"/>
  <c r="BV48" i="14"/>
  <c r="BQ48" i="14"/>
  <c r="BN48" i="14"/>
  <c r="BI48" i="14"/>
  <c r="BF48" i="14"/>
  <c r="BA48" i="14"/>
  <c r="AX48" i="14"/>
  <c r="AS48" i="14"/>
  <c r="AP48" i="14"/>
  <c r="AK48" i="14"/>
  <c r="AH48" i="14"/>
  <c r="AC48" i="14"/>
  <c r="Z48" i="14"/>
  <c r="U48" i="14"/>
  <c r="R48" i="14"/>
  <c r="M48" i="14"/>
  <c r="J48" i="14"/>
  <c r="CW47" i="14"/>
  <c r="CT47" i="14"/>
  <c r="CO47" i="14"/>
  <c r="CL47" i="14"/>
  <c r="CG47" i="14"/>
  <c r="CD47" i="14"/>
  <c r="BY47" i="14"/>
  <c r="BV47" i="14"/>
  <c r="BQ47" i="14"/>
  <c r="BN47" i="14"/>
  <c r="BI47" i="14"/>
  <c r="BF47" i="14"/>
  <c r="BA47" i="14"/>
  <c r="AX47" i="14"/>
  <c r="AS47" i="14"/>
  <c r="AP47" i="14"/>
  <c r="AK47" i="14"/>
  <c r="AH47" i="14"/>
  <c r="AC47" i="14"/>
  <c r="Z47" i="14"/>
  <c r="U47" i="14"/>
  <c r="R47" i="14"/>
  <c r="M47" i="14"/>
  <c r="J47" i="14"/>
  <c r="CW46" i="14"/>
  <c r="CT46" i="14"/>
  <c r="CO46" i="14"/>
  <c r="CL46" i="14"/>
  <c r="CG46" i="14"/>
  <c r="CD46" i="14"/>
  <c r="BY46" i="14"/>
  <c r="BV46" i="14"/>
  <c r="BQ46" i="14"/>
  <c r="BN46" i="14"/>
  <c r="BI46" i="14"/>
  <c r="BF46" i="14"/>
  <c r="BA46" i="14"/>
  <c r="AX46" i="14"/>
  <c r="AS46" i="14"/>
  <c r="AP46" i="14"/>
  <c r="AK46" i="14"/>
  <c r="AH46" i="14"/>
  <c r="AC46" i="14"/>
  <c r="Z46" i="14"/>
  <c r="U46" i="14"/>
  <c r="R46" i="14"/>
  <c r="M46" i="14"/>
  <c r="J46" i="14"/>
  <c r="CW45" i="14"/>
  <c r="CT45" i="14"/>
  <c r="CO45" i="14"/>
  <c r="CL45" i="14"/>
  <c r="CG45" i="14"/>
  <c r="CD45" i="14"/>
  <c r="BY45" i="14"/>
  <c r="BV45" i="14"/>
  <c r="BQ45" i="14"/>
  <c r="BN45" i="14"/>
  <c r="BI45" i="14"/>
  <c r="BF45" i="14"/>
  <c r="BA45" i="14"/>
  <c r="AX45" i="14"/>
  <c r="AS45" i="14"/>
  <c r="AP45" i="14"/>
  <c r="AK45" i="14"/>
  <c r="AH45" i="14"/>
  <c r="AC45" i="14"/>
  <c r="Z45" i="14"/>
  <c r="U45" i="14"/>
  <c r="R45" i="14"/>
  <c r="M45" i="14"/>
  <c r="J45" i="14"/>
  <c r="CW44" i="14"/>
  <c r="CT44" i="14"/>
  <c r="CO44" i="14"/>
  <c r="CL44" i="14"/>
  <c r="CG44" i="14"/>
  <c r="CD44" i="14"/>
  <c r="BY44" i="14"/>
  <c r="BV44" i="14"/>
  <c r="BQ44" i="14"/>
  <c r="BN44" i="14"/>
  <c r="BI44" i="14"/>
  <c r="BF44" i="14"/>
  <c r="BA44" i="14"/>
  <c r="AX44" i="14"/>
  <c r="AS44" i="14"/>
  <c r="AP44" i="14"/>
  <c r="AK44" i="14"/>
  <c r="AH44" i="14"/>
  <c r="AC44" i="14"/>
  <c r="Z44" i="14"/>
  <c r="U44" i="14"/>
  <c r="R44" i="14"/>
  <c r="M44" i="14"/>
  <c r="J44" i="14"/>
  <c r="CW43" i="14"/>
  <c r="CT43" i="14"/>
  <c r="CO43" i="14"/>
  <c r="CL43" i="14"/>
  <c r="CG43" i="14"/>
  <c r="CD43" i="14"/>
  <c r="BY43" i="14"/>
  <c r="BV43" i="14"/>
  <c r="BQ43" i="14"/>
  <c r="BN43" i="14"/>
  <c r="BI43" i="14"/>
  <c r="BF43" i="14"/>
  <c r="BA43" i="14"/>
  <c r="AX43" i="14"/>
  <c r="AS43" i="14"/>
  <c r="AP43" i="14"/>
  <c r="AK43" i="14"/>
  <c r="AH43" i="14"/>
  <c r="AC43" i="14"/>
  <c r="Z43" i="14"/>
  <c r="U43" i="14"/>
  <c r="R43" i="14"/>
  <c r="M43" i="14"/>
  <c r="J43" i="14"/>
  <c r="CW42" i="14"/>
  <c r="CT42" i="14"/>
  <c r="CO42" i="14"/>
  <c r="CL42" i="14"/>
  <c r="CG42" i="14"/>
  <c r="CD42" i="14"/>
  <c r="BY42" i="14"/>
  <c r="BV42" i="14"/>
  <c r="BQ42" i="14"/>
  <c r="BN42" i="14"/>
  <c r="BI42" i="14"/>
  <c r="BF42" i="14"/>
  <c r="BA42" i="14"/>
  <c r="AX42" i="14"/>
  <c r="AS42" i="14"/>
  <c r="AP42" i="14"/>
  <c r="AK42" i="14"/>
  <c r="AH42" i="14"/>
  <c r="AC42" i="14"/>
  <c r="Z42" i="14"/>
  <c r="U42" i="14"/>
  <c r="R42" i="14"/>
  <c r="M42" i="14"/>
  <c r="J42" i="14"/>
  <c r="CW41" i="14"/>
  <c r="CT41" i="14"/>
  <c r="CO41" i="14"/>
  <c r="CL41" i="14"/>
  <c r="CG41" i="14"/>
  <c r="CD41" i="14"/>
  <c r="BY41" i="14"/>
  <c r="BV41" i="14"/>
  <c r="BQ41" i="14"/>
  <c r="BN41" i="14"/>
  <c r="BI41" i="14"/>
  <c r="BF41" i="14"/>
  <c r="BA41" i="14"/>
  <c r="AX41" i="14"/>
  <c r="AS41" i="14"/>
  <c r="AP41" i="14"/>
  <c r="AK41" i="14"/>
  <c r="AH41" i="14"/>
  <c r="AC41" i="14"/>
  <c r="Z41" i="14"/>
  <c r="U41" i="14"/>
  <c r="R41" i="14"/>
  <c r="M41" i="14"/>
  <c r="J41" i="14"/>
  <c r="CW40" i="14"/>
  <c r="CT40" i="14"/>
  <c r="CO40" i="14"/>
  <c r="CL40" i="14"/>
  <c r="CG40" i="14"/>
  <c r="CD40" i="14"/>
  <c r="BY40" i="14"/>
  <c r="BV40" i="14"/>
  <c r="BQ40" i="14"/>
  <c r="BN40" i="14"/>
  <c r="BI40" i="14"/>
  <c r="BF40" i="14"/>
  <c r="BA40" i="14"/>
  <c r="AX40" i="14"/>
  <c r="AS40" i="14"/>
  <c r="AP40" i="14"/>
  <c r="AK40" i="14"/>
  <c r="AH40" i="14"/>
  <c r="AC40" i="14"/>
  <c r="Z40" i="14"/>
  <c r="U40" i="14"/>
  <c r="R40" i="14"/>
  <c r="M40" i="14"/>
  <c r="J40" i="14"/>
  <c r="CW39" i="14"/>
  <c r="CT39" i="14"/>
  <c r="CO39" i="14"/>
  <c r="CL39" i="14"/>
  <c r="CG39" i="14"/>
  <c r="CD39" i="14"/>
  <c r="BY39" i="14"/>
  <c r="BV39" i="14"/>
  <c r="BQ39" i="14"/>
  <c r="BN39" i="14"/>
  <c r="BI39" i="14"/>
  <c r="BF39" i="14"/>
  <c r="BA39" i="14"/>
  <c r="AX39" i="14"/>
  <c r="AS39" i="14"/>
  <c r="AP39" i="14"/>
  <c r="AK39" i="14"/>
  <c r="AH39" i="14"/>
  <c r="AC39" i="14"/>
  <c r="Z39" i="14"/>
  <c r="U39" i="14"/>
  <c r="R39" i="14"/>
  <c r="M39" i="14"/>
  <c r="J39" i="14"/>
  <c r="CW38" i="14"/>
  <c r="CT38" i="14"/>
  <c r="CO38" i="14"/>
  <c r="CL38" i="14"/>
  <c r="CG38" i="14"/>
  <c r="CD38" i="14"/>
  <c r="BY38" i="14"/>
  <c r="BV38" i="14"/>
  <c r="BQ38" i="14"/>
  <c r="BN38" i="14"/>
  <c r="BI38" i="14"/>
  <c r="BF38" i="14"/>
  <c r="BA38" i="14"/>
  <c r="AX38" i="14"/>
  <c r="AS38" i="14"/>
  <c r="AP38" i="14"/>
  <c r="AK38" i="14"/>
  <c r="AH38" i="14"/>
  <c r="AC38" i="14"/>
  <c r="Z38" i="14"/>
  <c r="U38" i="14"/>
  <c r="R38" i="14"/>
  <c r="M38" i="14"/>
  <c r="J38" i="14"/>
  <c r="CW37" i="14"/>
  <c r="CT37" i="14"/>
  <c r="CO37" i="14"/>
  <c r="CL37" i="14"/>
  <c r="CG37" i="14"/>
  <c r="CD37" i="14"/>
  <c r="BY37" i="14"/>
  <c r="BV37" i="14"/>
  <c r="BQ37" i="14"/>
  <c r="BN37" i="14"/>
  <c r="BI37" i="14"/>
  <c r="BF37" i="14"/>
  <c r="BA37" i="14"/>
  <c r="AX37" i="14"/>
  <c r="AS37" i="14"/>
  <c r="AP37" i="14"/>
  <c r="AK37" i="14"/>
  <c r="AH37" i="14"/>
  <c r="AC37" i="14"/>
  <c r="Z37" i="14"/>
  <c r="U37" i="14"/>
  <c r="R37" i="14"/>
  <c r="M37" i="14"/>
  <c r="J37" i="14"/>
  <c r="CW36" i="14"/>
  <c r="CT36" i="14"/>
  <c r="CO36" i="14"/>
  <c r="CL36" i="14"/>
  <c r="CG36" i="14"/>
  <c r="CD36" i="14"/>
  <c r="BY36" i="14"/>
  <c r="BV36" i="14"/>
  <c r="BQ36" i="14"/>
  <c r="BN36" i="14"/>
  <c r="BI36" i="14"/>
  <c r="BF36" i="14"/>
  <c r="BA36" i="14"/>
  <c r="AX36" i="14"/>
  <c r="AS36" i="14"/>
  <c r="AP36" i="14"/>
  <c r="AK36" i="14"/>
  <c r="AH36" i="14"/>
  <c r="AC36" i="14"/>
  <c r="Z36" i="14"/>
  <c r="U36" i="14"/>
  <c r="R36" i="14"/>
  <c r="M36" i="14"/>
  <c r="J36" i="14"/>
  <c r="CW35" i="14"/>
  <c r="CT35" i="14"/>
  <c r="CO35" i="14"/>
  <c r="CL35" i="14"/>
  <c r="CG35" i="14"/>
  <c r="CD35" i="14"/>
  <c r="BY35" i="14"/>
  <c r="BV35" i="14"/>
  <c r="BQ35" i="14"/>
  <c r="BN35" i="14"/>
  <c r="BI35" i="14"/>
  <c r="BF35" i="14"/>
  <c r="BA35" i="14"/>
  <c r="AX35" i="14"/>
  <c r="AS35" i="14"/>
  <c r="AP35" i="14"/>
  <c r="AK35" i="14"/>
  <c r="AH35" i="14"/>
  <c r="AC35" i="14"/>
  <c r="Z35" i="14"/>
  <c r="U35" i="14"/>
  <c r="R35" i="14"/>
  <c r="M35" i="14"/>
  <c r="J35" i="14"/>
  <c r="CW34" i="14"/>
  <c r="CT34" i="14"/>
  <c r="CO34" i="14"/>
  <c r="CL34" i="14"/>
  <c r="CG34" i="14"/>
  <c r="CD34" i="14"/>
  <c r="BY34" i="14"/>
  <c r="BV34" i="14"/>
  <c r="BQ34" i="14"/>
  <c r="BN34" i="14"/>
  <c r="BI34" i="14"/>
  <c r="BF34" i="14"/>
  <c r="BA34" i="14"/>
  <c r="AX34" i="14"/>
  <c r="AS34" i="14"/>
  <c r="AP34" i="14"/>
  <c r="AK34" i="14"/>
  <c r="AH34" i="14"/>
  <c r="AC34" i="14"/>
  <c r="Z34" i="14"/>
  <c r="U34" i="14"/>
  <c r="R34" i="14"/>
  <c r="M34" i="14"/>
  <c r="J34" i="14"/>
  <c r="CW33" i="14"/>
  <c r="CT33" i="14"/>
  <c r="CO33" i="14"/>
  <c r="CL33" i="14"/>
  <c r="CG33" i="14"/>
  <c r="CD33" i="14"/>
  <c r="BY33" i="14"/>
  <c r="BV33" i="14"/>
  <c r="BQ33" i="14"/>
  <c r="BN33" i="14"/>
  <c r="BI33" i="14"/>
  <c r="BF33" i="14"/>
  <c r="BA33" i="14"/>
  <c r="AX33" i="14"/>
  <c r="AS33" i="14"/>
  <c r="AP33" i="14"/>
  <c r="AK33" i="14"/>
  <c r="AH33" i="14"/>
  <c r="AC33" i="14"/>
  <c r="Z33" i="14"/>
  <c r="U33" i="14"/>
  <c r="R33" i="14"/>
  <c r="M33" i="14"/>
  <c r="J33" i="14"/>
  <c r="CW32" i="14"/>
  <c r="CT32" i="14"/>
  <c r="CO32" i="14"/>
  <c r="CL32" i="14"/>
  <c r="CG32" i="14"/>
  <c r="CD32" i="14"/>
  <c r="BY32" i="14"/>
  <c r="BV32" i="14"/>
  <c r="BQ32" i="14"/>
  <c r="BN32" i="14"/>
  <c r="BI32" i="14"/>
  <c r="BF32" i="14"/>
  <c r="BA32" i="14"/>
  <c r="AX32" i="14"/>
  <c r="AS32" i="14"/>
  <c r="AP32" i="14"/>
  <c r="AK32" i="14"/>
  <c r="AH32" i="14"/>
  <c r="AC32" i="14"/>
  <c r="Z32" i="14"/>
  <c r="U32" i="14"/>
  <c r="R32" i="14"/>
  <c r="M32" i="14"/>
  <c r="J32" i="14"/>
  <c r="CW31" i="14"/>
  <c r="CT31" i="14"/>
  <c r="CO31" i="14"/>
  <c r="CL31" i="14"/>
  <c r="CG31" i="14"/>
  <c r="CD31" i="14"/>
  <c r="BY31" i="14"/>
  <c r="BV31" i="14"/>
  <c r="BQ31" i="14"/>
  <c r="BN31" i="14"/>
  <c r="BI31" i="14"/>
  <c r="BF31" i="14"/>
  <c r="BA31" i="14"/>
  <c r="AX31" i="14"/>
  <c r="AS31" i="14"/>
  <c r="AP31" i="14"/>
  <c r="AK31" i="14"/>
  <c r="AH31" i="14"/>
  <c r="AC31" i="14"/>
  <c r="Z31" i="14"/>
  <c r="U31" i="14"/>
  <c r="R31" i="14"/>
  <c r="M31" i="14"/>
  <c r="J31" i="14"/>
  <c r="CW30" i="14"/>
  <c r="CT30" i="14"/>
  <c r="CO30" i="14"/>
  <c r="CL30" i="14"/>
  <c r="CG30" i="14"/>
  <c r="CD30" i="14"/>
  <c r="BY30" i="14"/>
  <c r="BV30" i="14"/>
  <c r="BQ30" i="14"/>
  <c r="BN30" i="14"/>
  <c r="BI30" i="14"/>
  <c r="BF30" i="14"/>
  <c r="BA30" i="14"/>
  <c r="AX30" i="14"/>
  <c r="AS30" i="14"/>
  <c r="AP30" i="14"/>
  <c r="AK30" i="14"/>
  <c r="AH30" i="14"/>
  <c r="AC30" i="14"/>
  <c r="Z30" i="14"/>
  <c r="U30" i="14"/>
  <c r="R30" i="14"/>
  <c r="M30" i="14"/>
  <c r="J30" i="14"/>
  <c r="CW29" i="14"/>
  <c r="CT29" i="14"/>
  <c r="CO29" i="14"/>
  <c r="CL29" i="14"/>
  <c r="CG29" i="14"/>
  <c r="CD29" i="14"/>
  <c r="BY29" i="14"/>
  <c r="BV29" i="14"/>
  <c r="BQ29" i="14"/>
  <c r="BN29" i="14"/>
  <c r="BI29" i="14"/>
  <c r="BF29" i="14"/>
  <c r="BA29" i="14"/>
  <c r="AX29" i="14"/>
  <c r="AS29" i="14"/>
  <c r="AP29" i="14"/>
  <c r="AK29" i="14"/>
  <c r="AH29" i="14"/>
  <c r="AC29" i="14"/>
  <c r="Z29" i="14"/>
  <c r="U29" i="14"/>
  <c r="R29" i="14"/>
  <c r="M29" i="14"/>
  <c r="J29" i="14"/>
  <c r="CW28" i="14"/>
  <c r="CT28" i="14"/>
  <c r="CO28" i="14"/>
  <c r="CL28" i="14"/>
  <c r="CG28" i="14"/>
  <c r="CD28" i="14"/>
  <c r="BY28" i="14"/>
  <c r="BV28" i="14"/>
  <c r="BQ28" i="14"/>
  <c r="BN28" i="14"/>
  <c r="BI28" i="14"/>
  <c r="BF28" i="14"/>
  <c r="BA28" i="14"/>
  <c r="AX28" i="14"/>
  <c r="AS28" i="14"/>
  <c r="AP28" i="14"/>
  <c r="AK28" i="14"/>
  <c r="AH28" i="14"/>
  <c r="AC28" i="14"/>
  <c r="Z28" i="14"/>
  <c r="U28" i="14"/>
  <c r="R28" i="14"/>
  <c r="M28" i="14"/>
  <c r="J28" i="14"/>
  <c r="CW27" i="14"/>
  <c r="CT27" i="14"/>
  <c r="CO27" i="14"/>
  <c r="CL27" i="14"/>
  <c r="CG27" i="14"/>
  <c r="CD27" i="14"/>
  <c r="BY27" i="14"/>
  <c r="BV27" i="14"/>
  <c r="BQ27" i="14"/>
  <c r="BN27" i="14"/>
  <c r="BI27" i="14"/>
  <c r="BF27" i="14"/>
  <c r="BA27" i="14"/>
  <c r="AX27" i="14"/>
  <c r="AS27" i="14"/>
  <c r="AP27" i="14"/>
  <c r="AK27" i="14"/>
  <c r="AH27" i="14"/>
  <c r="AC27" i="14"/>
  <c r="Z27" i="14"/>
  <c r="U27" i="14"/>
  <c r="R27" i="14"/>
  <c r="M27" i="14"/>
  <c r="J27" i="14"/>
  <c r="CW26" i="14"/>
  <c r="CT26" i="14"/>
  <c r="CO26" i="14"/>
  <c r="CL26" i="14"/>
  <c r="CG26" i="14"/>
  <c r="CD26" i="14"/>
  <c r="BY26" i="14"/>
  <c r="BV26" i="14"/>
  <c r="BQ26" i="14"/>
  <c r="BN26" i="14"/>
  <c r="BI26" i="14"/>
  <c r="BF26" i="14"/>
  <c r="BA26" i="14"/>
  <c r="AX26" i="14"/>
  <c r="AS26" i="14"/>
  <c r="AP26" i="14"/>
  <c r="AK26" i="14"/>
  <c r="AH26" i="14"/>
  <c r="AC26" i="14"/>
  <c r="Z26" i="14"/>
  <c r="U26" i="14"/>
  <c r="R26" i="14"/>
  <c r="M26" i="14"/>
  <c r="J26" i="14"/>
  <c r="CW25" i="14"/>
  <c r="CT25" i="14"/>
  <c r="CO25" i="14"/>
  <c r="CL25" i="14"/>
  <c r="CG25" i="14"/>
  <c r="CD25" i="14"/>
  <c r="BY25" i="14"/>
  <c r="BV25" i="14"/>
  <c r="BQ25" i="14"/>
  <c r="BN25" i="14"/>
  <c r="BI25" i="14"/>
  <c r="BF25" i="14"/>
  <c r="BA25" i="14"/>
  <c r="AX25" i="14"/>
  <c r="AS25" i="14"/>
  <c r="AP25" i="14"/>
  <c r="AK25" i="14"/>
  <c r="AH25" i="14"/>
  <c r="AC25" i="14"/>
  <c r="Z25" i="14"/>
  <c r="U25" i="14"/>
  <c r="R25" i="14"/>
  <c r="M25" i="14"/>
  <c r="J25" i="14"/>
  <c r="CW24" i="14"/>
  <c r="CT24" i="14"/>
  <c r="CO24" i="14"/>
  <c r="CL24" i="14"/>
  <c r="CG24" i="14"/>
  <c r="CD24" i="14"/>
  <c r="BY24" i="14"/>
  <c r="BV24" i="14"/>
  <c r="BQ24" i="14"/>
  <c r="BN24" i="14"/>
  <c r="BI24" i="14"/>
  <c r="BF24" i="14"/>
  <c r="BA24" i="14"/>
  <c r="AX24" i="14"/>
  <c r="AS24" i="14"/>
  <c r="AP24" i="14"/>
  <c r="AK24" i="14"/>
  <c r="AH24" i="14"/>
  <c r="AC24" i="14"/>
  <c r="Z24" i="14"/>
  <c r="U24" i="14"/>
  <c r="R24" i="14"/>
  <c r="M24" i="14"/>
  <c r="J24" i="14"/>
  <c r="CW23" i="14"/>
  <c r="CT23" i="14"/>
  <c r="CO23" i="14"/>
  <c r="CL23" i="14"/>
  <c r="CG23" i="14"/>
  <c r="CD23" i="14"/>
  <c r="BY23" i="14"/>
  <c r="BV23" i="14"/>
  <c r="BQ23" i="14"/>
  <c r="BN23" i="14"/>
  <c r="BI23" i="14"/>
  <c r="BF23" i="14"/>
  <c r="BA23" i="14"/>
  <c r="AX23" i="14"/>
  <c r="AS23" i="14"/>
  <c r="AP23" i="14"/>
  <c r="AK23" i="14"/>
  <c r="AH23" i="14"/>
  <c r="AC23" i="14"/>
  <c r="Z23" i="14"/>
  <c r="U23" i="14"/>
  <c r="R23" i="14"/>
  <c r="M23" i="14"/>
  <c r="J23" i="14"/>
  <c r="CW22" i="14"/>
  <c r="CT22" i="14"/>
  <c r="CO22" i="14"/>
  <c r="CL22" i="14"/>
  <c r="CG22" i="14"/>
  <c r="CD22" i="14"/>
  <c r="BY22" i="14"/>
  <c r="BV22" i="14"/>
  <c r="BQ22" i="14"/>
  <c r="BN22" i="14"/>
  <c r="BI22" i="14"/>
  <c r="BF22" i="14"/>
  <c r="BA22" i="14"/>
  <c r="AX22" i="14"/>
  <c r="AS22" i="14"/>
  <c r="AP22" i="14"/>
  <c r="AK22" i="14"/>
  <c r="AH22" i="14"/>
  <c r="AC22" i="14"/>
  <c r="Z22" i="14"/>
  <c r="U22" i="14"/>
  <c r="R22" i="14"/>
  <c r="M22" i="14"/>
  <c r="J22" i="14"/>
  <c r="CW21" i="14"/>
  <c r="CT21" i="14"/>
  <c r="CO21" i="14"/>
  <c r="CL21" i="14"/>
  <c r="CG21" i="14"/>
  <c r="CD21" i="14"/>
  <c r="BY21" i="14"/>
  <c r="BV21" i="14"/>
  <c r="BQ21" i="14"/>
  <c r="BN21" i="14"/>
  <c r="BI21" i="14"/>
  <c r="BF21" i="14"/>
  <c r="BA21" i="14"/>
  <c r="AX21" i="14"/>
  <c r="AS21" i="14"/>
  <c r="AP21" i="14"/>
  <c r="AK21" i="14"/>
  <c r="AH21" i="14"/>
  <c r="AC21" i="14"/>
  <c r="Z21" i="14"/>
  <c r="U21" i="14"/>
  <c r="R21" i="14"/>
  <c r="M21" i="14"/>
  <c r="J21" i="14"/>
  <c r="CW20" i="14"/>
  <c r="CT20" i="14"/>
  <c r="CO20" i="14"/>
  <c r="CL20" i="14"/>
  <c r="CG20" i="14"/>
  <c r="CD20" i="14"/>
  <c r="BY20" i="14"/>
  <c r="BV20" i="14"/>
  <c r="BQ20" i="14"/>
  <c r="BN20" i="14"/>
  <c r="BI20" i="14"/>
  <c r="BF20" i="14"/>
  <c r="BA20" i="14"/>
  <c r="AX20" i="14"/>
  <c r="AS20" i="14"/>
  <c r="AP20" i="14"/>
  <c r="AK20" i="14"/>
  <c r="AH20" i="14"/>
  <c r="AC20" i="14"/>
  <c r="Z20" i="14"/>
  <c r="U20" i="14"/>
  <c r="R20" i="14"/>
  <c r="M20" i="14"/>
  <c r="J20" i="14"/>
  <c r="CW19" i="14"/>
  <c r="CT19" i="14"/>
  <c r="CO19" i="14"/>
  <c r="CL19" i="14"/>
  <c r="CG19" i="14"/>
  <c r="CD19" i="14"/>
  <c r="BY19" i="14"/>
  <c r="BV19" i="14"/>
  <c r="BQ19" i="14"/>
  <c r="BN19" i="14"/>
  <c r="BI19" i="14"/>
  <c r="BF19" i="14"/>
  <c r="BA19" i="14"/>
  <c r="AX19" i="14"/>
  <c r="AS19" i="14"/>
  <c r="AP19" i="14"/>
  <c r="AK19" i="14"/>
  <c r="AH19" i="14"/>
  <c r="AC19" i="14"/>
  <c r="Z19" i="14"/>
  <c r="U19" i="14"/>
  <c r="R19" i="14"/>
  <c r="M19" i="14"/>
  <c r="J19" i="14"/>
  <c r="CW18" i="14"/>
  <c r="CT18" i="14"/>
  <c r="CO18" i="14"/>
  <c r="CL18" i="14"/>
  <c r="CG18" i="14"/>
  <c r="CD18" i="14"/>
  <c r="BY18" i="14"/>
  <c r="BV18" i="14"/>
  <c r="BQ18" i="14"/>
  <c r="BN18" i="14"/>
  <c r="BI18" i="14"/>
  <c r="BF18" i="14"/>
  <c r="BA18" i="14"/>
  <c r="AX18" i="14"/>
  <c r="AS18" i="14"/>
  <c r="AP18" i="14"/>
  <c r="AK18" i="14"/>
  <c r="AH18" i="14"/>
  <c r="AC18" i="14"/>
  <c r="Z18" i="14"/>
  <c r="U18" i="14"/>
  <c r="R18" i="14"/>
  <c r="M18" i="14"/>
  <c r="J18" i="14"/>
  <c r="CW17" i="14"/>
  <c r="CT17" i="14"/>
  <c r="CO17" i="14"/>
  <c r="CL17" i="14"/>
  <c r="CG17" i="14"/>
  <c r="CD17" i="14"/>
  <c r="BY17" i="14"/>
  <c r="BV17" i="14"/>
  <c r="BQ17" i="14"/>
  <c r="BN17" i="14"/>
  <c r="BI17" i="14"/>
  <c r="BF17" i="14"/>
  <c r="BA17" i="14"/>
  <c r="AX17" i="14"/>
  <c r="AS17" i="14"/>
  <c r="AP17" i="14"/>
  <c r="AK17" i="14"/>
  <c r="AH17" i="14"/>
  <c r="AC17" i="14"/>
  <c r="Z17" i="14"/>
  <c r="U17" i="14"/>
  <c r="R17" i="14"/>
  <c r="M17" i="14"/>
  <c r="J17" i="14"/>
  <c r="CW16" i="14"/>
  <c r="CT16" i="14"/>
  <c r="CO16" i="14"/>
  <c r="CL16" i="14"/>
  <c r="CG16" i="14"/>
  <c r="CD16" i="14"/>
  <c r="BY16" i="14"/>
  <c r="BV16" i="14"/>
  <c r="BQ16" i="14"/>
  <c r="BN16" i="14"/>
  <c r="BI16" i="14"/>
  <c r="BF16" i="14"/>
  <c r="BA16" i="14"/>
  <c r="AX16" i="14"/>
  <c r="AS16" i="14"/>
  <c r="AP16" i="14"/>
  <c r="AK16" i="14"/>
  <c r="AH16" i="14"/>
  <c r="AC16" i="14"/>
  <c r="Z16" i="14"/>
  <c r="U16" i="14"/>
  <c r="R16" i="14"/>
  <c r="M16" i="14"/>
  <c r="J16" i="14"/>
  <c r="CW15" i="14"/>
  <c r="CT15" i="14"/>
  <c r="CO15" i="14"/>
  <c r="CL15" i="14"/>
  <c r="CG15" i="14"/>
  <c r="CD15" i="14"/>
  <c r="BY15" i="14"/>
  <c r="BV15" i="14"/>
  <c r="BQ15" i="14"/>
  <c r="BN15" i="14"/>
  <c r="BI15" i="14"/>
  <c r="BF15" i="14"/>
  <c r="BA15" i="14"/>
  <c r="AX15" i="14"/>
  <c r="AS15" i="14"/>
  <c r="AP15" i="14"/>
  <c r="AK15" i="14"/>
  <c r="AH15" i="14"/>
  <c r="AC15" i="14"/>
  <c r="Z15" i="14"/>
  <c r="U15" i="14"/>
  <c r="R15" i="14"/>
  <c r="M15" i="14"/>
  <c r="J15" i="14"/>
  <c r="CW14" i="14"/>
  <c r="CT14" i="14"/>
  <c r="CO14" i="14"/>
  <c r="CL14" i="14"/>
  <c r="CG14" i="14"/>
  <c r="CD14" i="14"/>
  <c r="BY14" i="14"/>
  <c r="BV14" i="14"/>
  <c r="BQ14" i="14"/>
  <c r="BN14" i="14"/>
  <c r="BI14" i="14"/>
  <c r="BF14" i="14"/>
  <c r="BA14" i="14"/>
  <c r="AX14" i="14"/>
  <c r="AS14" i="14"/>
  <c r="AP14" i="14"/>
  <c r="AK14" i="14"/>
  <c r="AH14" i="14"/>
  <c r="AC14" i="14"/>
  <c r="Z14" i="14"/>
  <c r="U14" i="14"/>
  <c r="R14" i="14"/>
  <c r="M14" i="14"/>
  <c r="J14" i="14"/>
  <c r="CW13" i="14"/>
  <c r="CT13" i="14"/>
  <c r="CO13" i="14"/>
  <c r="CL13" i="14"/>
  <c r="CG13" i="14"/>
  <c r="CD13" i="14"/>
  <c r="BY13" i="14"/>
  <c r="BV13" i="14"/>
  <c r="BQ13" i="14"/>
  <c r="BN13" i="14"/>
  <c r="BI13" i="14"/>
  <c r="BF13" i="14"/>
  <c r="BA13" i="14"/>
  <c r="AX13" i="14"/>
  <c r="AS13" i="14"/>
  <c r="AP13" i="14"/>
  <c r="AK13" i="14"/>
  <c r="AH13" i="14"/>
  <c r="AC13" i="14"/>
  <c r="Z13" i="14"/>
  <c r="U13" i="14"/>
  <c r="R13" i="14"/>
  <c r="M13" i="14"/>
  <c r="J13" i="14"/>
  <c r="CW12" i="14"/>
  <c r="CT12" i="14"/>
  <c r="CO12" i="14"/>
  <c r="CL12" i="14"/>
  <c r="CG12" i="14"/>
  <c r="CD12" i="14"/>
  <c r="BY12" i="14"/>
  <c r="BV12" i="14"/>
  <c r="BQ12" i="14"/>
  <c r="BN12" i="14"/>
  <c r="BI12" i="14"/>
  <c r="BF12" i="14"/>
  <c r="BA12" i="14"/>
  <c r="AX12" i="14"/>
  <c r="AS12" i="14"/>
  <c r="AP12" i="14"/>
  <c r="AK12" i="14"/>
  <c r="AH12" i="14"/>
  <c r="AC12" i="14"/>
  <c r="Z12" i="14"/>
  <c r="U12" i="14"/>
  <c r="R12" i="14"/>
  <c r="M12" i="14"/>
  <c r="J12" i="14"/>
  <c r="CW11" i="14"/>
  <c r="CT11" i="14"/>
  <c r="CO11" i="14"/>
  <c r="CL11" i="14"/>
  <c r="CG11" i="14"/>
  <c r="CD11" i="14"/>
  <c r="BY11" i="14"/>
  <c r="BV11" i="14"/>
  <c r="BQ11" i="14"/>
  <c r="BN11" i="14"/>
  <c r="BI11" i="14"/>
  <c r="BF11" i="14"/>
  <c r="BA11" i="14"/>
  <c r="AX11" i="14"/>
  <c r="AS11" i="14"/>
  <c r="AP11" i="14"/>
  <c r="AK11" i="14"/>
  <c r="AH11" i="14"/>
  <c r="AC11" i="14"/>
  <c r="Z11" i="14"/>
  <c r="U11" i="14"/>
  <c r="R11" i="14"/>
  <c r="M11" i="14"/>
  <c r="J11" i="14"/>
  <c r="CW10" i="14"/>
  <c r="CT10" i="14"/>
  <c r="CO10" i="14"/>
  <c r="CL10" i="14"/>
  <c r="CG10" i="14"/>
  <c r="CD10" i="14"/>
  <c r="BY10" i="14"/>
  <c r="BV10" i="14"/>
  <c r="BQ10" i="14"/>
  <c r="BN10" i="14"/>
  <c r="BI10" i="14"/>
  <c r="BF10" i="14"/>
  <c r="BA10" i="14"/>
  <c r="AX10" i="14"/>
  <c r="AS10" i="14"/>
  <c r="AP10" i="14"/>
  <c r="AK10" i="14"/>
  <c r="AH10" i="14"/>
  <c r="AC10" i="14"/>
  <c r="Z10" i="14"/>
  <c r="U10" i="14"/>
  <c r="R10" i="14"/>
  <c r="M10" i="14"/>
  <c r="J10" i="14"/>
  <c r="CW9" i="14"/>
  <c r="CT9" i="14"/>
  <c r="CO9" i="14"/>
  <c r="CL9" i="14"/>
  <c r="CG9" i="14"/>
  <c r="CD9" i="14"/>
  <c r="BY9" i="14"/>
  <c r="BV9" i="14"/>
  <c r="BQ9" i="14"/>
  <c r="BN9" i="14"/>
  <c r="BI9" i="14"/>
  <c r="BF9" i="14"/>
  <c r="BA9" i="14"/>
  <c r="AX9" i="14"/>
  <c r="AS9" i="14"/>
  <c r="AP9" i="14"/>
  <c r="AK9" i="14"/>
  <c r="AH9" i="14"/>
  <c r="AC9" i="14"/>
  <c r="Z9" i="14"/>
  <c r="U9" i="14"/>
  <c r="R9" i="14"/>
  <c r="M9" i="14"/>
  <c r="J9" i="14"/>
  <c r="CW8" i="14"/>
  <c r="CT8" i="14"/>
  <c r="CO8" i="14"/>
  <c r="CL8" i="14"/>
  <c r="CG8" i="14"/>
  <c r="CD8" i="14"/>
  <c r="BY8" i="14"/>
  <c r="BV8" i="14"/>
  <c r="BQ8" i="14"/>
  <c r="BN8" i="14"/>
  <c r="BI8" i="14"/>
  <c r="BF8" i="14"/>
  <c r="BA8" i="14"/>
  <c r="AX8" i="14"/>
  <c r="AS8" i="14"/>
  <c r="AP8" i="14"/>
  <c r="AK8" i="14"/>
  <c r="AH8" i="14"/>
  <c r="AC8" i="14"/>
  <c r="Z8" i="14"/>
  <c r="U8" i="14"/>
  <c r="R8" i="14"/>
  <c r="M8" i="14"/>
  <c r="J8" i="14"/>
  <c r="CW7" i="14"/>
  <c r="CT7" i="14"/>
  <c r="CO7" i="14"/>
  <c r="CL7" i="14"/>
  <c r="CG7" i="14"/>
  <c r="CD7" i="14"/>
  <c r="BY7" i="14"/>
  <c r="BV7" i="14"/>
  <c r="BQ7" i="14"/>
  <c r="BN7" i="14"/>
  <c r="BI7" i="14"/>
  <c r="BF7" i="14"/>
  <c r="BA7" i="14"/>
  <c r="AX7" i="14"/>
  <c r="AS7" i="14"/>
  <c r="AP7" i="14"/>
  <c r="AK7" i="14"/>
  <c r="AH7" i="14"/>
  <c r="AC7" i="14"/>
  <c r="Z7" i="14"/>
  <c r="U7" i="14"/>
  <c r="R7" i="14"/>
  <c r="M7" i="14"/>
  <c r="J7" i="14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CX6" i="14" l="1"/>
  <c r="CY6" i="14"/>
  <c r="R6" i="14"/>
  <c r="Z6" i="14"/>
  <c r="AH6" i="14" l="1"/>
  <c r="AX6" i="14"/>
  <c r="CL6" i="14"/>
  <c r="BN6" i="14"/>
  <c r="AP6" i="14"/>
  <c r="BQ6" i="14"/>
  <c r="BI6" i="14"/>
  <c r="CT6" i="14"/>
  <c r="U6" i="14"/>
  <c r="CG6" i="14"/>
  <c r="J6" i="14"/>
  <c r="CO6" i="14"/>
  <c r="AS6" i="14"/>
  <c r="AK6" i="14"/>
  <c r="BA6" i="14"/>
  <c r="AC6" i="14"/>
  <c r="BY6" i="14"/>
  <c r="CW6" i="14"/>
  <c r="CD6" i="14"/>
  <c r="M6" i="14"/>
  <c r="BV6" i="14"/>
  <c r="J7" i="8" l="1"/>
  <c r="I7" i="8"/>
  <c r="H7" i="8"/>
  <c r="G7" i="8"/>
  <c r="EV7" i="8" l="1"/>
  <c r="EZ7" i="8"/>
  <c r="DD7" i="8"/>
  <c r="FP7" i="8"/>
  <c r="DG7" i="8"/>
  <c r="EM7" i="8"/>
  <c r="EQ7" i="8"/>
  <c r="EU7" i="8"/>
  <c r="DS7" i="8"/>
  <c r="ER7" i="8"/>
  <c r="FQ7" i="8"/>
  <c r="DU7" i="8"/>
  <c r="EA7" i="8"/>
  <c r="DT7" i="8"/>
  <c r="FA7" i="8"/>
  <c r="EB7" i="8"/>
  <c r="EI7" i="8"/>
  <c r="FG7" i="8"/>
  <c r="FD7" i="8"/>
  <c r="EJ7" i="8"/>
  <c r="EO7" i="8"/>
  <c r="EN7" i="8"/>
  <c r="ES7" i="8"/>
  <c r="FO7" i="8"/>
  <c r="DQ7" i="8"/>
  <c r="EW7" i="8"/>
  <c r="EY7" i="8"/>
  <c r="EC7" i="8"/>
  <c r="DC7" i="8"/>
  <c r="EF7" i="8"/>
  <c r="EG7" i="8"/>
  <c r="FE7" i="8"/>
  <c r="EK7" i="8"/>
  <c r="FM7" i="8"/>
  <c r="DM7" i="8"/>
  <c r="DO7" i="8"/>
  <c r="DP7" i="8"/>
  <c r="FK7" i="8"/>
  <c r="DK7" i="8"/>
  <c r="EL7" i="8"/>
  <c r="EP7" i="8"/>
  <c r="DR7" i="8"/>
  <c r="EX7" i="8"/>
  <c r="FR7" i="8"/>
  <c r="ED7" i="8"/>
  <c r="FF7" i="8"/>
  <c r="FH7" i="8"/>
  <c r="DH7" i="8"/>
  <c r="FL7" i="8"/>
  <c r="DL7" i="8"/>
  <c r="ET7" i="8"/>
  <c r="FB7" i="8"/>
  <c r="FC7" i="8"/>
  <c r="DN7" i="8"/>
  <c r="FN7" i="8"/>
  <c r="FJ7" i="8"/>
  <c r="FI7" i="8"/>
  <c r="EH7" i="8"/>
  <c r="DJ7" i="8"/>
  <c r="DI7" i="8"/>
  <c r="DB7" i="8"/>
  <c r="DA7" i="8"/>
  <c r="CZ7" i="8"/>
  <c r="CY7" i="8"/>
  <c r="CR7" i="8"/>
  <c r="CQ7" i="8"/>
  <c r="CP7" i="8"/>
  <c r="CO7" i="8"/>
  <c r="BP7" i="8"/>
  <c r="BN7" i="8"/>
  <c r="BM7" i="8"/>
  <c r="AN7" i="8"/>
  <c r="AL7" i="8"/>
  <c r="AK7" i="8"/>
  <c r="CE7" i="8"/>
  <c r="CD7" i="8"/>
  <c r="BC7" i="8"/>
  <c r="BB7" i="8"/>
  <c r="AA7" i="8"/>
  <c r="CV7" i="8"/>
  <c r="CU7" i="8"/>
  <c r="CT7" i="8"/>
  <c r="CS7" i="8"/>
  <c r="BT7" i="8"/>
  <c r="BS7" i="8"/>
  <c r="BR7" i="8"/>
  <c r="BQ7" i="8"/>
  <c r="AR7" i="8"/>
  <c r="AQ7" i="8"/>
  <c r="AP7" i="8"/>
  <c r="AO7" i="8"/>
  <c r="CJ7" i="8"/>
  <c r="BH7" i="8"/>
  <c r="AF7" i="8"/>
  <c r="CX7" i="8"/>
  <c r="CW7" i="8"/>
  <c r="CI7" i="8"/>
  <c r="CH7" i="8"/>
  <c r="CG7" i="8"/>
  <c r="CF7" i="8"/>
  <c r="CC7" i="8"/>
  <c r="CB7" i="8"/>
  <c r="CA7" i="8"/>
  <c r="BZ7" i="8"/>
  <c r="BY7" i="8"/>
  <c r="BX7" i="8"/>
  <c r="BW7" i="8"/>
  <c r="BV7" i="8"/>
  <c r="BU7" i="8"/>
  <c r="BO7" i="8"/>
  <c r="BG7" i="8"/>
  <c r="BF7" i="8"/>
  <c r="BE7" i="8"/>
  <c r="BD7" i="8"/>
  <c r="BA7" i="8"/>
  <c r="AZ7" i="8"/>
  <c r="AY7" i="8"/>
  <c r="AX7" i="8"/>
  <c r="AW7" i="8"/>
  <c r="AV7" i="8"/>
  <c r="AU7" i="8"/>
  <c r="AT7" i="8"/>
  <c r="AS7" i="8"/>
  <c r="AM7" i="8"/>
  <c r="AE7" i="8"/>
  <c r="AD7" i="8"/>
  <c r="AC7" i="8"/>
  <c r="AB7" i="8"/>
  <c r="DV7" i="8"/>
  <c r="CN7" i="8"/>
  <c r="CM7" i="8"/>
  <c r="CL7" i="8"/>
  <c r="CK7" i="8"/>
  <c r="BL7" i="8"/>
  <c r="BK7" i="8"/>
  <c r="BJ7" i="8"/>
  <c r="BI7" i="8"/>
  <c r="AJ7" i="8"/>
  <c r="AI7" i="8"/>
  <c r="AH7" i="8"/>
  <c r="AG7" i="8"/>
  <c r="DF7" i="8" l="1"/>
  <c r="DE7" i="8"/>
  <c r="FV7" i="8" l="1"/>
  <c r="FU7" i="8"/>
  <c r="FT7" i="8"/>
  <c r="FS7" i="8"/>
  <c r="V7" i="8"/>
  <c r="U7" i="8"/>
  <c r="Q7" i="8"/>
  <c r="N7" i="8"/>
  <c r="M7" i="8"/>
  <c r="FY7" i="8" s="1"/>
  <c r="X7" i="8" l="1"/>
  <c r="GB7" i="8" s="1"/>
  <c r="W7" i="8"/>
  <c r="GA7" i="8" s="1"/>
  <c r="Y7" i="8"/>
  <c r="GC7" i="8" s="1"/>
  <c r="Z7" i="8"/>
  <c r="GD7" i="8" s="1"/>
  <c r="K7" i="8"/>
  <c r="L7" i="8"/>
  <c r="O7" i="8"/>
  <c r="S7" i="8"/>
  <c r="P7" i="8"/>
  <c r="T7" i="8"/>
  <c r="R7" i="8"/>
  <c r="FZ7" i="8" s="1"/>
  <c r="FX7" i="8" l="1"/>
  <c r="FW7" i="8"/>
  <c r="B9" i="8" l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AX1" i="21" l="1"/>
  <c r="AU1" i="21"/>
  <c r="AW1" i="21"/>
  <c r="AT1" i="21"/>
  <c r="AR1" i="21"/>
  <c r="AS1" i="21"/>
  <c r="AQ1" i="21"/>
  <c r="AV1" i="21"/>
</calcChain>
</file>

<file path=xl/sharedStrings.xml><?xml version="1.0" encoding="utf-8"?>
<sst xmlns="http://schemas.openxmlformats.org/spreadsheetml/2006/main" count="13131" uniqueCount="2658">
  <si>
    <t>№</t>
  </si>
  <si>
    <t>00480</t>
  </si>
  <si>
    <t>01170</t>
  </si>
  <si>
    <t>01130</t>
  </si>
  <si>
    <t>00487</t>
  </si>
  <si>
    <t>00461</t>
  </si>
  <si>
    <t>00478</t>
  </si>
  <si>
    <t>00459</t>
  </si>
  <si>
    <t>01039</t>
  </si>
  <si>
    <t>00489</t>
  </si>
  <si>
    <t>01081</t>
  </si>
  <si>
    <t>00413</t>
  </si>
  <si>
    <t>00476</t>
  </si>
  <si>
    <t>00408</t>
  </si>
  <si>
    <t>00463</t>
  </si>
  <si>
    <t>00472</t>
  </si>
  <si>
    <t>00475</t>
  </si>
  <si>
    <t>00482</t>
  </si>
  <si>
    <t>00485</t>
  </si>
  <si>
    <t>01056</t>
  </si>
  <si>
    <t>01080</t>
  </si>
  <si>
    <t>00457</t>
  </si>
  <si>
    <t>00468</t>
  </si>
  <si>
    <t>00474</t>
  </si>
  <si>
    <t>01183</t>
  </si>
  <si>
    <t>01121</t>
  </si>
  <si>
    <t>002</t>
  </si>
  <si>
    <t>003</t>
  </si>
  <si>
    <t>004</t>
  </si>
  <si>
    <t>005</t>
  </si>
  <si>
    <t>006</t>
  </si>
  <si>
    <t>011</t>
  </si>
  <si>
    <t>013</t>
  </si>
  <si>
    <t>031</t>
  </si>
  <si>
    <t>008</t>
  </si>
  <si>
    <t>012</t>
  </si>
  <si>
    <t>014</t>
  </si>
  <si>
    <t>033</t>
  </si>
  <si>
    <t>048</t>
  </si>
  <si>
    <t>053</t>
  </si>
  <si>
    <t>063</t>
  </si>
  <si>
    <t>051</t>
  </si>
  <si>
    <t>009</t>
  </si>
  <si>
    <t>01198</t>
  </si>
  <si>
    <t>068</t>
  </si>
  <si>
    <t>01158</t>
  </si>
  <si>
    <t>00450</t>
  </si>
  <si>
    <t>878348</t>
  </si>
  <si>
    <t>15521000905582653001</t>
  </si>
  <si>
    <t>000</t>
  </si>
  <si>
    <t>ORION AVTO GROUP</t>
  </si>
  <si>
    <t>609627</t>
  </si>
  <si>
    <t>15521000700270873601</t>
  </si>
  <si>
    <t>SS SHABNAM</t>
  </si>
  <si>
    <t>616248</t>
  </si>
  <si>
    <t>15501000405532048256</t>
  </si>
  <si>
    <t>616251</t>
  </si>
  <si>
    <t>15501000105532048257</t>
  </si>
  <si>
    <t>616269</t>
  </si>
  <si>
    <t>15501000905532048260</t>
  </si>
  <si>
    <t>616247</t>
  </si>
  <si>
    <t>15501000705532048255</t>
  </si>
  <si>
    <t>616245</t>
  </si>
  <si>
    <t>15501000205532048253</t>
  </si>
  <si>
    <t>616266</t>
  </si>
  <si>
    <t>15501000605532048259</t>
  </si>
  <si>
    <t>616262</t>
  </si>
  <si>
    <t>15501000905532048258</t>
  </si>
  <si>
    <t>Sirdaryo Glass MCHJ</t>
  </si>
  <si>
    <t>606979</t>
  </si>
  <si>
    <t>15501978300712539526</t>
  </si>
  <si>
    <t>978</t>
  </si>
  <si>
    <t>KANTEKS INVEST LLC</t>
  </si>
  <si>
    <t>601448</t>
  </si>
  <si>
    <t>15501840100713799001</t>
  </si>
  <si>
    <t>840</t>
  </si>
  <si>
    <t>"MILK FOODS TRADE" OOO</t>
  </si>
  <si>
    <t>601484</t>
  </si>
  <si>
    <t>15501840200370110002</t>
  </si>
  <si>
    <t>663627</t>
  </si>
  <si>
    <t>15501840705108073001</t>
  </si>
  <si>
    <t>1223605</t>
  </si>
  <si>
    <t>15501840500713799003</t>
  </si>
  <si>
    <t>TOMATTO PLANT INVEST MCHJ</t>
  </si>
  <si>
    <t>601376</t>
  </si>
  <si>
    <t>15501840200663687002</t>
  </si>
  <si>
    <t>BAZAAR WHOLESALE</t>
  </si>
  <si>
    <t>1385778</t>
  </si>
  <si>
    <t>15521000905398293945</t>
  </si>
  <si>
    <t>1223580</t>
  </si>
  <si>
    <t>15501156800713799630</t>
  </si>
  <si>
    <t>156</t>
  </si>
  <si>
    <t>601481</t>
  </si>
  <si>
    <t>15501840900641812001</t>
  </si>
  <si>
    <t>1423519</t>
  </si>
  <si>
    <t>15501156207189827001</t>
  </si>
  <si>
    <t>OLTIN CHINOR AGRO</t>
  </si>
  <si>
    <t>601525</t>
  </si>
  <si>
    <t>15501840800679136001</t>
  </si>
  <si>
    <t>1040168</t>
  </si>
  <si>
    <t>15521000404702026855</t>
  </si>
  <si>
    <t>601508</t>
  </si>
  <si>
    <t>15501840704819253001</t>
  </si>
  <si>
    <t>KOMFORT-ELIT</t>
  </si>
  <si>
    <t>601476</t>
  </si>
  <si>
    <t>15501840100718902001</t>
  </si>
  <si>
    <t>601340</t>
  </si>
  <si>
    <t>15501840000548411001</t>
  </si>
  <si>
    <t>MAROQAND MEVA-SABZAVOT</t>
  </si>
  <si>
    <t>684952</t>
  </si>
  <si>
    <t>15501000800785023003</t>
  </si>
  <si>
    <t>FAROVON HAYOT KALITI MCHJ</t>
  </si>
  <si>
    <t>601470</t>
  </si>
  <si>
    <t>15501840200651541001</t>
  </si>
  <si>
    <t>1408506</t>
  </si>
  <si>
    <t>15521000004754864945</t>
  </si>
  <si>
    <t>LLC YUSRA</t>
  </si>
  <si>
    <t>1134234</t>
  </si>
  <si>
    <t>15521000504113699861</t>
  </si>
  <si>
    <t>1193670</t>
  </si>
  <si>
    <t>15521000107018097861</t>
  </si>
  <si>
    <t>640390</t>
  </si>
  <si>
    <t>15501000200636915001</t>
  </si>
  <si>
    <t>601258</t>
  </si>
  <si>
    <t>15501840300262865001</t>
  </si>
  <si>
    <t>1013242</t>
  </si>
  <si>
    <t>15521000504499040601</t>
  </si>
  <si>
    <t>1162660</t>
  </si>
  <si>
    <t>15521000300937050861</t>
  </si>
  <si>
    <t>MCHJ KK ISTIKBOL HONGJI</t>
  </si>
  <si>
    <t>1371868</t>
  </si>
  <si>
    <t>15301840500873639602</t>
  </si>
  <si>
    <t>1230242</t>
  </si>
  <si>
    <t>15501156900562587801</t>
  </si>
  <si>
    <t>1040679</t>
  </si>
  <si>
    <t>15521000400232764861</t>
  </si>
  <si>
    <t>1324854</t>
  </si>
  <si>
    <t>15521000207198947600</t>
  </si>
  <si>
    <t>MCHJ BOYCHANUR</t>
  </si>
  <si>
    <t>1430289</t>
  </si>
  <si>
    <t>15521000807293381956</t>
  </si>
  <si>
    <t>603768</t>
  </si>
  <si>
    <t>15501000600191327707</t>
  </si>
  <si>
    <t>MCHJ ANGREN SHAHAR DEHQON BOZORI</t>
  </si>
  <si>
    <t>1093631</t>
  </si>
  <si>
    <t>15521000700130430228</t>
  </si>
  <si>
    <t>ANGREN CITY CENTRAL SERVICE MCHJ</t>
  </si>
  <si>
    <t>609546</t>
  </si>
  <si>
    <t>15501000905187565013</t>
  </si>
  <si>
    <t>609294</t>
  </si>
  <si>
    <t>15501000005187565002</t>
  </si>
  <si>
    <t>609264</t>
  </si>
  <si>
    <t>15501000905286069289</t>
  </si>
  <si>
    <t>609252</t>
  </si>
  <si>
    <t>15501000005286069287</t>
  </si>
  <si>
    <t>609256</t>
  </si>
  <si>
    <t>15501000405286069288</t>
  </si>
  <si>
    <t>609477</t>
  </si>
  <si>
    <t>15501000605286069315</t>
  </si>
  <si>
    <t>609269</t>
  </si>
  <si>
    <t>15501000005286069291</t>
  </si>
  <si>
    <t>KAND-FAVORITE</t>
  </si>
  <si>
    <t>13101840905449936342</t>
  </si>
  <si>
    <t>OHANGARON DON    aksiyadorlik jamiyati</t>
  </si>
  <si>
    <t>12701000700191208345</t>
  </si>
  <si>
    <t>THE KINDER</t>
  </si>
  <si>
    <t>15501000307284766505</t>
  </si>
  <si>
    <t>POKIZA DIYOR MASULIYATI CHEKLANGAN JAMIYAT</t>
  </si>
  <si>
    <t>11101000500261446001</t>
  </si>
  <si>
    <t>15501000100889122001</t>
  </si>
  <si>
    <t>AKKURGAN ENGINEERING</t>
  </si>
  <si>
    <t>15501000605687252001</t>
  </si>
  <si>
    <t>SOLID STONE 888 MCHJ</t>
  </si>
  <si>
    <t>15501000505629583001</t>
  </si>
  <si>
    <t>AKKURGAN MECHANIZATION SERVICES</t>
  </si>
  <si>
    <t>15501000305482111001</t>
  </si>
  <si>
    <t>XONDAMIR HUDOYOR AGRO</t>
  </si>
  <si>
    <t>15501000505454517001</t>
  </si>
  <si>
    <t>NAYMAN AGRO TOMORQA XIZMATI MCHJ</t>
  </si>
  <si>
    <t>15521000705576969105</t>
  </si>
  <si>
    <t>OQQORGON AGROKIMYO TAMINOT</t>
  </si>
  <si>
    <t>15501000505223074001</t>
  </si>
  <si>
    <t>15521000805595286110</t>
  </si>
  <si>
    <t>15501000904031975001</t>
  </si>
  <si>
    <t>15501000700549078001</t>
  </si>
  <si>
    <t>15501000400218372023</t>
  </si>
  <si>
    <t>OZOD VET-TEX-AGRO</t>
  </si>
  <si>
    <t>15521000805495883010</t>
  </si>
  <si>
    <t>P.S.U.E.A.I.T.I OQQORGON  tajriba stansiyasi</t>
  </si>
  <si>
    <t>15101000104444950580</t>
  </si>
  <si>
    <t>15501000205508810580</t>
  </si>
  <si>
    <t>15501000500601060570</t>
  </si>
  <si>
    <t>15501000203754462520</t>
  </si>
  <si>
    <t>15501000804031975580</t>
  </si>
  <si>
    <t>15501000604036106570</t>
  </si>
  <si>
    <t>15501000100818062505</t>
  </si>
  <si>
    <t>15501000704024760520</t>
  </si>
  <si>
    <t>15501000504024760505</t>
  </si>
  <si>
    <t>15501000404248508580</t>
  </si>
  <si>
    <t>15501156900818062010</t>
  </si>
  <si>
    <t>15501000704036106505</t>
  </si>
  <si>
    <t>15501000100601060067</t>
  </si>
  <si>
    <t>KAMOLBEK ULUGBEK KAMRONBEK</t>
  </si>
  <si>
    <t>15501643305520740001</t>
  </si>
  <si>
    <t>643</t>
  </si>
  <si>
    <t>15501000600218372520</t>
  </si>
  <si>
    <t>15501000105482111856</t>
  </si>
  <si>
    <t>15501000303754462160</t>
  </si>
  <si>
    <t>15501000904248508570</t>
  </si>
  <si>
    <t>15501000004248508590</t>
  </si>
  <si>
    <t>15501000905454517590</t>
  </si>
  <si>
    <t>15501000705687252856</t>
  </si>
  <si>
    <t>15501000405520740067</t>
  </si>
  <si>
    <t>BOKA AGROKIMYO</t>
  </si>
  <si>
    <t>15501000905225410001</t>
  </si>
  <si>
    <t>SAMANDAR ZIYODULLA AGRO F/X</t>
  </si>
  <si>
    <t>15501000905158668001</t>
  </si>
  <si>
    <t>15501000705046495001</t>
  </si>
  <si>
    <t>SIROJIDDIN-SALOXIDDIN</t>
  </si>
  <si>
    <t>15501000004568724004</t>
  </si>
  <si>
    <t>15501000200269393002</t>
  </si>
  <si>
    <t>EVRO MASTER GROUP MCHJ</t>
  </si>
  <si>
    <t>15501000205319943001</t>
  </si>
  <si>
    <t>15501000200540346006</t>
  </si>
  <si>
    <t>SHAXZOD ABDUSODIQOV F\X</t>
  </si>
  <si>
    <t>15501000700607539575</t>
  </si>
  <si>
    <t>15501000200540346570</t>
  </si>
  <si>
    <t>15501000804453729576</t>
  </si>
  <si>
    <t>ZILOLAXON TOJIBOY NURLI KELAJAK F/X</t>
  </si>
  <si>
    <t>15501000905162023570</t>
  </si>
  <si>
    <t>BOKA BOSTON BAHORI FX</t>
  </si>
  <si>
    <t>15501000300540477520</t>
  </si>
  <si>
    <t>OFARIN MOYTEPA FERMER HUJALIGI</t>
  </si>
  <si>
    <t>15501156904463141001</t>
  </si>
  <si>
    <t>15501000604453729505</t>
  </si>
  <si>
    <t>15501000804569184067</t>
  </si>
  <si>
    <t>15501000404569184160</t>
  </si>
  <si>
    <t>15501000904569184575</t>
  </si>
  <si>
    <t>15501000304463141570</t>
  </si>
  <si>
    <t>15501000904453729571</t>
  </si>
  <si>
    <t>15501000305162023520</t>
  </si>
  <si>
    <t>15501000005319943591</t>
  </si>
  <si>
    <t>15501000400269393590</t>
  </si>
  <si>
    <t>15501000204463141595</t>
  </si>
  <si>
    <t>15501000000540477003</t>
  </si>
  <si>
    <t>15501000900540477067</t>
  </si>
  <si>
    <t>15501000300269393067</t>
  </si>
  <si>
    <t>13101000705296042254</t>
  </si>
  <si>
    <t>15501000005222560001</t>
  </si>
  <si>
    <t>JAVLON AZIZ LAZIZ TOMORQA XIZMATI MCHJ</t>
  </si>
  <si>
    <t>15501000307084211001</t>
  </si>
  <si>
    <t>15501000605268731001</t>
  </si>
  <si>
    <t>15521000900131995850</t>
  </si>
  <si>
    <t>15501000900662859003</t>
  </si>
  <si>
    <t>15501000904889855003</t>
  </si>
  <si>
    <t>15501000200525032003</t>
  </si>
  <si>
    <t>OQTOM AVAZBEK FAYZ FX</t>
  </si>
  <si>
    <t>15501000900855326160</t>
  </si>
  <si>
    <t>QODIROV IBROHIM fermer xojaligi</t>
  </si>
  <si>
    <t>15501000500889482580</t>
  </si>
  <si>
    <t>15501000300744534580</t>
  </si>
  <si>
    <t>15501000100599102002</t>
  </si>
  <si>
    <t>15501000402070101160</t>
  </si>
  <si>
    <t>15501000600415958570</t>
  </si>
  <si>
    <t>15501000500862139505</t>
  </si>
  <si>
    <t>15501000900342343505</t>
  </si>
  <si>
    <t>15501000004303242505</t>
  </si>
  <si>
    <t>15501000205377278003</t>
  </si>
  <si>
    <t>BEKOBOD TONGI Fermer xojaligi</t>
  </si>
  <si>
    <t>15501000704304434002</t>
  </si>
  <si>
    <t>15501000300595309505</t>
  </si>
  <si>
    <t>15501000800411179160</t>
  </si>
  <si>
    <t>15501000600550698505</t>
  </si>
  <si>
    <t>15501000404307562580</t>
  </si>
  <si>
    <t>15521000604304434990</t>
  </si>
  <si>
    <t>15501000800540732505</t>
  </si>
  <si>
    <t>15501000700582012570</t>
  </si>
  <si>
    <t>15501000800582012505</t>
  </si>
  <si>
    <t>15501000500440776505</t>
  </si>
  <si>
    <t>ODIL B CHORVA FERMER XUJALIGI</t>
  </si>
  <si>
    <t>15501000803603064580</t>
  </si>
  <si>
    <t>15501000903603064335</t>
  </si>
  <si>
    <t>15501000200525437335</t>
  </si>
  <si>
    <t>15501000600590062004</t>
  </si>
  <si>
    <t>15501000000593702002</t>
  </si>
  <si>
    <t>15501000300525437520</t>
  </si>
  <si>
    <t>15501000700415958505</t>
  </si>
  <si>
    <t>15501000500408430160</t>
  </si>
  <si>
    <t>15501000400342343335</t>
  </si>
  <si>
    <t>15501000500550698570</t>
  </si>
  <si>
    <t>15501000900408430570</t>
  </si>
  <si>
    <t>15501000502070101505</t>
  </si>
  <si>
    <t>15501000400440776335</t>
  </si>
  <si>
    <t>13121000300525437745</t>
  </si>
  <si>
    <t>15501000400540732575</t>
  </si>
  <si>
    <t>15501000800459057160</t>
  </si>
  <si>
    <t>15501000700391170585</t>
  </si>
  <si>
    <t>15501000800593702335</t>
  </si>
  <si>
    <t>15501000900550698335</t>
  </si>
  <si>
    <t>15501000000582012335</t>
  </si>
  <si>
    <t>15501000000862139335</t>
  </si>
  <si>
    <t>15501000500459057003</t>
  </si>
  <si>
    <t>15501000900582012856</t>
  </si>
  <si>
    <t>15501000104303242335</t>
  </si>
  <si>
    <t>15501000900590062335</t>
  </si>
  <si>
    <t>15501000305296042067</t>
  </si>
  <si>
    <t>15501000303603064505</t>
  </si>
  <si>
    <t>15501000900411179570</t>
  </si>
  <si>
    <t>15501000800408430335</t>
  </si>
  <si>
    <t>15501000600459057570</t>
  </si>
  <si>
    <t>15501000900855326585</t>
  </si>
  <si>
    <t>Abu Fotix Agro f\x</t>
  </si>
  <si>
    <t>15501000900225738335</t>
  </si>
  <si>
    <t>15501000900590062520</t>
  </si>
  <si>
    <t>15501000800595309335</t>
  </si>
  <si>
    <t>15501000000540732335</t>
  </si>
  <si>
    <t>15501000205377278335</t>
  </si>
  <si>
    <t>15501000500593702570</t>
  </si>
  <si>
    <t>15501000300662859590</t>
  </si>
  <si>
    <t>15501000700550698002</t>
  </si>
  <si>
    <t>15501000904307562570</t>
  </si>
  <si>
    <t>15521000200525437031</t>
  </si>
  <si>
    <t>15501000200855326570</t>
  </si>
  <si>
    <t>15501000900862139856</t>
  </si>
  <si>
    <t>15501000000440776580</t>
  </si>
  <si>
    <t>15501000404307562067</t>
  </si>
  <si>
    <t>15501000300540732003</t>
  </si>
  <si>
    <t>15501000905310706002</t>
  </si>
  <si>
    <t>15501000905310706001</t>
  </si>
  <si>
    <t>Hojiyev Dovutbek f\x</t>
  </si>
  <si>
    <t>15501000204449966580</t>
  </si>
  <si>
    <t>15501000704449966570</t>
  </si>
  <si>
    <t>15501000805222589001</t>
  </si>
  <si>
    <t>13101000805649988001</t>
  </si>
  <si>
    <t>15501000500534502580</t>
  </si>
  <si>
    <t>15501000404455935570</t>
  </si>
  <si>
    <t>Isaqulov Turgunboy fermer xojaligi</t>
  </si>
  <si>
    <t>15501000800535812004</t>
  </si>
  <si>
    <t>15501000105302304575</t>
  </si>
  <si>
    <t>15501000904150100580</t>
  </si>
  <si>
    <t>15501000205302304585</t>
  </si>
  <si>
    <t>15501000004455898575</t>
  </si>
  <si>
    <t>13101000205310706856</t>
  </si>
  <si>
    <t>15501000004449966506</t>
  </si>
  <si>
    <t>15501000904455898585</t>
  </si>
  <si>
    <t>15501000304456183570</t>
  </si>
  <si>
    <t>15501000404456183505</t>
  </si>
  <si>
    <t>15501000304455954580</t>
  </si>
  <si>
    <t>15501000904455954505</t>
  </si>
  <si>
    <t>13101000904449966857</t>
  </si>
  <si>
    <t>15501000504455900570</t>
  </si>
  <si>
    <t>15501000000534502570</t>
  </si>
  <si>
    <t>15501000304455900585</t>
  </si>
  <si>
    <t>15501000804455954570</t>
  </si>
  <si>
    <t>15501000400535812002</t>
  </si>
  <si>
    <t>15501000604455935004</t>
  </si>
  <si>
    <t>GTG AGROSERVICE  MCHJ</t>
  </si>
  <si>
    <t>15501000307162029002</t>
  </si>
  <si>
    <t>15521000405158829110</t>
  </si>
  <si>
    <t>15521000900132251803</t>
  </si>
  <si>
    <t>15501156705300734001</t>
  </si>
  <si>
    <t>15501840205034260009</t>
  </si>
  <si>
    <t>15501840505034260005</t>
  </si>
  <si>
    <t>13101156905300734001</t>
  </si>
  <si>
    <t>15501840905034260007</t>
  </si>
  <si>
    <t>13101840105034260002</t>
  </si>
  <si>
    <t>MCHJ  AVALON REST ZONE</t>
  </si>
  <si>
    <t>15501840505114932001</t>
  </si>
  <si>
    <t>13101840905314241001</t>
  </si>
  <si>
    <t>15501840905034260008</t>
  </si>
  <si>
    <t>MCHJ TASHKENT BEST SEEDS</t>
  </si>
  <si>
    <t>13101000105533148345</t>
  </si>
  <si>
    <t>MCHJ POLY TEKS TOSHKENT</t>
  </si>
  <si>
    <t>13101000905741360255</t>
  </si>
  <si>
    <t>15501840305034260856</t>
  </si>
  <si>
    <t>15501840705034260006</t>
  </si>
  <si>
    <t>15501840605114932856</t>
  </si>
  <si>
    <t>15301000900858056575</t>
  </si>
  <si>
    <t>MCHJ ORTACHIRCHIQ AGROKIMYO</t>
  </si>
  <si>
    <t>15501000705222423001</t>
  </si>
  <si>
    <t>15501840705314241856</t>
  </si>
  <si>
    <t>13101840805114932856</t>
  </si>
  <si>
    <t>OOO SOLANUZ</t>
  </si>
  <si>
    <t>13121000500775947745</t>
  </si>
  <si>
    <t>15501000200775947581</t>
  </si>
  <si>
    <t>GULSHODA PLYUS ODINA</t>
  </si>
  <si>
    <t>15501000905203526001</t>
  </si>
  <si>
    <t>FX YASEEN  AGRO - INVEST</t>
  </si>
  <si>
    <t>15501000505217802335</t>
  </si>
  <si>
    <t>MADONIZ DIAMOND URUGCHILIK XK</t>
  </si>
  <si>
    <t>15501000704286684335</t>
  </si>
  <si>
    <t>MCHJ ZEHNLI-BILIMDON BOLALAR</t>
  </si>
  <si>
    <t>15521000505293985790</t>
  </si>
  <si>
    <t>15521000305293985803</t>
  </si>
  <si>
    <t>15501000000775947575</t>
  </si>
  <si>
    <t>15501000404970130575</t>
  </si>
  <si>
    <t>FAHRIDDIN FAZLIDDIN AGRO GROUP FX</t>
  </si>
  <si>
    <t>15501000900523541580</t>
  </si>
  <si>
    <t>MCHJ KUCHLIK  TOMORQA XIZMAT KLASTERI</t>
  </si>
  <si>
    <t>15521000605225641010</t>
  </si>
  <si>
    <t>13101000905222423001</t>
  </si>
  <si>
    <t>15501000800524410006</t>
  </si>
  <si>
    <t>15501000700713400003</t>
  </si>
  <si>
    <t>15501000900541388002</t>
  </si>
  <si>
    <t>15501000900538557002</t>
  </si>
  <si>
    <t>BOYOVUL-AGRO-GROUP</t>
  </si>
  <si>
    <t>15501000105336313580</t>
  </si>
  <si>
    <t>15501000605336313570</t>
  </si>
  <si>
    <t>15501000300421350335</t>
  </si>
  <si>
    <t>MCHJ UCHXOZ KIROV</t>
  </si>
  <si>
    <t>15521000205612003110</t>
  </si>
  <si>
    <t>15521000000561483105</t>
  </si>
  <si>
    <t>15501000100526211160</t>
  </si>
  <si>
    <t>15501156300421350010</t>
  </si>
  <si>
    <t>15501000000541426505</t>
  </si>
  <si>
    <t>15501000700526211580</t>
  </si>
  <si>
    <t>15501000600132900505</t>
  </si>
  <si>
    <t>15501000704453326580</t>
  </si>
  <si>
    <t>15501000500523541570</t>
  </si>
  <si>
    <t>15501000300528943570</t>
  </si>
  <si>
    <t>15501000100541426506</t>
  </si>
  <si>
    <t>15501000100526211570</t>
  </si>
  <si>
    <t>15501000700571804505</t>
  </si>
  <si>
    <t>15501000805413300005</t>
  </si>
  <si>
    <t>15501000005413300006</t>
  </si>
  <si>
    <t>15501000900528943580</t>
  </si>
  <si>
    <t>15501000400528943505</t>
  </si>
  <si>
    <t>15501000500523541160</t>
  </si>
  <si>
    <t>15501000305336313160</t>
  </si>
  <si>
    <t>15501000700571804160</t>
  </si>
  <si>
    <t>15501000405413300003</t>
  </si>
  <si>
    <t>15501000305413300008</t>
  </si>
  <si>
    <t>15501000400528943856</t>
  </si>
  <si>
    <t>15501000100541426856</t>
  </si>
  <si>
    <t>15501000900541426007</t>
  </si>
  <si>
    <t>15501000400571804585</t>
  </si>
  <si>
    <t>15501000005413300011</t>
  </si>
  <si>
    <t>15501000900713400856</t>
  </si>
  <si>
    <t>15501000400524410856</t>
  </si>
  <si>
    <t>15501000804286684575</t>
  </si>
  <si>
    <t>15501000600541388856</t>
  </si>
  <si>
    <t>15501000500421350590</t>
  </si>
  <si>
    <t>15501000100538557856</t>
  </si>
  <si>
    <t>15501000400132900856</t>
  </si>
  <si>
    <t>15501000805222980001</t>
  </si>
  <si>
    <t>XUSAYN-AGRO BARAKA-FAYZ</t>
  </si>
  <si>
    <t>15501000705589934335</t>
  </si>
  <si>
    <t>15501000704701872005</t>
  </si>
  <si>
    <t>15501000200540193005</t>
  </si>
  <si>
    <t>15501000200845719001</t>
  </si>
  <si>
    <t>JASURBEK AKOBIR GOLD MCHJ</t>
  </si>
  <si>
    <t>15501000905679219585</t>
  </si>
  <si>
    <t>JUMAYEV BAXTIYOR ABDURAXIMOVICH MCHJ</t>
  </si>
  <si>
    <t>15501000200408914580</t>
  </si>
  <si>
    <t>FX ARSLONBOYEV A</t>
  </si>
  <si>
    <t>15501840500147857071</t>
  </si>
  <si>
    <t>Parkent Asl Agro MTPMCHJ</t>
  </si>
  <si>
    <t>15501000600944531002</t>
  </si>
  <si>
    <t>15501000904453232005</t>
  </si>
  <si>
    <t>15501000700747360005</t>
  </si>
  <si>
    <t>15501643000147894001</t>
  </si>
  <si>
    <t>15501000900408914001</t>
  </si>
  <si>
    <t>15501000100408914067</t>
  </si>
  <si>
    <t>15501000100671241067</t>
  </si>
  <si>
    <t>15501000304180101021</t>
  </si>
  <si>
    <t>15501000900540193856</t>
  </si>
  <si>
    <t>15501000905695007001</t>
  </si>
  <si>
    <t>15501000200845719856</t>
  </si>
  <si>
    <t>15501000405695007505</t>
  </si>
  <si>
    <t>15501000100561834570</t>
  </si>
  <si>
    <t>15501000900671241570</t>
  </si>
  <si>
    <t>15501000200561834505</t>
  </si>
  <si>
    <t>15501000304180101022</t>
  </si>
  <si>
    <t>15501000500747360595</t>
  </si>
  <si>
    <t>15501000604180101595</t>
  </si>
  <si>
    <t>15501000600147894020</t>
  </si>
  <si>
    <t>13101000505695007856</t>
  </si>
  <si>
    <t>15501000200561834590</t>
  </si>
  <si>
    <t>15501000600147894570</t>
  </si>
  <si>
    <t>15501000700147894160</t>
  </si>
  <si>
    <t>15501000100408914591</t>
  </si>
  <si>
    <t>15501000800408914590</t>
  </si>
  <si>
    <t>15501000700540193002</t>
  </si>
  <si>
    <t>15501000005628288335</t>
  </si>
  <si>
    <t>15501000404404144335</t>
  </si>
  <si>
    <t>SHOX NOZ QUTLI</t>
  </si>
  <si>
    <t>15521000305231265850</t>
  </si>
  <si>
    <t>15501000204381684335</t>
  </si>
  <si>
    <t>HOSIL-BAYRAMI Fermer Xojaligi</t>
  </si>
  <si>
    <t>15501156704165722010</t>
  </si>
  <si>
    <t>OOO ERA</t>
  </si>
  <si>
    <t>15501000102984651001</t>
  </si>
  <si>
    <t>AHMADALI DEHQON-OTA Fermer xojaligi</t>
  </si>
  <si>
    <t>15501000204190223335</t>
  </si>
  <si>
    <t>F.X Kavsar Zamin Omad</t>
  </si>
  <si>
    <t>15501000404720376003</t>
  </si>
  <si>
    <t>15501000505101438001</t>
  </si>
  <si>
    <t>15501000904404144505</t>
  </si>
  <si>
    <t>15501000605320964001</t>
  </si>
  <si>
    <t>15501000905320964067</t>
  </si>
  <si>
    <t>15501000605101438590</t>
  </si>
  <si>
    <t>15521000205101438010</t>
  </si>
  <si>
    <t>OCEAN ORCHIDSMCHJ</t>
  </si>
  <si>
    <t>15501000405693665610</t>
  </si>
  <si>
    <t>15501840105246639001</t>
  </si>
  <si>
    <t>15501840000133325001</t>
  </si>
  <si>
    <t>15501840505246639003</t>
  </si>
  <si>
    <t>15501978505246639003</t>
  </si>
  <si>
    <t>15501978305246639002</t>
  </si>
  <si>
    <t>PARKENT ZIYO NUR  TOMORQA XIZMAT  MCHJ</t>
  </si>
  <si>
    <t>15521000305034601111</t>
  </si>
  <si>
    <t>13101840305246639856</t>
  </si>
  <si>
    <t>15501978105246639001</t>
  </si>
  <si>
    <t>13101978305246639856</t>
  </si>
  <si>
    <t>15501840305246639002</t>
  </si>
  <si>
    <t>15501840600133325857</t>
  </si>
  <si>
    <t>ALL RETAIL PLUS MCHJ</t>
  </si>
  <si>
    <t>13101840905330177023</t>
  </si>
  <si>
    <t>15501840905246639857</t>
  </si>
  <si>
    <t>15501978605246639858</t>
  </si>
  <si>
    <t>15521000005451616010</t>
  </si>
  <si>
    <t>15501978905246639857</t>
  </si>
  <si>
    <t>GREAT PERSON FOR ME Masuliyati cheklangan jamiyat</t>
  </si>
  <si>
    <t>15501000305328246611</t>
  </si>
  <si>
    <t>15501840900936132001</t>
  </si>
  <si>
    <t>13101840900133325856</t>
  </si>
  <si>
    <t>15501000300936132505</t>
  </si>
  <si>
    <t>15501840205330177857</t>
  </si>
  <si>
    <t>15501000005034601858</t>
  </si>
  <si>
    <t>13101000705034601856</t>
  </si>
  <si>
    <t>15501000205328246610</t>
  </si>
  <si>
    <t>TAMERLAN MARKETING MCHJ XK</t>
  </si>
  <si>
    <t>15501840005145027001</t>
  </si>
  <si>
    <t>OOO FRESH FLOUR</t>
  </si>
  <si>
    <t>15501000005698608001</t>
  </si>
  <si>
    <t>13101000604873260221</t>
  </si>
  <si>
    <t>15501000705698608856</t>
  </si>
  <si>
    <t>13101000604873260222</t>
  </si>
  <si>
    <t>ACTIV 2020 MCHJ</t>
  </si>
  <si>
    <t>15521000205369597790</t>
  </si>
  <si>
    <t>RAXMATILLO-DILSHOD MCHJ</t>
  </si>
  <si>
    <t>15501000604698642001</t>
  </si>
  <si>
    <t>15501000805576431614</t>
  </si>
  <si>
    <t>OOO BB-BRAND</t>
  </si>
  <si>
    <t>15501000405110016505</t>
  </si>
  <si>
    <t>13101000304873260002</t>
  </si>
  <si>
    <t>15501000104698642926</t>
  </si>
  <si>
    <t>15501000104873260014</t>
  </si>
  <si>
    <t>15501000505687010920</t>
  </si>
  <si>
    <t>15501000705113421001</t>
  </si>
  <si>
    <t>15501000005095246560</t>
  </si>
  <si>
    <t>15501000505095246335</t>
  </si>
  <si>
    <t>YANGI-HAYOT DOSTLIK f/x</t>
  </si>
  <si>
    <t>15501000605084004001</t>
  </si>
  <si>
    <t>15501000505084004505</t>
  </si>
  <si>
    <t>MUMTOZ SERVIS YANGIYUL TUMANI</t>
  </si>
  <si>
    <t>15501000205383396032</t>
  </si>
  <si>
    <t>15501000305383396031</t>
  </si>
  <si>
    <t>15501000805383396014</t>
  </si>
  <si>
    <t>15501000705383396013</t>
  </si>
  <si>
    <t>15501000305383396005</t>
  </si>
  <si>
    <t>15501000405095246336</t>
  </si>
  <si>
    <t>15501000105369597856</t>
  </si>
  <si>
    <t>15501000905383396034</t>
  </si>
  <si>
    <t>15501000905383396017</t>
  </si>
  <si>
    <t>15501000505383396006</t>
  </si>
  <si>
    <t>15501000405383396021</t>
  </si>
  <si>
    <t>15501000105383396033</t>
  </si>
  <si>
    <t>00433</t>
  </si>
  <si>
    <t>SAYXUN-FODDER MCHJ</t>
  </si>
  <si>
    <t>15501000400880042201</t>
  </si>
  <si>
    <t>15501978905230900000</t>
  </si>
  <si>
    <t>15501978105129127001</t>
  </si>
  <si>
    <t>15501978105208312001</t>
  </si>
  <si>
    <t>15501978305290100000</t>
  </si>
  <si>
    <t>15501978005228030001</t>
  </si>
  <si>
    <t>15501978505228039001</t>
  </si>
  <si>
    <t>15501978805155396001</t>
  </si>
  <si>
    <t>15501840105129127001</t>
  </si>
  <si>
    <t>13101840905129100000</t>
  </si>
  <si>
    <t>15501000304180415741</t>
  </si>
  <si>
    <t>15521000900881972860</t>
  </si>
  <si>
    <t>AZIO MASLO MCHJ</t>
  </si>
  <si>
    <t>15501000605327626270</t>
  </si>
  <si>
    <t>15101000601436458801</t>
  </si>
  <si>
    <t>THE SEVEN WEEKS GROUP</t>
  </si>
  <si>
    <t>15501840805552623710</t>
  </si>
  <si>
    <t>OOO "ZOXID AGRO"</t>
  </si>
  <si>
    <t>15501000600907713722</t>
  </si>
  <si>
    <t>15501000500907713713</t>
  </si>
  <si>
    <t>OK "MUQADDAS FRUITS EXPORT"</t>
  </si>
  <si>
    <t>15501000705209737711</t>
  </si>
  <si>
    <t>GEMOTEST LAB</t>
  </si>
  <si>
    <t>15521000405253654790</t>
  </si>
  <si>
    <t>ALFA MAGNAT STAR</t>
  </si>
  <si>
    <t>15501000205687293201</t>
  </si>
  <si>
    <t>15501000705000030712</t>
  </si>
  <si>
    <t>INNO LAB</t>
  </si>
  <si>
    <t>15501000900877563721</t>
  </si>
  <si>
    <t>15521000005290197851</t>
  </si>
  <si>
    <t>15501000900718650811</t>
  </si>
  <si>
    <t>15521000200907713991</t>
  </si>
  <si>
    <t>15501000400718650804</t>
  </si>
  <si>
    <t>15501000900718650802</t>
  </si>
  <si>
    <t>15501000000718650810</t>
  </si>
  <si>
    <t>15501000100718650808</t>
  </si>
  <si>
    <t>15501000300718650814</t>
  </si>
  <si>
    <t>15501000500718650816</t>
  </si>
  <si>
    <t>15501000800718650806</t>
  </si>
  <si>
    <t>15501000000718650807</t>
  </si>
  <si>
    <t>15501000600718650805</t>
  </si>
  <si>
    <t>15501000205453862858</t>
  </si>
  <si>
    <t>15501000105453862851</t>
  </si>
  <si>
    <t>15501000205453862801</t>
  </si>
  <si>
    <t>15501000305453862854</t>
  </si>
  <si>
    <t>15501000205453862864</t>
  </si>
  <si>
    <t>15501000405453862850</t>
  </si>
  <si>
    <t>15501000405453862844</t>
  </si>
  <si>
    <t>15501000504456196711</t>
  </si>
  <si>
    <t>15521000900480970791</t>
  </si>
  <si>
    <t>15501000604456196745</t>
  </si>
  <si>
    <t>"Sayyox 2000" Xususiy kichik korxonasi</t>
  </si>
  <si>
    <t>15501000104111744714</t>
  </si>
  <si>
    <t>15521000604111744860</t>
  </si>
  <si>
    <t>"UMAR OTA HIRMONTEPASI" MChJ</t>
  </si>
  <si>
    <t>15501000507104999722</t>
  </si>
  <si>
    <t>15101000900133299999</t>
  </si>
  <si>
    <t>GULBOG-RISQI-DUR-RANO FX</t>
  </si>
  <si>
    <t>15501000804480085761</t>
  </si>
  <si>
    <t>15501840005217318550</t>
  </si>
  <si>
    <t>15501000105445188760</t>
  </si>
  <si>
    <t>15501000900132402552</t>
  </si>
  <si>
    <t>15501840605071416550</t>
  </si>
  <si>
    <t>15501000800132402762</t>
  </si>
  <si>
    <t>14403000705445188555</t>
  </si>
  <si>
    <t>MCHJ FAROVON MAKSIMUM</t>
  </si>
  <si>
    <t>15501840700683788003</t>
  </si>
  <si>
    <t>15501000500132402760</t>
  </si>
  <si>
    <t>AGRO TEKS ALLIANCE</t>
  </si>
  <si>
    <t>15501840600925213010</t>
  </si>
  <si>
    <t>F/X"NURMATOV AHADJON"</t>
  </si>
  <si>
    <t>15501000004256199203</t>
  </si>
  <si>
    <t>15501000005389486741</t>
  </si>
  <si>
    <t>MCHJ "SUNRAY AGRO PLUS"</t>
  </si>
  <si>
    <t>15501840800714809001</t>
  </si>
  <si>
    <t>15501000305019123740</t>
  </si>
  <si>
    <t>15501840904779718001</t>
  </si>
  <si>
    <t>15501000104256199204</t>
  </si>
  <si>
    <t>15501000500947565270</t>
  </si>
  <si>
    <t>15501000205222827201</t>
  </si>
  <si>
    <t>14403000705169546555</t>
  </si>
  <si>
    <t>OOO "BON BROKER"</t>
  </si>
  <si>
    <t>15501840600458814201</t>
  </si>
  <si>
    <t>"LEADER LEASING" MCHJ</t>
  </si>
  <si>
    <t>15521000505312544802</t>
  </si>
  <si>
    <t>15501000505538938711</t>
  </si>
  <si>
    <t>OOO "ELEGANT FIBER TEXTILE"</t>
  </si>
  <si>
    <t>15501840800706493204</t>
  </si>
  <si>
    <t>15501000905720882200</t>
  </si>
  <si>
    <t>15501000300283693202</t>
  </si>
  <si>
    <t>15521000000442362852</t>
  </si>
  <si>
    <t>GREAT VISIT</t>
  </si>
  <si>
    <t>15521000705452039801</t>
  </si>
  <si>
    <t>FERUZA-OMADLI-SAVDO</t>
  </si>
  <si>
    <t>15521000105223578850</t>
  </si>
  <si>
    <t>15501000105382001201</t>
  </si>
  <si>
    <t>15501000605422694551</t>
  </si>
  <si>
    <t>15501840605604459001</t>
  </si>
  <si>
    <t>13101000605222827202</t>
  </si>
  <si>
    <t>15501000504971433812</t>
  </si>
  <si>
    <t>15521000604650007853</t>
  </si>
  <si>
    <t>15501000404971433270</t>
  </si>
  <si>
    <t>MSI GOLD IZALON</t>
  </si>
  <si>
    <t>15501000005363498002</t>
  </si>
  <si>
    <t>15501840300706493444</t>
  </si>
  <si>
    <t>15501000705669942201</t>
  </si>
  <si>
    <t>15501978905014365001</t>
  </si>
  <si>
    <t>BIG - SHOX HALAL MEAT MCHJ</t>
  </si>
  <si>
    <t>13101840505159512003</t>
  </si>
  <si>
    <t>15501840000519203550</t>
  </si>
  <si>
    <t>INVESTMENT-STAR</t>
  </si>
  <si>
    <t>15501840905343460001</t>
  </si>
  <si>
    <t>15501000305386746740</t>
  </si>
  <si>
    <t>OOO ERGASH ALI GRAND KAPITAL</t>
  </si>
  <si>
    <t>15501840804919395001</t>
  </si>
  <si>
    <t>15501840804307264222</t>
  </si>
  <si>
    <t>15501840605425804001</t>
  </si>
  <si>
    <t>15501840905401851001</t>
  </si>
  <si>
    <t>15501840505422702001</t>
  </si>
  <si>
    <t>15501840705396635001</t>
  </si>
  <si>
    <t>15501840205440914001</t>
  </si>
  <si>
    <t>DAS TEAM CONSTRUCT MCHJ</t>
  </si>
  <si>
    <t>15501840105144230001</t>
  </si>
  <si>
    <t>01125</t>
  </si>
  <si>
    <t>MUYNOQ YANGIYUL CHORVADOR</t>
  </si>
  <si>
    <t>4244348</t>
  </si>
  <si>
    <t>15501000205490167080</t>
  </si>
  <si>
    <t>4238927</t>
  </si>
  <si>
    <t>15521000705121894985</t>
  </si>
  <si>
    <t>5508552</t>
  </si>
  <si>
    <t>15501000705121894250</t>
  </si>
  <si>
    <t>AVTO PLYUS-OMAD</t>
  </si>
  <si>
    <t>5865450</t>
  </si>
  <si>
    <t>15501840305452915209</t>
  </si>
  <si>
    <t>5992832</t>
  </si>
  <si>
    <t>15501840905630019209</t>
  </si>
  <si>
    <t>RUSTAM TEKISTIL PPP</t>
  </si>
  <si>
    <t>5926447</t>
  </si>
  <si>
    <t>15501840707243700209</t>
  </si>
  <si>
    <t>4207636</t>
  </si>
  <si>
    <t>15501000004842649083</t>
  </si>
  <si>
    <t>FIRAT  MCHJ</t>
  </si>
  <si>
    <t>5831782</t>
  </si>
  <si>
    <t>15501840407148758209</t>
  </si>
  <si>
    <t>OOO "UNIVERSAL TENNIS PLUS"</t>
  </si>
  <si>
    <t>5922499</t>
  </si>
  <si>
    <t>15501840500613498209</t>
  </si>
  <si>
    <t>MBK LOGIST</t>
  </si>
  <si>
    <t>5854073</t>
  </si>
  <si>
    <t>15501840607228345209</t>
  </si>
  <si>
    <t>MCHJ "712 BARAKA"</t>
  </si>
  <si>
    <t>5917317</t>
  </si>
  <si>
    <t>15521840705740449941</t>
  </si>
  <si>
    <t>4248000</t>
  </si>
  <si>
    <t>15501000100934336980</t>
  </si>
  <si>
    <t>4248003</t>
  </si>
  <si>
    <t>15501000400934336940</t>
  </si>
  <si>
    <t>4247997</t>
  </si>
  <si>
    <t>15501000900934336925</t>
  </si>
  <si>
    <t>4248002</t>
  </si>
  <si>
    <t>15501000600934336950</t>
  </si>
  <si>
    <t>4247999</t>
  </si>
  <si>
    <t>15501000500934336945</t>
  </si>
  <si>
    <t>4211448</t>
  </si>
  <si>
    <t>15101000704021251301</t>
  </si>
  <si>
    <t>TRUSTCOMPANION</t>
  </si>
  <si>
    <t>5896095</t>
  </si>
  <si>
    <t>15501000100856619250</t>
  </si>
  <si>
    <t>4239148</t>
  </si>
  <si>
    <t>15521000304687992985</t>
  </si>
  <si>
    <t>4195400</t>
  </si>
  <si>
    <t>15501840200856619001</t>
  </si>
  <si>
    <t>4205617</t>
  </si>
  <si>
    <t>15501000700856619080</t>
  </si>
  <si>
    <t>SHOY-MENG BUSINESS</t>
  </si>
  <si>
    <t>4244394</t>
  </si>
  <si>
    <t>15521000400920714850</t>
  </si>
  <si>
    <t>5710841</t>
  </si>
  <si>
    <t>15521000900920714372</t>
  </si>
  <si>
    <t>4196770</t>
  </si>
  <si>
    <t>15501840304571612001</t>
  </si>
  <si>
    <t>MURODIL KOSHONASI MCHJ</t>
  </si>
  <si>
    <t>5907288</t>
  </si>
  <si>
    <t>15501840407217908209</t>
  </si>
  <si>
    <t>6022528</t>
  </si>
  <si>
    <t>15501840200874115209</t>
  </si>
  <si>
    <t>OLIMJON AKOBIR XK</t>
  </si>
  <si>
    <t>5508559</t>
  </si>
  <si>
    <t>15521000805053364980</t>
  </si>
  <si>
    <t>MCHJ PARKENT NURLI TONG</t>
  </si>
  <si>
    <t>5038361</t>
  </si>
  <si>
    <t>15521000900211116790</t>
  </si>
  <si>
    <t>"Baxt" fermer hujaligi</t>
  </si>
  <si>
    <t>6011279</t>
  </si>
  <si>
    <t>15501840000145769209</t>
  </si>
  <si>
    <t>4252264</t>
  </si>
  <si>
    <t>15521000200936132985</t>
  </si>
  <si>
    <t>ZARKENT BORI OMONOV FERMER XOJALIGI</t>
  </si>
  <si>
    <t>5646662</t>
  </si>
  <si>
    <t>15501840504512754722</t>
  </si>
  <si>
    <t>"Fotima Tayyorlov" MChJ</t>
  </si>
  <si>
    <t>5802685</t>
  </si>
  <si>
    <t>15501000600476237250</t>
  </si>
  <si>
    <t>5644742</t>
  </si>
  <si>
    <t>15521000205314794980</t>
  </si>
  <si>
    <t>4542081</t>
  </si>
  <si>
    <t>15521000500671523985</t>
  </si>
  <si>
    <t>6015723</t>
  </si>
  <si>
    <t>15501840304824527209</t>
  </si>
  <si>
    <t>4239488</t>
  </si>
  <si>
    <t>15521000300133298850</t>
  </si>
  <si>
    <t>MCHJ STRONG FISH</t>
  </si>
  <si>
    <t>4246532</t>
  </si>
  <si>
    <t>15521000705567973985</t>
  </si>
  <si>
    <t>5802771</t>
  </si>
  <si>
    <t>15521000700476237985</t>
  </si>
  <si>
    <t>4239601</t>
  </si>
  <si>
    <t>15521000904900687985</t>
  </si>
  <si>
    <t>ASL MILLIY CHORVA</t>
  </si>
  <si>
    <t>6007749</t>
  </si>
  <si>
    <t>15501840705713381209</t>
  </si>
  <si>
    <t>4195218</t>
  </si>
  <si>
    <t>15501840504900687001</t>
  </si>
  <si>
    <t>OOO "OROM ZAFAR BUSINESS"</t>
  </si>
  <si>
    <t>5850189</t>
  </si>
  <si>
    <t>15501840205596167209</t>
  </si>
  <si>
    <t>5999867</t>
  </si>
  <si>
    <t>15501840104662291209</t>
  </si>
  <si>
    <t>"ABDULLOH-XUSANBOY OMAD" masuliyati cheklangan jamiyati</t>
  </si>
  <si>
    <t>6025483</t>
  </si>
  <si>
    <t>15501840807203111209</t>
  </si>
  <si>
    <t>"UMID DUR MARJON" masuliyati cheklangan jamiyati</t>
  </si>
  <si>
    <t>4229414</t>
  </si>
  <si>
    <t>15501000505117879965</t>
  </si>
  <si>
    <t>4229379</t>
  </si>
  <si>
    <t>15501000605117879962</t>
  </si>
  <si>
    <t>4229405</t>
  </si>
  <si>
    <t>15501000905117879964</t>
  </si>
  <si>
    <t>4229366</t>
  </si>
  <si>
    <t>15501000305117879960</t>
  </si>
  <si>
    <t>4237292</t>
  </si>
  <si>
    <t>15501840000748881120</t>
  </si>
  <si>
    <t>4210478</t>
  </si>
  <si>
    <t>15501840604490940003</t>
  </si>
  <si>
    <t>5378017</t>
  </si>
  <si>
    <t>15501000900748881070</t>
  </si>
  <si>
    <t>4205467</t>
  </si>
  <si>
    <t>15501000504983114016</t>
  </si>
  <si>
    <t>4194491</t>
  </si>
  <si>
    <t>15501840204490940001</t>
  </si>
  <si>
    <t>DOREEN MILKY</t>
  </si>
  <si>
    <t>5705960</t>
  </si>
  <si>
    <t>15501000605430916610</t>
  </si>
  <si>
    <t>DR DAVIDOV LABORATORY</t>
  </si>
  <si>
    <t>6048628</t>
  </si>
  <si>
    <t>15501840405604308209</t>
  </si>
  <si>
    <t>NAFOSAT TURKISTON MILK</t>
  </si>
  <si>
    <t>5858539</t>
  </si>
  <si>
    <t>15501840007232132209</t>
  </si>
  <si>
    <t>MUSLIMA YAGONA MAHSULOTI</t>
  </si>
  <si>
    <t>6013069</t>
  </si>
  <si>
    <t>15501840907276857209</t>
  </si>
  <si>
    <t>AXROL MUAZZAM</t>
  </si>
  <si>
    <t>5935851</t>
  </si>
  <si>
    <t>15501840807263579209</t>
  </si>
  <si>
    <t>4208466</t>
  </si>
  <si>
    <t>15501000005216026070</t>
  </si>
  <si>
    <t>MCHJ "VETLINK"</t>
  </si>
  <si>
    <t>5237177</t>
  </si>
  <si>
    <t>15501000905602844707</t>
  </si>
  <si>
    <t>GOOD HOME BUSINESS</t>
  </si>
  <si>
    <t>5827205</t>
  </si>
  <si>
    <t>15501840907151603209</t>
  </si>
  <si>
    <t>JE-N</t>
  </si>
  <si>
    <t>5856300</t>
  </si>
  <si>
    <t>15501840107219400209</t>
  </si>
  <si>
    <t>4230971</t>
  </si>
  <si>
    <t>15501000905530263016</t>
  </si>
  <si>
    <t>5895995</t>
  </si>
  <si>
    <t>15501840904251402209</t>
  </si>
  <si>
    <t>4200092</t>
  </si>
  <si>
    <t>15501840204960703002</t>
  </si>
  <si>
    <t>5533790</t>
  </si>
  <si>
    <t>15501000200226586051</t>
  </si>
  <si>
    <t>4241105</t>
  </si>
  <si>
    <t>15521000900819847985</t>
  </si>
  <si>
    <t>GOLDEN KANSMIR</t>
  </si>
  <si>
    <t>5875513</t>
  </si>
  <si>
    <t>15521840205043897941</t>
  </si>
  <si>
    <t>TROYA SHIFO MED</t>
  </si>
  <si>
    <t>5990090</t>
  </si>
  <si>
    <t>15501840807177026209</t>
  </si>
  <si>
    <t>GULSHODA-KIDS</t>
  </si>
  <si>
    <t>5923032</t>
  </si>
  <si>
    <t>15501840007259242209</t>
  </si>
  <si>
    <t>JASMED</t>
  </si>
  <si>
    <t>6000658</t>
  </si>
  <si>
    <t>15501840707286918209</t>
  </si>
  <si>
    <t>BOUTIQUE APARTMENTS HOTEL</t>
  </si>
  <si>
    <t>5990181</t>
  </si>
  <si>
    <t>15501840707259141209</t>
  </si>
  <si>
    <t>MILLENNIUM SERVCE</t>
  </si>
  <si>
    <t>6053993</t>
  </si>
  <si>
    <t>15501840407258415210</t>
  </si>
  <si>
    <t>AVTO MEXANIC SERVICE</t>
  </si>
  <si>
    <t>6053944</t>
  </si>
  <si>
    <t>15501840707216080209</t>
  </si>
  <si>
    <t>LIVING HAPPILY OOO</t>
  </si>
  <si>
    <t>5923901</t>
  </si>
  <si>
    <t>15501840107254406209</t>
  </si>
  <si>
    <t>ZORRO GARDENS</t>
  </si>
  <si>
    <t>5887043</t>
  </si>
  <si>
    <t>15501840905207149209</t>
  </si>
  <si>
    <t>YUSUP TEXTILE MCHJ</t>
  </si>
  <si>
    <t>5889535</t>
  </si>
  <si>
    <t>15501840907231358209</t>
  </si>
  <si>
    <t>SHOSH BOOK SALE</t>
  </si>
  <si>
    <t>5893703</t>
  </si>
  <si>
    <t>15501840205593248209</t>
  </si>
  <si>
    <t>RANO SAMIRA MCHJ</t>
  </si>
  <si>
    <t>6013355</t>
  </si>
  <si>
    <t>15501840407291592209</t>
  </si>
  <si>
    <t>SANTEXPROFII MCHJ</t>
  </si>
  <si>
    <t>6017965</t>
  </si>
  <si>
    <t>15501840907262989209</t>
  </si>
  <si>
    <t>PROCLEANSERVICE</t>
  </si>
  <si>
    <t>5837879</t>
  </si>
  <si>
    <t>15501840905252955209</t>
  </si>
  <si>
    <t>5487106</t>
  </si>
  <si>
    <t>15521000500723166801</t>
  </si>
  <si>
    <t>5780490</t>
  </si>
  <si>
    <t>15521840905043897942</t>
  </si>
  <si>
    <t>"RIBIN GUD"MASULIYATI CHEKLANGAN JAMIYATI</t>
  </si>
  <si>
    <t>5053230</t>
  </si>
  <si>
    <t>15521000500913255101</t>
  </si>
  <si>
    <t>UMARBEK-AZIZA OMAD</t>
  </si>
  <si>
    <t>6031600</t>
  </si>
  <si>
    <t>15501840607206256209</t>
  </si>
  <si>
    <t>OQTOSH HOUSE</t>
  </si>
  <si>
    <t>5917072</t>
  </si>
  <si>
    <t>15501840507246171209</t>
  </si>
  <si>
    <t>XILOLA</t>
  </si>
  <si>
    <t>6032538</t>
  </si>
  <si>
    <t>15501840500128592210</t>
  </si>
  <si>
    <t>4220513</t>
  </si>
  <si>
    <t>15501000405330232030</t>
  </si>
  <si>
    <t>5936324</t>
  </si>
  <si>
    <t>15521840900128592941</t>
  </si>
  <si>
    <t>4212681</t>
  </si>
  <si>
    <t>15501000305330232031</t>
  </si>
  <si>
    <t>JAVANET XK</t>
  </si>
  <si>
    <t>6051363</t>
  </si>
  <si>
    <t>15501840907253074209</t>
  </si>
  <si>
    <t>TEMIR QADAM-DILKUSHO MCHJ</t>
  </si>
  <si>
    <t>4203723</t>
  </si>
  <si>
    <t>15501000400639947080</t>
  </si>
  <si>
    <t>6067764</t>
  </si>
  <si>
    <t>15501840707317135209</t>
  </si>
  <si>
    <t>5134963</t>
  </si>
  <si>
    <t>15521000200802935790</t>
  </si>
  <si>
    <t>4208314</t>
  </si>
  <si>
    <t>15501840905266623070</t>
  </si>
  <si>
    <t>4211048</t>
  </si>
  <si>
    <t>15501840804503553120</t>
  </si>
  <si>
    <t>4211652</t>
  </si>
  <si>
    <t>15501840804503553121</t>
  </si>
  <si>
    <t>4194434</t>
  </si>
  <si>
    <t>15501840704365901001</t>
  </si>
  <si>
    <t>BUILD FUNDAMENT MCHJ</t>
  </si>
  <si>
    <t>6042867</t>
  </si>
  <si>
    <t>15501840607307793209</t>
  </si>
  <si>
    <t>CORONA PLIT</t>
  </si>
  <si>
    <t>5919808</t>
  </si>
  <si>
    <t>15501840905590896941</t>
  </si>
  <si>
    <t>6022267</t>
  </si>
  <si>
    <t>15501840200634407209</t>
  </si>
  <si>
    <t>ECO-GREEN-VALLEY-PLYUS</t>
  </si>
  <si>
    <t>5848211</t>
  </si>
  <si>
    <t>15501840907212477209</t>
  </si>
  <si>
    <t>MUSTAQIM MOHIJAXON</t>
  </si>
  <si>
    <t>6041470</t>
  </si>
  <si>
    <t>15501840107254224209</t>
  </si>
  <si>
    <t>WORLD SWEETIES</t>
  </si>
  <si>
    <t>6020356</t>
  </si>
  <si>
    <t>15501840205035918209</t>
  </si>
  <si>
    <t>MCHJ SHUKURONA OMAD</t>
  </si>
  <si>
    <t>5303146</t>
  </si>
  <si>
    <t>15521000900822613850</t>
  </si>
  <si>
    <t>SHAFFOF SUT MAHSULOTLARI MCHJ</t>
  </si>
  <si>
    <t>6065820</t>
  </si>
  <si>
    <t>15521840507295090941</t>
  </si>
  <si>
    <t>MCHJ BUYUK CHORSU</t>
  </si>
  <si>
    <t>5882699</t>
  </si>
  <si>
    <t>15501840907212550209</t>
  </si>
  <si>
    <t>4199221</t>
  </si>
  <si>
    <t>15101000904021251044</t>
  </si>
  <si>
    <t>4217351</t>
  </si>
  <si>
    <t>15501840705344107005</t>
  </si>
  <si>
    <t>4197660</t>
  </si>
  <si>
    <t>15501840400775744001</t>
  </si>
  <si>
    <t>4241481</t>
  </si>
  <si>
    <t>15521000304560893985</t>
  </si>
  <si>
    <t>5922520</t>
  </si>
  <si>
    <t>15501840305187150209</t>
  </si>
  <si>
    <t>GEOGOLD GROUP MCHJ</t>
  </si>
  <si>
    <t>6033839</t>
  </si>
  <si>
    <t>15501840807297980209</t>
  </si>
  <si>
    <t>ADENOV SHAVKAT ERKABOYEVICH</t>
  </si>
  <si>
    <t>5143790</t>
  </si>
  <si>
    <t>15501000605187385082</t>
  </si>
  <si>
    <t>4241480</t>
  </si>
  <si>
    <t>15521000200148480985</t>
  </si>
  <si>
    <t>SAHOVAT SHIFO SIFAT</t>
  </si>
  <si>
    <t>5933848</t>
  </si>
  <si>
    <t>15501840305353788209</t>
  </si>
  <si>
    <t>OLOVIDDIN FERMER HUJALIGI</t>
  </si>
  <si>
    <t>5681774</t>
  </si>
  <si>
    <t>15501000903983444250</t>
  </si>
  <si>
    <t>OOO "TURAYEV LOGISTICS"</t>
  </si>
  <si>
    <t>5885662</t>
  </si>
  <si>
    <t>15501840107244964209</t>
  </si>
  <si>
    <t>ILGOR YANGI DAVR</t>
  </si>
  <si>
    <t>5870834</t>
  </si>
  <si>
    <t>15501840807223137209</t>
  </si>
  <si>
    <t>00439</t>
  </si>
  <si>
    <t>PERIOD MCHJ</t>
  </si>
  <si>
    <t>321766</t>
  </si>
  <si>
    <t>15501000905465301001</t>
  </si>
  <si>
    <t>322207</t>
  </si>
  <si>
    <t>15101000700130156002</t>
  </si>
  <si>
    <t>318052</t>
  </si>
  <si>
    <t>15101000500130156001</t>
  </si>
  <si>
    <t>JAMSHID METALL BIZNESS MCHJ</t>
  </si>
  <si>
    <t>323497</t>
  </si>
  <si>
    <t>15501000400989741001</t>
  </si>
  <si>
    <t>MCHJ OLMALIQ BUS INVEST</t>
  </si>
  <si>
    <t>322221</t>
  </si>
  <si>
    <t>15501000907255076001</t>
  </si>
  <si>
    <t>MCHJ OTS SERVICE</t>
  </si>
  <si>
    <t>322340</t>
  </si>
  <si>
    <t>15501000907255054001</t>
  </si>
  <si>
    <t>AGROSERVIS PLUS 777 MCHJ</t>
  </si>
  <si>
    <t>324662</t>
  </si>
  <si>
    <t>15501000607313994001</t>
  </si>
  <si>
    <t>MChJ TASHKENT PACK</t>
  </si>
  <si>
    <t>317516</t>
  </si>
  <si>
    <t>15501840105021450001</t>
  </si>
  <si>
    <t>XAMKOR-NUR-KAMUNAL</t>
  </si>
  <si>
    <t>312700</t>
  </si>
  <si>
    <t>15501000005529588002</t>
  </si>
  <si>
    <t>IXTIRO PLYUS OMAD MCHJ</t>
  </si>
  <si>
    <t>323109</t>
  </si>
  <si>
    <t>15501000900786627001</t>
  </si>
  <si>
    <t>312701</t>
  </si>
  <si>
    <t>15501000905543941001</t>
  </si>
  <si>
    <t>322188</t>
  </si>
  <si>
    <t>15501000500409229001</t>
  </si>
  <si>
    <t>321223</t>
  </si>
  <si>
    <t>15501000700409229002</t>
  </si>
  <si>
    <t>312699</t>
  </si>
  <si>
    <t>15501000805529588001</t>
  </si>
  <si>
    <t>THE BEST BUILDER 888 MCHJ</t>
  </si>
  <si>
    <t>324844</t>
  </si>
  <si>
    <t>15501000407317227001</t>
  </si>
  <si>
    <t>TXAY MED MASULIYATI CHEKLANGAN JAMIYATI</t>
  </si>
  <si>
    <t>323846</t>
  </si>
  <si>
    <t>15501000607297966001</t>
  </si>
  <si>
    <t>SHBN RISOLAT ONA</t>
  </si>
  <si>
    <t>324959</t>
  </si>
  <si>
    <t>15501000307260820001</t>
  </si>
  <si>
    <t>BOTIR VA XOJIAKBAR</t>
  </si>
  <si>
    <t>322960</t>
  </si>
  <si>
    <t>15501000807271201001</t>
  </si>
  <si>
    <t>TRIUMPH CONSTRUCTION</t>
  </si>
  <si>
    <t>324275</t>
  </si>
  <si>
    <t>15501000107305942001</t>
  </si>
  <si>
    <t>01037</t>
  </si>
  <si>
    <t>AGROSHERIFF-ASIA OOO</t>
  </si>
  <si>
    <t>617630</t>
  </si>
  <si>
    <t>14403840700814818003</t>
  </si>
  <si>
    <t>RADIUS-RGR</t>
  </si>
  <si>
    <t>618160</t>
  </si>
  <si>
    <t>15501840104607903005</t>
  </si>
  <si>
    <t>OOO "VISIT CENTRAL ASIA"</t>
  </si>
  <si>
    <t>617411</t>
  </si>
  <si>
    <t>15501840604783258002</t>
  </si>
  <si>
    <t>707947</t>
  </si>
  <si>
    <t>15501840504607903013</t>
  </si>
  <si>
    <t>617617</t>
  </si>
  <si>
    <t>14403840604783258005</t>
  </si>
  <si>
    <t>"MARVARID AGRO BIZNES" MCHJ</t>
  </si>
  <si>
    <t>618263</t>
  </si>
  <si>
    <t>14403840900783895002</t>
  </si>
  <si>
    <t>618122</t>
  </si>
  <si>
    <t>15501840504607903007</t>
  </si>
  <si>
    <t>616483</t>
  </si>
  <si>
    <t>15501840400270068005</t>
  </si>
  <si>
    <t>960671</t>
  </si>
  <si>
    <t>15521000700888266790</t>
  </si>
  <si>
    <t>819587</t>
  </si>
  <si>
    <t>15501000104607903007</t>
  </si>
  <si>
    <t>617530</t>
  </si>
  <si>
    <t>14403840404783258004</t>
  </si>
  <si>
    <t>MCHJ "STAR GROUP"</t>
  </si>
  <si>
    <t>1053907</t>
  </si>
  <si>
    <t>15501000904837348001</t>
  </si>
  <si>
    <t>837882</t>
  </si>
  <si>
    <t>15501000600717873001</t>
  </si>
  <si>
    <t>616285</t>
  </si>
  <si>
    <t>15501000504607903009</t>
  </si>
  <si>
    <t>842824</t>
  </si>
  <si>
    <t>15521000300974505850</t>
  </si>
  <si>
    <t>618230</t>
  </si>
  <si>
    <t>14403840900270068006</t>
  </si>
  <si>
    <t>GARANT BETON ZAVODM MCHJ</t>
  </si>
  <si>
    <t>1086920</t>
  </si>
  <si>
    <t>15501000205607957001</t>
  </si>
  <si>
    <t>OOO "LUCKY-ROAD"</t>
  </si>
  <si>
    <t>643617</t>
  </si>
  <si>
    <t>14403000805069263002</t>
  </si>
  <si>
    <t>SULAYMON-BUSINESS MASULYATI CHEKLANGAN JAMIYAT</t>
  </si>
  <si>
    <t>825014</t>
  </si>
  <si>
    <t>14403000005287844001</t>
  </si>
  <si>
    <t>DARXAN - BIZNES</t>
  </si>
  <si>
    <t>1120171</t>
  </si>
  <si>
    <t>15501000005069347001</t>
  </si>
  <si>
    <t>KARVAN TRIP Xususiy korxonasi</t>
  </si>
  <si>
    <t>1042082</t>
  </si>
  <si>
    <t>15521000605382353001</t>
  </si>
  <si>
    <t>SHS TECHNO</t>
  </si>
  <si>
    <t>1128888</t>
  </si>
  <si>
    <t>15501000905438327001</t>
  </si>
  <si>
    <t>"AGROSUVQURILISH" KMK</t>
  </si>
  <si>
    <t>1113989</t>
  </si>
  <si>
    <t>15501000403779997001</t>
  </si>
  <si>
    <t>932695</t>
  </si>
  <si>
    <t>15521000105675394801</t>
  </si>
  <si>
    <t>617873</t>
  </si>
  <si>
    <t>15501000004607903011</t>
  </si>
  <si>
    <t>MCHJ IPAK YOLI INNOVATSIYALAR UNIVERSITETI</t>
  </si>
  <si>
    <t>1099660</t>
  </si>
  <si>
    <t>15501000005510445109</t>
  </si>
  <si>
    <t>874051</t>
  </si>
  <si>
    <t>15501000800396292018</t>
  </si>
  <si>
    <t>1093273</t>
  </si>
  <si>
    <t>15501000905653532001</t>
  </si>
  <si>
    <t>1099372</t>
  </si>
  <si>
    <t>15501840605412766001</t>
  </si>
  <si>
    <t>1120185</t>
  </si>
  <si>
    <t>15501840305510445001</t>
  </si>
  <si>
    <t>795844</t>
  </si>
  <si>
    <t>14403000600573931001</t>
  </si>
  <si>
    <t>FUTURE TAXI</t>
  </si>
  <si>
    <t>959434</t>
  </si>
  <si>
    <t>15521000100911347850</t>
  </si>
  <si>
    <t>1124839</t>
  </si>
  <si>
    <t>15501840400129970001</t>
  </si>
  <si>
    <t>819579</t>
  </si>
  <si>
    <t>15521000800269828850</t>
  </si>
  <si>
    <t>"BLOC SINTES" MCHJ</t>
  </si>
  <si>
    <t>897449</t>
  </si>
  <si>
    <t>15521000300794140850</t>
  </si>
  <si>
    <t>1051533</t>
  </si>
  <si>
    <t>15501000007172808001</t>
  </si>
  <si>
    <t>949089</t>
  </si>
  <si>
    <t>15501000900396292023</t>
  </si>
  <si>
    <t>643964</t>
  </si>
  <si>
    <t>15521000900396292601</t>
  </si>
  <si>
    <t>638801</t>
  </si>
  <si>
    <t>15501000200129703021</t>
  </si>
  <si>
    <t>946398</t>
  </si>
  <si>
    <t>15501000404836704001</t>
  </si>
  <si>
    <t>642745</t>
  </si>
  <si>
    <t>15501000200129703022</t>
  </si>
  <si>
    <t>644564</t>
  </si>
  <si>
    <t>14403840200455732002</t>
  </si>
  <si>
    <t>MCHJ YANGIYOL ISHONCH AGRO</t>
  </si>
  <si>
    <t>642961</t>
  </si>
  <si>
    <t>15501840800781663005</t>
  </si>
  <si>
    <t>644493</t>
  </si>
  <si>
    <t>15501840000781663006</t>
  </si>
  <si>
    <t>644068</t>
  </si>
  <si>
    <t>15501000400934336018</t>
  </si>
  <si>
    <t>OOO ESAT EVEREST QURUVCHI</t>
  </si>
  <si>
    <t>644435</t>
  </si>
  <si>
    <t>15501000705384164008</t>
  </si>
  <si>
    <t>DONYORBEK FAYZ GROUP</t>
  </si>
  <si>
    <t>994991</t>
  </si>
  <si>
    <t>15521000400852801793</t>
  </si>
  <si>
    <t>644437</t>
  </si>
  <si>
    <t>15501000505384164007</t>
  </si>
  <si>
    <t>USTA SHAHZOD MCHJ</t>
  </si>
  <si>
    <t>1105745</t>
  </si>
  <si>
    <t>15501000207093419001</t>
  </si>
  <si>
    <t>862881</t>
  </si>
  <si>
    <t>15521000005381506850</t>
  </si>
  <si>
    <t>643979</t>
  </si>
  <si>
    <t>15501000700934336020</t>
  </si>
  <si>
    <t>959705</t>
  </si>
  <si>
    <t>15501000300693590002</t>
  </si>
  <si>
    <t>1051534</t>
  </si>
  <si>
    <t>15501000300928561003</t>
  </si>
  <si>
    <t>849353</t>
  </si>
  <si>
    <t>15521000100143581850</t>
  </si>
  <si>
    <t>643978</t>
  </si>
  <si>
    <t>15501000500934336019</t>
  </si>
  <si>
    <t>644428</t>
  </si>
  <si>
    <t>15501000305384164011</t>
  </si>
  <si>
    <t>644430</t>
  </si>
  <si>
    <t>15501000905384164009</t>
  </si>
  <si>
    <t>643977</t>
  </si>
  <si>
    <t>15501000300934336017</t>
  </si>
  <si>
    <t>643974</t>
  </si>
  <si>
    <t>15501000000934336013</t>
  </si>
  <si>
    <t>ESCALADE BIZNES INVEST MCHJ</t>
  </si>
  <si>
    <t>848013</t>
  </si>
  <si>
    <t>14403000304711620003</t>
  </si>
  <si>
    <t>00446</t>
  </si>
  <si>
    <t>310597526/</t>
  </si>
  <si>
    <t>468179</t>
  </si>
  <si>
    <t>15501000005670091001</t>
  </si>
  <si>
    <t>305406874/</t>
  </si>
  <si>
    <t>15301000200858056001</t>
  </si>
  <si>
    <t>MCHJ "AGROVER"</t>
  </si>
  <si>
    <t>300922269/</t>
  </si>
  <si>
    <t>15501840204725602001</t>
  </si>
  <si>
    <t>200463344/</t>
  </si>
  <si>
    <t>13101000400507433003</t>
  </si>
  <si>
    <t>BULUNGUR MEVA SAVZAVOD MCHJ AGROFMASI</t>
  </si>
  <si>
    <t>304214054/</t>
  </si>
  <si>
    <t>15501840300719872001</t>
  </si>
  <si>
    <t>305550974/</t>
  </si>
  <si>
    <t>15501840100881511001</t>
  </si>
  <si>
    <t>306057920/</t>
  </si>
  <si>
    <t>189939</t>
  </si>
  <si>
    <t>15501840200987601001</t>
  </si>
  <si>
    <t>304072304/</t>
  </si>
  <si>
    <t>15501840300633587002</t>
  </si>
  <si>
    <t>15301000600858056003</t>
  </si>
  <si>
    <t>15501000904725602001</t>
  </si>
  <si>
    <t>304918546/</t>
  </si>
  <si>
    <t>15501000800775947001</t>
  </si>
  <si>
    <t>302360682/</t>
  </si>
  <si>
    <t>15501840004992381001</t>
  </si>
  <si>
    <t>15301000400858056002</t>
  </si>
  <si>
    <t>312145761/</t>
  </si>
  <si>
    <t>492060</t>
  </si>
  <si>
    <t>15501000807246791001</t>
  </si>
  <si>
    <t>302275202/</t>
  </si>
  <si>
    <t>15501000904970130001</t>
  </si>
  <si>
    <t>303905824/</t>
  </si>
  <si>
    <t>15501840800616349002</t>
  </si>
  <si>
    <t>303411388/</t>
  </si>
  <si>
    <t>15501840100486093002</t>
  </si>
  <si>
    <t>303068861/</t>
  </si>
  <si>
    <t>15301840100396763002</t>
  </si>
  <si>
    <t>YUKSALISH PREMIER GROUP MCHJ</t>
  </si>
  <si>
    <t>305531633/</t>
  </si>
  <si>
    <t>15501000700878139001</t>
  </si>
  <si>
    <t>SULTAN  PROPERTY INVEST</t>
  </si>
  <si>
    <t>309293319/</t>
  </si>
  <si>
    <t>484124</t>
  </si>
  <si>
    <t>15501000005493115001</t>
  </si>
  <si>
    <t>15301000800858056004</t>
  </si>
  <si>
    <t>15501000000775947002</t>
  </si>
  <si>
    <t>307851494/</t>
  </si>
  <si>
    <t>487048</t>
  </si>
  <si>
    <t>15501000405297101001</t>
  </si>
  <si>
    <t>311409076/</t>
  </si>
  <si>
    <t>480548</t>
  </si>
  <si>
    <t>15501000307092812001</t>
  </si>
  <si>
    <t>300904599/</t>
  </si>
  <si>
    <t>15501000804721602001</t>
  </si>
  <si>
    <t>312078093/</t>
  </si>
  <si>
    <t>484004</t>
  </si>
  <si>
    <t>15501000507232077001</t>
  </si>
  <si>
    <t>13101840500881511002</t>
  </si>
  <si>
    <t>305854247/</t>
  </si>
  <si>
    <t>486602</t>
  </si>
  <si>
    <t>13101000800942238003</t>
  </si>
  <si>
    <t>15501000204970130002</t>
  </si>
  <si>
    <t>00083</t>
  </si>
  <si>
    <t>15408007</t>
  </si>
  <si>
    <t>15321000105102544790</t>
  </si>
  <si>
    <t>NIAGARA SPRING MCHJ</t>
  </si>
  <si>
    <t>15928200</t>
  </si>
  <si>
    <t>15521000604857701791</t>
  </si>
  <si>
    <t>RAMAZAN GP MCHJ QK</t>
  </si>
  <si>
    <t>15809846</t>
  </si>
  <si>
    <t>15321000300824848790</t>
  </si>
  <si>
    <t>RIGHT PACK MCHJ XK</t>
  </si>
  <si>
    <t>15918542</t>
  </si>
  <si>
    <t>12901840805676987003</t>
  </si>
  <si>
    <t>FRONZEN GAS MCHJ</t>
  </si>
  <si>
    <t>15840420</t>
  </si>
  <si>
    <t>15501840105131513011</t>
  </si>
  <si>
    <t>15258802</t>
  </si>
  <si>
    <t>15501840905131513010</t>
  </si>
  <si>
    <t>6275825</t>
  </si>
  <si>
    <t>15501840405572880001</t>
  </si>
  <si>
    <t>15901288</t>
  </si>
  <si>
    <t>15501840005572880004</t>
  </si>
  <si>
    <t>15344860</t>
  </si>
  <si>
    <t>15501840605572880002</t>
  </si>
  <si>
    <t>HEALTH LINE MCHJ QK</t>
  </si>
  <si>
    <t>6423718</t>
  </si>
  <si>
    <t>15301840200109761001</t>
  </si>
  <si>
    <t>15944036</t>
  </si>
  <si>
    <t>12901840800109761004</t>
  </si>
  <si>
    <t>15851810</t>
  </si>
  <si>
    <t>15501840000224114009</t>
  </si>
  <si>
    <t>"EXPRESS DAROMAD" MCHJ</t>
  </si>
  <si>
    <t>15420485</t>
  </si>
  <si>
    <t>15501840200651821003</t>
  </si>
  <si>
    <t>15929783</t>
  </si>
  <si>
    <t>15501840505434302002</t>
  </si>
  <si>
    <t>MCHJ "PROGRESS BUSINESS INDUSTRY"</t>
  </si>
  <si>
    <t>15320053</t>
  </si>
  <si>
    <t>15501840800897312001</t>
  </si>
  <si>
    <t>15904464</t>
  </si>
  <si>
    <t>15501840505388500007</t>
  </si>
  <si>
    <t>15459927</t>
  </si>
  <si>
    <t>15501840904851598004</t>
  </si>
  <si>
    <t>15889170</t>
  </si>
  <si>
    <t>15501840204851598006</t>
  </si>
  <si>
    <t>NAZIRA-SERVIS MCHJ</t>
  </si>
  <si>
    <t>15168302</t>
  </si>
  <si>
    <t>15501840004203695006</t>
  </si>
  <si>
    <t>15815725</t>
  </si>
  <si>
    <t>15501840704818293002</t>
  </si>
  <si>
    <t>"CLEVER STEP" MCHJ</t>
  </si>
  <si>
    <t>15113082</t>
  </si>
  <si>
    <t>15501840705301262001</t>
  </si>
  <si>
    <t>"IMRONSHOX EXPORT IMPORT LOGISTICS GROUP" MChJ</t>
  </si>
  <si>
    <t>15362566</t>
  </si>
  <si>
    <t>15501840405258934004</t>
  </si>
  <si>
    <t>AAP MEGA MCHJ</t>
  </si>
  <si>
    <t>15884219</t>
  </si>
  <si>
    <t>15501840007025885004</t>
  </si>
  <si>
    <t>AAPMOTORS MCHJ</t>
  </si>
  <si>
    <t>15884218</t>
  </si>
  <si>
    <t>15501840407183029002</t>
  </si>
  <si>
    <t>15819024</t>
  </si>
  <si>
    <t>15501840904851598005</t>
  </si>
  <si>
    <t>MCHJ A S TEKSTIL</t>
  </si>
  <si>
    <t>15871486</t>
  </si>
  <si>
    <t>15501840300884654003</t>
  </si>
  <si>
    <t>15114760</t>
  </si>
  <si>
    <t>15501840305046685003</t>
  </si>
  <si>
    <t>15437931</t>
  </si>
  <si>
    <t>15501840005388500004</t>
  </si>
  <si>
    <t>15911058</t>
  </si>
  <si>
    <t>15501840805258934006</t>
  </si>
  <si>
    <t>15943943</t>
  </si>
  <si>
    <t>15501840400966703001</t>
  </si>
  <si>
    <t>15494106</t>
  </si>
  <si>
    <t>15501840105046685014</t>
  </si>
  <si>
    <t>15492913</t>
  </si>
  <si>
    <t>15501840405614181009</t>
  </si>
  <si>
    <t>15924847</t>
  </si>
  <si>
    <t>15501840405142242003</t>
  </si>
  <si>
    <t>15409637</t>
  </si>
  <si>
    <t>15501840505614181004</t>
  </si>
  <si>
    <t>15911850</t>
  </si>
  <si>
    <t>15501840205142242002</t>
  </si>
  <si>
    <t>OOO "NURLI YANGI HAYOT" MCHJ</t>
  </si>
  <si>
    <t>15910691</t>
  </si>
  <si>
    <t>15501840601028947001</t>
  </si>
  <si>
    <t>AVTOMOBILCHI-SOBIRJON MCHJ</t>
  </si>
  <si>
    <t>15388750</t>
  </si>
  <si>
    <t>15501840504552234007</t>
  </si>
  <si>
    <t>"ASIA AUTO-PLUS" LLC</t>
  </si>
  <si>
    <t>15766522</t>
  </si>
  <si>
    <t>15501840800832667015</t>
  </si>
  <si>
    <t>AVANGARD-LOGISTIK MCHJ</t>
  </si>
  <si>
    <t>5960212</t>
  </si>
  <si>
    <t>15501840605526860002</t>
  </si>
  <si>
    <t>6192770</t>
  </si>
  <si>
    <t>15501840005046685001</t>
  </si>
  <si>
    <t>15542163</t>
  </si>
  <si>
    <t>15501840105388500005</t>
  </si>
  <si>
    <t>7645892</t>
  </si>
  <si>
    <t>15501840105046685002</t>
  </si>
  <si>
    <t>15356094</t>
  </si>
  <si>
    <t>15501840904818293004</t>
  </si>
  <si>
    <t>9214986</t>
  </si>
  <si>
    <t>15501840805526860003</t>
  </si>
  <si>
    <t>5947251</t>
  </si>
  <si>
    <t>15501840905258934001</t>
  </si>
  <si>
    <t>"MARGO TRANS LOGISTIC" MCHJ</t>
  </si>
  <si>
    <t>6524473</t>
  </si>
  <si>
    <t>15501000900736063002</t>
  </si>
  <si>
    <t>15211780</t>
  </si>
  <si>
    <t>15501840004552234004</t>
  </si>
  <si>
    <t>15896583</t>
  </si>
  <si>
    <t>15501840505526860013</t>
  </si>
  <si>
    <t>15479864</t>
  </si>
  <si>
    <t>15501000300736063009</t>
  </si>
  <si>
    <t>15359620</t>
  </si>
  <si>
    <t>15501000400736063004</t>
  </si>
  <si>
    <t>15404173</t>
  </si>
  <si>
    <t>15501840500832667012</t>
  </si>
  <si>
    <t>5944133</t>
  </si>
  <si>
    <t>15501840405388500001</t>
  </si>
  <si>
    <t>15439465</t>
  </si>
  <si>
    <t>15501840700832667014</t>
  </si>
  <si>
    <t>15912825</t>
  </si>
  <si>
    <t>15501840801028947002</t>
  </si>
  <si>
    <t>15330254</t>
  </si>
  <si>
    <t>15501000905565006004</t>
  </si>
  <si>
    <t>15814392</t>
  </si>
  <si>
    <t>15501000105740449004</t>
  </si>
  <si>
    <t>15847137</t>
  </si>
  <si>
    <t>15501840900832667016</t>
  </si>
  <si>
    <t>15418355</t>
  </si>
  <si>
    <t>15501840704851598003</t>
  </si>
  <si>
    <t>15143929</t>
  </si>
  <si>
    <t>15501840205046685008</t>
  </si>
  <si>
    <t>5938086</t>
  </si>
  <si>
    <t>15501840405526860001</t>
  </si>
  <si>
    <t>15349562</t>
  </si>
  <si>
    <t>15501840305526860006</t>
  </si>
  <si>
    <t>6350193</t>
  </si>
  <si>
    <t>15501840404818293006</t>
  </si>
  <si>
    <t>OOO ZAXRO SAVDO MARKAZI</t>
  </si>
  <si>
    <t>15490497</t>
  </si>
  <si>
    <t>15501978905062077002</t>
  </si>
  <si>
    <t>OOO DUET CLASS</t>
  </si>
  <si>
    <t>15927774</t>
  </si>
  <si>
    <t>15501840005104079005</t>
  </si>
  <si>
    <t>15339697</t>
  </si>
  <si>
    <t>15521000405062077791</t>
  </si>
  <si>
    <t>15863179</t>
  </si>
  <si>
    <t>15501840604776668006</t>
  </si>
  <si>
    <t>15419191</t>
  </si>
  <si>
    <t>15501840504776668023</t>
  </si>
  <si>
    <t>15763825</t>
  </si>
  <si>
    <t>15501000905068589001</t>
  </si>
  <si>
    <t>14673941</t>
  </si>
  <si>
    <t>15501840005062077007</t>
  </si>
  <si>
    <t>15492033</t>
  </si>
  <si>
    <t>15501978605565006006</t>
  </si>
  <si>
    <t>15906899</t>
  </si>
  <si>
    <t>15501840504962830001</t>
  </si>
  <si>
    <t>15902786</t>
  </si>
  <si>
    <t>13101000007003870001</t>
  </si>
  <si>
    <t>15369581</t>
  </si>
  <si>
    <t>15501978405565006005</t>
  </si>
  <si>
    <t>15928148</t>
  </si>
  <si>
    <t>15501840804776668007</t>
  </si>
  <si>
    <t>15494936</t>
  </si>
  <si>
    <t>15501000905162031003</t>
  </si>
  <si>
    <t>MCHJ "GLOBAL INVEST PARTNERSHIP"</t>
  </si>
  <si>
    <t>15949875</t>
  </si>
  <si>
    <t>15501840704553557004</t>
  </si>
  <si>
    <t>"KARAVAN PLAST PLUS" XUSUSIY KORXONASI</t>
  </si>
  <si>
    <t>15902172</t>
  </si>
  <si>
    <t>15501840604821917001</t>
  </si>
  <si>
    <t>8513066</t>
  </si>
  <si>
    <t>15501000304776668001</t>
  </si>
  <si>
    <t>MCHJ MEXIR KARVONSAROYI</t>
  </si>
  <si>
    <t>15919096</t>
  </si>
  <si>
    <t>15501000605724785001</t>
  </si>
  <si>
    <t>14673942</t>
  </si>
  <si>
    <t>15501840105062077008</t>
  </si>
  <si>
    <t>OOO "QORAXTOY BOGI BOSTONI"</t>
  </si>
  <si>
    <t>15892178</t>
  </si>
  <si>
    <t>15501000505573482008</t>
  </si>
  <si>
    <t>MCHJ "DILKASH-SHIRIN-TAOM"</t>
  </si>
  <si>
    <t>15533563</t>
  </si>
  <si>
    <t>15501000505424377002</t>
  </si>
  <si>
    <t>11773063</t>
  </si>
  <si>
    <t>15501840705424377001</t>
  </si>
  <si>
    <t>15454533</t>
  </si>
  <si>
    <t>15501000405573482002</t>
  </si>
  <si>
    <t>11773190</t>
  </si>
  <si>
    <t>15501840205424377004</t>
  </si>
  <si>
    <t>15533565</t>
  </si>
  <si>
    <t>15501840405424377005</t>
  </si>
  <si>
    <t>14698485</t>
  </si>
  <si>
    <t>15501000205573482001</t>
  </si>
  <si>
    <t>6345304</t>
  </si>
  <si>
    <t>15501840605062077005</t>
  </si>
  <si>
    <t>6345305</t>
  </si>
  <si>
    <t>15501840805062077006</t>
  </si>
  <si>
    <t>ANGREN-BUSINESS MChJ</t>
  </si>
  <si>
    <t>15944919</t>
  </si>
  <si>
    <t>15501000900762631005</t>
  </si>
  <si>
    <t>ANGREN TT-SERVICES MChJ</t>
  </si>
  <si>
    <t>15834162</t>
  </si>
  <si>
    <t>15501000105267805001</t>
  </si>
  <si>
    <t>FOR YOU MChJ</t>
  </si>
  <si>
    <t>15947113</t>
  </si>
  <si>
    <t>15501840900871762006</t>
  </si>
  <si>
    <t>ANGREN SERVIS TRANS MChJ</t>
  </si>
  <si>
    <t>15836872</t>
  </si>
  <si>
    <t>15501000704948092005</t>
  </si>
  <si>
    <t>HUA TAO CERAMIC GROUP MChJ XK</t>
  </si>
  <si>
    <t>15569078</t>
  </si>
  <si>
    <t>15301840205551034001</t>
  </si>
  <si>
    <t>URALBOY-KIZDAROY MChJ</t>
  </si>
  <si>
    <t>15497634</t>
  </si>
  <si>
    <t>15501000704829491001</t>
  </si>
  <si>
    <t>LIBERTY CLIMATE MChJ</t>
  </si>
  <si>
    <t>15791256</t>
  </si>
  <si>
    <t>15501000905592007001</t>
  </si>
  <si>
    <t>YANGIOBOD-KELAJAK SARI OK</t>
  </si>
  <si>
    <t>15918158</t>
  </si>
  <si>
    <t>15501000800396668001</t>
  </si>
  <si>
    <t>ASIA GRAND PETROL XK</t>
  </si>
  <si>
    <t>15482445</t>
  </si>
  <si>
    <t>15501000900944829005</t>
  </si>
  <si>
    <t>15898053</t>
  </si>
  <si>
    <t>15501000405224060003</t>
  </si>
  <si>
    <t>15906178</t>
  </si>
  <si>
    <t>15501000500144988006</t>
  </si>
  <si>
    <t>CAREER UNIVERSAL TRANS MChJ</t>
  </si>
  <si>
    <t>15419980</t>
  </si>
  <si>
    <t>15501000304076694004</t>
  </si>
  <si>
    <t>15419979</t>
  </si>
  <si>
    <t>15501000004076694002</t>
  </si>
  <si>
    <t>FASTWAY MChJ</t>
  </si>
  <si>
    <t>15817213</t>
  </si>
  <si>
    <t>15501000205429180006</t>
  </si>
  <si>
    <t>15796029</t>
  </si>
  <si>
    <t>15501000304948092003</t>
  </si>
  <si>
    <t>15406013</t>
  </si>
  <si>
    <t>15501000900944829004</t>
  </si>
  <si>
    <t>BAAS-CHEMICALS MChJ</t>
  </si>
  <si>
    <t>15481803</t>
  </si>
  <si>
    <t>15501000805666349001</t>
  </si>
  <si>
    <t>ULKAN OSIYO MCHJ</t>
  </si>
  <si>
    <t>15896287</t>
  </si>
  <si>
    <t>15501000305621163004</t>
  </si>
  <si>
    <t>15775960</t>
  </si>
  <si>
    <t>15501000505429180002</t>
  </si>
  <si>
    <t>6141859</t>
  </si>
  <si>
    <t>15501000600275155002</t>
  </si>
  <si>
    <t>15844272</t>
  </si>
  <si>
    <t>15501000205224060002</t>
  </si>
  <si>
    <t>15468391</t>
  </si>
  <si>
    <t>15501000800275155003</t>
  </si>
  <si>
    <t>OGT PETROCHEMICALS MChJ</t>
  </si>
  <si>
    <t>15821220</t>
  </si>
  <si>
    <t>15501000305455054001</t>
  </si>
  <si>
    <t>15318004</t>
  </si>
  <si>
    <t>15501000700944829003</t>
  </si>
  <si>
    <t>15123162</t>
  </si>
  <si>
    <t>15501000300144988005</t>
  </si>
  <si>
    <t>15355384</t>
  </si>
  <si>
    <t>15501000005621163002</t>
  </si>
  <si>
    <t>15914293</t>
  </si>
  <si>
    <t>13101840100882299002</t>
  </si>
  <si>
    <t>15942237</t>
  </si>
  <si>
    <t>13101840300882299003</t>
  </si>
  <si>
    <t>ASKLEPIY SVIFT OOO</t>
  </si>
  <si>
    <t>15552569</t>
  </si>
  <si>
    <t>15301000803966878001</t>
  </si>
  <si>
    <t>15788788</t>
  </si>
  <si>
    <t>15501000504441951007</t>
  </si>
  <si>
    <t>15619867</t>
  </si>
  <si>
    <t>15501840005140437003</t>
  </si>
  <si>
    <t>"BAXTIYOR IXTIYOR LOGISTICS GROUP" MCHJ</t>
  </si>
  <si>
    <t>15483663</t>
  </si>
  <si>
    <t>15501978205596286001</t>
  </si>
  <si>
    <t>"AXIS-ATLANT" MASULIYATI CHEKLANGAN JAMIYATI</t>
  </si>
  <si>
    <t>15921613</t>
  </si>
  <si>
    <t>15501000804227166004</t>
  </si>
  <si>
    <t>15428411</t>
  </si>
  <si>
    <t>15501840805140437002</t>
  </si>
  <si>
    <t>15906433</t>
  </si>
  <si>
    <t>15501000604227166003</t>
  </si>
  <si>
    <t>"AKA UKA BITON" MCHJ</t>
  </si>
  <si>
    <t>15884732</t>
  </si>
  <si>
    <t>15501000905741317007</t>
  </si>
  <si>
    <t>15409618</t>
  </si>
  <si>
    <t>15501000005741317002</t>
  </si>
  <si>
    <t>15257567</t>
  </si>
  <si>
    <t>15501000805741317001</t>
  </si>
  <si>
    <t>15341526</t>
  </si>
  <si>
    <t>15501840605140437001</t>
  </si>
  <si>
    <t>15876248</t>
  </si>
  <si>
    <t>15501000705741317006</t>
  </si>
  <si>
    <t>15859826</t>
  </si>
  <si>
    <t>15501000904441951009</t>
  </si>
  <si>
    <t>QK MCHJ "TEXTILE MILL TASHKENT"</t>
  </si>
  <si>
    <t>15366224</t>
  </si>
  <si>
    <t>15301840904895695001</t>
  </si>
  <si>
    <t>MCHJ BARAKA DEKOR</t>
  </si>
  <si>
    <t>15399758</t>
  </si>
  <si>
    <t>15301840204966260004</t>
  </si>
  <si>
    <t>15866801</t>
  </si>
  <si>
    <t>15301840800786262002</t>
  </si>
  <si>
    <t>15484576</t>
  </si>
  <si>
    <t>15301840404966260005</t>
  </si>
  <si>
    <t>15854760</t>
  </si>
  <si>
    <t>15501840700132806004</t>
  </si>
  <si>
    <t>CAPELLA UK</t>
  </si>
  <si>
    <t>15328775</t>
  </si>
  <si>
    <t>15501840405183912010</t>
  </si>
  <si>
    <t>6282495</t>
  </si>
  <si>
    <t>15501978400936819001</t>
  </si>
  <si>
    <t>POLLO TEKSTIL MCHJ</t>
  </si>
  <si>
    <t>15878749</t>
  </si>
  <si>
    <t>15501840105738733027</t>
  </si>
  <si>
    <t>15854763</t>
  </si>
  <si>
    <t>15501840900132806005</t>
  </si>
  <si>
    <t>15260700</t>
  </si>
  <si>
    <t>15301840704966260001</t>
  </si>
  <si>
    <t>15866423</t>
  </si>
  <si>
    <t>15501000400797984001</t>
  </si>
  <si>
    <t>7384755</t>
  </si>
  <si>
    <t>15501840100132806001</t>
  </si>
  <si>
    <t>JAVOHIR-SHAXNOZA XF</t>
  </si>
  <si>
    <t>15814995</t>
  </si>
  <si>
    <t>15501000804752270001</t>
  </si>
  <si>
    <t>DAVR - TRANS - SERVIS MCHJ</t>
  </si>
  <si>
    <t>15807487</t>
  </si>
  <si>
    <t>15501978604440657001</t>
  </si>
  <si>
    <t>15859041</t>
  </si>
  <si>
    <t>15501840105738733025</t>
  </si>
  <si>
    <t>15814998</t>
  </si>
  <si>
    <t>15501000104752270003</t>
  </si>
  <si>
    <t>15859042</t>
  </si>
  <si>
    <t>15501840105738733024</t>
  </si>
  <si>
    <t>10098657</t>
  </si>
  <si>
    <t>15521000500797984990</t>
  </si>
  <si>
    <t>00873</t>
  </si>
  <si>
    <t>1594150</t>
  </si>
  <si>
    <t>15501978900266032003</t>
  </si>
  <si>
    <t>1598759</t>
  </si>
  <si>
    <t>15501840005398205002</t>
  </si>
  <si>
    <t>15501840800598328001</t>
  </si>
  <si>
    <t>1594151</t>
  </si>
  <si>
    <t>15501978200266032004</t>
  </si>
  <si>
    <t>1573719</t>
  </si>
  <si>
    <t>15501840400557056001</t>
  </si>
  <si>
    <t>1751967</t>
  </si>
  <si>
    <t>15501840600417387002</t>
  </si>
  <si>
    <t>DENTALS PHARMA MARKET MCHJ</t>
  </si>
  <si>
    <t>15613840805446931001</t>
  </si>
  <si>
    <t>1974633</t>
  </si>
  <si>
    <t>13101840000806854001</t>
  </si>
  <si>
    <t>1990765</t>
  </si>
  <si>
    <t>13101840305146961011</t>
  </si>
  <si>
    <t>1593617</t>
  </si>
  <si>
    <t>15301840700858972001</t>
  </si>
  <si>
    <t>13101840505146961013</t>
  </si>
  <si>
    <t>1593656</t>
  </si>
  <si>
    <t>15301978704856381001</t>
  </si>
  <si>
    <t>13101840405146961012</t>
  </si>
  <si>
    <t>1588659</t>
  </si>
  <si>
    <t>15301840200931606001</t>
  </si>
  <si>
    <t>1583046</t>
  </si>
  <si>
    <t>15501840704720110001</t>
  </si>
  <si>
    <t>"IMPERIO INVEST PRO" MCHJ</t>
  </si>
  <si>
    <t>2019755</t>
  </si>
  <si>
    <t>15501840205624504001</t>
  </si>
  <si>
    <t>1945858</t>
  </si>
  <si>
    <t>15501000604731246002</t>
  </si>
  <si>
    <t>1956740</t>
  </si>
  <si>
    <t>13101840005146961018</t>
  </si>
  <si>
    <t>13101840205146961010</t>
  </si>
  <si>
    <t>"OIL MODERN" MCHJ</t>
  </si>
  <si>
    <t>2026448</t>
  </si>
  <si>
    <t>15501000207148167001</t>
  </si>
  <si>
    <t>MCHJ ECO NATURAL TRADING</t>
  </si>
  <si>
    <t>2011027</t>
  </si>
  <si>
    <t>15521840200519413941</t>
  </si>
  <si>
    <t>"FORTUNA STROY INDUSTRY" MCHJ</t>
  </si>
  <si>
    <t>1985594</t>
  </si>
  <si>
    <t>15521840900798371941</t>
  </si>
  <si>
    <t>OK "YAIIM TRADE"</t>
  </si>
  <si>
    <t>15521000807036079941</t>
  </si>
  <si>
    <t>"KRASNIY METALL" MCHJ</t>
  </si>
  <si>
    <t>1977094</t>
  </si>
  <si>
    <t>13121000107148163941</t>
  </si>
  <si>
    <t>1593901</t>
  </si>
  <si>
    <t>15501840100703942001</t>
  </si>
  <si>
    <t>1575520</t>
  </si>
  <si>
    <t>15501840700686260001</t>
  </si>
  <si>
    <t>1960240</t>
  </si>
  <si>
    <t>13101840905146961009</t>
  </si>
  <si>
    <t>1622685</t>
  </si>
  <si>
    <t>15501978904739429001</t>
  </si>
  <si>
    <t>1594610</t>
  </si>
  <si>
    <t>15301840700673987001</t>
  </si>
  <si>
    <t>POLYPACK MCHJ</t>
  </si>
  <si>
    <t>1941565</t>
  </si>
  <si>
    <t>13101840700827938001</t>
  </si>
  <si>
    <t>1708298</t>
  </si>
  <si>
    <t>15501840904739429001</t>
  </si>
  <si>
    <t>1908581</t>
  </si>
  <si>
    <t>15521000400799747601</t>
  </si>
  <si>
    <t>1953657</t>
  </si>
  <si>
    <t>13101840004731246001</t>
  </si>
  <si>
    <t>1622688</t>
  </si>
  <si>
    <t>15501840004731246002</t>
  </si>
  <si>
    <t>2027758</t>
  </si>
  <si>
    <t>13101840605146961014</t>
  </si>
  <si>
    <t>2027777</t>
  </si>
  <si>
    <t>13101840705146961015</t>
  </si>
  <si>
    <t>2027849</t>
  </si>
  <si>
    <t>13101840805146961016</t>
  </si>
  <si>
    <t>13101840905146961017</t>
  </si>
  <si>
    <t>15501000207036079610</t>
  </si>
  <si>
    <t>63797</t>
  </si>
  <si>
    <t>15501000407297085001</t>
  </si>
  <si>
    <t>62631</t>
  </si>
  <si>
    <t>15501000207215624001</t>
  </si>
  <si>
    <t>61894</t>
  </si>
  <si>
    <t>15501000707165583001</t>
  </si>
  <si>
    <t>63551</t>
  </si>
  <si>
    <t>15501000407280727001</t>
  </si>
  <si>
    <t>62080</t>
  </si>
  <si>
    <t>15501000807176478001</t>
  </si>
  <si>
    <t>59280</t>
  </si>
  <si>
    <t>15501000907096111001</t>
  </si>
  <si>
    <t>50396</t>
  </si>
  <si>
    <t>15501000205679993001</t>
  </si>
  <si>
    <t>FAROVON HAYOT KALITI</t>
  </si>
  <si>
    <t>37333</t>
  </si>
  <si>
    <t>15501840600651541003</t>
  </si>
  <si>
    <t>59268</t>
  </si>
  <si>
    <t>15101000300129657009</t>
  </si>
  <si>
    <t>ENERGY OIL GROUP</t>
  </si>
  <si>
    <t>63157</t>
  </si>
  <si>
    <t>13101000800491765037</t>
  </si>
  <si>
    <t>62792</t>
  </si>
  <si>
    <t>15501840804957302002</t>
  </si>
  <si>
    <t>62383</t>
  </si>
  <si>
    <t>15501000005727435001</t>
  </si>
  <si>
    <t>63026</t>
  </si>
  <si>
    <t>15501000105727435002</t>
  </si>
  <si>
    <t>62892</t>
  </si>
  <si>
    <t>15501840905470771008</t>
  </si>
  <si>
    <t>MCHJ SHOX TRANS 777</t>
  </si>
  <si>
    <t>63322</t>
  </si>
  <si>
    <t>15501000305415043003</t>
  </si>
  <si>
    <t>"BIO KOLO LAB" MCHJ</t>
  </si>
  <si>
    <t>62969</t>
  </si>
  <si>
    <t>15501840905454515001</t>
  </si>
  <si>
    <t>OOO QUALITY PAPER  BIZNES</t>
  </si>
  <si>
    <t>63267</t>
  </si>
  <si>
    <t>13101840905286810058</t>
  </si>
  <si>
    <t>62874</t>
  </si>
  <si>
    <t>15501840505470771006</t>
  </si>
  <si>
    <t>64037</t>
  </si>
  <si>
    <t>15501840404605588008</t>
  </si>
  <si>
    <t>62011</t>
  </si>
  <si>
    <t>15501000304719883002</t>
  </si>
  <si>
    <t>63119</t>
  </si>
  <si>
    <t>15501000504719883003</t>
  </si>
  <si>
    <t>15501000900434036002</t>
  </si>
  <si>
    <t>15501000104719883001</t>
  </si>
  <si>
    <t>OK "Morning Star Group"</t>
  </si>
  <si>
    <t>62867</t>
  </si>
  <si>
    <t>15501840700607990005</t>
  </si>
  <si>
    <t>62694</t>
  </si>
  <si>
    <t>15501840604957302001</t>
  </si>
  <si>
    <t>62868</t>
  </si>
  <si>
    <t>15501000607206002002</t>
  </si>
  <si>
    <t>62645</t>
  </si>
  <si>
    <t>13101000900491765034</t>
  </si>
  <si>
    <t>63159</t>
  </si>
  <si>
    <t>15501840504605588003</t>
  </si>
  <si>
    <t>63449</t>
  </si>
  <si>
    <t>13101840905286810061</t>
  </si>
  <si>
    <t>64086</t>
  </si>
  <si>
    <t>13101840305286810068</t>
  </si>
  <si>
    <t>62261</t>
  </si>
  <si>
    <t>15501000304835841001</t>
  </si>
  <si>
    <t>63870</t>
  </si>
  <si>
    <t>13101840405286810065</t>
  </si>
  <si>
    <t>63125</t>
  </si>
  <si>
    <t>13101840600945601056</t>
  </si>
  <si>
    <t>63852</t>
  </si>
  <si>
    <t>15501840107206002003</t>
  </si>
  <si>
    <t>63648</t>
  </si>
  <si>
    <t>15501840204605588007</t>
  </si>
  <si>
    <t>OOO TRUST TRADE COMPANY</t>
  </si>
  <si>
    <t>63579</t>
  </si>
  <si>
    <t>13101000600899621021</t>
  </si>
  <si>
    <t>64079</t>
  </si>
  <si>
    <t>15501840907211816003</t>
  </si>
  <si>
    <t>LOLA FARM SANOAT</t>
  </si>
  <si>
    <t>62484</t>
  </si>
  <si>
    <t>15501000800744130005</t>
  </si>
  <si>
    <t>63059</t>
  </si>
  <si>
    <t>13101840305286810057</t>
  </si>
  <si>
    <t>63771</t>
  </si>
  <si>
    <t>15501840707211816002</t>
  </si>
  <si>
    <t>63514</t>
  </si>
  <si>
    <t>13101840505286810062</t>
  </si>
  <si>
    <t>MCHJ TURKMALI BREND</t>
  </si>
  <si>
    <t>63460</t>
  </si>
  <si>
    <t>15501840005227620003</t>
  </si>
  <si>
    <t>63879</t>
  </si>
  <si>
    <t>15501840307206002004</t>
  </si>
  <si>
    <t>64156</t>
  </si>
  <si>
    <t>15501840004957302003</t>
  </si>
  <si>
    <t>62893</t>
  </si>
  <si>
    <t>15501840805227620002</t>
  </si>
  <si>
    <t>63865</t>
  </si>
  <si>
    <t>13101000600899621022</t>
  </si>
  <si>
    <t>61377</t>
  </si>
  <si>
    <t>15501000605086724007</t>
  </si>
  <si>
    <t>62104</t>
  </si>
  <si>
    <t>15501000605470771003</t>
  </si>
  <si>
    <t>OOO ZHUJI LUZU TEXTILE</t>
  </si>
  <si>
    <t>62804</t>
  </si>
  <si>
    <t>13101840900833401006</t>
  </si>
  <si>
    <t>62820</t>
  </si>
  <si>
    <t>13101840405286810053</t>
  </si>
  <si>
    <t>63548</t>
  </si>
  <si>
    <t>15501840904605588006</t>
  </si>
  <si>
    <t>63871</t>
  </si>
  <si>
    <t>13101840805286810064</t>
  </si>
  <si>
    <t>62438</t>
  </si>
  <si>
    <t>15501000005470771005</t>
  </si>
  <si>
    <t>62931</t>
  </si>
  <si>
    <t>15501000100744130007</t>
  </si>
  <si>
    <t>63515</t>
  </si>
  <si>
    <t>13101840105286810063</t>
  </si>
  <si>
    <t>62537</t>
  </si>
  <si>
    <t>13101840700833401004</t>
  </si>
  <si>
    <t>OOO "XONDAMIR BEST FARM"</t>
  </si>
  <si>
    <t>15501000900922739024</t>
  </si>
  <si>
    <t>64088</t>
  </si>
  <si>
    <t>13101840705286810067</t>
  </si>
  <si>
    <t>15501000900922739025</t>
  </si>
  <si>
    <t>15501000900434036001</t>
  </si>
  <si>
    <t>63271</t>
  </si>
  <si>
    <t>13101840805286810059</t>
  </si>
  <si>
    <t>63684</t>
  </si>
  <si>
    <t>13101840900945601058</t>
  </si>
  <si>
    <t>63719</t>
  </si>
  <si>
    <t>15501000404719883015</t>
  </si>
  <si>
    <t>63272</t>
  </si>
  <si>
    <t>13101840205286810060</t>
  </si>
  <si>
    <t>61439</t>
  </si>
  <si>
    <t>15501000805086724008</t>
  </si>
  <si>
    <t>15501840600922739014</t>
  </si>
  <si>
    <t>57226</t>
  </si>
  <si>
    <t>15501840605227620001</t>
  </si>
  <si>
    <t>GOLD-GRANATE</t>
  </si>
  <si>
    <t>15501000200804068011</t>
  </si>
  <si>
    <t>63061</t>
  </si>
  <si>
    <t>13101840905286810055</t>
  </si>
  <si>
    <t>62646</t>
  </si>
  <si>
    <t>13101840005286810051</t>
  </si>
  <si>
    <t>63060</t>
  </si>
  <si>
    <t>13101840605286810056</t>
  </si>
  <si>
    <t>63286</t>
  </si>
  <si>
    <t>13101840300945601057</t>
  </si>
  <si>
    <t>62700</t>
  </si>
  <si>
    <t>15501000100744130619</t>
  </si>
  <si>
    <t>62504</t>
  </si>
  <si>
    <t>13101840100945601054</t>
  </si>
  <si>
    <t>62712</t>
  </si>
  <si>
    <t>13101000600899621020</t>
  </si>
  <si>
    <t>62819</t>
  </si>
  <si>
    <t>13101840105286810054</t>
  </si>
  <si>
    <t>15501000100804068010</t>
  </si>
  <si>
    <t>15501000700804068003</t>
  </si>
  <si>
    <t>63834</t>
  </si>
  <si>
    <t>15501000400434036004</t>
  </si>
  <si>
    <t>15501000900804068005</t>
  </si>
  <si>
    <t>15501000400804068007</t>
  </si>
  <si>
    <t>62541</t>
  </si>
  <si>
    <t>13101840900833401005</t>
  </si>
  <si>
    <t>62508</t>
  </si>
  <si>
    <t>13101840205286810050</t>
  </si>
  <si>
    <t>62506</t>
  </si>
  <si>
    <t>13101840900945601055</t>
  </si>
  <si>
    <t>62367</t>
  </si>
  <si>
    <t>13101840400945601053</t>
  </si>
  <si>
    <t>62647</t>
  </si>
  <si>
    <t>13101840705286810052</t>
  </si>
  <si>
    <t>62507</t>
  </si>
  <si>
    <t>13101840605286810049</t>
  </si>
  <si>
    <t>00973</t>
  </si>
  <si>
    <t>"OG-B" MChJ</t>
  </si>
  <si>
    <t>408794</t>
  </si>
  <si>
    <t>15501840807189114001</t>
  </si>
  <si>
    <t>383771</t>
  </si>
  <si>
    <t>15501000005058318002</t>
  </si>
  <si>
    <t>OOO OLTIN LOMBARD XK</t>
  </si>
  <si>
    <t>408435</t>
  </si>
  <si>
    <t>13101000705564926007</t>
  </si>
  <si>
    <t>MCHJ KABUL STANDARD BIZNES</t>
  </si>
  <si>
    <t>398209</t>
  </si>
  <si>
    <t>15501840104954434001</t>
  </si>
  <si>
    <t>402206</t>
  </si>
  <si>
    <t>13101000305564926005</t>
  </si>
  <si>
    <t>YONG FENG GONG CHENG JIXIE MCHJ XORIJIY KORXONA</t>
  </si>
  <si>
    <t>408559</t>
  </si>
  <si>
    <t>15501000907244082002</t>
  </si>
  <si>
    <t>407294</t>
  </si>
  <si>
    <t>15501000605308876007</t>
  </si>
  <si>
    <t>SP OOO JNS LABS</t>
  </si>
  <si>
    <t>408011</t>
  </si>
  <si>
    <t>12901000604954805014</t>
  </si>
  <si>
    <t>409149</t>
  </si>
  <si>
    <t>15501000205514169004</t>
  </si>
  <si>
    <t>404574</t>
  </si>
  <si>
    <t>12901000304954805045</t>
  </si>
  <si>
    <t>ABDUNABI TRANS SERVIS OK</t>
  </si>
  <si>
    <t>398098</t>
  </si>
  <si>
    <t>15501000800620734008</t>
  </si>
  <si>
    <t>RAVZA BARAKA fermer xojaligi</t>
  </si>
  <si>
    <t>406810</t>
  </si>
  <si>
    <t>15501000700528907001</t>
  </si>
  <si>
    <t>398443</t>
  </si>
  <si>
    <t>13101000105564926004</t>
  </si>
  <si>
    <t>OOO EBOS HOLDING MCHJ</t>
  </si>
  <si>
    <t>403854</t>
  </si>
  <si>
    <t>13101000900961546001</t>
  </si>
  <si>
    <t>ERKABOY BIZNES MChJ</t>
  </si>
  <si>
    <t>398824</t>
  </si>
  <si>
    <t>15501840000819610001</t>
  </si>
  <si>
    <t>388633</t>
  </si>
  <si>
    <t>15501000905514169003</t>
  </si>
  <si>
    <t>375777</t>
  </si>
  <si>
    <t>15501000205409282001</t>
  </si>
  <si>
    <t>408206</t>
  </si>
  <si>
    <t>13101840200982339006</t>
  </si>
  <si>
    <t>402697</t>
  </si>
  <si>
    <t>12901000504954805013</t>
  </si>
  <si>
    <t>403264</t>
  </si>
  <si>
    <t>15501000000620734009</t>
  </si>
  <si>
    <t>387797</t>
  </si>
  <si>
    <t>15301000504954805007</t>
  </si>
  <si>
    <t>406272</t>
  </si>
  <si>
    <t>15501000104954434003</t>
  </si>
  <si>
    <t>JV LLC "UZTEX GROUP"</t>
  </si>
  <si>
    <t>44517</t>
  </si>
  <si>
    <t>15301840904278458001</t>
  </si>
  <si>
    <t>44659</t>
  </si>
  <si>
    <t>15301840204278458002</t>
  </si>
  <si>
    <t>44231</t>
  </si>
  <si>
    <t>15521000000501586790</t>
  </si>
  <si>
    <t>MCHJ "TEZKOR KOMFORT XIZMAT"</t>
  </si>
  <si>
    <t>44992</t>
  </si>
  <si>
    <t>15501000205511818001</t>
  </si>
  <si>
    <t>OOO "OSKAR BRAND"</t>
  </si>
  <si>
    <t>44607</t>
  </si>
  <si>
    <t>15501000805633921001</t>
  </si>
  <si>
    <t>OOO "ASILZODA RIVOJ"</t>
  </si>
  <si>
    <t>44901</t>
  </si>
  <si>
    <t>15501000200253143001</t>
  </si>
  <si>
    <t>OOO "ASFALT-BETON PREMIUM"</t>
  </si>
  <si>
    <t>44548</t>
  </si>
  <si>
    <t>15501000905450827002</t>
  </si>
  <si>
    <t>44951</t>
  </si>
  <si>
    <t>15501000100342973001</t>
  </si>
  <si>
    <t>F.X. "PARKENT "</t>
  </si>
  <si>
    <t>44734</t>
  </si>
  <si>
    <t>15501000000145788001</t>
  </si>
  <si>
    <t>OOO "ZERO STROY MAX"</t>
  </si>
  <si>
    <t>45258</t>
  </si>
  <si>
    <t>15501000800867481006</t>
  </si>
  <si>
    <t>OOO "DR USMANOV MED CENTR"</t>
  </si>
  <si>
    <t>44683</t>
  </si>
  <si>
    <t>15501000305559404001</t>
  </si>
  <si>
    <t>OOO "CHINOR BIZNES GROUP"</t>
  </si>
  <si>
    <t>44535</t>
  </si>
  <si>
    <t>15501840400445128002</t>
  </si>
  <si>
    <t>38645</t>
  </si>
  <si>
    <t>15501000905450827001</t>
  </si>
  <si>
    <t>OOO "VALIKO VITA"</t>
  </si>
  <si>
    <t>44894</t>
  </si>
  <si>
    <t>15501000804935967009</t>
  </si>
  <si>
    <t>44752</t>
  </si>
  <si>
    <t>15501000000584889004</t>
  </si>
  <si>
    <t>44580</t>
  </si>
  <si>
    <t>15501000200867481003</t>
  </si>
  <si>
    <t>45181</t>
  </si>
  <si>
    <t>15501840905254908016</t>
  </si>
  <si>
    <t>45302</t>
  </si>
  <si>
    <t>15501000100145788002</t>
  </si>
  <si>
    <t>44970</t>
  </si>
  <si>
    <t>15501840005254908015</t>
  </si>
  <si>
    <t>44829</t>
  </si>
  <si>
    <t>15501840500445128008</t>
  </si>
  <si>
    <t>44800</t>
  </si>
  <si>
    <t>15501840300953806003</t>
  </si>
  <si>
    <t>3721</t>
  </si>
  <si>
    <t>15501000004520331004</t>
  </si>
  <si>
    <t>45225</t>
  </si>
  <si>
    <t>15501840100445128011</t>
  </si>
  <si>
    <t>44477</t>
  </si>
  <si>
    <t>15501000800584889003</t>
  </si>
  <si>
    <t>45072</t>
  </si>
  <si>
    <t>15501840900445128010</t>
  </si>
  <si>
    <t>41611</t>
  </si>
  <si>
    <t>15501000900867481002</t>
  </si>
  <si>
    <t>44708</t>
  </si>
  <si>
    <t>15501000904935967005</t>
  </si>
  <si>
    <t>45314</t>
  </si>
  <si>
    <t>13101840000953806010</t>
  </si>
  <si>
    <t>44943</t>
  </si>
  <si>
    <t>15501840700445128009</t>
  </si>
  <si>
    <t>44666</t>
  </si>
  <si>
    <t>15501840905254908014</t>
  </si>
  <si>
    <t>45157</t>
  </si>
  <si>
    <t>13101840600953806009</t>
  </si>
  <si>
    <t>44635</t>
  </si>
  <si>
    <t>15501840805254908013</t>
  </si>
  <si>
    <t>28109</t>
  </si>
  <si>
    <t>15401000904748133068</t>
  </si>
  <si>
    <t>27498</t>
  </si>
  <si>
    <t>15501000805462433001</t>
  </si>
  <si>
    <t>MCHJ DREAM PHARMA GROUP</t>
  </si>
  <si>
    <t>27519</t>
  </si>
  <si>
    <t>15501000900353795001</t>
  </si>
  <si>
    <t>MCHJ BAROKOT NUR</t>
  </si>
  <si>
    <t>28328</t>
  </si>
  <si>
    <t>15501000205414198001</t>
  </si>
  <si>
    <t>MCHJ CHINOZ IKROM ANVAR</t>
  </si>
  <si>
    <t>27646</t>
  </si>
  <si>
    <t>15501000105382598002</t>
  </si>
  <si>
    <t>XCHFX DONIYOR-TAD</t>
  </si>
  <si>
    <t>27480</t>
  </si>
  <si>
    <t>15613000204253648005</t>
  </si>
  <si>
    <t>27882</t>
  </si>
  <si>
    <t>15301000805361580001</t>
  </si>
  <si>
    <t>MCHJ BEAUTY PROF</t>
  </si>
  <si>
    <t>27557</t>
  </si>
  <si>
    <t>15501840605561336001</t>
  </si>
  <si>
    <t>"FORTIUS TRADE SUPPLIES" MCHJ</t>
  </si>
  <si>
    <t>28383</t>
  </si>
  <si>
    <t>13101000905305570001</t>
  </si>
  <si>
    <t>26188</t>
  </si>
  <si>
    <t>15613000904253648004</t>
  </si>
  <si>
    <t>27589</t>
  </si>
  <si>
    <t>15501000205561336001</t>
  </si>
  <si>
    <t>Toshkent viloyatida tijorat banklarining 2024-yildagi muammoli kreditlari (NPL) toʻgʻrisida maʼlumot</t>
  </si>
  <si>
    <t>(Mln. soʻmda)</t>
  </si>
  <si>
    <t>Filial nomi</t>
  </si>
  <si>
    <t>MFO</t>
  </si>
  <si>
    <t>Banklar joylashgan  tuman/shahar boʻyicha</t>
  </si>
  <si>
    <t>2024-yil 1-yanvar holatiga 
kredit qoʻyilmalari</t>
  </si>
  <si>
    <t>2024-yil 1-fevral holatiga 
kredit qoʻyilmalari</t>
  </si>
  <si>
    <t>2024-yil 1-mart holatiga 
kredit qoʻyilmalari</t>
  </si>
  <si>
    <t>2024-yil 1-aprel holatiga 
kredit qoʻyilmalari</t>
  </si>
  <si>
    <t>2024-yil 1-may holatiga 
kredit qoʻyilmalari</t>
  </si>
  <si>
    <t>2024-yil 1-iyun holatiga 
kredit qoʻyilmalari</t>
  </si>
  <si>
    <t>2024-yil 1-iyul holatiga 
kredit qoʻyilmalari</t>
  </si>
  <si>
    <t>2024-yil 1-avgust holatiga 
kredit qoʻyilmalari</t>
  </si>
  <si>
    <t>2024-yil 1-sentyabr holatiga 
kredit qoʻyilmalari</t>
  </si>
  <si>
    <t>2024-yil 1-oktyabr holatiga 
kredit qoʻyilmalari</t>
  </si>
  <si>
    <t>2024-yil 1-noyabr holatiga 
kredit qoʻyilmalari</t>
  </si>
  <si>
    <t>2024-yil 1-dekabr holatiga 
kredit qoʻyilmalari</t>
  </si>
  <si>
    <t xml:space="preserve">Muammoli 
kreditlarning (NPL) oʻzgarishi </t>
  </si>
  <si>
    <t>Jami</t>
  </si>
  <si>
    <t>Shundan, muammoli kreditlar (NPL)</t>
  </si>
  <si>
    <t>summada</t>
  </si>
  <si>
    <t>foizda</t>
  </si>
  <si>
    <t>Soni</t>
  </si>
  <si>
    <t>Summa</t>
  </si>
  <si>
    <t>ulushda</t>
  </si>
  <si>
    <t>Tijorat bank nomi</t>
  </si>
  <si>
    <t>Milliy bank</t>
  </si>
  <si>
    <t>MLB Amaliyot BXM</t>
  </si>
  <si>
    <t>Nurafshon shahar</t>
  </si>
  <si>
    <t>MLB Angren BXM</t>
  </si>
  <si>
    <t>Angren shahar</t>
  </si>
  <si>
    <t>MLB Yangiyoʻl BXM</t>
  </si>
  <si>
    <t>Yangiyoʻl shahar</t>
  </si>
  <si>
    <t>MLB Bekobod BXM</t>
  </si>
  <si>
    <t>Bekobod shahar</t>
  </si>
  <si>
    <t>MLB Gʻazalkent BXM</t>
  </si>
  <si>
    <t>Boʻstonliq tuman</t>
  </si>
  <si>
    <t>MLB Toshkent shahar BXO</t>
  </si>
  <si>
    <t>Toshkent shahar</t>
  </si>
  <si>
    <t>MLB Chirchiq BXM</t>
  </si>
  <si>
    <t>Chirchiq shahar</t>
  </si>
  <si>
    <t>MLB Olmaliq BXM</t>
  </si>
  <si>
    <t>Olmaliq shahar</t>
  </si>
  <si>
    <t>Oʻzsanoatqurilishbank</t>
  </si>
  <si>
    <t>SQB Toshkent viloyati BXO</t>
  </si>
  <si>
    <t>SQB Chirchiq BXM</t>
  </si>
  <si>
    <t>SQB Qibray BXM</t>
  </si>
  <si>
    <t>Qibray tuman</t>
  </si>
  <si>
    <t>SQB Angren BXM</t>
  </si>
  <si>
    <t>SQB Olmaliq BXM</t>
  </si>
  <si>
    <t>SQB Bekobod BXM</t>
  </si>
  <si>
    <t>Agro bank</t>
  </si>
  <si>
    <t>AGB Ohangaron filiali</t>
  </si>
  <si>
    <t>Ohangaron tuman</t>
  </si>
  <si>
    <t>AGB Oqqoʻrgʻon filiali</t>
  </si>
  <si>
    <t>Oqqoʻrgʻon tuman</t>
  </si>
  <si>
    <t>AGB Boʻka filiali</t>
  </si>
  <si>
    <t>Boʻka tuman</t>
  </si>
  <si>
    <t>AGB Bekobod filiali</t>
  </si>
  <si>
    <t>Bekobod tuman</t>
  </si>
  <si>
    <t>AGB Piskent filiali</t>
  </si>
  <si>
    <t>Piskent tuman</t>
  </si>
  <si>
    <t>AGB Quyichirchiq filiali</t>
  </si>
  <si>
    <t>Quyichirchiq tuman</t>
  </si>
  <si>
    <t>AGB Hududiy filiali</t>
  </si>
  <si>
    <t>AGB Chinoz filiali</t>
  </si>
  <si>
    <t>Chinoz tuman</t>
  </si>
  <si>
    <t>AGB Yuqorichirchiq filiali</t>
  </si>
  <si>
    <t>Yuqorichirchiq tuman</t>
  </si>
  <si>
    <t>AGB Parkent filiali</t>
  </si>
  <si>
    <t>Parkent tuman</t>
  </si>
  <si>
    <t>AGB Yangiyoʻl filiali</t>
  </si>
  <si>
    <t>Yangiyoʻl tuman</t>
  </si>
  <si>
    <t>Mikrokreditbank</t>
  </si>
  <si>
    <t>MKB Nurafshon BXO</t>
  </si>
  <si>
    <t>MKB Oqqoʻrgʻon BXO</t>
  </si>
  <si>
    <t>MKB Gʻazalkent BXO</t>
  </si>
  <si>
    <t>MKB Piskent BXO</t>
  </si>
  <si>
    <t>MKB Parkent BXO</t>
  </si>
  <si>
    <t>MKB Keles BXO</t>
  </si>
  <si>
    <t>Toshkent tuman</t>
  </si>
  <si>
    <t>MKB Olmaliq BXM</t>
  </si>
  <si>
    <t>Oltintepa BXM</t>
  </si>
  <si>
    <t>Toshkent BXM</t>
  </si>
  <si>
    <t>Bektemir BXM</t>
  </si>
  <si>
    <t>MKB Chirchiq BXM</t>
  </si>
  <si>
    <t>MKB Yuqorichirchiq BXM</t>
  </si>
  <si>
    <t>MKB Qiziltogʻ BXM</t>
  </si>
  <si>
    <t>MKB Ohangaron BXO</t>
  </si>
  <si>
    <t>Xalq banki</t>
  </si>
  <si>
    <t>XLB Boʻstonliq BXM</t>
  </si>
  <si>
    <t>XLB Yuqorichirchiq BXM</t>
  </si>
  <si>
    <t>XLB Ohangaron BXM</t>
  </si>
  <si>
    <t>Ohangaron shahar</t>
  </si>
  <si>
    <t>XLB Doʻstobod BXM</t>
  </si>
  <si>
    <t>XLB Piskent BXM</t>
  </si>
  <si>
    <t>XLB Nurafshon BXM</t>
  </si>
  <si>
    <t>XLB Qibray BXM</t>
  </si>
  <si>
    <t>XLB Yangiyoʻl BXM</t>
  </si>
  <si>
    <t>XLB Zangiota BXM</t>
  </si>
  <si>
    <t>Zangiota tuman</t>
  </si>
  <si>
    <t>XLB Oqqoʻrgʻon BXM</t>
  </si>
  <si>
    <t>XLB Chinoz BXM</t>
  </si>
  <si>
    <t>XLB Chirchiq BXM</t>
  </si>
  <si>
    <t>XLB Boʻka BXM</t>
  </si>
  <si>
    <t>XLB Bekobod BXM</t>
  </si>
  <si>
    <t>XLB Angren BXM</t>
  </si>
  <si>
    <t>XLB Olmaliq BXM</t>
  </si>
  <si>
    <t>XLB Keles BXM</t>
  </si>
  <si>
    <t>XLB Zafar BXM</t>
  </si>
  <si>
    <t>XLB Parkent BXM</t>
  </si>
  <si>
    <t>Biznesni rivojlantirish banki</t>
  </si>
  <si>
    <t>BRB Gʻazalkent 2-toifali BXM</t>
  </si>
  <si>
    <t>BRB Yangiyoʻl BXM</t>
  </si>
  <si>
    <t>BRB Ohangaron BXM</t>
  </si>
  <si>
    <t>BRB Nurafshon BXO</t>
  </si>
  <si>
    <t>Turon bank</t>
  </si>
  <si>
    <t>TUB Zangiota BXM</t>
  </si>
  <si>
    <t>Asaka bank</t>
  </si>
  <si>
    <t>ASB Nurafshon BXM</t>
  </si>
  <si>
    <t>Aloqa bank</t>
  </si>
  <si>
    <t>ALB Keles KXKM</t>
  </si>
  <si>
    <t>ALB Guliston KXKM</t>
  </si>
  <si>
    <t>Sirdaryo viloyat</t>
  </si>
  <si>
    <t>ALB Bekobod KXKM</t>
  </si>
  <si>
    <t>ALB Oʻrtachirchiq KXKM</t>
  </si>
  <si>
    <t>Oʻrtachirchiq tuman</t>
  </si>
  <si>
    <t>ALB Toshkent viloyati BXM</t>
  </si>
  <si>
    <t>Garant bank</t>
  </si>
  <si>
    <t>GTB Qibray BXO</t>
  </si>
  <si>
    <t>GTB Zangiota BXO</t>
  </si>
  <si>
    <t>GTB Gʻazalkent BXO</t>
  </si>
  <si>
    <t>Hamkor bank</t>
  </si>
  <si>
    <t>HMB Chinoz Universal BXO</t>
  </si>
  <si>
    <t>HMB Yangiyoʻl Universal BXO</t>
  </si>
  <si>
    <t>HMB Olmaliq Universal BXO</t>
  </si>
  <si>
    <t>HMB Angren Universal BXO</t>
  </si>
  <si>
    <t>HMB Chirchiq Universal BXO</t>
  </si>
  <si>
    <t>HMB Nurafshon Universal BXO</t>
  </si>
  <si>
    <t>Ipak yoʻli bank</t>
  </si>
  <si>
    <t>IYB Yangiyoʻl filiali</t>
  </si>
  <si>
    <t>Ipoteka bank</t>
  </si>
  <si>
    <t>IPB Amaliyot Boʻlimi</t>
  </si>
  <si>
    <t>IPB Olmaliq filiali</t>
  </si>
  <si>
    <t>IPB Angren filiali</t>
  </si>
  <si>
    <t>IPB Chirchiq filiali</t>
  </si>
  <si>
    <t>IPB Ohangaron filiali</t>
  </si>
  <si>
    <t>IPB Bekobod filiali</t>
  </si>
  <si>
    <t>IPB Chinoz filiali</t>
  </si>
  <si>
    <t>IPB Zangiota filiali</t>
  </si>
  <si>
    <t>IPB Nurafshon filiali</t>
  </si>
  <si>
    <t>Universal bank</t>
  </si>
  <si>
    <t>UNB Zangiota BXM</t>
  </si>
  <si>
    <t>Infin bank</t>
  </si>
  <si>
    <t>IFB Toshkent viloyat filiali</t>
  </si>
  <si>
    <t>IFB Zangiota filiali</t>
  </si>
  <si>
    <t>Anor bank</t>
  </si>
  <si>
    <t>Davr bank</t>
  </si>
  <si>
    <t>Kapital bank</t>
  </si>
  <si>
    <t>Toshkent shahar va boshqa hududlar</t>
  </si>
  <si>
    <t>Toshkent viloyatida tijorat banklarining 2025-yildagi muammoli kreditlari (NPL) toʻgʻrisida maʼlumot</t>
  </si>
  <si>
    <t>2025-yil 1-yanvar holatiga 
kredit qoʻyilmalari</t>
  </si>
  <si>
    <t>2025-yil 1-fevral holatiga 
kredit qoʻyilmalari</t>
  </si>
  <si>
    <t>2025-yil 1-mart holatiga 
kredit qoʻyilmalari</t>
  </si>
  <si>
    <t>2025-yil 1-aprel holatiga 
kredit qoʻyilmalari</t>
  </si>
  <si>
    <t>2025-yil 1-may holatiga 
kredit qoʻyilmalari</t>
  </si>
  <si>
    <t>2025-yil 1-iyun holatiga 
kredit qoʻyilmalari</t>
  </si>
  <si>
    <t>2025-yil 1-iyul holatiga 
kredit qoʻyilmalari</t>
  </si>
  <si>
    <t>2025-yil 1-avgust holatiga 
kredit qoʻyilmalari</t>
  </si>
  <si>
    <t>2025-yil 1-sentyabr holatiga 
kredit qoʻyilmalari</t>
  </si>
  <si>
    <t>2025-yil 1-oktyabr holatiga 
kredit qoʻyilmalari</t>
  </si>
  <si>
    <t>2025-yil 1-noyabr holatiga 
kredit qoʻyilmalari</t>
  </si>
  <si>
    <t>2025-yil 1-dekabr holatiga 
kredit qoʻyilmalari</t>
  </si>
  <si>
    <t>Viloyat ahamiyatidagi</t>
  </si>
  <si>
    <t>MLB Oydin BXO</t>
  </si>
  <si>
    <t>MLB Zarhal BXO</t>
  </si>
  <si>
    <t>ALB Chirchiq KXKM</t>
  </si>
  <si>
    <t>Hayot bank</t>
  </si>
  <si>
    <t>Kredit portfeli tahlili</t>
  </si>
  <si>
    <t>01.12.2025-yil holatiga</t>
  </si>
  <si>
    <t>(Mln soʻmda)</t>
  </si>
  <si>
    <t>Tijorat banklari nomi</t>
  </si>
  <si>
    <t>Kredit portfeli</t>
  </si>
  <si>
    <t>Muammoli 
kredit</t>
  </si>
  <si>
    <t>Summasi</t>
  </si>
  <si>
    <t>Yuridik shaxslar</t>
  </si>
  <si>
    <t>YATT</t>
  </si>
  <si>
    <t>Jismoniy shaxslar</t>
  </si>
  <si>
    <t>Paxta yetishtirish uchun</t>
  </si>
  <si>
    <t>Gʻalla yetishtirish uchun</t>
  </si>
  <si>
    <t>Tomchilatib sugʻorish</t>
  </si>
  <si>
    <t>Chorvachilik</t>
  </si>
  <si>
    <t>Issiqxona</t>
  </si>
  <si>
    <t>Parrandachilik</t>
  </si>
  <si>
    <t>Sabzavot va poliz ekinlari</t>
  </si>
  <si>
    <t>Bogʻdorchilik</t>
  </si>
  <si>
    <t>Qishloq xoʻjaligi boshqa yoʻnalishlari</t>
  </si>
  <si>
    <t>Ogʻir sanoat</t>
  </si>
  <si>
    <t>Engil-sanoat</t>
  </si>
  <si>
    <t>Savdo</t>
  </si>
  <si>
    <t>Xizmatlar sohasi</t>
  </si>
  <si>
    <t>Transport</t>
  </si>
  <si>
    <t>Bino-inshootlar qurilishi</t>
  </si>
  <si>
    <t>Oziq-ovqat sanoati</t>
  </si>
  <si>
    <t>Turizm</t>
  </si>
  <si>
    <t>Taʼlim tizimi</t>
  </si>
  <si>
    <t>Kommunal xizmatlar</t>
  </si>
  <si>
    <t>Sogʻliqni saqlash tizimi</t>
  </si>
  <si>
    <t>Tijorat krediti</t>
  </si>
  <si>
    <t>Ipoteka kreditlari</t>
  </si>
  <si>
    <t>Mikroqarz</t>
  </si>
  <si>
    <t>Avtokredit</t>
  </si>
  <si>
    <t>Taʼlim krediti</t>
  </si>
  <si>
    <t>Mikrokredit</t>
  </si>
  <si>
    <t>Kredit karta</t>
  </si>
  <si>
    <t>Xizmat koʻrsatish</t>
  </si>
  <si>
    <t>Mebelchilik</t>
  </si>
  <si>
    <t>Isteʼmol kreditlari</t>
  </si>
  <si>
    <t>Toʻqimachilik/tikuvchilik</t>
  </si>
  <si>
    <t>Hunarmandchilik</t>
  </si>
  <si>
    <t>Asalarichilik</t>
  </si>
  <si>
    <t>Baliqchilik/quyonchilik</t>
  </si>
  <si>
    <t>Boshqalar</t>
  </si>
  <si>
    <t>BRB Zafar 2-toifali BXM</t>
  </si>
  <si>
    <t>Jami daromad</t>
  </si>
  <si>
    <t>Foizli daromad</t>
  </si>
  <si>
    <t>Yaratilgan zaxira</t>
  </si>
  <si>
    <t>Shundan,</t>
  </si>
  <si>
    <t>95413-hisob raqamdagi qoldiq</t>
  </si>
  <si>
    <t>Prolongatsiya qilingan kreditlar</t>
  </si>
  <si>
    <t>Bank xodimlari soni</t>
  </si>
  <si>
    <t>Garov bilan taʼminlanganligi</t>
  </si>
  <si>
    <t>Yetarli miqdorda zaxira shakllantirilmagan kreditlar</t>
  </si>
  <si>
    <t>Tegishli hisob raqamda aks ettirilmagan kreditlar</t>
  </si>
  <si>
    <t>Asosiy qarzdoligi uchun</t>
  </si>
  <si>
    <t>Foiz qarzdoligi uchun</t>
  </si>
  <si>
    <t>5 yilgacha</t>
  </si>
  <si>
    <t>5 yildan ortiq</t>
  </si>
  <si>
    <t>Muammoli 
kreditlar (NPL)</t>
  </si>
  <si>
    <t>2 va undan ortiq marta prolongatsiya</t>
  </si>
  <si>
    <t>Mulk asosida</t>
  </si>
  <si>
    <t>Kafillik asosida</t>
  </si>
  <si>
    <t>2025-yilda</t>
  </si>
  <si>
    <t>2024-yilda</t>
  </si>
  <si>
    <t>2023-yilda</t>
  </si>
  <si>
    <t>2022-yilda</t>
  </si>
  <si>
    <t>2021-yilda</t>
  </si>
  <si>
    <t>2020-yilda</t>
  </si>
  <si>
    <t>2020-yildan oldin</t>
  </si>
  <si>
    <t>Soʻmda (000) Yuridik</t>
  </si>
  <si>
    <t>Soʻmda (000) Jismoniy</t>
  </si>
  <si>
    <t>AQSH dollar (840)</t>
  </si>
  <si>
    <t>Yevro (978)</t>
  </si>
  <si>
    <t>Rubl (643)</t>
  </si>
  <si>
    <t>Yuan (156)</t>
  </si>
  <si>
    <t>01.12.2025-yil 
holatiga muammoli 
kredit (NPL)</t>
  </si>
  <si>
    <t>Huquqiy chora koʻrilmagan kreditlar</t>
  </si>
  <si>
    <t>Huquqiy chora koʻrilgan kreditlar</t>
  </si>
  <si>
    <t>Savdo-sanoat palatasiga topshirilgan hujjatlar</t>
  </si>
  <si>
    <t>Sud jarayonidagi kreditlar</t>
  </si>
  <si>
    <t>MIBda turgan ijro hujjatlar</t>
  </si>
  <si>
    <t>Prokuratura va IIBga taqdim etilgan hujjatlar</t>
  </si>
  <si>
    <t>Bankrotlik jarayonida</t>
  </si>
  <si>
    <t>XUJMSH va BSK</t>
  </si>
  <si>
    <t>Undiruv tashkilotiga topshirilgan</t>
  </si>
  <si>
    <t>Ish joyi mavjud qarzdorlar</t>
  </si>
  <si>
    <t>Olmaliq togʻ-kon metallurgiya kombinati</t>
  </si>
  <si>
    <t>Xalq taʼlimi boshqarmasi</t>
  </si>
  <si>
    <t>Bekobod Metallurgiya zavodi</t>
  </si>
  <si>
    <t>Sogʻliqni saqlash boshqarmasi</t>
  </si>
  <si>
    <t>Ammofos maksam</t>
  </si>
  <si>
    <t>Hokimiyat</t>
  </si>
  <si>
    <t>Hokimiyat qoshidagi tashkilotlar</t>
  </si>
  <si>
    <t>Maksam Chirchiq</t>
  </si>
  <si>
    <t>Oʻzbekkoʻmir</t>
  </si>
  <si>
    <t>Angren IES</t>
  </si>
  <si>
    <t>Hududiy elektr tarmoqlari boshqarmasi</t>
  </si>
  <si>
    <t>Ichki ishlar boshqarmasi</t>
  </si>
  <si>
    <t>Hududgaz</t>
  </si>
  <si>
    <t>Soliq boshqarmasi</t>
  </si>
  <si>
    <t>Kollejlar boshqarmasi</t>
  </si>
  <si>
    <t>2025-yil 1-oktyabr holatiga maʼlumot</t>
  </si>
  <si>
    <t>MFO+UNIK</t>
  </si>
  <si>
    <t>Bank kodi (3 talik)</t>
  </si>
  <si>
    <t>Bank nomi</t>
  </si>
  <si>
    <t>Yagona MFO</t>
  </si>
  <si>
    <t>BXM (BXO) kodi</t>
  </si>
  <si>
    <t>Mijoz nomi</t>
  </si>
  <si>
    <t>STIR</t>
  </si>
  <si>
    <t xml:space="preserve">Anketa. unikal yoki ID
raqami </t>
  </si>
  <si>
    <t>Asosiy ssuda hisob raqami</t>
  </si>
  <si>
    <t>Korxona roʻyxatdan oʻtgan tuman/shahar nomi</t>
  </si>
  <si>
    <t>Valyuta kodi</t>
  </si>
  <si>
    <t>Shartnoma summasi 
(nominal)</t>
  </si>
  <si>
    <t>Shartnoma summasi (sum.ekv)</t>
  </si>
  <si>
    <t>Haqiqatda 
ajratilgan 
kredit 
summasi
(ekv)</t>
  </si>
  <si>
    <t>Ajratilgan sana</t>
  </si>
  <si>
    <t>Qaytarish sana</t>
  </si>
  <si>
    <t xml:space="preserve">Kredit foizi </t>
  </si>
  <si>
    <t>Berilgan imtiyozli davr (oy)</t>
  </si>
  <si>
    <t>Jami portfel</t>
  </si>
  <si>
    <t>Kredit tasnifi</t>
  </si>
  <si>
    <t>Yaratilgan zaxira summasi</t>
  </si>
  <si>
    <t>Jami foiz qarzdorlik summasi</t>
  </si>
  <si>
    <t>Shundan</t>
  </si>
  <si>
    <t>Bankrot deb topilganligi
(1-ha.
2-yoʻq)</t>
  </si>
  <si>
    <t>Bankrot deb topilgan sana</t>
  </si>
  <si>
    <t>K-2 dagi jami qarzdorlik summasi</t>
  </si>
  <si>
    <t>shundan. kredit qarzdorligi boʻyicha K-2 summasi</t>
  </si>
  <si>
    <t>Kredit taʼminoti summasi</t>
  </si>
  <si>
    <t xml:space="preserve">Kredit ajratilgan davrdan hisobot sanasigacha kelib tushgan mablagʻ </t>
  </si>
  <si>
    <t>shundan. kredit maqsadi bilan bogʻliq tushum</t>
  </si>
  <si>
    <t>Eksport tushumi</t>
  </si>
  <si>
    <t>Import toʻlovi</t>
  </si>
  <si>
    <t>Muddatli</t>
  </si>
  <si>
    <t>Muddati 
oʻtgan</t>
  </si>
  <si>
    <t>sanasi</t>
  </si>
  <si>
    <t>Shartlari 
oʻzgargan</t>
  </si>
  <si>
    <t>Sud 
jarayoni</t>
  </si>
  <si>
    <t>16309 (summasi)</t>
  </si>
  <si>
    <t>16325 (summasi)</t>
  </si>
  <si>
    <t>16379 (summasi)</t>
  </si>
  <si>
    <t>16377 (summasi)</t>
  </si>
  <si>
    <t>Kredit olgandan oldingi davr</t>
  </si>
  <si>
    <t>Kredit olgandan keyingi davr</t>
  </si>
  <si>
    <t>AQSH dollari</t>
  </si>
  <si>
    <t>A</t>
  </si>
  <si>
    <t>OOO "ABDULAZIZXON DEHQON BIZNES"</t>
  </si>
  <si>
    <t>OOO "GC-GROUP INDUSTRIES"</t>
  </si>
  <si>
    <t>OOO "RAIN DRIP MASTER"</t>
  </si>
  <si>
    <t>"NURAFSHON JAMOAT TRANSPORTI" masʻuliyati cheklangan jamiyati</t>
  </si>
  <si>
    <t>OOO "ZUXAL ZIYO"</t>
  </si>
  <si>
    <t>BAYTQOʻRGʻON ABDUGʻANI BOGʻI</t>
  </si>
  <si>
    <t>OOO "SAMARALI SAVDO NIYAT"</t>
  </si>
  <si>
    <t>Samarqand viloyat</t>
  </si>
  <si>
    <t>BOʻSTON NON FAYZ</t>
  </si>
  <si>
    <t>SAN POWER MCHJ</t>
  </si>
  <si>
    <t>YANGIYOʻL PORLOQ AGRO</t>
  </si>
  <si>
    <t>WONDERFUL TEXTIL MCH</t>
  </si>
  <si>
    <t>OOO "Global Assist"</t>
  </si>
  <si>
    <t>OOO "CRUSHER"</t>
  </si>
  <si>
    <t>ANGREN AVTO GROUP MASULIYATI ChEKLANGAN JAMIYAT</t>
  </si>
  <si>
    <t>MCHJ ANGREN IMKON SERVIS</t>
  </si>
  <si>
    <t>"RENT CAR VELVET" MCHJ</t>
  </si>
  <si>
    <t>mchj "Ohangaron dehqon bozori"</t>
  </si>
  <si>
    <t>MCHJ "YANGIYOʻL SHAHAR PBK"</t>
  </si>
  <si>
    <t>MCHJ OQQORGON PAXTA SANOAT</t>
  </si>
  <si>
    <t>EZOZA AZIZA ODINA MCHJ</t>
  </si>
  <si>
    <t>IBROXIM-OTA FERMER XUJALIGI</t>
  </si>
  <si>
    <t>NOZIMA ASAL fermer xujaligi</t>
  </si>
  <si>
    <t>Jayxun Agro Fayz fermer xujaligi</t>
  </si>
  <si>
    <t>ULUG RIZQ AGRO MCHJ</t>
  </si>
  <si>
    <t>ABDULOHUN SUHROBBEK fermer xujaligi</t>
  </si>
  <si>
    <t>NORKEN FERMER XUJALIGI</t>
  </si>
  <si>
    <t>MAVLONBOY FERMER XUJALIGI</t>
  </si>
  <si>
    <t>QOBUL AGZAM FAYZ fermer xujaligi</t>
  </si>
  <si>
    <t>MUROD FERMER XUJALIGI</t>
  </si>
  <si>
    <t>JAYLOUBOY FERMER XUJALIGI</t>
  </si>
  <si>
    <t>BOKA OFARIN AGRO f/x</t>
  </si>
  <si>
    <t>YOSH SUNATILLA FERMER XUJALIGI</t>
  </si>
  <si>
    <t>NAZOKATXON BARAKA FX</t>
  </si>
  <si>
    <t>Toshqul-Feruza fx</t>
  </si>
  <si>
    <t>FX  ODIL XOSIYAT</t>
  </si>
  <si>
    <t>MAXGREEN MCHJ</t>
  </si>
  <si>
    <t>BEKOBOD-AGROKIMYO MCHJ</t>
  </si>
  <si>
    <t>AZAMAT SHER AGROTEXNIKA MCHJ</t>
  </si>
  <si>
    <t>ZAFAR ATS MCHJ</t>
  </si>
  <si>
    <t>BEKOBOD AGRO KLASS AZAMAT TEXNIKA MCHJ</t>
  </si>
  <si>
    <t>ERKINJON-QAYUMJON AGRO fer xuj</t>
  </si>
  <si>
    <t>ABDUSHUKUR DONIYOR AGROF/X</t>
  </si>
  <si>
    <t>GULNOZA FAYZ OMAD fermer xujaligi</t>
  </si>
  <si>
    <t>ARSLONBEK-GULOMJON AGRO fermer xujaligi</t>
  </si>
  <si>
    <t>JABBOROV A. fermer xujaligi</t>
  </si>
  <si>
    <t>BOBURBEK OMAD AGRO fermer xujaligi</t>
  </si>
  <si>
    <t>ELSHODBEK NUR AGROf/x</t>
  </si>
  <si>
    <t>Arslon-Soy fayz f\x</t>
  </si>
  <si>
    <t>TURSINBOEV ROZIBOY fermer xujaligi</t>
  </si>
  <si>
    <t>SHUXRAT-OTKIR OMAD MCHJ</t>
  </si>
  <si>
    <t>PORLOQ-SARDOR FAYZ fermer xujaligi</t>
  </si>
  <si>
    <t>LAYLO-RABBIM AGRO OMAD fermer xujaligi</t>
  </si>
  <si>
    <t>SHODIYOR TEMURBEK FAYZf/X</t>
  </si>
  <si>
    <t>Sarikul Donish ota f\x</t>
  </si>
  <si>
    <t>YUSUBOV OBID FAYZ fermer xujaligi</t>
  </si>
  <si>
    <t>JORABOY MOMINJON AGRO FAYZ fermer xujaligi</t>
  </si>
  <si>
    <t>SARDORBEK SANJARBEK AGRO fermer xujaligi</t>
  </si>
  <si>
    <t>RAVSHANBEK DILSHOD AGRO F/X</t>
  </si>
  <si>
    <t>ORIKZOR-SHUXRAT AGRO OMAD fermer xujaligi</t>
  </si>
  <si>
    <t>SADULLAYEV ZIKRULLA AGRO FAYZ fermer xujaligi</t>
  </si>
  <si>
    <t>BURXON AGRO FAYZ fermer xujaligi</t>
  </si>
  <si>
    <t>OTABEK -ZILOLA AGRO fermer xujaligi</t>
  </si>
  <si>
    <t>MARZIYAXON AGRO fermer xujaligi</t>
  </si>
  <si>
    <t>PISKENT AGROBIZNES MARKAZI MCHJ</t>
  </si>
  <si>
    <t>PISKENT AGROKIMYO MCHJ</t>
  </si>
  <si>
    <t>TURONFERTIZ TRADE MCHJ</t>
  </si>
  <si>
    <t>Abdumutal Rustamovich f\x</t>
  </si>
  <si>
    <t>IBODULLAYEV XAYDARALI F.X</t>
  </si>
  <si>
    <t>ISKANDAROV SARDOR TARAQQIYOT MCHJ</t>
  </si>
  <si>
    <t>Otakulov Mashrab f-x</t>
  </si>
  <si>
    <t>IBODULLAYEV MIRZAMIDDIN F.X</t>
  </si>
  <si>
    <t>Raxmatjonova Sarvinoz f\x</t>
  </si>
  <si>
    <t>ISMATOV ISLOM F-X</t>
  </si>
  <si>
    <t>ASHIRMATOV JUMAVOY F.X</t>
  </si>
  <si>
    <t>ILHOM ILGOR BARAKA  Maʼsuliyati cheklangan jamiyat</t>
  </si>
  <si>
    <t>Boston - Biohimoya  xususiy labaratoriyasi</t>
  </si>
  <si>
    <t>OOO AGROMAX TECHNIC</t>
  </si>
  <si>
    <t>AGRO NEW DRIP MCHJ</t>
  </si>
  <si>
    <t>OOO AGRO WORLD TEAM</t>
  </si>
  <si>
    <t>SP OOO BOSTONLIQ KARTOSHKACHILIK MARKAZI</t>
  </si>
  <si>
    <t>AGROVER-URUG CHILIK MCHJ</t>
  </si>
  <si>
    <t>FX ULUGBEK FAYZ AGRO</t>
  </si>
  <si>
    <t>FX UBAYDULLA AGRO FAYZ</t>
  </si>
  <si>
    <t>FX ISTIKBOL GEO AGRO</t>
  </si>
  <si>
    <t>FX OZODBEK KAMRONBEK FAYZ</t>
  </si>
  <si>
    <t>FX SAYFULLA BEXRUZBEK</t>
  </si>
  <si>
    <t>FX SHIN OLGA AGRO</t>
  </si>
  <si>
    <t>FX TOJIBAYEVA ZOKIRA AGRO</t>
  </si>
  <si>
    <t>FX NIYAZALI AGRO</t>
  </si>
  <si>
    <t>EGAMBERDI KARVON FERMER XUJALIGI</t>
  </si>
  <si>
    <t>FX OBLON NUROVICH</t>
  </si>
  <si>
    <t>FX XAKIKAT KUCH AGRO</t>
  </si>
  <si>
    <t>FX SARDOR BILOL AGRO</t>
  </si>
  <si>
    <t>OOO GLOBAL-NURAFSHON-SITY</t>
  </si>
  <si>
    <t>MCHJ Chinoz Kimyo Taminot</t>
  </si>
  <si>
    <t>BONI VUR fermer xujaligi</t>
  </si>
  <si>
    <t>FX Ergash Murod Nur</t>
  </si>
  <si>
    <t>FX Chinoz Oloviddin Fayz</t>
  </si>
  <si>
    <t>FX Abdukodirov Tulagan</t>
  </si>
  <si>
    <t>FX Yallama Mirishkor Dalasi</t>
  </si>
  <si>
    <t>FX Mukimiy</t>
  </si>
  <si>
    <t>FX Chinoz Erkin Ozod Fayz</t>
  </si>
  <si>
    <t>FX Kojakent</t>
  </si>
  <si>
    <t>MCHJ AXMAD NUR XIKMAT</t>
  </si>
  <si>
    <t>FX Abdukadirov Mirzali</t>
  </si>
  <si>
    <t>MCHJ SARA ELITA URUGʻCHILIK</t>
  </si>
  <si>
    <t>FX MUXAMMADALI ODINA</t>
  </si>
  <si>
    <t>FX BURONBOY OTA VA UGILLARI</t>
  </si>
  <si>
    <t>YUQORICHIRCHIQ KIMYO XIZMAT MCHJ</t>
  </si>
  <si>
    <t>OOO YASSAVIY FIELD</t>
  </si>
  <si>
    <t>SAMSARAK SHIRIN SUT MCHJ</t>
  </si>
  <si>
    <t>FX OBID-OTA</t>
  </si>
  <si>
    <t>ISTIQBOL-QADAMLARI MCHJ</t>
  </si>
  <si>
    <t>SHUXRAT-H FERMER XOJALIGI</t>
  </si>
  <si>
    <t>MCHJ NURLI DIYOR AGRO</t>
  </si>
  <si>
    <t>JAVOHIRXOʻJA-SHOHSAROY MCHJ</t>
  </si>
  <si>
    <t>OOO IDEAL BIZNES TAMINOT</t>
  </si>
  <si>
    <t>YANGIYOʻL  AGRO-KIMYO MCHJ</t>
  </si>
  <si>
    <t>OOO MY AGRO</t>
  </si>
  <si>
    <t>OOO "QUYONCHILIK VA QUSHXONA AGRO KOMPLEKSI"</t>
  </si>
  <si>
    <t>OOO "QUYONCHILIK VA NASILCHILIK AGRO KOMPLEKS"</t>
  </si>
  <si>
    <t>OOO "IL PRIMO"</t>
  </si>
  <si>
    <t>OOO "THE BEST ITALIAN RABBITS"</t>
  </si>
  <si>
    <t>QUYONCHILIK VA OʻGʻIT ISHLAB CHIQARISH AGROKOMPLEKSI</t>
  </si>
  <si>
    <t>QUYONCHILIK VA TAYYOR GOʻSHT MAXSULOTLARI AGRO KOMPLEKSI</t>
  </si>
  <si>
    <t>OOO "OMUXTA YEMCHILIK VA QUYONCHILIK AGRO KOMPLEKS"</t>
  </si>
  <si>
    <t>KUCHKOR CHAVANDOZ FERMER XUJALIGI</t>
  </si>
  <si>
    <t>MAKSIMUS XUSUSIY KORXONASI</t>
  </si>
  <si>
    <t>"YAGONA BUYURTMACHI XIZMATI" DUK</t>
  </si>
  <si>
    <t>CHORBOGʻ SAYOHAT MASKANI</t>
  </si>
  <si>
    <t>OOO "STATUS AUTO SERVICE"</t>
  </si>
  <si>
    <t>XK "TITAN MAXIMA"</t>
  </si>
  <si>
    <t>POLETAEVA KOMMUNAL MCHJ</t>
  </si>
  <si>
    <t>VOHID ULUGʻBEK BARAKA FERMER HUJALIGI</t>
  </si>
  <si>
    <t>YAXSHI NIYAT JASURBEK MCHJ Shakldagi Agrofirmasi</t>
  </si>
  <si>
    <t>PARKENT TUMAN YOʻLLARDAN FOYDALANISH UK</t>
  </si>
  <si>
    <t>OOO "PISKENT MEGA AGRO GROUP"</t>
  </si>
  <si>
    <t>OOO "INTER AGRO BROILER BREEDERS"</t>
  </si>
  <si>
    <t>Maʻsuliyati Cheklangan Jamiyat "UMID"</t>
  </si>
  <si>
    <t>OOO "GOLDEN ASIA AGRO"</t>
  </si>
  <si>
    <t>OOO "PROMEATAGRO"</t>
  </si>
  <si>
    <t>OOO "NATURAL MILK PRODUCTION" 21210</t>
  </si>
  <si>
    <t>"TOSHKENT QURILISH MOLLARI" Masʼuliyati cheklangan jamiyat</t>
  </si>
  <si>
    <t>OOO "GRAND LIVESTOCK"</t>
  </si>
  <si>
    <t>MCHJ "ARENA SCHOOL FAMILY"</t>
  </si>
  <si>
    <t>"TRADE-INVEST DAN" MCHJ</t>
  </si>
  <si>
    <t>OOO "KHOREZM FOOD RETAIL"</t>
  </si>
  <si>
    <t>OOO "AZIYA TREST"</t>
  </si>
  <si>
    <t>MCHJ "REAL WHITE"</t>
  </si>
  <si>
    <t>MCHJ "ABSOLUT TRANS"</t>
  </si>
  <si>
    <t>OOO "HOKIM BOBOJANOV"</t>
  </si>
  <si>
    <t>XORAZM CHASHMA MCHJ</t>
  </si>
  <si>
    <t>OOO "SHAFFOF-1990"</t>
  </si>
  <si>
    <t>INTER GOLD FRUIT MASʻULIYATI CHEK LANGAN JAMIYAT</t>
  </si>
  <si>
    <t>MCHJ "Barno-Bonu-savdo"</t>
  </si>
  <si>
    <t>BROOKLIN STREET MCHJ</t>
  </si>
  <si>
    <t>"OBOD TURMUSH DIYORI" MCHJ</t>
  </si>
  <si>
    <t>MCHJ BEST UNIVERSAL STAR</t>
  </si>
  <si>
    <t>MCHJ CHINOZ ZOLOTOY TELYONOK</t>
  </si>
  <si>
    <t>Jahon Qurillish Mollari MCHJ</t>
  </si>
  <si>
    <t>MCHJ LOGISTIK-TRANS-SERVIS</t>
  </si>
  <si>
    <t>MCHJ LOGISTICS SERVISE OF BEK</t>
  </si>
  <si>
    <t>MCHJ CHOOSE LOGICAL DRIVE</t>
  </si>
  <si>
    <t>MCHJ YANGI ZAMON TOSHKENT</t>
  </si>
  <si>
    <t>MCHJ RUSTAM ZAKIROV LOGISTIC</t>
  </si>
  <si>
    <t>OOO "NURIDDIN FAYZ OMAD BARAKA"</t>
  </si>
  <si>
    <t>OOO "SUXROB OMAD ZIYO "</t>
  </si>
  <si>
    <t>OOO  "YANGIYOʻL OMEGA ZIRAVORLARI"</t>
  </si>
  <si>
    <t>OOO "STROY EVEREST MASTER"</t>
  </si>
  <si>
    <t>"OʻZAGROLIZING" AJ</t>
  </si>
  <si>
    <t>SOLIJON-FAYZU-BARAKA FERMER XUALI-G</t>
  </si>
  <si>
    <t>Trustcompanion MCHJ</t>
  </si>
  <si>
    <t>Piskent Shark Agro</t>
  </si>
  <si>
    <t>MEGA LIGHT MCHJ</t>
  </si>
  <si>
    <t>BULOQBOSHI  SOGʻLOMLASHTIRISH KLINIKASI</t>
  </si>
  <si>
    <t>Dilishod Madad Karimjon fermer xujaligi</t>
  </si>
  <si>
    <t>"TURON UMIDLI FAYZ" Maʼsuliyati Cheklangan Jamiyat</t>
  </si>
  <si>
    <t>"PARKENT  ATS "  MASʼULIYATI ChEKLANGAN  JAMIYATI</t>
  </si>
  <si>
    <t>FARODIS XIRMONI fermer xoʻjaligi</t>
  </si>
  <si>
    <t>ZUXRIDDIN OMAD X\K</t>
  </si>
  <si>
    <t>AGRO LIGHT BUSINESS MCHJ</t>
  </si>
  <si>
    <t>"Salar-Nuritdinov Pahriddin" fermer xujaligi</t>
  </si>
  <si>
    <t>"SIROJIDDIN-IRODA" MCHJ</t>
  </si>
  <si>
    <t>OOO "NDA FRUKT"</t>
  </si>
  <si>
    <t>OOO "OLTINSOY GOLDEN FRUITS"</t>
  </si>
  <si>
    <t>OOO NAZARBEK OILAVIY MILLIY TAOMLARI</t>
  </si>
  <si>
    <t>MCHJ "Yagona Guldasta"</t>
  </si>
  <si>
    <t>MCHJ "Turon zamin qurilish"</t>
  </si>
  <si>
    <t>MCHJ "YAGONA GOSHT BARAKA"</t>
  </si>
  <si>
    <t>"CARE ASCENT" MCHJ</t>
  </si>
  <si>
    <t>OOO "ALISHER-SALOXIDDIN NASL CHORVADOR"</t>
  </si>
  <si>
    <t>ELDOR TOWER HOTEL MCHJ</t>
  </si>
  <si>
    <t>"IBRAT XOS OBOD" masʻuliyati cheklangan jamiyati</t>
  </si>
  <si>
    <t>OOO "EUROGARDEN"</t>
  </si>
  <si>
    <t>"ALISHER-FAYZ-MURUVVAT" fermer xujaligi</t>
  </si>
  <si>
    <t>"SANJAR XOʻJA" MCHJ</t>
  </si>
  <si>
    <t>Fermer xoʻjaligi "OLTIN UFQ AGRO"</t>
  </si>
  <si>
    <t>OOO "EUROGARDEN EXPORT"</t>
  </si>
  <si>
    <t>OOO BLESS-CROP</t>
  </si>
  <si>
    <t>OOO "ART GLOBUS"</t>
  </si>
  <si>
    <t>Azizova Mubina Azizovna MCHJ</t>
  </si>
  <si>
    <t>SAULAT FERMER XUJALIGI</t>
  </si>
  <si>
    <t>"VOSTONLIQ DEHQON BOZORI" MCH J</t>
  </si>
  <si>
    <t>OOO "FAYZ TAʻMIRSOZ"</t>
  </si>
  <si>
    <t>OOO "AZIZ-DELO"</t>
  </si>
  <si>
    <t>BOʻKA-SHIRIN-SUT</t>
  </si>
  <si>
    <t>"ECO AGRO GLOBAL" MCHJ</t>
  </si>
  <si>
    <t>"Namuna chorva rivoj" MCHJ</t>
  </si>
  <si>
    <t>"FRESHBIT" MCHJ</t>
  </si>
  <si>
    <t>"BUKA-SHIRIN SUT" FERMER XUJALIGI</t>
  </si>
  <si>
    <t>OOO "BGC CONSTRUCT"</t>
  </si>
  <si>
    <t>MCHJ "OHANGARON TURON BARAKA"</t>
  </si>
  <si>
    <t>MCHJ ELEGANT AFFAIRS</t>
  </si>
  <si>
    <t>BEGZOD-OTABOYEV masʻuliyati cheklangan jamiyati</t>
  </si>
  <si>
    <t>Farangizbonu Yokutxon Chorvasi fxch</t>
  </si>
  <si>
    <t>XK  BEKDIL</t>
  </si>
  <si>
    <t>MCHJ "BOʻKA BAHOR OROMGOHI"</t>
  </si>
  <si>
    <t>OOO "MUSHTARIYBONU ILK QADAM"</t>
  </si>
  <si>
    <t>IXTISOSLASHGAN YANGIYOʻL SHAHAR DEHQON BOZORI</t>
  </si>
  <si>
    <t>OOO "MADINA-ELEGANT-STIL"</t>
  </si>
  <si>
    <t>MCHJ Mega Milk Business</t>
  </si>
  <si>
    <t>OOO "FAZILATXON EXPERT TRANS"</t>
  </si>
  <si>
    <t>"YANGIYOL LEADER AGRO FRUIT"MCHJ</t>
  </si>
  <si>
    <t>MCHJ GFG GRAND FOOD GROUP</t>
  </si>
  <si>
    <t>OOO "HOJI"</t>
  </si>
  <si>
    <t>OOO "SAMMIX NASLCHILIK"</t>
  </si>
  <si>
    <t>BOʻSTONLIQ KARTOSHKACHILIK  MARKAZI MCHJ QK</t>
  </si>
  <si>
    <t>"OHANGARONSEMENT" masʻuliyati cheklangan jamiyati</t>
  </si>
  <si>
    <t>OOO "SHIRIN EXPORT"</t>
  </si>
  <si>
    <t>OOO "VALI- AGRO"</t>
  </si>
  <si>
    <t>MCHJ AGRO HAMKOR EXPORT</t>
  </si>
  <si>
    <t>OOO "SOLANUZ"</t>
  </si>
  <si>
    <t>OOO "DIYORA FAYZ GULSHANI"</t>
  </si>
  <si>
    <t>OOO "NUR MARKET 222"</t>
  </si>
  <si>
    <t>"AGRO KONSERV BIZNES" MCHJ</t>
  </si>
  <si>
    <t>"RUHSHONA MED FARM" MCHJ</t>
  </si>
  <si>
    <t>PACKING INDUSTRIES OOO</t>
  </si>
  <si>
    <t>OOO "SAMI MED GROUP"</t>
  </si>
  <si>
    <t>OOO "ILLINOYS"</t>
  </si>
  <si>
    <t>MCHJ BAS INVEST OIL</t>
  </si>
  <si>
    <t>OOO "LEADING TRADE 777"</t>
  </si>
  <si>
    <t>OOO "LIDER-CABEL GROUP"</t>
  </si>
  <si>
    <t>IP OOO "CHELEBI TEXTILE"</t>
  </si>
  <si>
    <t>OOO "SOF MEDTEX"</t>
  </si>
  <si>
    <t>"SUPER DVERI" MCHJ</t>
  </si>
  <si>
    <t>OOO "ARDS INVEST FAMILY"</t>
  </si>
  <si>
    <t>ENGINE PARTS MCHJ</t>
  </si>
  <si>
    <t>RG - INVEST MCHJ</t>
  </si>
  <si>
    <t>X K "MIKRO - STAR- INTERNATINAL"</t>
  </si>
  <si>
    <t>Namangan viloyat</t>
  </si>
  <si>
    <t>OOO "WELLROAD LOGISTICS GROUP"</t>
  </si>
  <si>
    <t>OOO ʻGRAND OMAD DAROMADʻ</t>
  </si>
  <si>
    <t>OOO WORLDWIDE PRO LOGISTICS</t>
  </si>
  <si>
    <t>OOO "SUPERIOR IN-BUSINESS"</t>
  </si>
  <si>
    <t>"SMART TGU LOGISTIC" MASʻULYATI CHEKLANGAN JAMIYATI</t>
  </si>
  <si>
    <t>Fargʻona viloyat</t>
  </si>
  <si>
    <t>"OLMALIQ ISUZU TRANS" Masʻuliyati cheklangan jamiyat</t>
  </si>
  <si>
    <t>"HBS SILVER TRADE" Masʻuliyat Cheklangan Jamiyat</t>
  </si>
  <si>
    <t>"AGRO MILK FOODS" Masʻuliyat Cheklangan Jamiyat</t>
  </si>
  <si>
    <t>"ART WATER" Masʻuliyat Cheklangan Jamiyat</t>
  </si>
  <si>
    <t>"PROJECT ADVANCE GROUP" MASʻULIYATI CHEKLANGAN JAMIYAT</t>
  </si>
  <si>
    <t>OOO "OLMALIQ ISUZU TRANS"</t>
  </si>
  <si>
    <t>EURO ECO GARDEN MCHJ</t>
  </si>
  <si>
    <t>MCHP "INOMXUJA"</t>
  </si>
  <si>
    <t>ATEKA GROUP MCHJ</t>
  </si>
  <si>
    <t>"MARK FORMELLE IT" MCHJ</t>
  </si>
  <si>
    <t>"ASADBEK XAMKOR" XUSUSIY KORHONASI</t>
  </si>
  <si>
    <t>OOO "SOLIXA TRANS XAMKOR"</t>
  </si>
  <si>
    <t>SP OOO "JFM LEGA GROUP"</t>
  </si>
  <si>
    <t>CHP "YULDUZ-SX"</t>
  </si>
  <si>
    <t>OOO "FAYZ-LOGISTICS"</t>
  </si>
  <si>
    <t>MCHJ ARCHA FAYZ BARAKA</t>
  </si>
  <si>
    <t>Andijon viloyat</t>
  </si>
  <si>
    <t>OOO "REAL TEX TASHKENT"</t>
  </si>
  <si>
    <t>RћRћRћ "ADMAAN MALLS"</t>
  </si>
  <si>
    <t>RћRћRћ "YANGIYOʻL TEKSTIL"</t>
  </si>
  <si>
    <t>R?R? "EZGULIK SARI AGRO"</t>
  </si>
  <si>
    <t>OOO "PROF MED SERVICE"</t>
  </si>
  <si>
    <t>OOO "AGRO SAMMIX"</t>
  </si>
  <si>
    <t>OOO "PREMIUM POLYPLASTIC"</t>
  </si>
  <si>
    <t>SP OOO "YUMA BIO"</t>
  </si>
  <si>
    <t>OOO "PENG SHENG CHARM"</t>
  </si>
  <si>
    <t>OOO "AHMAD-TEX-GROUP"</t>
  </si>
  <si>
    <t>OOO "NITRIC-SERVICE"</t>
  </si>
  <si>
    <t>OOO "STATURA"</t>
  </si>
  <si>
    <t>OOO "MAGNIT GRAND FARM "</t>
  </si>
  <si>
    <t>OOO "PARKENT SUPER FRIDGE"</t>
  </si>
  <si>
    <t>OOO "KOMMET PRO"</t>
  </si>
  <si>
    <t>OOO "KORSTAN FIBER"</t>
  </si>
  <si>
    <t>OOO "DAVO MED"</t>
  </si>
  <si>
    <t>OOO "NOVIRA"</t>
  </si>
  <si>
    <t>OOO "BESTOPTION"</t>
  </si>
  <si>
    <t>OOO "STELLARY SKY"</t>
  </si>
  <si>
    <t>OOO "USTUNLIK"</t>
  </si>
  <si>
    <t>OOO "ORZU UYI"</t>
  </si>
  <si>
    <t>OOO "CITY VIBE"</t>
  </si>
  <si>
    <t>OOO "BUILDYOURDREAM"</t>
  </si>
  <si>
    <t>"BIOKIMYO" AKSIYADORLIK JAMIYATI</t>
  </si>
  <si>
    <t>CHINA LEASING IMPEX MAʼSULIYATI ChEKLANGAN JAMIYATI LIZING KOMP</t>
  </si>
  <si>
    <t>OOO "BILOL AVTO LOGISTIC"</t>
  </si>
  <si>
    <t>OOO "PANOMAR CARS"</t>
  </si>
  <si>
    <t>"BELLA KLASSIK" xususiy korxonasi</t>
  </si>
  <si>
    <t>OOO "XASAN XUSAN OMAD BARAKA"</t>
  </si>
  <si>
    <t>OOO "BOTIR PHARMA GLOBAL"</t>
  </si>
  <si>
    <t>OOO "SHAHI WATER"</t>
  </si>
  <si>
    <t>CHP "TEMUR-SHOH-OMAD"</t>
  </si>
  <si>
    <t>OOO "IZZY PAPER"</t>
  </si>
  <si>
    <t>"GLOBAL LEADERS OF LOGISTICS" MSHJ</t>
  </si>
  <si>
    <t>OOO "ORIENT CERAMIC KAFEL"</t>
  </si>
  <si>
    <t>FX "QX SULOLASI MIM KELAJAK SARI"</t>
  </si>
  <si>
    <t>OOO "TABIBIM TABIAT"</t>
  </si>
  <si>
    <t>OOO "UNITED-LOGISTIC-2022"</t>
  </si>
  <si>
    <t>OOO "VULKAN BETON"</t>
  </si>
  <si>
    <t>"FORTUS BIZNES XK" Xususiy korxonasi</t>
  </si>
  <si>
    <t>OOO "IDEAL FAVORIT BIZNES"</t>
  </si>
  <si>
    <t>OOO "OMINA FAYZ SERVIS" 71300</t>
  </si>
  <si>
    <t>OOO "TOʻYTEPA PARRANDA"</t>
  </si>
  <si>
    <t>OOO ʻACCENT GROUPʻ</t>
  </si>
  <si>
    <t>CHP "UZBEK-AGRO-HAMKOR"</t>
  </si>
  <si>
    <t>MCHJ "AZIA TRANS TERMINAL"</t>
  </si>
  <si>
    <t>"DELTA MIKROMOLIYA TASHKILOTI" MCHJ</t>
  </si>
  <si>
    <t>OOO "AUTOSANOAT AGRO LIZING"</t>
  </si>
  <si>
    <t>IP OOO " DESIGN OF STONE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</si>
</sst>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_р_._-;\-* #,##0.00_р_._-;_-* &quot;-&quot;??_р_._-;_-@_-"/>
    <numFmt numFmtId="165" formatCode="_-* #,##0\ _₽_-;\-* #,##0\ _₽_-;_-* &quot;-&quot;\ _₽_-;_-@_-"/>
    <numFmt numFmtId="166" formatCode="_-* #,##0.00\ _₽_-;\-* #,##0.00\ _₽_-;_-* &quot;-&quot;??\ _₽_-;_-@_-"/>
    <numFmt numFmtId="167" formatCode="#,##0_ ;\-#,##0\ "/>
    <numFmt numFmtId="168" formatCode="#,##0.0"/>
    <numFmt numFmtId="169" formatCode="0.0%"/>
  </numFmts>
  <fonts count="31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color theme="1"/>
      <name val="Calibri"/>
      <family val="2"/>
      <scheme val="minor"/>
    </font>
    <font>
      <sz val="15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6"/>
      <name val="Times New Roman"/>
      <family val="1"/>
      <charset val="204"/>
    </font>
    <font>
      <b/>
      <sz val="36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5"/>
      <color theme="1"/>
      <name val="Times New Roman"/>
      <family val="1"/>
      <charset val="204"/>
    </font>
    <font>
      <b/>
      <sz val="2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0" fontId="9" fillId="0" borderId="0"/>
    <xf numFmtId="165" fontId="10" fillId="0" borderId="0" applyFont="0" applyFill="0" applyBorder="0" applyAlignment="0" applyProtection="0"/>
    <xf numFmtId="0" fontId="11" fillId="0" borderId="0"/>
    <xf numFmtId="165" fontId="8" fillId="0" borderId="0" applyFont="0" applyFill="0" applyBorder="0" applyAlignment="0" applyProtection="0"/>
    <xf numFmtId="0" fontId="11" fillId="0" borderId="0"/>
    <xf numFmtId="0" fontId="7" fillId="0" borderId="0"/>
    <xf numFmtId="164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16" fillId="0" borderId="0"/>
    <xf numFmtId="0" fontId="4" fillId="0" borderId="0"/>
    <xf numFmtId="166" fontId="4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1" fillId="0" borderId="0"/>
    <xf numFmtId="0" fontId="2" fillId="0" borderId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3" fontId="13" fillId="0" borderId="1" xfId="1" applyNumberFormat="1" applyFont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49" fontId="12" fillId="2" borderId="1" xfId="1" applyNumberFormat="1" applyFont="1" applyFill="1" applyBorder="1" applyAlignment="1">
      <alignment horizontal="center" vertical="center" wrapText="1"/>
    </xf>
    <xf numFmtId="3" fontId="14" fillId="0" borderId="1" xfId="5" applyNumberFormat="1" applyFont="1" applyBorder="1" applyAlignment="1">
      <alignment horizontal="center" vertical="center"/>
    </xf>
    <xf numFmtId="0" fontId="20" fillId="0" borderId="0" xfId="1" applyFont="1" applyAlignment="1">
      <alignment vertical="center"/>
    </xf>
    <xf numFmtId="3" fontId="12" fillId="2" borderId="1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3" fillId="0" borderId="1" xfId="0" applyNumberFormat="1" applyFont="1" applyBorder="1" applyAlignment="1">
      <alignment horizontal="center" vertical="center" wrapText="1"/>
    </xf>
    <xf numFmtId="3" fontId="15" fillId="0" borderId="1" xfId="18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14" fontId="21" fillId="0" borderId="0" xfId="3" applyNumberFormat="1" applyFont="1" applyAlignment="1">
      <alignment vertical="center"/>
    </xf>
    <xf numFmtId="49" fontId="15" fillId="0" borderId="0" xfId="1" applyNumberFormat="1" applyFont="1" applyAlignment="1">
      <alignment vertical="center"/>
    </xf>
    <xf numFmtId="167" fontId="15" fillId="0" borderId="0" xfId="10" applyNumberFormat="1" applyFont="1" applyFill="1" applyAlignment="1">
      <alignment horizontal="center" vertical="center"/>
    </xf>
    <xf numFmtId="167" fontId="15" fillId="0" borderId="2" xfId="10" applyNumberFormat="1" applyFont="1" applyFill="1" applyBorder="1" applyAlignment="1">
      <alignment vertical="center"/>
    </xf>
    <xf numFmtId="167" fontId="21" fillId="0" borderId="2" xfId="10" applyNumberFormat="1" applyFont="1" applyFill="1" applyBorder="1" applyAlignment="1">
      <alignment horizontal="right" vertical="center"/>
    </xf>
    <xf numFmtId="3" fontId="15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3" fontId="13" fillId="0" borderId="1" xfId="1" applyNumberFormat="1" applyFont="1" applyBorder="1" applyAlignment="1">
      <alignment horizontal="left" vertical="center"/>
    </xf>
    <xf numFmtId="0" fontId="23" fillId="0" borderId="0" xfId="19" applyFont="1" applyAlignment="1">
      <alignment horizontal="left" vertical="center"/>
    </xf>
    <xf numFmtId="0" fontId="22" fillId="0" borderId="0" xfId="19" applyFont="1" applyAlignment="1">
      <alignment vertical="center" wrapText="1"/>
    </xf>
    <xf numFmtId="0" fontId="22" fillId="0" borderId="0" xfId="19" applyFont="1" applyAlignment="1">
      <alignment horizontal="center" vertical="center"/>
    </xf>
    <xf numFmtId="0" fontId="13" fillId="0" borderId="0" xfId="19" applyFont="1" applyAlignment="1">
      <alignment horizontal="center" vertical="center"/>
    </xf>
    <xf numFmtId="0" fontId="13" fillId="0" borderId="0" xfId="19" applyFont="1" applyAlignment="1">
      <alignment horizontal="left" vertical="center"/>
    </xf>
    <xf numFmtId="3" fontId="13" fillId="0" borderId="0" xfId="19" applyNumberFormat="1" applyFont="1" applyAlignment="1">
      <alignment horizontal="center" vertical="center"/>
    </xf>
    <xf numFmtId="0" fontId="18" fillId="0" borderId="2" xfId="19" applyFont="1" applyBorder="1" applyAlignment="1">
      <alignment horizontal="center" vertical="center"/>
    </xf>
    <xf numFmtId="0" fontId="13" fillId="2" borderId="1" xfId="19" applyFont="1" applyFill="1" applyBorder="1" applyAlignment="1">
      <alignment horizontal="center" vertical="center" wrapText="1"/>
    </xf>
    <xf numFmtId="0" fontId="13" fillId="0" borderId="0" xfId="19" applyFont="1" applyAlignment="1">
      <alignment horizontal="center" vertical="center" wrapText="1"/>
    </xf>
    <xf numFmtId="168" fontId="13" fillId="2" borderId="1" xfId="19" applyNumberFormat="1" applyFont="1" applyFill="1" applyBorder="1" applyAlignment="1">
      <alignment horizontal="center" vertical="center" wrapText="1"/>
    </xf>
    <xf numFmtId="0" fontId="22" fillId="2" borderId="1" xfId="19" applyFont="1" applyFill="1" applyBorder="1" applyAlignment="1">
      <alignment vertical="center" wrapText="1"/>
    </xf>
    <xf numFmtId="0" fontId="22" fillId="2" borderId="1" xfId="19" applyFont="1" applyFill="1" applyBorder="1" applyAlignment="1">
      <alignment horizontal="center" vertical="center" wrapText="1"/>
    </xf>
    <xf numFmtId="3" fontId="24" fillId="2" borderId="1" xfId="19" applyNumberFormat="1" applyFont="1" applyFill="1" applyBorder="1" applyAlignment="1">
      <alignment horizontal="center" vertical="center" wrapText="1"/>
    </xf>
    <xf numFmtId="169" fontId="24" fillId="2" borderId="1" xfId="20" applyNumberFormat="1" applyFont="1" applyFill="1" applyBorder="1" applyAlignment="1">
      <alignment horizontal="center" vertical="center" wrapText="1"/>
    </xf>
    <xf numFmtId="169" fontId="22" fillId="2" borderId="1" xfId="21" applyNumberFormat="1" applyFont="1" applyFill="1" applyBorder="1" applyAlignment="1">
      <alignment horizontal="center" vertical="center" wrapText="1"/>
    </xf>
    <xf numFmtId="3" fontId="22" fillId="3" borderId="1" xfId="19" applyNumberFormat="1" applyFont="1" applyFill="1" applyBorder="1" applyAlignment="1">
      <alignment horizontal="center" vertical="center" wrapText="1"/>
    </xf>
    <xf numFmtId="0" fontId="22" fillId="0" borderId="0" xfId="19" applyFont="1" applyAlignment="1">
      <alignment horizontal="center" vertical="center" wrapText="1"/>
    </xf>
    <xf numFmtId="0" fontId="13" fillId="0" borderId="1" xfId="19" applyFont="1" applyBorder="1" applyAlignment="1">
      <alignment horizontal="center" vertical="center" wrapText="1"/>
    </xf>
    <xf numFmtId="3" fontId="19" fillId="0" borderId="1" xfId="5" applyNumberFormat="1" applyFont="1" applyBorder="1" applyAlignment="1">
      <alignment horizontal="center" vertical="center"/>
    </xf>
    <xf numFmtId="169" fontId="17" fillId="0" borderId="1" xfId="20" applyNumberFormat="1" applyFont="1" applyFill="1" applyBorder="1" applyAlignment="1">
      <alignment horizontal="center" vertical="center"/>
    </xf>
    <xf numFmtId="3" fontId="26" fillId="0" borderId="1" xfId="5" applyNumberFormat="1" applyFont="1" applyBorder="1" applyAlignment="1">
      <alignment horizontal="center" vertical="center"/>
    </xf>
    <xf numFmtId="3" fontId="15" fillId="0" borderId="1" xfId="5" applyNumberFormat="1" applyFont="1" applyBorder="1" applyAlignment="1">
      <alignment horizontal="center" vertical="center"/>
    </xf>
    <xf numFmtId="3" fontId="12" fillId="0" borderId="1" xfId="5" applyNumberFormat="1" applyFont="1" applyBorder="1" applyAlignment="1">
      <alignment horizontal="center" vertical="center"/>
    </xf>
    <xf numFmtId="3" fontId="17" fillId="0" borderId="1" xfId="5" applyNumberFormat="1" applyFont="1" applyBorder="1" applyAlignment="1">
      <alignment horizontal="center" vertical="center"/>
    </xf>
    <xf numFmtId="0" fontId="13" fillId="0" borderId="1" xfId="19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27" fillId="0" borderId="0" xfId="22" applyFont="1"/>
    <xf numFmtId="0" fontId="28" fillId="0" borderId="0" xfId="22" applyFont="1"/>
    <xf numFmtId="3" fontId="29" fillId="0" borderId="0" xfId="22" applyNumberFormat="1" applyFont="1"/>
    <xf numFmtId="4" fontId="28" fillId="0" borderId="0" xfId="22" applyNumberFormat="1" applyFont="1"/>
    <xf numFmtId="14" fontId="28" fillId="0" borderId="0" xfId="22" applyNumberFormat="1" applyFont="1"/>
    <xf numFmtId="3" fontId="28" fillId="0" borderId="1" xfId="22" applyNumberFormat="1" applyFont="1" applyBorder="1" applyAlignment="1">
      <alignment horizontal="center" vertical="center"/>
    </xf>
    <xf numFmtId="0" fontId="28" fillId="0" borderId="1" xfId="22" applyFont="1" applyBorder="1" applyAlignment="1">
      <alignment horizontal="left" vertical="center"/>
    </xf>
    <xf numFmtId="0" fontId="28" fillId="0" borderId="1" xfId="22" applyFont="1" applyBorder="1" applyAlignment="1">
      <alignment horizontal="center" vertical="center"/>
    </xf>
    <xf numFmtId="49" fontId="28" fillId="0" borderId="1" xfId="22" applyNumberFormat="1" applyFont="1" applyBorder="1" applyAlignment="1">
      <alignment horizontal="center" vertical="center"/>
    </xf>
    <xf numFmtId="168" fontId="28" fillId="0" borderId="1" xfId="22" applyNumberFormat="1" applyFont="1" applyBorder="1" applyAlignment="1">
      <alignment horizontal="center" vertical="center"/>
    </xf>
    <xf numFmtId="14" fontId="28" fillId="0" borderId="1" xfId="22" applyNumberFormat="1" applyFont="1" applyBorder="1" applyAlignment="1">
      <alignment horizontal="center" vertical="center"/>
    </xf>
    <xf numFmtId="3" fontId="28" fillId="4" borderId="1" xfId="22" applyNumberFormat="1" applyFont="1" applyFill="1" applyBorder="1" applyAlignment="1">
      <alignment horizontal="center" vertical="center"/>
    </xf>
    <xf numFmtId="0" fontId="28" fillId="0" borderId="1" xfId="23" applyFont="1" applyBorder="1" applyAlignment="1">
      <alignment horizontal="left" vertical="center"/>
    </xf>
    <xf numFmtId="49" fontId="28" fillId="0" borderId="1" xfId="22" applyNumberFormat="1" applyFont="1" applyBorder="1" applyAlignment="1">
      <alignment horizontal="left" vertical="center"/>
    </xf>
    <xf numFmtId="3" fontId="28" fillId="0" borderId="1" xfId="24" applyNumberFormat="1" applyFont="1" applyFill="1" applyBorder="1" applyAlignment="1">
      <alignment horizontal="center" vertical="center"/>
    </xf>
    <xf numFmtId="3" fontId="29" fillId="0" borderId="1" xfId="22" applyNumberFormat="1" applyFont="1" applyBorder="1" applyAlignment="1">
      <alignment horizontal="center" vertical="center"/>
    </xf>
    <xf numFmtId="0" fontId="29" fillId="5" borderId="1" xfId="22" applyFont="1" applyFill="1" applyBorder="1" applyAlignment="1">
      <alignment horizontal="center" vertical="center" wrapText="1"/>
    </xf>
    <xf numFmtId="49" fontId="13" fillId="0" borderId="1" xfId="19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49" fontId="28" fillId="0" borderId="1" xfId="23" applyNumberFormat="1" applyFont="1" applyBorder="1" applyAlignment="1">
      <alignment horizontal="center" vertical="center"/>
    </xf>
    <xf numFmtId="0" fontId="13" fillId="2" borderId="1" xfId="19" applyFont="1" applyFill="1" applyBorder="1" applyAlignment="1">
      <alignment horizontal="center" vertical="center" wrapText="1"/>
    </xf>
    <xf numFmtId="0" fontId="13" fillId="3" borderId="1" xfId="19" applyFont="1" applyFill="1" applyBorder="1" applyAlignment="1">
      <alignment horizontal="center" vertical="center" wrapText="1"/>
    </xf>
    <xf numFmtId="168" fontId="13" fillId="2" borderId="1" xfId="19" applyNumberFormat="1" applyFont="1" applyFill="1" applyBorder="1" applyAlignment="1">
      <alignment horizontal="center" vertical="center" wrapText="1"/>
    </xf>
    <xf numFmtId="0" fontId="13" fillId="2" borderId="6" xfId="19" applyFont="1" applyFill="1" applyBorder="1" applyAlignment="1">
      <alignment horizontal="center" vertical="center" wrapText="1"/>
    </xf>
    <xf numFmtId="0" fontId="13" fillId="2" borderId="7" xfId="19" applyFont="1" applyFill="1" applyBorder="1" applyAlignment="1">
      <alignment horizontal="center" vertical="center" wrapText="1"/>
    </xf>
    <xf numFmtId="0" fontId="13" fillId="2" borderId="8" xfId="19" applyFont="1" applyFill="1" applyBorder="1" applyAlignment="1">
      <alignment horizontal="center" vertical="center" wrapText="1"/>
    </xf>
    <xf numFmtId="0" fontId="22" fillId="3" borderId="1" xfId="19" applyFont="1" applyFill="1" applyBorder="1" applyAlignment="1">
      <alignment horizontal="center" vertical="center" wrapText="1"/>
    </xf>
    <xf numFmtId="0" fontId="18" fillId="0" borderId="2" xfId="19" applyFont="1" applyBorder="1" applyAlignment="1">
      <alignment horizontal="center" vertical="center"/>
    </xf>
    <xf numFmtId="0" fontId="13" fillId="2" borderId="3" xfId="19" applyFont="1" applyFill="1" applyBorder="1" applyAlignment="1">
      <alignment horizontal="center" vertical="center" wrapText="1"/>
    </xf>
    <xf numFmtId="0" fontId="13" fillId="2" borderId="4" xfId="19" applyFont="1" applyFill="1" applyBorder="1" applyAlignment="1">
      <alignment horizontal="center" vertical="center" wrapText="1"/>
    </xf>
    <xf numFmtId="0" fontId="13" fillId="2" borderId="5" xfId="19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49" fontId="12" fillId="2" borderId="1" xfId="1" applyNumberFormat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9" fillId="5" borderId="1" xfId="22" applyFont="1" applyFill="1" applyBorder="1" applyAlignment="1">
      <alignment horizontal="center" vertical="center" wrapText="1"/>
    </xf>
    <xf numFmtId="4" fontId="29" fillId="5" borderId="1" xfId="22" applyNumberFormat="1" applyFont="1" applyFill="1" applyBorder="1" applyAlignment="1">
      <alignment horizontal="center" vertical="center" wrapText="1"/>
    </xf>
    <xf numFmtId="14" fontId="29" fillId="5" borderId="1" xfId="22" applyNumberFormat="1" applyFont="1" applyFill="1" applyBorder="1" applyAlignment="1">
      <alignment horizontal="center" vertical="center" wrapText="1"/>
    </xf>
    <xf numFmtId="3" fontId="29" fillId="5" borderId="1" xfId="22" applyNumberFormat="1" applyFont="1" applyFill="1" applyBorder="1" applyAlignment="1">
      <alignment horizontal="center" vertical="center" wrapText="1"/>
    </xf>
  </cellXfs>
  <cellStyles count="25">
    <cellStyle name="Обычный" xfId="0" builtinId="0"/>
    <cellStyle name="Обычный 2" xfId="1" xr:uid="{00000000-0005-0000-0000-000001000000}"/>
    <cellStyle name="Обычный 2 2" xfId="5" xr:uid="{00000000-0005-0000-0000-000002000000}"/>
    <cellStyle name="Обычный 2 2 2" xfId="19" xr:uid="{68E85340-B840-4228-8DEA-6EE6E1EE8D31}"/>
    <cellStyle name="Обычный 2 2 2 2 2" xfId="18" xr:uid="{00000000-0005-0000-0000-000003000000}"/>
    <cellStyle name="Обычный 2 3" xfId="12" xr:uid="{00000000-0005-0000-0000-000004000000}"/>
    <cellStyle name="Обычный 2 4" xfId="23" xr:uid="{9B3E5171-0FFB-46B2-8A93-1292303F8177}"/>
    <cellStyle name="Обычный 3" xfId="6" xr:uid="{00000000-0005-0000-0000-000005000000}"/>
    <cellStyle name="Обычный 3 2 2" xfId="3" xr:uid="{00000000-0005-0000-0000-000006000000}"/>
    <cellStyle name="Обычный 3 5 2 2" xfId="11" xr:uid="{00000000-0005-0000-0000-000007000000}"/>
    <cellStyle name="Обычный 4" xfId="16" xr:uid="{00000000-0005-0000-0000-000008000000}"/>
    <cellStyle name="Обычный 4 7" xfId="13" xr:uid="{00000000-0005-0000-0000-000009000000}"/>
    <cellStyle name="Обычный 5" xfId="22" xr:uid="{76E1D02B-5547-4757-9686-E17C98216A8E}"/>
    <cellStyle name="Процентный 2" xfId="8" xr:uid="{00000000-0005-0000-0000-00000A000000}"/>
    <cellStyle name="Процентный 3" xfId="17" xr:uid="{00000000-0005-0000-0000-00000B000000}"/>
    <cellStyle name="Процентный 4" xfId="20" xr:uid="{49486F38-918A-428D-81C7-F2662D7F4E3E}"/>
    <cellStyle name="Процентный 4 2" xfId="21" xr:uid="{8B73A453-B88A-4A72-BD35-1314F7F0E868}"/>
    <cellStyle name="Финансовый [0] 2" xfId="2" xr:uid="{00000000-0005-0000-0000-00000C000000}"/>
    <cellStyle name="Финансовый [0] 2 2" xfId="4" xr:uid="{00000000-0005-0000-0000-00000D000000}"/>
    <cellStyle name="Финансовый [0] 2 3" xfId="9" xr:uid="{00000000-0005-0000-0000-00000E000000}"/>
    <cellStyle name="Финансовый [0] 2 3 2" xfId="10" xr:uid="{00000000-0005-0000-0000-00000F000000}"/>
    <cellStyle name="Финансовый 10" xfId="7" xr:uid="{00000000-0005-0000-0000-000010000000}"/>
    <cellStyle name="Финансовый 2" xfId="14" xr:uid="{00000000-0005-0000-0000-000011000000}"/>
    <cellStyle name="Финансовый 2 2" xfId="15" xr:uid="{00000000-0005-0000-0000-000012000000}"/>
    <cellStyle name="Финансовый 3" xfId="24" xr:uid="{4A22B1F5-0CEE-4230-9318-B4CA33378126}"/>
  </cellStyles>
  <dxfs count="5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B9E3-7187-4D36-87EF-77252FBB4735}">
  <sheetPr>
    <tabColor rgb="FFFFFF00"/>
    <pageSetUpPr fitToPage="1"/>
  </sheetPr>
  <dimension ref="A1:BO100"/>
  <sheetViews>
    <sheetView view="pageBreakPreview" zoomScale="55" zoomScaleNormal="115" zoomScaleSheetLayoutView="55" workbookViewId="0">
      <pane xSplit="4" ySplit="6" topLeftCell="E7" activePane="bottomRight" state="frozen"/>
      <selection activeCell="D8" sqref="D8"/>
      <selection pane="topRight" activeCell="D8" sqref="D8"/>
      <selection pane="bottomLeft" activeCell="D8" sqref="D8"/>
      <selection pane="bottomRight" activeCell="E7" sqref="E7"/>
    </sheetView>
  </sheetViews>
  <sheetFormatPr defaultColWidth="15" defaultRowHeight="18.75" x14ac:dyDescent="0.25"/>
  <cols>
    <col min="1" max="1" width="5.7109375" style="24" customWidth="1"/>
    <col min="2" max="3" width="30.85546875" style="25" customWidth="1"/>
    <col min="4" max="4" width="9.5703125" style="24" customWidth="1"/>
    <col min="5" max="5" width="31.42578125" style="24" customWidth="1"/>
    <col min="6" max="6" width="12.7109375" style="24" customWidth="1"/>
    <col min="7" max="7" width="15.7109375" style="24" customWidth="1"/>
    <col min="8" max="8" width="12.7109375" style="24" customWidth="1"/>
    <col min="9" max="9" width="15.7109375" style="24" customWidth="1"/>
    <col min="10" max="11" width="12.7109375" style="24" customWidth="1"/>
    <col min="12" max="12" width="15.7109375" style="24" customWidth="1"/>
    <col min="13" max="13" width="12.7109375" style="24" customWidth="1"/>
    <col min="14" max="14" width="15.7109375" style="24" customWidth="1"/>
    <col min="15" max="16" width="12.7109375" style="24" customWidth="1"/>
    <col min="17" max="17" width="15.7109375" style="24" customWidth="1"/>
    <col min="18" max="18" width="12.7109375" style="24" customWidth="1"/>
    <col min="19" max="19" width="15.7109375" style="24" customWidth="1"/>
    <col min="20" max="21" width="12.7109375" style="24" customWidth="1"/>
    <col min="22" max="22" width="15.7109375" style="24" customWidth="1"/>
    <col min="23" max="23" width="12.7109375" style="24" customWidth="1"/>
    <col min="24" max="24" width="15.7109375" style="24" customWidth="1"/>
    <col min="25" max="26" width="12.7109375" style="24" customWidth="1"/>
    <col min="27" max="27" width="15.7109375" style="24" customWidth="1"/>
    <col min="28" max="28" width="12.7109375" style="24" customWidth="1"/>
    <col min="29" max="29" width="15.7109375" style="24" customWidth="1"/>
    <col min="30" max="31" width="12.7109375" style="24" customWidth="1"/>
    <col min="32" max="32" width="15.7109375" style="24" customWidth="1"/>
    <col min="33" max="33" width="15.28515625" style="24" customWidth="1"/>
    <col min="34" max="34" width="15.7109375" style="24" customWidth="1"/>
    <col min="35" max="36" width="12.7109375" style="24" customWidth="1"/>
    <col min="37" max="37" width="15.7109375" style="24" customWidth="1"/>
    <col min="38" max="38" width="12.7109375" style="24" customWidth="1"/>
    <col min="39" max="39" width="15.7109375" style="24" customWidth="1"/>
    <col min="40" max="41" width="12.7109375" style="24" customWidth="1"/>
    <col min="42" max="42" width="15.7109375" style="24" customWidth="1"/>
    <col min="43" max="43" width="12.7109375" style="24" customWidth="1"/>
    <col min="44" max="44" width="15.7109375" style="24" customWidth="1"/>
    <col min="45" max="45" width="12.7109375" style="24" customWidth="1"/>
    <col min="46" max="46" width="12.7109375" style="24" customWidth="1" collapsed="1"/>
    <col min="47" max="47" width="15.7109375" style="24" customWidth="1"/>
    <col min="48" max="48" width="12.7109375" style="24" customWidth="1"/>
    <col min="49" max="49" width="15.7109375" style="24" customWidth="1"/>
    <col min="50" max="50" width="12.7109375" style="24" customWidth="1"/>
    <col min="51" max="51" width="12.7109375" style="24" customWidth="1" collapsed="1"/>
    <col min="52" max="52" width="15.7109375" style="24" customWidth="1"/>
    <col min="53" max="53" width="12.7109375" style="24" customWidth="1"/>
    <col min="54" max="54" width="15.7109375" style="24" customWidth="1"/>
    <col min="55" max="56" width="12.7109375" style="24" customWidth="1"/>
    <col min="57" max="57" width="15.7109375" style="24" customWidth="1"/>
    <col min="58" max="58" width="12.7109375" style="24" customWidth="1"/>
    <col min="59" max="59" width="15.7109375" style="24" customWidth="1"/>
    <col min="60" max="61" width="12.7109375" style="24" customWidth="1"/>
    <col min="62" max="62" width="15.7109375" style="24" customWidth="1"/>
    <col min="63" max="63" width="12.7109375" style="24" customWidth="1"/>
    <col min="64" max="64" width="15.7109375" style="24" customWidth="1"/>
    <col min="65" max="65" width="12.7109375" style="24" customWidth="1"/>
    <col min="66" max="67" width="17.140625" style="24" hidden="1" customWidth="1"/>
    <col min="68" max="68" width="15" style="24" customWidth="1"/>
    <col min="69" max="16384" width="15" style="24"/>
  </cols>
  <sheetData>
    <row r="1" spans="1:67" s="23" customFormat="1" ht="47.25" customHeight="1" x14ac:dyDescent="0.25">
      <c r="A1" s="21" t="s">
        <v>2007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</row>
    <row r="2" spans="1:67" x14ac:dyDescent="0.25">
      <c r="J2" s="26"/>
      <c r="AX2" s="27"/>
      <c r="BC2" s="27"/>
      <c r="BH2" s="27"/>
      <c r="BL2" s="75" t="s">
        <v>2008</v>
      </c>
      <c r="BM2" s="75"/>
      <c r="BN2" s="27"/>
      <c r="BO2" s="27" t="s">
        <v>2008</v>
      </c>
    </row>
    <row r="3" spans="1:67" s="29" customFormat="1" ht="46.5" customHeight="1" x14ac:dyDescent="0.25">
      <c r="A3" s="68" t="s">
        <v>0</v>
      </c>
      <c r="B3" s="68" t="s">
        <v>2032</v>
      </c>
      <c r="C3" s="68" t="s">
        <v>2009</v>
      </c>
      <c r="D3" s="68" t="s">
        <v>2010</v>
      </c>
      <c r="E3" s="71" t="s">
        <v>2011</v>
      </c>
      <c r="F3" s="68" t="s">
        <v>2012</v>
      </c>
      <c r="G3" s="68"/>
      <c r="H3" s="68"/>
      <c r="I3" s="68"/>
      <c r="J3" s="68"/>
      <c r="K3" s="68" t="s">
        <v>2013</v>
      </c>
      <c r="L3" s="68"/>
      <c r="M3" s="68"/>
      <c r="N3" s="68"/>
      <c r="O3" s="68"/>
      <c r="P3" s="68" t="s">
        <v>2014</v>
      </c>
      <c r="Q3" s="68"/>
      <c r="R3" s="68"/>
      <c r="S3" s="68"/>
      <c r="T3" s="68"/>
      <c r="U3" s="68" t="s">
        <v>2015</v>
      </c>
      <c r="V3" s="68"/>
      <c r="W3" s="68"/>
      <c r="X3" s="68"/>
      <c r="Y3" s="68"/>
      <c r="Z3" s="68" t="s">
        <v>2016</v>
      </c>
      <c r="AA3" s="68"/>
      <c r="AB3" s="68"/>
      <c r="AC3" s="68"/>
      <c r="AD3" s="68"/>
      <c r="AE3" s="68" t="s">
        <v>2017</v>
      </c>
      <c r="AF3" s="68"/>
      <c r="AG3" s="68"/>
      <c r="AH3" s="68"/>
      <c r="AI3" s="68"/>
      <c r="AJ3" s="68" t="s">
        <v>2018</v>
      </c>
      <c r="AK3" s="68"/>
      <c r="AL3" s="68"/>
      <c r="AM3" s="68"/>
      <c r="AN3" s="68"/>
      <c r="AO3" s="68" t="s">
        <v>2019</v>
      </c>
      <c r="AP3" s="68"/>
      <c r="AQ3" s="68"/>
      <c r="AR3" s="68"/>
      <c r="AS3" s="68"/>
      <c r="AT3" s="68" t="s">
        <v>2020</v>
      </c>
      <c r="AU3" s="68"/>
      <c r="AV3" s="68"/>
      <c r="AW3" s="68"/>
      <c r="AX3" s="68"/>
      <c r="AY3" s="68" t="s">
        <v>2021</v>
      </c>
      <c r="AZ3" s="68"/>
      <c r="BA3" s="68"/>
      <c r="BB3" s="68"/>
      <c r="BC3" s="68"/>
      <c r="BD3" s="68" t="s">
        <v>2022</v>
      </c>
      <c r="BE3" s="68"/>
      <c r="BF3" s="68"/>
      <c r="BG3" s="68"/>
      <c r="BH3" s="68"/>
      <c r="BI3" s="68" t="s">
        <v>2023</v>
      </c>
      <c r="BJ3" s="68"/>
      <c r="BK3" s="68"/>
      <c r="BL3" s="68"/>
      <c r="BM3" s="68"/>
      <c r="BN3" s="74" t="s">
        <v>2024</v>
      </c>
      <c r="BO3" s="74"/>
    </row>
    <row r="4" spans="1:67" s="29" customFormat="1" ht="39.75" customHeight="1" x14ac:dyDescent="0.25">
      <c r="A4" s="68"/>
      <c r="B4" s="68"/>
      <c r="C4" s="68"/>
      <c r="D4" s="68"/>
      <c r="E4" s="72"/>
      <c r="F4" s="70" t="s">
        <v>2025</v>
      </c>
      <c r="G4" s="70"/>
      <c r="H4" s="68" t="s">
        <v>2026</v>
      </c>
      <c r="I4" s="68"/>
      <c r="J4" s="68"/>
      <c r="K4" s="70" t="s">
        <v>2025</v>
      </c>
      <c r="L4" s="70"/>
      <c r="M4" s="68" t="s">
        <v>2026</v>
      </c>
      <c r="N4" s="68"/>
      <c r="O4" s="68"/>
      <c r="P4" s="70" t="s">
        <v>2025</v>
      </c>
      <c r="Q4" s="70"/>
      <c r="R4" s="68" t="s">
        <v>2026</v>
      </c>
      <c r="S4" s="68"/>
      <c r="T4" s="68"/>
      <c r="U4" s="70" t="s">
        <v>2025</v>
      </c>
      <c r="V4" s="70"/>
      <c r="W4" s="68" t="s">
        <v>2026</v>
      </c>
      <c r="X4" s="68"/>
      <c r="Y4" s="68"/>
      <c r="Z4" s="70" t="s">
        <v>2025</v>
      </c>
      <c r="AA4" s="70"/>
      <c r="AB4" s="68" t="s">
        <v>2026</v>
      </c>
      <c r="AC4" s="68"/>
      <c r="AD4" s="68"/>
      <c r="AE4" s="70" t="s">
        <v>2025</v>
      </c>
      <c r="AF4" s="70"/>
      <c r="AG4" s="68" t="s">
        <v>2026</v>
      </c>
      <c r="AH4" s="68"/>
      <c r="AI4" s="68"/>
      <c r="AJ4" s="70" t="s">
        <v>2025</v>
      </c>
      <c r="AK4" s="70"/>
      <c r="AL4" s="68" t="s">
        <v>2026</v>
      </c>
      <c r="AM4" s="68"/>
      <c r="AN4" s="68"/>
      <c r="AO4" s="70" t="s">
        <v>2025</v>
      </c>
      <c r="AP4" s="70"/>
      <c r="AQ4" s="68" t="s">
        <v>2026</v>
      </c>
      <c r="AR4" s="68"/>
      <c r="AS4" s="68"/>
      <c r="AT4" s="70" t="s">
        <v>2025</v>
      </c>
      <c r="AU4" s="70"/>
      <c r="AV4" s="68" t="s">
        <v>2026</v>
      </c>
      <c r="AW4" s="68"/>
      <c r="AX4" s="68"/>
      <c r="AY4" s="70" t="s">
        <v>2025</v>
      </c>
      <c r="AZ4" s="70"/>
      <c r="BA4" s="68" t="s">
        <v>2026</v>
      </c>
      <c r="BB4" s="68"/>
      <c r="BC4" s="68"/>
      <c r="BD4" s="70" t="s">
        <v>2025</v>
      </c>
      <c r="BE4" s="70"/>
      <c r="BF4" s="68" t="s">
        <v>2026</v>
      </c>
      <c r="BG4" s="68"/>
      <c r="BH4" s="68"/>
      <c r="BI4" s="70" t="s">
        <v>2025</v>
      </c>
      <c r="BJ4" s="70"/>
      <c r="BK4" s="68" t="s">
        <v>2026</v>
      </c>
      <c r="BL4" s="68"/>
      <c r="BM4" s="68"/>
      <c r="BN4" s="69" t="s">
        <v>2027</v>
      </c>
      <c r="BO4" s="69" t="s">
        <v>2028</v>
      </c>
    </row>
    <row r="5" spans="1:67" s="29" customFormat="1" ht="27" customHeight="1" x14ac:dyDescent="0.25">
      <c r="A5" s="68"/>
      <c r="B5" s="68"/>
      <c r="C5" s="68"/>
      <c r="D5" s="68"/>
      <c r="E5" s="73"/>
      <c r="F5" s="30" t="s">
        <v>2029</v>
      </c>
      <c r="G5" s="30" t="s">
        <v>2030</v>
      </c>
      <c r="H5" s="30" t="s">
        <v>2029</v>
      </c>
      <c r="I5" s="30" t="s">
        <v>2030</v>
      </c>
      <c r="J5" s="28" t="s">
        <v>2031</v>
      </c>
      <c r="K5" s="30" t="s">
        <v>2029</v>
      </c>
      <c r="L5" s="30" t="s">
        <v>2030</v>
      </c>
      <c r="M5" s="30" t="s">
        <v>2029</v>
      </c>
      <c r="N5" s="30" t="s">
        <v>2030</v>
      </c>
      <c r="O5" s="28" t="s">
        <v>2031</v>
      </c>
      <c r="P5" s="30" t="s">
        <v>2029</v>
      </c>
      <c r="Q5" s="30" t="s">
        <v>2030</v>
      </c>
      <c r="R5" s="30" t="s">
        <v>2029</v>
      </c>
      <c r="S5" s="30" t="s">
        <v>2030</v>
      </c>
      <c r="T5" s="28" t="s">
        <v>2031</v>
      </c>
      <c r="U5" s="30" t="s">
        <v>2029</v>
      </c>
      <c r="V5" s="30" t="s">
        <v>2030</v>
      </c>
      <c r="W5" s="30" t="s">
        <v>2029</v>
      </c>
      <c r="X5" s="30" t="s">
        <v>2030</v>
      </c>
      <c r="Y5" s="28" t="s">
        <v>2031</v>
      </c>
      <c r="Z5" s="30" t="s">
        <v>2029</v>
      </c>
      <c r="AA5" s="30" t="s">
        <v>2030</v>
      </c>
      <c r="AB5" s="30" t="s">
        <v>2029</v>
      </c>
      <c r="AC5" s="30" t="s">
        <v>2030</v>
      </c>
      <c r="AD5" s="28" t="s">
        <v>2031</v>
      </c>
      <c r="AE5" s="30" t="s">
        <v>2029</v>
      </c>
      <c r="AF5" s="30" t="s">
        <v>2030</v>
      </c>
      <c r="AG5" s="30" t="s">
        <v>2029</v>
      </c>
      <c r="AH5" s="30" t="s">
        <v>2030</v>
      </c>
      <c r="AI5" s="28" t="s">
        <v>2031</v>
      </c>
      <c r="AJ5" s="30" t="s">
        <v>2029</v>
      </c>
      <c r="AK5" s="30" t="s">
        <v>2030</v>
      </c>
      <c r="AL5" s="30" t="s">
        <v>2029</v>
      </c>
      <c r="AM5" s="30" t="s">
        <v>2030</v>
      </c>
      <c r="AN5" s="28" t="s">
        <v>2031</v>
      </c>
      <c r="AO5" s="30" t="s">
        <v>2029</v>
      </c>
      <c r="AP5" s="30" t="s">
        <v>2030</v>
      </c>
      <c r="AQ5" s="30" t="s">
        <v>2029</v>
      </c>
      <c r="AR5" s="30" t="s">
        <v>2030</v>
      </c>
      <c r="AS5" s="28" t="s">
        <v>2031</v>
      </c>
      <c r="AT5" s="30" t="s">
        <v>2029</v>
      </c>
      <c r="AU5" s="30" t="s">
        <v>2030</v>
      </c>
      <c r="AV5" s="30" t="s">
        <v>2029</v>
      </c>
      <c r="AW5" s="30" t="s">
        <v>2030</v>
      </c>
      <c r="AX5" s="28" t="s">
        <v>2031</v>
      </c>
      <c r="AY5" s="30" t="s">
        <v>2029</v>
      </c>
      <c r="AZ5" s="30" t="s">
        <v>2030</v>
      </c>
      <c r="BA5" s="30" t="s">
        <v>2029</v>
      </c>
      <c r="BB5" s="30" t="s">
        <v>2030</v>
      </c>
      <c r="BC5" s="28" t="s">
        <v>2031</v>
      </c>
      <c r="BD5" s="30" t="s">
        <v>2029</v>
      </c>
      <c r="BE5" s="30" t="s">
        <v>2030</v>
      </c>
      <c r="BF5" s="30" t="s">
        <v>2029</v>
      </c>
      <c r="BG5" s="30" t="s">
        <v>2030</v>
      </c>
      <c r="BH5" s="28" t="s">
        <v>2031</v>
      </c>
      <c r="BI5" s="30" t="s">
        <v>2029</v>
      </c>
      <c r="BJ5" s="30" t="s">
        <v>2030</v>
      </c>
      <c r="BK5" s="30" t="s">
        <v>2029</v>
      </c>
      <c r="BL5" s="30" t="s">
        <v>2030</v>
      </c>
      <c r="BM5" s="28" t="s">
        <v>2031</v>
      </c>
      <c r="BN5" s="69"/>
      <c r="BO5" s="69"/>
    </row>
    <row r="6" spans="1:67" s="37" customFormat="1" ht="35.1" customHeight="1" x14ac:dyDescent="0.25">
      <c r="A6" s="31"/>
      <c r="B6" s="32" t="s">
        <v>2025</v>
      </c>
      <c r="C6" s="32"/>
      <c r="D6" s="32"/>
      <c r="E6" s="32"/>
      <c r="F6" s="33">
        <f>+SUM(F7:F100)</f>
        <v>369745</v>
      </c>
      <c r="G6" s="33">
        <f t="shared" ref="G6:I6" si="0">+SUM(G7:G100)</f>
        <v>27646422.714448757</v>
      </c>
      <c r="H6" s="33">
        <f t="shared" si="0"/>
        <v>11370</v>
      </c>
      <c r="I6" s="33">
        <f t="shared" si="0"/>
        <v>1429287.7447320705</v>
      </c>
      <c r="J6" s="34">
        <f>+IFERROR(I6/G6,"")</f>
        <v>5.1698831327826246E-2</v>
      </c>
      <c r="K6" s="33">
        <f t="shared" ref="K6" si="1">+SUM(K7:K100)</f>
        <v>384125</v>
      </c>
      <c r="L6" s="33">
        <f t="shared" ref="L6" si="2">+SUM(L7:L100)</f>
        <v>27827556.374560885</v>
      </c>
      <c r="M6" s="33">
        <f t="shared" ref="M6" si="3">+SUM(M7:M100)</f>
        <v>14202</v>
      </c>
      <c r="N6" s="33">
        <f t="shared" ref="N6" si="4">+SUM(N7:N100)</f>
        <v>1767016.61609999</v>
      </c>
      <c r="O6" s="34">
        <f>+IFERROR(N6/L6,"")</f>
        <v>6.3498806446236997E-2</v>
      </c>
      <c r="P6" s="33">
        <f t="shared" ref="P6" si="5">+SUM(P7:P100)</f>
        <v>390839</v>
      </c>
      <c r="Q6" s="33">
        <f t="shared" ref="Q6" si="6">+SUM(Q7:Q100)</f>
        <v>27563848.584655438</v>
      </c>
      <c r="R6" s="33">
        <f t="shared" ref="R6" si="7">+SUM(R7:R100)</f>
        <v>14916</v>
      </c>
      <c r="S6" s="33">
        <f t="shared" ref="S6" si="8">+SUM(S7:S100)</f>
        <v>1547665.6249733304</v>
      </c>
      <c r="T6" s="34">
        <f>+IFERROR(S6/Q6,"")</f>
        <v>5.6148386544065648E-2</v>
      </c>
      <c r="U6" s="33">
        <f t="shared" ref="U6" si="9">+SUM(U7:U100)</f>
        <v>370390</v>
      </c>
      <c r="V6" s="33">
        <f t="shared" ref="V6" si="10">+SUM(V7:V100)</f>
        <v>27302574.552733257</v>
      </c>
      <c r="W6" s="33">
        <f t="shared" ref="W6" si="11">+SUM(W7:W100)</f>
        <v>14717</v>
      </c>
      <c r="X6" s="33">
        <f t="shared" ref="X6" si="12">+SUM(X7:X100)</f>
        <v>2170089.5275490396</v>
      </c>
      <c r="Y6" s="34">
        <f>+IFERROR(X6/V6,"")</f>
        <v>7.9482963167361531E-2</v>
      </c>
      <c r="Z6" s="33">
        <f t="shared" ref="Z6" si="13">+SUM(Z7:Z100)</f>
        <v>397255</v>
      </c>
      <c r="AA6" s="33">
        <f t="shared" ref="AA6" si="14">+SUM(AA7:AA100)</f>
        <v>27299671.296394803</v>
      </c>
      <c r="AB6" s="33">
        <f t="shared" ref="AB6" si="15">+SUM(AB7:AB100)</f>
        <v>15795</v>
      </c>
      <c r="AC6" s="33">
        <f t="shared" ref="AC6" si="16">+SUM(AC7:AC100)</f>
        <v>2155745.9441198199</v>
      </c>
      <c r="AD6" s="34">
        <f>+IFERROR(AC6/AA6,"")</f>
        <v>7.896600368241459E-2</v>
      </c>
      <c r="AE6" s="33">
        <f t="shared" ref="AE6" si="17">+SUM(AE7:AE100)</f>
        <v>402785</v>
      </c>
      <c r="AF6" s="33">
        <f t="shared" ref="AF6" si="18">+SUM(AF7:AF100)</f>
        <v>27581450.374260191</v>
      </c>
      <c r="AG6" s="33">
        <f t="shared" ref="AG6" si="19">+SUM(AG7:AG100)</f>
        <v>16756</v>
      </c>
      <c r="AH6" s="33">
        <f t="shared" ref="AH6" si="20">+SUM(AH7:AH100)</f>
        <v>2102415.8431701493</v>
      </c>
      <c r="AI6" s="34">
        <f>+IFERROR(AH6/AF6,"")</f>
        <v>7.6225717452922073E-2</v>
      </c>
      <c r="AJ6" s="33">
        <f t="shared" ref="AJ6" si="21">+SUM(AJ7:AJ100)</f>
        <v>419401</v>
      </c>
      <c r="AK6" s="33">
        <f t="shared" ref="AK6" si="22">+SUM(AK7:AK100)</f>
        <v>27908145.709644731</v>
      </c>
      <c r="AL6" s="33">
        <f t="shared" ref="AL6" si="23">+SUM(AL7:AL100)</f>
        <v>17714</v>
      </c>
      <c r="AM6" s="33">
        <f t="shared" ref="AM6" si="24">+SUM(AM7:AM100)</f>
        <v>1985385.219090929</v>
      </c>
      <c r="AN6" s="34">
        <f>+IFERROR(AM6/AK6,"")</f>
        <v>7.1139990443894061E-2</v>
      </c>
      <c r="AO6" s="33">
        <f t="shared" ref="AO6" si="25">+SUM(AO7:AO100)</f>
        <v>421212</v>
      </c>
      <c r="AP6" s="33">
        <f t="shared" ref="AP6" si="26">+SUM(AP7:AP100)</f>
        <v>28375892.798766579</v>
      </c>
      <c r="AQ6" s="33">
        <f t="shared" ref="AQ6" si="27">+SUM(AQ7:AQ100)</f>
        <v>16876</v>
      </c>
      <c r="AR6" s="33">
        <f t="shared" ref="AR6" si="28">+SUM(AR7:AR100)</f>
        <v>2146474.4020527499</v>
      </c>
      <c r="AS6" s="34">
        <f>+IFERROR(AR6/AP6,"")</f>
        <v>7.5644294869412917E-2</v>
      </c>
      <c r="AT6" s="33">
        <f t="shared" ref="AT6" si="29">+SUM(AT7:AT100)</f>
        <v>435936</v>
      </c>
      <c r="AU6" s="33">
        <f t="shared" ref="AU6" si="30">+SUM(AU7:AU100)</f>
        <v>28642266.615252241</v>
      </c>
      <c r="AV6" s="33">
        <f t="shared" ref="AV6" si="31">+SUM(AV7:AV100)</f>
        <v>19499</v>
      </c>
      <c r="AW6" s="33">
        <f t="shared" ref="AW6" si="32">+SUM(AW7:AW100)</f>
        <v>2197555.4862930002</v>
      </c>
      <c r="AX6" s="34">
        <f>+IFERROR(AW6/AU6,"")</f>
        <v>7.6724217249021204E-2</v>
      </c>
      <c r="AY6" s="33">
        <f t="shared" ref="AY6" si="33">+SUM(AY7:AY100)</f>
        <v>440425</v>
      </c>
      <c r="AZ6" s="33">
        <f t="shared" ref="AZ6" si="34">+SUM(AZ7:AZ100)</f>
        <v>29503768.148481131</v>
      </c>
      <c r="BA6" s="33">
        <f t="shared" ref="BA6" si="35">+SUM(BA7:BA100)</f>
        <v>23185</v>
      </c>
      <c r="BB6" s="33">
        <f t="shared" ref="BB6" si="36">+SUM(BB7:BB100)</f>
        <v>2677454.1227332707</v>
      </c>
      <c r="BC6" s="34">
        <f>+IFERROR(BB6/AZ6,"")</f>
        <v>9.0749564911799488E-2</v>
      </c>
      <c r="BD6" s="33">
        <f t="shared" ref="BD6" si="37">+SUM(BD7:BD100)</f>
        <v>444685</v>
      </c>
      <c r="BE6" s="33">
        <f t="shared" ref="BE6" si="38">+SUM(BE7:BE100)</f>
        <v>27213656.524633996</v>
      </c>
      <c r="BF6" s="33">
        <f t="shared" ref="BF6" si="39">+SUM(BF7:BF100)</f>
        <v>24384</v>
      </c>
      <c r="BG6" s="33">
        <f t="shared" ref="BG6" si="40">+SUM(BG7:BG100)</f>
        <v>2277809.0681138202</v>
      </c>
      <c r="BH6" s="34">
        <f>+IFERROR(BG6/BE6,"")</f>
        <v>8.3700956027424361E-2</v>
      </c>
      <c r="BI6" s="33">
        <f t="shared" ref="BI6" si="41">+SUM(BI7:BI100)</f>
        <v>442834</v>
      </c>
      <c r="BJ6" s="33">
        <f t="shared" ref="BJ6" si="42">+SUM(BJ7:BJ100)</f>
        <v>26722903.195275597</v>
      </c>
      <c r="BK6" s="33">
        <f t="shared" ref="BK6" si="43">+SUM(BK7:BK100)</f>
        <v>24381</v>
      </c>
      <c r="BL6" s="33">
        <f t="shared" ref="BL6" si="44">+SUM(BL7:BL100)</f>
        <v>2363142.02164758</v>
      </c>
      <c r="BM6" s="34">
        <f>+IFERROR(BL6/BJ6,"")</f>
        <v>8.8431335636667094E-2</v>
      </c>
      <c r="BN6" s="36" t="e">
        <f>+#REF!+#REF!+#REF!+#REF!+#REF!+#REF!+#REF!+#REF!+#REF!+#REF!+#REF!+#REF!+#REF!+#REF!</f>
        <v>#REF!</v>
      </c>
      <c r="BO6" s="36" t="e">
        <f>+#REF!+#REF!+#REF!+#REF!+#REF!+#REF!+#REF!+#REF!+#REF!+#REF!+#REF!+#REF!+#REF!+#REF!</f>
        <v>#REF!</v>
      </c>
    </row>
    <row r="7" spans="1:67" s="29" customFormat="1" ht="35.1" customHeight="1" x14ac:dyDescent="0.25">
      <c r="A7" s="38">
        <v>1</v>
      </c>
      <c r="B7" s="45" t="s">
        <v>2033</v>
      </c>
      <c r="C7" s="45" t="s">
        <v>2034</v>
      </c>
      <c r="D7" s="64">
        <v>11253</v>
      </c>
      <c r="E7" s="45" t="s">
        <v>2035</v>
      </c>
      <c r="F7" s="41">
        <v>1281</v>
      </c>
      <c r="G7" s="41">
        <v>979588.9319371708</v>
      </c>
      <c r="H7" s="41">
        <v>42</v>
      </c>
      <c r="I7" s="41">
        <v>100639.86118034003</v>
      </c>
      <c r="J7" s="40">
        <f t="shared" ref="J7:J84" si="45">+IFERROR(I7/G7,"")</f>
        <v>0.10273682960190376</v>
      </c>
      <c r="K7" s="41">
        <v>1392</v>
      </c>
      <c r="L7" s="41">
        <v>958820.63811100973</v>
      </c>
      <c r="M7" s="41">
        <v>45</v>
      </c>
      <c r="N7" s="41">
        <v>138970.82975319994</v>
      </c>
      <c r="O7" s="40">
        <f t="shared" ref="O7:O84" si="46">+IFERROR(N7/L7,"")</f>
        <v>0.14493933925638997</v>
      </c>
      <c r="P7" s="41">
        <v>1537</v>
      </c>
      <c r="Q7" s="41">
        <v>944607.5980992699</v>
      </c>
      <c r="R7" s="41">
        <v>41</v>
      </c>
      <c r="S7" s="41">
        <v>132262.54268114999</v>
      </c>
      <c r="T7" s="40">
        <f t="shared" ref="T7:T84" si="47">+IFERROR(S7/Q7,"")</f>
        <v>0.14001850392404991</v>
      </c>
      <c r="U7" s="41">
        <v>1647</v>
      </c>
      <c r="V7" s="41">
        <v>922097.44517070975</v>
      </c>
      <c r="W7" s="41">
        <v>43</v>
      </c>
      <c r="X7" s="41">
        <v>136355.81560488002</v>
      </c>
      <c r="Y7" s="40">
        <f t="shared" ref="Y7:Y84" si="48">+IFERROR(X7/V7,"")</f>
        <v>0.14787571131339181</v>
      </c>
      <c r="Z7" s="41">
        <v>1814</v>
      </c>
      <c r="AA7" s="41">
        <v>919327.85293527995</v>
      </c>
      <c r="AB7" s="41">
        <v>47</v>
      </c>
      <c r="AC7" s="41">
        <v>132527.74092666002</v>
      </c>
      <c r="AD7" s="40">
        <f t="shared" ref="AD7:AD84" si="49">+IFERROR(AC7/AA7,"")</f>
        <v>0.1441572127979352</v>
      </c>
      <c r="AE7" s="44">
        <v>1958</v>
      </c>
      <c r="AF7" s="44">
        <v>909135.52417186834</v>
      </c>
      <c r="AG7" s="44">
        <v>49</v>
      </c>
      <c r="AH7" s="44">
        <v>118952.57847713999</v>
      </c>
      <c r="AI7" s="40">
        <f t="shared" ref="AI7:AI84" si="50">+IFERROR(AH7/AF7,"")</f>
        <v>0.13084141507449498</v>
      </c>
      <c r="AJ7" s="44">
        <v>2036</v>
      </c>
      <c r="AK7" s="44">
        <v>853058.50165235833</v>
      </c>
      <c r="AL7" s="44">
        <v>49</v>
      </c>
      <c r="AM7" s="44">
        <v>91456.845318560023</v>
      </c>
      <c r="AN7" s="40">
        <f t="shared" ref="AN7:AN84" si="51">+IFERROR(AM7/AK7,"")</f>
        <v>0.10721051972568098</v>
      </c>
      <c r="AO7" s="44">
        <v>2176</v>
      </c>
      <c r="AP7" s="44">
        <v>998963.75476256001</v>
      </c>
      <c r="AQ7" s="44">
        <v>47</v>
      </c>
      <c r="AR7" s="44">
        <v>90164.137466500004</v>
      </c>
      <c r="AS7" s="40">
        <f t="shared" ref="AS7:AS84" si="52">+IFERROR(AR7/AP7,"")</f>
        <v>9.025766654359825E-2</v>
      </c>
      <c r="AT7" s="44">
        <v>2316</v>
      </c>
      <c r="AU7" s="44">
        <v>996073.35316049727</v>
      </c>
      <c r="AV7" s="44">
        <v>50</v>
      </c>
      <c r="AW7" s="44">
        <v>97297.208789700031</v>
      </c>
      <c r="AX7" s="40">
        <f t="shared" ref="AX7:AX84" si="53">+IFERROR(AW7/AU7,"")</f>
        <v>9.7680766663399074E-2</v>
      </c>
      <c r="AY7" s="41">
        <v>2395</v>
      </c>
      <c r="AZ7" s="41">
        <v>991762.48408690083</v>
      </c>
      <c r="BA7" s="41">
        <v>56</v>
      </c>
      <c r="BB7" s="41">
        <v>98805.82840569003</v>
      </c>
      <c r="BC7" s="40">
        <f t="shared" ref="BC7:BC84" si="54">+IFERROR(BB7/AZ7,"")</f>
        <v>9.9626503312089804E-2</v>
      </c>
      <c r="BD7" s="39">
        <v>2498</v>
      </c>
      <c r="BE7" s="39">
        <v>972474.09699110896</v>
      </c>
      <c r="BF7" s="39">
        <v>52</v>
      </c>
      <c r="BG7" s="39">
        <v>93870.129902330038</v>
      </c>
      <c r="BH7" s="40">
        <f t="shared" ref="BH7:BH84" si="55">+IFERROR(BG7/BE7,"")</f>
        <v>9.6527126216286521E-2</v>
      </c>
      <c r="BI7" s="39">
        <v>2531</v>
      </c>
      <c r="BJ7" s="39">
        <v>965185.21941349609</v>
      </c>
      <c r="BK7" s="39">
        <v>55</v>
      </c>
      <c r="BL7" s="39">
        <v>131385.65612927001</v>
      </c>
      <c r="BM7" s="40">
        <f t="shared" ref="BM7:BM84" si="56">+IFERROR(BL7/BJ7,"")</f>
        <v>0.13612481157669171</v>
      </c>
      <c r="BN7" s="42">
        <v>0</v>
      </c>
      <c r="BO7" s="42">
        <v>0</v>
      </c>
    </row>
    <row r="8" spans="1:67" s="29" customFormat="1" ht="35.1" customHeight="1" x14ac:dyDescent="0.25">
      <c r="A8" s="38">
        <f t="shared" ref="A8:A71" si="57">+A7+1</f>
        <v>2</v>
      </c>
      <c r="B8" s="45" t="s">
        <v>2033</v>
      </c>
      <c r="C8" s="45" t="s">
        <v>2036</v>
      </c>
      <c r="D8" s="64">
        <v>11254</v>
      </c>
      <c r="E8" s="45" t="s">
        <v>2037</v>
      </c>
      <c r="F8" s="41">
        <v>1966</v>
      </c>
      <c r="G8" s="41">
        <v>90377.919762870049</v>
      </c>
      <c r="H8" s="41">
        <v>6</v>
      </c>
      <c r="I8" s="41">
        <v>1449.4777645699999</v>
      </c>
      <c r="J8" s="40">
        <f t="shared" si="45"/>
        <v>1.6037963347387076E-2</v>
      </c>
      <c r="K8" s="41">
        <v>2001</v>
      </c>
      <c r="L8" s="41">
        <v>91617.666141770009</v>
      </c>
      <c r="M8" s="41">
        <v>6</v>
      </c>
      <c r="N8" s="41">
        <v>1449.3645175699999</v>
      </c>
      <c r="O8" s="40">
        <f t="shared" si="46"/>
        <v>1.5819705724955273E-2</v>
      </c>
      <c r="P8" s="41">
        <v>2095</v>
      </c>
      <c r="Q8" s="41">
        <v>94934.097977739992</v>
      </c>
      <c r="R8" s="41">
        <v>6</v>
      </c>
      <c r="S8" s="41">
        <v>1042.0805175700002</v>
      </c>
      <c r="T8" s="40">
        <f t="shared" si="47"/>
        <v>1.0976883330311367E-2</v>
      </c>
      <c r="U8" s="41">
        <v>2185</v>
      </c>
      <c r="V8" s="41">
        <v>98038.27329534007</v>
      </c>
      <c r="W8" s="41">
        <v>4</v>
      </c>
      <c r="X8" s="41">
        <v>221.14443356999999</v>
      </c>
      <c r="Y8" s="40">
        <f t="shared" si="48"/>
        <v>2.2556949050275793E-3</v>
      </c>
      <c r="Z8" s="41">
        <v>2296</v>
      </c>
      <c r="AA8" s="41">
        <v>102883.99597059001</v>
      </c>
      <c r="AB8" s="41">
        <v>5</v>
      </c>
      <c r="AC8" s="41">
        <v>2246.4106636900001</v>
      </c>
      <c r="AD8" s="40">
        <f t="shared" si="49"/>
        <v>2.1834403324810105E-2</v>
      </c>
      <c r="AE8" s="44">
        <v>2399</v>
      </c>
      <c r="AF8" s="44">
        <v>108305.14951678985</v>
      </c>
      <c r="AG8" s="44">
        <v>5</v>
      </c>
      <c r="AH8" s="44">
        <v>2245.6876636899997</v>
      </c>
      <c r="AI8" s="40">
        <f t="shared" si="50"/>
        <v>2.0734818923285499E-2</v>
      </c>
      <c r="AJ8" s="44">
        <v>2454</v>
      </c>
      <c r="AK8" s="44">
        <v>111598.32247120026</v>
      </c>
      <c r="AL8" s="44">
        <v>4</v>
      </c>
      <c r="AM8" s="44">
        <v>28.639282619999999</v>
      </c>
      <c r="AN8" s="40">
        <f t="shared" si="51"/>
        <v>2.5662825377496893E-4</v>
      </c>
      <c r="AO8" s="44">
        <v>2552</v>
      </c>
      <c r="AP8" s="44">
        <v>115226.23806506001</v>
      </c>
      <c r="AQ8" s="44">
        <v>3</v>
      </c>
      <c r="AR8" s="44">
        <v>20.11936042</v>
      </c>
      <c r="AS8" s="40">
        <f t="shared" si="52"/>
        <v>1.7460745710226204E-4</v>
      </c>
      <c r="AT8" s="44">
        <v>2661</v>
      </c>
      <c r="AU8" s="44">
        <v>119122.63711897039</v>
      </c>
      <c r="AV8" s="44">
        <v>4</v>
      </c>
      <c r="AW8" s="44">
        <v>76.984062030000004</v>
      </c>
      <c r="AX8" s="40">
        <f t="shared" si="53"/>
        <v>6.4625887985601197E-4</v>
      </c>
      <c r="AY8" s="41">
        <v>2765</v>
      </c>
      <c r="AZ8" s="41">
        <v>122937.39426446987</v>
      </c>
      <c r="BA8" s="41">
        <v>4</v>
      </c>
      <c r="BB8" s="41">
        <v>28.135673960000002</v>
      </c>
      <c r="BC8" s="40">
        <f t="shared" si="54"/>
        <v>2.2886180505398505E-4</v>
      </c>
      <c r="BD8" s="39">
        <v>2891</v>
      </c>
      <c r="BE8" s="39">
        <v>126181.8889116197</v>
      </c>
      <c r="BF8" s="39">
        <v>5</v>
      </c>
      <c r="BG8" s="39">
        <v>71.35358819999999</v>
      </c>
      <c r="BH8" s="40">
        <f t="shared" si="55"/>
        <v>5.6548201025883725E-4</v>
      </c>
      <c r="BI8" s="39">
        <v>2963</v>
      </c>
      <c r="BJ8" s="39">
        <v>211871.61821894001</v>
      </c>
      <c r="BK8" s="39">
        <v>5</v>
      </c>
      <c r="BL8" s="39">
        <v>70.718476770000009</v>
      </c>
      <c r="BM8" s="40">
        <f t="shared" si="56"/>
        <v>3.3377984915809841E-4</v>
      </c>
      <c r="BN8" s="42">
        <v>0</v>
      </c>
      <c r="BO8" s="42">
        <v>0</v>
      </c>
    </row>
    <row r="9" spans="1:67" s="29" customFormat="1" ht="35.1" customHeight="1" x14ac:dyDescent="0.25">
      <c r="A9" s="38">
        <f t="shared" si="57"/>
        <v>3</v>
      </c>
      <c r="B9" s="45" t="s">
        <v>2033</v>
      </c>
      <c r="C9" s="45" t="s">
        <v>2038</v>
      </c>
      <c r="D9" s="64">
        <v>11255</v>
      </c>
      <c r="E9" s="45" t="s">
        <v>2039</v>
      </c>
      <c r="F9" s="41">
        <v>1875</v>
      </c>
      <c r="G9" s="41">
        <v>164178.51320329972</v>
      </c>
      <c r="H9" s="41">
        <v>16</v>
      </c>
      <c r="I9" s="41">
        <v>682.21521851000011</v>
      </c>
      <c r="J9" s="40">
        <f t="shared" si="45"/>
        <v>4.1553258413616128E-3</v>
      </c>
      <c r="K9" s="41">
        <v>1926</v>
      </c>
      <c r="L9" s="41">
        <v>164068.59147751029</v>
      </c>
      <c r="M9" s="41">
        <v>17</v>
      </c>
      <c r="N9" s="41">
        <v>683.14253546000009</v>
      </c>
      <c r="O9" s="40">
        <f t="shared" si="46"/>
        <v>4.1637618102770262E-3</v>
      </c>
      <c r="P9" s="41">
        <v>1983</v>
      </c>
      <c r="Q9" s="41">
        <v>164380.83885597024</v>
      </c>
      <c r="R9" s="41">
        <v>17</v>
      </c>
      <c r="S9" s="41">
        <v>708.20278888000007</v>
      </c>
      <c r="T9" s="40">
        <f t="shared" si="47"/>
        <v>4.3083049935067202E-3</v>
      </c>
      <c r="U9" s="41">
        <v>2054</v>
      </c>
      <c r="V9" s="41">
        <v>165761.65836824011</v>
      </c>
      <c r="W9" s="41">
        <v>19</v>
      </c>
      <c r="X9" s="41">
        <v>721.96463236</v>
      </c>
      <c r="Y9" s="40">
        <f t="shared" si="48"/>
        <v>4.3554380395745863E-3</v>
      </c>
      <c r="Z9" s="41">
        <v>2232</v>
      </c>
      <c r="AA9" s="41">
        <v>168710.25931692997</v>
      </c>
      <c r="AB9" s="41">
        <v>21</v>
      </c>
      <c r="AC9" s="41">
        <v>750.42735556999992</v>
      </c>
      <c r="AD9" s="40">
        <f t="shared" si="49"/>
        <v>4.4480244331809582E-3</v>
      </c>
      <c r="AE9" s="44">
        <v>2297</v>
      </c>
      <c r="AF9" s="44">
        <v>170453.8498986504</v>
      </c>
      <c r="AG9" s="44">
        <v>27</v>
      </c>
      <c r="AH9" s="44">
        <v>1148.54400233</v>
      </c>
      <c r="AI9" s="40">
        <f t="shared" si="50"/>
        <v>6.7381523093371556E-3</v>
      </c>
      <c r="AJ9" s="44">
        <v>2354</v>
      </c>
      <c r="AK9" s="44">
        <v>174769.95165857027</v>
      </c>
      <c r="AL9" s="44">
        <v>27</v>
      </c>
      <c r="AM9" s="44">
        <v>1155.8231735699999</v>
      </c>
      <c r="AN9" s="40">
        <f t="shared" si="51"/>
        <v>6.6133975697836803E-3</v>
      </c>
      <c r="AO9" s="44">
        <v>2386</v>
      </c>
      <c r="AP9" s="44">
        <v>179279.85239248001</v>
      </c>
      <c r="AQ9" s="44">
        <v>25</v>
      </c>
      <c r="AR9" s="44">
        <v>1136.3470711700004</v>
      </c>
      <c r="AS9" s="40">
        <f t="shared" si="52"/>
        <v>6.3383980743263102E-3</v>
      </c>
      <c r="AT9" s="44">
        <v>2436</v>
      </c>
      <c r="AU9" s="44">
        <v>181383.63718255091</v>
      </c>
      <c r="AV9" s="44">
        <v>24</v>
      </c>
      <c r="AW9" s="44">
        <v>274.35852788</v>
      </c>
      <c r="AX9" s="40">
        <f t="shared" si="53"/>
        <v>1.5125869794080482E-3</v>
      </c>
      <c r="AY9" s="41">
        <v>2502</v>
      </c>
      <c r="AZ9" s="41">
        <v>184269.29199179029</v>
      </c>
      <c r="BA9" s="41">
        <v>28</v>
      </c>
      <c r="BB9" s="41">
        <v>371.81837854000003</v>
      </c>
      <c r="BC9" s="40">
        <f t="shared" si="54"/>
        <v>2.0177989209214826E-3</v>
      </c>
      <c r="BD9" s="39">
        <v>2550</v>
      </c>
      <c r="BE9" s="39">
        <v>185890.74333674071</v>
      </c>
      <c r="BF9" s="39">
        <v>30</v>
      </c>
      <c r="BG9" s="39">
        <v>1249.5624405499998</v>
      </c>
      <c r="BH9" s="40">
        <f t="shared" si="55"/>
        <v>6.7220261650491114E-3</v>
      </c>
      <c r="BI9" s="39">
        <v>2595</v>
      </c>
      <c r="BJ9" s="39">
        <v>187651.01903597036</v>
      </c>
      <c r="BK9" s="39">
        <v>30</v>
      </c>
      <c r="BL9" s="39">
        <v>1013.6340752799999</v>
      </c>
      <c r="BM9" s="40">
        <f t="shared" si="56"/>
        <v>5.4016976858819983E-3</v>
      </c>
      <c r="BN9" s="42">
        <v>0</v>
      </c>
      <c r="BO9" s="42">
        <v>0</v>
      </c>
    </row>
    <row r="10" spans="1:67" s="29" customFormat="1" ht="35.1" customHeight="1" x14ac:dyDescent="0.25">
      <c r="A10" s="38">
        <f t="shared" si="57"/>
        <v>4</v>
      </c>
      <c r="B10" s="45" t="s">
        <v>2033</v>
      </c>
      <c r="C10" s="45" t="s">
        <v>2040</v>
      </c>
      <c r="D10" s="64">
        <v>11256</v>
      </c>
      <c r="E10" s="45" t="s">
        <v>2041</v>
      </c>
      <c r="F10" s="41">
        <v>1548</v>
      </c>
      <c r="G10" s="41">
        <v>133054.80842744003</v>
      </c>
      <c r="H10" s="41">
        <v>4</v>
      </c>
      <c r="I10" s="41">
        <v>381.33287688000001</v>
      </c>
      <c r="J10" s="40">
        <f t="shared" si="45"/>
        <v>2.8659834348486223E-3</v>
      </c>
      <c r="K10" s="41">
        <v>1565</v>
      </c>
      <c r="L10" s="41">
        <v>133430.93569635</v>
      </c>
      <c r="M10" s="41">
        <v>4</v>
      </c>
      <c r="N10" s="41">
        <v>381.33287688000001</v>
      </c>
      <c r="O10" s="40">
        <f t="shared" si="46"/>
        <v>2.8579045398272758E-3</v>
      </c>
      <c r="P10" s="41">
        <v>1604</v>
      </c>
      <c r="Q10" s="41">
        <v>134771.24387986996</v>
      </c>
      <c r="R10" s="41">
        <v>4</v>
      </c>
      <c r="S10" s="41">
        <v>381.33287688000001</v>
      </c>
      <c r="T10" s="40">
        <f t="shared" si="47"/>
        <v>2.8294825060745589E-3</v>
      </c>
      <c r="U10" s="41">
        <v>1653</v>
      </c>
      <c r="V10" s="41">
        <v>132492.74047149988</v>
      </c>
      <c r="W10" s="41">
        <v>5</v>
      </c>
      <c r="X10" s="41">
        <v>393.27999132000002</v>
      </c>
      <c r="Y10" s="40">
        <f t="shared" si="48"/>
        <v>2.9683135085019794E-3</v>
      </c>
      <c r="Z10" s="41">
        <v>1781</v>
      </c>
      <c r="AA10" s="41">
        <v>132708.36256266001</v>
      </c>
      <c r="AB10" s="41">
        <v>6</v>
      </c>
      <c r="AC10" s="41">
        <v>514.43161054000007</v>
      </c>
      <c r="AD10" s="40">
        <f t="shared" si="49"/>
        <v>3.8764068865449557E-3</v>
      </c>
      <c r="AE10" s="44">
        <v>1851</v>
      </c>
      <c r="AF10" s="44">
        <v>135450.80340311999</v>
      </c>
      <c r="AG10" s="44">
        <v>4</v>
      </c>
      <c r="AH10" s="44">
        <v>381.33287688000001</v>
      </c>
      <c r="AI10" s="40">
        <f t="shared" si="50"/>
        <v>2.815286932961937E-3</v>
      </c>
      <c r="AJ10" s="44">
        <v>1858</v>
      </c>
      <c r="AK10" s="44">
        <v>134187.69419260038</v>
      </c>
      <c r="AL10" s="44">
        <v>7</v>
      </c>
      <c r="AM10" s="44">
        <v>411.68064856000001</v>
      </c>
      <c r="AN10" s="40">
        <f t="shared" si="51"/>
        <v>3.0679463645087485E-3</v>
      </c>
      <c r="AO10" s="44">
        <v>1922</v>
      </c>
      <c r="AP10" s="44">
        <v>137006.59063584</v>
      </c>
      <c r="AQ10" s="44">
        <v>5</v>
      </c>
      <c r="AR10" s="44">
        <v>378.00450182999998</v>
      </c>
      <c r="AS10" s="40">
        <f t="shared" si="52"/>
        <v>2.7590242197525101E-3</v>
      </c>
      <c r="AT10" s="44">
        <v>1994</v>
      </c>
      <c r="AU10" s="44">
        <v>139486.3202033001</v>
      </c>
      <c r="AV10" s="44">
        <v>6</v>
      </c>
      <c r="AW10" s="44">
        <v>388.00450082999998</v>
      </c>
      <c r="AX10" s="40">
        <f t="shared" si="53"/>
        <v>2.7816670499622243E-3</v>
      </c>
      <c r="AY10" s="41">
        <v>2249</v>
      </c>
      <c r="AZ10" s="41">
        <v>141077.13004561959</v>
      </c>
      <c r="BA10" s="41">
        <v>10</v>
      </c>
      <c r="BB10" s="41">
        <v>429.74604139000007</v>
      </c>
      <c r="BC10" s="40">
        <f t="shared" si="54"/>
        <v>3.0461779400462333E-3</v>
      </c>
      <c r="BD10" s="39">
        <v>2494</v>
      </c>
      <c r="BE10" s="39">
        <v>146703.10476220003</v>
      </c>
      <c r="BF10" s="39">
        <v>5</v>
      </c>
      <c r="BG10" s="39">
        <v>770.91401993000011</v>
      </c>
      <c r="BH10" s="40">
        <f t="shared" si="55"/>
        <v>5.2549264119503229E-3</v>
      </c>
      <c r="BI10" s="39">
        <v>2567</v>
      </c>
      <c r="BJ10" s="39">
        <v>148216.55733809026</v>
      </c>
      <c r="BK10" s="39">
        <v>10</v>
      </c>
      <c r="BL10" s="39">
        <v>1108.2807899199997</v>
      </c>
      <c r="BM10" s="40">
        <f t="shared" si="56"/>
        <v>7.4774425329010253E-3</v>
      </c>
      <c r="BN10" s="42">
        <v>0</v>
      </c>
      <c r="BO10" s="42">
        <v>0</v>
      </c>
    </row>
    <row r="11" spans="1:67" s="29" customFormat="1" ht="35.1" customHeight="1" x14ac:dyDescent="0.25">
      <c r="A11" s="38">
        <f t="shared" si="57"/>
        <v>5</v>
      </c>
      <c r="B11" s="45" t="s">
        <v>2033</v>
      </c>
      <c r="C11" s="45" t="s">
        <v>2042</v>
      </c>
      <c r="D11" s="64">
        <v>11183</v>
      </c>
      <c r="E11" s="45" t="s">
        <v>2043</v>
      </c>
      <c r="F11" s="41">
        <v>1318</v>
      </c>
      <c r="G11" s="41">
        <v>145605.44745476986</v>
      </c>
      <c r="H11" s="41">
        <v>64</v>
      </c>
      <c r="I11" s="41">
        <v>11722.863937399994</v>
      </c>
      <c r="J11" s="40">
        <f t="shared" si="45"/>
        <v>8.0511163162638719E-2</v>
      </c>
      <c r="K11" s="41">
        <v>1385</v>
      </c>
      <c r="L11" s="41">
        <v>146952.36993147014</v>
      </c>
      <c r="M11" s="41">
        <v>67</v>
      </c>
      <c r="N11" s="41">
        <v>12006.550699409994</v>
      </c>
      <c r="O11" s="40">
        <f t="shared" si="46"/>
        <v>8.1703688787116105E-2</v>
      </c>
      <c r="P11" s="41">
        <v>1420</v>
      </c>
      <c r="Q11" s="41">
        <v>149303.51352951027</v>
      </c>
      <c r="R11" s="41">
        <v>68</v>
      </c>
      <c r="S11" s="41">
        <v>11805.334295689994</v>
      </c>
      <c r="T11" s="40">
        <f t="shared" si="47"/>
        <v>7.9069366933261331E-2</v>
      </c>
      <c r="U11" s="41">
        <v>1472</v>
      </c>
      <c r="V11" s="41">
        <v>153259.70127143993</v>
      </c>
      <c r="W11" s="41">
        <v>78</v>
      </c>
      <c r="X11" s="41">
        <v>13387.9697213</v>
      </c>
      <c r="Y11" s="40">
        <f t="shared" si="48"/>
        <v>8.7354794575701417E-2</v>
      </c>
      <c r="Z11" s="41">
        <v>1595</v>
      </c>
      <c r="AA11" s="41">
        <v>155782.08007813018</v>
      </c>
      <c r="AB11" s="41">
        <v>85</v>
      </c>
      <c r="AC11" s="41">
        <v>14626.950586379993</v>
      </c>
      <c r="AD11" s="40">
        <f t="shared" si="49"/>
        <v>9.3893665940550181E-2</v>
      </c>
      <c r="AE11" s="44">
        <v>1679</v>
      </c>
      <c r="AF11" s="44">
        <v>159187.42062153065</v>
      </c>
      <c r="AG11" s="44">
        <v>90</v>
      </c>
      <c r="AH11" s="44">
        <v>10912.730653460001</v>
      </c>
      <c r="AI11" s="40">
        <f t="shared" si="50"/>
        <v>6.8552719874801563E-2</v>
      </c>
      <c r="AJ11" s="44">
        <v>1712</v>
      </c>
      <c r="AK11" s="44">
        <v>159308.63013631027</v>
      </c>
      <c r="AL11" s="44">
        <v>101</v>
      </c>
      <c r="AM11" s="44">
        <v>10689.583163409994</v>
      </c>
      <c r="AN11" s="40">
        <f t="shared" si="51"/>
        <v>6.7099837304881713E-2</v>
      </c>
      <c r="AO11" s="44">
        <v>1788</v>
      </c>
      <c r="AP11" s="44">
        <v>162255.70477177002</v>
      </c>
      <c r="AQ11" s="44">
        <v>94</v>
      </c>
      <c r="AR11" s="44">
        <v>10192.834653869995</v>
      </c>
      <c r="AS11" s="40">
        <f t="shared" si="52"/>
        <v>6.281957647163966E-2</v>
      </c>
      <c r="AT11" s="44">
        <v>1815</v>
      </c>
      <c r="AU11" s="44">
        <v>163628.48062940993</v>
      </c>
      <c r="AV11" s="44">
        <v>97</v>
      </c>
      <c r="AW11" s="44">
        <v>10442.823479069993</v>
      </c>
      <c r="AX11" s="40">
        <f t="shared" si="53"/>
        <v>6.3820329070470153E-2</v>
      </c>
      <c r="AY11" s="41">
        <v>1850</v>
      </c>
      <c r="AZ11" s="41">
        <v>163364.12417378958</v>
      </c>
      <c r="BA11" s="41">
        <v>106</v>
      </c>
      <c r="BB11" s="41">
        <v>14245.027528759992</v>
      </c>
      <c r="BC11" s="40">
        <f t="shared" si="54"/>
        <v>8.7198016093214481E-2</v>
      </c>
      <c r="BD11" s="39">
        <v>1848</v>
      </c>
      <c r="BE11" s="39">
        <v>162539.65592631971</v>
      </c>
      <c r="BF11" s="39">
        <v>114</v>
      </c>
      <c r="BG11" s="39">
        <v>15034.75866840999</v>
      </c>
      <c r="BH11" s="40">
        <f t="shared" si="55"/>
        <v>9.2499018671636318E-2</v>
      </c>
      <c r="BI11" s="39">
        <v>1858</v>
      </c>
      <c r="BJ11" s="39">
        <v>164550.93962522995</v>
      </c>
      <c r="BK11" s="39">
        <v>126</v>
      </c>
      <c r="BL11" s="39">
        <v>15029.642562389992</v>
      </c>
      <c r="BM11" s="40">
        <f t="shared" si="56"/>
        <v>9.1337324457827385E-2</v>
      </c>
      <c r="BN11" s="42">
        <v>0</v>
      </c>
      <c r="BO11" s="42">
        <v>0</v>
      </c>
    </row>
    <row r="12" spans="1:67" s="29" customFormat="1" ht="35.1" customHeight="1" x14ac:dyDescent="0.25">
      <c r="A12" s="38">
        <f t="shared" si="57"/>
        <v>6</v>
      </c>
      <c r="B12" s="45" t="s">
        <v>2033</v>
      </c>
      <c r="C12" s="45" t="s">
        <v>2044</v>
      </c>
      <c r="D12" s="64">
        <v>10014</v>
      </c>
      <c r="E12" s="45" t="s">
        <v>2045</v>
      </c>
      <c r="F12" s="41">
        <v>1433</v>
      </c>
      <c r="G12" s="41">
        <v>102258.55188434992</v>
      </c>
      <c r="H12" s="41">
        <v>59</v>
      </c>
      <c r="I12" s="41">
        <v>2968.1825705300002</v>
      </c>
      <c r="J12" s="40">
        <f t="shared" si="45"/>
        <v>2.9026252727369823E-2</v>
      </c>
      <c r="K12" s="41">
        <v>1468</v>
      </c>
      <c r="L12" s="41">
        <v>103262.33132913997</v>
      </c>
      <c r="M12" s="41">
        <v>76</v>
      </c>
      <c r="N12" s="41">
        <v>3173.3954729899997</v>
      </c>
      <c r="O12" s="40">
        <f t="shared" si="46"/>
        <v>3.0731394809159106E-2</v>
      </c>
      <c r="P12" s="41">
        <v>1494</v>
      </c>
      <c r="Q12" s="41">
        <v>104554.37610025019</v>
      </c>
      <c r="R12" s="41">
        <v>80</v>
      </c>
      <c r="S12" s="41">
        <v>2060.9420962299996</v>
      </c>
      <c r="T12" s="40">
        <f t="shared" si="47"/>
        <v>1.9711677053611799E-2</v>
      </c>
      <c r="U12" s="41">
        <v>1509</v>
      </c>
      <c r="V12" s="41">
        <v>107313.97660713013</v>
      </c>
      <c r="W12" s="41">
        <v>88</v>
      </c>
      <c r="X12" s="41">
        <v>2077.1899385299994</v>
      </c>
      <c r="Y12" s="40">
        <f t="shared" si="48"/>
        <v>1.9356192028317655E-2</v>
      </c>
      <c r="Z12" s="41">
        <v>1558</v>
      </c>
      <c r="AA12" s="41">
        <v>112480.4751289501</v>
      </c>
      <c r="AB12" s="41">
        <v>89</v>
      </c>
      <c r="AC12" s="41">
        <v>2576.8158141400004</v>
      </c>
      <c r="AD12" s="40">
        <f t="shared" si="49"/>
        <v>2.2909005417925926E-2</v>
      </c>
      <c r="AE12" s="44">
        <v>1585</v>
      </c>
      <c r="AF12" s="44">
        <v>117060.26198506021</v>
      </c>
      <c r="AG12" s="44">
        <v>85</v>
      </c>
      <c r="AH12" s="44">
        <v>2441.02800157</v>
      </c>
      <c r="AI12" s="40">
        <f t="shared" si="50"/>
        <v>2.0852746783375009E-2</v>
      </c>
      <c r="AJ12" s="44">
        <v>1583</v>
      </c>
      <c r="AK12" s="44">
        <v>119951.41012117016</v>
      </c>
      <c r="AL12" s="44">
        <v>95</v>
      </c>
      <c r="AM12" s="44">
        <v>2103.4777102500007</v>
      </c>
      <c r="AN12" s="40">
        <f t="shared" si="51"/>
        <v>1.7536081552731651E-2</v>
      </c>
      <c r="AO12" s="44">
        <v>1626</v>
      </c>
      <c r="AP12" s="44">
        <v>125382.55751722</v>
      </c>
      <c r="AQ12" s="44">
        <v>97</v>
      </c>
      <c r="AR12" s="44">
        <v>2114.809332190001</v>
      </c>
      <c r="AS12" s="40">
        <f t="shared" si="52"/>
        <v>1.6866854322217455E-2</v>
      </c>
      <c r="AT12" s="44">
        <v>1634</v>
      </c>
      <c r="AU12" s="44">
        <v>129054.36327006009</v>
      </c>
      <c r="AV12" s="44">
        <v>109</v>
      </c>
      <c r="AW12" s="44">
        <v>2658.9980093100003</v>
      </c>
      <c r="AX12" s="40">
        <f t="shared" si="53"/>
        <v>2.0603704841391235E-2</v>
      </c>
      <c r="AY12" s="41">
        <v>1626</v>
      </c>
      <c r="AZ12" s="41">
        <v>129846.94194218004</v>
      </c>
      <c r="BA12" s="41">
        <v>0</v>
      </c>
      <c r="BB12" s="41">
        <v>0</v>
      </c>
      <c r="BC12" s="40">
        <f t="shared" si="54"/>
        <v>0</v>
      </c>
      <c r="BD12" s="39">
        <v>1624</v>
      </c>
      <c r="BE12" s="39">
        <v>130410.65479775995</v>
      </c>
      <c r="BF12" s="39">
        <v>105</v>
      </c>
      <c r="BG12" s="39">
        <v>2761.8228137200003</v>
      </c>
      <c r="BH12" s="40">
        <f t="shared" si="55"/>
        <v>2.1177892389260818E-2</v>
      </c>
      <c r="BI12" s="39">
        <v>0</v>
      </c>
      <c r="BJ12" s="39">
        <v>0</v>
      </c>
      <c r="BK12" s="39">
        <v>0</v>
      </c>
      <c r="BL12" s="39">
        <v>0</v>
      </c>
      <c r="BM12" s="40" t="str">
        <f t="shared" si="56"/>
        <v/>
      </c>
      <c r="BN12" s="42"/>
      <c r="BO12" s="42"/>
    </row>
    <row r="13" spans="1:67" s="29" customFormat="1" ht="35.1" customHeight="1" x14ac:dyDescent="0.25">
      <c r="A13" s="38">
        <f t="shared" si="57"/>
        <v>7</v>
      </c>
      <c r="B13" s="45" t="s">
        <v>2033</v>
      </c>
      <c r="C13" s="45" t="s">
        <v>2046</v>
      </c>
      <c r="D13" s="64">
        <v>11141</v>
      </c>
      <c r="E13" s="45" t="s">
        <v>2047</v>
      </c>
      <c r="F13" s="41">
        <v>2060</v>
      </c>
      <c r="G13" s="41">
        <v>161498.87412885958</v>
      </c>
      <c r="H13" s="41">
        <v>14</v>
      </c>
      <c r="I13" s="41">
        <v>6875.2884076599994</v>
      </c>
      <c r="J13" s="40">
        <f t="shared" si="45"/>
        <v>4.2571742030685755E-2</v>
      </c>
      <c r="K13" s="41">
        <v>2110</v>
      </c>
      <c r="L13" s="41">
        <v>160209.26288349979</v>
      </c>
      <c r="M13" s="41">
        <v>14</v>
      </c>
      <c r="N13" s="41">
        <v>6875.2884076599994</v>
      </c>
      <c r="O13" s="40">
        <f t="shared" si="46"/>
        <v>4.2914425070787195E-2</v>
      </c>
      <c r="P13" s="41">
        <v>2185</v>
      </c>
      <c r="Q13" s="41">
        <v>163544.50498613011</v>
      </c>
      <c r="R13" s="41">
        <v>15</v>
      </c>
      <c r="S13" s="41">
        <v>6884.5434610100001</v>
      </c>
      <c r="T13" s="40">
        <f t="shared" si="47"/>
        <v>4.2095840894158229E-2</v>
      </c>
      <c r="U13" s="41">
        <v>2246</v>
      </c>
      <c r="V13" s="41">
        <v>167906.92691614007</v>
      </c>
      <c r="W13" s="41">
        <v>16</v>
      </c>
      <c r="X13" s="41">
        <v>6894.1293448499991</v>
      </c>
      <c r="Y13" s="40">
        <f t="shared" si="48"/>
        <v>4.1059231274557378E-2</v>
      </c>
      <c r="Z13" s="41">
        <v>2297</v>
      </c>
      <c r="AA13" s="41">
        <v>171874.45581872054</v>
      </c>
      <c r="AB13" s="41">
        <v>15</v>
      </c>
      <c r="AC13" s="41">
        <v>6885.0113625000004</v>
      </c>
      <c r="AD13" s="40">
        <f t="shared" si="49"/>
        <v>4.0058374757920755E-2</v>
      </c>
      <c r="AE13" s="44">
        <v>2350</v>
      </c>
      <c r="AF13" s="44">
        <v>176545.17127449013</v>
      </c>
      <c r="AG13" s="44">
        <v>14</v>
      </c>
      <c r="AH13" s="44">
        <v>420.19073919000004</v>
      </c>
      <c r="AI13" s="40">
        <f t="shared" si="50"/>
        <v>2.3800749471459231E-3</v>
      </c>
      <c r="AJ13" s="44">
        <v>2376</v>
      </c>
      <c r="AK13" s="44">
        <v>180354.17782819975</v>
      </c>
      <c r="AL13" s="44">
        <v>14</v>
      </c>
      <c r="AM13" s="44">
        <v>419.21484673000003</v>
      </c>
      <c r="AN13" s="40">
        <f t="shared" si="51"/>
        <v>2.3243977587773549E-3</v>
      </c>
      <c r="AO13" s="44">
        <v>2436</v>
      </c>
      <c r="AP13" s="44">
        <v>183306.02743583001</v>
      </c>
      <c r="AQ13" s="44">
        <v>15</v>
      </c>
      <c r="AR13" s="44">
        <v>1970.7676131899998</v>
      </c>
      <c r="AS13" s="40">
        <f t="shared" si="52"/>
        <v>1.0751242830135016E-2</v>
      </c>
      <c r="AT13" s="44">
        <v>2461</v>
      </c>
      <c r="AU13" s="44">
        <v>184288.4538165108</v>
      </c>
      <c r="AV13" s="44">
        <v>13</v>
      </c>
      <c r="AW13" s="44">
        <v>1911.7262356099995</v>
      </c>
      <c r="AX13" s="40">
        <f t="shared" si="53"/>
        <v>1.0373554045406635E-2</v>
      </c>
      <c r="AY13" s="41">
        <v>2508</v>
      </c>
      <c r="AZ13" s="41">
        <v>189061.49539931957</v>
      </c>
      <c r="BA13" s="41">
        <v>14</v>
      </c>
      <c r="BB13" s="41">
        <v>8411.2993016300006</v>
      </c>
      <c r="BC13" s="40">
        <f t="shared" si="54"/>
        <v>4.4489753367624493E-2</v>
      </c>
      <c r="BD13" s="39">
        <v>2561</v>
      </c>
      <c r="BE13" s="39">
        <v>190489.34572703025</v>
      </c>
      <c r="BF13" s="39">
        <v>13</v>
      </c>
      <c r="BG13" s="39">
        <v>8402.0972741200003</v>
      </c>
      <c r="BH13" s="40">
        <f t="shared" si="55"/>
        <v>4.4107964369619605E-2</v>
      </c>
      <c r="BI13" s="39">
        <v>2568</v>
      </c>
      <c r="BJ13" s="39">
        <v>191088.42192703931</v>
      </c>
      <c r="BK13" s="39">
        <v>16</v>
      </c>
      <c r="BL13" s="39">
        <v>8734.0332566299985</v>
      </c>
      <c r="BM13" s="40">
        <f t="shared" si="56"/>
        <v>4.5706763227992935E-2</v>
      </c>
      <c r="BN13" s="42"/>
      <c r="BO13" s="42"/>
    </row>
    <row r="14" spans="1:67" s="29" customFormat="1" ht="35.1" customHeight="1" x14ac:dyDescent="0.25">
      <c r="A14" s="38">
        <f t="shared" si="57"/>
        <v>8</v>
      </c>
      <c r="B14" s="45" t="s">
        <v>2033</v>
      </c>
      <c r="C14" s="45" t="s">
        <v>2048</v>
      </c>
      <c r="D14" s="64">
        <v>11142</v>
      </c>
      <c r="E14" s="45" t="s">
        <v>2049</v>
      </c>
      <c r="F14" s="41">
        <v>1853</v>
      </c>
      <c r="G14" s="41">
        <v>87992.597091180127</v>
      </c>
      <c r="H14" s="41">
        <v>22</v>
      </c>
      <c r="I14" s="41">
        <v>257.62051174999999</v>
      </c>
      <c r="J14" s="40">
        <f t="shared" si="45"/>
        <v>2.9277521094535621E-3</v>
      </c>
      <c r="K14" s="41">
        <v>1903</v>
      </c>
      <c r="L14" s="41">
        <v>90839.934258640104</v>
      </c>
      <c r="M14" s="41">
        <v>33</v>
      </c>
      <c r="N14" s="41">
        <v>1419.7923353899996</v>
      </c>
      <c r="O14" s="40">
        <f t="shared" si="46"/>
        <v>1.5629605492090703E-2</v>
      </c>
      <c r="P14" s="41">
        <v>1961</v>
      </c>
      <c r="Q14" s="41">
        <v>94471.899252660078</v>
      </c>
      <c r="R14" s="41">
        <v>46</v>
      </c>
      <c r="S14" s="41">
        <v>728.10197573000039</v>
      </c>
      <c r="T14" s="40">
        <f t="shared" si="47"/>
        <v>7.7070746062035903E-3</v>
      </c>
      <c r="U14" s="41">
        <v>2019</v>
      </c>
      <c r="V14" s="41">
        <v>97591.628608320083</v>
      </c>
      <c r="W14" s="41">
        <v>53</v>
      </c>
      <c r="X14" s="41">
        <v>1641.8086898700003</v>
      </c>
      <c r="Y14" s="40">
        <f t="shared" si="48"/>
        <v>1.6823253318779326E-2</v>
      </c>
      <c r="Z14" s="41">
        <v>2113</v>
      </c>
      <c r="AA14" s="41">
        <v>100819.8229902702</v>
      </c>
      <c r="AB14" s="41">
        <v>63</v>
      </c>
      <c r="AC14" s="41">
        <v>729.31834628000024</v>
      </c>
      <c r="AD14" s="40">
        <f t="shared" si="49"/>
        <v>7.2338784640634058E-3</v>
      </c>
      <c r="AE14" s="44">
        <v>2195</v>
      </c>
      <c r="AF14" s="44">
        <v>105270.52982022034</v>
      </c>
      <c r="AG14" s="44">
        <v>74</v>
      </c>
      <c r="AH14" s="44">
        <v>1113.7965342100001</v>
      </c>
      <c r="AI14" s="40">
        <f t="shared" si="50"/>
        <v>1.0580326099926804E-2</v>
      </c>
      <c r="AJ14" s="44">
        <v>2225</v>
      </c>
      <c r="AK14" s="44">
        <v>107250.52676316044</v>
      </c>
      <c r="AL14" s="44">
        <v>87</v>
      </c>
      <c r="AM14" s="44">
        <v>1078.3804182400002</v>
      </c>
      <c r="AN14" s="40">
        <f t="shared" si="51"/>
        <v>1.005477968999975E-2</v>
      </c>
      <c r="AO14" s="44">
        <v>2353</v>
      </c>
      <c r="AP14" s="44">
        <v>112331.02498648001</v>
      </c>
      <c r="AQ14" s="44">
        <v>93</v>
      </c>
      <c r="AR14" s="44">
        <v>1083.9538502900004</v>
      </c>
      <c r="AS14" s="40">
        <f t="shared" si="52"/>
        <v>9.6496390949914641E-3</v>
      </c>
      <c r="AT14" s="44">
        <v>2440</v>
      </c>
      <c r="AU14" s="44">
        <v>115123.30723079041</v>
      </c>
      <c r="AV14" s="44">
        <v>99</v>
      </c>
      <c r="AW14" s="44">
        <v>1341.7903126599997</v>
      </c>
      <c r="AX14" s="40">
        <f t="shared" si="53"/>
        <v>1.1655244667094918E-2</v>
      </c>
      <c r="AY14" s="41">
        <v>2529</v>
      </c>
      <c r="AZ14" s="41">
        <v>118563.70519567038</v>
      </c>
      <c r="BA14" s="41">
        <v>109</v>
      </c>
      <c r="BB14" s="41">
        <v>1577.3298233299997</v>
      </c>
      <c r="BC14" s="40">
        <f t="shared" si="54"/>
        <v>1.3303648200997682E-2</v>
      </c>
      <c r="BD14" s="39">
        <v>2617</v>
      </c>
      <c r="BE14" s="39">
        <v>121809.35025124987</v>
      </c>
      <c r="BF14" s="39">
        <v>111</v>
      </c>
      <c r="BG14" s="39">
        <v>1851.4673953900003</v>
      </c>
      <c r="BH14" s="40">
        <f t="shared" si="55"/>
        <v>1.5199714895211854E-2</v>
      </c>
      <c r="BI14" s="39">
        <v>2659</v>
      </c>
      <c r="BJ14" s="39">
        <v>122357.82213915004</v>
      </c>
      <c r="BK14" s="39">
        <v>115</v>
      </c>
      <c r="BL14" s="39">
        <v>1622.0166596300005</v>
      </c>
      <c r="BM14" s="40">
        <f t="shared" si="56"/>
        <v>1.3256338101420117E-2</v>
      </c>
      <c r="BN14" s="42"/>
      <c r="BO14" s="42"/>
    </row>
    <row r="15" spans="1:67" s="29" customFormat="1" ht="35.1" customHeight="1" x14ac:dyDescent="0.25">
      <c r="A15" s="38">
        <f t="shared" si="57"/>
        <v>9</v>
      </c>
      <c r="B15" s="45" t="s">
        <v>2050</v>
      </c>
      <c r="C15" s="45" t="s">
        <v>2051</v>
      </c>
      <c r="D15" s="64">
        <v>11198</v>
      </c>
      <c r="E15" s="45" t="s">
        <v>2035</v>
      </c>
      <c r="F15" s="41">
        <v>2470</v>
      </c>
      <c r="G15" s="41">
        <v>1786289.4995905319</v>
      </c>
      <c r="H15" s="41">
        <v>12</v>
      </c>
      <c r="I15" s="41">
        <v>46776.201503130011</v>
      </c>
      <c r="J15" s="40">
        <f t="shared" si="45"/>
        <v>2.6186237736857569E-2</v>
      </c>
      <c r="K15" s="41">
        <v>2601</v>
      </c>
      <c r="L15" s="41">
        <v>1770204.6761782386</v>
      </c>
      <c r="M15" s="41">
        <v>15</v>
      </c>
      <c r="N15" s="41">
        <v>47058.813159630008</v>
      </c>
      <c r="O15" s="40">
        <f t="shared" si="46"/>
        <v>2.658382603599661E-2</v>
      </c>
      <c r="P15" s="41">
        <v>2631</v>
      </c>
      <c r="Q15" s="41">
        <v>1756897.44117895</v>
      </c>
      <c r="R15" s="41">
        <v>19</v>
      </c>
      <c r="S15" s="41">
        <v>106311.95140075001</v>
      </c>
      <c r="T15" s="40">
        <f t="shared" si="47"/>
        <v>6.0511188023252137E-2</v>
      </c>
      <c r="U15" s="41">
        <v>2725</v>
      </c>
      <c r="V15" s="41">
        <v>1775112.8702205995</v>
      </c>
      <c r="W15" s="41">
        <v>22</v>
      </c>
      <c r="X15" s="41">
        <v>86056.675047799989</v>
      </c>
      <c r="Y15" s="40">
        <f t="shared" si="48"/>
        <v>4.8479551070521744E-2</v>
      </c>
      <c r="Z15" s="41">
        <v>2882</v>
      </c>
      <c r="AA15" s="41">
        <v>1779180.5602837882</v>
      </c>
      <c r="AB15" s="41">
        <v>34</v>
      </c>
      <c r="AC15" s="41">
        <v>86727.019643260006</v>
      </c>
      <c r="AD15" s="40">
        <f t="shared" si="49"/>
        <v>4.8745485185284744E-2</v>
      </c>
      <c r="AE15" s="44">
        <v>3072</v>
      </c>
      <c r="AF15" s="44">
        <v>1793566.513433326</v>
      </c>
      <c r="AG15" s="44">
        <v>45</v>
      </c>
      <c r="AH15" s="44">
        <v>86419.98495411998</v>
      </c>
      <c r="AI15" s="40">
        <f t="shared" si="50"/>
        <v>4.8183317600355359E-2</v>
      </c>
      <c r="AJ15" s="44">
        <v>3225</v>
      </c>
      <c r="AK15" s="44">
        <v>1776680.88092383</v>
      </c>
      <c r="AL15" s="44">
        <v>35</v>
      </c>
      <c r="AM15" s="44">
        <v>83947.777571570012</v>
      </c>
      <c r="AN15" s="40">
        <f t="shared" si="51"/>
        <v>4.7249778208858333E-2</v>
      </c>
      <c r="AO15" s="44">
        <v>3404</v>
      </c>
      <c r="AP15" s="44">
        <v>1795502.26387779</v>
      </c>
      <c r="AQ15" s="44">
        <v>80</v>
      </c>
      <c r="AR15" s="44">
        <v>125209.11753678994</v>
      </c>
      <c r="AS15" s="40">
        <f t="shared" si="52"/>
        <v>6.9734870323344939E-2</v>
      </c>
      <c r="AT15" s="44">
        <v>3606</v>
      </c>
      <c r="AU15" s="44">
        <v>1820885.4482556721</v>
      </c>
      <c r="AV15" s="44">
        <v>80</v>
      </c>
      <c r="AW15" s="44">
        <v>86128.545913760012</v>
      </c>
      <c r="AX15" s="40">
        <f t="shared" si="53"/>
        <v>4.7300364773779351E-2</v>
      </c>
      <c r="AY15" s="41">
        <v>3751</v>
      </c>
      <c r="AZ15" s="41">
        <v>1839881.8131117891</v>
      </c>
      <c r="BA15" s="41">
        <v>87</v>
      </c>
      <c r="BB15" s="41">
        <v>87276.546336390034</v>
      </c>
      <c r="BC15" s="40">
        <f t="shared" si="54"/>
        <v>4.7435952523917475E-2</v>
      </c>
      <c r="BD15" s="39">
        <v>3900</v>
      </c>
      <c r="BE15" s="39">
        <v>389074.95099616126</v>
      </c>
      <c r="BF15" s="39">
        <v>102</v>
      </c>
      <c r="BG15" s="39">
        <v>100947.36917979002</v>
      </c>
      <c r="BH15" s="40">
        <f t="shared" si="55"/>
        <v>0.25945481435217349</v>
      </c>
      <c r="BI15" s="39">
        <v>3943</v>
      </c>
      <c r="BJ15" s="39">
        <v>425557.6816568583</v>
      </c>
      <c r="BK15" s="39">
        <v>124</v>
      </c>
      <c r="BL15" s="39">
        <v>135904.35781835005</v>
      </c>
      <c r="BM15" s="40">
        <f t="shared" si="56"/>
        <v>0.31935590326844193</v>
      </c>
      <c r="BN15" s="42">
        <v>0</v>
      </c>
      <c r="BO15" s="42">
        <v>0</v>
      </c>
    </row>
    <row r="16" spans="1:67" s="29" customFormat="1" ht="35.1" customHeight="1" x14ac:dyDescent="0.25">
      <c r="A16" s="38">
        <f t="shared" si="57"/>
        <v>10</v>
      </c>
      <c r="B16" s="45" t="s">
        <v>2050</v>
      </c>
      <c r="C16" s="45" t="s">
        <v>2052</v>
      </c>
      <c r="D16" s="64">
        <v>11201</v>
      </c>
      <c r="E16" s="45" t="s">
        <v>2047</v>
      </c>
      <c r="F16" s="41">
        <v>5400</v>
      </c>
      <c r="G16" s="41">
        <v>524062.19971796003</v>
      </c>
      <c r="H16" s="41">
        <v>10</v>
      </c>
      <c r="I16" s="41">
        <v>12109.092306400002</v>
      </c>
      <c r="J16" s="40">
        <f t="shared" si="45"/>
        <v>2.310621203535931E-2</v>
      </c>
      <c r="K16" s="41">
        <v>5422</v>
      </c>
      <c r="L16" s="41">
        <v>522062.20917504921</v>
      </c>
      <c r="M16" s="41">
        <v>13</v>
      </c>
      <c r="N16" s="41">
        <v>11870.217772329999</v>
      </c>
      <c r="O16" s="40">
        <f t="shared" si="46"/>
        <v>2.2737171095159419E-2</v>
      </c>
      <c r="P16" s="41">
        <v>5481</v>
      </c>
      <c r="Q16" s="41">
        <v>560935.82740773889</v>
      </c>
      <c r="R16" s="41">
        <v>3</v>
      </c>
      <c r="S16" s="41">
        <v>11781.290028149999</v>
      </c>
      <c r="T16" s="40">
        <f t="shared" si="47"/>
        <v>2.1002919500783271E-2</v>
      </c>
      <c r="U16" s="41">
        <v>5625</v>
      </c>
      <c r="V16" s="41">
        <v>628583.5176633891</v>
      </c>
      <c r="W16" s="41">
        <v>8</v>
      </c>
      <c r="X16" s="41">
        <v>11680.053612060001</v>
      </c>
      <c r="Y16" s="40">
        <f t="shared" si="48"/>
        <v>1.8581546101427929E-2</v>
      </c>
      <c r="Z16" s="41">
        <v>5945</v>
      </c>
      <c r="AA16" s="41">
        <v>628848.15053777816</v>
      </c>
      <c r="AB16" s="41">
        <v>3</v>
      </c>
      <c r="AC16" s="41">
        <v>11610.043477090001</v>
      </c>
      <c r="AD16" s="40">
        <f t="shared" si="49"/>
        <v>1.8462395837789025E-2</v>
      </c>
      <c r="AE16" s="44">
        <v>6198</v>
      </c>
      <c r="AF16" s="44">
        <v>619234.20560724195</v>
      </c>
      <c r="AG16" s="44">
        <v>7</v>
      </c>
      <c r="AH16" s="44">
        <v>11674.581330779998</v>
      </c>
      <c r="AI16" s="40">
        <f t="shared" si="50"/>
        <v>1.8853256530510148E-2</v>
      </c>
      <c r="AJ16" s="44">
        <v>6418</v>
      </c>
      <c r="AK16" s="44">
        <v>604653.23501760815</v>
      </c>
      <c r="AL16" s="44">
        <v>4</v>
      </c>
      <c r="AM16" s="44">
        <v>10918.340562409998</v>
      </c>
      <c r="AN16" s="40">
        <f t="shared" si="51"/>
        <v>1.8057193660912182E-2</v>
      </c>
      <c r="AO16" s="44">
        <v>6705</v>
      </c>
      <c r="AP16" s="44">
        <v>587637.43109352002</v>
      </c>
      <c r="AQ16" s="44">
        <v>26</v>
      </c>
      <c r="AR16" s="44">
        <v>11436.137273429998</v>
      </c>
      <c r="AS16" s="40">
        <f t="shared" si="52"/>
        <v>1.9461213102352538E-2</v>
      </c>
      <c r="AT16" s="44">
        <v>6959</v>
      </c>
      <c r="AU16" s="44">
        <v>562956.41073168768</v>
      </c>
      <c r="AV16" s="44">
        <v>5</v>
      </c>
      <c r="AW16" s="44">
        <v>11087.979019159999</v>
      </c>
      <c r="AX16" s="40">
        <f t="shared" si="53"/>
        <v>1.9695981443303385E-2</v>
      </c>
      <c r="AY16" s="41">
        <v>7279</v>
      </c>
      <c r="AZ16" s="41">
        <v>601847.22278297856</v>
      </c>
      <c r="BA16" s="41">
        <v>24</v>
      </c>
      <c r="BB16" s="41">
        <v>1522.5997102199995</v>
      </c>
      <c r="BC16" s="40">
        <f t="shared" si="54"/>
        <v>2.5298774382963916E-3</v>
      </c>
      <c r="BD16" s="39">
        <v>7566</v>
      </c>
      <c r="BE16" s="39">
        <v>399828.68104144034</v>
      </c>
      <c r="BF16" s="39">
        <v>30</v>
      </c>
      <c r="BG16" s="39">
        <v>720.3614556</v>
      </c>
      <c r="BH16" s="40">
        <f t="shared" si="55"/>
        <v>1.8016752918366503E-3</v>
      </c>
      <c r="BI16" s="39">
        <v>7733</v>
      </c>
      <c r="BJ16" s="39">
        <v>447069.60661970032</v>
      </c>
      <c r="BK16" s="39">
        <v>53</v>
      </c>
      <c r="BL16" s="39">
        <v>1788.2571661099998</v>
      </c>
      <c r="BM16" s="40">
        <f t="shared" si="56"/>
        <v>3.9999524450589196E-3</v>
      </c>
      <c r="BN16" s="42">
        <v>0</v>
      </c>
      <c r="BO16" s="42">
        <v>0</v>
      </c>
    </row>
    <row r="17" spans="1:67" s="29" customFormat="1" ht="35.1" customHeight="1" x14ac:dyDescent="0.25">
      <c r="A17" s="38">
        <f t="shared" si="57"/>
        <v>11</v>
      </c>
      <c r="B17" s="45" t="s">
        <v>2050</v>
      </c>
      <c r="C17" s="45" t="s">
        <v>2053</v>
      </c>
      <c r="D17" s="64">
        <v>11202</v>
      </c>
      <c r="E17" s="45" t="s">
        <v>2054</v>
      </c>
      <c r="F17" s="41">
        <v>2765</v>
      </c>
      <c r="G17" s="41">
        <v>216971.21685204966</v>
      </c>
      <c r="H17" s="41">
        <v>4</v>
      </c>
      <c r="I17" s="41">
        <v>4275.01437575</v>
      </c>
      <c r="J17" s="40">
        <f t="shared" si="45"/>
        <v>1.9703140526077641E-2</v>
      </c>
      <c r="K17" s="41">
        <v>2837</v>
      </c>
      <c r="L17" s="41">
        <v>215396.27296505956</v>
      </c>
      <c r="M17" s="41">
        <v>7</v>
      </c>
      <c r="N17" s="41">
        <v>4425.1994636700001</v>
      </c>
      <c r="O17" s="40">
        <f t="shared" si="46"/>
        <v>2.0544456980403893E-2</v>
      </c>
      <c r="P17" s="41">
        <v>2924</v>
      </c>
      <c r="Q17" s="41">
        <v>218567.32062933006</v>
      </c>
      <c r="R17" s="41">
        <v>10</v>
      </c>
      <c r="S17" s="41">
        <v>5153.7887029599988</v>
      </c>
      <c r="T17" s="40">
        <f t="shared" si="47"/>
        <v>2.3579868610369009E-2</v>
      </c>
      <c r="U17" s="41">
        <v>3032</v>
      </c>
      <c r="V17" s="41">
        <v>220976.53488500026</v>
      </c>
      <c r="W17" s="41">
        <v>8</v>
      </c>
      <c r="X17" s="41">
        <v>3123.2222857500001</v>
      </c>
      <c r="Y17" s="40">
        <f t="shared" si="48"/>
        <v>1.4133728214062977E-2</v>
      </c>
      <c r="Z17" s="41">
        <v>3276</v>
      </c>
      <c r="AA17" s="41">
        <v>232731.62891608002</v>
      </c>
      <c r="AB17" s="41">
        <v>11</v>
      </c>
      <c r="AC17" s="41">
        <v>7932.7375136299997</v>
      </c>
      <c r="AD17" s="40">
        <f t="shared" si="49"/>
        <v>3.4085343494460914E-2</v>
      </c>
      <c r="AE17" s="44">
        <v>3612</v>
      </c>
      <c r="AF17" s="44">
        <v>256139.87837791978</v>
      </c>
      <c r="AG17" s="44">
        <v>22</v>
      </c>
      <c r="AH17" s="44">
        <v>9497.663271049998</v>
      </c>
      <c r="AI17" s="40">
        <f t="shared" si="50"/>
        <v>3.7079986651031113E-2</v>
      </c>
      <c r="AJ17" s="44">
        <v>3864</v>
      </c>
      <c r="AK17" s="44">
        <v>259887.51204361022</v>
      </c>
      <c r="AL17" s="44">
        <v>18</v>
      </c>
      <c r="AM17" s="44">
        <v>3010.6817934999995</v>
      </c>
      <c r="AN17" s="40">
        <f t="shared" si="51"/>
        <v>1.1584557371863233E-2</v>
      </c>
      <c r="AO17" s="44">
        <v>4295</v>
      </c>
      <c r="AP17" s="44">
        <v>282620.37439568999</v>
      </c>
      <c r="AQ17" s="44">
        <v>35</v>
      </c>
      <c r="AR17" s="44">
        <v>3719.9982543399997</v>
      </c>
      <c r="AS17" s="40">
        <f t="shared" si="52"/>
        <v>1.3162526807539076E-2</v>
      </c>
      <c r="AT17" s="44">
        <v>4771</v>
      </c>
      <c r="AU17" s="44">
        <v>297894.64583415043</v>
      </c>
      <c r="AV17" s="44">
        <v>25</v>
      </c>
      <c r="AW17" s="44">
        <v>3266.56621683</v>
      </c>
      <c r="AX17" s="40">
        <f t="shared" si="53"/>
        <v>1.0965508318160995E-2</v>
      </c>
      <c r="AY17" s="41">
        <v>5185</v>
      </c>
      <c r="AZ17" s="41">
        <v>310322.89913760038</v>
      </c>
      <c r="BA17" s="41">
        <v>38</v>
      </c>
      <c r="BB17" s="41">
        <v>1596.15144951</v>
      </c>
      <c r="BC17" s="40">
        <f t="shared" si="54"/>
        <v>5.1435181030654456E-3</v>
      </c>
      <c r="BD17" s="39">
        <v>5474</v>
      </c>
      <c r="BE17" s="39">
        <v>301970.61221464089</v>
      </c>
      <c r="BF17" s="39">
        <v>31</v>
      </c>
      <c r="BG17" s="39">
        <v>1400.2510877900002</v>
      </c>
      <c r="BH17" s="40">
        <f t="shared" si="55"/>
        <v>4.6370442392410722E-3</v>
      </c>
      <c r="BI17" s="39">
        <v>5714</v>
      </c>
      <c r="BJ17" s="39">
        <v>324878.82992392208</v>
      </c>
      <c r="BK17" s="39">
        <v>55</v>
      </c>
      <c r="BL17" s="39">
        <v>12291.615601940002</v>
      </c>
      <c r="BM17" s="40">
        <f t="shared" si="56"/>
        <v>3.7834461558539749E-2</v>
      </c>
      <c r="BN17" s="42">
        <v>0</v>
      </c>
      <c r="BO17" s="42">
        <v>0</v>
      </c>
    </row>
    <row r="18" spans="1:67" s="29" customFormat="1" ht="35.1" customHeight="1" x14ac:dyDescent="0.25">
      <c r="A18" s="38">
        <f t="shared" si="57"/>
        <v>12</v>
      </c>
      <c r="B18" s="45" t="s">
        <v>2050</v>
      </c>
      <c r="C18" s="45" t="s">
        <v>2055</v>
      </c>
      <c r="D18" s="64">
        <v>11199</v>
      </c>
      <c r="E18" s="45" t="s">
        <v>2037</v>
      </c>
      <c r="F18" s="41">
        <v>4083</v>
      </c>
      <c r="G18" s="41">
        <v>985152.42911603861</v>
      </c>
      <c r="H18" s="41">
        <v>0</v>
      </c>
      <c r="I18" s="41">
        <v>0</v>
      </c>
      <c r="J18" s="40">
        <f t="shared" si="45"/>
        <v>0</v>
      </c>
      <c r="K18" s="41">
        <v>4215</v>
      </c>
      <c r="L18" s="41">
        <v>955443.95447202015</v>
      </c>
      <c r="M18" s="41">
        <v>5</v>
      </c>
      <c r="N18" s="41">
        <v>374.61111564999999</v>
      </c>
      <c r="O18" s="40">
        <f t="shared" si="46"/>
        <v>3.9208068029171912E-4</v>
      </c>
      <c r="P18" s="41">
        <v>4292</v>
      </c>
      <c r="Q18" s="41">
        <v>948065.54538387037</v>
      </c>
      <c r="R18" s="41">
        <v>2</v>
      </c>
      <c r="S18" s="41">
        <v>37.587212000000001</v>
      </c>
      <c r="T18" s="40">
        <f t="shared" si="47"/>
        <v>3.9646216638725113E-5</v>
      </c>
      <c r="U18" s="41">
        <v>4466</v>
      </c>
      <c r="V18" s="41">
        <v>938814.69386794989</v>
      </c>
      <c r="W18" s="41">
        <v>2</v>
      </c>
      <c r="X18" s="41">
        <v>243.556431</v>
      </c>
      <c r="Y18" s="40">
        <f t="shared" si="48"/>
        <v>2.5942971769704506E-4</v>
      </c>
      <c r="Z18" s="41">
        <v>4874</v>
      </c>
      <c r="AA18" s="41">
        <v>951419.44602905994</v>
      </c>
      <c r="AB18" s="41">
        <v>8</v>
      </c>
      <c r="AC18" s="41">
        <v>343.92692085999994</v>
      </c>
      <c r="AD18" s="40">
        <f t="shared" si="49"/>
        <v>3.6148821878241821E-4</v>
      </c>
      <c r="AE18" s="44">
        <v>5274</v>
      </c>
      <c r="AF18" s="44">
        <v>947172.94957100041</v>
      </c>
      <c r="AG18" s="44">
        <v>28</v>
      </c>
      <c r="AH18" s="44">
        <v>602.44272592000004</v>
      </c>
      <c r="AI18" s="40">
        <f t="shared" si="50"/>
        <v>6.3604300164279634E-4</v>
      </c>
      <c r="AJ18" s="44">
        <v>5567</v>
      </c>
      <c r="AK18" s="44">
        <v>1088652.4547719492</v>
      </c>
      <c r="AL18" s="44">
        <v>10</v>
      </c>
      <c r="AM18" s="44">
        <v>319.47054267999999</v>
      </c>
      <c r="AN18" s="40">
        <f t="shared" si="51"/>
        <v>2.9345503358730094E-4</v>
      </c>
      <c r="AO18" s="44">
        <v>5893</v>
      </c>
      <c r="AP18" s="44">
        <v>1087499.6075715499</v>
      </c>
      <c r="AQ18" s="44">
        <v>14</v>
      </c>
      <c r="AR18" s="44">
        <v>982.46690000000012</v>
      </c>
      <c r="AS18" s="40">
        <f t="shared" si="52"/>
        <v>9.0341816508228998E-4</v>
      </c>
      <c r="AT18" s="44">
        <v>6281</v>
      </c>
      <c r="AU18" s="44">
        <v>1039397.9521940892</v>
      </c>
      <c r="AV18" s="44">
        <v>8</v>
      </c>
      <c r="AW18" s="44">
        <v>424.36849154000004</v>
      </c>
      <c r="AX18" s="40">
        <f t="shared" si="53"/>
        <v>4.0828297828006182E-4</v>
      </c>
      <c r="AY18" s="41">
        <v>6697</v>
      </c>
      <c r="AZ18" s="41">
        <v>985589.30732335837</v>
      </c>
      <c r="BA18" s="41">
        <v>21</v>
      </c>
      <c r="BB18" s="41">
        <v>399.65657490999996</v>
      </c>
      <c r="BC18" s="40">
        <f t="shared" si="54"/>
        <v>4.0550011241028826E-4</v>
      </c>
      <c r="BD18" s="39">
        <v>7057</v>
      </c>
      <c r="BE18" s="39">
        <v>321769.0694923597</v>
      </c>
      <c r="BF18" s="39">
        <v>27</v>
      </c>
      <c r="BG18" s="39">
        <v>1012.8118790599999</v>
      </c>
      <c r="BH18" s="40">
        <f t="shared" si="55"/>
        <v>3.1476359137249167E-3</v>
      </c>
      <c r="BI18" s="39">
        <v>7183</v>
      </c>
      <c r="BJ18" s="39">
        <v>325084.44853411993</v>
      </c>
      <c r="BK18" s="39">
        <v>43</v>
      </c>
      <c r="BL18" s="39">
        <v>1329.5283113400001</v>
      </c>
      <c r="BM18" s="40">
        <f t="shared" si="56"/>
        <v>4.0897936438828346E-3</v>
      </c>
      <c r="BN18" s="42">
        <v>0</v>
      </c>
      <c r="BO18" s="42">
        <v>0</v>
      </c>
    </row>
    <row r="19" spans="1:67" s="29" customFormat="1" ht="35.1" customHeight="1" x14ac:dyDescent="0.25">
      <c r="A19" s="38">
        <f t="shared" si="57"/>
        <v>13</v>
      </c>
      <c r="B19" s="45" t="s">
        <v>2050</v>
      </c>
      <c r="C19" s="45" t="s">
        <v>2056</v>
      </c>
      <c r="D19" s="64">
        <v>11200</v>
      </c>
      <c r="E19" s="45" t="s">
        <v>2049</v>
      </c>
      <c r="F19" s="41">
        <v>4632</v>
      </c>
      <c r="G19" s="41">
        <v>238799.80258043011</v>
      </c>
      <c r="H19" s="41">
        <v>4</v>
      </c>
      <c r="I19" s="41">
        <v>14351.23986654</v>
      </c>
      <c r="J19" s="40">
        <f t="shared" si="45"/>
        <v>6.009736905752408E-2</v>
      </c>
      <c r="K19" s="41">
        <v>4693</v>
      </c>
      <c r="L19" s="41">
        <v>239747.26238260983</v>
      </c>
      <c r="M19" s="41">
        <v>21</v>
      </c>
      <c r="N19" s="41">
        <v>15772.761828500001</v>
      </c>
      <c r="O19" s="40">
        <f t="shared" si="46"/>
        <v>6.5789121726564023E-2</v>
      </c>
      <c r="P19" s="41">
        <v>4727</v>
      </c>
      <c r="Q19" s="41">
        <v>244891.05300062048</v>
      </c>
      <c r="R19" s="41">
        <v>23</v>
      </c>
      <c r="S19" s="41">
        <v>39037.195110640008</v>
      </c>
      <c r="T19" s="40">
        <f t="shared" si="47"/>
        <v>0.15940637533434551</v>
      </c>
      <c r="U19" s="41">
        <v>4873</v>
      </c>
      <c r="V19" s="41">
        <v>257347.95420249045</v>
      </c>
      <c r="W19" s="41">
        <v>17</v>
      </c>
      <c r="X19" s="41">
        <v>15771.334847790002</v>
      </c>
      <c r="Y19" s="40">
        <f t="shared" si="48"/>
        <v>6.1284088683217428E-2</v>
      </c>
      <c r="Z19" s="41">
        <v>5326</v>
      </c>
      <c r="AA19" s="41">
        <v>278189.42576681974</v>
      </c>
      <c r="AB19" s="41">
        <v>31</v>
      </c>
      <c r="AC19" s="41">
        <v>17739.376574810001</v>
      </c>
      <c r="AD19" s="40">
        <f t="shared" si="49"/>
        <v>6.3767256882291665E-2</v>
      </c>
      <c r="AE19" s="44">
        <v>5619</v>
      </c>
      <c r="AF19" s="44">
        <v>293638.06551546889</v>
      </c>
      <c r="AG19" s="44">
        <v>37</v>
      </c>
      <c r="AH19" s="44">
        <v>16843.954773009998</v>
      </c>
      <c r="AI19" s="40">
        <f t="shared" si="50"/>
        <v>5.7362980999895792E-2</v>
      </c>
      <c r="AJ19" s="44">
        <v>5938</v>
      </c>
      <c r="AK19" s="44">
        <v>329845.14931966009</v>
      </c>
      <c r="AL19" s="44">
        <v>26</v>
      </c>
      <c r="AM19" s="44">
        <v>16990.805590669999</v>
      </c>
      <c r="AN19" s="40">
        <f t="shared" si="51"/>
        <v>5.1511461137795422E-2</v>
      </c>
      <c r="AO19" s="44">
        <v>6324</v>
      </c>
      <c r="AP19" s="44">
        <v>348407.36389037996</v>
      </c>
      <c r="AQ19" s="44">
        <v>40</v>
      </c>
      <c r="AR19" s="44">
        <v>17512.015423509998</v>
      </c>
      <c r="AS19" s="40">
        <f t="shared" si="52"/>
        <v>5.0263046188139225E-2</v>
      </c>
      <c r="AT19" s="44">
        <v>6731</v>
      </c>
      <c r="AU19" s="44">
        <v>386644.08069221105</v>
      </c>
      <c r="AV19" s="44">
        <v>48</v>
      </c>
      <c r="AW19" s="44">
        <v>17520.022848529996</v>
      </c>
      <c r="AX19" s="40">
        <f t="shared" si="53"/>
        <v>4.5313050744663672E-2</v>
      </c>
      <c r="AY19" s="41">
        <v>7075</v>
      </c>
      <c r="AZ19" s="41">
        <v>384552.30733937968</v>
      </c>
      <c r="BA19" s="41">
        <v>115</v>
      </c>
      <c r="BB19" s="41">
        <v>9172.478254040001</v>
      </c>
      <c r="BC19" s="40">
        <f t="shared" si="54"/>
        <v>2.3852355268655291E-2</v>
      </c>
      <c r="BD19" s="39">
        <v>5857</v>
      </c>
      <c r="BE19" s="39">
        <v>318026.30370676069</v>
      </c>
      <c r="BF19" s="39">
        <v>111</v>
      </c>
      <c r="BG19" s="39">
        <v>8790.5376479499992</v>
      </c>
      <c r="BH19" s="40">
        <f t="shared" si="55"/>
        <v>2.7640913803329305E-2</v>
      </c>
      <c r="BI19" s="39">
        <v>7531</v>
      </c>
      <c r="BJ19" s="39">
        <v>414115.3201775687</v>
      </c>
      <c r="BK19" s="39">
        <v>179</v>
      </c>
      <c r="BL19" s="39">
        <v>13586.715523810004</v>
      </c>
      <c r="BM19" s="40">
        <f t="shared" si="56"/>
        <v>3.2809014450332699E-2</v>
      </c>
      <c r="BN19" s="42">
        <v>0</v>
      </c>
      <c r="BO19" s="42">
        <v>0</v>
      </c>
    </row>
    <row r="20" spans="1:67" s="29" customFormat="1" ht="35.1" customHeight="1" x14ac:dyDescent="0.25">
      <c r="A20" s="38">
        <f t="shared" si="57"/>
        <v>14</v>
      </c>
      <c r="B20" s="45" t="s">
        <v>2050</v>
      </c>
      <c r="C20" s="45" t="s">
        <v>2057</v>
      </c>
      <c r="D20" s="64">
        <v>11203</v>
      </c>
      <c r="E20" s="45" t="s">
        <v>2041</v>
      </c>
      <c r="F20" s="41">
        <v>3773</v>
      </c>
      <c r="G20" s="41">
        <v>167862.7496123006</v>
      </c>
      <c r="H20" s="41">
        <v>14</v>
      </c>
      <c r="I20" s="41">
        <v>312.73358697000003</v>
      </c>
      <c r="J20" s="40">
        <f t="shared" si="45"/>
        <v>1.8630314807323021E-3</v>
      </c>
      <c r="K20" s="41">
        <v>3792</v>
      </c>
      <c r="L20" s="41">
        <v>150572.00983554006</v>
      </c>
      <c r="M20" s="41">
        <v>27</v>
      </c>
      <c r="N20" s="41">
        <v>532.77962105000006</v>
      </c>
      <c r="O20" s="40">
        <f t="shared" si="46"/>
        <v>3.5383709205443984E-3</v>
      </c>
      <c r="P20" s="41">
        <v>3919</v>
      </c>
      <c r="Q20" s="41">
        <v>137256.93420060992</v>
      </c>
      <c r="R20" s="41">
        <v>28</v>
      </c>
      <c r="S20" s="41">
        <v>6161.2273109399994</v>
      </c>
      <c r="T20" s="40">
        <f t="shared" si="47"/>
        <v>4.4888277206709029E-2</v>
      </c>
      <c r="U20" s="41">
        <v>4074</v>
      </c>
      <c r="V20" s="41">
        <v>142430.86801133005</v>
      </c>
      <c r="W20" s="41">
        <v>26</v>
      </c>
      <c r="X20" s="41">
        <v>520.12474403999988</v>
      </c>
      <c r="Y20" s="40">
        <f t="shared" si="48"/>
        <v>3.6517698115736061E-3</v>
      </c>
      <c r="Z20" s="41">
        <v>4242</v>
      </c>
      <c r="AA20" s="41">
        <v>148842.26293423999</v>
      </c>
      <c r="AB20" s="41">
        <v>29</v>
      </c>
      <c r="AC20" s="41">
        <v>1355.25095766</v>
      </c>
      <c r="AD20" s="40">
        <f t="shared" si="49"/>
        <v>9.105283210177768E-3</v>
      </c>
      <c r="AE20" s="44">
        <v>4399</v>
      </c>
      <c r="AF20" s="44">
        <v>156270.23428618067</v>
      </c>
      <c r="AG20" s="44">
        <v>32</v>
      </c>
      <c r="AH20" s="44">
        <v>696.31768608999994</v>
      </c>
      <c r="AI20" s="40">
        <f t="shared" si="50"/>
        <v>4.4558561601361658E-3</v>
      </c>
      <c r="AJ20" s="44">
        <v>4571</v>
      </c>
      <c r="AK20" s="44">
        <v>158885.37882803989</v>
      </c>
      <c r="AL20" s="44">
        <v>38</v>
      </c>
      <c r="AM20" s="44">
        <v>1710.4476478499996</v>
      </c>
      <c r="AN20" s="40">
        <f t="shared" si="51"/>
        <v>1.0765292945559205E-2</v>
      </c>
      <c r="AO20" s="44">
        <v>4796</v>
      </c>
      <c r="AP20" s="44">
        <v>165111.40029498001</v>
      </c>
      <c r="AQ20" s="44">
        <v>47</v>
      </c>
      <c r="AR20" s="44">
        <v>819.66318239999987</v>
      </c>
      <c r="AS20" s="40">
        <f t="shared" si="52"/>
        <v>4.9643039846771903E-3</v>
      </c>
      <c r="AT20" s="44">
        <v>4995</v>
      </c>
      <c r="AU20" s="44">
        <v>172393.37500250016</v>
      </c>
      <c r="AV20" s="44">
        <v>64</v>
      </c>
      <c r="AW20" s="44">
        <v>1535.4848556200004</v>
      </c>
      <c r="AX20" s="40">
        <f t="shared" si="53"/>
        <v>8.9068669581863682E-3</v>
      </c>
      <c r="AY20" s="41">
        <v>5246</v>
      </c>
      <c r="AZ20" s="41">
        <v>180785.20413640028</v>
      </c>
      <c r="BA20" s="41">
        <v>75</v>
      </c>
      <c r="BB20" s="41">
        <v>1490.9296445300001</v>
      </c>
      <c r="BC20" s="40">
        <f t="shared" si="54"/>
        <v>8.2469671766120384E-3</v>
      </c>
      <c r="BD20" s="39">
        <v>5463</v>
      </c>
      <c r="BE20" s="39">
        <v>186115.32035765977</v>
      </c>
      <c r="BF20" s="39">
        <v>104</v>
      </c>
      <c r="BG20" s="39">
        <v>3046.8241104500012</v>
      </c>
      <c r="BH20" s="40">
        <f t="shared" si="55"/>
        <v>1.6370624968406078E-2</v>
      </c>
      <c r="BI20" s="39">
        <v>5608</v>
      </c>
      <c r="BJ20" s="39">
        <v>188639.82851543961</v>
      </c>
      <c r="BK20" s="39">
        <v>129</v>
      </c>
      <c r="BL20" s="39">
        <v>4265.0928098800005</v>
      </c>
      <c r="BM20" s="40">
        <f t="shared" si="56"/>
        <v>2.2609715262389116E-2</v>
      </c>
      <c r="BN20" s="42">
        <v>0</v>
      </c>
      <c r="BO20" s="42">
        <v>0</v>
      </c>
    </row>
    <row r="21" spans="1:67" s="29" customFormat="1" ht="35.1" customHeight="1" x14ac:dyDescent="0.25">
      <c r="A21" s="38">
        <f t="shared" si="57"/>
        <v>15</v>
      </c>
      <c r="B21" s="45" t="s">
        <v>2058</v>
      </c>
      <c r="C21" s="45" t="s">
        <v>2059</v>
      </c>
      <c r="D21" s="64" t="s">
        <v>11</v>
      </c>
      <c r="E21" s="45" t="s">
        <v>2060</v>
      </c>
      <c r="F21" s="41">
        <v>5170</v>
      </c>
      <c r="G21" s="41">
        <v>180459.85186729065</v>
      </c>
      <c r="H21" s="41">
        <v>443</v>
      </c>
      <c r="I21" s="41">
        <v>28492.940532049983</v>
      </c>
      <c r="J21" s="40">
        <f t="shared" si="45"/>
        <v>0.15789074543297066</v>
      </c>
      <c r="K21" s="41">
        <v>5404</v>
      </c>
      <c r="L21" s="41">
        <v>182387.32633333007</v>
      </c>
      <c r="M21" s="41">
        <v>457</v>
      </c>
      <c r="N21" s="41">
        <v>28841.396022269957</v>
      </c>
      <c r="O21" s="40">
        <f t="shared" si="46"/>
        <v>0.15813267622312518</v>
      </c>
      <c r="P21" s="41">
        <v>5353</v>
      </c>
      <c r="Q21" s="41">
        <v>181296.73187236983</v>
      </c>
      <c r="R21" s="41">
        <v>494</v>
      </c>
      <c r="S21" s="41">
        <v>31196.195477099976</v>
      </c>
      <c r="T21" s="40">
        <f t="shared" si="47"/>
        <v>0.17207257491581054</v>
      </c>
      <c r="U21" s="41">
        <v>4957</v>
      </c>
      <c r="V21" s="41">
        <v>179894.09049686955</v>
      </c>
      <c r="W21" s="41">
        <v>498</v>
      </c>
      <c r="X21" s="41">
        <v>30375.665185940001</v>
      </c>
      <c r="Y21" s="40">
        <f t="shared" si="48"/>
        <v>0.16885304626762371</v>
      </c>
      <c r="Z21" s="41">
        <v>5272</v>
      </c>
      <c r="AA21" s="41">
        <v>180929.10896443957</v>
      </c>
      <c r="AB21" s="41">
        <v>523</v>
      </c>
      <c r="AC21" s="41">
        <v>46805.565353449951</v>
      </c>
      <c r="AD21" s="40">
        <f t="shared" si="49"/>
        <v>0.25869560526409974</v>
      </c>
      <c r="AE21" s="44">
        <v>5343</v>
      </c>
      <c r="AF21" s="44">
        <v>172164.26710983971</v>
      </c>
      <c r="AG21" s="44">
        <v>758</v>
      </c>
      <c r="AH21" s="44">
        <v>42621.638611769995</v>
      </c>
      <c r="AI21" s="40">
        <f t="shared" si="50"/>
        <v>0.24756379083342339</v>
      </c>
      <c r="AJ21" s="44">
        <v>5172</v>
      </c>
      <c r="AK21" s="44">
        <v>168109.13473321006</v>
      </c>
      <c r="AL21" s="44">
        <v>792</v>
      </c>
      <c r="AM21" s="44">
        <v>45604.618448790046</v>
      </c>
      <c r="AN21" s="40">
        <f t="shared" si="51"/>
        <v>0.27127983569224112</v>
      </c>
      <c r="AO21" s="44">
        <v>5182</v>
      </c>
      <c r="AP21" s="44">
        <v>156484.57130012999</v>
      </c>
      <c r="AQ21" s="44">
        <v>559</v>
      </c>
      <c r="AR21" s="44">
        <v>38184.773798120048</v>
      </c>
      <c r="AS21" s="40">
        <f t="shared" si="52"/>
        <v>0.24401622141318624</v>
      </c>
      <c r="AT21" s="44">
        <v>5198</v>
      </c>
      <c r="AU21" s="44">
        <v>157847.09320616059</v>
      </c>
      <c r="AV21" s="44">
        <v>554</v>
      </c>
      <c r="AW21" s="44">
        <v>37913.390811269994</v>
      </c>
      <c r="AX21" s="40">
        <f t="shared" si="53"/>
        <v>0.24019061764889238</v>
      </c>
      <c r="AY21" s="41">
        <v>4865</v>
      </c>
      <c r="AZ21" s="41">
        <v>156190.13830807034</v>
      </c>
      <c r="BA21" s="41">
        <v>635</v>
      </c>
      <c r="BB21" s="41">
        <v>38783.859611990039</v>
      </c>
      <c r="BC21" s="40">
        <f t="shared" si="54"/>
        <v>0.24831183346219035</v>
      </c>
      <c r="BD21" s="39">
        <v>4831</v>
      </c>
      <c r="BE21" s="39">
        <v>166734.51717792003</v>
      </c>
      <c r="BF21" s="39">
        <v>694</v>
      </c>
      <c r="BG21" s="39">
        <v>39297.552445139969</v>
      </c>
      <c r="BH21" s="40">
        <f t="shared" si="55"/>
        <v>0.23568936480744482</v>
      </c>
      <c r="BI21" s="39">
        <v>4846</v>
      </c>
      <c r="BJ21" s="39">
        <v>157410.44690997977</v>
      </c>
      <c r="BK21" s="39">
        <v>716</v>
      </c>
      <c r="BL21" s="39">
        <v>33420.137729220027</v>
      </c>
      <c r="BM21" s="40">
        <f t="shared" si="56"/>
        <v>0.21231206940370614</v>
      </c>
      <c r="BN21" s="42">
        <v>0</v>
      </c>
      <c r="BO21" s="42">
        <v>0</v>
      </c>
    </row>
    <row r="22" spans="1:67" s="29" customFormat="1" ht="35.1" customHeight="1" x14ac:dyDescent="0.25">
      <c r="A22" s="38">
        <f t="shared" si="57"/>
        <v>16</v>
      </c>
      <c r="B22" s="45" t="s">
        <v>2058</v>
      </c>
      <c r="C22" s="45" t="s">
        <v>2061</v>
      </c>
      <c r="D22" s="64" t="s">
        <v>21</v>
      </c>
      <c r="E22" s="45" t="s">
        <v>2062</v>
      </c>
      <c r="F22" s="41">
        <v>2801</v>
      </c>
      <c r="G22" s="41">
        <v>650053.47714989842</v>
      </c>
      <c r="H22" s="41">
        <v>89</v>
      </c>
      <c r="I22" s="41">
        <v>30503.454060199994</v>
      </c>
      <c r="J22" s="40">
        <f t="shared" si="45"/>
        <v>4.6924530261632735E-2</v>
      </c>
      <c r="K22" s="41">
        <v>2796</v>
      </c>
      <c r="L22" s="41">
        <v>649018.84415682056</v>
      </c>
      <c r="M22" s="41">
        <v>85</v>
      </c>
      <c r="N22" s="41">
        <v>28083.482415559996</v>
      </c>
      <c r="O22" s="40">
        <f t="shared" si="46"/>
        <v>4.3270673368575208E-2</v>
      </c>
      <c r="P22" s="41">
        <v>2923</v>
      </c>
      <c r="Q22" s="41">
        <v>654043.39118228073</v>
      </c>
      <c r="R22" s="41">
        <v>90</v>
      </c>
      <c r="S22" s="41">
        <v>34477.24584110998</v>
      </c>
      <c r="T22" s="40">
        <f t="shared" si="47"/>
        <v>5.2714003850397796E-2</v>
      </c>
      <c r="U22" s="41">
        <v>3003</v>
      </c>
      <c r="V22" s="41">
        <v>665437.20689066977</v>
      </c>
      <c r="W22" s="41">
        <v>91</v>
      </c>
      <c r="X22" s="41">
        <v>480004.95299448998</v>
      </c>
      <c r="Y22" s="40">
        <f t="shared" si="48"/>
        <v>0.72133771304638516</v>
      </c>
      <c r="Z22" s="41">
        <v>3064</v>
      </c>
      <c r="AA22" s="41">
        <v>695130.37817501929</v>
      </c>
      <c r="AB22" s="41">
        <v>78</v>
      </c>
      <c r="AC22" s="41">
        <v>476043.59935262997</v>
      </c>
      <c r="AD22" s="40">
        <f t="shared" si="49"/>
        <v>0.68482634955822941</v>
      </c>
      <c r="AE22" s="44">
        <v>3127</v>
      </c>
      <c r="AF22" s="44">
        <v>709734.09718966228</v>
      </c>
      <c r="AG22" s="44">
        <v>179</v>
      </c>
      <c r="AH22" s="44">
        <v>476606.19405213004</v>
      </c>
      <c r="AI22" s="40">
        <f t="shared" si="50"/>
        <v>0.6715278242081788</v>
      </c>
      <c r="AJ22" s="44">
        <v>3019</v>
      </c>
      <c r="AK22" s="44">
        <v>720211.27774888836</v>
      </c>
      <c r="AL22" s="44">
        <v>215</v>
      </c>
      <c r="AM22" s="44">
        <v>471062.67406011006</v>
      </c>
      <c r="AN22" s="40">
        <f t="shared" si="51"/>
        <v>0.6540617852201317</v>
      </c>
      <c r="AO22" s="44">
        <v>3011</v>
      </c>
      <c r="AP22" s="44">
        <v>713987.71450058999</v>
      </c>
      <c r="AQ22" s="44">
        <v>112</v>
      </c>
      <c r="AR22" s="44">
        <v>469213.21198420983</v>
      </c>
      <c r="AS22" s="40">
        <f t="shared" si="52"/>
        <v>0.65717266901771332</v>
      </c>
      <c r="AT22" s="44">
        <v>3055</v>
      </c>
      <c r="AU22" s="44">
        <v>712272.98387687106</v>
      </c>
      <c r="AV22" s="44">
        <v>106</v>
      </c>
      <c r="AW22" s="44">
        <v>469397.63991466979</v>
      </c>
      <c r="AX22" s="40">
        <f t="shared" si="53"/>
        <v>0.6590136795021464</v>
      </c>
      <c r="AY22" s="41">
        <v>2963</v>
      </c>
      <c r="AZ22" s="41">
        <v>706041.96550887101</v>
      </c>
      <c r="BA22" s="41">
        <v>122</v>
      </c>
      <c r="BB22" s="41">
        <v>469993.34409463982</v>
      </c>
      <c r="BC22" s="40">
        <f t="shared" si="54"/>
        <v>0.66567338353025229</v>
      </c>
      <c r="BD22" s="39">
        <v>3086</v>
      </c>
      <c r="BE22" s="39">
        <v>720819.10047735076</v>
      </c>
      <c r="BF22" s="39">
        <v>109</v>
      </c>
      <c r="BG22" s="39">
        <v>469734.44036638987</v>
      </c>
      <c r="BH22" s="40">
        <f t="shared" si="55"/>
        <v>0.65166758213720455</v>
      </c>
      <c r="BI22" s="39">
        <v>3141</v>
      </c>
      <c r="BJ22" s="39">
        <v>721115.53409874183</v>
      </c>
      <c r="BK22" s="39">
        <v>104</v>
      </c>
      <c r="BL22" s="39">
        <v>476752.12240084982</v>
      </c>
      <c r="BM22" s="40">
        <f t="shared" si="56"/>
        <v>0.66113139969547308</v>
      </c>
      <c r="BN22" s="42">
        <v>0</v>
      </c>
      <c r="BO22" s="42">
        <v>0</v>
      </c>
    </row>
    <row r="23" spans="1:67" s="29" customFormat="1" ht="35.1" customHeight="1" x14ac:dyDescent="0.25">
      <c r="A23" s="38">
        <f t="shared" si="57"/>
        <v>17</v>
      </c>
      <c r="B23" s="45" t="s">
        <v>2058</v>
      </c>
      <c r="C23" s="45" t="s">
        <v>2063</v>
      </c>
      <c r="D23" s="64" t="s">
        <v>14</v>
      </c>
      <c r="E23" s="45" t="s">
        <v>2064</v>
      </c>
      <c r="F23" s="41">
        <v>5096</v>
      </c>
      <c r="G23" s="41">
        <v>174441.10930036992</v>
      </c>
      <c r="H23" s="41">
        <v>100</v>
      </c>
      <c r="I23" s="41">
        <v>2561.6683066699993</v>
      </c>
      <c r="J23" s="40">
        <f t="shared" si="45"/>
        <v>1.4685003534683249E-2</v>
      </c>
      <c r="K23" s="41">
        <v>5517</v>
      </c>
      <c r="L23" s="41">
        <v>178451.0109619803</v>
      </c>
      <c r="M23" s="41">
        <v>100</v>
      </c>
      <c r="N23" s="41">
        <v>2003.4601631800003</v>
      </c>
      <c r="O23" s="40">
        <f t="shared" si="46"/>
        <v>1.122694767813249E-2</v>
      </c>
      <c r="P23" s="41">
        <v>5746</v>
      </c>
      <c r="Q23" s="41">
        <v>197667.50635109001</v>
      </c>
      <c r="R23" s="41">
        <v>117</v>
      </c>
      <c r="S23" s="41">
        <v>4576.0415467299972</v>
      </c>
      <c r="T23" s="40">
        <f t="shared" si="47"/>
        <v>2.3150196161235499E-2</v>
      </c>
      <c r="U23" s="41">
        <v>5246</v>
      </c>
      <c r="V23" s="41">
        <v>213872.15068728983</v>
      </c>
      <c r="W23" s="41">
        <v>114</v>
      </c>
      <c r="X23" s="41">
        <v>4602.2131532900003</v>
      </c>
      <c r="Y23" s="40">
        <f t="shared" si="48"/>
        <v>2.1518524681687339E-2</v>
      </c>
      <c r="Z23" s="41">
        <v>5730</v>
      </c>
      <c r="AA23" s="41">
        <v>229856.42806756988</v>
      </c>
      <c r="AB23" s="41">
        <v>113</v>
      </c>
      <c r="AC23" s="41">
        <v>4436.6996797199999</v>
      </c>
      <c r="AD23" s="40">
        <f t="shared" si="49"/>
        <v>1.9302047443353478E-2</v>
      </c>
      <c r="AE23" s="44">
        <v>5883</v>
      </c>
      <c r="AF23" s="44">
        <v>246030.90781082006</v>
      </c>
      <c r="AG23" s="44">
        <v>177</v>
      </c>
      <c r="AH23" s="44">
        <v>5892.7066617499995</v>
      </c>
      <c r="AI23" s="40">
        <f t="shared" si="50"/>
        <v>2.3951082870779242E-2</v>
      </c>
      <c r="AJ23" s="44">
        <v>5613</v>
      </c>
      <c r="AK23" s="44">
        <v>252768.06975921008</v>
      </c>
      <c r="AL23" s="44">
        <v>199</v>
      </c>
      <c r="AM23" s="44">
        <v>6781.0722989399956</v>
      </c>
      <c r="AN23" s="40">
        <f t="shared" si="51"/>
        <v>2.6827250393610742E-2</v>
      </c>
      <c r="AO23" s="44">
        <v>5537</v>
      </c>
      <c r="AP23" s="44">
        <v>240648.63761546</v>
      </c>
      <c r="AQ23" s="44">
        <v>117</v>
      </c>
      <c r="AR23" s="44">
        <v>4814.4558651699999</v>
      </c>
      <c r="AS23" s="40">
        <f t="shared" si="52"/>
        <v>2.000616298049927E-2</v>
      </c>
      <c r="AT23" s="44">
        <v>5552</v>
      </c>
      <c r="AU23" s="44">
        <v>244179.07243822012</v>
      </c>
      <c r="AV23" s="44">
        <v>118</v>
      </c>
      <c r="AW23" s="44">
        <v>4815.384969220001</v>
      </c>
      <c r="AX23" s="40">
        <f t="shared" si="53"/>
        <v>1.9720711202383424E-2</v>
      </c>
      <c r="AY23" s="41">
        <v>5196</v>
      </c>
      <c r="AZ23" s="41">
        <v>238127.15849251053</v>
      </c>
      <c r="BA23" s="41">
        <v>122</v>
      </c>
      <c r="BB23" s="41">
        <v>4471.8576005699997</v>
      </c>
      <c r="BC23" s="40">
        <f t="shared" si="54"/>
        <v>1.8779284265094218E-2</v>
      </c>
      <c r="BD23" s="39">
        <v>5429</v>
      </c>
      <c r="BE23" s="39">
        <v>230350.38483763009</v>
      </c>
      <c r="BF23" s="39">
        <v>131</v>
      </c>
      <c r="BG23" s="39">
        <v>4344.253891389998</v>
      </c>
      <c r="BH23" s="40">
        <f t="shared" si="55"/>
        <v>1.8859329861559318E-2</v>
      </c>
      <c r="BI23" s="39">
        <v>5491</v>
      </c>
      <c r="BJ23" s="39">
        <v>230425.90223739977</v>
      </c>
      <c r="BK23" s="39">
        <v>128</v>
      </c>
      <c r="BL23" s="39">
        <v>4224.0482467899974</v>
      </c>
      <c r="BM23" s="40">
        <f t="shared" si="56"/>
        <v>1.8331481859353242E-2</v>
      </c>
      <c r="BN23" s="42">
        <v>0</v>
      </c>
      <c r="BO23" s="42">
        <v>0</v>
      </c>
    </row>
    <row r="24" spans="1:67" s="29" customFormat="1" ht="35.1" customHeight="1" x14ac:dyDescent="0.25">
      <c r="A24" s="38">
        <f t="shared" si="57"/>
        <v>18</v>
      </c>
      <c r="B24" s="45" t="s">
        <v>2058</v>
      </c>
      <c r="C24" s="45" t="s">
        <v>2065</v>
      </c>
      <c r="D24" s="64" t="s">
        <v>22</v>
      </c>
      <c r="E24" s="45" t="s">
        <v>2066</v>
      </c>
      <c r="F24" s="41">
        <v>9064</v>
      </c>
      <c r="G24" s="41">
        <v>235996.7123214395</v>
      </c>
      <c r="H24" s="41">
        <v>286</v>
      </c>
      <c r="I24" s="41">
        <v>12591.494833899987</v>
      </c>
      <c r="J24" s="40">
        <f t="shared" si="45"/>
        <v>5.3354534942629761E-2</v>
      </c>
      <c r="K24" s="41">
        <v>9167</v>
      </c>
      <c r="L24" s="41">
        <v>246052.33386516984</v>
      </c>
      <c r="M24" s="41">
        <v>310</v>
      </c>
      <c r="N24" s="41">
        <v>12962.665858300008</v>
      </c>
      <c r="O24" s="40">
        <f t="shared" si="46"/>
        <v>5.2682556002103219E-2</v>
      </c>
      <c r="P24" s="41">
        <v>9347</v>
      </c>
      <c r="Q24" s="41">
        <v>253955.32412094992</v>
      </c>
      <c r="R24" s="41">
        <v>348</v>
      </c>
      <c r="S24" s="41">
        <v>13305.325559829989</v>
      </c>
      <c r="T24" s="40">
        <f t="shared" si="47"/>
        <v>5.2392386754975588E-2</v>
      </c>
      <c r="U24" s="41">
        <v>9149</v>
      </c>
      <c r="V24" s="41">
        <v>273281.59907598037</v>
      </c>
      <c r="W24" s="41">
        <v>306</v>
      </c>
      <c r="X24" s="41">
        <v>8138.9106676200026</v>
      </c>
      <c r="Y24" s="40">
        <f t="shared" si="48"/>
        <v>2.9782139357861209E-2</v>
      </c>
      <c r="Z24" s="41">
        <v>9315</v>
      </c>
      <c r="AA24" s="41">
        <v>298294.51900739019</v>
      </c>
      <c r="AB24" s="41">
        <v>285</v>
      </c>
      <c r="AC24" s="41">
        <v>7301.5007075499998</v>
      </c>
      <c r="AD24" s="40">
        <f t="shared" si="49"/>
        <v>2.4477488664044499E-2</v>
      </c>
      <c r="AE24" s="44">
        <v>9599</v>
      </c>
      <c r="AF24" s="44">
        <v>319720.01937582041</v>
      </c>
      <c r="AG24" s="44">
        <v>597</v>
      </c>
      <c r="AH24" s="44">
        <v>39442.0235751</v>
      </c>
      <c r="AI24" s="40">
        <f t="shared" si="50"/>
        <v>0.12336425992998953</v>
      </c>
      <c r="AJ24" s="44">
        <v>9029</v>
      </c>
      <c r="AK24" s="44">
        <v>321297.98781553027</v>
      </c>
      <c r="AL24" s="44">
        <v>582</v>
      </c>
      <c r="AM24" s="44">
        <v>12434.048093120007</v>
      </c>
      <c r="AN24" s="40">
        <f t="shared" si="51"/>
        <v>3.8699427212905174E-2</v>
      </c>
      <c r="AO24" s="44">
        <v>9054</v>
      </c>
      <c r="AP24" s="44">
        <v>313189.86526934995</v>
      </c>
      <c r="AQ24" s="44">
        <v>356</v>
      </c>
      <c r="AR24" s="44">
        <v>8001.5195850099981</v>
      </c>
      <c r="AS24" s="40">
        <f t="shared" si="52"/>
        <v>2.5548462681346733E-2</v>
      </c>
      <c r="AT24" s="44">
        <v>9110</v>
      </c>
      <c r="AU24" s="44">
        <v>315931.03516815038</v>
      </c>
      <c r="AV24" s="44">
        <v>359</v>
      </c>
      <c r="AW24" s="44">
        <v>8149.6163743899997</v>
      </c>
      <c r="AX24" s="40">
        <f t="shared" si="53"/>
        <v>2.5795554938287297E-2</v>
      </c>
      <c r="AY24" s="41">
        <v>9056</v>
      </c>
      <c r="AZ24" s="41">
        <v>330805.43673227046</v>
      </c>
      <c r="BA24" s="41">
        <v>391</v>
      </c>
      <c r="BB24" s="41">
        <v>8728.5598655900067</v>
      </c>
      <c r="BC24" s="40">
        <f t="shared" si="54"/>
        <v>2.6385781176426853E-2</v>
      </c>
      <c r="BD24" s="39">
        <v>9101</v>
      </c>
      <c r="BE24" s="39">
        <v>363063.98844995914</v>
      </c>
      <c r="BF24" s="39">
        <v>427</v>
      </c>
      <c r="BG24" s="39">
        <v>8634.7490332999987</v>
      </c>
      <c r="BH24" s="40">
        <f t="shared" si="55"/>
        <v>2.37829950311641E-2</v>
      </c>
      <c r="BI24" s="39">
        <v>9143</v>
      </c>
      <c r="BJ24" s="39">
        <v>367709.05014859058</v>
      </c>
      <c r="BK24" s="39">
        <v>411</v>
      </c>
      <c r="BL24" s="39">
        <v>8374.2730179400023</v>
      </c>
      <c r="BM24" s="40">
        <f t="shared" si="56"/>
        <v>2.2774182508034473E-2</v>
      </c>
      <c r="BN24" s="42">
        <v>0</v>
      </c>
      <c r="BO24" s="42">
        <v>0</v>
      </c>
    </row>
    <row r="25" spans="1:67" s="29" customFormat="1" ht="35.1" customHeight="1" x14ac:dyDescent="0.25">
      <c r="A25" s="38">
        <f t="shared" si="57"/>
        <v>19</v>
      </c>
      <c r="B25" s="45" t="s">
        <v>2058</v>
      </c>
      <c r="C25" s="45" t="s">
        <v>2067</v>
      </c>
      <c r="D25" s="64" t="s">
        <v>15</v>
      </c>
      <c r="E25" s="45" t="s">
        <v>2068</v>
      </c>
      <c r="F25" s="41">
        <v>3599</v>
      </c>
      <c r="G25" s="41">
        <v>237205.11279355994</v>
      </c>
      <c r="H25" s="41">
        <v>151</v>
      </c>
      <c r="I25" s="41">
        <v>14364.657378740018</v>
      </c>
      <c r="J25" s="40">
        <f t="shared" si="45"/>
        <v>6.0557958509273813E-2</v>
      </c>
      <c r="K25" s="41">
        <v>3703</v>
      </c>
      <c r="L25" s="41">
        <v>241618.77121198011</v>
      </c>
      <c r="M25" s="41">
        <v>146</v>
      </c>
      <c r="N25" s="41">
        <v>13232.937901600006</v>
      </c>
      <c r="O25" s="40">
        <f t="shared" si="46"/>
        <v>5.4767838753679916E-2</v>
      </c>
      <c r="P25" s="41">
        <v>3756</v>
      </c>
      <c r="Q25" s="41">
        <v>255717.55228256003</v>
      </c>
      <c r="R25" s="41">
        <v>147</v>
      </c>
      <c r="S25" s="41">
        <v>13264.818417570008</v>
      </c>
      <c r="T25" s="40">
        <f t="shared" si="47"/>
        <v>5.1872928937286213E-2</v>
      </c>
      <c r="U25" s="41">
        <v>3612</v>
      </c>
      <c r="V25" s="41">
        <v>264498.28002644988</v>
      </c>
      <c r="W25" s="41">
        <v>146</v>
      </c>
      <c r="X25" s="41">
        <v>13721.599640619999</v>
      </c>
      <c r="Y25" s="40">
        <f t="shared" si="48"/>
        <v>5.1877840715061879E-2</v>
      </c>
      <c r="Z25" s="41">
        <v>3650</v>
      </c>
      <c r="AA25" s="41">
        <v>288386.39337163017</v>
      </c>
      <c r="AB25" s="41">
        <v>147</v>
      </c>
      <c r="AC25" s="41">
        <v>8751.699282470001</v>
      </c>
      <c r="AD25" s="40">
        <f t="shared" si="49"/>
        <v>3.0347129696899715E-2</v>
      </c>
      <c r="AE25" s="44">
        <v>3724</v>
      </c>
      <c r="AF25" s="44">
        <v>301144.04560745979</v>
      </c>
      <c r="AG25" s="44">
        <v>158</v>
      </c>
      <c r="AH25" s="44">
        <v>7886.2006407500021</v>
      </c>
      <c r="AI25" s="40">
        <f t="shared" si="50"/>
        <v>2.6187469935997462E-2</v>
      </c>
      <c r="AJ25" s="44">
        <v>3543</v>
      </c>
      <c r="AK25" s="44">
        <v>312689.75921604014</v>
      </c>
      <c r="AL25" s="44">
        <v>181</v>
      </c>
      <c r="AM25" s="44">
        <v>10606.254170090006</v>
      </c>
      <c r="AN25" s="40">
        <f t="shared" si="51"/>
        <v>3.3919416474276189E-2</v>
      </c>
      <c r="AO25" s="44">
        <v>3475</v>
      </c>
      <c r="AP25" s="44">
        <v>312061.61603843997</v>
      </c>
      <c r="AQ25" s="44">
        <v>122</v>
      </c>
      <c r="AR25" s="44">
        <v>11337.644368140003</v>
      </c>
      <c r="AS25" s="40">
        <f t="shared" si="52"/>
        <v>3.6331428748172044E-2</v>
      </c>
      <c r="AT25" s="44">
        <v>3473</v>
      </c>
      <c r="AU25" s="44">
        <v>309731.44131578016</v>
      </c>
      <c r="AV25" s="44">
        <v>116</v>
      </c>
      <c r="AW25" s="44">
        <v>11380.700959500007</v>
      </c>
      <c r="AX25" s="40">
        <f t="shared" si="53"/>
        <v>3.6743770381054253E-2</v>
      </c>
      <c r="AY25" s="41">
        <v>3349</v>
      </c>
      <c r="AZ25" s="41">
        <v>318876.66559826024</v>
      </c>
      <c r="BA25" s="41">
        <v>145</v>
      </c>
      <c r="BB25" s="41">
        <v>11529.259101670008</v>
      </c>
      <c r="BC25" s="40">
        <f t="shared" si="54"/>
        <v>3.6155856936221399E-2</v>
      </c>
      <c r="BD25" s="39">
        <v>3507</v>
      </c>
      <c r="BE25" s="39">
        <v>342199.55850165011</v>
      </c>
      <c r="BF25" s="39">
        <v>139</v>
      </c>
      <c r="BG25" s="39">
        <v>11363.334325700005</v>
      </c>
      <c r="BH25" s="40">
        <f t="shared" si="55"/>
        <v>3.3206747476400414E-2</v>
      </c>
      <c r="BI25" s="39">
        <v>3448</v>
      </c>
      <c r="BJ25" s="39">
        <v>342097.10654712957</v>
      </c>
      <c r="BK25" s="39">
        <v>147</v>
      </c>
      <c r="BL25" s="39">
        <v>10771.481460670006</v>
      </c>
      <c r="BM25" s="40">
        <f t="shared" si="56"/>
        <v>3.1486619601636574E-2</v>
      </c>
      <c r="BN25" s="42">
        <v>0</v>
      </c>
      <c r="BO25" s="42">
        <v>0</v>
      </c>
    </row>
    <row r="26" spans="1:67" s="29" customFormat="1" ht="35.1" customHeight="1" x14ac:dyDescent="0.25">
      <c r="A26" s="38">
        <f t="shared" si="57"/>
        <v>20</v>
      </c>
      <c r="B26" s="45" t="s">
        <v>2058</v>
      </c>
      <c r="C26" s="45" t="s">
        <v>2069</v>
      </c>
      <c r="D26" s="64" t="s">
        <v>23</v>
      </c>
      <c r="E26" s="45" t="s">
        <v>2070</v>
      </c>
      <c r="F26" s="41">
        <v>4009</v>
      </c>
      <c r="G26" s="41">
        <v>734054.50308469147</v>
      </c>
      <c r="H26" s="41">
        <v>30</v>
      </c>
      <c r="I26" s="41">
        <v>4219.8064063699985</v>
      </c>
      <c r="J26" s="40">
        <f t="shared" si="45"/>
        <v>5.7486281858325971E-3</v>
      </c>
      <c r="K26" s="41">
        <v>4116</v>
      </c>
      <c r="L26" s="41">
        <v>736386.1555245911</v>
      </c>
      <c r="M26" s="41">
        <v>41</v>
      </c>
      <c r="N26" s="41">
        <v>1115.6251094700003</v>
      </c>
      <c r="O26" s="40">
        <f t="shared" si="46"/>
        <v>1.5150001138672206E-3</v>
      </c>
      <c r="P26" s="41">
        <v>4100</v>
      </c>
      <c r="Q26" s="41">
        <v>734994.76426969259</v>
      </c>
      <c r="R26" s="41">
        <v>44</v>
      </c>
      <c r="S26" s="41">
        <v>1079.4126532400001</v>
      </c>
      <c r="T26" s="40">
        <f t="shared" si="47"/>
        <v>1.4685991053453677E-3</v>
      </c>
      <c r="U26" s="41">
        <v>3819</v>
      </c>
      <c r="V26" s="41">
        <v>715119.52464025002</v>
      </c>
      <c r="W26" s="41">
        <v>43</v>
      </c>
      <c r="X26" s="41">
        <v>599.13354174000006</v>
      </c>
      <c r="Y26" s="40">
        <f t="shared" si="48"/>
        <v>8.3780895514131261E-4</v>
      </c>
      <c r="Z26" s="41">
        <v>3930</v>
      </c>
      <c r="AA26" s="41">
        <v>715688.09860661894</v>
      </c>
      <c r="AB26" s="41">
        <v>55</v>
      </c>
      <c r="AC26" s="41">
        <v>4102.6835384499991</v>
      </c>
      <c r="AD26" s="40">
        <f t="shared" si="49"/>
        <v>5.7325021143114704E-3</v>
      </c>
      <c r="AE26" s="44">
        <v>4103</v>
      </c>
      <c r="AF26" s="44">
        <v>716431.09501249215</v>
      </c>
      <c r="AG26" s="44">
        <v>96</v>
      </c>
      <c r="AH26" s="44">
        <v>4960.9696561699993</v>
      </c>
      <c r="AI26" s="40">
        <f t="shared" si="50"/>
        <v>6.9245593759208581E-3</v>
      </c>
      <c r="AJ26" s="44">
        <v>3811</v>
      </c>
      <c r="AK26" s="44">
        <v>711811.61835902079</v>
      </c>
      <c r="AL26" s="44">
        <v>109</v>
      </c>
      <c r="AM26" s="44">
        <v>7381.9041765799984</v>
      </c>
      <c r="AN26" s="40">
        <f t="shared" si="51"/>
        <v>1.0370586804410296E-2</v>
      </c>
      <c r="AO26" s="44">
        <v>3854</v>
      </c>
      <c r="AP26" s="44">
        <v>696237.94769776997</v>
      </c>
      <c r="AQ26" s="44">
        <v>48</v>
      </c>
      <c r="AR26" s="44">
        <v>6265.8942799699989</v>
      </c>
      <c r="AS26" s="40">
        <f t="shared" si="52"/>
        <v>8.9996448781472643E-3</v>
      </c>
      <c r="AT26" s="44">
        <v>3917</v>
      </c>
      <c r="AU26" s="44">
        <v>697945.2929814728</v>
      </c>
      <c r="AV26" s="44">
        <v>45</v>
      </c>
      <c r="AW26" s="44">
        <v>5888.9830895099994</v>
      </c>
      <c r="AX26" s="40">
        <f t="shared" si="53"/>
        <v>8.4375998358747067E-3</v>
      </c>
      <c r="AY26" s="41">
        <v>3815</v>
      </c>
      <c r="AZ26" s="41">
        <v>699199.33620225871</v>
      </c>
      <c r="BA26" s="41">
        <v>52</v>
      </c>
      <c r="BB26" s="41">
        <v>6063.6150015799985</v>
      </c>
      <c r="BC26" s="40">
        <f t="shared" si="54"/>
        <v>8.6722264848174361E-3</v>
      </c>
      <c r="BD26" s="39">
        <v>3792</v>
      </c>
      <c r="BE26" s="39">
        <v>710654.2921470314</v>
      </c>
      <c r="BF26" s="39">
        <v>48</v>
      </c>
      <c r="BG26" s="39">
        <v>5984.626419780001</v>
      </c>
      <c r="BH26" s="40">
        <f t="shared" si="55"/>
        <v>8.4212907540447343E-3</v>
      </c>
      <c r="BI26" s="39">
        <v>3785</v>
      </c>
      <c r="BJ26" s="39">
        <v>723255.58661872055</v>
      </c>
      <c r="BK26" s="39">
        <v>57</v>
      </c>
      <c r="BL26" s="39">
        <v>4176.0540902399989</v>
      </c>
      <c r="BM26" s="40">
        <f t="shared" si="56"/>
        <v>5.7739672772710903E-3</v>
      </c>
      <c r="BN26" s="42">
        <v>0</v>
      </c>
      <c r="BO26" s="42">
        <v>0</v>
      </c>
    </row>
    <row r="27" spans="1:67" s="29" customFormat="1" ht="35.1" customHeight="1" x14ac:dyDescent="0.25">
      <c r="A27" s="38">
        <f t="shared" si="57"/>
        <v>21</v>
      </c>
      <c r="B27" s="45" t="s">
        <v>2058</v>
      </c>
      <c r="C27" s="45" t="s">
        <v>2071</v>
      </c>
      <c r="D27" s="64" t="s">
        <v>16</v>
      </c>
      <c r="E27" s="45" t="s">
        <v>2035</v>
      </c>
      <c r="F27" s="41">
        <v>6079</v>
      </c>
      <c r="G27" s="41">
        <v>2176434.4451873396</v>
      </c>
      <c r="H27" s="41">
        <v>455</v>
      </c>
      <c r="I27" s="41">
        <v>30320.028387630009</v>
      </c>
      <c r="J27" s="40">
        <f t="shared" si="45"/>
        <v>1.3931055196574125E-2</v>
      </c>
      <c r="K27" s="41">
        <v>6375</v>
      </c>
      <c r="L27" s="41">
        <v>2202452.8732481026</v>
      </c>
      <c r="M27" s="41">
        <v>523</v>
      </c>
      <c r="N27" s="41">
        <v>28069.403988060018</v>
      </c>
      <c r="O27" s="40">
        <f t="shared" si="46"/>
        <v>1.2744610488152791E-2</v>
      </c>
      <c r="P27" s="41">
        <v>6366</v>
      </c>
      <c r="Q27" s="41">
        <v>2190541.0481780833</v>
      </c>
      <c r="R27" s="41">
        <v>612</v>
      </c>
      <c r="S27" s="41">
        <v>44805.836587119949</v>
      </c>
      <c r="T27" s="40">
        <f t="shared" si="47"/>
        <v>2.0454232813571723E-2</v>
      </c>
      <c r="U27" s="41">
        <v>5837</v>
      </c>
      <c r="V27" s="41">
        <v>2202344.1579687125</v>
      </c>
      <c r="W27" s="41">
        <v>696</v>
      </c>
      <c r="X27" s="41">
        <v>45386.54579762998</v>
      </c>
      <c r="Y27" s="40">
        <f t="shared" si="48"/>
        <v>2.0608289414444352E-2</v>
      </c>
      <c r="Z27" s="41">
        <v>6092</v>
      </c>
      <c r="AA27" s="41">
        <v>2242607.0015795059</v>
      </c>
      <c r="AB27" s="41">
        <v>726</v>
      </c>
      <c r="AC27" s="41">
        <v>57339.859625149904</v>
      </c>
      <c r="AD27" s="40">
        <f t="shared" si="49"/>
        <v>2.5568394098816456E-2</v>
      </c>
      <c r="AE27" s="44">
        <v>6163</v>
      </c>
      <c r="AF27" s="44">
        <v>2250029.0186581369</v>
      </c>
      <c r="AG27" s="44">
        <v>848</v>
      </c>
      <c r="AH27" s="44">
        <v>46255.357355609987</v>
      </c>
      <c r="AI27" s="40">
        <f t="shared" si="50"/>
        <v>2.0557671466475382E-2</v>
      </c>
      <c r="AJ27" s="44">
        <v>5978</v>
      </c>
      <c r="AK27" s="44">
        <v>2525477.1025062087</v>
      </c>
      <c r="AL27" s="44">
        <v>914</v>
      </c>
      <c r="AM27" s="44">
        <v>41988.816866609945</v>
      </c>
      <c r="AN27" s="40">
        <f t="shared" si="51"/>
        <v>1.6626092877635473E-2</v>
      </c>
      <c r="AO27" s="44">
        <v>5923</v>
      </c>
      <c r="AP27" s="44">
        <v>2514504.37392087</v>
      </c>
      <c r="AQ27" s="44">
        <v>728</v>
      </c>
      <c r="AR27" s="44">
        <v>35480.277329509954</v>
      </c>
      <c r="AS27" s="40">
        <f t="shared" si="52"/>
        <v>1.4110246813444794E-2</v>
      </c>
      <c r="AT27" s="44">
        <v>5931</v>
      </c>
      <c r="AU27" s="44">
        <v>2506874.2389201131</v>
      </c>
      <c r="AV27" s="44">
        <v>690</v>
      </c>
      <c r="AW27" s="44">
        <v>33046.824134549963</v>
      </c>
      <c r="AX27" s="40">
        <f t="shared" si="53"/>
        <v>1.3182481841923412E-2</v>
      </c>
      <c r="AY27" s="41">
        <v>5700</v>
      </c>
      <c r="AZ27" s="41">
        <v>2507852.6017736625</v>
      </c>
      <c r="BA27" s="41">
        <v>780</v>
      </c>
      <c r="BB27" s="41">
        <v>32897.569270439963</v>
      </c>
      <c r="BC27" s="40">
        <f t="shared" si="54"/>
        <v>1.3117824088693797E-2</v>
      </c>
      <c r="BD27" s="39">
        <v>5828</v>
      </c>
      <c r="BE27" s="39">
        <v>2527031.7596908589</v>
      </c>
      <c r="BF27" s="39">
        <v>837</v>
      </c>
      <c r="BG27" s="39">
        <v>32493.074778889979</v>
      </c>
      <c r="BH27" s="40">
        <f t="shared" si="55"/>
        <v>1.2858198023939746E-2</v>
      </c>
      <c r="BI27" s="39">
        <v>5795</v>
      </c>
      <c r="BJ27" s="39">
        <v>2508400.3373233546</v>
      </c>
      <c r="BK27" s="39">
        <v>856</v>
      </c>
      <c r="BL27" s="39">
        <v>30398.876865219951</v>
      </c>
      <c r="BM27" s="40">
        <f t="shared" si="56"/>
        <v>1.2118829842631006E-2</v>
      </c>
      <c r="BN27" s="42">
        <v>0</v>
      </c>
      <c r="BO27" s="42">
        <v>0</v>
      </c>
    </row>
    <row r="28" spans="1:67" s="29" customFormat="1" ht="35.1" customHeight="1" x14ac:dyDescent="0.25">
      <c r="A28" s="38">
        <f t="shared" si="57"/>
        <v>22</v>
      </c>
      <c r="B28" s="45" t="s">
        <v>2058</v>
      </c>
      <c r="C28" s="45" t="s">
        <v>2072</v>
      </c>
      <c r="D28" s="64" t="s">
        <v>12</v>
      </c>
      <c r="E28" s="45" t="s">
        <v>2073</v>
      </c>
      <c r="F28" s="41">
        <v>3899</v>
      </c>
      <c r="G28" s="41">
        <v>107375.65032166999</v>
      </c>
      <c r="H28" s="41">
        <v>335</v>
      </c>
      <c r="I28" s="41">
        <v>22345.04205357001</v>
      </c>
      <c r="J28" s="40">
        <f t="shared" si="45"/>
        <v>0.20810157597770051</v>
      </c>
      <c r="K28" s="41">
        <v>4059</v>
      </c>
      <c r="L28" s="41">
        <v>107364.46678004987</v>
      </c>
      <c r="M28" s="41">
        <v>344</v>
      </c>
      <c r="N28" s="41">
        <v>22814.61024774002</v>
      </c>
      <c r="O28" s="40">
        <f t="shared" si="46"/>
        <v>0.21249684306148262</v>
      </c>
      <c r="P28" s="41">
        <v>4128</v>
      </c>
      <c r="Q28" s="41">
        <v>111126.51638718975</v>
      </c>
      <c r="R28" s="41">
        <v>356</v>
      </c>
      <c r="S28" s="41">
        <v>22996.768867310002</v>
      </c>
      <c r="T28" s="40">
        <f t="shared" si="47"/>
        <v>0.2069422277864276</v>
      </c>
      <c r="U28" s="41">
        <v>4020</v>
      </c>
      <c r="V28" s="41">
        <v>121368.7369271098</v>
      </c>
      <c r="W28" s="41">
        <v>331</v>
      </c>
      <c r="X28" s="41">
        <v>22800.740907049993</v>
      </c>
      <c r="Y28" s="40">
        <f t="shared" si="48"/>
        <v>0.18786337803567479</v>
      </c>
      <c r="Z28" s="41">
        <v>4244</v>
      </c>
      <c r="AA28" s="41">
        <v>131869.09709488993</v>
      </c>
      <c r="AB28" s="41">
        <v>330</v>
      </c>
      <c r="AC28" s="41">
        <v>24978.117519010018</v>
      </c>
      <c r="AD28" s="40">
        <f t="shared" si="49"/>
        <v>0.18941600472957168</v>
      </c>
      <c r="AE28" s="44">
        <v>4297</v>
      </c>
      <c r="AF28" s="44">
        <v>135840.30548880991</v>
      </c>
      <c r="AG28" s="44">
        <v>480</v>
      </c>
      <c r="AH28" s="44">
        <v>19246.464150000003</v>
      </c>
      <c r="AI28" s="40">
        <f t="shared" si="50"/>
        <v>0.14168448812554729</v>
      </c>
      <c r="AJ28" s="44">
        <v>4206</v>
      </c>
      <c r="AK28" s="44">
        <v>139385.52508053006</v>
      </c>
      <c r="AL28" s="44">
        <v>701</v>
      </c>
      <c r="AM28" s="44">
        <v>27042.561119080037</v>
      </c>
      <c r="AN28" s="40">
        <f t="shared" si="51"/>
        <v>0.19401269323666273</v>
      </c>
      <c r="AO28" s="44">
        <v>4279</v>
      </c>
      <c r="AP28" s="44">
        <v>142239.87039921002</v>
      </c>
      <c r="AQ28" s="44">
        <v>482</v>
      </c>
      <c r="AR28" s="44">
        <v>19646.96657262</v>
      </c>
      <c r="AS28" s="40">
        <f t="shared" si="52"/>
        <v>0.13812559388221374</v>
      </c>
      <c r="AT28" s="44">
        <v>4376</v>
      </c>
      <c r="AU28" s="44">
        <v>148703.07393136004</v>
      </c>
      <c r="AV28" s="44">
        <v>472</v>
      </c>
      <c r="AW28" s="44">
        <v>19374.745880989987</v>
      </c>
      <c r="AX28" s="40">
        <f t="shared" si="53"/>
        <v>0.13029149545310134</v>
      </c>
      <c r="AY28" s="41">
        <v>4294</v>
      </c>
      <c r="AZ28" s="41">
        <v>150328.14503912005</v>
      </c>
      <c r="BA28" s="41">
        <v>556</v>
      </c>
      <c r="BB28" s="41">
        <v>20054.452329909989</v>
      </c>
      <c r="BC28" s="40">
        <f t="shared" si="54"/>
        <v>0.13340450868126655</v>
      </c>
      <c r="BD28" s="39">
        <v>4374</v>
      </c>
      <c r="BE28" s="39">
        <v>143001.26075498021</v>
      </c>
      <c r="BF28" s="39">
        <v>557</v>
      </c>
      <c r="BG28" s="39">
        <v>20429.878555390012</v>
      </c>
      <c r="BH28" s="40">
        <f t="shared" si="55"/>
        <v>0.14286502403915705</v>
      </c>
      <c r="BI28" s="39">
        <v>4391</v>
      </c>
      <c r="BJ28" s="39">
        <v>149165.6831773399</v>
      </c>
      <c r="BK28" s="39">
        <v>552</v>
      </c>
      <c r="BL28" s="39">
        <v>20430.044124980013</v>
      </c>
      <c r="BM28" s="40">
        <f t="shared" si="56"/>
        <v>0.13696209268650061</v>
      </c>
      <c r="BN28" s="42">
        <v>0</v>
      </c>
      <c r="BO28" s="42">
        <v>0</v>
      </c>
    </row>
    <row r="29" spans="1:67" s="29" customFormat="1" ht="35.1" customHeight="1" x14ac:dyDescent="0.25">
      <c r="A29" s="38">
        <f t="shared" si="57"/>
        <v>23</v>
      </c>
      <c r="B29" s="45" t="s">
        <v>2058</v>
      </c>
      <c r="C29" s="45" t="s">
        <v>2074</v>
      </c>
      <c r="D29" s="64" t="s">
        <v>1</v>
      </c>
      <c r="E29" s="45" t="s">
        <v>2075</v>
      </c>
      <c r="F29" s="41">
        <v>3817</v>
      </c>
      <c r="G29" s="41">
        <v>200949.34463541963</v>
      </c>
      <c r="H29" s="41">
        <v>15</v>
      </c>
      <c r="I29" s="41">
        <v>10270.705771830002</v>
      </c>
      <c r="J29" s="40">
        <f t="shared" si="45"/>
        <v>5.1110919473084319E-2</v>
      </c>
      <c r="K29" s="41">
        <v>3779</v>
      </c>
      <c r="L29" s="41">
        <v>202344.7468018998</v>
      </c>
      <c r="M29" s="41">
        <v>20</v>
      </c>
      <c r="N29" s="41">
        <v>10452.517038110005</v>
      </c>
      <c r="O29" s="40">
        <f t="shared" si="46"/>
        <v>5.1656972584236453E-2</v>
      </c>
      <c r="P29" s="41">
        <v>3849</v>
      </c>
      <c r="Q29" s="41">
        <v>204116.37071453003</v>
      </c>
      <c r="R29" s="41">
        <v>22</v>
      </c>
      <c r="S29" s="41">
        <v>10456.723772800004</v>
      </c>
      <c r="T29" s="40">
        <f t="shared" si="47"/>
        <v>5.1229226427038574E-2</v>
      </c>
      <c r="U29" s="41">
        <v>3872</v>
      </c>
      <c r="V29" s="41">
        <v>211261.44994250979</v>
      </c>
      <c r="W29" s="41">
        <v>20</v>
      </c>
      <c r="X29" s="41">
        <v>10485.740031010002</v>
      </c>
      <c r="Y29" s="40">
        <f t="shared" si="48"/>
        <v>4.9633948994780963E-2</v>
      </c>
      <c r="Z29" s="41">
        <v>3964</v>
      </c>
      <c r="AA29" s="41">
        <v>218957.88753562974</v>
      </c>
      <c r="AB29" s="41">
        <v>27</v>
      </c>
      <c r="AC29" s="41">
        <v>13489.063210660002</v>
      </c>
      <c r="AD29" s="40">
        <f t="shared" si="49"/>
        <v>6.1605742375757104E-2</v>
      </c>
      <c r="AE29" s="44">
        <v>4309</v>
      </c>
      <c r="AF29" s="44">
        <v>225192.73623735987</v>
      </c>
      <c r="AG29" s="44">
        <v>40</v>
      </c>
      <c r="AH29" s="44">
        <v>12466.744387840001</v>
      </c>
      <c r="AI29" s="40">
        <f t="shared" si="50"/>
        <v>5.5360330870973029E-2</v>
      </c>
      <c r="AJ29" s="44">
        <v>4123</v>
      </c>
      <c r="AK29" s="44">
        <v>228261.1591338295</v>
      </c>
      <c r="AL29" s="44">
        <v>68</v>
      </c>
      <c r="AM29" s="44">
        <v>13091.671727069997</v>
      </c>
      <c r="AN29" s="40">
        <f t="shared" si="51"/>
        <v>5.7353917664960036E-2</v>
      </c>
      <c r="AO29" s="44">
        <v>4202</v>
      </c>
      <c r="AP29" s="44">
        <v>223668.48978014005</v>
      </c>
      <c r="AQ29" s="44">
        <v>62</v>
      </c>
      <c r="AR29" s="44">
        <v>13177.582467570002</v>
      </c>
      <c r="AS29" s="40">
        <f t="shared" si="52"/>
        <v>5.8915685801443025E-2</v>
      </c>
      <c r="AT29" s="44">
        <v>4406</v>
      </c>
      <c r="AU29" s="44">
        <v>222060.16301959939</v>
      </c>
      <c r="AV29" s="44">
        <v>57</v>
      </c>
      <c r="AW29" s="44">
        <v>12971.671619270002</v>
      </c>
      <c r="AX29" s="40">
        <f t="shared" si="53"/>
        <v>5.8415122473476258E-2</v>
      </c>
      <c r="AY29" s="41">
        <v>4662</v>
      </c>
      <c r="AZ29" s="41">
        <v>222006.78120069054</v>
      </c>
      <c r="BA29" s="41">
        <v>63</v>
      </c>
      <c r="BB29" s="41">
        <v>13033.950305449996</v>
      </c>
      <c r="BC29" s="40">
        <f t="shared" si="54"/>
        <v>5.870969451904947E-2</v>
      </c>
      <c r="BD29" s="39">
        <v>4853</v>
      </c>
      <c r="BE29" s="39">
        <v>231851.67802191028</v>
      </c>
      <c r="BF29" s="39">
        <v>63</v>
      </c>
      <c r="BG29" s="39">
        <v>11108.249729120002</v>
      </c>
      <c r="BH29" s="40">
        <f t="shared" si="55"/>
        <v>4.7911017180864476E-2</v>
      </c>
      <c r="BI29" s="39">
        <v>4960</v>
      </c>
      <c r="BJ29" s="39">
        <v>236355.12655740985</v>
      </c>
      <c r="BK29" s="39">
        <v>71</v>
      </c>
      <c r="BL29" s="39">
        <v>9619.0443983799996</v>
      </c>
      <c r="BM29" s="40">
        <f t="shared" si="56"/>
        <v>4.0697422300436402E-2</v>
      </c>
      <c r="BN29" s="42">
        <v>0</v>
      </c>
      <c r="BO29" s="42">
        <v>0</v>
      </c>
    </row>
    <row r="30" spans="1:67" s="29" customFormat="1" ht="35.1" customHeight="1" x14ac:dyDescent="0.25">
      <c r="A30" s="38">
        <f t="shared" si="57"/>
        <v>24</v>
      </c>
      <c r="B30" s="45" t="s">
        <v>2058</v>
      </c>
      <c r="C30" s="45" t="s">
        <v>2076</v>
      </c>
      <c r="D30" s="64" t="s">
        <v>17</v>
      </c>
      <c r="E30" s="45" t="s">
        <v>2077</v>
      </c>
      <c r="F30" s="41">
        <v>6069</v>
      </c>
      <c r="G30" s="41">
        <v>207680.07562919921</v>
      </c>
      <c r="H30" s="41">
        <v>78</v>
      </c>
      <c r="I30" s="41">
        <v>10403.860169989994</v>
      </c>
      <c r="J30" s="40">
        <f t="shared" si="45"/>
        <v>5.009561046465278E-2</v>
      </c>
      <c r="K30" s="41">
        <v>6067</v>
      </c>
      <c r="L30" s="41">
        <v>204738.90075619993</v>
      </c>
      <c r="M30" s="41">
        <v>82</v>
      </c>
      <c r="N30" s="41">
        <v>7672.0713076799993</v>
      </c>
      <c r="O30" s="40">
        <f t="shared" si="46"/>
        <v>3.7472465073043394E-2</v>
      </c>
      <c r="P30" s="41">
        <v>6045</v>
      </c>
      <c r="Q30" s="41">
        <v>209708.85607156021</v>
      </c>
      <c r="R30" s="41">
        <v>80</v>
      </c>
      <c r="S30" s="41">
        <v>7681.3287149400003</v>
      </c>
      <c r="T30" s="40">
        <f t="shared" si="47"/>
        <v>3.6628537577444296E-2</v>
      </c>
      <c r="U30" s="41">
        <v>5973</v>
      </c>
      <c r="V30" s="41">
        <v>209065.60884120976</v>
      </c>
      <c r="W30" s="41">
        <v>85</v>
      </c>
      <c r="X30" s="41">
        <v>26119.243108279996</v>
      </c>
      <c r="Y30" s="40">
        <f t="shared" si="48"/>
        <v>0.12493323628430046</v>
      </c>
      <c r="Z30" s="41">
        <v>5945</v>
      </c>
      <c r="AA30" s="41">
        <v>207894.37081709027</v>
      </c>
      <c r="AB30" s="41">
        <v>78</v>
      </c>
      <c r="AC30" s="41">
        <v>7674.11572282</v>
      </c>
      <c r="AD30" s="40">
        <f t="shared" si="49"/>
        <v>3.6913533024767874E-2</v>
      </c>
      <c r="AE30" s="44">
        <v>6070</v>
      </c>
      <c r="AF30" s="44">
        <v>206306.2056484698</v>
      </c>
      <c r="AG30" s="44">
        <v>138</v>
      </c>
      <c r="AH30" s="44">
        <v>9140.1648114299987</v>
      </c>
      <c r="AI30" s="40">
        <f t="shared" si="50"/>
        <v>4.430387725226332E-2</v>
      </c>
      <c r="AJ30" s="44">
        <v>5822</v>
      </c>
      <c r="AK30" s="44">
        <v>203830.89497144995</v>
      </c>
      <c r="AL30" s="44">
        <v>113</v>
      </c>
      <c r="AM30" s="44">
        <v>8533.7491833899967</v>
      </c>
      <c r="AN30" s="40">
        <f t="shared" si="51"/>
        <v>4.1866809173286987E-2</v>
      </c>
      <c r="AO30" s="44">
        <v>5827</v>
      </c>
      <c r="AP30" s="44">
        <v>208272.21643238</v>
      </c>
      <c r="AQ30" s="44">
        <v>59</v>
      </c>
      <c r="AR30" s="44">
        <v>7699.699997159998</v>
      </c>
      <c r="AS30" s="40">
        <f t="shared" si="52"/>
        <v>3.6969405372703032E-2</v>
      </c>
      <c r="AT30" s="44">
        <v>5948</v>
      </c>
      <c r="AU30" s="44">
        <v>212329.92794898924</v>
      </c>
      <c r="AV30" s="44">
        <v>54</v>
      </c>
      <c r="AW30" s="44">
        <v>7340.3590282299974</v>
      </c>
      <c r="AX30" s="40">
        <f t="shared" si="53"/>
        <v>3.4570534164140382E-2</v>
      </c>
      <c r="AY30" s="41">
        <v>6022</v>
      </c>
      <c r="AZ30" s="41">
        <v>216967.82744836973</v>
      </c>
      <c r="BA30" s="41">
        <v>57</v>
      </c>
      <c r="BB30" s="41">
        <v>7360.9342044399982</v>
      </c>
      <c r="BC30" s="40">
        <f t="shared" si="54"/>
        <v>3.3926385727356866E-2</v>
      </c>
      <c r="BD30" s="39">
        <v>6044</v>
      </c>
      <c r="BE30" s="39">
        <v>217073.52533769014</v>
      </c>
      <c r="BF30" s="39">
        <v>55</v>
      </c>
      <c r="BG30" s="39">
        <v>6322.2145051499983</v>
      </c>
      <c r="BH30" s="40">
        <f t="shared" si="55"/>
        <v>2.9124760816939117E-2</v>
      </c>
      <c r="BI30" s="39">
        <v>6093</v>
      </c>
      <c r="BJ30" s="39">
        <v>217691.59889465052</v>
      </c>
      <c r="BK30" s="39">
        <v>54</v>
      </c>
      <c r="BL30" s="39">
        <v>6372.1922160699978</v>
      </c>
      <c r="BM30" s="40">
        <f t="shared" si="56"/>
        <v>2.9271649656786941E-2</v>
      </c>
      <c r="BN30" s="42">
        <v>0</v>
      </c>
      <c r="BO30" s="42">
        <v>0</v>
      </c>
    </row>
    <row r="31" spans="1:67" s="29" customFormat="1" ht="35.1" customHeight="1" x14ac:dyDescent="0.25">
      <c r="A31" s="38">
        <f t="shared" si="57"/>
        <v>25</v>
      </c>
      <c r="B31" s="45" t="s">
        <v>2058</v>
      </c>
      <c r="C31" s="45" t="s">
        <v>2078</v>
      </c>
      <c r="D31" s="64" t="s">
        <v>18</v>
      </c>
      <c r="E31" s="45" t="s">
        <v>2079</v>
      </c>
      <c r="F31" s="41">
        <v>5784</v>
      </c>
      <c r="G31" s="41">
        <v>206158.55019394041</v>
      </c>
      <c r="H31" s="41">
        <v>775</v>
      </c>
      <c r="I31" s="41">
        <v>26548.352441699972</v>
      </c>
      <c r="J31" s="40">
        <f t="shared" si="45"/>
        <v>0.12877638311253659</v>
      </c>
      <c r="K31" s="41">
        <v>6144</v>
      </c>
      <c r="L31" s="41">
        <v>197754.49126370999</v>
      </c>
      <c r="M31" s="41">
        <v>826</v>
      </c>
      <c r="N31" s="41">
        <v>27635.421839169976</v>
      </c>
      <c r="O31" s="40">
        <f t="shared" si="46"/>
        <v>0.13974611480412613</v>
      </c>
      <c r="P31" s="41">
        <v>6150</v>
      </c>
      <c r="Q31" s="41">
        <v>200496.83462824032</v>
      </c>
      <c r="R31" s="41">
        <v>965</v>
      </c>
      <c r="S31" s="41">
        <v>32497.48857541</v>
      </c>
      <c r="T31" s="40">
        <f t="shared" si="47"/>
        <v>0.16208479617978305</v>
      </c>
      <c r="U31" s="41">
        <v>5812</v>
      </c>
      <c r="V31" s="41">
        <v>204252.78698729005</v>
      </c>
      <c r="W31" s="41">
        <v>923</v>
      </c>
      <c r="X31" s="41">
        <v>31049.078753549969</v>
      </c>
      <c r="Y31" s="40">
        <f t="shared" si="48"/>
        <v>0.15201299924236553</v>
      </c>
      <c r="Z31" s="41">
        <v>6229</v>
      </c>
      <c r="AA31" s="41">
        <v>206385.27616543035</v>
      </c>
      <c r="AB31" s="41">
        <v>1010</v>
      </c>
      <c r="AC31" s="41">
        <v>32533.859833490013</v>
      </c>
      <c r="AD31" s="40">
        <f t="shared" si="49"/>
        <v>0.15763653511509293</v>
      </c>
      <c r="AE31" s="44">
        <v>6381</v>
      </c>
      <c r="AF31" s="44">
        <v>199525.65866193044</v>
      </c>
      <c r="AG31" s="44">
        <v>1009</v>
      </c>
      <c r="AH31" s="44">
        <v>27867.095184139966</v>
      </c>
      <c r="AI31" s="40">
        <f t="shared" si="50"/>
        <v>0.13966672442543859</v>
      </c>
      <c r="AJ31" s="44">
        <v>6238</v>
      </c>
      <c r="AK31" s="44">
        <v>197315.87488611983</v>
      </c>
      <c r="AL31" s="44">
        <v>1518</v>
      </c>
      <c r="AM31" s="44">
        <v>38249.168036870018</v>
      </c>
      <c r="AN31" s="40">
        <f t="shared" si="51"/>
        <v>0.19384739346971142</v>
      </c>
      <c r="AO31" s="44">
        <v>6269</v>
      </c>
      <c r="AP31" s="44">
        <v>193472.57403532998</v>
      </c>
      <c r="AQ31" s="44">
        <v>1170</v>
      </c>
      <c r="AR31" s="44">
        <v>29276.041191329965</v>
      </c>
      <c r="AS31" s="40">
        <f t="shared" si="52"/>
        <v>0.15131881785985787</v>
      </c>
      <c r="AT31" s="44">
        <v>6390</v>
      </c>
      <c r="AU31" s="44">
        <v>189884.85566146992</v>
      </c>
      <c r="AV31" s="44">
        <v>1153</v>
      </c>
      <c r="AW31" s="44">
        <v>28666.650544839984</v>
      </c>
      <c r="AX31" s="40">
        <f t="shared" si="53"/>
        <v>0.15096859854872996</v>
      </c>
      <c r="AY31" s="41">
        <v>6038</v>
      </c>
      <c r="AZ31" s="41">
        <v>186127.36253506981</v>
      </c>
      <c r="BA31" s="41">
        <v>1334</v>
      </c>
      <c r="BB31" s="41">
        <v>30400.699758019993</v>
      </c>
      <c r="BC31" s="40">
        <f t="shared" si="54"/>
        <v>0.16333278108043864</v>
      </c>
      <c r="BD31" s="39">
        <v>6118</v>
      </c>
      <c r="BE31" s="39">
        <v>185891.75441435017</v>
      </c>
      <c r="BF31" s="39">
        <v>1374</v>
      </c>
      <c r="BG31" s="39">
        <v>29436.496506099964</v>
      </c>
      <c r="BH31" s="40">
        <f t="shared" si="55"/>
        <v>0.15835288982472248</v>
      </c>
      <c r="BI31" s="39">
        <v>6108</v>
      </c>
      <c r="BJ31" s="39">
        <v>186205.24745370037</v>
      </c>
      <c r="BK31" s="39">
        <v>1381</v>
      </c>
      <c r="BL31" s="39">
        <v>28887.632380069983</v>
      </c>
      <c r="BM31" s="40">
        <f t="shared" si="56"/>
        <v>0.1551386589534908</v>
      </c>
      <c r="BN31" s="42">
        <v>0</v>
      </c>
      <c r="BO31" s="42">
        <v>0</v>
      </c>
    </row>
    <row r="32" spans="1:67" s="29" customFormat="1" ht="35.1" customHeight="1" x14ac:dyDescent="0.25">
      <c r="A32" s="38">
        <f t="shared" si="57"/>
        <v>26</v>
      </c>
      <c r="B32" s="45" t="s">
        <v>2080</v>
      </c>
      <c r="C32" s="45" t="s">
        <v>2081</v>
      </c>
      <c r="D32" s="64">
        <v>11786</v>
      </c>
      <c r="E32" s="45" t="s">
        <v>2035</v>
      </c>
      <c r="F32" s="41">
        <v>1273</v>
      </c>
      <c r="G32" s="41">
        <v>441822.86079724028</v>
      </c>
      <c r="H32" s="41">
        <v>198</v>
      </c>
      <c r="I32" s="41">
        <v>28329.533005860005</v>
      </c>
      <c r="J32" s="40">
        <f t="shared" si="45"/>
        <v>6.411966314903042E-2</v>
      </c>
      <c r="K32" s="41">
        <v>1236</v>
      </c>
      <c r="L32" s="41">
        <v>438646.27455382992</v>
      </c>
      <c r="M32" s="41">
        <v>207</v>
      </c>
      <c r="N32" s="41">
        <v>30476.879074400007</v>
      </c>
      <c r="O32" s="40">
        <f t="shared" si="46"/>
        <v>6.9479397962286665E-2</v>
      </c>
      <c r="P32" s="41">
        <v>1192</v>
      </c>
      <c r="Q32" s="41">
        <v>426407.47295517992</v>
      </c>
      <c r="R32" s="41">
        <v>0</v>
      </c>
      <c r="S32" s="41">
        <v>0</v>
      </c>
      <c r="T32" s="40">
        <f t="shared" si="47"/>
        <v>0</v>
      </c>
      <c r="U32" s="41">
        <v>1152</v>
      </c>
      <c r="V32" s="41">
        <v>409538.0865595598</v>
      </c>
      <c r="W32" s="41">
        <v>204</v>
      </c>
      <c r="X32" s="41">
        <v>92963.959726559973</v>
      </c>
      <c r="Y32" s="40">
        <f t="shared" si="48"/>
        <v>0.22699710424378336</v>
      </c>
      <c r="Z32" s="41">
        <v>1669</v>
      </c>
      <c r="AA32" s="41">
        <v>409876.29166382004</v>
      </c>
      <c r="AB32" s="41">
        <v>452</v>
      </c>
      <c r="AC32" s="41">
        <v>82440.919976349993</v>
      </c>
      <c r="AD32" s="40">
        <f t="shared" si="49"/>
        <v>0.20113610289996456</v>
      </c>
      <c r="AE32" s="44">
        <v>1139</v>
      </c>
      <c r="AF32" s="44">
        <v>391116.28372512921</v>
      </c>
      <c r="AG32" s="44">
        <v>202</v>
      </c>
      <c r="AH32" s="44">
        <v>94741.762148640017</v>
      </c>
      <c r="AI32" s="40">
        <f t="shared" si="50"/>
        <v>0.24223425638607043</v>
      </c>
      <c r="AJ32" s="44">
        <v>1167</v>
      </c>
      <c r="AK32" s="44">
        <v>381276.89287462999</v>
      </c>
      <c r="AL32" s="44">
        <v>169</v>
      </c>
      <c r="AM32" s="44">
        <v>92560.148707619941</v>
      </c>
      <c r="AN32" s="40">
        <f t="shared" si="51"/>
        <v>0.24276359369634082</v>
      </c>
      <c r="AO32" s="44">
        <v>1241</v>
      </c>
      <c r="AP32" s="44">
        <v>443536.11653190001</v>
      </c>
      <c r="AQ32" s="44">
        <v>174</v>
      </c>
      <c r="AR32" s="44">
        <v>139696.25383969006</v>
      </c>
      <c r="AS32" s="40">
        <f t="shared" si="52"/>
        <v>0.31496026734418781</v>
      </c>
      <c r="AT32" s="44">
        <v>1392</v>
      </c>
      <c r="AU32" s="44">
        <v>455714.37712573993</v>
      </c>
      <c r="AV32" s="44">
        <v>244</v>
      </c>
      <c r="AW32" s="44">
        <v>101545.66966239993</v>
      </c>
      <c r="AX32" s="40">
        <f t="shared" si="53"/>
        <v>0.22282744359057521</v>
      </c>
      <c r="AY32" s="41">
        <v>1464</v>
      </c>
      <c r="AZ32" s="41">
        <v>453992.47987509979</v>
      </c>
      <c r="BA32" s="41">
        <v>262</v>
      </c>
      <c r="BB32" s="41">
        <v>103908.87611470994</v>
      </c>
      <c r="BC32" s="40">
        <f t="shared" si="54"/>
        <v>0.22887796763350982</v>
      </c>
      <c r="BD32" s="39">
        <v>1499</v>
      </c>
      <c r="BE32" s="39">
        <v>446318.68293605978</v>
      </c>
      <c r="BF32" s="39">
        <v>281</v>
      </c>
      <c r="BG32" s="39">
        <v>109787.34109187998</v>
      </c>
      <c r="BH32" s="40">
        <f t="shared" si="55"/>
        <v>0.24598419310985523</v>
      </c>
      <c r="BI32" s="39">
        <v>1557</v>
      </c>
      <c r="BJ32" s="39">
        <v>425427.0818924607</v>
      </c>
      <c r="BK32" s="39">
        <v>283</v>
      </c>
      <c r="BL32" s="39">
        <v>93418.986884849975</v>
      </c>
      <c r="BM32" s="40">
        <f t="shared" si="56"/>
        <v>0.21958871651820322</v>
      </c>
      <c r="BN32" s="42">
        <v>0</v>
      </c>
      <c r="BO32" s="42">
        <v>0</v>
      </c>
    </row>
    <row r="33" spans="1:67" s="29" customFormat="1" ht="35.1" customHeight="1" x14ac:dyDescent="0.25">
      <c r="A33" s="38">
        <f t="shared" si="57"/>
        <v>27</v>
      </c>
      <c r="B33" s="45" t="s">
        <v>2080</v>
      </c>
      <c r="C33" s="45" t="s">
        <v>2082</v>
      </c>
      <c r="D33" s="64">
        <v>11412</v>
      </c>
      <c r="E33" s="45" t="s">
        <v>2062</v>
      </c>
      <c r="F33" s="41">
        <v>3262</v>
      </c>
      <c r="G33" s="41">
        <v>216514.97596881981</v>
      </c>
      <c r="H33" s="41">
        <v>650</v>
      </c>
      <c r="I33" s="41">
        <v>25372.30026693999</v>
      </c>
      <c r="J33" s="40">
        <f t="shared" si="45"/>
        <v>0.11718496678305448</v>
      </c>
      <c r="K33" s="41">
        <v>3250</v>
      </c>
      <c r="L33" s="41">
        <v>211400.10353794007</v>
      </c>
      <c r="M33" s="41">
        <v>704</v>
      </c>
      <c r="N33" s="41">
        <v>26224.496650340006</v>
      </c>
      <c r="O33" s="40">
        <f t="shared" si="46"/>
        <v>0.12405148441960666</v>
      </c>
      <c r="P33" s="41">
        <v>3262</v>
      </c>
      <c r="Q33" s="41">
        <v>212300.94507396</v>
      </c>
      <c r="R33" s="41">
        <v>730</v>
      </c>
      <c r="S33" s="41">
        <v>29485.177801640002</v>
      </c>
      <c r="T33" s="40">
        <f t="shared" si="47"/>
        <v>0.13888387445175127</v>
      </c>
      <c r="U33" s="41">
        <v>3270</v>
      </c>
      <c r="V33" s="41">
        <v>210644.89425609008</v>
      </c>
      <c r="W33" s="41">
        <v>753</v>
      </c>
      <c r="X33" s="41">
        <v>24478.007513599994</v>
      </c>
      <c r="Y33" s="40">
        <f t="shared" si="48"/>
        <v>0.11620508344171412</v>
      </c>
      <c r="Z33" s="41">
        <v>3641</v>
      </c>
      <c r="AA33" s="41">
        <v>195409.93337335016</v>
      </c>
      <c r="AB33" s="41">
        <v>778</v>
      </c>
      <c r="AC33" s="41">
        <v>24407.711119500036</v>
      </c>
      <c r="AD33" s="40">
        <f t="shared" si="49"/>
        <v>0.12490517087924426</v>
      </c>
      <c r="AE33" s="44">
        <v>3773</v>
      </c>
      <c r="AF33" s="44">
        <v>217523.24726864992</v>
      </c>
      <c r="AG33" s="44">
        <v>766</v>
      </c>
      <c r="AH33" s="44">
        <v>24218.412347300007</v>
      </c>
      <c r="AI33" s="40">
        <f t="shared" si="50"/>
        <v>0.11133712213016615</v>
      </c>
      <c r="AJ33" s="44">
        <v>3764</v>
      </c>
      <c r="AK33" s="44">
        <v>214456.32593381964</v>
      </c>
      <c r="AL33" s="44">
        <v>763</v>
      </c>
      <c r="AM33" s="44">
        <v>23200.860239910013</v>
      </c>
      <c r="AN33" s="40">
        <f t="shared" si="51"/>
        <v>0.10818454591574839</v>
      </c>
      <c r="AO33" s="44">
        <v>3889</v>
      </c>
      <c r="AP33" s="44">
        <v>216928.65814004</v>
      </c>
      <c r="AQ33" s="44">
        <v>765</v>
      </c>
      <c r="AR33" s="44">
        <v>22444.838661100006</v>
      </c>
      <c r="AS33" s="40">
        <f t="shared" si="52"/>
        <v>0.10346645230530382</v>
      </c>
      <c r="AT33" s="44">
        <v>4113</v>
      </c>
      <c r="AU33" s="44">
        <v>224856.13224428007</v>
      </c>
      <c r="AV33" s="44">
        <v>855</v>
      </c>
      <c r="AW33" s="44">
        <v>26519.869438840014</v>
      </c>
      <c r="AX33" s="40">
        <f t="shared" si="53"/>
        <v>0.11794149963421614</v>
      </c>
      <c r="AY33" s="41">
        <v>4254</v>
      </c>
      <c r="AZ33" s="41">
        <v>227157.68423255</v>
      </c>
      <c r="BA33" s="41">
        <v>887</v>
      </c>
      <c r="BB33" s="41">
        <v>27262.170754110022</v>
      </c>
      <c r="BC33" s="40">
        <f t="shared" si="54"/>
        <v>0.12001430128245495</v>
      </c>
      <c r="BD33" s="39">
        <v>4419</v>
      </c>
      <c r="BE33" s="39">
        <v>226411.66262340971</v>
      </c>
      <c r="BF33" s="39">
        <v>1008</v>
      </c>
      <c r="BG33" s="39">
        <v>30024.24631483003</v>
      </c>
      <c r="BH33" s="40">
        <f t="shared" si="55"/>
        <v>0.13260909781299265</v>
      </c>
      <c r="BI33" s="39">
        <v>4435</v>
      </c>
      <c r="BJ33" s="39">
        <v>227030.80331465966</v>
      </c>
      <c r="BK33" s="39">
        <v>912</v>
      </c>
      <c r="BL33" s="39">
        <v>24788.582708110021</v>
      </c>
      <c r="BM33" s="40">
        <f t="shared" si="56"/>
        <v>0.10918598862443171</v>
      </c>
      <c r="BN33" s="42">
        <v>0</v>
      </c>
      <c r="BO33" s="42">
        <v>0</v>
      </c>
    </row>
    <row r="34" spans="1:67" s="29" customFormat="1" ht="35.1" customHeight="1" x14ac:dyDescent="0.25">
      <c r="A34" s="38">
        <f t="shared" si="57"/>
        <v>28</v>
      </c>
      <c r="B34" s="45" t="s">
        <v>2080</v>
      </c>
      <c r="C34" s="45" t="s">
        <v>2083</v>
      </c>
      <c r="D34" s="64">
        <v>11413</v>
      </c>
      <c r="E34" s="45" t="s">
        <v>2043</v>
      </c>
      <c r="F34" s="41">
        <v>2204</v>
      </c>
      <c r="G34" s="41">
        <v>65329.604372349975</v>
      </c>
      <c r="H34" s="41">
        <v>106</v>
      </c>
      <c r="I34" s="41">
        <v>4004.2376490099996</v>
      </c>
      <c r="J34" s="40">
        <f t="shared" si="45"/>
        <v>6.1292850117193549E-2</v>
      </c>
      <c r="K34" s="41">
        <v>2226</v>
      </c>
      <c r="L34" s="41">
        <v>63297.113570629976</v>
      </c>
      <c r="M34" s="41">
        <v>130</v>
      </c>
      <c r="N34" s="41">
        <v>8206.8189388300016</v>
      </c>
      <c r="O34" s="40">
        <f t="shared" si="46"/>
        <v>0.12965550047827121</v>
      </c>
      <c r="P34" s="41">
        <v>2222</v>
      </c>
      <c r="Q34" s="41">
        <v>63906.093411069967</v>
      </c>
      <c r="R34" s="41">
        <v>138</v>
      </c>
      <c r="S34" s="41">
        <v>9794.4106432899971</v>
      </c>
      <c r="T34" s="40">
        <f t="shared" si="47"/>
        <v>0.1532625469732341</v>
      </c>
      <c r="U34" s="41">
        <v>2238</v>
      </c>
      <c r="V34" s="41">
        <v>64619.792329140007</v>
      </c>
      <c r="W34" s="41">
        <v>148</v>
      </c>
      <c r="X34" s="41">
        <v>7708.0512558600003</v>
      </c>
      <c r="Y34" s="40">
        <f t="shared" si="48"/>
        <v>0.11928313258264819</v>
      </c>
      <c r="Z34" s="41">
        <v>2356</v>
      </c>
      <c r="AA34" s="41">
        <v>70413.766177380006</v>
      </c>
      <c r="AB34" s="41">
        <v>171</v>
      </c>
      <c r="AC34" s="41">
        <v>8193.88994705</v>
      </c>
      <c r="AD34" s="40">
        <f t="shared" si="49"/>
        <v>0.1163677273902477</v>
      </c>
      <c r="AE34" s="44">
        <v>2735</v>
      </c>
      <c r="AF34" s="44">
        <v>84220.27705355997</v>
      </c>
      <c r="AG34" s="44">
        <v>434</v>
      </c>
      <c r="AH34" s="44">
        <v>15790.624537009997</v>
      </c>
      <c r="AI34" s="40">
        <f t="shared" si="50"/>
        <v>0.18749195668126256</v>
      </c>
      <c r="AJ34" s="44">
        <v>2722</v>
      </c>
      <c r="AK34" s="44">
        <v>85638.51868092001</v>
      </c>
      <c r="AL34" s="44">
        <v>453</v>
      </c>
      <c r="AM34" s="44">
        <v>16269.370880499991</v>
      </c>
      <c r="AN34" s="40">
        <f t="shared" si="51"/>
        <v>0.18997725709289687</v>
      </c>
      <c r="AO34" s="44">
        <v>2710</v>
      </c>
      <c r="AP34" s="44">
        <v>87234.604254350008</v>
      </c>
      <c r="AQ34" s="44">
        <v>464</v>
      </c>
      <c r="AR34" s="44">
        <v>16250.247605699995</v>
      </c>
      <c r="AS34" s="40">
        <f t="shared" si="52"/>
        <v>0.18628212673859487</v>
      </c>
      <c r="AT34" s="44">
        <v>2440</v>
      </c>
      <c r="AU34" s="44">
        <v>79767.805075070151</v>
      </c>
      <c r="AV34" s="44">
        <v>203</v>
      </c>
      <c r="AW34" s="44">
        <v>8759.107691610001</v>
      </c>
      <c r="AX34" s="40">
        <f t="shared" si="53"/>
        <v>0.10980755560926782</v>
      </c>
      <c r="AY34" s="41">
        <v>2499</v>
      </c>
      <c r="AZ34" s="41">
        <v>82476.639877410154</v>
      </c>
      <c r="BA34" s="41">
        <v>208</v>
      </c>
      <c r="BB34" s="41">
        <v>8504.2943650100005</v>
      </c>
      <c r="BC34" s="40">
        <f t="shared" si="54"/>
        <v>0.10311155228499161</v>
      </c>
      <c r="BD34" s="39">
        <v>2533</v>
      </c>
      <c r="BE34" s="39">
        <v>86788.148633070115</v>
      </c>
      <c r="BF34" s="39">
        <v>213</v>
      </c>
      <c r="BG34" s="39">
        <v>8376.8248644000014</v>
      </c>
      <c r="BH34" s="40">
        <f t="shared" si="55"/>
        <v>9.6520377451721109E-2</v>
      </c>
      <c r="BI34" s="39">
        <v>2570</v>
      </c>
      <c r="BJ34" s="39">
        <v>86851.67375655011</v>
      </c>
      <c r="BK34" s="39">
        <v>224</v>
      </c>
      <c r="BL34" s="39">
        <v>9395.954897079997</v>
      </c>
      <c r="BM34" s="40">
        <f t="shared" si="56"/>
        <v>0.1081839242778137</v>
      </c>
      <c r="BN34" s="42">
        <v>0</v>
      </c>
      <c r="BO34" s="42">
        <v>0</v>
      </c>
    </row>
    <row r="35" spans="1:67" s="29" customFormat="1" ht="35.1" customHeight="1" x14ac:dyDescent="0.25">
      <c r="A35" s="38">
        <f t="shared" si="57"/>
        <v>29</v>
      </c>
      <c r="B35" s="45" t="s">
        <v>2080</v>
      </c>
      <c r="C35" s="45" t="s">
        <v>2084</v>
      </c>
      <c r="D35" s="64">
        <v>11787</v>
      </c>
      <c r="E35" s="45" t="s">
        <v>2068</v>
      </c>
      <c r="F35" s="41">
        <v>4707</v>
      </c>
      <c r="G35" s="41">
        <v>119483.12901392012</v>
      </c>
      <c r="H35" s="41">
        <v>1131</v>
      </c>
      <c r="I35" s="41">
        <v>56735.04094258001</v>
      </c>
      <c r="J35" s="40">
        <f t="shared" si="45"/>
        <v>0.47483725452126568</v>
      </c>
      <c r="K35" s="41">
        <v>4169</v>
      </c>
      <c r="L35" s="41">
        <v>93707.507423540272</v>
      </c>
      <c r="M35" s="41">
        <v>1155</v>
      </c>
      <c r="N35" s="41">
        <v>43198.827788759998</v>
      </c>
      <c r="O35" s="40">
        <f t="shared" si="46"/>
        <v>0.46099644496475012</v>
      </c>
      <c r="P35" s="41">
        <v>4081</v>
      </c>
      <c r="Q35" s="41">
        <v>91901.731022490305</v>
      </c>
      <c r="R35" s="41">
        <v>1138</v>
      </c>
      <c r="S35" s="41">
        <v>42933.007574899973</v>
      </c>
      <c r="T35" s="40">
        <f t="shared" si="47"/>
        <v>0.4671621208570419</v>
      </c>
      <c r="U35" s="41">
        <v>3969</v>
      </c>
      <c r="V35" s="41">
        <v>92711.074957450139</v>
      </c>
      <c r="W35" s="41">
        <v>1167</v>
      </c>
      <c r="X35" s="41">
        <v>43140.059894390004</v>
      </c>
      <c r="Y35" s="40">
        <f t="shared" si="48"/>
        <v>0.46531722250215724</v>
      </c>
      <c r="Z35" s="41">
        <v>4175</v>
      </c>
      <c r="AA35" s="41">
        <v>95471.67698806015</v>
      </c>
      <c r="AB35" s="41">
        <v>1203</v>
      </c>
      <c r="AC35" s="41">
        <v>43294.537239360005</v>
      </c>
      <c r="AD35" s="40">
        <f t="shared" si="49"/>
        <v>0.45348043111020764</v>
      </c>
      <c r="AE35" s="44">
        <v>4293</v>
      </c>
      <c r="AF35" s="44">
        <v>96324.492227069888</v>
      </c>
      <c r="AG35" s="44">
        <v>1240</v>
      </c>
      <c r="AH35" s="44">
        <v>38606.488889820022</v>
      </c>
      <c r="AI35" s="40">
        <f t="shared" si="50"/>
        <v>0.4007961837868948</v>
      </c>
      <c r="AJ35" s="44">
        <v>4304</v>
      </c>
      <c r="AK35" s="44">
        <v>96229.106730389991</v>
      </c>
      <c r="AL35" s="44">
        <v>1265</v>
      </c>
      <c r="AM35" s="44">
        <v>38280.380419339963</v>
      </c>
      <c r="AN35" s="40">
        <f t="shared" si="51"/>
        <v>0.39780459073149316</v>
      </c>
      <c r="AO35" s="44">
        <v>4390</v>
      </c>
      <c r="AP35" s="44">
        <v>98692.351323569994</v>
      </c>
      <c r="AQ35" s="44">
        <v>1269</v>
      </c>
      <c r="AR35" s="44">
        <v>37977.382295910007</v>
      </c>
      <c r="AS35" s="40">
        <f t="shared" si="52"/>
        <v>0.38480572999419599</v>
      </c>
      <c r="AT35" s="44">
        <v>4612</v>
      </c>
      <c r="AU35" s="44">
        <v>103554.53120891977</v>
      </c>
      <c r="AV35" s="44">
        <v>1340</v>
      </c>
      <c r="AW35" s="44">
        <v>40495.990726069918</v>
      </c>
      <c r="AX35" s="40">
        <f t="shared" si="53"/>
        <v>0.39105957270348551</v>
      </c>
      <c r="AY35" s="41">
        <v>4615</v>
      </c>
      <c r="AZ35" s="41">
        <v>101905.26924654</v>
      </c>
      <c r="BA35" s="41">
        <v>1326</v>
      </c>
      <c r="BB35" s="41">
        <v>35312.798119229963</v>
      </c>
      <c r="BC35" s="40">
        <f t="shared" si="54"/>
        <v>0.34652573297066225</v>
      </c>
      <c r="BD35" s="39">
        <v>4636</v>
      </c>
      <c r="BE35" s="39">
        <v>103304.23873429015</v>
      </c>
      <c r="BF35" s="39">
        <v>1328</v>
      </c>
      <c r="BG35" s="39">
        <v>35247.479689419946</v>
      </c>
      <c r="BH35" s="40">
        <f t="shared" si="55"/>
        <v>0.34120071084479248</v>
      </c>
      <c r="BI35" s="39">
        <v>4606</v>
      </c>
      <c r="BJ35" s="39">
        <v>98110.840954209867</v>
      </c>
      <c r="BK35" s="39">
        <v>1290</v>
      </c>
      <c r="BL35" s="39">
        <v>30144.358845670024</v>
      </c>
      <c r="BM35" s="40">
        <f t="shared" si="56"/>
        <v>0.30724799168461875</v>
      </c>
      <c r="BN35" s="42">
        <v>0</v>
      </c>
      <c r="BO35" s="42">
        <v>0</v>
      </c>
    </row>
    <row r="36" spans="1:67" s="29" customFormat="1" ht="35.1" customHeight="1" x14ac:dyDescent="0.25">
      <c r="A36" s="38">
        <f t="shared" si="57"/>
        <v>30</v>
      </c>
      <c r="B36" s="45" t="s">
        <v>2080</v>
      </c>
      <c r="C36" s="45" t="s">
        <v>2085</v>
      </c>
      <c r="D36" s="64">
        <v>11785</v>
      </c>
      <c r="E36" s="45" t="s">
        <v>2077</v>
      </c>
      <c r="F36" s="41">
        <v>2180</v>
      </c>
      <c r="G36" s="41">
        <v>62114.414110329963</v>
      </c>
      <c r="H36" s="41">
        <v>66</v>
      </c>
      <c r="I36" s="41">
        <v>1445.7503836600001</v>
      </c>
      <c r="J36" s="40">
        <f t="shared" si="45"/>
        <v>2.3275602038071289E-2</v>
      </c>
      <c r="K36" s="41">
        <v>2172</v>
      </c>
      <c r="L36" s="41">
        <v>61869.511267120004</v>
      </c>
      <c r="M36" s="41">
        <v>68</v>
      </c>
      <c r="N36" s="41">
        <v>1351.9968300900005</v>
      </c>
      <c r="O36" s="40">
        <f t="shared" si="46"/>
        <v>2.1852392275296784E-2</v>
      </c>
      <c r="P36" s="41">
        <v>2186</v>
      </c>
      <c r="Q36" s="41">
        <v>62976.869179769965</v>
      </c>
      <c r="R36" s="41">
        <v>63</v>
      </c>
      <c r="S36" s="41">
        <v>1153.2140333999996</v>
      </c>
      <c r="T36" s="40">
        <f t="shared" si="47"/>
        <v>1.8311707908313202E-2</v>
      </c>
      <c r="U36" s="41">
        <v>2155</v>
      </c>
      <c r="V36" s="41">
        <v>63344.735587859985</v>
      </c>
      <c r="W36" s="41">
        <v>65</v>
      </c>
      <c r="X36" s="41">
        <v>1195.4685119699998</v>
      </c>
      <c r="Y36" s="40">
        <f t="shared" si="48"/>
        <v>1.8872420902473722E-2</v>
      </c>
      <c r="Z36" s="41">
        <v>2282</v>
      </c>
      <c r="AA36" s="41">
        <v>67828.397401570008</v>
      </c>
      <c r="AB36" s="41">
        <v>69</v>
      </c>
      <c r="AC36" s="41">
        <v>1247.5265114000003</v>
      </c>
      <c r="AD36" s="40">
        <f t="shared" si="49"/>
        <v>1.83923925552032E-2</v>
      </c>
      <c r="AE36" s="44">
        <v>2412</v>
      </c>
      <c r="AF36" s="44">
        <v>74002.111875030023</v>
      </c>
      <c r="AG36" s="44">
        <v>73</v>
      </c>
      <c r="AH36" s="44">
        <v>1272.3886842100001</v>
      </c>
      <c r="AI36" s="40">
        <f t="shared" si="50"/>
        <v>1.7193950982895296E-2</v>
      </c>
      <c r="AJ36" s="44">
        <v>2494</v>
      </c>
      <c r="AK36" s="44">
        <v>77524.14105566006</v>
      </c>
      <c r="AL36" s="44">
        <v>71</v>
      </c>
      <c r="AM36" s="44">
        <v>1257.0363211600004</v>
      </c>
      <c r="AN36" s="40">
        <f t="shared" si="51"/>
        <v>1.6214772637822394E-2</v>
      </c>
      <c r="AO36" s="44">
        <v>2658</v>
      </c>
      <c r="AP36" s="44">
        <v>80983.164363109987</v>
      </c>
      <c r="AQ36" s="44">
        <v>73</v>
      </c>
      <c r="AR36" s="44">
        <v>1497.1837531300002</v>
      </c>
      <c r="AS36" s="40">
        <f t="shared" si="52"/>
        <v>1.8487592636130774E-2</v>
      </c>
      <c r="AT36" s="44">
        <v>2845</v>
      </c>
      <c r="AU36" s="44">
        <v>87356.838496299984</v>
      </c>
      <c r="AV36" s="44">
        <v>148</v>
      </c>
      <c r="AW36" s="44">
        <v>3517.7481403000006</v>
      </c>
      <c r="AX36" s="40">
        <f t="shared" si="53"/>
        <v>4.0268720810552175E-2</v>
      </c>
      <c r="AY36" s="41">
        <v>2889</v>
      </c>
      <c r="AZ36" s="41">
        <v>89596.811506889891</v>
      </c>
      <c r="BA36" s="41">
        <v>146</v>
      </c>
      <c r="BB36" s="41">
        <v>3477.5818618800008</v>
      </c>
      <c r="BC36" s="40">
        <f t="shared" si="54"/>
        <v>3.8813678783787733E-2</v>
      </c>
      <c r="BD36" s="39">
        <v>2870</v>
      </c>
      <c r="BE36" s="39">
        <v>87732.562595299954</v>
      </c>
      <c r="BF36" s="39">
        <v>65</v>
      </c>
      <c r="BG36" s="39">
        <v>1138.7548704600003</v>
      </c>
      <c r="BH36" s="40">
        <f t="shared" si="55"/>
        <v>1.2979842794663863E-2</v>
      </c>
      <c r="BI36" s="39">
        <v>2922</v>
      </c>
      <c r="BJ36" s="39">
        <v>88050.073461969951</v>
      </c>
      <c r="BK36" s="39">
        <v>62</v>
      </c>
      <c r="BL36" s="39">
        <v>1060.4965806000002</v>
      </c>
      <c r="BM36" s="40">
        <f t="shared" si="56"/>
        <v>1.2044244131812603E-2</v>
      </c>
      <c r="BN36" s="42">
        <v>0</v>
      </c>
      <c r="BO36" s="42">
        <v>0</v>
      </c>
    </row>
    <row r="37" spans="1:67" s="29" customFormat="1" ht="35.1" customHeight="1" x14ac:dyDescent="0.25">
      <c r="A37" s="38">
        <f t="shared" si="57"/>
        <v>31</v>
      </c>
      <c r="B37" s="45" t="s">
        <v>2080</v>
      </c>
      <c r="C37" s="45" t="s">
        <v>2086</v>
      </c>
      <c r="D37" s="64">
        <v>11943</v>
      </c>
      <c r="E37" s="45" t="s">
        <v>2087</v>
      </c>
      <c r="F37" s="41">
        <v>1788</v>
      </c>
      <c r="G37" s="41">
        <v>89937.803940070109</v>
      </c>
      <c r="H37" s="41">
        <v>0</v>
      </c>
      <c r="I37" s="41">
        <v>0</v>
      </c>
      <c r="J37" s="40">
        <f t="shared" si="45"/>
        <v>0</v>
      </c>
      <c r="K37" s="41">
        <v>2611</v>
      </c>
      <c r="L37" s="41">
        <v>104869.56059392003</v>
      </c>
      <c r="M37" s="41">
        <v>939</v>
      </c>
      <c r="N37" s="41">
        <v>59685.877971440001</v>
      </c>
      <c r="O37" s="40">
        <f t="shared" si="46"/>
        <v>0.56914396926442712</v>
      </c>
      <c r="P37" s="41">
        <v>2617</v>
      </c>
      <c r="Q37" s="41">
        <v>104062.19521124006</v>
      </c>
      <c r="R37" s="41">
        <v>954</v>
      </c>
      <c r="S37" s="41">
        <v>55132.987440040015</v>
      </c>
      <c r="T37" s="40">
        <f t="shared" si="47"/>
        <v>0.52980803766558382</v>
      </c>
      <c r="U37" s="41">
        <v>2378</v>
      </c>
      <c r="V37" s="41">
        <v>103244.50470114003</v>
      </c>
      <c r="W37" s="41">
        <v>1003</v>
      </c>
      <c r="X37" s="41">
        <v>61316.048888470003</v>
      </c>
      <c r="Y37" s="40">
        <f t="shared" si="48"/>
        <v>0.59389164649450776</v>
      </c>
      <c r="Z37" s="41">
        <v>2728</v>
      </c>
      <c r="AA37" s="41">
        <v>105497.08963402006</v>
      </c>
      <c r="AB37" s="41">
        <v>1055</v>
      </c>
      <c r="AC37" s="41">
        <v>63124.115950800042</v>
      </c>
      <c r="AD37" s="40">
        <f t="shared" si="49"/>
        <v>0.59834935892339691</v>
      </c>
      <c r="AE37" s="44">
        <v>2863</v>
      </c>
      <c r="AF37" s="44">
        <v>105281.02100558992</v>
      </c>
      <c r="AG37" s="44">
        <v>1074</v>
      </c>
      <c r="AH37" s="44">
        <v>63235.313314650004</v>
      </c>
      <c r="AI37" s="40">
        <f t="shared" si="50"/>
        <v>0.6006335492442888</v>
      </c>
      <c r="AJ37" s="44">
        <v>2854</v>
      </c>
      <c r="AK37" s="44">
        <v>104231.24037866986</v>
      </c>
      <c r="AL37" s="44">
        <v>1033</v>
      </c>
      <c r="AM37" s="44">
        <v>63491.048776889984</v>
      </c>
      <c r="AN37" s="40">
        <f t="shared" si="51"/>
        <v>0.60913645991574472</v>
      </c>
      <c r="AO37" s="44">
        <v>2923</v>
      </c>
      <c r="AP37" s="44">
        <v>102346.52911316001</v>
      </c>
      <c r="AQ37" s="44">
        <v>1082</v>
      </c>
      <c r="AR37" s="44">
        <v>67296.267232459984</v>
      </c>
      <c r="AS37" s="40">
        <f t="shared" si="52"/>
        <v>0.65753345829689536</v>
      </c>
      <c r="AT37" s="44">
        <v>2959</v>
      </c>
      <c r="AU37" s="44">
        <v>102907.96781856987</v>
      </c>
      <c r="AV37" s="44">
        <v>1072</v>
      </c>
      <c r="AW37" s="44">
        <v>61950.787926130004</v>
      </c>
      <c r="AX37" s="40">
        <f t="shared" si="53"/>
        <v>0.6020018589362417</v>
      </c>
      <c r="AY37" s="41">
        <v>2754</v>
      </c>
      <c r="AZ37" s="41">
        <v>103951.16935951999</v>
      </c>
      <c r="BA37" s="41">
        <v>1078</v>
      </c>
      <c r="BB37" s="41">
        <v>64040.845931070042</v>
      </c>
      <c r="BC37" s="40">
        <f t="shared" si="54"/>
        <v>0.61606662364308551</v>
      </c>
      <c r="BD37" s="39">
        <v>2760</v>
      </c>
      <c r="BE37" s="39">
        <v>102864.48610557985</v>
      </c>
      <c r="BF37" s="39">
        <v>1108</v>
      </c>
      <c r="BG37" s="39">
        <v>67019.565996269957</v>
      </c>
      <c r="BH37" s="40">
        <f t="shared" si="55"/>
        <v>0.65153259918570183</v>
      </c>
      <c r="BI37" s="39">
        <v>2703</v>
      </c>
      <c r="BJ37" s="39">
        <v>98191.406345549607</v>
      </c>
      <c r="BK37" s="39">
        <v>1057</v>
      </c>
      <c r="BL37" s="39">
        <v>62926.808603820005</v>
      </c>
      <c r="BM37" s="40">
        <f t="shared" si="56"/>
        <v>0.64085861426988389</v>
      </c>
      <c r="BN37" s="42"/>
      <c r="BO37" s="42"/>
    </row>
    <row r="38" spans="1:67" s="29" customFormat="1" ht="35.1" customHeight="1" x14ac:dyDescent="0.25">
      <c r="A38" s="38">
        <f t="shared" si="57"/>
        <v>32</v>
      </c>
      <c r="B38" s="45" t="s">
        <v>2080</v>
      </c>
      <c r="C38" s="45" t="s">
        <v>2088</v>
      </c>
      <c r="D38" s="64">
        <v>11247</v>
      </c>
      <c r="E38" s="45" t="s">
        <v>2049</v>
      </c>
      <c r="F38" s="41">
        <v>544</v>
      </c>
      <c r="G38" s="41">
        <v>10928.99092776</v>
      </c>
      <c r="H38" s="41">
        <v>9</v>
      </c>
      <c r="I38" s="41">
        <v>156.77619146999999</v>
      </c>
      <c r="J38" s="40">
        <f t="shared" si="45"/>
        <v>1.4344983219977176E-2</v>
      </c>
      <c r="K38" s="41">
        <v>542</v>
      </c>
      <c r="L38" s="41">
        <v>10590.712701809996</v>
      </c>
      <c r="M38" s="41">
        <v>11</v>
      </c>
      <c r="N38" s="41">
        <v>185.84515209999995</v>
      </c>
      <c r="O38" s="40">
        <f t="shared" si="46"/>
        <v>1.7547936322381615E-2</v>
      </c>
      <c r="P38" s="41">
        <v>610</v>
      </c>
      <c r="Q38" s="41">
        <v>11304.58467117</v>
      </c>
      <c r="R38" s="41">
        <v>10</v>
      </c>
      <c r="S38" s="41">
        <v>175.51360009999996</v>
      </c>
      <c r="T38" s="40">
        <f t="shared" si="47"/>
        <v>1.552587779253943E-2</v>
      </c>
      <c r="U38" s="41">
        <v>655</v>
      </c>
      <c r="V38" s="41">
        <v>11805.834289759994</v>
      </c>
      <c r="W38" s="41">
        <v>13</v>
      </c>
      <c r="X38" s="41">
        <v>226.87008383999995</v>
      </c>
      <c r="Y38" s="40">
        <f t="shared" si="48"/>
        <v>1.9216776914849625E-2</v>
      </c>
      <c r="Z38" s="41">
        <v>827</v>
      </c>
      <c r="AA38" s="41">
        <v>17123.74195697</v>
      </c>
      <c r="AB38" s="41">
        <v>14</v>
      </c>
      <c r="AC38" s="41">
        <v>239.41388680999998</v>
      </c>
      <c r="AD38" s="40">
        <f t="shared" si="49"/>
        <v>1.3981400059147097E-2</v>
      </c>
      <c r="AE38" s="44">
        <v>953</v>
      </c>
      <c r="AF38" s="44">
        <v>21472.389579360006</v>
      </c>
      <c r="AG38" s="44">
        <v>10</v>
      </c>
      <c r="AH38" s="44">
        <v>193.75887269999998</v>
      </c>
      <c r="AI38" s="40">
        <f t="shared" si="50"/>
        <v>9.0236287854169542E-3</v>
      </c>
      <c r="AJ38" s="44">
        <v>1023</v>
      </c>
      <c r="AK38" s="44">
        <v>23241.613856029995</v>
      </c>
      <c r="AL38" s="44">
        <v>10</v>
      </c>
      <c r="AM38" s="44">
        <v>172.54105921999997</v>
      </c>
      <c r="AN38" s="40">
        <f t="shared" si="51"/>
        <v>7.4237985489649851E-3</v>
      </c>
      <c r="AO38" s="44">
        <v>1106</v>
      </c>
      <c r="AP38" s="44">
        <v>24343.068271890003</v>
      </c>
      <c r="AQ38" s="44">
        <v>13</v>
      </c>
      <c r="AR38" s="44">
        <v>170.07883354999998</v>
      </c>
      <c r="AS38" s="40">
        <f t="shared" si="52"/>
        <v>6.9867459455140828E-3</v>
      </c>
      <c r="AT38" s="44">
        <v>1212</v>
      </c>
      <c r="AU38" s="44">
        <v>25664.870573579974</v>
      </c>
      <c r="AV38" s="44">
        <v>17</v>
      </c>
      <c r="AW38" s="44">
        <v>642.28501630999983</v>
      </c>
      <c r="AX38" s="40">
        <f t="shared" si="53"/>
        <v>2.5025842794281741E-2</v>
      </c>
      <c r="AY38" s="41">
        <v>1269</v>
      </c>
      <c r="AZ38" s="41">
        <v>26726.325823479994</v>
      </c>
      <c r="BA38" s="41">
        <v>42</v>
      </c>
      <c r="BB38" s="41">
        <v>2181.8240640499998</v>
      </c>
      <c r="BC38" s="40">
        <f t="shared" si="54"/>
        <v>8.163576536708958E-2</v>
      </c>
      <c r="BD38" s="39">
        <v>1296</v>
      </c>
      <c r="BE38" s="39">
        <v>26690.554015509992</v>
      </c>
      <c r="BF38" s="39">
        <v>50</v>
      </c>
      <c r="BG38" s="39">
        <v>2684.0899153399996</v>
      </c>
      <c r="BH38" s="40">
        <f t="shared" si="55"/>
        <v>0.10056328968594147</v>
      </c>
      <c r="BI38" s="39">
        <v>1344</v>
      </c>
      <c r="BJ38" s="39">
        <v>26284.506360010004</v>
      </c>
      <c r="BK38" s="39">
        <v>73</v>
      </c>
      <c r="BL38" s="39">
        <v>3844.1112550100001</v>
      </c>
      <c r="BM38" s="40">
        <f t="shared" si="56"/>
        <v>0.14625008369411649</v>
      </c>
      <c r="BN38" s="42"/>
      <c r="BO38" s="42"/>
    </row>
    <row r="39" spans="1:67" s="29" customFormat="1" ht="35.1" customHeight="1" x14ac:dyDescent="0.25">
      <c r="A39" s="38">
        <f t="shared" si="57"/>
        <v>33</v>
      </c>
      <c r="B39" s="45" t="s">
        <v>2080</v>
      </c>
      <c r="C39" s="45" t="s">
        <v>2089</v>
      </c>
      <c r="D39" s="64">
        <v>10444</v>
      </c>
      <c r="E39" s="45" t="s">
        <v>2035</v>
      </c>
      <c r="F39" s="41">
        <v>570</v>
      </c>
      <c r="G39" s="41">
        <v>10274.154326480002</v>
      </c>
      <c r="H39" s="41">
        <v>82</v>
      </c>
      <c r="I39" s="41">
        <v>1872.1752206299991</v>
      </c>
      <c r="J39" s="40">
        <f t="shared" si="45"/>
        <v>0.18222183170879228</v>
      </c>
      <c r="K39" s="41">
        <v>17</v>
      </c>
      <c r="L39" s="41">
        <v>1109.6130448899999</v>
      </c>
      <c r="M39" s="41">
        <v>0</v>
      </c>
      <c r="N39" s="41">
        <v>0</v>
      </c>
      <c r="O39" s="40">
        <f t="shared" si="46"/>
        <v>0</v>
      </c>
      <c r="P39" s="41">
        <v>0</v>
      </c>
      <c r="Q39" s="41">
        <v>0</v>
      </c>
      <c r="R39" s="41">
        <v>0</v>
      </c>
      <c r="S39" s="41">
        <v>0</v>
      </c>
      <c r="T39" s="40" t="str">
        <f t="shared" si="47"/>
        <v/>
      </c>
      <c r="U39" s="41">
        <v>0</v>
      </c>
      <c r="V39" s="41">
        <v>0</v>
      </c>
      <c r="W39" s="41">
        <v>0</v>
      </c>
      <c r="X39" s="41">
        <v>0</v>
      </c>
      <c r="Y39" s="40" t="str">
        <f t="shared" si="48"/>
        <v/>
      </c>
      <c r="Z39" s="41">
        <v>0</v>
      </c>
      <c r="AA39" s="41">
        <v>0</v>
      </c>
      <c r="AB39" s="41">
        <v>0</v>
      </c>
      <c r="AC39" s="41">
        <v>0</v>
      </c>
      <c r="AD39" s="40" t="str">
        <f t="shared" si="49"/>
        <v/>
      </c>
      <c r="AE39" s="44">
        <v>0</v>
      </c>
      <c r="AF39" s="44">
        <v>0</v>
      </c>
      <c r="AG39" s="44">
        <v>0</v>
      </c>
      <c r="AH39" s="44">
        <v>0</v>
      </c>
      <c r="AI39" s="40" t="str">
        <f t="shared" si="50"/>
        <v/>
      </c>
      <c r="AJ39" s="44">
        <v>0</v>
      </c>
      <c r="AK39" s="44">
        <v>0</v>
      </c>
      <c r="AL39" s="44">
        <v>0</v>
      </c>
      <c r="AM39" s="44">
        <v>0</v>
      </c>
      <c r="AN39" s="40" t="str">
        <f t="shared" si="51"/>
        <v/>
      </c>
      <c r="AO39" s="44">
        <v>0</v>
      </c>
      <c r="AP39" s="44">
        <v>0</v>
      </c>
      <c r="AQ39" s="44">
        <v>0</v>
      </c>
      <c r="AR39" s="44">
        <v>0</v>
      </c>
      <c r="AS39" s="40" t="str">
        <f t="shared" si="52"/>
        <v/>
      </c>
      <c r="AT39" s="44">
        <v>0</v>
      </c>
      <c r="AU39" s="44">
        <v>0</v>
      </c>
      <c r="AV39" s="44">
        <v>0</v>
      </c>
      <c r="AW39" s="44">
        <v>0</v>
      </c>
      <c r="AX39" s="40" t="str">
        <f t="shared" si="53"/>
        <v/>
      </c>
      <c r="AY39" s="41">
        <v>0</v>
      </c>
      <c r="AZ39" s="41">
        <v>0</v>
      </c>
      <c r="BA39" s="41">
        <v>0</v>
      </c>
      <c r="BB39" s="41">
        <v>0</v>
      </c>
      <c r="BC39" s="40" t="str">
        <f t="shared" si="54"/>
        <v/>
      </c>
      <c r="BD39" s="39">
        <v>0</v>
      </c>
      <c r="BE39" s="39">
        <v>0</v>
      </c>
      <c r="BF39" s="39">
        <v>0</v>
      </c>
      <c r="BG39" s="39">
        <v>0</v>
      </c>
      <c r="BH39" s="40" t="str">
        <f t="shared" si="55"/>
        <v/>
      </c>
      <c r="BI39" s="39">
        <v>0</v>
      </c>
      <c r="BJ39" s="39">
        <v>0</v>
      </c>
      <c r="BK39" s="39">
        <v>0</v>
      </c>
      <c r="BL39" s="39">
        <v>0</v>
      </c>
      <c r="BM39" s="40" t="str">
        <f t="shared" si="56"/>
        <v/>
      </c>
      <c r="BN39" s="42"/>
      <c r="BO39" s="42"/>
    </row>
    <row r="40" spans="1:67" s="29" customFormat="1" ht="35.1" customHeight="1" x14ac:dyDescent="0.25">
      <c r="A40" s="38">
        <f t="shared" si="57"/>
        <v>34</v>
      </c>
      <c r="B40" s="45" t="s">
        <v>2080</v>
      </c>
      <c r="C40" s="45" t="s">
        <v>2090</v>
      </c>
      <c r="D40" s="64">
        <v>10806</v>
      </c>
      <c r="E40" s="45" t="s">
        <v>2035</v>
      </c>
      <c r="F40" s="41">
        <v>75</v>
      </c>
      <c r="G40" s="41">
        <v>8080.57213649</v>
      </c>
      <c r="H40" s="41">
        <v>28</v>
      </c>
      <c r="I40" s="41">
        <v>681.42340075000004</v>
      </c>
      <c r="J40" s="40">
        <f t="shared" si="45"/>
        <v>8.4328608078733575E-2</v>
      </c>
      <c r="K40" s="41">
        <v>7</v>
      </c>
      <c r="L40" s="41">
        <v>1498.3444756000001</v>
      </c>
      <c r="M40" s="41">
        <v>0</v>
      </c>
      <c r="N40" s="41">
        <v>0</v>
      </c>
      <c r="O40" s="40">
        <f t="shared" si="46"/>
        <v>0</v>
      </c>
      <c r="P40" s="41">
        <v>0</v>
      </c>
      <c r="Q40" s="41">
        <v>0</v>
      </c>
      <c r="R40" s="41">
        <v>0</v>
      </c>
      <c r="S40" s="41">
        <v>0</v>
      </c>
      <c r="T40" s="40" t="str">
        <f t="shared" si="47"/>
        <v/>
      </c>
      <c r="U40" s="41">
        <v>0</v>
      </c>
      <c r="V40" s="41">
        <v>0</v>
      </c>
      <c r="W40" s="41">
        <v>0</v>
      </c>
      <c r="X40" s="41">
        <v>0</v>
      </c>
      <c r="Y40" s="40" t="str">
        <f t="shared" si="48"/>
        <v/>
      </c>
      <c r="Z40" s="41">
        <v>0</v>
      </c>
      <c r="AA40" s="41">
        <v>0</v>
      </c>
      <c r="AB40" s="41">
        <v>0</v>
      </c>
      <c r="AC40" s="41">
        <v>0</v>
      </c>
      <c r="AD40" s="40" t="str">
        <f t="shared" si="49"/>
        <v/>
      </c>
      <c r="AE40" s="44">
        <v>16</v>
      </c>
      <c r="AF40" s="44">
        <v>1471.9566693100003</v>
      </c>
      <c r="AG40" s="44">
        <v>0</v>
      </c>
      <c r="AH40" s="44">
        <v>0</v>
      </c>
      <c r="AI40" s="40">
        <f t="shared" si="50"/>
        <v>0</v>
      </c>
      <c r="AJ40" s="44">
        <v>0</v>
      </c>
      <c r="AK40" s="44">
        <v>0</v>
      </c>
      <c r="AL40" s="44">
        <v>0</v>
      </c>
      <c r="AM40" s="44">
        <v>0</v>
      </c>
      <c r="AN40" s="40" t="str">
        <f t="shared" si="51"/>
        <v/>
      </c>
      <c r="AO40" s="44">
        <v>0</v>
      </c>
      <c r="AP40" s="44">
        <v>0</v>
      </c>
      <c r="AQ40" s="44">
        <v>0</v>
      </c>
      <c r="AR40" s="44">
        <v>0</v>
      </c>
      <c r="AS40" s="40" t="str">
        <f t="shared" si="52"/>
        <v/>
      </c>
      <c r="AT40" s="44">
        <v>0</v>
      </c>
      <c r="AU40" s="44">
        <v>0</v>
      </c>
      <c r="AV40" s="44">
        <v>0</v>
      </c>
      <c r="AW40" s="44">
        <v>0</v>
      </c>
      <c r="AX40" s="40" t="str">
        <f t="shared" si="53"/>
        <v/>
      </c>
      <c r="AY40" s="41">
        <v>0</v>
      </c>
      <c r="AZ40" s="41">
        <v>0</v>
      </c>
      <c r="BA40" s="41">
        <v>0</v>
      </c>
      <c r="BB40" s="41">
        <v>0</v>
      </c>
      <c r="BC40" s="40" t="str">
        <f t="shared" si="54"/>
        <v/>
      </c>
      <c r="BD40" s="39">
        <v>0</v>
      </c>
      <c r="BE40" s="39">
        <v>0</v>
      </c>
      <c r="BF40" s="39">
        <v>0</v>
      </c>
      <c r="BG40" s="39">
        <v>0</v>
      </c>
      <c r="BH40" s="40" t="str">
        <f t="shared" si="55"/>
        <v/>
      </c>
      <c r="BI40" s="39">
        <v>0</v>
      </c>
      <c r="BJ40" s="39">
        <v>0</v>
      </c>
      <c r="BK40" s="39">
        <v>0</v>
      </c>
      <c r="BL40" s="39">
        <v>0</v>
      </c>
      <c r="BM40" s="40" t="str">
        <f t="shared" si="56"/>
        <v/>
      </c>
      <c r="BN40" s="42"/>
      <c r="BO40" s="42"/>
    </row>
    <row r="41" spans="1:67" s="29" customFormat="1" ht="35.1" customHeight="1" x14ac:dyDescent="0.25">
      <c r="A41" s="38">
        <f t="shared" si="57"/>
        <v>35</v>
      </c>
      <c r="B41" s="45" t="s">
        <v>2080</v>
      </c>
      <c r="C41" s="45" t="s">
        <v>2091</v>
      </c>
      <c r="D41" s="64">
        <v>10442</v>
      </c>
      <c r="E41" s="45" t="s">
        <v>2035</v>
      </c>
      <c r="F41" s="41">
        <v>171</v>
      </c>
      <c r="G41" s="41">
        <v>11237.187533589999</v>
      </c>
      <c r="H41" s="41">
        <v>11</v>
      </c>
      <c r="I41" s="41">
        <v>932.83964530999992</v>
      </c>
      <c r="J41" s="40">
        <f t="shared" si="45"/>
        <v>8.301362262768798E-2</v>
      </c>
      <c r="K41" s="41">
        <v>165</v>
      </c>
      <c r="L41" s="41">
        <v>11058.190188570001</v>
      </c>
      <c r="M41" s="41">
        <v>9</v>
      </c>
      <c r="N41" s="41">
        <v>915.36640550000004</v>
      </c>
      <c r="O41" s="40">
        <f t="shared" si="46"/>
        <v>8.2777234781704498E-2</v>
      </c>
      <c r="P41" s="41">
        <v>169</v>
      </c>
      <c r="Q41" s="41">
        <v>11693.50101355</v>
      </c>
      <c r="R41" s="41">
        <v>11</v>
      </c>
      <c r="S41" s="41">
        <v>941.15805750000004</v>
      </c>
      <c r="T41" s="40">
        <f t="shared" si="47"/>
        <v>8.0485566846868237E-2</v>
      </c>
      <c r="U41" s="41">
        <v>201</v>
      </c>
      <c r="V41" s="41">
        <v>16891.22257125</v>
      </c>
      <c r="W41" s="41">
        <v>9</v>
      </c>
      <c r="X41" s="41">
        <v>978.6134129300001</v>
      </c>
      <c r="Y41" s="40">
        <f t="shared" si="48"/>
        <v>5.7936209697198954E-2</v>
      </c>
      <c r="Z41" s="41">
        <v>314</v>
      </c>
      <c r="AA41" s="41">
        <v>39240.760772940004</v>
      </c>
      <c r="AB41" s="41">
        <v>0</v>
      </c>
      <c r="AC41" s="41">
        <v>0</v>
      </c>
      <c r="AD41" s="40">
        <f t="shared" si="49"/>
        <v>0</v>
      </c>
      <c r="AE41" s="44">
        <v>357</v>
      </c>
      <c r="AF41" s="44">
        <v>42390.406732529998</v>
      </c>
      <c r="AG41" s="44">
        <v>0</v>
      </c>
      <c r="AH41" s="44">
        <v>0</v>
      </c>
      <c r="AI41" s="40">
        <f t="shared" si="50"/>
        <v>0</v>
      </c>
      <c r="AJ41" s="44">
        <v>338</v>
      </c>
      <c r="AK41" s="44">
        <v>45654.012593419982</v>
      </c>
      <c r="AL41" s="44">
        <v>0</v>
      </c>
      <c r="AM41" s="44">
        <v>0</v>
      </c>
      <c r="AN41" s="40">
        <f t="shared" si="51"/>
        <v>0</v>
      </c>
      <c r="AO41" s="44">
        <v>329</v>
      </c>
      <c r="AP41" s="44">
        <v>44671.845077770005</v>
      </c>
      <c r="AQ41" s="44">
        <v>0</v>
      </c>
      <c r="AR41" s="44">
        <v>0</v>
      </c>
      <c r="AS41" s="40">
        <f t="shared" si="52"/>
        <v>0</v>
      </c>
      <c r="AT41" s="44">
        <v>322</v>
      </c>
      <c r="AU41" s="44">
        <v>43989.424087659965</v>
      </c>
      <c r="AV41" s="44">
        <v>0</v>
      </c>
      <c r="AW41" s="44">
        <v>0</v>
      </c>
      <c r="AX41" s="40">
        <f t="shared" si="53"/>
        <v>0</v>
      </c>
      <c r="AY41" s="41">
        <v>336</v>
      </c>
      <c r="AZ41" s="41">
        <v>48209.783421419968</v>
      </c>
      <c r="BA41" s="41">
        <v>0</v>
      </c>
      <c r="BB41" s="41">
        <v>0</v>
      </c>
      <c r="BC41" s="40">
        <f t="shared" si="54"/>
        <v>0</v>
      </c>
      <c r="BD41" s="39">
        <v>331</v>
      </c>
      <c r="BE41" s="39">
        <v>47263.192465449989</v>
      </c>
      <c r="BF41" s="39">
        <v>0</v>
      </c>
      <c r="BG41" s="39">
        <v>0</v>
      </c>
      <c r="BH41" s="40">
        <f t="shared" si="55"/>
        <v>0</v>
      </c>
      <c r="BI41" s="39">
        <v>0</v>
      </c>
      <c r="BJ41" s="39">
        <v>0</v>
      </c>
      <c r="BK41" s="39">
        <v>0</v>
      </c>
      <c r="BL41" s="39">
        <v>0</v>
      </c>
      <c r="BM41" s="40" t="str">
        <f t="shared" si="56"/>
        <v/>
      </c>
      <c r="BN41" s="42"/>
      <c r="BO41" s="42"/>
    </row>
    <row r="42" spans="1:67" s="29" customFormat="1" ht="35.1" customHeight="1" x14ac:dyDescent="0.25">
      <c r="A42" s="38">
        <f t="shared" si="57"/>
        <v>36</v>
      </c>
      <c r="B42" s="45" t="s">
        <v>2080</v>
      </c>
      <c r="C42" s="45" t="s">
        <v>2092</v>
      </c>
      <c r="D42" s="64">
        <v>10443</v>
      </c>
      <c r="E42" s="45" t="s">
        <v>2047</v>
      </c>
      <c r="F42" s="41">
        <v>1070</v>
      </c>
      <c r="G42" s="41">
        <v>19949.756172609999</v>
      </c>
      <c r="H42" s="41">
        <v>78</v>
      </c>
      <c r="I42" s="41">
        <v>1965.9272658699999</v>
      </c>
      <c r="J42" s="40">
        <f t="shared" si="45"/>
        <v>9.8543924490120741E-2</v>
      </c>
      <c r="K42" s="41">
        <v>1070</v>
      </c>
      <c r="L42" s="41">
        <v>19624.28160577</v>
      </c>
      <c r="M42" s="41">
        <v>140</v>
      </c>
      <c r="N42" s="41">
        <v>3344.757400500001</v>
      </c>
      <c r="O42" s="40">
        <f t="shared" si="46"/>
        <v>0.17043973724452485</v>
      </c>
      <c r="P42" s="41">
        <v>1120</v>
      </c>
      <c r="Q42" s="41">
        <v>19868.169974839995</v>
      </c>
      <c r="R42" s="41">
        <v>156</v>
      </c>
      <c r="S42" s="41">
        <v>3654.7910097000013</v>
      </c>
      <c r="T42" s="40">
        <f t="shared" si="47"/>
        <v>0.1839520707910309</v>
      </c>
      <c r="U42" s="41">
        <v>1155</v>
      </c>
      <c r="V42" s="41">
        <v>19873.045566660006</v>
      </c>
      <c r="W42" s="41">
        <v>185</v>
      </c>
      <c r="X42" s="41">
        <v>4249.1841085800006</v>
      </c>
      <c r="Y42" s="40">
        <f t="shared" si="48"/>
        <v>0.21381645275893896</v>
      </c>
      <c r="Z42" s="41">
        <v>1244</v>
      </c>
      <c r="AA42" s="41">
        <v>20922.068622360002</v>
      </c>
      <c r="AB42" s="41">
        <v>228</v>
      </c>
      <c r="AC42" s="41">
        <v>5146.2069292600045</v>
      </c>
      <c r="AD42" s="40">
        <f t="shared" si="49"/>
        <v>0.24597027292798898</v>
      </c>
      <c r="AE42" s="44">
        <v>1315</v>
      </c>
      <c r="AF42" s="44">
        <v>21594.088050379985</v>
      </c>
      <c r="AG42" s="44">
        <v>234</v>
      </c>
      <c r="AH42" s="44">
        <v>5045.0920471999989</v>
      </c>
      <c r="AI42" s="40">
        <f t="shared" si="50"/>
        <v>0.23363302193774382</v>
      </c>
      <c r="AJ42" s="44">
        <v>1330</v>
      </c>
      <c r="AK42" s="44">
        <v>21492.716974669998</v>
      </c>
      <c r="AL42" s="44">
        <v>223</v>
      </c>
      <c r="AM42" s="44">
        <v>4903.4451318000019</v>
      </c>
      <c r="AN42" s="40">
        <f t="shared" si="51"/>
        <v>0.22814449832372996</v>
      </c>
      <c r="AO42" s="44">
        <v>1372</v>
      </c>
      <c r="AP42" s="44">
        <v>24584.323814979998</v>
      </c>
      <c r="AQ42" s="44">
        <v>258</v>
      </c>
      <c r="AR42" s="44">
        <v>5685.0464572100018</v>
      </c>
      <c r="AS42" s="40">
        <f t="shared" si="52"/>
        <v>0.23124680995887001</v>
      </c>
      <c r="AT42" s="44">
        <v>1447</v>
      </c>
      <c r="AU42" s="44">
        <v>25682.284022049978</v>
      </c>
      <c r="AV42" s="44">
        <v>274</v>
      </c>
      <c r="AW42" s="44">
        <v>6257.7294627400033</v>
      </c>
      <c r="AX42" s="40">
        <f t="shared" si="53"/>
        <v>0.24365938237297427</v>
      </c>
      <c r="AY42" s="41">
        <v>1508</v>
      </c>
      <c r="AZ42" s="41">
        <v>26638.875900489966</v>
      </c>
      <c r="BA42" s="41">
        <v>303</v>
      </c>
      <c r="BB42" s="41">
        <v>6705.6171778300059</v>
      </c>
      <c r="BC42" s="40">
        <f t="shared" si="54"/>
        <v>0.25172297820970252</v>
      </c>
      <c r="BD42" s="39">
        <v>1536</v>
      </c>
      <c r="BE42" s="39">
        <v>26736.516610339982</v>
      </c>
      <c r="BF42" s="39">
        <v>323</v>
      </c>
      <c r="BG42" s="39">
        <v>7121.8327723800094</v>
      </c>
      <c r="BH42" s="40">
        <f t="shared" si="55"/>
        <v>0.2663710039783469</v>
      </c>
      <c r="BI42" s="39">
        <v>1538</v>
      </c>
      <c r="BJ42" s="39">
        <v>25870.656397409999</v>
      </c>
      <c r="BK42" s="39">
        <v>321</v>
      </c>
      <c r="BL42" s="39">
        <v>6873.423942050008</v>
      </c>
      <c r="BM42" s="40">
        <f t="shared" si="56"/>
        <v>0.26568417269606387</v>
      </c>
      <c r="BN42" s="42"/>
      <c r="BO42" s="42"/>
    </row>
    <row r="43" spans="1:67" s="29" customFormat="1" ht="35.1" customHeight="1" x14ac:dyDescent="0.25">
      <c r="A43" s="38">
        <f t="shared" si="57"/>
        <v>37</v>
      </c>
      <c r="B43" s="45" t="s">
        <v>2080</v>
      </c>
      <c r="C43" s="45" t="s">
        <v>2093</v>
      </c>
      <c r="D43" s="64">
        <v>10447</v>
      </c>
      <c r="E43" s="45" t="s">
        <v>2075</v>
      </c>
      <c r="F43" s="41">
        <v>691</v>
      </c>
      <c r="G43" s="41">
        <v>13654.281428040002</v>
      </c>
      <c r="H43" s="41">
        <v>5</v>
      </c>
      <c r="I43" s="41">
        <v>209.79988003999995</v>
      </c>
      <c r="J43" s="40">
        <f t="shared" si="45"/>
        <v>1.5365135188231988E-2</v>
      </c>
      <c r="K43" s="41">
        <v>687</v>
      </c>
      <c r="L43" s="41">
        <v>13174.416540010001</v>
      </c>
      <c r="M43" s="41">
        <v>7</v>
      </c>
      <c r="N43" s="41">
        <v>226.00548111999998</v>
      </c>
      <c r="O43" s="40">
        <f t="shared" si="46"/>
        <v>1.7154875924382182E-2</v>
      </c>
      <c r="P43" s="41">
        <v>694</v>
      </c>
      <c r="Q43" s="41">
        <v>13066.82175854</v>
      </c>
      <c r="R43" s="41">
        <v>8</v>
      </c>
      <c r="S43" s="41">
        <v>248.00548111999998</v>
      </c>
      <c r="T43" s="40">
        <f t="shared" si="47"/>
        <v>1.8979786033884838E-2</v>
      </c>
      <c r="U43" s="41">
        <v>724</v>
      </c>
      <c r="V43" s="41">
        <v>13800.373079279994</v>
      </c>
      <c r="W43" s="41">
        <v>10</v>
      </c>
      <c r="X43" s="41">
        <v>406.66284137000002</v>
      </c>
      <c r="Y43" s="40">
        <f t="shared" si="48"/>
        <v>2.946752519180567E-2</v>
      </c>
      <c r="Z43" s="41">
        <v>880</v>
      </c>
      <c r="AA43" s="41">
        <v>16549.295000079997</v>
      </c>
      <c r="AB43" s="41">
        <v>14</v>
      </c>
      <c r="AC43" s="41">
        <v>441.77786632999994</v>
      </c>
      <c r="AD43" s="40">
        <f t="shared" si="49"/>
        <v>2.6694663810625435E-2</v>
      </c>
      <c r="AE43" s="44">
        <v>1040</v>
      </c>
      <c r="AF43" s="44">
        <v>18969.228096980019</v>
      </c>
      <c r="AG43" s="44">
        <v>15</v>
      </c>
      <c r="AH43" s="44">
        <v>270.56229769999999</v>
      </c>
      <c r="AI43" s="40">
        <f t="shared" si="50"/>
        <v>1.4263221271669702E-2</v>
      </c>
      <c r="AJ43" s="44">
        <v>1121</v>
      </c>
      <c r="AK43" s="44">
        <v>20521.163784580011</v>
      </c>
      <c r="AL43" s="44">
        <v>15</v>
      </c>
      <c r="AM43" s="44">
        <v>265.82731695000001</v>
      </c>
      <c r="AN43" s="40">
        <f t="shared" si="51"/>
        <v>1.2953812938706122E-2</v>
      </c>
      <c r="AO43" s="44">
        <v>1216</v>
      </c>
      <c r="AP43" s="44">
        <v>21739.900213059998</v>
      </c>
      <c r="AQ43" s="44">
        <v>15</v>
      </c>
      <c r="AR43" s="44">
        <v>270.04079767000002</v>
      </c>
      <c r="AS43" s="40">
        <f t="shared" si="52"/>
        <v>1.2421436852215912E-2</v>
      </c>
      <c r="AT43" s="44">
        <v>1352</v>
      </c>
      <c r="AU43" s="44">
        <v>24368.138048780005</v>
      </c>
      <c r="AV43" s="44">
        <v>17</v>
      </c>
      <c r="AW43" s="44">
        <v>327.38702705999992</v>
      </c>
      <c r="AX43" s="40">
        <f t="shared" si="53"/>
        <v>1.3435044827989663E-2</v>
      </c>
      <c r="AY43" s="41">
        <v>1447</v>
      </c>
      <c r="AZ43" s="41">
        <v>26074.932846609998</v>
      </c>
      <c r="BA43" s="41">
        <v>19</v>
      </c>
      <c r="BB43" s="41">
        <v>369.75333584999998</v>
      </c>
      <c r="BC43" s="40">
        <f t="shared" si="54"/>
        <v>1.4180413733954126E-2</v>
      </c>
      <c r="BD43" s="39">
        <v>1473</v>
      </c>
      <c r="BE43" s="39">
        <v>26184.935093689986</v>
      </c>
      <c r="BF43" s="39">
        <v>22</v>
      </c>
      <c r="BG43" s="39">
        <v>451.05279054999994</v>
      </c>
      <c r="BH43" s="40">
        <f t="shared" si="55"/>
        <v>1.7225660057438679E-2</v>
      </c>
      <c r="BI43" s="39">
        <v>1574</v>
      </c>
      <c r="BJ43" s="39">
        <v>27357.070313549983</v>
      </c>
      <c r="BK43" s="39">
        <v>24</v>
      </c>
      <c r="BL43" s="39">
        <v>478.32814717999986</v>
      </c>
      <c r="BM43" s="40">
        <f t="shared" si="56"/>
        <v>1.74846261568836E-2</v>
      </c>
      <c r="BN43" s="42"/>
      <c r="BO43" s="42"/>
    </row>
    <row r="44" spans="1:67" s="29" customFormat="1" ht="35.1" customHeight="1" x14ac:dyDescent="0.25">
      <c r="A44" s="38">
        <f t="shared" si="57"/>
        <v>38</v>
      </c>
      <c r="B44" s="45" t="s">
        <v>2080</v>
      </c>
      <c r="C44" s="45" t="s">
        <v>2094</v>
      </c>
      <c r="D44" s="64">
        <v>11599</v>
      </c>
      <c r="E44" s="45" t="s">
        <v>2077</v>
      </c>
      <c r="F44" s="41">
        <v>401</v>
      </c>
      <c r="G44" s="41">
        <v>6525.1235887199928</v>
      </c>
      <c r="H44" s="41">
        <v>1</v>
      </c>
      <c r="I44" s="41">
        <v>25.08245938</v>
      </c>
      <c r="J44" s="40">
        <f t="shared" si="45"/>
        <v>3.8439822692952741E-3</v>
      </c>
      <c r="K44" s="41">
        <v>429</v>
      </c>
      <c r="L44" s="41">
        <v>6359.6118471500131</v>
      </c>
      <c r="M44" s="41">
        <v>1</v>
      </c>
      <c r="N44" s="41">
        <v>25.08245938</v>
      </c>
      <c r="O44" s="40">
        <f t="shared" si="46"/>
        <v>3.9440236264168252E-3</v>
      </c>
      <c r="P44" s="41">
        <v>420</v>
      </c>
      <c r="Q44" s="41">
        <v>6590.0726083499922</v>
      </c>
      <c r="R44" s="41">
        <v>1</v>
      </c>
      <c r="S44" s="41">
        <v>21.714239879999997</v>
      </c>
      <c r="T44" s="40">
        <f t="shared" si="47"/>
        <v>3.2949925092611021E-3</v>
      </c>
      <c r="U44" s="41">
        <v>350</v>
      </c>
      <c r="V44" s="41">
        <v>6754.6742092500035</v>
      </c>
      <c r="W44" s="41">
        <v>2</v>
      </c>
      <c r="X44" s="41">
        <v>29.63399755</v>
      </c>
      <c r="Y44" s="40">
        <f t="shared" si="48"/>
        <v>4.3871838421782848E-3</v>
      </c>
      <c r="Z44" s="41">
        <v>400</v>
      </c>
      <c r="AA44" s="41">
        <v>9815.0232272400062</v>
      </c>
      <c r="AB44" s="41">
        <v>5</v>
      </c>
      <c r="AC44" s="41">
        <v>38.468984440000007</v>
      </c>
      <c r="AD44" s="40">
        <f t="shared" si="49"/>
        <v>3.9193982071520292E-3</v>
      </c>
      <c r="AE44" s="44">
        <v>395</v>
      </c>
      <c r="AF44" s="44">
        <v>12030.306174079991</v>
      </c>
      <c r="AG44" s="44">
        <v>1</v>
      </c>
      <c r="AH44" s="44">
        <v>20.467326549999999</v>
      </c>
      <c r="AI44" s="40">
        <f t="shared" si="50"/>
        <v>1.7013138530171468E-3</v>
      </c>
      <c r="AJ44" s="44">
        <v>379</v>
      </c>
      <c r="AK44" s="44">
        <v>12306.093723960001</v>
      </c>
      <c r="AL44" s="44">
        <v>1</v>
      </c>
      <c r="AM44" s="44">
        <v>20.467326549999999</v>
      </c>
      <c r="AN44" s="40">
        <f t="shared" si="51"/>
        <v>1.6631863050213939E-3</v>
      </c>
      <c r="AO44" s="44">
        <v>378</v>
      </c>
      <c r="AP44" s="44">
        <v>12559.14185181</v>
      </c>
      <c r="AQ44" s="44">
        <v>1</v>
      </c>
      <c r="AR44" s="44">
        <v>19.467326549999999</v>
      </c>
      <c r="AS44" s="40">
        <f t="shared" si="52"/>
        <v>1.550052286987618E-3</v>
      </c>
      <c r="AT44" s="44">
        <v>395</v>
      </c>
      <c r="AU44" s="44">
        <v>13267.721768849999</v>
      </c>
      <c r="AV44" s="44">
        <v>2</v>
      </c>
      <c r="AW44" s="44">
        <v>461.68161226000001</v>
      </c>
      <c r="AX44" s="40">
        <f t="shared" si="53"/>
        <v>3.4797354082592963E-2</v>
      </c>
      <c r="AY44" s="41">
        <v>368</v>
      </c>
      <c r="AZ44" s="41">
        <v>14107.719414740008</v>
      </c>
      <c r="BA44" s="41">
        <v>3</v>
      </c>
      <c r="BB44" s="41">
        <v>894.50577819</v>
      </c>
      <c r="BC44" s="40">
        <f t="shared" si="54"/>
        <v>6.3405413156672488E-2</v>
      </c>
      <c r="BD44" s="39">
        <v>375</v>
      </c>
      <c r="BE44" s="39">
        <v>14488.45958214</v>
      </c>
      <c r="BF44" s="39">
        <v>6</v>
      </c>
      <c r="BG44" s="39">
        <v>1739.12948878</v>
      </c>
      <c r="BH44" s="40">
        <f t="shared" si="55"/>
        <v>0.12003549990392588</v>
      </c>
      <c r="BI44" s="39">
        <v>381</v>
      </c>
      <c r="BJ44" s="39">
        <v>14581.45800843</v>
      </c>
      <c r="BK44" s="39">
        <v>7</v>
      </c>
      <c r="BL44" s="39">
        <v>2082.1466412099999</v>
      </c>
      <c r="BM44" s="40">
        <f t="shared" si="56"/>
        <v>0.14279413210985112</v>
      </c>
      <c r="BN44" s="42"/>
      <c r="BO44" s="42"/>
    </row>
    <row r="45" spans="1:67" s="29" customFormat="1" ht="35.1" customHeight="1" x14ac:dyDescent="0.25">
      <c r="A45" s="38">
        <f t="shared" si="57"/>
        <v>39</v>
      </c>
      <c r="B45" s="45" t="s">
        <v>2080</v>
      </c>
      <c r="C45" s="45" t="s">
        <v>2095</v>
      </c>
      <c r="D45" s="64">
        <v>11978</v>
      </c>
      <c r="E45" s="45" t="s">
        <v>2060</v>
      </c>
      <c r="F45" s="41">
        <v>0</v>
      </c>
      <c r="G45" s="41">
        <v>0</v>
      </c>
      <c r="H45" s="41">
        <v>0</v>
      </c>
      <c r="I45" s="41">
        <v>0</v>
      </c>
      <c r="J45" s="40" t="str">
        <f t="shared" si="45"/>
        <v/>
      </c>
      <c r="K45" s="41">
        <v>532</v>
      </c>
      <c r="L45" s="41">
        <v>8879.3841642100033</v>
      </c>
      <c r="M45" s="41">
        <v>76</v>
      </c>
      <c r="N45" s="41">
        <v>1678.5367453400002</v>
      </c>
      <c r="O45" s="40">
        <f t="shared" si="46"/>
        <v>0.18903751817672809</v>
      </c>
      <c r="P45" s="41">
        <v>512</v>
      </c>
      <c r="Q45" s="41">
        <v>8981.911869399999</v>
      </c>
      <c r="R45" s="41">
        <v>78</v>
      </c>
      <c r="S45" s="41">
        <v>1733.6360519799998</v>
      </c>
      <c r="T45" s="40">
        <f t="shared" si="47"/>
        <v>0.19301414634073988</v>
      </c>
      <c r="U45" s="41">
        <v>503</v>
      </c>
      <c r="V45" s="41">
        <v>9756.5575814799977</v>
      </c>
      <c r="W45" s="41">
        <v>79</v>
      </c>
      <c r="X45" s="41">
        <v>1745.0732147200008</v>
      </c>
      <c r="Y45" s="40">
        <f t="shared" si="48"/>
        <v>0.17886157080982307</v>
      </c>
      <c r="Z45" s="41">
        <v>585</v>
      </c>
      <c r="AA45" s="41">
        <v>15202.863249279999</v>
      </c>
      <c r="AB45" s="41">
        <v>77</v>
      </c>
      <c r="AC45" s="41">
        <v>1635.5026952400001</v>
      </c>
      <c r="AD45" s="40">
        <f t="shared" si="49"/>
        <v>0.10757859676975368</v>
      </c>
      <c r="AE45" s="44">
        <v>957</v>
      </c>
      <c r="AF45" s="44">
        <v>20564.885002419964</v>
      </c>
      <c r="AG45" s="44">
        <v>72</v>
      </c>
      <c r="AH45" s="44">
        <v>1411.6201259499996</v>
      </c>
      <c r="AI45" s="40">
        <f t="shared" si="50"/>
        <v>6.8642257215826286E-2</v>
      </c>
      <c r="AJ45" s="44">
        <v>1082</v>
      </c>
      <c r="AK45" s="44">
        <v>21738.709053170001</v>
      </c>
      <c r="AL45" s="44">
        <v>74</v>
      </c>
      <c r="AM45" s="44">
        <v>1393.6119481399996</v>
      </c>
      <c r="AN45" s="40">
        <f t="shared" si="51"/>
        <v>6.4107392243550873E-2</v>
      </c>
      <c r="AO45" s="44">
        <v>1368</v>
      </c>
      <c r="AP45" s="44">
        <v>24648.29910185</v>
      </c>
      <c r="AQ45" s="44">
        <v>71</v>
      </c>
      <c r="AR45" s="44">
        <v>1919.2982905400004</v>
      </c>
      <c r="AS45" s="40">
        <f t="shared" si="52"/>
        <v>7.7867372617039757E-2</v>
      </c>
      <c r="AT45" s="44">
        <v>1528</v>
      </c>
      <c r="AU45" s="44">
        <v>26363.501014450001</v>
      </c>
      <c r="AV45" s="44">
        <v>71</v>
      </c>
      <c r="AW45" s="44">
        <v>2331.9601100899995</v>
      </c>
      <c r="AX45" s="40">
        <f t="shared" si="53"/>
        <v>8.8454113465879877E-2</v>
      </c>
      <c r="AY45" s="41">
        <v>1695</v>
      </c>
      <c r="AZ45" s="41">
        <v>28019.195217859997</v>
      </c>
      <c r="BA45" s="41">
        <v>77</v>
      </c>
      <c r="BB45" s="41">
        <v>1982.56829619</v>
      </c>
      <c r="BC45" s="40">
        <f t="shared" si="54"/>
        <v>7.0757503232151048E-2</v>
      </c>
      <c r="BD45" s="39">
        <v>1763</v>
      </c>
      <c r="BE45" s="39">
        <v>27998.084798110016</v>
      </c>
      <c r="BF45" s="39">
        <v>73</v>
      </c>
      <c r="BG45" s="39">
        <v>1885.11188597</v>
      </c>
      <c r="BH45" s="40">
        <f t="shared" si="55"/>
        <v>6.7330029877516934E-2</v>
      </c>
      <c r="BI45" s="39">
        <v>1872</v>
      </c>
      <c r="BJ45" s="39">
        <v>28863.415969529953</v>
      </c>
      <c r="BK45" s="39">
        <v>88</v>
      </c>
      <c r="BL45" s="39">
        <v>3546.7829665800009</v>
      </c>
      <c r="BM45" s="40">
        <f t="shared" si="56"/>
        <v>0.12288160799554042</v>
      </c>
      <c r="BN45" s="42"/>
      <c r="BO45" s="42"/>
    </row>
    <row r="46" spans="1:67" s="29" customFormat="1" ht="35.1" customHeight="1" x14ac:dyDescent="0.25">
      <c r="A46" s="38">
        <f t="shared" si="57"/>
        <v>40</v>
      </c>
      <c r="B46" s="45" t="s">
        <v>2096</v>
      </c>
      <c r="C46" s="45" t="s">
        <v>2097</v>
      </c>
      <c r="D46" s="64">
        <v>11385</v>
      </c>
      <c r="E46" s="45" t="s">
        <v>2043</v>
      </c>
      <c r="F46" s="41">
        <v>3482</v>
      </c>
      <c r="G46" s="41">
        <v>144894.30959934997</v>
      </c>
      <c r="H46" s="41">
        <v>260</v>
      </c>
      <c r="I46" s="41">
        <v>71209.481787919998</v>
      </c>
      <c r="J46" s="40">
        <f t="shared" si="45"/>
        <v>0.49145809787025246</v>
      </c>
      <c r="K46" s="41">
        <v>3892</v>
      </c>
      <c r="L46" s="41">
        <v>142737.96990272013</v>
      </c>
      <c r="M46" s="41">
        <v>304</v>
      </c>
      <c r="N46" s="41">
        <v>8893.7861271000038</v>
      </c>
      <c r="O46" s="40">
        <f t="shared" si="46"/>
        <v>6.2308481290306743E-2</v>
      </c>
      <c r="P46" s="41">
        <v>3868</v>
      </c>
      <c r="Q46" s="41">
        <v>141345.92666090981</v>
      </c>
      <c r="R46" s="41">
        <v>332</v>
      </c>
      <c r="S46" s="41">
        <v>8897.5816965700014</v>
      </c>
      <c r="T46" s="40">
        <f t="shared" si="47"/>
        <v>6.2948978486768725E-2</v>
      </c>
      <c r="U46" s="41">
        <v>3408</v>
      </c>
      <c r="V46" s="41">
        <v>139401.14244007017</v>
      </c>
      <c r="W46" s="41">
        <v>342</v>
      </c>
      <c r="X46" s="41">
        <v>8616.2851082100042</v>
      </c>
      <c r="Y46" s="40">
        <f t="shared" si="48"/>
        <v>6.1809286189417167E-2</v>
      </c>
      <c r="Z46" s="41">
        <v>3956</v>
      </c>
      <c r="AA46" s="41">
        <v>136045.26767360017</v>
      </c>
      <c r="AB46" s="41">
        <v>364</v>
      </c>
      <c r="AC46" s="41">
        <v>7734.0129668599984</v>
      </c>
      <c r="AD46" s="40">
        <f t="shared" si="49"/>
        <v>5.6848820242799206E-2</v>
      </c>
      <c r="AE46" s="44">
        <v>4116</v>
      </c>
      <c r="AF46" s="44">
        <v>134533.02003068023</v>
      </c>
      <c r="AG46" s="44">
        <v>350</v>
      </c>
      <c r="AH46" s="44">
        <v>7200.943737110003</v>
      </c>
      <c r="AI46" s="40">
        <f t="shared" si="50"/>
        <v>5.3525474530102937E-2</v>
      </c>
      <c r="AJ46" s="44">
        <v>4088</v>
      </c>
      <c r="AK46" s="44">
        <v>131381.6075912801</v>
      </c>
      <c r="AL46" s="44">
        <v>342</v>
      </c>
      <c r="AM46" s="44">
        <v>6909.5537923099982</v>
      </c>
      <c r="AN46" s="40">
        <f t="shared" si="51"/>
        <v>5.2591484599619029E-2</v>
      </c>
      <c r="AO46" s="44">
        <v>4119</v>
      </c>
      <c r="AP46" s="44">
        <v>130144.27760452998</v>
      </c>
      <c r="AQ46" s="44">
        <v>324</v>
      </c>
      <c r="AR46" s="44">
        <v>6740.1240828799992</v>
      </c>
      <c r="AS46" s="40">
        <f t="shared" si="52"/>
        <v>5.1789630761647817E-2</v>
      </c>
      <c r="AT46" s="44">
        <v>4183</v>
      </c>
      <c r="AU46" s="44">
        <v>127113.3666014099</v>
      </c>
      <c r="AV46" s="44">
        <v>335</v>
      </c>
      <c r="AW46" s="44">
        <v>6576.8785843099986</v>
      </c>
      <c r="AX46" s="40">
        <f t="shared" si="53"/>
        <v>5.1740259582087493E-2</v>
      </c>
      <c r="AY46" s="41">
        <v>3782</v>
      </c>
      <c r="AZ46" s="41">
        <v>124598.03568004011</v>
      </c>
      <c r="BA46" s="41">
        <v>345</v>
      </c>
      <c r="BB46" s="41">
        <v>6379.0106989699989</v>
      </c>
      <c r="BC46" s="40">
        <f t="shared" si="54"/>
        <v>5.1196719628477098E-2</v>
      </c>
      <c r="BD46" s="39">
        <v>3915</v>
      </c>
      <c r="BE46" s="39">
        <v>123933.79030373004</v>
      </c>
      <c r="BF46" s="39">
        <v>372</v>
      </c>
      <c r="BG46" s="39">
        <v>6478.4009201300014</v>
      </c>
      <c r="BH46" s="40">
        <f t="shared" si="55"/>
        <v>5.2273079877998542E-2</v>
      </c>
      <c r="BI46" s="39">
        <v>4004</v>
      </c>
      <c r="BJ46" s="39">
        <v>125677.78507350999</v>
      </c>
      <c r="BK46" s="39">
        <v>376</v>
      </c>
      <c r="BL46" s="39">
        <v>6488.765704790002</v>
      </c>
      <c r="BM46" s="40">
        <f t="shared" si="56"/>
        <v>5.1630172356989489E-2</v>
      </c>
      <c r="BN46" s="42">
        <v>0</v>
      </c>
      <c r="BO46" s="42">
        <v>0</v>
      </c>
    </row>
    <row r="47" spans="1:67" s="29" customFormat="1" ht="35.1" customHeight="1" x14ac:dyDescent="0.25">
      <c r="A47" s="38">
        <f t="shared" si="57"/>
        <v>41</v>
      </c>
      <c r="B47" s="45" t="s">
        <v>2096</v>
      </c>
      <c r="C47" s="45" t="s">
        <v>2098</v>
      </c>
      <c r="D47" s="64">
        <v>11488</v>
      </c>
      <c r="E47" s="45" t="s">
        <v>2075</v>
      </c>
      <c r="F47" s="41">
        <v>1795</v>
      </c>
      <c r="G47" s="41">
        <v>59476.374389130076</v>
      </c>
      <c r="H47" s="41">
        <v>36</v>
      </c>
      <c r="I47" s="41">
        <v>1151.7179715699999</v>
      </c>
      <c r="J47" s="40">
        <f t="shared" si="45"/>
        <v>1.9364293526615641E-2</v>
      </c>
      <c r="K47" s="41">
        <v>1907</v>
      </c>
      <c r="L47" s="41">
        <v>58349.531710060073</v>
      </c>
      <c r="M47" s="41">
        <v>52</v>
      </c>
      <c r="N47" s="41">
        <v>1311.7958330200001</v>
      </c>
      <c r="O47" s="40">
        <f t="shared" si="46"/>
        <v>2.2481685706379588E-2</v>
      </c>
      <c r="P47" s="41">
        <v>1919</v>
      </c>
      <c r="Q47" s="41">
        <v>57967.952490340045</v>
      </c>
      <c r="R47" s="41">
        <v>44</v>
      </c>
      <c r="S47" s="41">
        <v>1256.5041185499995</v>
      </c>
      <c r="T47" s="40">
        <f t="shared" si="47"/>
        <v>2.1675840952971162E-2</v>
      </c>
      <c r="U47" s="41">
        <v>1826</v>
      </c>
      <c r="V47" s="41">
        <v>57901.549188980054</v>
      </c>
      <c r="W47" s="41">
        <v>46</v>
      </c>
      <c r="X47" s="41">
        <v>1231.4317571900001</v>
      </c>
      <c r="Y47" s="40">
        <f t="shared" si="48"/>
        <v>2.1267682375316631E-2</v>
      </c>
      <c r="Z47" s="41">
        <v>2001</v>
      </c>
      <c r="AA47" s="41">
        <v>59277.482633760017</v>
      </c>
      <c r="AB47" s="41">
        <v>64</v>
      </c>
      <c r="AC47" s="41">
        <v>1412.2005252199995</v>
      </c>
      <c r="AD47" s="40">
        <f t="shared" si="49"/>
        <v>2.3823557655866374E-2</v>
      </c>
      <c r="AE47" s="44">
        <v>2232</v>
      </c>
      <c r="AF47" s="44">
        <v>60599.133815409958</v>
      </c>
      <c r="AG47" s="44">
        <v>81</v>
      </c>
      <c r="AH47" s="44">
        <v>1071.2425498299999</v>
      </c>
      <c r="AI47" s="40">
        <f t="shared" si="50"/>
        <v>1.7677522472401907E-2</v>
      </c>
      <c r="AJ47" s="44">
        <v>2291</v>
      </c>
      <c r="AK47" s="44">
        <v>61867.519606169924</v>
      </c>
      <c r="AL47" s="44">
        <v>83</v>
      </c>
      <c r="AM47" s="44">
        <v>1041.5236801000001</v>
      </c>
      <c r="AN47" s="40">
        <f t="shared" si="51"/>
        <v>1.68347411813182E-2</v>
      </c>
      <c r="AO47" s="44">
        <v>2359</v>
      </c>
      <c r="AP47" s="44">
        <v>62856.240955129993</v>
      </c>
      <c r="AQ47" s="44">
        <v>79</v>
      </c>
      <c r="AR47" s="44">
        <v>931.26430212000014</v>
      </c>
      <c r="AS47" s="40">
        <f t="shared" si="52"/>
        <v>1.4815781026179793E-2</v>
      </c>
      <c r="AT47" s="44">
        <v>2493</v>
      </c>
      <c r="AU47" s="44">
        <v>64676.791527120004</v>
      </c>
      <c r="AV47" s="44">
        <v>116</v>
      </c>
      <c r="AW47" s="44">
        <v>1538.2782146099992</v>
      </c>
      <c r="AX47" s="40">
        <f t="shared" si="53"/>
        <v>2.3784083568291644E-2</v>
      </c>
      <c r="AY47" s="41">
        <v>2472</v>
      </c>
      <c r="AZ47" s="41">
        <v>66025.837951760011</v>
      </c>
      <c r="BA47" s="41">
        <v>120</v>
      </c>
      <c r="BB47" s="41">
        <v>1350.0915164000003</v>
      </c>
      <c r="BC47" s="40">
        <f t="shared" si="54"/>
        <v>2.0447927027997859E-2</v>
      </c>
      <c r="BD47" s="39">
        <v>2607</v>
      </c>
      <c r="BE47" s="39">
        <v>67752.781600030008</v>
      </c>
      <c r="BF47" s="39">
        <v>127</v>
      </c>
      <c r="BG47" s="39">
        <v>1356.58568137</v>
      </c>
      <c r="BH47" s="40">
        <f t="shared" si="55"/>
        <v>2.002258282735065E-2</v>
      </c>
      <c r="BI47" s="39">
        <v>2723</v>
      </c>
      <c r="BJ47" s="39">
        <v>68057.990376949878</v>
      </c>
      <c r="BK47" s="39">
        <v>131</v>
      </c>
      <c r="BL47" s="39">
        <v>1349.5942239000003</v>
      </c>
      <c r="BM47" s="40">
        <f t="shared" si="56"/>
        <v>1.9830062810039798E-2</v>
      </c>
      <c r="BN47" s="42">
        <v>0</v>
      </c>
      <c r="BO47" s="42">
        <v>0</v>
      </c>
    </row>
    <row r="48" spans="1:67" s="29" customFormat="1" ht="35.1" customHeight="1" x14ac:dyDescent="0.25">
      <c r="A48" s="38">
        <f t="shared" si="57"/>
        <v>42</v>
      </c>
      <c r="B48" s="45" t="s">
        <v>2096</v>
      </c>
      <c r="C48" s="45" t="s">
        <v>2099</v>
      </c>
      <c r="D48" s="64">
        <v>11633</v>
      </c>
      <c r="E48" s="45" t="s">
        <v>2100</v>
      </c>
      <c r="F48" s="41">
        <v>2685</v>
      </c>
      <c r="G48" s="41">
        <v>94501.737980949722</v>
      </c>
      <c r="H48" s="41">
        <v>361</v>
      </c>
      <c r="I48" s="41">
        <v>29214.526140110032</v>
      </c>
      <c r="J48" s="40">
        <f t="shared" si="45"/>
        <v>0.30914273921606911</v>
      </c>
      <c r="K48" s="41">
        <v>3275</v>
      </c>
      <c r="L48" s="41">
        <v>91634.417736240081</v>
      </c>
      <c r="M48" s="41">
        <v>384</v>
      </c>
      <c r="N48" s="41">
        <v>11148.728238349982</v>
      </c>
      <c r="O48" s="40">
        <f t="shared" si="46"/>
        <v>0.12166529251531243</v>
      </c>
      <c r="P48" s="41">
        <v>3203</v>
      </c>
      <c r="Q48" s="41">
        <v>89798.669690760071</v>
      </c>
      <c r="R48" s="41">
        <v>375</v>
      </c>
      <c r="S48" s="41">
        <v>10207.748555249991</v>
      </c>
      <c r="T48" s="40">
        <f t="shared" si="47"/>
        <v>0.11367371688692542</v>
      </c>
      <c r="U48" s="41">
        <v>2557</v>
      </c>
      <c r="V48" s="41">
        <v>88354.684243209951</v>
      </c>
      <c r="W48" s="41">
        <v>374</v>
      </c>
      <c r="X48" s="41">
        <v>10280.850249380002</v>
      </c>
      <c r="Y48" s="40">
        <f t="shared" si="48"/>
        <v>0.11635885904000709</v>
      </c>
      <c r="Z48" s="41">
        <v>3227</v>
      </c>
      <c r="AA48" s="41">
        <v>87464.428476139903</v>
      </c>
      <c r="AB48" s="41">
        <v>355</v>
      </c>
      <c r="AC48" s="41">
        <v>10794.895251099986</v>
      </c>
      <c r="AD48" s="40">
        <f t="shared" si="49"/>
        <v>0.12342040574866169</v>
      </c>
      <c r="AE48" s="44">
        <v>3482</v>
      </c>
      <c r="AF48" s="44">
        <v>87400.017942589868</v>
      </c>
      <c r="AG48" s="44">
        <v>270</v>
      </c>
      <c r="AH48" s="44">
        <v>9287.4833279899976</v>
      </c>
      <c r="AI48" s="40">
        <f t="shared" si="50"/>
        <v>0.10626408948898194</v>
      </c>
      <c r="AJ48" s="44">
        <v>3490</v>
      </c>
      <c r="AK48" s="44">
        <v>89254.40155338982</v>
      </c>
      <c r="AL48" s="44">
        <v>274</v>
      </c>
      <c r="AM48" s="44">
        <v>9015.1081840600054</v>
      </c>
      <c r="AN48" s="40">
        <f t="shared" si="51"/>
        <v>0.10100463424952086</v>
      </c>
      <c r="AO48" s="44">
        <v>3512</v>
      </c>
      <c r="AP48" s="44">
        <v>88146.444168850008</v>
      </c>
      <c r="AQ48" s="44">
        <v>277</v>
      </c>
      <c r="AR48" s="44">
        <v>24438.066412300017</v>
      </c>
      <c r="AS48" s="40">
        <f t="shared" si="52"/>
        <v>0.27724392790578573</v>
      </c>
      <c r="AT48" s="44">
        <v>3664</v>
      </c>
      <c r="AU48" s="44">
        <v>88972.532642829858</v>
      </c>
      <c r="AV48" s="44">
        <v>274</v>
      </c>
      <c r="AW48" s="44">
        <v>9158.749990059996</v>
      </c>
      <c r="AX48" s="40">
        <f t="shared" si="53"/>
        <v>0.1029390725205807</v>
      </c>
      <c r="AY48" s="41">
        <v>3063</v>
      </c>
      <c r="AZ48" s="41">
        <v>90571.422256159873</v>
      </c>
      <c r="BA48" s="41">
        <v>300</v>
      </c>
      <c r="BB48" s="41">
        <v>9082.3704426400036</v>
      </c>
      <c r="BC48" s="40">
        <f t="shared" si="54"/>
        <v>0.1002785450023371</v>
      </c>
      <c r="BD48" s="39">
        <v>3185</v>
      </c>
      <c r="BE48" s="39">
        <v>91422.599444909836</v>
      </c>
      <c r="BF48" s="39">
        <v>367</v>
      </c>
      <c r="BG48" s="39">
        <v>10046.976490849991</v>
      </c>
      <c r="BH48" s="40">
        <f t="shared" si="55"/>
        <v>0.10989598361731312</v>
      </c>
      <c r="BI48" s="39">
        <v>3222</v>
      </c>
      <c r="BJ48" s="39">
        <v>90899.610223139927</v>
      </c>
      <c r="BK48" s="39">
        <v>383</v>
      </c>
      <c r="BL48" s="39">
        <v>10269.976191059999</v>
      </c>
      <c r="BM48" s="40">
        <f t="shared" si="56"/>
        <v>0.1129815206671328</v>
      </c>
      <c r="BN48" s="42">
        <v>0</v>
      </c>
      <c r="BO48" s="42">
        <v>0</v>
      </c>
    </row>
    <row r="49" spans="1:67" s="29" customFormat="1" ht="35.1" customHeight="1" x14ac:dyDescent="0.25">
      <c r="A49" s="38">
        <f t="shared" si="57"/>
        <v>43</v>
      </c>
      <c r="B49" s="45" t="s">
        <v>2096</v>
      </c>
      <c r="C49" s="45" t="s">
        <v>2101</v>
      </c>
      <c r="D49" s="64">
        <v>11386</v>
      </c>
      <c r="E49" s="45" t="s">
        <v>2070</v>
      </c>
      <c r="F49" s="41">
        <v>3061</v>
      </c>
      <c r="G49" s="41">
        <v>230532.37475318991</v>
      </c>
      <c r="H49" s="41">
        <v>234</v>
      </c>
      <c r="I49" s="41">
        <v>149140.04884667002</v>
      </c>
      <c r="J49" s="40">
        <f t="shared" si="45"/>
        <v>0.64693754621814281</v>
      </c>
      <c r="K49" s="41">
        <v>3673</v>
      </c>
      <c r="L49" s="41">
        <v>228244.43837736989</v>
      </c>
      <c r="M49" s="41">
        <v>283</v>
      </c>
      <c r="N49" s="41">
        <v>150258.09889574998</v>
      </c>
      <c r="O49" s="40">
        <f t="shared" si="46"/>
        <v>0.65832096485663083</v>
      </c>
      <c r="P49" s="41">
        <v>3651</v>
      </c>
      <c r="Q49" s="41">
        <v>227070.19602780009</v>
      </c>
      <c r="R49" s="41">
        <v>293</v>
      </c>
      <c r="S49" s="41">
        <v>150628.11059566989</v>
      </c>
      <c r="T49" s="40">
        <f t="shared" si="47"/>
        <v>0.66335482696825854</v>
      </c>
      <c r="U49" s="41">
        <v>3066</v>
      </c>
      <c r="V49" s="41">
        <v>227749.62189921041</v>
      </c>
      <c r="W49" s="41">
        <v>317</v>
      </c>
      <c r="X49" s="41">
        <v>150343.26643039996</v>
      </c>
      <c r="Y49" s="40">
        <f t="shared" si="48"/>
        <v>0.6601252075708548</v>
      </c>
      <c r="Z49" s="41">
        <v>4051</v>
      </c>
      <c r="AA49" s="41">
        <v>231457.86125640964</v>
      </c>
      <c r="AB49" s="41">
        <v>340</v>
      </c>
      <c r="AC49" s="41">
        <v>151497.52336245994</v>
      </c>
      <c r="AD49" s="40">
        <f t="shared" si="49"/>
        <v>0.65453608937754149</v>
      </c>
      <c r="AE49" s="44">
        <v>4504</v>
      </c>
      <c r="AF49" s="44">
        <v>235039.33214965949</v>
      </c>
      <c r="AG49" s="44">
        <v>312</v>
      </c>
      <c r="AH49" s="44">
        <v>152140.12651378001</v>
      </c>
      <c r="AI49" s="40">
        <f t="shared" si="50"/>
        <v>0.64729645511801381</v>
      </c>
      <c r="AJ49" s="44">
        <v>4594</v>
      </c>
      <c r="AK49" s="44">
        <v>236355.34986721908</v>
      </c>
      <c r="AL49" s="44">
        <v>314</v>
      </c>
      <c r="AM49" s="44">
        <v>152688.20256508989</v>
      </c>
      <c r="AN49" s="40">
        <f t="shared" si="51"/>
        <v>0.64601119733853218</v>
      </c>
      <c r="AO49" s="44">
        <v>4664</v>
      </c>
      <c r="AP49" s="44">
        <v>257312.43346880001</v>
      </c>
      <c r="AQ49" s="44">
        <v>319</v>
      </c>
      <c r="AR49" s="44">
        <v>152014.37129448008</v>
      </c>
      <c r="AS49" s="40">
        <f t="shared" si="52"/>
        <v>0.59077740335043827</v>
      </c>
      <c r="AT49" s="44">
        <v>4862</v>
      </c>
      <c r="AU49" s="44">
        <v>261999.5665415297</v>
      </c>
      <c r="AV49" s="44">
        <v>377</v>
      </c>
      <c r="AW49" s="44">
        <v>153311.22123144998</v>
      </c>
      <c r="AX49" s="40">
        <f t="shared" si="53"/>
        <v>0.58515830104302302</v>
      </c>
      <c r="AY49" s="41">
        <v>4311</v>
      </c>
      <c r="AZ49" s="41">
        <v>264415.4406666396</v>
      </c>
      <c r="BA49" s="41">
        <v>409</v>
      </c>
      <c r="BB49" s="41">
        <v>152292.67369848999</v>
      </c>
      <c r="BC49" s="40">
        <f t="shared" si="54"/>
        <v>0.57595983545640284</v>
      </c>
      <c r="BD49" s="39">
        <v>4453</v>
      </c>
      <c r="BE49" s="39">
        <v>265556.20281651907</v>
      </c>
      <c r="BF49" s="39">
        <v>515</v>
      </c>
      <c r="BG49" s="39">
        <v>155064.68338082981</v>
      </c>
      <c r="BH49" s="40">
        <f t="shared" si="55"/>
        <v>0.58392416270528147</v>
      </c>
      <c r="BI49" s="39">
        <v>4543</v>
      </c>
      <c r="BJ49" s="39">
        <v>265814.88786830939</v>
      </c>
      <c r="BK49" s="39">
        <v>507</v>
      </c>
      <c r="BL49" s="39">
        <v>154584.18519905992</v>
      </c>
      <c r="BM49" s="40">
        <f t="shared" si="56"/>
        <v>0.58154825878543104</v>
      </c>
      <c r="BN49" s="42">
        <v>0</v>
      </c>
      <c r="BO49" s="42">
        <v>0</v>
      </c>
    </row>
    <row r="50" spans="1:67" s="29" customFormat="1" ht="35.1" customHeight="1" x14ac:dyDescent="0.25">
      <c r="A50" s="38">
        <f t="shared" si="57"/>
        <v>44</v>
      </c>
      <c r="B50" s="45" t="s">
        <v>2096</v>
      </c>
      <c r="C50" s="45" t="s">
        <v>2102</v>
      </c>
      <c r="D50" s="64">
        <v>11387</v>
      </c>
      <c r="E50" s="45" t="s">
        <v>2068</v>
      </c>
      <c r="F50" s="41">
        <v>1786</v>
      </c>
      <c r="G50" s="41">
        <v>69927.201420629994</v>
      </c>
      <c r="H50" s="41">
        <v>224</v>
      </c>
      <c r="I50" s="41">
        <v>4115.6887791400022</v>
      </c>
      <c r="J50" s="40">
        <f t="shared" si="45"/>
        <v>5.8856763827613838E-2</v>
      </c>
      <c r="K50" s="41">
        <v>2889</v>
      </c>
      <c r="L50" s="41">
        <v>69809.204703590003</v>
      </c>
      <c r="M50" s="41">
        <v>279</v>
      </c>
      <c r="N50" s="41">
        <v>5976.6801557699964</v>
      </c>
      <c r="O50" s="40">
        <f t="shared" si="46"/>
        <v>8.5614499995337143E-2</v>
      </c>
      <c r="P50" s="41">
        <v>2864</v>
      </c>
      <c r="Q50" s="41">
        <v>69277.731037559992</v>
      </c>
      <c r="R50" s="41">
        <v>296</v>
      </c>
      <c r="S50" s="41">
        <v>6028.2819853400006</v>
      </c>
      <c r="T50" s="40">
        <f t="shared" si="47"/>
        <v>8.7016157934959995E-2</v>
      </c>
      <c r="U50" s="41">
        <v>1782</v>
      </c>
      <c r="V50" s="41">
        <v>68692.881440909943</v>
      </c>
      <c r="W50" s="41">
        <v>317</v>
      </c>
      <c r="X50" s="41">
        <v>6721.7984486099995</v>
      </c>
      <c r="Y50" s="40">
        <f t="shared" si="48"/>
        <v>9.7852911504260218E-2</v>
      </c>
      <c r="Z50" s="41">
        <v>3046</v>
      </c>
      <c r="AA50" s="41">
        <v>69784.276034149967</v>
      </c>
      <c r="AB50" s="41">
        <v>334</v>
      </c>
      <c r="AC50" s="41">
        <v>7321.9393930899996</v>
      </c>
      <c r="AD50" s="40">
        <f t="shared" si="49"/>
        <v>0.10492248124071532</v>
      </c>
      <c r="AE50" s="44">
        <v>3323</v>
      </c>
      <c r="AF50" s="44">
        <v>70211.598977100148</v>
      </c>
      <c r="AG50" s="44">
        <v>324</v>
      </c>
      <c r="AH50" s="44">
        <v>7196.7958717299962</v>
      </c>
      <c r="AI50" s="40">
        <f t="shared" si="50"/>
        <v>0.10250152363112064</v>
      </c>
      <c r="AJ50" s="44">
        <v>3357</v>
      </c>
      <c r="AK50" s="44">
        <v>69948.747112039942</v>
      </c>
      <c r="AL50" s="44">
        <v>303</v>
      </c>
      <c r="AM50" s="44">
        <v>6395.8784103899961</v>
      </c>
      <c r="AN50" s="40">
        <f t="shared" si="51"/>
        <v>9.1436640032243041E-2</v>
      </c>
      <c r="AO50" s="44">
        <v>3385</v>
      </c>
      <c r="AP50" s="44">
        <v>69948.760394049998</v>
      </c>
      <c r="AQ50" s="44">
        <v>289</v>
      </c>
      <c r="AR50" s="44">
        <v>28634.556614010005</v>
      </c>
      <c r="AS50" s="40">
        <f t="shared" si="52"/>
        <v>0.40936474717635923</v>
      </c>
      <c r="AT50" s="44">
        <v>3518</v>
      </c>
      <c r="AU50" s="44">
        <v>71668.416808699738</v>
      </c>
      <c r="AV50" s="44">
        <v>303</v>
      </c>
      <c r="AW50" s="44">
        <v>6251.8996153999951</v>
      </c>
      <c r="AX50" s="40">
        <f t="shared" si="53"/>
        <v>8.7233678289389605E-2</v>
      </c>
      <c r="AY50" s="41">
        <v>2507</v>
      </c>
      <c r="AZ50" s="41">
        <v>73143.433315900009</v>
      </c>
      <c r="BA50" s="41">
        <v>322</v>
      </c>
      <c r="BB50" s="41">
        <v>29093.723082140012</v>
      </c>
      <c r="BC50" s="40">
        <f t="shared" si="54"/>
        <v>0.397762611942029</v>
      </c>
      <c r="BD50" s="39">
        <v>2607</v>
      </c>
      <c r="BE50" s="39">
        <v>73205.535925629956</v>
      </c>
      <c r="BF50" s="39">
        <v>324</v>
      </c>
      <c r="BG50" s="39">
        <v>6091.7908962199963</v>
      </c>
      <c r="BH50" s="40">
        <f t="shared" si="55"/>
        <v>8.3214893780829524E-2</v>
      </c>
      <c r="BI50" s="39">
        <v>2697</v>
      </c>
      <c r="BJ50" s="39">
        <v>74026.59946000966</v>
      </c>
      <c r="BK50" s="39">
        <v>348</v>
      </c>
      <c r="BL50" s="39">
        <v>6077.9987884900029</v>
      </c>
      <c r="BM50" s="40">
        <f t="shared" si="56"/>
        <v>8.2105605725863909E-2</v>
      </c>
      <c r="BN50" s="42">
        <v>0</v>
      </c>
      <c r="BO50" s="42">
        <v>0</v>
      </c>
    </row>
    <row r="51" spans="1:67" s="29" customFormat="1" ht="35.1" customHeight="1" x14ac:dyDescent="0.25">
      <c r="A51" s="38">
        <f t="shared" si="57"/>
        <v>45</v>
      </c>
      <c r="B51" s="45" t="s">
        <v>2096</v>
      </c>
      <c r="C51" s="45" t="s">
        <v>2103</v>
      </c>
      <c r="D51" s="64">
        <v>11799</v>
      </c>
      <c r="E51" s="45" t="s">
        <v>2035</v>
      </c>
      <c r="F51" s="41">
        <v>3199</v>
      </c>
      <c r="G51" s="41">
        <v>252635.65029377033</v>
      </c>
      <c r="H51" s="41">
        <v>370</v>
      </c>
      <c r="I51" s="41">
        <v>99457.206832319993</v>
      </c>
      <c r="J51" s="40">
        <f t="shared" si="45"/>
        <v>0.39367843262290553</v>
      </c>
      <c r="K51" s="41">
        <v>3745</v>
      </c>
      <c r="L51" s="41">
        <v>255599.53844585046</v>
      </c>
      <c r="M51" s="41">
        <v>447</v>
      </c>
      <c r="N51" s="41">
        <v>8059.1273947599993</v>
      </c>
      <c r="O51" s="40">
        <f t="shared" si="46"/>
        <v>3.1530289310234223E-2</v>
      </c>
      <c r="P51" s="41">
        <v>3646</v>
      </c>
      <c r="Q51" s="41">
        <v>256190.53498308038</v>
      </c>
      <c r="R51" s="41">
        <v>477</v>
      </c>
      <c r="S51" s="41">
        <v>8274.8155270099942</v>
      </c>
      <c r="T51" s="40">
        <f t="shared" si="47"/>
        <v>3.2299458399415455E-2</v>
      </c>
      <c r="U51" s="41">
        <v>3024</v>
      </c>
      <c r="V51" s="41">
        <v>259986.45230525994</v>
      </c>
      <c r="W51" s="41">
        <v>541</v>
      </c>
      <c r="X51" s="41">
        <v>9157.9355138400097</v>
      </c>
      <c r="Y51" s="40">
        <f t="shared" si="48"/>
        <v>3.5224664333998956E-2</v>
      </c>
      <c r="Z51" s="41">
        <v>3667</v>
      </c>
      <c r="AA51" s="41">
        <v>264452.27379524038</v>
      </c>
      <c r="AB51" s="41">
        <v>501</v>
      </c>
      <c r="AC51" s="41">
        <v>8780.9324316699931</v>
      </c>
      <c r="AD51" s="40">
        <f t="shared" si="49"/>
        <v>3.3204223603949333E-2</v>
      </c>
      <c r="AE51" s="44">
        <v>3912</v>
      </c>
      <c r="AF51" s="44">
        <v>266358.49595285003</v>
      </c>
      <c r="AG51" s="44">
        <v>451</v>
      </c>
      <c r="AH51" s="44">
        <v>8757.2396668799956</v>
      </c>
      <c r="AI51" s="40">
        <f t="shared" si="50"/>
        <v>3.2877643476520363E-2</v>
      </c>
      <c r="AJ51" s="44">
        <v>4028</v>
      </c>
      <c r="AK51" s="44">
        <v>269143.43403340963</v>
      </c>
      <c r="AL51" s="44">
        <v>476</v>
      </c>
      <c r="AM51" s="44">
        <v>8324.9456861099952</v>
      </c>
      <c r="AN51" s="40">
        <f t="shared" si="51"/>
        <v>3.0931260560035038E-2</v>
      </c>
      <c r="AO51" s="44">
        <v>4182</v>
      </c>
      <c r="AP51" s="44">
        <v>273280.75655225001</v>
      </c>
      <c r="AQ51" s="44">
        <v>478</v>
      </c>
      <c r="AR51" s="44">
        <v>8009.5334106100036</v>
      </c>
      <c r="AS51" s="40">
        <f t="shared" si="52"/>
        <v>2.9308808683273013E-2</v>
      </c>
      <c r="AT51" s="44">
        <v>4467</v>
      </c>
      <c r="AU51" s="44">
        <v>272957.00111974013</v>
      </c>
      <c r="AV51" s="44">
        <v>513</v>
      </c>
      <c r="AW51" s="44">
        <v>48687.374874579975</v>
      </c>
      <c r="AX51" s="40">
        <f t="shared" si="53"/>
        <v>0.17837012670439586</v>
      </c>
      <c r="AY51" s="41">
        <v>4066</v>
      </c>
      <c r="AZ51" s="41">
        <v>270245.83370740007</v>
      </c>
      <c r="BA51" s="41">
        <v>527</v>
      </c>
      <c r="BB51" s="41">
        <v>48323.336812229965</v>
      </c>
      <c r="BC51" s="40">
        <f t="shared" si="54"/>
        <v>0.17881251358920297</v>
      </c>
      <c r="BD51" s="39">
        <v>4287</v>
      </c>
      <c r="BE51" s="39">
        <v>269241.77006520994</v>
      </c>
      <c r="BF51" s="39">
        <v>556</v>
      </c>
      <c r="BG51" s="39">
        <v>49971.402971770032</v>
      </c>
      <c r="BH51" s="40">
        <f t="shared" si="55"/>
        <v>0.18560048450010946</v>
      </c>
      <c r="BI51" s="39">
        <v>4538</v>
      </c>
      <c r="BJ51" s="39">
        <v>272739.52830552985</v>
      </c>
      <c r="BK51" s="39">
        <v>570</v>
      </c>
      <c r="BL51" s="39">
        <v>58650.825618710005</v>
      </c>
      <c r="BM51" s="40">
        <f t="shared" si="56"/>
        <v>0.21504336383909795</v>
      </c>
      <c r="BN51" s="42">
        <v>0</v>
      </c>
      <c r="BO51" s="42">
        <v>0</v>
      </c>
    </row>
    <row r="52" spans="1:67" s="29" customFormat="1" ht="35.1" customHeight="1" x14ac:dyDescent="0.25">
      <c r="A52" s="38">
        <f t="shared" si="57"/>
        <v>46</v>
      </c>
      <c r="B52" s="45" t="s">
        <v>2096</v>
      </c>
      <c r="C52" s="45" t="s">
        <v>2104</v>
      </c>
      <c r="D52" s="64">
        <v>11490</v>
      </c>
      <c r="E52" s="45" t="s">
        <v>2054</v>
      </c>
      <c r="F52" s="41">
        <v>3000</v>
      </c>
      <c r="G52" s="41">
        <v>159393.68365763943</v>
      </c>
      <c r="H52" s="41">
        <v>505</v>
      </c>
      <c r="I52" s="41">
        <v>25283.43000728999</v>
      </c>
      <c r="J52" s="40">
        <f t="shared" si="45"/>
        <v>0.1586225340120509</v>
      </c>
      <c r="K52" s="41">
        <v>4411</v>
      </c>
      <c r="L52" s="41">
        <v>157378.84676861955</v>
      </c>
      <c r="M52" s="41">
        <v>510</v>
      </c>
      <c r="N52" s="41">
        <v>9665.6496287099944</v>
      </c>
      <c r="O52" s="40">
        <f t="shared" si="46"/>
        <v>6.1416447172983543E-2</v>
      </c>
      <c r="P52" s="41">
        <v>4321</v>
      </c>
      <c r="Q52" s="41">
        <v>155515.50754541982</v>
      </c>
      <c r="R52" s="41">
        <v>536</v>
      </c>
      <c r="S52" s="41">
        <v>9937.6757882999991</v>
      </c>
      <c r="T52" s="40">
        <f t="shared" si="47"/>
        <v>6.390151017831841E-2</v>
      </c>
      <c r="U52" s="41">
        <v>2882</v>
      </c>
      <c r="V52" s="41">
        <v>154917.35548249941</v>
      </c>
      <c r="W52" s="41">
        <v>529</v>
      </c>
      <c r="X52" s="41">
        <v>9916.0212994599988</v>
      </c>
      <c r="Y52" s="40">
        <f t="shared" si="48"/>
        <v>6.4008459662740533E-2</v>
      </c>
      <c r="Z52" s="41">
        <v>4396</v>
      </c>
      <c r="AA52" s="41">
        <v>152706.48185505965</v>
      </c>
      <c r="AB52" s="41">
        <v>460</v>
      </c>
      <c r="AC52" s="41">
        <v>8376.8934654799959</v>
      </c>
      <c r="AD52" s="40">
        <f t="shared" si="49"/>
        <v>5.4856174824529508E-2</v>
      </c>
      <c r="AE52" s="44">
        <v>4602</v>
      </c>
      <c r="AF52" s="44">
        <v>153519.4985072797</v>
      </c>
      <c r="AG52" s="44">
        <v>428</v>
      </c>
      <c r="AH52" s="44">
        <v>7734.9533620999919</v>
      </c>
      <c r="AI52" s="40">
        <f t="shared" si="50"/>
        <v>5.0384175543233746E-2</v>
      </c>
      <c r="AJ52" s="44">
        <v>4652</v>
      </c>
      <c r="AK52" s="44">
        <v>153359.61658041933</v>
      </c>
      <c r="AL52" s="44">
        <v>442</v>
      </c>
      <c r="AM52" s="44">
        <v>7691.9673542599976</v>
      </c>
      <c r="AN52" s="40">
        <f t="shared" si="51"/>
        <v>5.0156407050134043E-2</v>
      </c>
      <c r="AO52" s="44">
        <v>4615</v>
      </c>
      <c r="AP52" s="44">
        <v>155611.71330365</v>
      </c>
      <c r="AQ52" s="44">
        <v>436</v>
      </c>
      <c r="AR52" s="44">
        <v>7645.6690732800043</v>
      </c>
      <c r="AS52" s="40">
        <f t="shared" si="52"/>
        <v>4.9132992054144224E-2</v>
      </c>
      <c r="AT52" s="44">
        <v>4792</v>
      </c>
      <c r="AU52" s="44">
        <v>157864.69715792991</v>
      </c>
      <c r="AV52" s="44">
        <v>436</v>
      </c>
      <c r="AW52" s="44">
        <v>7202.5321086199983</v>
      </c>
      <c r="AX52" s="40">
        <f t="shared" si="53"/>
        <v>4.5624716851130377E-2</v>
      </c>
      <c r="AY52" s="41">
        <v>3430</v>
      </c>
      <c r="AZ52" s="41">
        <v>158299.1176135604</v>
      </c>
      <c r="BA52" s="41">
        <v>463</v>
      </c>
      <c r="BB52" s="41">
        <v>7728.9122677499981</v>
      </c>
      <c r="BC52" s="40">
        <f t="shared" si="54"/>
        <v>4.8824733733625787E-2</v>
      </c>
      <c r="BD52" s="39">
        <v>3527</v>
      </c>
      <c r="BE52" s="39">
        <v>157601.18518960004</v>
      </c>
      <c r="BF52" s="39">
        <v>452</v>
      </c>
      <c r="BG52" s="39">
        <v>7570.5782017400015</v>
      </c>
      <c r="BH52" s="40">
        <f t="shared" si="55"/>
        <v>4.8036302472169334E-2</v>
      </c>
      <c r="BI52" s="39">
        <v>3594</v>
      </c>
      <c r="BJ52" s="39">
        <v>158375.78511296958</v>
      </c>
      <c r="BK52" s="39">
        <v>447</v>
      </c>
      <c r="BL52" s="39">
        <v>8296.6944068700013</v>
      </c>
      <c r="BM52" s="40">
        <f t="shared" si="56"/>
        <v>5.2386129615407825E-2</v>
      </c>
      <c r="BN52" s="42">
        <v>0</v>
      </c>
      <c r="BO52" s="42">
        <v>0</v>
      </c>
    </row>
    <row r="53" spans="1:67" s="29" customFormat="1" ht="35.1" customHeight="1" x14ac:dyDescent="0.25">
      <c r="A53" s="38">
        <f t="shared" si="57"/>
        <v>47</v>
      </c>
      <c r="B53" s="45" t="s">
        <v>2096</v>
      </c>
      <c r="C53" s="45" t="s">
        <v>2105</v>
      </c>
      <c r="D53" s="64">
        <v>11349</v>
      </c>
      <c r="E53" s="45" t="s">
        <v>2079</v>
      </c>
      <c r="F53" s="41">
        <v>2573</v>
      </c>
      <c r="G53" s="41">
        <v>123389.27610709016</v>
      </c>
      <c r="H53" s="41">
        <v>99</v>
      </c>
      <c r="I53" s="41">
        <v>18341.914559730012</v>
      </c>
      <c r="J53" s="40">
        <f t="shared" si="45"/>
        <v>0.14865079963522093</v>
      </c>
      <c r="K53" s="41">
        <v>3304</v>
      </c>
      <c r="L53" s="41">
        <v>121527.38002823011</v>
      </c>
      <c r="M53" s="41">
        <v>121</v>
      </c>
      <c r="N53" s="41">
        <v>19258.179254959996</v>
      </c>
      <c r="O53" s="40">
        <f t="shared" si="46"/>
        <v>0.15846782223468023</v>
      </c>
      <c r="P53" s="41">
        <v>3329</v>
      </c>
      <c r="Q53" s="41">
        <v>120693.83139728989</v>
      </c>
      <c r="R53" s="41">
        <v>121</v>
      </c>
      <c r="S53" s="41">
        <v>19211.500268640004</v>
      </c>
      <c r="T53" s="40">
        <f t="shared" si="47"/>
        <v>0.15917549427527236</v>
      </c>
      <c r="U53" s="41">
        <v>2747</v>
      </c>
      <c r="V53" s="41">
        <v>120738.14769576005</v>
      </c>
      <c r="W53" s="41">
        <v>120</v>
      </c>
      <c r="X53" s="41">
        <v>19159.51870144999</v>
      </c>
      <c r="Y53" s="40">
        <f t="shared" si="48"/>
        <v>0.15868653832365207</v>
      </c>
      <c r="Z53" s="41">
        <v>3721</v>
      </c>
      <c r="AA53" s="41">
        <v>122258.45311110016</v>
      </c>
      <c r="AB53" s="41">
        <v>109</v>
      </c>
      <c r="AC53" s="41">
        <v>17845.531054830004</v>
      </c>
      <c r="AD53" s="40">
        <f t="shared" si="49"/>
        <v>0.14596562119605097</v>
      </c>
      <c r="AE53" s="44">
        <v>4059</v>
      </c>
      <c r="AF53" s="44">
        <v>113477.57814829024</v>
      </c>
      <c r="AG53" s="44">
        <v>115</v>
      </c>
      <c r="AH53" s="44">
        <v>2993.6931212500003</v>
      </c>
      <c r="AI53" s="40">
        <f t="shared" si="50"/>
        <v>2.6381362469138192E-2</v>
      </c>
      <c r="AJ53" s="44">
        <v>4101</v>
      </c>
      <c r="AK53" s="44">
        <v>113262.07180021996</v>
      </c>
      <c r="AL53" s="44">
        <v>106</v>
      </c>
      <c r="AM53" s="44">
        <v>2249.3349292299999</v>
      </c>
      <c r="AN53" s="40">
        <f t="shared" si="51"/>
        <v>1.985956016412576E-2</v>
      </c>
      <c r="AO53" s="44">
        <v>4235</v>
      </c>
      <c r="AP53" s="44">
        <v>115085.93136501999</v>
      </c>
      <c r="AQ53" s="44">
        <v>109</v>
      </c>
      <c r="AR53" s="44">
        <v>2258.3677188400002</v>
      </c>
      <c r="AS53" s="40">
        <f t="shared" si="52"/>
        <v>1.9623317047129742E-2</v>
      </c>
      <c r="AT53" s="44">
        <v>4534</v>
      </c>
      <c r="AU53" s="44">
        <v>118107.12494428005</v>
      </c>
      <c r="AV53" s="44">
        <v>144</v>
      </c>
      <c r="AW53" s="44">
        <v>2253.828935399999</v>
      </c>
      <c r="AX53" s="40">
        <f t="shared" si="53"/>
        <v>1.9082921004666725E-2</v>
      </c>
      <c r="AY53" s="41">
        <v>4070</v>
      </c>
      <c r="AZ53" s="41">
        <v>121301.29380842985</v>
      </c>
      <c r="BA53" s="41">
        <v>143</v>
      </c>
      <c r="BB53" s="41">
        <v>2231.2979008099996</v>
      </c>
      <c r="BC53" s="40">
        <f t="shared" si="54"/>
        <v>1.8394675198880155E-2</v>
      </c>
      <c r="BD53" s="39">
        <v>4296</v>
      </c>
      <c r="BE53" s="39">
        <v>123653.68561511031</v>
      </c>
      <c r="BF53" s="39">
        <v>148</v>
      </c>
      <c r="BG53" s="39">
        <v>2224.7344676799999</v>
      </c>
      <c r="BH53" s="40">
        <f t="shared" si="55"/>
        <v>1.7991655134362936E-2</v>
      </c>
      <c r="BI53" s="39">
        <v>4497</v>
      </c>
      <c r="BJ53" s="39">
        <v>125621.69143221037</v>
      </c>
      <c r="BK53" s="39">
        <v>154</v>
      </c>
      <c r="BL53" s="39">
        <v>2363.745708729999</v>
      </c>
      <c r="BM53" s="40">
        <f t="shared" si="56"/>
        <v>1.8816381803022884E-2</v>
      </c>
      <c r="BN53" s="42">
        <v>0</v>
      </c>
      <c r="BO53" s="42">
        <v>0</v>
      </c>
    </row>
    <row r="54" spans="1:67" s="29" customFormat="1" ht="35.1" customHeight="1" x14ac:dyDescent="0.25">
      <c r="A54" s="38">
        <f t="shared" si="57"/>
        <v>48</v>
      </c>
      <c r="B54" s="45" t="s">
        <v>2096</v>
      </c>
      <c r="C54" s="45" t="s">
        <v>2106</v>
      </c>
      <c r="D54" s="64">
        <v>11579</v>
      </c>
      <c r="E54" s="45" t="s">
        <v>2107</v>
      </c>
      <c r="F54" s="41">
        <v>3130</v>
      </c>
      <c r="G54" s="41">
        <v>291741.85795108991</v>
      </c>
      <c r="H54" s="41">
        <v>53</v>
      </c>
      <c r="I54" s="41">
        <v>6454.9759403600028</v>
      </c>
      <c r="J54" s="40">
        <f t="shared" si="45"/>
        <v>2.2125642119692573E-2</v>
      </c>
      <c r="K54" s="41">
        <v>3331</v>
      </c>
      <c r="L54" s="41">
        <v>291014.7321624902</v>
      </c>
      <c r="M54" s="41">
        <v>64</v>
      </c>
      <c r="N54" s="41">
        <v>5958.3455497599989</v>
      </c>
      <c r="O54" s="40">
        <f t="shared" si="46"/>
        <v>2.0474377724743892E-2</v>
      </c>
      <c r="P54" s="41">
        <v>3313</v>
      </c>
      <c r="Q54" s="41">
        <v>288862.09501858009</v>
      </c>
      <c r="R54" s="41">
        <v>66</v>
      </c>
      <c r="S54" s="41">
        <v>5596.7597028900009</v>
      </c>
      <c r="T54" s="40">
        <f t="shared" si="47"/>
        <v>1.9375195982463563E-2</v>
      </c>
      <c r="U54" s="41">
        <v>3096</v>
      </c>
      <c r="V54" s="41">
        <v>287450.12204288034</v>
      </c>
      <c r="W54" s="41">
        <v>67</v>
      </c>
      <c r="X54" s="41">
        <v>85424.119743769974</v>
      </c>
      <c r="Y54" s="40">
        <f t="shared" si="48"/>
        <v>0.29717893016245384</v>
      </c>
      <c r="Z54" s="41">
        <v>3403</v>
      </c>
      <c r="AA54" s="41">
        <v>292650.67197523039</v>
      </c>
      <c r="AB54" s="41">
        <v>104</v>
      </c>
      <c r="AC54" s="41">
        <v>93556.859290370005</v>
      </c>
      <c r="AD54" s="40">
        <f t="shared" si="49"/>
        <v>0.31968783348048674</v>
      </c>
      <c r="AE54" s="44">
        <v>3543</v>
      </c>
      <c r="AF54" s="44">
        <v>296836.91044386034</v>
      </c>
      <c r="AG54" s="44">
        <v>128</v>
      </c>
      <c r="AH54" s="44">
        <v>100412.55641092999</v>
      </c>
      <c r="AI54" s="40">
        <f t="shared" si="50"/>
        <v>0.3382751702299524</v>
      </c>
      <c r="AJ54" s="44">
        <v>3608</v>
      </c>
      <c r="AK54" s="44">
        <v>295030.64821709035</v>
      </c>
      <c r="AL54" s="44">
        <v>180</v>
      </c>
      <c r="AM54" s="44">
        <v>101422.10061415996</v>
      </c>
      <c r="AN54" s="40">
        <f t="shared" si="51"/>
        <v>0.34376801605889856</v>
      </c>
      <c r="AO54" s="44">
        <v>3665</v>
      </c>
      <c r="AP54" s="44">
        <v>293296.72958546999</v>
      </c>
      <c r="AQ54" s="44">
        <v>182</v>
      </c>
      <c r="AR54" s="44">
        <v>100730.20238031006</v>
      </c>
      <c r="AS54" s="40">
        <f t="shared" si="52"/>
        <v>0.3434412736980626</v>
      </c>
      <c r="AT54" s="44">
        <v>3791</v>
      </c>
      <c r="AU54" s="44">
        <v>292433.0516313308</v>
      </c>
      <c r="AV54" s="44">
        <v>212</v>
      </c>
      <c r="AW54" s="44">
        <v>100354.99137349002</v>
      </c>
      <c r="AX54" s="40">
        <f t="shared" si="53"/>
        <v>0.34317253406775361</v>
      </c>
      <c r="AY54" s="41">
        <v>3675</v>
      </c>
      <c r="AZ54" s="41">
        <v>292102.96597620996</v>
      </c>
      <c r="BA54" s="41">
        <v>262</v>
      </c>
      <c r="BB54" s="41">
        <v>100932.29827559004</v>
      </c>
      <c r="BC54" s="40">
        <f t="shared" si="54"/>
        <v>0.34553671147526238</v>
      </c>
      <c r="BD54" s="39">
        <v>3729</v>
      </c>
      <c r="BE54" s="39">
        <v>296518.03650791052</v>
      </c>
      <c r="BF54" s="39">
        <v>261</v>
      </c>
      <c r="BG54" s="39">
        <v>100909.05228597998</v>
      </c>
      <c r="BH54" s="40">
        <f t="shared" si="55"/>
        <v>0.34031337005460011</v>
      </c>
      <c r="BI54" s="39">
        <v>3755</v>
      </c>
      <c r="BJ54" s="39">
        <v>294634.09608218091</v>
      </c>
      <c r="BK54" s="39">
        <v>270</v>
      </c>
      <c r="BL54" s="39">
        <v>100890.39154370993</v>
      </c>
      <c r="BM54" s="40">
        <f t="shared" si="56"/>
        <v>0.34242605620080391</v>
      </c>
      <c r="BN54" s="42">
        <v>0</v>
      </c>
      <c r="BO54" s="42">
        <v>0</v>
      </c>
    </row>
    <row r="55" spans="1:67" s="29" customFormat="1" ht="35.1" customHeight="1" x14ac:dyDescent="0.25">
      <c r="A55" s="38">
        <f t="shared" si="57"/>
        <v>49</v>
      </c>
      <c r="B55" s="45" t="s">
        <v>2096</v>
      </c>
      <c r="C55" s="45" t="s">
        <v>2108</v>
      </c>
      <c r="D55" s="64">
        <v>11388</v>
      </c>
      <c r="E55" s="45" t="s">
        <v>2062</v>
      </c>
      <c r="F55" s="41">
        <v>3644</v>
      </c>
      <c r="G55" s="41">
        <v>78337.541430819983</v>
      </c>
      <c r="H55" s="41">
        <v>154</v>
      </c>
      <c r="I55" s="41">
        <v>9739.0157821000012</v>
      </c>
      <c r="J55" s="40">
        <f t="shared" si="45"/>
        <v>0.12432118246524934</v>
      </c>
      <c r="K55" s="41">
        <v>4212</v>
      </c>
      <c r="L55" s="41">
        <v>77022.533283979938</v>
      </c>
      <c r="M55" s="41">
        <v>228</v>
      </c>
      <c r="N55" s="41">
        <v>11690.007930560001</v>
      </c>
      <c r="O55" s="40">
        <f t="shared" si="46"/>
        <v>0.15177386969939391</v>
      </c>
      <c r="P55" s="41">
        <v>4215</v>
      </c>
      <c r="Q55" s="41">
        <v>75992.149036909788</v>
      </c>
      <c r="R55" s="41">
        <v>236</v>
      </c>
      <c r="S55" s="41">
        <v>11249.838458400001</v>
      </c>
      <c r="T55" s="40">
        <f t="shared" si="47"/>
        <v>0.1480394830383846</v>
      </c>
      <c r="U55" s="41">
        <v>3688</v>
      </c>
      <c r="V55" s="41">
        <v>76094.84217526998</v>
      </c>
      <c r="W55" s="41">
        <v>249</v>
      </c>
      <c r="X55" s="41">
        <v>11323.839309960003</v>
      </c>
      <c r="Y55" s="40">
        <f t="shared" si="48"/>
        <v>0.14881217946254091</v>
      </c>
      <c r="Z55" s="41">
        <v>4402</v>
      </c>
      <c r="AA55" s="41">
        <v>77757.399075879963</v>
      </c>
      <c r="AB55" s="41">
        <v>279</v>
      </c>
      <c r="AC55" s="41">
        <v>11852.573586809995</v>
      </c>
      <c r="AD55" s="40">
        <f t="shared" si="49"/>
        <v>0.15243017034615058</v>
      </c>
      <c r="AE55" s="44">
        <v>4609</v>
      </c>
      <c r="AF55" s="44">
        <v>73252.188430600028</v>
      </c>
      <c r="AG55" s="44">
        <v>248</v>
      </c>
      <c r="AH55" s="44">
        <v>5437.7523258300025</v>
      </c>
      <c r="AI55" s="40">
        <f t="shared" si="50"/>
        <v>7.4233308824374469E-2</v>
      </c>
      <c r="AJ55" s="44">
        <v>4639</v>
      </c>
      <c r="AK55" s="44">
        <v>73194.968171990011</v>
      </c>
      <c r="AL55" s="44">
        <v>293</v>
      </c>
      <c r="AM55" s="44">
        <v>4547.7299633000002</v>
      </c>
      <c r="AN55" s="40">
        <f t="shared" si="51"/>
        <v>6.2131729501049351E-2</v>
      </c>
      <c r="AO55" s="44">
        <v>4696</v>
      </c>
      <c r="AP55" s="44">
        <v>73177.663854619997</v>
      </c>
      <c r="AQ55" s="44">
        <v>303</v>
      </c>
      <c r="AR55" s="44">
        <v>4690.168692870001</v>
      </c>
      <c r="AS55" s="40">
        <f t="shared" si="52"/>
        <v>6.409290001642888E-2</v>
      </c>
      <c r="AT55" s="44">
        <v>4819</v>
      </c>
      <c r="AU55" s="44">
        <v>74447.096746259907</v>
      </c>
      <c r="AV55" s="44">
        <v>313</v>
      </c>
      <c r="AW55" s="44">
        <v>5048.9412356200046</v>
      </c>
      <c r="AX55" s="40">
        <f t="shared" si="53"/>
        <v>6.7819182430020747E-2</v>
      </c>
      <c r="AY55" s="41">
        <v>4423</v>
      </c>
      <c r="AZ55" s="41">
        <v>76002.066435940113</v>
      </c>
      <c r="BA55" s="41">
        <v>353</v>
      </c>
      <c r="BB55" s="41">
        <v>5288.6262916900023</v>
      </c>
      <c r="BC55" s="40">
        <f t="shared" si="54"/>
        <v>6.958529602807087E-2</v>
      </c>
      <c r="BD55" s="39">
        <v>4541</v>
      </c>
      <c r="BE55" s="39">
        <v>76607.434512960186</v>
      </c>
      <c r="BF55" s="39">
        <v>400</v>
      </c>
      <c r="BG55" s="39">
        <v>5871.7516915399983</v>
      </c>
      <c r="BH55" s="40">
        <f t="shared" si="55"/>
        <v>7.664728271962476E-2</v>
      </c>
      <c r="BI55" s="39">
        <v>4633</v>
      </c>
      <c r="BJ55" s="39">
        <v>76229.310389040053</v>
      </c>
      <c r="BK55" s="39">
        <v>382</v>
      </c>
      <c r="BL55" s="39">
        <v>5636.6686837300022</v>
      </c>
      <c r="BM55" s="40">
        <f t="shared" si="56"/>
        <v>7.394358751198174E-2</v>
      </c>
      <c r="BN55" s="42">
        <v>0</v>
      </c>
      <c r="BO55" s="42">
        <v>0</v>
      </c>
    </row>
    <row r="56" spans="1:67" s="29" customFormat="1" ht="35.1" customHeight="1" x14ac:dyDescent="0.25">
      <c r="A56" s="38">
        <f t="shared" si="57"/>
        <v>50</v>
      </c>
      <c r="B56" s="45" t="s">
        <v>2096</v>
      </c>
      <c r="C56" s="45" t="s">
        <v>2109</v>
      </c>
      <c r="D56" s="64">
        <v>11800</v>
      </c>
      <c r="E56" s="45" t="s">
        <v>2073</v>
      </c>
      <c r="F56" s="41">
        <v>2984</v>
      </c>
      <c r="G56" s="41">
        <v>81854.200652359708</v>
      </c>
      <c r="H56" s="41">
        <v>281</v>
      </c>
      <c r="I56" s="41">
        <v>6487.3627553799988</v>
      </c>
      <c r="J56" s="40">
        <f t="shared" si="45"/>
        <v>7.9255098744806809E-2</v>
      </c>
      <c r="K56" s="41">
        <v>4783</v>
      </c>
      <c r="L56" s="41">
        <v>80851.35870912981</v>
      </c>
      <c r="M56" s="41">
        <v>377</v>
      </c>
      <c r="N56" s="41">
        <v>9018.9815102100038</v>
      </c>
      <c r="O56" s="40">
        <f t="shared" si="46"/>
        <v>0.11155015393936196</v>
      </c>
      <c r="P56" s="41">
        <v>4769</v>
      </c>
      <c r="Q56" s="41">
        <v>80165.421194969837</v>
      </c>
      <c r="R56" s="41">
        <v>366</v>
      </c>
      <c r="S56" s="41">
        <v>8237.4411937899968</v>
      </c>
      <c r="T56" s="40">
        <f t="shared" si="47"/>
        <v>0.10275554061838914</v>
      </c>
      <c r="U56" s="41">
        <v>3052</v>
      </c>
      <c r="V56" s="41">
        <v>81266.052590939798</v>
      </c>
      <c r="W56" s="41">
        <v>434</v>
      </c>
      <c r="X56" s="41">
        <v>9320.7544719100024</v>
      </c>
      <c r="Y56" s="40">
        <f t="shared" si="48"/>
        <v>0.11469431791927785</v>
      </c>
      <c r="Z56" s="41">
        <v>5119</v>
      </c>
      <c r="AA56" s="41">
        <v>82983.782942539823</v>
      </c>
      <c r="AB56" s="41">
        <v>407</v>
      </c>
      <c r="AC56" s="41">
        <v>8865.8458872299998</v>
      </c>
      <c r="AD56" s="40">
        <f t="shared" si="49"/>
        <v>0.10683829506024023</v>
      </c>
      <c r="AE56" s="44">
        <v>5470</v>
      </c>
      <c r="AF56" s="44">
        <v>85559.321842399659</v>
      </c>
      <c r="AG56" s="44">
        <v>354</v>
      </c>
      <c r="AH56" s="44">
        <v>6560.1910944900064</v>
      </c>
      <c r="AI56" s="40">
        <f t="shared" si="50"/>
        <v>7.667418293209341E-2</v>
      </c>
      <c r="AJ56" s="44">
        <v>5544</v>
      </c>
      <c r="AK56" s="44">
        <v>86703.554311669941</v>
      </c>
      <c r="AL56" s="44">
        <v>355</v>
      </c>
      <c r="AM56" s="44">
        <v>6417.1232123700038</v>
      </c>
      <c r="AN56" s="40">
        <f t="shared" si="51"/>
        <v>7.4012227795213756E-2</v>
      </c>
      <c r="AO56" s="44">
        <v>5566</v>
      </c>
      <c r="AP56" s="44">
        <v>89295.572902439962</v>
      </c>
      <c r="AQ56" s="44">
        <v>358</v>
      </c>
      <c r="AR56" s="44">
        <v>6355.359062960003</v>
      </c>
      <c r="AS56" s="40">
        <f t="shared" si="52"/>
        <v>7.1172162923503077E-2</v>
      </c>
      <c r="AT56" s="44">
        <v>5763</v>
      </c>
      <c r="AU56" s="44">
        <v>92144.784628389869</v>
      </c>
      <c r="AV56" s="44">
        <v>386</v>
      </c>
      <c r="AW56" s="44">
        <v>6548.3721038200092</v>
      </c>
      <c r="AX56" s="40">
        <f t="shared" si="53"/>
        <v>7.1066117634643114E-2</v>
      </c>
      <c r="AY56" s="41">
        <v>4132</v>
      </c>
      <c r="AZ56" s="41">
        <v>97612.761204419978</v>
      </c>
      <c r="BA56" s="41">
        <v>412</v>
      </c>
      <c r="BB56" s="41">
        <v>6687.0582666300124</v>
      </c>
      <c r="BC56" s="40">
        <f t="shared" si="54"/>
        <v>6.8505984095932101E-2</v>
      </c>
      <c r="BD56" s="39">
        <v>4279</v>
      </c>
      <c r="BE56" s="39">
        <v>100531.7742360704</v>
      </c>
      <c r="BF56" s="39">
        <v>420</v>
      </c>
      <c r="BG56" s="39">
        <v>6751.3929502300098</v>
      </c>
      <c r="BH56" s="40">
        <f t="shared" si="55"/>
        <v>6.715680690540958E-2</v>
      </c>
      <c r="BI56" s="39">
        <v>4342</v>
      </c>
      <c r="BJ56" s="39">
        <v>102454.83979360988</v>
      </c>
      <c r="BK56" s="39">
        <v>457</v>
      </c>
      <c r="BL56" s="39">
        <v>7098.5242670900088</v>
      </c>
      <c r="BM56" s="40">
        <f t="shared" si="56"/>
        <v>6.9284421130223123E-2</v>
      </c>
      <c r="BN56" s="42">
        <v>0</v>
      </c>
      <c r="BO56" s="42">
        <v>0</v>
      </c>
    </row>
    <row r="57" spans="1:67" s="29" customFormat="1" ht="35.1" customHeight="1" x14ac:dyDescent="0.25">
      <c r="A57" s="38">
        <f t="shared" si="57"/>
        <v>51</v>
      </c>
      <c r="B57" s="45" t="s">
        <v>2096</v>
      </c>
      <c r="C57" s="45" t="s">
        <v>2110</v>
      </c>
      <c r="D57" s="64">
        <v>11580</v>
      </c>
      <c r="E57" s="45" t="s">
        <v>2047</v>
      </c>
      <c r="F57" s="41">
        <v>3039</v>
      </c>
      <c r="G57" s="41">
        <v>103147.00805563004</v>
      </c>
      <c r="H57" s="41">
        <v>323</v>
      </c>
      <c r="I57" s="41">
        <v>14704.848548260003</v>
      </c>
      <c r="J57" s="40">
        <f t="shared" si="45"/>
        <v>0.14256204639817832</v>
      </c>
      <c r="K57" s="41">
        <v>3500</v>
      </c>
      <c r="L57" s="41">
        <v>102363.29428695</v>
      </c>
      <c r="M57" s="41">
        <v>354</v>
      </c>
      <c r="N57" s="41">
        <v>14630.182778149998</v>
      </c>
      <c r="O57" s="40">
        <f t="shared" si="46"/>
        <v>0.14292411044468659</v>
      </c>
      <c r="P57" s="41">
        <v>3476</v>
      </c>
      <c r="Q57" s="41">
        <v>100539.9188690899</v>
      </c>
      <c r="R57" s="41">
        <v>358</v>
      </c>
      <c r="S57" s="41">
        <v>14622.024598030006</v>
      </c>
      <c r="T57" s="40">
        <f t="shared" si="47"/>
        <v>0.14543501489263103</v>
      </c>
      <c r="U57" s="41">
        <v>3005</v>
      </c>
      <c r="V57" s="41">
        <v>99020.77656774006</v>
      </c>
      <c r="W57" s="41">
        <v>359</v>
      </c>
      <c r="X57" s="41">
        <v>14614.982178840002</v>
      </c>
      <c r="Y57" s="40">
        <f t="shared" si="48"/>
        <v>0.14759510766754996</v>
      </c>
      <c r="Z57" s="41">
        <v>3526</v>
      </c>
      <c r="AA57" s="41">
        <v>95695.446732790093</v>
      </c>
      <c r="AB57" s="41">
        <v>332</v>
      </c>
      <c r="AC57" s="41">
        <v>12290.032579129997</v>
      </c>
      <c r="AD57" s="40">
        <f t="shared" si="49"/>
        <v>0.12842860343656048</v>
      </c>
      <c r="AE57" s="44">
        <v>3608</v>
      </c>
      <c r="AF57" s="44">
        <v>94357.837774459986</v>
      </c>
      <c r="AG57" s="44">
        <v>338</v>
      </c>
      <c r="AH57" s="44">
        <v>15386.455847160003</v>
      </c>
      <c r="AI57" s="40">
        <f t="shared" si="50"/>
        <v>0.1630649473331264</v>
      </c>
      <c r="AJ57" s="44">
        <v>3619</v>
      </c>
      <c r="AK57" s="44">
        <v>93225.113485300128</v>
      </c>
      <c r="AL57" s="44">
        <v>355</v>
      </c>
      <c r="AM57" s="44">
        <v>12098.566541760003</v>
      </c>
      <c r="AN57" s="40">
        <f t="shared" si="51"/>
        <v>0.12977797601359556</v>
      </c>
      <c r="AO57" s="44">
        <v>3603</v>
      </c>
      <c r="AP57" s="44">
        <v>91969.129594130034</v>
      </c>
      <c r="AQ57" s="44">
        <v>350</v>
      </c>
      <c r="AR57" s="44">
        <v>12068.046739430005</v>
      </c>
      <c r="AS57" s="40">
        <f t="shared" si="52"/>
        <v>0.13121845115516079</v>
      </c>
      <c r="AT57" s="44">
        <v>3673</v>
      </c>
      <c r="AU57" s="44">
        <v>91703.36130141998</v>
      </c>
      <c r="AV57" s="44">
        <v>343</v>
      </c>
      <c r="AW57" s="44">
        <v>12055.463620220011</v>
      </c>
      <c r="AX57" s="40">
        <f t="shared" si="53"/>
        <v>0.13146152386492008</v>
      </c>
      <c r="AY57" s="41">
        <v>3188</v>
      </c>
      <c r="AZ57" s="41">
        <v>91760.27846499985</v>
      </c>
      <c r="BA57" s="41">
        <v>357</v>
      </c>
      <c r="BB57" s="41">
        <v>8737.6359154700003</v>
      </c>
      <c r="BC57" s="40">
        <f t="shared" si="54"/>
        <v>9.5222421527445547E-2</v>
      </c>
      <c r="BD57" s="39">
        <v>3261</v>
      </c>
      <c r="BE57" s="39">
        <v>92486.840952410043</v>
      </c>
      <c r="BF57" s="39">
        <v>370</v>
      </c>
      <c r="BG57" s="39">
        <v>13772.52099808001</v>
      </c>
      <c r="BH57" s="40">
        <f t="shared" si="55"/>
        <v>0.14891330330080998</v>
      </c>
      <c r="BI57" s="39">
        <v>3277</v>
      </c>
      <c r="BJ57" s="39">
        <v>92899.30985357007</v>
      </c>
      <c r="BK57" s="39">
        <v>381</v>
      </c>
      <c r="BL57" s="39">
        <v>13801.027712930003</v>
      </c>
      <c r="BM57" s="40">
        <f t="shared" si="56"/>
        <v>0.14855899074690099</v>
      </c>
      <c r="BN57" s="42">
        <v>0</v>
      </c>
      <c r="BO57" s="42">
        <v>0</v>
      </c>
    </row>
    <row r="58" spans="1:67" s="29" customFormat="1" ht="35.1" customHeight="1" x14ac:dyDescent="0.25">
      <c r="A58" s="38">
        <f t="shared" si="57"/>
        <v>52</v>
      </c>
      <c r="B58" s="45" t="s">
        <v>2096</v>
      </c>
      <c r="C58" s="45" t="s">
        <v>2111</v>
      </c>
      <c r="D58" s="64">
        <v>11801</v>
      </c>
      <c r="E58" s="45" t="s">
        <v>2064</v>
      </c>
      <c r="F58" s="41">
        <v>3866</v>
      </c>
      <c r="G58" s="41">
        <v>97268.990740059802</v>
      </c>
      <c r="H58" s="41">
        <v>186</v>
      </c>
      <c r="I58" s="41">
        <v>11455.874605409992</v>
      </c>
      <c r="J58" s="40">
        <f t="shared" si="45"/>
        <v>0.11777519760665041</v>
      </c>
      <c r="K58" s="41">
        <v>5322</v>
      </c>
      <c r="L58" s="41">
        <v>96743.69486666983</v>
      </c>
      <c r="M58" s="41">
        <v>285</v>
      </c>
      <c r="N58" s="41">
        <v>14165.126459209994</v>
      </c>
      <c r="O58" s="40">
        <f t="shared" si="46"/>
        <v>0.1464191178425848</v>
      </c>
      <c r="P58" s="41">
        <v>5414</v>
      </c>
      <c r="Q58" s="41">
        <v>99552.911162629767</v>
      </c>
      <c r="R58" s="41">
        <v>268</v>
      </c>
      <c r="S58" s="41">
        <v>13746.857246359999</v>
      </c>
      <c r="T58" s="40">
        <f t="shared" si="47"/>
        <v>0.13808593928411711</v>
      </c>
      <c r="U58" s="41">
        <v>4091</v>
      </c>
      <c r="V58" s="41">
        <v>102062.13860289978</v>
      </c>
      <c r="W58" s="41">
        <v>304</v>
      </c>
      <c r="X58" s="41">
        <v>14740.623068240006</v>
      </c>
      <c r="Y58" s="40">
        <f t="shared" si="48"/>
        <v>0.14442792665351023</v>
      </c>
      <c r="Z58" s="41">
        <v>5982</v>
      </c>
      <c r="AA58" s="41">
        <v>112637.65852563991</v>
      </c>
      <c r="AB58" s="41">
        <v>321</v>
      </c>
      <c r="AC58" s="41">
        <v>15624.042601659998</v>
      </c>
      <c r="AD58" s="40">
        <f t="shared" si="49"/>
        <v>0.13871064798549118</v>
      </c>
      <c r="AE58" s="44">
        <v>6506</v>
      </c>
      <c r="AF58" s="44">
        <v>112903.44369371978</v>
      </c>
      <c r="AG58" s="44">
        <v>291</v>
      </c>
      <c r="AH58" s="44">
        <v>6395.8784921000015</v>
      </c>
      <c r="AI58" s="40">
        <f t="shared" si="50"/>
        <v>5.6649100176700551E-2</v>
      </c>
      <c r="AJ58" s="44">
        <v>6578</v>
      </c>
      <c r="AK58" s="44">
        <v>114204.15046313005</v>
      </c>
      <c r="AL58" s="44">
        <v>307</v>
      </c>
      <c r="AM58" s="44">
        <v>6348.0048016700021</v>
      </c>
      <c r="AN58" s="40">
        <f t="shared" si="51"/>
        <v>5.5584711903438284E-2</v>
      </c>
      <c r="AO58" s="44">
        <v>6647</v>
      </c>
      <c r="AP58" s="44">
        <v>115814.19008582001</v>
      </c>
      <c r="AQ58" s="44">
        <v>306</v>
      </c>
      <c r="AR58" s="44">
        <v>5872.1081983899985</v>
      </c>
      <c r="AS58" s="40">
        <f t="shared" si="52"/>
        <v>5.0702838693934486E-2</v>
      </c>
      <c r="AT58" s="44">
        <v>6759</v>
      </c>
      <c r="AU58" s="44">
        <v>117110.63067329975</v>
      </c>
      <c r="AV58" s="44">
        <v>344</v>
      </c>
      <c r="AW58" s="44">
        <v>7028.0575744899979</v>
      </c>
      <c r="AX58" s="40">
        <f t="shared" si="53"/>
        <v>6.0012123016363675E-2</v>
      </c>
      <c r="AY58" s="41">
        <v>5419</v>
      </c>
      <c r="AZ58" s="41">
        <v>117911.26289465987</v>
      </c>
      <c r="BA58" s="41">
        <v>392</v>
      </c>
      <c r="BB58" s="41">
        <v>7244.4652577700053</v>
      </c>
      <c r="BC58" s="40">
        <f t="shared" si="54"/>
        <v>6.1439976809018665E-2</v>
      </c>
      <c r="BD58" s="39">
        <v>5576</v>
      </c>
      <c r="BE58" s="39">
        <v>118571.40945094034</v>
      </c>
      <c r="BF58" s="39">
        <v>471</v>
      </c>
      <c r="BG58" s="39">
        <v>9594.9999300000072</v>
      </c>
      <c r="BH58" s="40">
        <f t="shared" si="55"/>
        <v>8.0921699205827508E-2</v>
      </c>
      <c r="BI58" s="39">
        <v>5665</v>
      </c>
      <c r="BJ58" s="39">
        <v>119056.9950749501</v>
      </c>
      <c r="BK58" s="39">
        <v>510</v>
      </c>
      <c r="BL58" s="39">
        <v>9336.5332576300061</v>
      </c>
      <c r="BM58" s="40">
        <f t="shared" si="56"/>
        <v>7.8420703056988519E-2</v>
      </c>
      <c r="BN58" s="42">
        <v>0</v>
      </c>
      <c r="BO58" s="42">
        <v>0</v>
      </c>
    </row>
    <row r="59" spans="1:67" s="29" customFormat="1" ht="35.1" customHeight="1" x14ac:dyDescent="0.25">
      <c r="A59" s="38">
        <f t="shared" si="57"/>
        <v>53</v>
      </c>
      <c r="B59" s="45" t="s">
        <v>2096</v>
      </c>
      <c r="C59" s="45" t="s">
        <v>2112</v>
      </c>
      <c r="D59" s="64">
        <v>11634</v>
      </c>
      <c r="E59" s="45" t="s">
        <v>2041</v>
      </c>
      <c r="F59" s="41">
        <v>2685</v>
      </c>
      <c r="G59" s="41">
        <v>76688.045963920013</v>
      </c>
      <c r="H59" s="41">
        <v>53</v>
      </c>
      <c r="I59" s="41">
        <v>2888.6089286999982</v>
      </c>
      <c r="J59" s="40">
        <f t="shared" si="45"/>
        <v>3.7667003929908752E-2</v>
      </c>
      <c r="K59" s="41">
        <v>2732</v>
      </c>
      <c r="L59" s="41">
        <v>75326.478423680077</v>
      </c>
      <c r="M59" s="41">
        <v>87</v>
      </c>
      <c r="N59" s="41">
        <v>3936.2818614799985</v>
      </c>
      <c r="O59" s="40">
        <f t="shared" si="46"/>
        <v>5.2256284162655951E-2</v>
      </c>
      <c r="P59" s="41">
        <v>2696</v>
      </c>
      <c r="Q59" s="41">
        <v>73291.178678450029</v>
      </c>
      <c r="R59" s="41">
        <v>88</v>
      </c>
      <c r="S59" s="41">
        <v>3702.1717653799983</v>
      </c>
      <c r="T59" s="40">
        <f t="shared" si="47"/>
        <v>5.051319725150711E-2</v>
      </c>
      <c r="U59" s="41">
        <v>2631</v>
      </c>
      <c r="V59" s="41">
        <v>74382.669665420064</v>
      </c>
      <c r="W59" s="41">
        <v>88</v>
      </c>
      <c r="X59" s="41">
        <v>3688.9123565</v>
      </c>
      <c r="Y59" s="40">
        <f t="shared" si="48"/>
        <v>4.9593707419928051E-2</v>
      </c>
      <c r="Z59" s="41">
        <v>2765</v>
      </c>
      <c r="AA59" s="41">
        <v>73682.088571009954</v>
      </c>
      <c r="AB59" s="41">
        <v>183</v>
      </c>
      <c r="AC59" s="41">
        <v>5616.6317888800013</v>
      </c>
      <c r="AD59" s="40">
        <f t="shared" si="49"/>
        <v>7.6227912343541412E-2</v>
      </c>
      <c r="AE59" s="44">
        <v>2897</v>
      </c>
      <c r="AF59" s="44">
        <v>73428.61808381007</v>
      </c>
      <c r="AG59" s="44">
        <v>216</v>
      </c>
      <c r="AH59" s="44">
        <v>6067.0999094399986</v>
      </c>
      <c r="AI59" s="40">
        <f t="shared" si="50"/>
        <v>8.262582175406219E-2</v>
      </c>
      <c r="AJ59" s="44">
        <v>2922</v>
      </c>
      <c r="AK59" s="44">
        <v>72965.652029840145</v>
      </c>
      <c r="AL59" s="44">
        <v>223</v>
      </c>
      <c r="AM59" s="44">
        <v>5999.5276108100006</v>
      </c>
      <c r="AN59" s="40">
        <f t="shared" si="51"/>
        <v>8.2223997784004244E-2</v>
      </c>
      <c r="AO59" s="44">
        <v>2951</v>
      </c>
      <c r="AP59" s="44">
        <v>73008.323593599998</v>
      </c>
      <c r="AQ59" s="44">
        <v>227</v>
      </c>
      <c r="AR59" s="44">
        <v>5966.8230722499993</v>
      </c>
      <c r="AS59" s="40">
        <f t="shared" si="52"/>
        <v>8.1727983585327235E-2</v>
      </c>
      <c r="AT59" s="44">
        <v>3055</v>
      </c>
      <c r="AU59" s="44">
        <v>73018.572721710065</v>
      </c>
      <c r="AV59" s="44">
        <v>235</v>
      </c>
      <c r="AW59" s="44">
        <v>5964.917560429998</v>
      </c>
      <c r="AX59" s="40">
        <f t="shared" si="53"/>
        <v>8.1690415713322945E-2</v>
      </c>
      <c r="AY59" s="41">
        <v>3041</v>
      </c>
      <c r="AZ59" s="41">
        <v>72950.962920580292</v>
      </c>
      <c r="BA59" s="41">
        <v>247</v>
      </c>
      <c r="BB59" s="41">
        <v>5995.4140521999971</v>
      </c>
      <c r="BC59" s="40">
        <f t="shared" si="54"/>
        <v>8.2184166077794468E-2</v>
      </c>
      <c r="BD59" s="39">
        <v>3086</v>
      </c>
      <c r="BE59" s="39">
        <v>72218.38908149011</v>
      </c>
      <c r="BF59" s="39">
        <v>325</v>
      </c>
      <c r="BG59" s="39">
        <v>7369.2896902699995</v>
      </c>
      <c r="BH59" s="40">
        <f t="shared" si="55"/>
        <v>0.10204173457752716</v>
      </c>
      <c r="BI59" s="39">
        <v>3131</v>
      </c>
      <c r="BJ59" s="39">
        <v>71462.52687957017</v>
      </c>
      <c r="BK59" s="39">
        <v>325</v>
      </c>
      <c r="BL59" s="39">
        <v>7169.9727564199993</v>
      </c>
      <c r="BM59" s="40">
        <f t="shared" si="56"/>
        <v>0.10033192317006864</v>
      </c>
      <c r="BN59" s="42">
        <v>0</v>
      </c>
      <c r="BO59" s="42">
        <v>0</v>
      </c>
    </row>
    <row r="60" spans="1:67" s="29" customFormat="1" ht="35.1" customHeight="1" x14ac:dyDescent="0.25">
      <c r="A60" s="38">
        <f t="shared" si="57"/>
        <v>54</v>
      </c>
      <c r="B60" s="45" t="s">
        <v>2096</v>
      </c>
      <c r="C60" s="45" t="s">
        <v>2113</v>
      </c>
      <c r="D60" s="64">
        <v>11581</v>
      </c>
      <c r="E60" s="45" t="s">
        <v>2037</v>
      </c>
      <c r="F60" s="41">
        <v>5272</v>
      </c>
      <c r="G60" s="41">
        <v>78309.956939400057</v>
      </c>
      <c r="H60" s="41">
        <v>298</v>
      </c>
      <c r="I60" s="41">
        <v>5507.6430450099879</v>
      </c>
      <c r="J60" s="40">
        <f t="shared" si="45"/>
        <v>7.0331325163057651E-2</v>
      </c>
      <c r="K60" s="41">
        <v>5467</v>
      </c>
      <c r="L60" s="41">
        <v>76435.17540278993</v>
      </c>
      <c r="M60" s="41">
        <v>319</v>
      </c>
      <c r="N60" s="41">
        <v>5499.1767153899918</v>
      </c>
      <c r="O60" s="40">
        <f t="shared" si="46"/>
        <v>7.1945628258338098E-2</v>
      </c>
      <c r="P60" s="41">
        <v>5396</v>
      </c>
      <c r="Q60" s="41">
        <v>75061.011250939962</v>
      </c>
      <c r="R60" s="41">
        <v>363</v>
      </c>
      <c r="S60" s="41">
        <v>6454.9906576399962</v>
      </c>
      <c r="T60" s="40">
        <f t="shared" si="47"/>
        <v>8.5996585311914009E-2</v>
      </c>
      <c r="U60" s="41">
        <v>5114</v>
      </c>
      <c r="V60" s="41">
        <v>74403.62834856</v>
      </c>
      <c r="W60" s="41">
        <v>405</v>
      </c>
      <c r="X60" s="41">
        <v>7137.1848204299931</v>
      </c>
      <c r="Y60" s="40">
        <f t="shared" si="48"/>
        <v>9.5925225406942483E-2</v>
      </c>
      <c r="Z60" s="41">
        <v>5353</v>
      </c>
      <c r="AA60" s="41">
        <v>72815.639128659881</v>
      </c>
      <c r="AB60" s="41">
        <v>446</v>
      </c>
      <c r="AC60" s="41">
        <v>7178.7071718299994</v>
      </c>
      <c r="AD60" s="40">
        <f t="shared" si="49"/>
        <v>9.8587436129562112E-2</v>
      </c>
      <c r="AE60" s="44">
        <v>5500</v>
      </c>
      <c r="AF60" s="44">
        <v>73380.59915468996</v>
      </c>
      <c r="AG60" s="44">
        <v>420</v>
      </c>
      <c r="AH60" s="44">
        <v>6355.238119949996</v>
      </c>
      <c r="AI60" s="40">
        <f t="shared" si="50"/>
        <v>8.6606517160657648E-2</v>
      </c>
      <c r="AJ60" s="44">
        <v>5478</v>
      </c>
      <c r="AK60" s="44">
        <v>73160.811302639922</v>
      </c>
      <c r="AL60" s="44">
        <v>437</v>
      </c>
      <c r="AM60" s="44">
        <v>6907.5301720399957</v>
      </c>
      <c r="AN60" s="40">
        <f t="shared" si="51"/>
        <v>9.4415713126335246E-2</v>
      </c>
      <c r="AO60" s="44">
        <v>5466</v>
      </c>
      <c r="AP60" s="44">
        <v>73841.113667980026</v>
      </c>
      <c r="AQ60" s="44">
        <v>429</v>
      </c>
      <c r="AR60" s="44">
        <v>6819.6152717499954</v>
      </c>
      <c r="AS60" s="40">
        <f t="shared" si="52"/>
        <v>9.2355260274293624E-2</v>
      </c>
      <c r="AT60" s="44">
        <v>5544</v>
      </c>
      <c r="AU60" s="44">
        <v>75829.239313750091</v>
      </c>
      <c r="AV60" s="44">
        <v>431</v>
      </c>
      <c r="AW60" s="44">
        <v>6776.6860412699971</v>
      </c>
      <c r="AX60" s="40">
        <f t="shared" si="53"/>
        <v>8.9367717553262893E-2</v>
      </c>
      <c r="AY60" s="41">
        <v>5316</v>
      </c>
      <c r="AZ60" s="41">
        <v>76824.919249610175</v>
      </c>
      <c r="BA60" s="41">
        <v>469</v>
      </c>
      <c r="BB60" s="41">
        <v>6756.8640464699984</v>
      </c>
      <c r="BC60" s="40">
        <f t="shared" si="54"/>
        <v>8.7951463046988934E-2</v>
      </c>
      <c r="BD60" s="39">
        <v>5407</v>
      </c>
      <c r="BE60" s="39">
        <v>77695.826340419808</v>
      </c>
      <c r="BF60" s="39">
        <v>503</v>
      </c>
      <c r="BG60" s="39">
        <v>7285.8547016999973</v>
      </c>
      <c r="BH60" s="40">
        <f t="shared" si="55"/>
        <v>9.3774080859600401E-2</v>
      </c>
      <c r="BI60" s="39">
        <v>5502</v>
      </c>
      <c r="BJ60" s="39">
        <v>80789.950105630225</v>
      </c>
      <c r="BK60" s="39">
        <v>502</v>
      </c>
      <c r="BL60" s="39">
        <v>7242.6593298300022</v>
      </c>
      <c r="BM60" s="40">
        <f t="shared" si="56"/>
        <v>8.9648023304389479E-2</v>
      </c>
      <c r="BN60" s="42">
        <v>0</v>
      </c>
      <c r="BO60" s="42">
        <v>0</v>
      </c>
    </row>
    <row r="61" spans="1:67" s="29" customFormat="1" ht="35.1" customHeight="1" x14ac:dyDescent="0.25">
      <c r="A61" s="38">
        <f t="shared" si="57"/>
        <v>55</v>
      </c>
      <c r="B61" s="45" t="s">
        <v>2096</v>
      </c>
      <c r="C61" s="45" t="s">
        <v>2114</v>
      </c>
      <c r="D61" s="64">
        <v>11582</v>
      </c>
      <c r="E61" s="45" t="s">
        <v>2049</v>
      </c>
      <c r="F61" s="41">
        <v>2182</v>
      </c>
      <c r="G61" s="41">
        <v>62529.646703730017</v>
      </c>
      <c r="H61" s="41">
        <v>100</v>
      </c>
      <c r="I61" s="41">
        <v>1710.3204396099998</v>
      </c>
      <c r="J61" s="40">
        <f t="shared" si="45"/>
        <v>2.7352152615120657E-2</v>
      </c>
      <c r="K61" s="41">
        <v>2262</v>
      </c>
      <c r="L61" s="41">
        <v>61192.99266396006</v>
      </c>
      <c r="M61" s="41">
        <v>131</v>
      </c>
      <c r="N61" s="41">
        <v>2879.5650675700008</v>
      </c>
      <c r="O61" s="40">
        <f t="shared" si="46"/>
        <v>4.7057104779677429E-2</v>
      </c>
      <c r="P61" s="41">
        <v>2240</v>
      </c>
      <c r="Q61" s="41">
        <v>59617.893737130042</v>
      </c>
      <c r="R61" s="41">
        <v>145</v>
      </c>
      <c r="S61" s="41">
        <v>2604.1152318300001</v>
      </c>
      <c r="T61" s="40">
        <f t="shared" si="47"/>
        <v>4.368009449163341E-2</v>
      </c>
      <c r="U61" s="41">
        <v>2125</v>
      </c>
      <c r="V61" s="41">
        <v>59401.573555829957</v>
      </c>
      <c r="W61" s="41">
        <v>138</v>
      </c>
      <c r="X61" s="41">
        <v>2414.4001430599997</v>
      </c>
      <c r="Y61" s="40">
        <f t="shared" si="48"/>
        <v>4.0645390324395521E-2</v>
      </c>
      <c r="Z61" s="41">
        <v>2417</v>
      </c>
      <c r="AA61" s="41">
        <v>62556.454109579965</v>
      </c>
      <c r="AB61" s="41">
        <v>163</v>
      </c>
      <c r="AC61" s="41">
        <v>2970.2436204100004</v>
      </c>
      <c r="AD61" s="40">
        <f t="shared" si="49"/>
        <v>4.7481009956335328E-2</v>
      </c>
      <c r="AE61" s="44">
        <v>3157</v>
      </c>
      <c r="AF61" s="44">
        <v>67657.036623550026</v>
      </c>
      <c r="AG61" s="44">
        <v>137</v>
      </c>
      <c r="AH61" s="44">
        <v>2520.3706251499998</v>
      </c>
      <c r="AI61" s="40">
        <f t="shared" si="50"/>
        <v>3.7252158104020633E-2</v>
      </c>
      <c r="AJ61" s="44">
        <v>3187</v>
      </c>
      <c r="AK61" s="44">
        <v>68998.791586490042</v>
      </c>
      <c r="AL61" s="44">
        <v>134</v>
      </c>
      <c r="AM61" s="44">
        <v>2433.2255635800007</v>
      </c>
      <c r="AN61" s="40">
        <f t="shared" si="51"/>
        <v>3.5264756202722049E-2</v>
      </c>
      <c r="AO61" s="44">
        <v>3250</v>
      </c>
      <c r="AP61" s="44">
        <v>72632.904407649999</v>
      </c>
      <c r="AQ61" s="44">
        <v>136</v>
      </c>
      <c r="AR61" s="44">
        <v>2347.1229925699981</v>
      </c>
      <c r="AS61" s="40">
        <f t="shared" si="52"/>
        <v>3.2314871774875485E-2</v>
      </c>
      <c r="AT61" s="44">
        <v>3317</v>
      </c>
      <c r="AU61" s="44">
        <v>73971.841737229915</v>
      </c>
      <c r="AV61" s="44">
        <v>184</v>
      </c>
      <c r="AW61" s="44">
        <v>2645.4347798499975</v>
      </c>
      <c r="AX61" s="40">
        <f t="shared" si="53"/>
        <v>3.5762726974507032E-2</v>
      </c>
      <c r="AY61" s="41">
        <v>3255</v>
      </c>
      <c r="AZ61" s="41">
        <v>75138.639845279657</v>
      </c>
      <c r="BA61" s="41">
        <v>325</v>
      </c>
      <c r="BB61" s="41">
        <v>3443.3405013199977</v>
      </c>
      <c r="BC61" s="40">
        <f t="shared" si="54"/>
        <v>4.582649497529219E-2</v>
      </c>
      <c r="BD61" s="39">
        <v>3298</v>
      </c>
      <c r="BE61" s="39">
        <v>75090.492863739943</v>
      </c>
      <c r="BF61" s="39">
        <v>368</v>
      </c>
      <c r="BG61" s="39">
        <v>3421.0308398799971</v>
      </c>
      <c r="BH61" s="40">
        <f t="shared" si="55"/>
        <v>4.5558774611958376E-2</v>
      </c>
      <c r="BI61" s="39">
        <v>3357</v>
      </c>
      <c r="BJ61" s="39">
        <v>75676.269744970254</v>
      </c>
      <c r="BK61" s="39">
        <v>383</v>
      </c>
      <c r="BL61" s="39">
        <v>3419.1122044499975</v>
      </c>
      <c r="BM61" s="40">
        <f t="shared" si="56"/>
        <v>4.5180770880653053E-2</v>
      </c>
      <c r="BN61" s="42">
        <v>0</v>
      </c>
      <c r="BO61" s="42">
        <v>0</v>
      </c>
    </row>
    <row r="62" spans="1:67" s="29" customFormat="1" ht="35.1" customHeight="1" x14ac:dyDescent="0.25">
      <c r="A62" s="38">
        <f t="shared" si="57"/>
        <v>56</v>
      </c>
      <c r="B62" s="45" t="s">
        <v>2096</v>
      </c>
      <c r="C62" s="45" t="s">
        <v>2115</v>
      </c>
      <c r="D62" s="64">
        <v>11782</v>
      </c>
      <c r="E62" s="45" t="s">
        <v>2087</v>
      </c>
      <c r="F62" s="41">
        <v>2186</v>
      </c>
      <c r="G62" s="41">
        <v>138135.33222123998</v>
      </c>
      <c r="H62" s="41">
        <v>212</v>
      </c>
      <c r="I62" s="41">
        <v>50461.695824599999</v>
      </c>
      <c r="J62" s="40">
        <f t="shared" si="45"/>
        <v>0.3653062182800535</v>
      </c>
      <c r="K62" s="41">
        <v>3289</v>
      </c>
      <c r="L62" s="41">
        <v>137336.77307571998</v>
      </c>
      <c r="M62" s="41">
        <v>235</v>
      </c>
      <c r="N62" s="41">
        <v>14136.906851419997</v>
      </c>
      <c r="O62" s="40">
        <f t="shared" si="46"/>
        <v>0.10293606391658613</v>
      </c>
      <c r="P62" s="41">
        <v>3279</v>
      </c>
      <c r="Q62" s="41">
        <v>137222.73212225002</v>
      </c>
      <c r="R62" s="41">
        <v>241</v>
      </c>
      <c r="S62" s="41">
        <v>14920.414049679999</v>
      </c>
      <c r="T62" s="40">
        <f t="shared" si="47"/>
        <v>0.10873135827369761</v>
      </c>
      <c r="U62" s="41">
        <v>2212</v>
      </c>
      <c r="V62" s="41">
        <v>137258.28923419002</v>
      </c>
      <c r="W62" s="41">
        <v>264</v>
      </c>
      <c r="X62" s="41">
        <v>13419.96257412</v>
      </c>
      <c r="Y62" s="40">
        <f t="shared" si="48"/>
        <v>9.7771600163417946E-2</v>
      </c>
      <c r="Z62" s="41">
        <v>3401</v>
      </c>
      <c r="AA62" s="41">
        <v>136715.37391688998</v>
      </c>
      <c r="AB62" s="41">
        <v>227</v>
      </c>
      <c r="AC62" s="41">
        <v>12972.471667760003</v>
      </c>
      <c r="AD62" s="40">
        <f t="shared" si="49"/>
        <v>9.4886707296328199E-2</v>
      </c>
      <c r="AE62" s="44">
        <v>3523</v>
      </c>
      <c r="AF62" s="44">
        <v>136044.19042072017</v>
      </c>
      <c r="AG62" s="44">
        <v>160</v>
      </c>
      <c r="AH62" s="44">
        <v>14380.67592949</v>
      </c>
      <c r="AI62" s="40">
        <f t="shared" si="50"/>
        <v>0.1057059172098227</v>
      </c>
      <c r="AJ62" s="44">
        <v>3553</v>
      </c>
      <c r="AK62" s="44">
        <v>137038.91819695005</v>
      </c>
      <c r="AL62" s="44">
        <v>169</v>
      </c>
      <c r="AM62" s="44">
        <v>14027.678952940001</v>
      </c>
      <c r="AN62" s="40">
        <f t="shared" si="51"/>
        <v>0.10236273853811116</v>
      </c>
      <c r="AO62" s="44">
        <v>3608</v>
      </c>
      <c r="AP62" s="44">
        <v>135032.17775609999</v>
      </c>
      <c r="AQ62" s="44">
        <v>168</v>
      </c>
      <c r="AR62" s="44">
        <v>16158.891696559998</v>
      </c>
      <c r="AS62" s="40">
        <f t="shared" si="52"/>
        <v>0.11966697097744193</v>
      </c>
      <c r="AT62" s="44">
        <v>3733</v>
      </c>
      <c r="AU62" s="44">
        <v>134582.57875628027</v>
      </c>
      <c r="AV62" s="44">
        <v>165</v>
      </c>
      <c r="AW62" s="44">
        <v>16035.592679669997</v>
      </c>
      <c r="AX62" s="40">
        <f t="shared" si="53"/>
        <v>0.11915058269695772</v>
      </c>
      <c r="AY62" s="41">
        <v>2731</v>
      </c>
      <c r="AZ62" s="41">
        <v>132566.81785951031</v>
      </c>
      <c r="BA62" s="41">
        <v>188</v>
      </c>
      <c r="BB62" s="41">
        <v>14524.521387789993</v>
      </c>
      <c r="BC62" s="40">
        <f t="shared" si="54"/>
        <v>0.1095637778918596</v>
      </c>
      <c r="BD62" s="39">
        <v>2806</v>
      </c>
      <c r="BE62" s="39">
        <v>130989.09618111042</v>
      </c>
      <c r="BF62" s="39">
        <v>186</v>
      </c>
      <c r="BG62" s="39">
        <v>14290.307735369997</v>
      </c>
      <c r="BH62" s="40">
        <f t="shared" si="55"/>
        <v>0.10909539917438382</v>
      </c>
      <c r="BI62" s="39">
        <v>2855</v>
      </c>
      <c r="BJ62" s="39">
        <v>131684.65662149023</v>
      </c>
      <c r="BK62" s="39">
        <v>186</v>
      </c>
      <c r="BL62" s="39">
        <v>14276.561755379995</v>
      </c>
      <c r="BM62" s="40">
        <f t="shared" si="56"/>
        <v>0.10841476996379347</v>
      </c>
      <c r="BN62" s="42">
        <v>0</v>
      </c>
      <c r="BO62" s="42">
        <v>0</v>
      </c>
    </row>
    <row r="63" spans="1:67" s="29" customFormat="1" ht="35.1" customHeight="1" x14ac:dyDescent="0.25">
      <c r="A63" s="38">
        <f t="shared" si="57"/>
        <v>57</v>
      </c>
      <c r="B63" s="45" t="s">
        <v>2096</v>
      </c>
      <c r="C63" s="45" t="s">
        <v>2116</v>
      </c>
      <c r="D63" s="64">
        <v>11489</v>
      </c>
      <c r="E63" s="45" t="s">
        <v>2066</v>
      </c>
      <c r="F63" s="41">
        <v>3750</v>
      </c>
      <c r="G63" s="41">
        <v>85983.885471809903</v>
      </c>
      <c r="H63" s="41">
        <v>120</v>
      </c>
      <c r="I63" s="41">
        <v>3197.4430709800035</v>
      </c>
      <c r="J63" s="40">
        <f t="shared" si="45"/>
        <v>3.718653854073966E-2</v>
      </c>
      <c r="K63" s="41">
        <v>3989</v>
      </c>
      <c r="L63" s="41">
        <v>83974.499862499943</v>
      </c>
      <c r="M63" s="41">
        <v>194</v>
      </c>
      <c r="N63" s="41">
        <v>6120.5001795099961</v>
      </c>
      <c r="O63" s="40">
        <f t="shared" si="46"/>
        <v>7.2885223365804122E-2</v>
      </c>
      <c r="P63" s="41">
        <v>3972</v>
      </c>
      <c r="Q63" s="41">
        <v>81940.285923310032</v>
      </c>
      <c r="R63" s="41">
        <v>234</v>
      </c>
      <c r="S63" s="41">
        <v>5358.8256577499978</v>
      </c>
      <c r="T63" s="40">
        <f t="shared" si="47"/>
        <v>6.5399157415260395E-2</v>
      </c>
      <c r="U63" s="41">
        <v>3713</v>
      </c>
      <c r="V63" s="41">
        <v>80985.154944319962</v>
      </c>
      <c r="W63" s="41">
        <v>261</v>
      </c>
      <c r="X63" s="41">
        <v>5747.6283180999981</v>
      </c>
      <c r="Y63" s="40">
        <f t="shared" si="48"/>
        <v>7.0971381385288301E-2</v>
      </c>
      <c r="Z63" s="41">
        <v>4267</v>
      </c>
      <c r="AA63" s="41">
        <v>83120.109018430026</v>
      </c>
      <c r="AB63" s="41">
        <v>326</v>
      </c>
      <c r="AC63" s="41">
        <v>7423.7434460699878</v>
      </c>
      <c r="AD63" s="40">
        <f t="shared" si="49"/>
        <v>8.9313446935252921E-2</v>
      </c>
      <c r="AE63" s="44">
        <v>4749</v>
      </c>
      <c r="AF63" s="44">
        <v>86434.159076609882</v>
      </c>
      <c r="AG63" s="44">
        <v>334</v>
      </c>
      <c r="AH63" s="44">
        <v>6958.4308893699936</v>
      </c>
      <c r="AI63" s="40">
        <f t="shared" si="50"/>
        <v>8.0505565897881548E-2</v>
      </c>
      <c r="AJ63" s="44">
        <v>4886</v>
      </c>
      <c r="AK63" s="44">
        <v>87823.328953920136</v>
      </c>
      <c r="AL63" s="44">
        <v>344</v>
      </c>
      <c r="AM63" s="44">
        <v>7006.9471283099883</v>
      </c>
      <c r="AN63" s="40">
        <f t="shared" si="51"/>
        <v>7.9784576737992371E-2</v>
      </c>
      <c r="AO63" s="44">
        <v>5047</v>
      </c>
      <c r="AP63" s="44">
        <v>90206.898776619986</v>
      </c>
      <c r="AQ63" s="44">
        <v>406</v>
      </c>
      <c r="AR63" s="44">
        <v>7862.4911280199894</v>
      </c>
      <c r="AS63" s="40">
        <f t="shared" si="52"/>
        <v>8.7160641088991811E-2</v>
      </c>
      <c r="AT63" s="44">
        <v>5233</v>
      </c>
      <c r="AU63" s="44">
        <v>91504.735109590009</v>
      </c>
      <c r="AV63" s="44">
        <v>437</v>
      </c>
      <c r="AW63" s="44">
        <v>7912.7552201899916</v>
      </c>
      <c r="AX63" s="40">
        <f t="shared" si="53"/>
        <v>8.6473724127099388E-2</v>
      </c>
      <c r="AY63" s="41">
        <v>5130</v>
      </c>
      <c r="AZ63" s="41">
        <v>92684.687044950173</v>
      </c>
      <c r="BA63" s="41">
        <v>521</v>
      </c>
      <c r="BB63" s="41">
        <v>8836.0272485400092</v>
      </c>
      <c r="BC63" s="40">
        <f t="shared" si="54"/>
        <v>9.5334272901571288E-2</v>
      </c>
      <c r="BD63" s="39">
        <v>5277</v>
      </c>
      <c r="BE63" s="39">
        <v>93651.067841920041</v>
      </c>
      <c r="BF63" s="39">
        <v>504</v>
      </c>
      <c r="BG63" s="39">
        <v>8587.423427759999</v>
      </c>
      <c r="BH63" s="40">
        <f t="shared" si="55"/>
        <v>9.1695947794800281E-2</v>
      </c>
      <c r="BI63" s="39">
        <v>5418</v>
      </c>
      <c r="BJ63" s="39">
        <v>95804.189150110004</v>
      </c>
      <c r="BK63" s="39">
        <v>549</v>
      </c>
      <c r="BL63" s="39">
        <v>8952.0154080800094</v>
      </c>
      <c r="BM63" s="40">
        <f t="shared" si="56"/>
        <v>9.3440751260402799E-2</v>
      </c>
      <c r="BN63" s="42">
        <v>0</v>
      </c>
      <c r="BO63" s="42">
        <v>0</v>
      </c>
    </row>
    <row r="64" spans="1:67" s="29" customFormat="1" ht="35.1" customHeight="1" x14ac:dyDescent="0.25">
      <c r="A64" s="38">
        <f t="shared" si="57"/>
        <v>58</v>
      </c>
      <c r="B64" s="45" t="s">
        <v>2096</v>
      </c>
      <c r="C64" s="45" t="s">
        <v>2117</v>
      </c>
      <c r="D64" s="64">
        <v>11487</v>
      </c>
      <c r="E64" s="45" t="s">
        <v>2077</v>
      </c>
      <c r="F64" s="41">
        <v>3066</v>
      </c>
      <c r="G64" s="41">
        <v>113949.69957346996</v>
      </c>
      <c r="H64" s="41">
        <v>23</v>
      </c>
      <c r="I64" s="41">
        <v>877.8808842100002</v>
      </c>
      <c r="J64" s="40">
        <f t="shared" si="45"/>
        <v>7.7041088085008915E-3</v>
      </c>
      <c r="K64" s="41">
        <v>3070</v>
      </c>
      <c r="L64" s="41">
        <v>110026.07313685975</v>
      </c>
      <c r="M64" s="41">
        <v>34</v>
      </c>
      <c r="N64" s="41">
        <v>799.28500896999981</v>
      </c>
      <c r="O64" s="40">
        <f t="shared" si="46"/>
        <v>7.2645054593176422E-3</v>
      </c>
      <c r="P64" s="41">
        <v>3040</v>
      </c>
      <c r="Q64" s="41">
        <v>106222.51202385004</v>
      </c>
      <c r="R64" s="41">
        <v>32</v>
      </c>
      <c r="S64" s="41">
        <v>985.61271945999999</v>
      </c>
      <c r="T64" s="40">
        <f t="shared" si="47"/>
        <v>9.2787555168974099E-3</v>
      </c>
      <c r="U64" s="41">
        <v>3011</v>
      </c>
      <c r="V64" s="41">
        <v>105008.67348286015</v>
      </c>
      <c r="W64" s="41">
        <v>40</v>
      </c>
      <c r="X64" s="41">
        <v>1069.0009336900002</v>
      </c>
      <c r="Y64" s="40">
        <f t="shared" si="48"/>
        <v>1.0180120348482318E-2</v>
      </c>
      <c r="Z64" s="41">
        <v>3324</v>
      </c>
      <c r="AA64" s="41">
        <v>106167.02103932998</v>
      </c>
      <c r="AB64" s="41">
        <v>40</v>
      </c>
      <c r="AC64" s="41">
        <v>1079.5407948200004</v>
      </c>
      <c r="AD64" s="40">
        <f t="shared" si="49"/>
        <v>1.0168325194130487E-2</v>
      </c>
      <c r="AE64" s="44">
        <v>3744</v>
      </c>
      <c r="AF64" s="44">
        <v>108942.77093658985</v>
      </c>
      <c r="AG64" s="44">
        <v>43</v>
      </c>
      <c r="AH64" s="44">
        <v>1385.9597092200001</v>
      </c>
      <c r="AI64" s="40">
        <f t="shared" si="50"/>
        <v>1.2721906165088257E-2</v>
      </c>
      <c r="AJ64" s="44">
        <v>3820</v>
      </c>
      <c r="AK64" s="44">
        <v>109456.50721879998</v>
      </c>
      <c r="AL64" s="44">
        <v>44</v>
      </c>
      <c r="AM64" s="44">
        <v>1317.6617176899993</v>
      </c>
      <c r="AN64" s="40">
        <f t="shared" si="51"/>
        <v>1.2038221857893168E-2</v>
      </c>
      <c r="AO64" s="44">
        <v>3963</v>
      </c>
      <c r="AP64" s="44">
        <v>111897.86471212999</v>
      </c>
      <c r="AQ64" s="44">
        <v>49</v>
      </c>
      <c r="AR64" s="44">
        <v>1308.1789171299993</v>
      </c>
      <c r="AS64" s="40">
        <f t="shared" si="52"/>
        <v>1.1690830030541142E-2</v>
      </c>
      <c r="AT64" s="44">
        <v>4069</v>
      </c>
      <c r="AU64" s="44">
        <v>112820.73628267024</v>
      </c>
      <c r="AV64" s="44">
        <v>84</v>
      </c>
      <c r="AW64" s="44">
        <v>1364.5824521799993</v>
      </c>
      <c r="AX64" s="40">
        <f t="shared" si="53"/>
        <v>1.2095138687635077E-2</v>
      </c>
      <c r="AY64" s="41">
        <v>4136</v>
      </c>
      <c r="AZ64" s="41">
        <v>112800.0386686899</v>
      </c>
      <c r="BA64" s="41">
        <v>117</v>
      </c>
      <c r="BB64" s="41">
        <v>1197.0704215799994</v>
      </c>
      <c r="BC64" s="40">
        <f t="shared" si="54"/>
        <v>1.061232279446259E-2</v>
      </c>
      <c r="BD64" s="39">
        <v>4293</v>
      </c>
      <c r="BE64" s="39">
        <v>113090.55247824967</v>
      </c>
      <c r="BF64" s="39">
        <v>134</v>
      </c>
      <c r="BG64" s="39">
        <v>2856.2847681100011</v>
      </c>
      <c r="BH64" s="40">
        <f t="shared" si="55"/>
        <v>2.5256616980974967E-2</v>
      </c>
      <c r="BI64" s="39">
        <v>4408</v>
      </c>
      <c r="BJ64" s="39">
        <v>112899.87471258997</v>
      </c>
      <c r="BK64" s="39">
        <v>154</v>
      </c>
      <c r="BL64" s="39">
        <v>2846.4151562000006</v>
      </c>
      <c r="BM64" s="40">
        <f t="shared" si="56"/>
        <v>2.5211853985189447E-2</v>
      </c>
      <c r="BN64" s="42">
        <v>0</v>
      </c>
      <c r="BO64" s="42">
        <v>0</v>
      </c>
    </row>
    <row r="65" spans="1:67" s="29" customFormat="1" ht="35.1" customHeight="1" x14ac:dyDescent="0.25">
      <c r="A65" s="38">
        <f t="shared" si="57"/>
        <v>59</v>
      </c>
      <c r="B65" s="45" t="s">
        <v>2118</v>
      </c>
      <c r="C65" s="45" t="s">
        <v>2119</v>
      </c>
      <c r="D65" s="64">
        <v>12129</v>
      </c>
      <c r="E65" s="45" t="s">
        <v>2043</v>
      </c>
      <c r="F65" s="41">
        <v>1271</v>
      </c>
      <c r="G65" s="41">
        <v>160563.58447301009</v>
      </c>
      <c r="H65" s="41">
        <v>43</v>
      </c>
      <c r="I65" s="41">
        <v>45822.59312432001</v>
      </c>
      <c r="J65" s="40">
        <f t="shared" si="45"/>
        <v>0.2853859626684066</v>
      </c>
      <c r="K65" s="41">
        <v>1283</v>
      </c>
      <c r="L65" s="41">
        <v>154923.96608273991</v>
      </c>
      <c r="M65" s="41">
        <v>43</v>
      </c>
      <c r="N65" s="41">
        <v>42703.144338969993</v>
      </c>
      <c r="O65" s="40">
        <f t="shared" si="46"/>
        <v>0.27563936954830875</v>
      </c>
      <c r="P65" s="41">
        <v>1276</v>
      </c>
      <c r="Q65" s="41">
        <v>145441.5604702</v>
      </c>
      <c r="R65" s="41">
        <v>32</v>
      </c>
      <c r="S65" s="41">
        <v>34490.401828410002</v>
      </c>
      <c r="T65" s="40">
        <f t="shared" si="47"/>
        <v>0.23714268271672495</v>
      </c>
      <c r="U65" s="41">
        <v>1255</v>
      </c>
      <c r="V65" s="41">
        <v>146729.35873111992</v>
      </c>
      <c r="W65" s="41">
        <v>45</v>
      </c>
      <c r="X65" s="41">
        <v>37692.477301559986</v>
      </c>
      <c r="Y65" s="40">
        <f t="shared" si="48"/>
        <v>0.25688435925513087</v>
      </c>
      <c r="Z65" s="41">
        <v>1434</v>
      </c>
      <c r="AA65" s="41">
        <v>153680.6117784502</v>
      </c>
      <c r="AB65" s="41">
        <v>41</v>
      </c>
      <c r="AC65" s="41">
        <v>33712.405476380016</v>
      </c>
      <c r="AD65" s="40">
        <f t="shared" si="49"/>
        <v>0.21936667928535228</v>
      </c>
      <c r="AE65" s="44">
        <v>1617</v>
      </c>
      <c r="AF65" s="44">
        <v>161088.52483518011</v>
      </c>
      <c r="AG65" s="44">
        <v>40</v>
      </c>
      <c r="AH65" s="44">
        <v>32926.974467520013</v>
      </c>
      <c r="AI65" s="40">
        <f t="shared" si="50"/>
        <v>0.20440297967350368</v>
      </c>
      <c r="AJ65" s="44">
        <v>1732</v>
      </c>
      <c r="AK65" s="44">
        <v>161058.29270356015</v>
      </c>
      <c r="AL65" s="44">
        <v>32</v>
      </c>
      <c r="AM65" s="44">
        <v>28739.333335200008</v>
      </c>
      <c r="AN65" s="40">
        <f t="shared" si="51"/>
        <v>0.17844056864614172</v>
      </c>
      <c r="AO65" s="44">
        <v>1888</v>
      </c>
      <c r="AP65" s="44">
        <v>165275.72528077997</v>
      </c>
      <c r="AQ65" s="44">
        <v>32</v>
      </c>
      <c r="AR65" s="44">
        <v>24667.948637890007</v>
      </c>
      <c r="AS65" s="40">
        <f t="shared" si="52"/>
        <v>0.14925330744114218</v>
      </c>
      <c r="AT65" s="44">
        <v>2475</v>
      </c>
      <c r="AU65" s="44">
        <v>174223.83852057022</v>
      </c>
      <c r="AV65" s="44">
        <v>294</v>
      </c>
      <c r="AW65" s="44">
        <v>25835.542175719995</v>
      </c>
      <c r="AX65" s="40">
        <f t="shared" si="53"/>
        <v>0.14828936381555874</v>
      </c>
      <c r="AY65" s="41">
        <v>2526</v>
      </c>
      <c r="AZ65" s="41">
        <v>179510.61091387045</v>
      </c>
      <c r="BA65" s="41">
        <v>330</v>
      </c>
      <c r="BB65" s="41">
        <v>26498.010282759995</v>
      </c>
      <c r="BC65" s="40">
        <f t="shared" si="54"/>
        <v>0.14761250127700692</v>
      </c>
      <c r="BD65" s="39">
        <v>2508</v>
      </c>
      <c r="BE65" s="39">
        <v>170233.62573452049</v>
      </c>
      <c r="BF65" s="39">
        <v>332</v>
      </c>
      <c r="BG65" s="39">
        <v>16019.974108240003</v>
      </c>
      <c r="BH65" s="40">
        <f t="shared" si="55"/>
        <v>9.4105815106253848E-2</v>
      </c>
      <c r="BI65" s="39">
        <v>2483</v>
      </c>
      <c r="BJ65" s="39">
        <v>168756.71470794023</v>
      </c>
      <c r="BK65" s="39">
        <v>345</v>
      </c>
      <c r="BL65" s="39">
        <v>19770.851559729981</v>
      </c>
      <c r="BM65" s="40">
        <f t="shared" si="56"/>
        <v>0.11715594009960741</v>
      </c>
      <c r="BN65" s="42">
        <v>0</v>
      </c>
      <c r="BO65" s="42">
        <v>0</v>
      </c>
    </row>
    <row r="66" spans="1:67" s="29" customFormat="1" ht="35.1" customHeight="1" x14ac:dyDescent="0.25">
      <c r="A66" s="38">
        <f t="shared" si="57"/>
        <v>60</v>
      </c>
      <c r="B66" s="45" t="s">
        <v>2118</v>
      </c>
      <c r="C66" s="45" t="s">
        <v>2120</v>
      </c>
      <c r="D66" s="64">
        <v>10820</v>
      </c>
      <c r="E66" s="45" t="s">
        <v>2039</v>
      </c>
      <c r="F66" s="41">
        <v>2218</v>
      </c>
      <c r="G66" s="41">
        <v>243500.63480077105</v>
      </c>
      <c r="H66" s="41">
        <v>45</v>
      </c>
      <c r="I66" s="41">
        <v>7030.9579987299994</v>
      </c>
      <c r="J66" s="40">
        <f t="shared" si="45"/>
        <v>2.8874495561305762E-2</v>
      </c>
      <c r="K66" s="41">
        <v>2233</v>
      </c>
      <c r="L66" s="41">
        <v>241191.25572182017</v>
      </c>
      <c r="M66" s="41">
        <v>106</v>
      </c>
      <c r="N66" s="41">
        <v>10882.833093409996</v>
      </c>
      <c r="O66" s="40">
        <f t="shared" si="46"/>
        <v>4.5121175976469884E-2</v>
      </c>
      <c r="P66" s="41">
        <v>2222</v>
      </c>
      <c r="Q66" s="41">
        <v>236825.42296261035</v>
      </c>
      <c r="R66" s="41">
        <v>85</v>
      </c>
      <c r="S66" s="41">
        <v>5674.9301262300014</v>
      </c>
      <c r="T66" s="40">
        <f t="shared" si="47"/>
        <v>2.3962503920560721E-2</v>
      </c>
      <c r="U66" s="41">
        <v>2219</v>
      </c>
      <c r="V66" s="41">
        <v>239684.35596773989</v>
      </c>
      <c r="W66" s="41">
        <v>129</v>
      </c>
      <c r="X66" s="41">
        <v>9775.0780676999984</v>
      </c>
      <c r="Y66" s="40">
        <f t="shared" si="48"/>
        <v>4.0783129246097595E-2</v>
      </c>
      <c r="Z66" s="41">
        <v>2412</v>
      </c>
      <c r="AA66" s="41">
        <v>248417.90840433072</v>
      </c>
      <c r="AB66" s="41">
        <v>141</v>
      </c>
      <c r="AC66" s="41">
        <v>11896.349130609991</v>
      </c>
      <c r="AD66" s="40">
        <f t="shared" si="49"/>
        <v>4.7888452193419237E-2</v>
      </c>
      <c r="AE66" s="44">
        <v>2608</v>
      </c>
      <c r="AF66" s="44">
        <v>257700.39319765117</v>
      </c>
      <c r="AG66" s="44">
        <v>134</v>
      </c>
      <c r="AH66" s="44">
        <v>10929.95525495</v>
      </c>
      <c r="AI66" s="40">
        <f t="shared" si="50"/>
        <v>4.2413420947196377E-2</v>
      </c>
      <c r="AJ66" s="44">
        <v>2743</v>
      </c>
      <c r="AK66" s="44">
        <v>261800.43955100089</v>
      </c>
      <c r="AL66" s="44">
        <v>123</v>
      </c>
      <c r="AM66" s="44">
        <v>12341.201517989981</v>
      </c>
      <c r="AN66" s="40">
        <f t="shared" si="51"/>
        <v>4.7139728027789707E-2</v>
      </c>
      <c r="AO66" s="44">
        <v>3043</v>
      </c>
      <c r="AP66" s="44">
        <v>266649.60306589998</v>
      </c>
      <c r="AQ66" s="44">
        <v>157</v>
      </c>
      <c r="AR66" s="44">
        <v>14511.20497361999</v>
      </c>
      <c r="AS66" s="40">
        <f t="shared" si="52"/>
        <v>5.4420500937455658E-2</v>
      </c>
      <c r="AT66" s="44">
        <v>4327</v>
      </c>
      <c r="AU66" s="44">
        <v>287040.37870738062</v>
      </c>
      <c r="AV66" s="44">
        <v>684</v>
      </c>
      <c r="AW66" s="44">
        <v>17922.524344219997</v>
      </c>
      <c r="AX66" s="40">
        <f t="shared" si="53"/>
        <v>6.2439035319455417E-2</v>
      </c>
      <c r="AY66" s="41">
        <v>4352</v>
      </c>
      <c r="AZ66" s="41">
        <v>299563.57267155882</v>
      </c>
      <c r="BA66" s="41">
        <v>792</v>
      </c>
      <c r="BB66" s="41">
        <v>22450.723377319991</v>
      </c>
      <c r="BC66" s="40">
        <f t="shared" si="54"/>
        <v>7.4944771078474678E-2</v>
      </c>
      <c r="BD66" s="39">
        <v>4357</v>
      </c>
      <c r="BE66" s="39">
        <v>311504.72914850933</v>
      </c>
      <c r="BF66" s="39">
        <v>795</v>
      </c>
      <c r="BG66" s="39">
        <v>20734.010817179987</v>
      </c>
      <c r="BH66" s="40">
        <f t="shared" si="55"/>
        <v>6.656082196201614E-2</v>
      </c>
      <c r="BI66" s="39">
        <v>4332</v>
      </c>
      <c r="BJ66" s="39">
        <v>314150.09518890001</v>
      </c>
      <c r="BK66" s="39">
        <v>836</v>
      </c>
      <c r="BL66" s="39">
        <v>20657.757049840002</v>
      </c>
      <c r="BM66" s="40">
        <f t="shared" si="56"/>
        <v>6.5757602388814784E-2</v>
      </c>
      <c r="BN66" s="42">
        <v>0</v>
      </c>
      <c r="BO66" s="42">
        <v>0</v>
      </c>
    </row>
    <row r="67" spans="1:67" s="29" customFormat="1" ht="35.1" customHeight="1" x14ac:dyDescent="0.25">
      <c r="A67" s="38">
        <f t="shared" si="57"/>
        <v>61</v>
      </c>
      <c r="B67" s="45" t="s">
        <v>2118</v>
      </c>
      <c r="C67" s="45" t="s">
        <v>2121</v>
      </c>
      <c r="D67" s="64">
        <v>10819</v>
      </c>
      <c r="E67" s="45" t="s">
        <v>2100</v>
      </c>
      <c r="F67" s="41">
        <v>2293</v>
      </c>
      <c r="G67" s="41">
        <v>166769.13901746942</v>
      </c>
      <c r="H67" s="41">
        <v>22</v>
      </c>
      <c r="I67" s="41">
        <v>9566.8093884199989</v>
      </c>
      <c r="J67" s="40">
        <f t="shared" si="45"/>
        <v>5.7365586011797157E-2</v>
      </c>
      <c r="K67" s="41">
        <v>2292</v>
      </c>
      <c r="L67" s="41">
        <v>160811.18022383976</v>
      </c>
      <c r="M67" s="41">
        <v>34</v>
      </c>
      <c r="N67" s="41">
        <v>12233.251087559991</v>
      </c>
      <c r="O67" s="40">
        <f t="shared" si="46"/>
        <v>7.6072142935161721E-2</v>
      </c>
      <c r="P67" s="41">
        <v>2274</v>
      </c>
      <c r="Q67" s="41">
        <v>158432.90663852985</v>
      </c>
      <c r="R67" s="41">
        <v>27</v>
      </c>
      <c r="S67" s="41">
        <v>9466.0791154499966</v>
      </c>
      <c r="T67" s="40">
        <f t="shared" si="47"/>
        <v>5.9748188152901741E-2</v>
      </c>
      <c r="U67" s="41">
        <v>2263</v>
      </c>
      <c r="V67" s="41">
        <v>160005.35006990968</v>
      </c>
      <c r="W67" s="41">
        <v>33</v>
      </c>
      <c r="X67" s="41">
        <v>15956.8277191</v>
      </c>
      <c r="Y67" s="40">
        <f t="shared" si="48"/>
        <v>9.972683858463563E-2</v>
      </c>
      <c r="Z67" s="41">
        <v>2478</v>
      </c>
      <c r="AA67" s="41">
        <v>166117.14229865934</v>
      </c>
      <c r="AB67" s="41">
        <v>27</v>
      </c>
      <c r="AC67" s="41">
        <v>11422.115544699996</v>
      </c>
      <c r="AD67" s="40">
        <f t="shared" si="49"/>
        <v>6.8759403073310507E-2</v>
      </c>
      <c r="AE67" s="44">
        <v>2611</v>
      </c>
      <c r="AF67" s="44">
        <v>171617.57863566943</v>
      </c>
      <c r="AG67" s="44">
        <v>20</v>
      </c>
      <c r="AH67" s="44">
        <v>8726.5307126400003</v>
      </c>
      <c r="AI67" s="40">
        <f t="shared" si="50"/>
        <v>5.0848699661272673E-2</v>
      </c>
      <c r="AJ67" s="44">
        <v>2726</v>
      </c>
      <c r="AK67" s="44">
        <v>175610.73760920027</v>
      </c>
      <c r="AL67" s="44">
        <v>19</v>
      </c>
      <c r="AM67" s="44">
        <v>10376.241065989998</v>
      </c>
      <c r="AN67" s="40">
        <f t="shared" si="51"/>
        <v>5.9086598047785807E-2</v>
      </c>
      <c r="AO67" s="44">
        <v>2890</v>
      </c>
      <c r="AP67" s="44">
        <v>185563.85668905001</v>
      </c>
      <c r="AQ67" s="44">
        <v>20</v>
      </c>
      <c r="AR67" s="44">
        <v>10917.080725719998</v>
      </c>
      <c r="AS67" s="40">
        <f t="shared" si="52"/>
        <v>5.8831934841782188E-2</v>
      </c>
      <c r="AT67" s="44">
        <v>3887</v>
      </c>
      <c r="AU67" s="44">
        <v>196083.39409420054</v>
      </c>
      <c r="AV67" s="44">
        <v>412</v>
      </c>
      <c r="AW67" s="44">
        <v>10258.125132349998</v>
      </c>
      <c r="AX67" s="40">
        <f t="shared" si="53"/>
        <v>5.2315114085703177E-2</v>
      </c>
      <c r="AY67" s="41">
        <v>3792</v>
      </c>
      <c r="AZ67" s="41">
        <v>201405.82971689</v>
      </c>
      <c r="BA67" s="41">
        <v>457</v>
      </c>
      <c r="BB67" s="41">
        <v>12554.63859438</v>
      </c>
      <c r="BC67" s="40">
        <f t="shared" si="54"/>
        <v>6.2335030778541363E-2</v>
      </c>
      <c r="BD67" s="39">
        <v>3747</v>
      </c>
      <c r="BE67" s="39">
        <v>201900.63980925045</v>
      </c>
      <c r="BF67" s="39">
        <v>487</v>
      </c>
      <c r="BG67" s="39">
        <v>8421.7300177399975</v>
      </c>
      <c r="BH67" s="40">
        <f t="shared" si="55"/>
        <v>4.1712250271700925E-2</v>
      </c>
      <c r="BI67" s="39">
        <v>3808</v>
      </c>
      <c r="BJ67" s="39">
        <v>208717.24206444967</v>
      </c>
      <c r="BK67" s="39">
        <v>510</v>
      </c>
      <c r="BL67" s="39">
        <v>13600.307571030004</v>
      </c>
      <c r="BM67" s="40">
        <f t="shared" si="56"/>
        <v>6.5161399396176253E-2</v>
      </c>
      <c r="BN67" s="42">
        <v>0</v>
      </c>
      <c r="BO67" s="42">
        <v>0</v>
      </c>
    </row>
    <row r="68" spans="1:67" s="29" customFormat="1" ht="35.1" customHeight="1" x14ac:dyDescent="0.25">
      <c r="A68" s="38">
        <f t="shared" si="57"/>
        <v>62</v>
      </c>
      <c r="B68" s="45" t="s">
        <v>2118</v>
      </c>
      <c r="C68" s="45" t="s">
        <v>2122</v>
      </c>
      <c r="D68" s="64">
        <v>10818</v>
      </c>
      <c r="E68" s="45" t="s">
        <v>2035</v>
      </c>
      <c r="F68" s="41">
        <v>5629</v>
      </c>
      <c r="G68" s="41">
        <v>960954.96774246229</v>
      </c>
      <c r="H68" s="41">
        <v>66</v>
      </c>
      <c r="I68" s="41">
        <v>80824.817746169982</v>
      </c>
      <c r="J68" s="40">
        <f t="shared" si="45"/>
        <v>8.4108850528187479E-2</v>
      </c>
      <c r="K68" s="41">
        <v>5543</v>
      </c>
      <c r="L68" s="41">
        <v>942925.0361272688</v>
      </c>
      <c r="M68" s="41">
        <v>163</v>
      </c>
      <c r="N68" s="41">
        <v>105435.70692306003</v>
      </c>
      <c r="O68" s="40">
        <f t="shared" si="46"/>
        <v>0.1118176979965448</v>
      </c>
      <c r="P68" s="41">
        <v>5415</v>
      </c>
      <c r="Q68" s="41">
        <v>915037.02265161905</v>
      </c>
      <c r="R68" s="41">
        <v>148</v>
      </c>
      <c r="S68" s="41">
        <v>139620.48257190001</v>
      </c>
      <c r="T68" s="40">
        <f t="shared" si="47"/>
        <v>0.15258451747373455</v>
      </c>
      <c r="U68" s="41">
        <v>5401</v>
      </c>
      <c r="V68" s="41">
        <v>914561.58135378361</v>
      </c>
      <c r="W68" s="41">
        <v>293</v>
      </c>
      <c r="X68" s="41">
        <v>147924.25014051999</v>
      </c>
      <c r="Y68" s="40">
        <f t="shared" si="48"/>
        <v>0.16174334583523015</v>
      </c>
      <c r="Z68" s="41">
        <v>5627</v>
      </c>
      <c r="AA68" s="41">
        <v>913153.51262596459</v>
      </c>
      <c r="AB68" s="41">
        <v>356</v>
      </c>
      <c r="AC68" s="41">
        <v>220284.10065951009</v>
      </c>
      <c r="AD68" s="40">
        <f t="shared" si="49"/>
        <v>0.24123446672842216</v>
      </c>
      <c r="AE68" s="44">
        <v>5657</v>
      </c>
      <c r="AF68" s="44">
        <v>906628.26650558214</v>
      </c>
      <c r="AG68" s="44">
        <v>314</v>
      </c>
      <c r="AH68" s="44">
        <v>218700.12875343006</v>
      </c>
      <c r="AI68" s="40">
        <f t="shared" si="50"/>
        <v>0.24122359387311637</v>
      </c>
      <c r="AJ68" s="44">
        <v>5688</v>
      </c>
      <c r="AK68" s="44">
        <v>901276.57340098335</v>
      </c>
      <c r="AL68" s="44">
        <v>286</v>
      </c>
      <c r="AM68" s="44">
        <v>136320.67957498995</v>
      </c>
      <c r="AN68" s="40">
        <f t="shared" si="51"/>
        <v>0.15125288240942666</v>
      </c>
      <c r="AO68" s="44">
        <v>5831</v>
      </c>
      <c r="AP68" s="44">
        <v>905658.79159625981</v>
      </c>
      <c r="AQ68" s="44">
        <v>295</v>
      </c>
      <c r="AR68" s="44">
        <v>137795.04176396009</v>
      </c>
      <c r="AS68" s="40">
        <f t="shared" si="52"/>
        <v>0.15214895835228501</v>
      </c>
      <c r="AT68" s="44">
        <v>8017</v>
      </c>
      <c r="AU68" s="44">
        <v>931117.37861012784</v>
      </c>
      <c r="AV68" s="44">
        <v>1216</v>
      </c>
      <c r="AW68" s="44">
        <v>143076.35786496996</v>
      </c>
      <c r="AX68" s="40">
        <f t="shared" si="53"/>
        <v>0.15366092519778657</v>
      </c>
      <c r="AY68" s="41">
        <v>7760</v>
      </c>
      <c r="AZ68" s="41">
        <v>944191.3280637397</v>
      </c>
      <c r="BA68" s="41">
        <v>1362</v>
      </c>
      <c r="BB68" s="41">
        <v>149793.96076408002</v>
      </c>
      <c r="BC68" s="40">
        <f t="shared" si="54"/>
        <v>0.15864788874015995</v>
      </c>
      <c r="BD68" s="39">
        <v>7562</v>
      </c>
      <c r="BE68" s="39">
        <v>938548.40391563182</v>
      </c>
      <c r="BF68" s="39">
        <v>1340</v>
      </c>
      <c r="BG68" s="39">
        <v>120407.70787746996</v>
      </c>
      <c r="BH68" s="40">
        <f t="shared" si="55"/>
        <v>0.12829142042661623</v>
      </c>
      <c r="BI68" s="39">
        <v>7440</v>
      </c>
      <c r="BJ68" s="39">
        <v>927023.97380237188</v>
      </c>
      <c r="BK68" s="39">
        <v>1381</v>
      </c>
      <c r="BL68" s="39">
        <v>155082.63900032011</v>
      </c>
      <c r="BM68" s="40">
        <f t="shared" si="56"/>
        <v>0.16729086127537571</v>
      </c>
      <c r="BN68" s="42">
        <v>0</v>
      </c>
      <c r="BO68" s="42">
        <v>0</v>
      </c>
    </row>
    <row r="69" spans="1:67" s="29" customFormat="1" ht="35.1" customHeight="1" x14ac:dyDescent="0.25">
      <c r="A69" s="38">
        <f t="shared" si="57"/>
        <v>63</v>
      </c>
      <c r="B69" s="45" t="s">
        <v>2123</v>
      </c>
      <c r="C69" s="45" t="s">
        <v>2124</v>
      </c>
      <c r="D69" s="64">
        <v>11291</v>
      </c>
      <c r="E69" s="45" t="s">
        <v>2107</v>
      </c>
      <c r="F69" s="41">
        <v>4091</v>
      </c>
      <c r="G69" s="41">
        <v>1132780.0896851325</v>
      </c>
      <c r="H69" s="41">
        <v>56</v>
      </c>
      <c r="I69" s="41">
        <v>1576.3609777599997</v>
      </c>
      <c r="J69" s="40">
        <f t="shared" si="45"/>
        <v>1.3915860563881953E-3</v>
      </c>
      <c r="K69" s="41">
        <v>4150</v>
      </c>
      <c r="L69" s="41">
        <v>1111608.1320499633</v>
      </c>
      <c r="M69" s="41">
        <v>62</v>
      </c>
      <c r="N69" s="41">
        <v>3074.83233767</v>
      </c>
      <c r="O69" s="40">
        <f t="shared" si="46"/>
        <v>2.7661117699810025E-3</v>
      </c>
      <c r="P69" s="41">
        <v>4076</v>
      </c>
      <c r="Q69" s="41">
        <v>1115041.0267372201</v>
      </c>
      <c r="R69" s="41">
        <v>53</v>
      </c>
      <c r="S69" s="41">
        <v>1651.3556579399999</v>
      </c>
      <c r="T69" s="40">
        <f t="shared" si="47"/>
        <v>1.4809819713738409E-3</v>
      </c>
      <c r="U69" s="41">
        <v>4210</v>
      </c>
      <c r="V69" s="41">
        <v>1125802.8356881891</v>
      </c>
      <c r="W69" s="41">
        <v>62</v>
      </c>
      <c r="X69" s="41">
        <v>7648.78802404</v>
      </c>
      <c r="Y69" s="40">
        <f t="shared" si="48"/>
        <v>6.7940742211440534E-3</v>
      </c>
      <c r="Z69" s="41">
        <v>4428</v>
      </c>
      <c r="AA69" s="41">
        <v>1121246.387314118</v>
      </c>
      <c r="AB69" s="41">
        <v>57</v>
      </c>
      <c r="AC69" s="41">
        <v>9750.2197771499978</v>
      </c>
      <c r="AD69" s="40">
        <f t="shared" si="49"/>
        <v>8.6958762030048507E-3</v>
      </c>
      <c r="AE69" s="44">
        <v>4204</v>
      </c>
      <c r="AF69" s="44">
        <v>1110876.9121877183</v>
      </c>
      <c r="AG69" s="44">
        <v>85</v>
      </c>
      <c r="AH69" s="44">
        <v>11266.70014809</v>
      </c>
      <c r="AI69" s="40">
        <f t="shared" si="50"/>
        <v>1.0142167889601553E-2</v>
      </c>
      <c r="AJ69" s="44">
        <v>4130</v>
      </c>
      <c r="AK69" s="44">
        <v>1098363.1467529789</v>
      </c>
      <c r="AL69" s="44">
        <v>70</v>
      </c>
      <c r="AM69" s="44">
        <v>10613.516709609994</v>
      </c>
      <c r="AN69" s="40">
        <f t="shared" si="51"/>
        <v>9.6630306114931647E-3</v>
      </c>
      <c r="AO69" s="44">
        <v>3997</v>
      </c>
      <c r="AP69" s="44">
        <v>1097512.3566923498</v>
      </c>
      <c r="AQ69" s="44">
        <v>88</v>
      </c>
      <c r="AR69" s="44">
        <v>11067.912227699997</v>
      </c>
      <c r="AS69" s="40">
        <f t="shared" si="52"/>
        <v>1.0084544524907349E-2</v>
      </c>
      <c r="AT69" s="44">
        <v>3865</v>
      </c>
      <c r="AU69" s="44">
        <v>1111360.7387438617</v>
      </c>
      <c r="AV69" s="44">
        <v>66</v>
      </c>
      <c r="AW69" s="44">
        <v>9957.540087399997</v>
      </c>
      <c r="AX69" s="40">
        <f t="shared" si="53"/>
        <v>8.9597731323986761E-3</v>
      </c>
      <c r="AY69" s="41">
        <v>3812</v>
      </c>
      <c r="AZ69" s="41">
        <v>1122612.1893469791</v>
      </c>
      <c r="BA69" s="41">
        <v>80</v>
      </c>
      <c r="BB69" s="41">
        <v>10082.954280999997</v>
      </c>
      <c r="BC69" s="40">
        <f t="shared" si="54"/>
        <v>8.9816896490899738E-3</v>
      </c>
      <c r="BD69" s="39">
        <v>3704</v>
      </c>
      <c r="BE69" s="39">
        <v>1118188.8068565512</v>
      </c>
      <c r="BF69" s="39">
        <v>63</v>
      </c>
      <c r="BG69" s="39">
        <v>7811.8752581699955</v>
      </c>
      <c r="BH69" s="40">
        <f t="shared" si="55"/>
        <v>6.9861862417767481E-3</v>
      </c>
      <c r="BI69" s="39">
        <v>3605</v>
      </c>
      <c r="BJ69" s="39">
        <v>1125892.4764255525</v>
      </c>
      <c r="BK69" s="39">
        <v>58</v>
      </c>
      <c r="BL69" s="39">
        <v>7690.8672211399971</v>
      </c>
      <c r="BM69" s="40">
        <f t="shared" si="56"/>
        <v>6.8309073754153835E-3</v>
      </c>
      <c r="BN69" s="42">
        <v>0</v>
      </c>
      <c r="BO69" s="42">
        <v>0</v>
      </c>
    </row>
    <row r="70" spans="1:67" s="29" customFormat="1" ht="35.1" customHeight="1" x14ac:dyDescent="0.25">
      <c r="A70" s="38">
        <f t="shared" si="57"/>
        <v>64</v>
      </c>
      <c r="B70" s="45" t="s">
        <v>2125</v>
      </c>
      <c r="C70" s="45" t="s">
        <v>2126</v>
      </c>
      <c r="D70" s="64">
        <v>12008</v>
      </c>
      <c r="E70" s="45" t="s">
        <v>2035</v>
      </c>
      <c r="F70" s="41">
        <v>9619</v>
      </c>
      <c r="G70" s="41">
        <v>1176351.879155128</v>
      </c>
      <c r="H70" s="41">
        <v>33</v>
      </c>
      <c r="I70" s="41">
        <v>1823.8624195700002</v>
      </c>
      <c r="J70" s="40">
        <f t="shared" si="45"/>
        <v>1.5504395001943831E-3</v>
      </c>
      <c r="K70" s="41">
        <v>10029</v>
      </c>
      <c r="L70" s="41">
        <v>1149166.9187607989</v>
      </c>
      <c r="M70" s="41">
        <v>44</v>
      </c>
      <c r="N70" s="41">
        <v>387295.50310972007</v>
      </c>
      <c r="O70" s="40">
        <f t="shared" si="46"/>
        <v>0.33702284392885168</v>
      </c>
      <c r="P70" s="41">
        <v>10328</v>
      </c>
      <c r="Q70" s="41">
        <v>1143272.466646858</v>
      </c>
      <c r="R70" s="41">
        <v>56</v>
      </c>
      <c r="S70" s="41">
        <v>63418.119206160001</v>
      </c>
      <c r="T70" s="40">
        <f t="shared" si="47"/>
        <v>5.5470695793244387E-2</v>
      </c>
      <c r="U70" s="41">
        <v>10794</v>
      </c>
      <c r="V70" s="41">
        <v>1134240.3024510085</v>
      </c>
      <c r="W70" s="41">
        <v>91</v>
      </c>
      <c r="X70" s="41">
        <v>53831.738513360004</v>
      </c>
      <c r="Y70" s="40">
        <f t="shared" si="48"/>
        <v>4.7460611650841221E-2</v>
      </c>
      <c r="Z70" s="41">
        <v>11371</v>
      </c>
      <c r="AA70" s="41">
        <v>1123487.8342659483</v>
      </c>
      <c r="AB70" s="41">
        <v>170</v>
      </c>
      <c r="AC70" s="41">
        <v>51579.043561909995</v>
      </c>
      <c r="AD70" s="40">
        <f t="shared" si="49"/>
        <v>4.5909748186646032E-2</v>
      </c>
      <c r="AE70" s="44">
        <v>11868</v>
      </c>
      <c r="AF70" s="44">
        <v>1144287.4645805974</v>
      </c>
      <c r="AG70" s="44">
        <v>324</v>
      </c>
      <c r="AH70" s="44">
        <v>52263.616870719998</v>
      </c>
      <c r="AI70" s="40">
        <f t="shared" si="50"/>
        <v>4.5673502933876488E-2</v>
      </c>
      <c r="AJ70" s="44">
        <v>12286</v>
      </c>
      <c r="AK70" s="44">
        <v>1123943.4667136646</v>
      </c>
      <c r="AL70" s="44">
        <v>369</v>
      </c>
      <c r="AM70" s="44">
        <v>52040.026405829958</v>
      </c>
      <c r="AN70" s="40">
        <f t="shared" si="51"/>
        <v>4.6301284670475028E-2</v>
      </c>
      <c r="AO70" s="44">
        <v>12972</v>
      </c>
      <c r="AP70" s="44">
        <v>1123414.0802544602</v>
      </c>
      <c r="AQ70" s="44">
        <v>494</v>
      </c>
      <c r="AR70" s="44">
        <v>75295.965781860083</v>
      </c>
      <c r="AS70" s="40">
        <f t="shared" si="52"/>
        <v>6.7024231852964744E-2</v>
      </c>
      <c r="AT70" s="44">
        <v>13108</v>
      </c>
      <c r="AU70" s="44">
        <v>1146731.1578449009</v>
      </c>
      <c r="AV70" s="44">
        <v>479</v>
      </c>
      <c r="AW70" s="44">
        <v>57378.236021660021</v>
      </c>
      <c r="AX70" s="40">
        <f t="shared" si="53"/>
        <v>5.0036345161749422E-2</v>
      </c>
      <c r="AY70" s="41">
        <v>13000</v>
      </c>
      <c r="AZ70" s="41">
        <v>1154131.3817450083</v>
      </c>
      <c r="BA70" s="41">
        <v>568</v>
      </c>
      <c r="BB70" s="41">
        <v>448157.88273635047</v>
      </c>
      <c r="BC70" s="40">
        <f t="shared" si="54"/>
        <v>0.38830750972107753</v>
      </c>
      <c r="BD70" s="39">
        <v>12752</v>
      </c>
      <c r="BE70" s="39">
        <v>1170652.2127080203</v>
      </c>
      <c r="BF70" s="39">
        <v>561</v>
      </c>
      <c r="BG70" s="39">
        <v>78103.590067130281</v>
      </c>
      <c r="BH70" s="40">
        <f t="shared" si="55"/>
        <v>6.6718013445220034E-2</v>
      </c>
      <c r="BI70" s="39">
        <v>12368</v>
      </c>
      <c r="BJ70" s="39">
        <v>1153417.451203499</v>
      </c>
      <c r="BK70" s="39">
        <v>631</v>
      </c>
      <c r="BL70" s="39">
        <v>80512.706652110166</v>
      </c>
      <c r="BM70" s="40">
        <f t="shared" si="56"/>
        <v>6.9803614093146921E-2</v>
      </c>
      <c r="BN70" s="42">
        <v>0</v>
      </c>
      <c r="BO70" s="42">
        <v>0</v>
      </c>
    </row>
    <row r="71" spans="1:67" s="29" customFormat="1" ht="35.1" customHeight="1" x14ac:dyDescent="0.25">
      <c r="A71" s="38">
        <f t="shared" si="57"/>
        <v>65</v>
      </c>
      <c r="B71" s="45" t="s">
        <v>2127</v>
      </c>
      <c r="C71" s="45" t="s">
        <v>2128</v>
      </c>
      <c r="D71" s="64">
        <v>10502</v>
      </c>
      <c r="E71" s="45" t="s">
        <v>2087</v>
      </c>
      <c r="F71" s="41">
        <v>549</v>
      </c>
      <c r="G71" s="41">
        <v>65387.560173639919</v>
      </c>
      <c r="H71" s="41">
        <v>19</v>
      </c>
      <c r="I71" s="41">
        <v>1516.8314486000002</v>
      </c>
      <c r="J71" s="40">
        <f t="shared" si="45"/>
        <v>2.3197553855381341E-2</v>
      </c>
      <c r="K71" s="41">
        <v>542</v>
      </c>
      <c r="L71" s="41">
        <v>63595.658840730008</v>
      </c>
      <c r="M71" s="41">
        <v>20</v>
      </c>
      <c r="N71" s="41">
        <v>1521.51493435</v>
      </c>
      <c r="O71" s="40">
        <f t="shared" si="46"/>
        <v>2.3924823833659882E-2</v>
      </c>
      <c r="P71" s="41">
        <v>567</v>
      </c>
      <c r="Q71" s="41">
        <v>66050.362135069998</v>
      </c>
      <c r="R71" s="41">
        <v>21</v>
      </c>
      <c r="S71" s="41">
        <v>2486.7434405999998</v>
      </c>
      <c r="T71" s="40">
        <f t="shared" si="47"/>
        <v>3.7649202218069937E-2</v>
      </c>
      <c r="U71" s="41">
        <v>602</v>
      </c>
      <c r="V71" s="41">
        <v>66262.213049099999</v>
      </c>
      <c r="W71" s="41">
        <v>22</v>
      </c>
      <c r="X71" s="41">
        <v>2108.07260533</v>
      </c>
      <c r="Y71" s="40">
        <f t="shared" si="48"/>
        <v>3.1814098991350133E-2</v>
      </c>
      <c r="Z71" s="41">
        <v>697</v>
      </c>
      <c r="AA71" s="41">
        <v>70166.91304080002</v>
      </c>
      <c r="AB71" s="41">
        <v>21</v>
      </c>
      <c r="AC71" s="41">
        <v>1657.5725773000001</v>
      </c>
      <c r="AD71" s="40">
        <f t="shared" si="49"/>
        <v>2.3623279199074497E-2</v>
      </c>
      <c r="AE71" s="44">
        <v>800</v>
      </c>
      <c r="AF71" s="44">
        <v>69895.021866710027</v>
      </c>
      <c r="AG71" s="44">
        <v>8</v>
      </c>
      <c r="AH71" s="44">
        <v>1272.3206299600001</v>
      </c>
      <c r="AI71" s="40">
        <f t="shared" si="50"/>
        <v>1.8203308275463719E-2</v>
      </c>
      <c r="AJ71" s="44">
        <v>823</v>
      </c>
      <c r="AK71" s="44">
        <v>68689.316318999976</v>
      </c>
      <c r="AL71" s="44">
        <v>9</v>
      </c>
      <c r="AM71" s="44">
        <v>13469.07623447</v>
      </c>
      <c r="AN71" s="40">
        <f t="shared" si="51"/>
        <v>0.19608691651432775</v>
      </c>
      <c r="AO71" s="44">
        <v>863</v>
      </c>
      <c r="AP71" s="44">
        <v>67603.268358889982</v>
      </c>
      <c r="AQ71" s="44">
        <v>12</v>
      </c>
      <c r="AR71" s="44">
        <v>13797.749244429999</v>
      </c>
      <c r="AS71" s="40">
        <f t="shared" si="52"/>
        <v>0.20409884875951509</v>
      </c>
      <c r="AT71" s="44">
        <v>906</v>
      </c>
      <c r="AU71" s="44">
        <v>67483.804979739973</v>
      </c>
      <c r="AV71" s="44">
        <v>13</v>
      </c>
      <c r="AW71" s="44">
        <v>13930.40196775</v>
      </c>
      <c r="AX71" s="40">
        <f t="shared" si="53"/>
        <v>0.20642585242388442</v>
      </c>
      <c r="AY71" s="41">
        <v>991</v>
      </c>
      <c r="AZ71" s="41">
        <v>67681.354666730025</v>
      </c>
      <c r="BA71" s="41">
        <v>16</v>
      </c>
      <c r="BB71" s="41">
        <v>14564.349058709999</v>
      </c>
      <c r="BC71" s="40">
        <f t="shared" si="54"/>
        <v>0.21518997559115588</v>
      </c>
      <c r="BD71" s="39">
        <v>1060</v>
      </c>
      <c r="BE71" s="39">
        <v>67532.783878439965</v>
      </c>
      <c r="BF71" s="39">
        <v>32</v>
      </c>
      <c r="BG71" s="39">
        <v>15515.661225869997</v>
      </c>
      <c r="BH71" s="40">
        <f t="shared" si="55"/>
        <v>0.22975006115249777</v>
      </c>
      <c r="BI71" s="39">
        <v>1088</v>
      </c>
      <c r="BJ71" s="39">
        <v>68202.677859269999</v>
      </c>
      <c r="BK71" s="39">
        <v>11</v>
      </c>
      <c r="BL71" s="39">
        <v>14501.118378130001</v>
      </c>
      <c r="BM71" s="40">
        <f t="shared" si="56"/>
        <v>0.21261802077701017</v>
      </c>
      <c r="BN71" s="42"/>
      <c r="BO71" s="42"/>
    </row>
    <row r="72" spans="1:67" s="29" customFormat="1" ht="35.1" customHeight="1" x14ac:dyDescent="0.25">
      <c r="A72" s="38">
        <f t="shared" ref="A72:A100" si="58">+A71+1</f>
        <v>66</v>
      </c>
      <c r="B72" s="45" t="s">
        <v>2127</v>
      </c>
      <c r="C72" s="45" t="s">
        <v>2129</v>
      </c>
      <c r="D72" s="64">
        <v>10507</v>
      </c>
      <c r="E72" s="45" t="s">
        <v>2130</v>
      </c>
      <c r="F72" s="41">
        <v>539</v>
      </c>
      <c r="G72" s="41">
        <v>56799.126057250032</v>
      </c>
      <c r="H72" s="41">
        <v>0</v>
      </c>
      <c r="I72" s="41">
        <v>0</v>
      </c>
      <c r="J72" s="40">
        <f t="shared" si="45"/>
        <v>0</v>
      </c>
      <c r="K72" s="41">
        <v>554</v>
      </c>
      <c r="L72" s="41">
        <v>54600.216265550014</v>
      </c>
      <c r="M72" s="41">
        <v>0</v>
      </c>
      <c r="N72" s="41">
        <v>0</v>
      </c>
      <c r="O72" s="40">
        <f t="shared" si="46"/>
        <v>0</v>
      </c>
      <c r="P72" s="41">
        <v>604</v>
      </c>
      <c r="Q72" s="41">
        <v>52987.440845710029</v>
      </c>
      <c r="R72" s="41">
        <v>0</v>
      </c>
      <c r="S72" s="41">
        <v>0</v>
      </c>
      <c r="T72" s="40">
        <f t="shared" si="47"/>
        <v>0</v>
      </c>
      <c r="U72" s="41">
        <v>652</v>
      </c>
      <c r="V72" s="41">
        <v>54668.634713659972</v>
      </c>
      <c r="W72" s="41">
        <v>0</v>
      </c>
      <c r="X72" s="41">
        <v>0</v>
      </c>
      <c r="Y72" s="40">
        <f t="shared" si="48"/>
        <v>0</v>
      </c>
      <c r="Z72" s="41">
        <v>829</v>
      </c>
      <c r="AA72" s="41">
        <v>59934.180065879998</v>
      </c>
      <c r="AB72" s="41">
        <v>4</v>
      </c>
      <c r="AC72" s="41">
        <v>1274.12294133</v>
      </c>
      <c r="AD72" s="40">
        <f t="shared" si="49"/>
        <v>2.1258703129490995E-2</v>
      </c>
      <c r="AE72" s="44">
        <v>970</v>
      </c>
      <c r="AF72" s="44">
        <v>66679.667202809986</v>
      </c>
      <c r="AG72" s="44">
        <v>3</v>
      </c>
      <c r="AH72" s="44">
        <v>1273.2156970199999</v>
      </c>
      <c r="AI72" s="40">
        <f t="shared" si="50"/>
        <v>1.9094511871924048E-2</v>
      </c>
      <c r="AJ72" s="44">
        <v>1045</v>
      </c>
      <c r="AK72" s="44">
        <v>65471.799287940004</v>
      </c>
      <c r="AL72" s="44">
        <v>3</v>
      </c>
      <c r="AM72" s="44">
        <v>1273.2156970199999</v>
      </c>
      <c r="AN72" s="40">
        <f t="shared" si="51"/>
        <v>1.9446780306441463E-2</v>
      </c>
      <c r="AO72" s="44">
        <v>1068</v>
      </c>
      <c r="AP72" s="44">
        <v>66367.825806819994</v>
      </c>
      <c r="AQ72" s="44">
        <v>27</v>
      </c>
      <c r="AR72" s="44">
        <v>1319.31554908</v>
      </c>
      <c r="AS72" s="40">
        <f t="shared" si="52"/>
        <v>1.9878842391495465E-2</v>
      </c>
      <c r="AT72" s="44">
        <v>1086</v>
      </c>
      <c r="AU72" s="44">
        <v>64599.506741379984</v>
      </c>
      <c r="AV72" s="44">
        <v>22</v>
      </c>
      <c r="AW72" s="44">
        <v>1375.9161992199997</v>
      </c>
      <c r="AX72" s="40">
        <f t="shared" si="53"/>
        <v>2.1299175003431415E-2</v>
      </c>
      <c r="AY72" s="41">
        <v>1176</v>
      </c>
      <c r="AZ72" s="41">
        <v>65153.361475629965</v>
      </c>
      <c r="BA72" s="41">
        <v>15</v>
      </c>
      <c r="BB72" s="41">
        <v>1347.7033551699999</v>
      </c>
      <c r="BC72" s="40">
        <f t="shared" si="54"/>
        <v>2.068509321156202E-2</v>
      </c>
      <c r="BD72" s="39">
        <v>1286</v>
      </c>
      <c r="BE72" s="39">
        <v>66483.907035180018</v>
      </c>
      <c r="BF72" s="39">
        <v>17</v>
      </c>
      <c r="BG72" s="39">
        <v>1357.1206122099998</v>
      </c>
      <c r="BH72" s="40">
        <f t="shared" si="55"/>
        <v>2.0412768634248259E-2</v>
      </c>
      <c r="BI72" s="39">
        <v>1336</v>
      </c>
      <c r="BJ72" s="39">
        <v>66826.008865070005</v>
      </c>
      <c r="BK72" s="39">
        <v>5</v>
      </c>
      <c r="BL72" s="39">
        <v>1322.0640264900001</v>
      </c>
      <c r="BM72" s="40">
        <f t="shared" si="56"/>
        <v>1.9783674783861643E-2</v>
      </c>
      <c r="BN72" s="42"/>
      <c r="BO72" s="42"/>
    </row>
    <row r="73" spans="1:67" s="29" customFormat="1" ht="35.1" customHeight="1" x14ac:dyDescent="0.25">
      <c r="A73" s="38">
        <f t="shared" si="58"/>
        <v>67</v>
      </c>
      <c r="B73" s="45" t="s">
        <v>2127</v>
      </c>
      <c r="C73" s="45" t="s">
        <v>2131</v>
      </c>
      <c r="D73" s="64">
        <v>10508</v>
      </c>
      <c r="E73" s="45" t="s">
        <v>2041</v>
      </c>
      <c r="F73" s="41">
        <v>562</v>
      </c>
      <c r="G73" s="41">
        <v>27567.741900260004</v>
      </c>
      <c r="H73" s="41">
        <v>1</v>
      </c>
      <c r="I73" s="41">
        <v>10.885567</v>
      </c>
      <c r="J73" s="40">
        <f t="shared" si="45"/>
        <v>3.9486610979542482E-4</v>
      </c>
      <c r="K73" s="41">
        <v>557</v>
      </c>
      <c r="L73" s="41">
        <v>26282.921929479995</v>
      </c>
      <c r="M73" s="41">
        <v>2</v>
      </c>
      <c r="N73" s="41">
        <v>18.857235399999997</v>
      </c>
      <c r="O73" s="40">
        <f t="shared" si="46"/>
        <v>7.1747104262593242E-4</v>
      </c>
      <c r="P73" s="41">
        <v>569</v>
      </c>
      <c r="Q73" s="41">
        <v>25923.412153299989</v>
      </c>
      <c r="R73" s="41">
        <v>2</v>
      </c>
      <c r="S73" s="41">
        <v>18.857235399999997</v>
      </c>
      <c r="T73" s="40">
        <f t="shared" si="47"/>
        <v>7.2742103888509579E-4</v>
      </c>
      <c r="U73" s="41">
        <v>617</v>
      </c>
      <c r="V73" s="41">
        <v>26641.631420029978</v>
      </c>
      <c r="W73" s="41">
        <v>2</v>
      </c>
      <c r="X73" s="41">
        <v>18.445864839999999</v>
      </c>
      <c r="Y73" s="40">
        <f t="shared" si="48"/>
        <v>6.9236994346118924E-4</v>
      </c>
      <c r="Z73" s="41">
        <v>758</v>
      </c>
      <c r="AA73" s="41">
        <v>28591.828381269999</v>
      </c>
      <c r="AB73" s="41">
        <v>5</v>
      </c>
      <c r="AC73" s="41">
        <v>484.14424621000001</v>
      </c>
      <c r="AD73" s="40">
        <f t="shared" si="49"/>
        <v>1.693295859760946E-2</v>
      </c>
      <c r="AE73" s="44">
        <v>873</v>
      </c>
      <c r="AF73" s="44">
        <v>30070.624848559972</v>
      </c>
      <c r="AG73" s="44">
        <v>5</v>
      </c>
      <c r="AH73" s="44">
        <v>510.90775264999996</v>
      </c>
      <c r="AI73" s="40">
        <f t="shared" si="50"/>
        <v>1.6990260602265682E-2</v>
      </c>
      <c r="AJ73" s="44">
        <v>980</v>
      </c>
      <c r="AK73" s="44">
        <v>32394.506835319986</v>
      </c>
      <c r="AL73" s="44">
        <v>2</v>
      </c>
      <c r="AM73" s="44">
        <v>334.96796549999999</v>
      </c>
      <c r="AN73" s="40">
        <f t="shared" si="51"/>
        <v>1.0340270565094135E-2</v>
      </c>
      <c r="AO73" s="44">
        <v>996</v>
      </c>
      <c r="AP73" s="44">
        <v>32525.512313480001</v>
      </c>
      <c r="AQ73" s="44">
        <v>6</v>
      </c>
      <c r="AR73" s="44">
        <v>570.50418241</v>
      </c>
      <c r="AS73" s="40">
        <f t="shared" si="52"/>
        <v>1.7540205882431496E-2</v>
      </c>
      <c r="AT73" s="44">
        <v>1005</v>
      </c>
      <c r="AU73" s="44">
        <v>32591.997181849983</v>
      </c>
      <c r="AV73" s="44">
        <v>3</v>
      </c>
      <c r="AW73" s="44">
        <v>380.50657701</v>
      </c>
      <c r="AX73" s="40">
        <f t="shared" si="53"/>
        <v>1.1674846892227232E-2</v>
      </c>
      <c r="AY73" s="41">
        <v>1056</v>
      </c>
      <c r="AZ73" s="41">
        <v>32299.024772739973</v>
      </c>
      <c r="BA73" s="41">
        <v>2</v>
      </c>
      <c r="BB73" s="41">
        <v>334.96796549999999</v>
      </c>
      <c r="BC73" s="40">
        <f t="shared" si="54"/>
        <v>1.0370838372269039E-2</v>
      </c>
      <c r="BD73" s="39">
        <v>1091</v>
      </c>
      <c r="BE73" s="39">
        <v>32594.628772330019</v>
      </c>
      <c r="BF73" s="39">
        <v>5</v>
      </c>
      <c r="BG73" s="39">
        <v>364.08167213999997</v>
      </c>
      <c r="BH73" s="40">
        <f t="shared" si="55"/>
        <v>1.116998983737693E-2</v>
      </c>
      <c r="BI73" s="39">
        <v>1115</v>
      </c>
      <c r="BJ73" s="39">
        <v>34264.161941129991</v>
      </c>
      <c r="BK73" s="39">
        <v>1</v>
      </c>
      <c r="BL73" s="39">
        <v>324.68863750000003</v>
      </c>
      <c r="BM73" s="40">
        <f t="shared" si="56"/>
        <v>9.4760419956529136E-3</v>
      </c>
      <c r="BN73" s="42"/>
      <c r="BO73" s="42"/>
    </row>
    <row r="74" spans="1:67" s="29" customFormat="1" ht="35.1" customHeight="1" x14ac:dyDescent="0.25">
      <c r="A74" s="38">
        <f t="shared" si="58"/>
        <v>68</v>
      </c>
      <c r="B74" s="45" t="s">
        <v>2127</v>
      </c>
      <c r="C74" s="45" t="s">
        <v>2132</v>
      </c>
      <c r="D74" s="64">
        <v>10510</v>
      </c>
      <c r="E74" s="45" t="s">
        <v>2133</v>
      </c>
      <c r="F74" s="41">
        <v>641</v>
      </c>
      <c r="G74" s="41">
        <v>50835.09467149993</v>
      </c>
      <c r="H74" s="41">
        <v>39</v>
      </c>
      <c r="I74" s="41">
        <v>1804.3454351400003</v>
      </c>
      <c r="J74" s="40">
        <f t="shared" si="45"/>
        <v>3.549409019103459E-2</v>
      </c>
      <c r="K74" s="41">
        <v>652</v>
      </c>
      <c r="L74" s="41">
        <v>48506.938326389987</v>
      </c>
      <c r="M74" s="41">
        <v>43</v>
      </c>
      <c r="N74" s="41">
        <v>1926.6292115300002</v>
      </c>
      <c r="O74" s="40">
        <f t="shared" si="46"/>
        <v>3.9718631560834383E-2</v>
      </c>
      <c r="P74" s="41">
        <v>643</v>
      </c>
      <c r="Q74" s="41">
        <v>48450.861413990016</v>
      </c>
      <c r="R74" s="41">
        <v>42</v>
      </c>
      <c r="S74" s="41">
        <v>2101.17526997</v>
      </c>
      <c r="T74" s="40">
        <f t="shared" si="47"/>
        <v>4.3367139585330325E-2</v>
      </c>
      <c r="U74" s="41">
        <v>655</v>
      </c>
      <c r="V74" s="41">
        <v>52537.637340540008</v>
      </c>
      <c r="W74" s="41">
        <v>42</v>
      </c>
      <c r="X74" s="41">
        <v>2098.7190550200003</v>
      </c>
      <c r="Y74" s="40">
        <f t="shared" si="48"/>
        <v>3.994696300133295E-2</v>
      </c>
      <c r="Z74" s="41">
        <v>813</v>
      </c>
      <c r="AA74" s="41">
        <v>63212.620330349979</v>
      </c>
      <c r="AB74" s="41">
        <v>41</v>
      </c>
      <c r="AC74" s="41">
        <v>2270.9415089099998</v>
      </c>
      <c r="AD74" s="40">
        <f t="shared" si="49"/>
        <v>3.5925444903913646E-2</v>
      </c>
      <c r="AE74" s="44">
        <v>973</v>
      </c>
      <c r="AF74" s="44">
        <v>80983.607249859953</v>
      </c>
      <c r="AG74" s="44">
        <v>42</v>
      </c>
      <c r="AH74" s="44">
        <v>2027.1389598000001</v>
      </c>
      <c r="AI74" s="40">
        <f t="shared" si="50"/>
        <v>2.503147277134294E-2</v>
      </c>
      <c r="AJ74" s="44">
        <v>1028</v>
      </c>
      <c r="AK74" s="44">
        <v>85893.612507649988</v>
      </c>
      <c r="AL74" s="44">
        <v>39</v>
      </c>
      <c r="AM74" s="44">
        <v>3610.8787026999998</v>
      </c>
      <c r="AN74" s="40">
        <f t="shared" si="51"/>
        <v>4.2038966545718426E-2</v>
      </c>
      <c r="AO74" s="44">
        <v>1060</v>
      </c>
      <c r="AP74" s="44">
        <v>95556.319628550002</v>
      </c>
      <c r="AQ74" s="44">
        <v>48</v>
      </c>
      <c r="AR74" s="44">
        <v>5238.7297784400007</v>
      </c>
      <c r="AS74" s="40">
        <f t="shared" si="52"/>
        <v>5.482347791129024E-2</v>
      </c>
      <c r="AT74" s="44">
        <v>1090</v>
      </c>
      <c r="AU74" s="44">
        <v>94826.349325319825</v>
      </c>
      <c r="AV74" s="44">
        <v>45</v>
      </c>
      <c r="AW74" s="44">
        <v>4055.4905295999997</v>
      </c>
      <c r="AX74" s="40">
        <f t="shared" si="53"/>
        <v>4.2767548877020126E-2</v>
      </c>
      <c r="AY74" s="41">
        <v>1116</v>
      </c>
      <c r="AZ74" s="41">
        <v>94565.443549110016</v>
      </c>
      <c r="BA74" s="41">
        <v>47</v>
      </c>
      <c r="BB74" s="41">
        <v>4079.1927966100002</v>
      </c>
      <c r="BC74" s="40">
        <f t="shared" si="54"/>
        <v>4.3136188479796868E-2</v>
      </c>
      <c r="BD74" s="39">
        <v>1164</v>
      </c>
      <c r="BE74" s="39">
        <v>94199.882900509809</v>
      </c>
      <c r="BF74" s="39">
        <v>55</v>
      </c>
      <c r="BG74" s="39">
        <v>6377.7611124900031</v>
      </c>
      <c r="BH74" s="40">
        <f t="shared" si="55"/>
        <v>6.7704554571749759E-2</v>
      </c>
      <c r="BI74" s="39">
        <v>1183</v>
      </c>
      <c r="BJ74" s="39">
        <v>94333.865348819978</v>
      </c>
      <c r="BK74" s="39">
        <v>43</v>
      </c>
      <c r="BL74" s="39">
        <v>5250.5415586099998</v>
      </c>
      <c r="BM74" s="40">
        <f t="shared" si="56"/>
        <v>5.5659137248272199E-2</v>
      </c>
      <c r="BN74" s="42"/>
      <c r="BO74" s="42"/>
    </row>
    <row r="75" spans="1:67" s="29" customFormat="1" ht="35.1" customHeight="1" x14ac:dyDescent="0.25">
      <c r="A75" s="38">
        <f t="shared" si="58"/>
        <v>69</v>
      </c>
      <c r="B75" s="45" t="s">
        <v>2127</v>
      </c>
      <c r="C75" s="45" t="s">
        <v>2134</v>
      </c>
      <c r="D75" s="64">
        <v>10729</v>
      </c>
      <c r="E75" s="45" t="s">
        <v>2035</v>
      </c>
      <c r="F75" s="41">
        <v>581</v>
      </c>
      <c r="G75" s="41">
        <v>85933.652863650001</v>
      </c>
      <c r="H75" s="41">
        <v>6</v>
      </c>
      <c r="I75" s="41">
        <v>1392.3607449200001</v>
      </c>
      <c r="J75" s="40">
        <f t="shared" si="45"/>
        <v>1.6202741283781383E-2</v>
      </c>
      <c r="K75" s="41">
        <v>604</v>
      </c>
      <c r="L75" s="41">
        <v>84963.720771620021</v>
      </c>
      <c r="M75" s="41">
        <v>6</v>
      </c>
      <c r="N75" s="41">
        <v>1392.3607449200001</v>
      </c>
      <c r="O75" s="40">
        <f t="shared" si="46"/>
        <v>1.6387709157213402E-2</v>
      </c>
      <c r="P75" s="41">
        <v>809</v>
      </c>
      <c r="Q75" s="41">
        <v>85801.807710089983</v>
      </c>
      <c r="R75" s="41">
        <v>7</v>
      </c>
      <c r="S75" s="41">
        <v>1394.2662477899999</v>
      </c>
      <c r="T75" s="40">
        <f t="shared" si="47"/>
        <v>1.6249847002070088E-2</v>
      </c>
      <c r="U75" s="41">
        <v>1233</v>
      </c>
      <c r="V75" s="41">
        <v>88780.292121380015</v>
      </c>
      <c r="W75" s="41">
        <v>8</v>
      </c>
      <c r="X75" s="41">
        <v>1405.1619015799999</v>
      </c>
      <c r="Y75" s="40">
        <f t="shared" si="48"/>
        <v>1.5827407952869417E-2</v>
      </c>
      <c r="Z75" s="41">
        <v>1886</v>
      </c>
      <c r="AA75" s="41">
        <v>92378.842123240014</v>
      </c>
      <c r="AB75" s="41">
        <v>11</v>
      </c>
      <c r="AC75" s="41">
        <v>1954.4466860699999</v>
      </c>
      <c r="AD75" s="40">
        <f t="shared" si="49"/>
        <v>2.115686493951318E-2</v>
      </c>
      <c r="AE75" s="44">
        <v>2644</v>
      </c>
      <c r="AF75" s="44">
        <v>112442.96047715997</v>
      </c>
      <c r="AG75" s="44">
        <v>11</v>
      </c>
      <c r="AH75" s="44">
        <v>535.97397394999996</v>
      </c>
      <c r="AI75" s="40">
        <f t="shared" si="50"/>
        <v>4.7666298688290934E-3</v>
      </c>
      <c r="AJ75" s="44">
        <v>3094</v>
      </c>
      <c r="AK75" s="44">
        <v>122467.40871266999</v>
      </c>
      <c r="AL75" s="44">
        <v>16</v>
      </c>
      <c r="AM75" s="44">
        <v>701.76859552999986</v>
      </c>
      <c r="AN75" s="40">
        <f t="shared" si="51"/>
        <v>5.7302477688286196E-3</v>
      </c>
      <c r="AO75" s="44">
        <v>3265</v>
      </c>
      <c r="AP75" s="44">
        <v>128489.26123876999</v>
      </c>
      <c r="AQ75" s="44">
        <v>42</v>
      </c>
      <c r="AR75" s="44">
        <v>1076.0538478399999</v>
      </c>
      <c r="AS75" s="40">
        <f t="shared" si="52"/>
        <v>8.3746597767449405E-3</v>
      </c>
      <c r="AT75" s="44">
        <v>3341</v>
      </c>
      <c r="AU75" s="44">
        <v>130694.41776994029</v>
      </c>
      <c r="AV75" s="44">
        <v>69</v>
      </c>
      <c r="AW75" s="44">
        <v>1145.2387081399995</v>
      </c>
      <c r="AX75" s="40">
        <f t="shared" si="53"/>
        <v>8.7627209155631148E-3</v>
      </c>
      <c r="AY75" s="41">
        <v>3627</v>
      </c>
      <c r="AZ75" s="41">
        <v>133559.69055640994</v>
      </c>
      <c r="BA75" s="41">
        <v>69</v>
      </c>
      <c r="BB75" s="41">
        <v>734.18332940999983</v>
      </c>
      <c r="BC75" s="40">
        <f t="shared" si="54"/>
        <v>5.4970427555753581E-3</v>
      </c>
      <c r="BD75" s="39">
        <v>3930</v>
      </c>
      <c r="BE75" s="39">
        <v>137739.76339142999</v>
      </c>
      <c r="BF75" s="39">
        <v>63</v>
      </c>
      <c r="BG75" s="39">
        <v>256.36803448000001</v>
      </c>
      <c r="BH75" s="40">
        <f t="shared" si="55"/>
        <v>1.861249273032735E-3</v>
      </c>
      <c r="BI75" s="39">
        <v>4055</v>
      </c>
      <c r="BJ75" s="39">
        <v>146685.98535772995</v>
      </c>
      <c r="BK75" s="39">
        <v>23</v>
      </c>
      <c r="BL75" s="39">
        <v>5948.7607861099996</v>
      </c>
      <c r="BM75" s="40">
        <f t="shared" si="56"/>
        <v>4.0554390875191512E-2</v>
      </c>
      <c r="BN75" s="42"/>
      <c r="BO75" s="42"/>
    </row>
    <row r="76" spans="1:67" s="29" customFormat="1" ht="35.1" customHeight="1" x14ac:dyDescent="0.25">
      <c r="A76" s="38">
        <f t="shared" si="58"/>
        <v>70</v>
      </c>
      <c r="B76" s="45" t="s">
        <v>2135</v>
      </c>
      <c r="C76" s="45" t="s">
        <v>2136</v>
      </c>
      <c r="D76" s="64">
        <v>12097</v>
      </c>
      <c r="E76" s="45" t="s">
        <v>2054</v>
      </c>
      <c r="F76" s="41">
        <v>296</v>
      </c>
      <c r="G76" s="41">
        <v>13456.856952220003</v>
      </c>
      <c r="H76" s="41">
        <v>25</v>
      </c>
      <c r="I76" s="41">
        <v>1531.49172387</v>
      </c>
      <c r="J76" s="40">
        <f t="shared" si="45"/>
        <v>0.11380753539312513</v>
      </c>
      <c r="K76" s="41">
        <v>307</v>
      </c>
      <c r="L76" s="41">
        <v>12988.613351379998</v>
      </c>
      <c r="M76" s="41">
        <v>27</v>
      </c>
      <c r="N76" s="41">
        <v>2255.1255267500001</v>
      </c>
      <c r="O76" s="40">
        <f t="shared" si="46"/>
        <v>0.17362327030162927</v>
      </c>
      <c r="P76" s="41">
        <v>307</v>
      </c>
      <c r="Q76" s="41">
        <v>13274.047724159993</v>
      </c>
      <c r="R76" s="41">
        <v>24</v>
      </c>
      <c r="S76" s="41">
        <v>1994.0008776100005</v>
      </c>
      <c r="T76" s="40">
        <f t="shared" si="47"/>
        <v>0.1502179982358158</v>
      </c>
      <c r="U76" s="41">
        <v>310</v>
      </c>
      <c r="V76" s="41">
        <v>12981.42880451</v>
      </c>
      <c r="W76" s="41">
        <v>29</v>
      </c>
      <c r="X76" s="41">
        <v>2405.4526335899996</v>
      </c>
      <c r="Y76" s="40">
        <f t="shared" si="48"/>
        <v>0.18529952825796023</v>
      </c>
      <c r="Z76" s="41">
        <v>324</v>
      </c>
      <c r="AA76" s="41">
        <v>12776.844278010001</v>
      </c>
      <c r="AB76" s="41">
        <v>27</v>
      </c>
      <c r="AC76" s="41">
        <v>2328.9446880399996</v>
      </c>
      <c r="AD76" s="40">
        <f t="shared" si="49"/>
        <v>0.1822785530890679</v>
      </c>
      <c r="AE76" s="44">
        <v>325</v>
      </c>
      <c r="AF76" s="44">
        <v>13037.651400890005</v>
      </c>
      <c r="AG76" s="44">
        <v>22</v>
      </c>
      <c r="AH76" s="44">
        <v>2441.5134401099995</v>
      </c>
      <c r="AI76" s="40">
        <f t="shared" si="50"/>
        <v>0.18726635381149487</v>
      </c>
      <c r="AJ76" s="44">
        <v>340</v>
      </c>
      <c r="AK76" s="44">
        <v>13572.382559730002</v>
      </c>
      <c r="AL76" s="44">
        <v>21</v>
      </c>
      <c r="AM76" s="44">
        <v>2016.6743953400005</v>
      </c>
      <c r="AN76" s="40">
        <f t="shared" si="51"/>
        <v>0.14858661598027625</v>
      </c>
      <c r="AO76" s="44">
        <v>377</v>
      </c>
      <c r="AP76" s="44">
        <v>14484.623620539998</v>
      </c>
      <c r="AQ76" s="44">
        <v>19</v>
      </c>
      <c r="AR76" s="44">
        <v>1810.5997519300004</v>
      </c>
      <c r="AS76" s="40">
        <f t="shared" si="52"/>
        <v>0.12500150500027282</v>
      </c>
      <c r="AT76" s="44">
        <v>398</v>
      </c>
      <c r="AU76" s="44">
        <v>16161.118335449981</v>
      </c>
      <c r="AV76" s="44">
        <v>18</v>
      </c>
      <c r="AW76" s="44">
        <v>1809.4920142400003</v>
      </c>
      <c r="AX76" s="40">
        <f t="shared" si="53"/>
        <v>0.11196576726196082</v>
      </c>
      <c r="AY76" s="41">
        <v>401</v>
      </c>
      <c r="AZ76" s="41">
        <v>16456.658592189979</v>
      </c>
      <c r="BA76" s="41">
        <v>21</v>
      </c>
      <c r="BB76" s="41">
        <v>1911.0284909400002</v>
      </c>
      <c r="BC76" s="40">
        <f t="shared" si="54"/>
        <v>0.11612493995876773</v>
      </c>
      <c r="BD76" s="39">
        <v>406</v>
      </c>
      <c r="BE76" s="39">
        <v>14997.017687059992</v>
      </c>
      <c r="BF76" s="39">
        <v>15</v>
      </c>
      <c r="BG76" s="39">
        <v>830.25835634999999</v>
      </c>
      <c r="BH76" s="40">
        <f t="shared" si="55"/>
        <v>5.536156412393773E-2</v>
      </c>
      <c r="BI76" s="39">
        <v>398</v>
      </c>
      <c r="BJ76" s="39">
        <v>14299.945475490003</v>
      </c>
      <c r="BK76" s="39">
        <v>16</v>
      </c>
      <c r="BL76" s="39">
        <v>838.70282467000004</v>
      </c>
      <c r="BM76" s="40">
        <f t="shared" si="56"/>
        <v>5.8650770809408344E-2</v>
      </c>
      <c r="BN76" s="42">
        <v>0</v>
      </c>
      <c r="BO76" s="42">
        <v>0</v>
      </c>
    </row>
    <row r="77" spans="1:67" s="29" customFormat="1" ht="35.1" customHeight="1" x14ac:dyDescent="0.25">
      <c r="A77" s="38">
        <f t="shared" si="58"/>
        <v>71</v>
      </c>
      <c r="B77" s="45" t="s">
        <v>2135</v>
      </c>
      <c r="C77" s="45" t="s">
        <v>2137</v>
      </c>
      <c r="D77" s="64">
        <v>12091</v>
      </c>
      <c r="E77" s="45" t="s">
        <v>2107</v>
      </c>
      <c r="F77" s="41">
        <v>444</v>
      </c>
      <c r="G77" s="41">
        <v>20343.50854762999</v>
      </c>
      <c r="H77" s="41">
        <v>2</v>
      </c>
      <c r="I77" s="41">
        <v>122.38243107000001</v>
      </c>
      <c r="J77" s="40">
        <f t="shared" si="45"/>
        <v>6.0157976576885753E-3</v>
      </c>
      <c r="K77" s="41">
        <v>440</v>
      </c>
      <c r="L77" s="41">
        <v>19758.060476790011</v>
      </c>
      <c r="M77" s="41">
        <v>4</v>
      </c>
      <c r="N77" s="41">
        <v>1943.6830960699999</v>
      </c>
      <c r="O77" s="40">
        <f t="shared" si="46"/>
        <v>9.8374184973938295E-2</v>
      </c>
      <c r="P77" s="41">
        <v>414</v>
      </c>
      <c r="Q77" s="41">
        <v>19233.35720087001</v>
      </c>
      <c r="R77" s="41">
        <v>5</v>
      </c>
      <c r="S77" s="41">
        <v>1949.6646719399998</v>
      </c>
      <c r="T77" s="40">
        <f t="shared" si="47"/>
        <v>0.10136892127453484</v>
      </c>
      <c r="U77" s="41">
        <v>403</v>
      </c>
      <c r="V77" s="41">
        <v>22622.197806439999</v>
      </c>
      <c r="W77" s="41">
        <v>5</v>
      </c>
      <c r="X77" s="41">
        <v>1949.6646719400001</v>
      </c>
      <c r="Y77" s="40">
        <f t="shared" si="48"/>
        <v>8.6183698357768637E-2</v>
      </c>
      <c r="Z77" s="41">
        <v>365</v>
      </c>
      <c r="AA77" s="41">
        <v>22687.164956570006</v>
      </c>
      <c r="AB77" s="41">
        <v>9</v>
      </c>
      <c r="AC77" s="41">
        <v>7347.8423942699992</v>
      </c>
      <c r="AD77" s="40">
        <f t="shared" si="49"/>
        <v>0.32387662400022033</v>
      </c>
      <c r="AE77" s="44">
        <v>337</v>
      </c>
      <c r="AF77" s="44">
        <v>25392.803150670006</v>
      </c>
      <c r="AG77" s="44">
        <v>9</v>
      </c>
      <c r="AH77" s="44">
        <v>7346.8423942699992</v>
      </c>
      <c r="AI77" s="40">
        <f t="shared" si="50"/>
        <v>0.28932774182814658</v>
      </c>
      <c r="AJ77" s="44">
        <v>326</v>
      </c>
      <c r="AK77" s="44">
        <v>22350.388977390001</v>
      </c>
      <c r="AL77" s="44">
        <v>7</v>
      </c>
      <c r="AM77" s="44">
        <v>2068.4942074700002</v>
      </c>
      <c r="AN77" s="40">
        <f t="shared" si="51"/>
        <v>9.2548465691694268E-2</v>
      </c>
      <c r="AO77" s="44">
        <v>317</v>
      </c>
      <c r="AP77" s="44">
        <v>22641.037223469997</v>
      </c>
      <c r="AQ77" s="44">
        <v>8</v>
      </c>
      <c r="AR77" s="44">
        <v>2089.2778829800004</v>
      </c>
      <c r="AS77" s="40">
        <f t="shared" si="52"/>
        <v>9.2278364385807707E-2</v>
      </c>
      <c r="AT77" s="44">
        <v>297</v>
      </c>
      <c r="AU77" s="44">
        <v>21900.928464280008</v>
      </c>
      <c r="AV77" s="44">
        <v>7</v>
      </c>
      <c r="AW77" s="44">
        <v>1842.2182258300004</v>
      </c>
      <c r="AX77" s="40">
        <f t="shared" si="53"/>
        <v>8.4115987540648002E-2</v>
      </c>
      <c r="AY77" s="41">
        <v>280</v>
      </c>
      <c r="AZ77" s="41">
        <v>21708.266452379979</v>
      </c>
      <c r="BA77" s="41">
        <v>7</v>
      </c>
      <c r="BB77" s="41">
        <v>1841.2182258300004</v>
      </c>
      <c r="BC77" s="40">
        <f t="shared" si="54"/>
        <v>8.4816455973993218E-2</v>
      </c>
      <c r="BD77" s="39">
        <v>282</v>
      </c>
      <c r="BE77" s="39">
        <v>20344.266329949976</v>
      </c>
      <c r="BF77" s="39">
        <v>5</v>
      </c>
      <c r="BG77" s="39">
        <v>441.23186482</v>
      </c>
      <c r="BH77" s="40">
        <f t="shared" si="55"/>
        <v>2.1688266249760845E-2</v>
      </c>
      <c r="BI77" s="39">
        <v>286</v>
      </c>
      <c r="BJ77" s="39">
        <v>20006.370655580042</v>
      </c>
      <c r="BK77" s="39">
        <v>5</v>
      </c>
      <c r="BL77" s="39">
        <v>440.91499900000002</v>
      </c>
      <c r="BM77" s="40">
        <f t="shared" si="56"/>
        <v>2.2038729892121786E-2</v>
      </c>
      <c r="BN77" s="42">
        <v>0</v>
      </c>
      <c r="BO77" s="42">
        <v>0</v>
      </c>
    </row>
    <row r="78" spans="1:67" s="29" customFormat="1" ht="35.1" customHeight="1" x14ac:dyDescent="0.25">
      <c r="A78" s="38">
        <f t="shared" si="58"/>
        <v>72</v>
      </c>
      <c r="B78" s="45" t="s">
        <v>2135</v>
      </c>
      <c r="C78" s="45" t="s">
        <v>2138</v>
      </c>
      <c r="D78" s="64">
        <v>12090</v>
      </c>
      <c r="E78" s="45" t="s">
        <v>2043</v>
      </c>
      <c r="F78" s="41">
        <v>962</v>
      </c>
      <c r="G78" s="41">
        <v>19749.452898800006</v>
      </c>
      <c r="H78" s="41">
        <v>8</v>
      </c>
      <c r="I78" s="41">
        <v>101.54078794</v>
      </c>
      <c r="J78" s="40">
        <f t="shared" si="45"/>
        <v>5.1414481434151381E-3</v>
      </c>
      <c r="K78" s="41">
        <v>965</v>
      </c>
      <c r="L78" s="41">
        <v>19170.586847069993</v>
      </c>
      <c r="M78" s="41">
        <v>3</v>
      </c>
      <c r="N78" s="41">
        <v>99.486985699999991</v>
      </c>
      <c r="O78" s="40">
        <f t="shared" si="46"/>
        <v>5.1895639133866913E-3</v>
      </c>
      <c r="P78" s="41">
        <v>944</v>
      </c>
      <c r="Q78" s="41">
        <v>20101.594621509998</v>
      </c>
      <c r="R78" s="41">
        <v>2</v>
      </c>
      <c r="S78" s="41">
        <v>98.862254039999996</v>
      </c>
      <c r="T78" s="40">
        <f t="shared" si="47"/>
        <v>4.9181299245887209E-3</v>
      </c>
      <c r="U78" s="41">
        <v>922</v>
      </c>
      <c r="V78" s="41">
        <v>21416.344175219994</v>
      </c>
      <c r="W78" s="41">
        <v>3</v>
      </c>
      <c r="X78" s="41">
        <v>108.86225003999999</v>
      </c>
      <c r="Y78" s="40">
        <f t="shared" si="48"/>
        <v>5.0831388004102121E-3</v>
      </c>
      <c r="Z78" s="41">
        <v>865</v>
      </c>
      <c r="AA78" s="41">
        <v>20574.979727799993</v>
      </c>
      <c r="AB78" s="41">
        <v>3</v>
      </c>
      <c r="AC78" s="41">
        <v>104.43342668</v>
      </c>
      <c r="AD78" s="40">
        <f t="shared" si="49"/>
        <v>5.0757487036011129E-3</v>
      </c>
      <c r="AE78" s="44">
        <v>823</v>
      </c>
      <c r="AF78" s="44">
        <v>20289.840960049991</v>
      </c>
      <c r="AG78" s="44">
        <v>3</v>
      </c>
      <c r="AH78" s="44">
        <v>104.43342668</v>
      </c>
      <c r="AI78" s="40">
        <f t="shared" si="50"/>
        <v>5.1470796092303473E-3</v>
      </c>
      <c r="AJ78" s="44">
        <v>810</v>
      </c>
      <c r="AK78" s="44">
        <v>21344.495127379992</v>
      </c>
      <c r="AL78" s="44">
        <v>5</v>
      </c>
      <c r="AM78" s="44">
        <v>725.22551326999996</v>
      </c>
      <c r="AN78" s="40">
        <f t="shared" si="51"/>
        <v>3.3977168770776188E-2</v>
      </c>
      <c r="AO78" s="44">
        <v>786</v>
      </c>
      <c r="AP78" s="44">
        <v>22806.056036439997</v>
      </c>
      <c r="AQ78" s="44">
        <v>5</v>
      </c>
      <c r="AR78" s="44">
        <v>123.14541319999999</v>
      </c>
      <c r="AS78" s="40">
        <f t="shared" si="52"/>
        <v>5.3996803745126141E-3</v>
      </c>
      <c r="AT78" s="44">
        <v>774</v>
      </c>
      <c r="AU78" s="44">
        <v>24184.425055329972</v>
      </c>
      <c r="AV78" s="44">
        <v>5</v>
      </c>
      <c r="AW78" s="44">
        <v>644.48786389999998</v>
      </c>
      <c r="AX78" s="40">
        <f t="shared" si="53"/>
        <v>2.6648880939923861E-2</v>
      </c>
      <c r="AY78" s="41">
        <v>728</v>
      </c>
      <c r="AZ78" s="41">
        <v>24314.039270809997</v>
      </c>
      <c r="BA78" s="41">
        <v>5</v>
      </c>
      <c r="BB78" s="41">
        <v>641.57255649000001</v>
      </c>
      <c r="BC78" s="40">
        <f t="shared" si="54"/>
        <v>2.6386917835582925E-2</v>
      </c>
      <c r="BD78" s="39">
        <v>728</v>
      </c>
      <c r="BE78" s="39">
        <v>23872.948566409988</v>
      </c>
      <c r="BF78" s="39">
        <v>2</v>
      </c>
      <c r="BG78" s="39">
        <v>543.65020565999998</v>
      </c>
      <c r="BH78" s="40">
        <f t="shared" si="55"/>
        <v>2.2772645957313101E-2</v>
      </c>
      <c r="BI78" s="39">
        <v>712</v>
      </c>
      <c r="BJ78" s="39">
        <v>23634.081639979995</v>
      </c>
      <c r="BK78" s="39">
        <v>4</v>
      </c>
      <c r="BL78" s="39">
        <v>1147.8798084699999</v>
      </c>
      <c r="BM78" s="40">
        <f t="shared" si="56"/>
        <v>4.8568834869733978E-2</v>
      </c>
      <c r="BN78" s="42">
        <v>0</v>
      </c>
      <c r="BO78" s="42">
        <v>0</v>
      </c>
    </row>
    <row r="79" spans="1:67" s="29" customFormat="1" ht="35.1" customHeight="1" x14ac:dyDescent="0.25">
      <c r="A79" s="38">
        <f t="shared" si="58"/>
        <v>73</v>
      </c>
      <c r="B79" s="45" t="s">
        <v>2139</v>
      </c>
      <c r="C79" s="45" t="s">
        <v>2140</v>
      </c>
      <c r="D79" s="64">
        <v>11443</v>
      </c>
      <c r="E79" s="45" t="s">
        <v>2073</v>
      </c>
      <c r="F79" s="41">
        <v>2324</v>
      </c>
      <c r="G79" s="41">
        <v>102954.85991302962</v>
      </c>
      <c r="H79" s="41">
        <v>5</v>
      </c>
      <c r="I79" s="41">
        <v>16.802730690000001</v>
      </c>
      <c r="J79" s="40">
        <f t="shared" si="45"/>
        <v>1.6320483272177716E-4</v>
      </c>
      <c r="K79" s="41">
        <v>2298</v>
      </c>
      <c r="L79" s="41">
        <v>108799.02966477013</v>
      </c>
      <c r="M79" s="41">
        <v>2</v>
      </c>
      <c r="N79" s="41">
        <v>9.2987342599999998</v>
      </c>
      <c r="O79" s="40">
        <f t="shared" si="46"/>
        <v>8.546706977673528E-5</v>
      </c>
      <c r="P79" s="41">
        <v>3181</v>
      </c>
      <c r="Q79" s="41">
        <v>119257.50700107025</v>
      </c>
      <c r="R79" s="41">
        <v>60</v>
      </c>
      <c r="S79" s="41">
        <v>894.91472681999983</v>
      </c>
      <c r="T79" s="40">
        <f t="shared" si="47"/>
        <v>7.504053617454611E-3</v>
      </c>
      <c r="U79" s="41">
        <v>2200</v>
      </c>
      <c r="V79" s="41">
        <v>108147.13043870998</v>
      </c>
      <c r="W79" s="41">
        <v>10</v>
      </c>
      <c r="X79" s="41">
        <v>19.246993159999999</v>
      </c>
      <c r="Y79" s="40">
        <f t="shared" si="48"/>
        <v>1.7797044712996625E-4</v>
      </c>
      <c r="Z79" s="41">
        <v>2108</v>
      </c>
      <c r="AA79" s="41">
        <v>109823.47179248011</v>
      </c>
      <c r="AB79" s="41">
        <v>14</v>
      </c>
      <c r="AC79" s="41">
        <v>81.338414930000027</v>
      </c>
      <c r="AD79" s="40">
        <f t="shared" si="49"/>
        <v>7.4062869805914728E-4</v>
      </c>
      <c r="AE79" s="44">
        <v>2037</v>
      </c>
      <c r="AF79" s="44">
        <v>116991.46078564023</v>
      </c>
      <c r="AG79" s="44">
        <v>7</v>
      </c>
      <c r="AH79" s="44">
        <v>21.937661709999997</v>
      </c>
      <c r="AI79" s="40">
        <f t="shared" si="50"/>
        <v>1.8751506787487409E-4</v>
      </c>
      <c r="AJ79" s="44">
        <v>1975</v>
      </c>
      <c r="AK79" s="44">
        <v>121073.66945184983</v>
      </c>
      <c r="AL79" s="44">
        <v>1</v>
      </c>
      <c r="AM79" s="44">
        <v>1.32642828</v>
      </c>
      <c r="AN79" s="40">
        <f t="shared" si="51"/>
        <v>1.0955547031863203E-5</v>
      </c>
      <c r="AO79" s="44">
        <v>1928</v>
      </c>
      <c r="AP79" s="44">
        <v>131980.76217767</v>
      </c>
      <c r="AQ79" s="44">
        <v>7</v>
      </c>
      <c r="AR79" s="44">
        <v>1035.3139093500001</v>
      </c>
      <c r="AS79" s="40">
        <f t="shared" si="52"/>
        <v>7.8444304477972345E-3</v>
      </c>
      <c r="AT79" s="44">
        <v>1851</v>
      </c>
      <c r="AU79" s="44">
        <v>130576.97870493001</v>
      </c>
      <c r="AV79" s="44">
        <v>3</v>
      </c>
      <c r="AW79" s="44">
        <v>156.88217542999999</v>
      </c>
      <c r="AX79" s="40">
        <f t="shared" si="53"/>
        <v>1.2014535562544519E-3</v>
      </c>
      <c r="AY79" s="41">
        <v>2866</v>
      </c>
      <c r="AZ79" s="41">
        <v>138645.11916705</v>
      </c>
      <c r="BA79" s="41">
        <v>104</v>
      </c>
      <c r="BB79" s="41">
        <v>1681.8781771899992</v>
      </c>
      <c r="BC79" s="40">
        <f t="shared" si="54"/>
        <v>1.2130814177191097E-2</v>
      </c>
      <c r="BD79" s="39">
        <v>2839</v>
      </c>
      <c r="BE79" s="39">
        <v>133439.83502292979</v>
      </c>
      <c r="BF79" s="39">
        <v>97</v>
      </c>
      <c r="BG79" s="39">
        <v>1597.2900665599989</v>
      </c>
      <c r="BH79" s="40">
        <f t="shared" si="55"/>
        <v>1.1970114218782768E-2</v>
      </c>
      <c r="BI79" s="39">
        <v>2787</v>
      </c>
      <c r="BJ79" s="39">
        <v>143171.79053636998</v>
      </c>
      <c r="BK79" s="39">
        <v>87</v>
      </c>
      <c r="BL79" s="39">
        <v>1403.1085130799995</v>
      </c>
      <c r="BM79" s="40">
        <f t="shared" si="56"/>
        <v>9.8001743766944604E-3</v>
      </c>
      <c r="BN79" s="42">
        <v>0</v>
      </c>
      <c r="BO79" s="42">
        <v>0</v>
      </c>
    </row>
    <row r="80" spans="1:67" s="29" customFormat="1" ht="35.1" customHeight="1" x14ac:dyDescent="0.25">
      <c r="A80" s="38">
        <f t="shared" si="58"/>
        <v>74</v>
      </c>
      <c r="B80" s="45" t="s">
        <v>2139</v>
      </c>
      <c r="C80" s="45" t="s">
        <v>2141</v>
      </c>
      <c r="D80" s="64">
        <v>11444</v>
      </c>
      <c r="E80" s="45" t="s">
        <v>2039</v>
      </c>
      <c r="F80" s="41">
        <v>2091</v>
      </c>
      <c r="G80" s="41">
        <v>163868.43623035061</v>
      </c>
      <c r="H80" s="41">
        <v>28</v>
      </c>
      <c r="I80" s="41">
        <v>379.21197035</v>
      </c>
      <c r="J80" s="40">
        <f t="shared" si="45"/>
        <v>2.3141245445031282E-3</v>
      </c>
      <c r="K80" s="41">
        <v>2087</v>
      </c>
      <c r="L80" s="41">
        <v>165929.03266722953</v>
      </c>
      <c r="M80" s="41">
        <v>32</v>
      </c>
      <c r="N80" s="41">
        <v>316.87186257000002</v>
      </c>
      <c r="O80" s="40">
        <f t="shared" si="46"/>
        <v>1.9096830583318479E-3</v>
      </c>
      <c r="P80" s="41">
        <v>2951</v>
      </c>
      <c r="Q80" s="41">
        <v>181610.93970998938</v>
      </c>
      <c r="R80" s="41">
        <v>103</v>
      </c>
      <c r="S80" s="41">
        <v>1414.8720073999989</v>
      </c>
      <c r="T80" s="40">
        <f t="shared" si="47"/>
        <v>7.7906760994650307E-3</v>
      </c>
      <c r="U80" s="41">
        <v>1946</v>
      </c>
      <c r="V80" s="41">
        <v>180022.47387173984</v>
      </c>
      <c r="W80" s="41">
        <v>39</v>
      </c>
      <c r="X80" s="41">
        <v>555.59235266000019</v>
      </c>
      <c r="Y80" s="40">
        <f t="shared" si="48"/>
        <v>3.0862388495774239E-3</v>
      </c>
      <c r="Z80" s="41">
        <v>1965</v>
      </c>
      <c r="AA80" s="41">
        <v>186578.16324226963</v>
      </c>
      <c r="AB80" s="41">
        <v>39</v>
      </c>
      <c r="AC80" s="41">
        <v>507.90961314000003</v>
      </c>
      <c r="AD80" s="40">
        <f t="shared" si="49"/>
        <v>2.7222350371221373E-3</v>
      </c>
      <c r="AE80" s="44">
        <v>1978</v>
      </c>
      <c r="AF80" s="44">
        <v>190134.15929280015</v>
      </c>
      <c r="AG80" s="44">
        <v>32</v>
      </c>
      <c r="AH80" s="44">
        <v>554.93508382999994</v>
      </c>
      <c r="AI80" s="40">
        <f t="shared" si="50"/>
        <v>2.9186501041899514E-3</v>
      </c>
      <c r="AJ80" s="44">
        <v>1988</v>
      </c>
      <c r="AK80" s="44">
        <v>195013.76848298998</v>
      </c>
      <c r="AL80" s="44">
        <v>29</v>
      </c>
      <c r="AM80" s="44">
        <v>814.68562900999984</v>
      </c>
      <c r="AN80" s="40">
        <f t="shared" si="51"/>
        <v>4.1775800516416382E-3</v>
      </c>
      <c r="AO80" s="44">
        <v>2018</v>
      </c>
      <c r="AP80" s="44">
        <v>201215.87564739998</v>
      </c>
      <c r="AQ80" s="44">
        <v>38</v>
      </c>
      <c r="AR80" s="44">
        <v>648.32315246999963</v>
      </c>
      <c r="AS80" s="40">
        <f t="shared" si="52"/>
        <v>3.222027836442124E-3</v>
      </c>
      <c r="AT80" s="44">
        <v>2072</v>
      </c>
      <c r="AU80" s="44">
        <v>202206.72168545023</v>
      </c>
      <c r="AV80" s="44">
        <v>38</v>
      </c>
      <c r="AW80" s="44">
        <v>540.43729817999986</v>
      </c>
      <c r="AX80" s="40">
        <f t="shared" si="53"/>
        <v>2.672696998770872E-3</v>
      </c>
      <c r="AY80" s="41">
        <v>3229</v>
      </c>
      <c r="AZ80" s="41">
        <v>213597.47959869003</v>
      </c>
      <c r="BA80" s="41">
        <v>197</v>
      </c>
      <c r="BB80" s="41">
        <v>2708.1356323700038</v>
      </c>
      <c r="BC80" s="40">
        <f t="shared" si="54"/>
        <v>1.2678687208566727E-2</v>
      </c>
      <c r="BD80" s="39">
        <v>3325</v>
      </c>
      <c r="BE80" s="39">
        <v>222488.03506064086</v>
      </c>
      <c r="BF80" s="39">
        <v>186</v>
      </c>
      <c r="BG80" s="39">
        <v>2926.6504345600029</v>
      </c>
      <c r="BH80" s="40">
        <f t="shared" si="55"/>
        <v>1.3154192465955849E-2</v>
      </c>
      <c r="BI80" s="39">
        <v>3337</v>
      </c>
      <c r="BJ80" s="39">
        <v>225957.13539592997</v>
      </c>
      <c r="BK80" s="39">
        <v>163</v>
      </c>
      <c r="BL80" s="39">
        <v>3032.9513768500015</v>
      </c>
      <c r="BM80" s="40">
        <f t="shared" si="56"/>
        <v>1.3422684667760362E-2</v>
      </c>
      <c r="BN80" s="42">
        <v>0</v>
      </c>
      <c r="BO80" s="42">
        <v>0</v>
      </c>
    </row>
    <row r="81" spans="1:67" s="29" customFormat="1" ht="35.1" customHeight="1" x14ac:dyDescent="0.25">
      <c r="A81" s="38">
        <f t="shared" si="58"/>
        <v>75</v>
      </c>
      <c r="B81" s="45" t="s">
        <v>2139</v>
      </c>
      <c r="C81" s="45" t="s">
        <v>2142</v>
      </c>
      <c r="D81" s="64">
        <v>11445</v>
      </c>
      <c r="E81" s="45" t="s">
        <v>2049</v>
      </c>
      <c r="F81" s="41">
        <v>3048</v>
      </c>
      <c r="G81" s="41">
        <v>169824.93512601047</v>
      </c>
      <c r="H81" s="41">
        <v>82</v>
      </c>
      <c r="I81" s="41">
        <v>1912.5180803100011</v>
      </c>
      <c r="J81" s="40">
        <f t="shared" si="45"/>
        <v>1.1261703582521074E-2</v>
      </c>
      <c r="K81" s="41">
        <v>3010</v>
      </c>
      <c r="L81" s="41">
        <v>174819.12076547011</v>
      </c>
      <c r="M81" s="41">
        <v>87</v>
      </c>
      <c r="N81" s="41">
        <v>1767.7385962700005</v>
      </c>
      <c r="O81" s="40">
        <f t="shared" si="46"/>
        <v>1.0111814934943663E-2</v>
      </c>
      <c r="P81" s="41">
        <v>4649</v>
      </c>
      <c r="Q81" s="41">
        <v>201209.40214754926</v>
      </c>
      <c r="R81" s="41">
        <v>222</v>
      </c>
      <c r="S81" s="41">
        <v>5419.5700946099996</v>
      </c>
      <c r="T81" s="40">
        <f t="shared" si="47"/>
        <v>2.6934974393670551E-2</v>
      </c>
      <c r="U81" s="41">
        <v>2853</v>
      </c>
      <c r="V81" s="41">
        <v>184625.51752263025</v>
      </c>
      <c r="W81" s="41">
        <v>66</v>
      </c>
      <c r="X81" s="41">
        <v>1178.4583704799995</v>
      </c>
      <c r="Y81" s="40">
        <f t="shared" si="48"/>
        <v>6.3829658342625982E-3</v>
      </c>
      <c r="Z81" s="41">
        <v>2839</v>
      </c>
      <c r="AA81" s="41">
        <v>191834.62940511017</v>
      </c>
      <c r="AB81" s="41">
        <v>67</v>
      </c>
      <c r="AC81" s="41">
        <v>3707.4390522999984</v>
      </c>
      <c r="AD81" s="40">
        <f t="shared" si="49"/>
        <v>1.9326224174420294E-2</v>
      </c>
      <c r="AE81" s="44">
        <v>2817</v>
      </c>
      <c r="AF81" s="44">
        <v>193295.25550784045</v>
      </c>
      <c r="AG81" s="44">
        <v>56</v>
      </c>
      <c r="AH81" s="44">
        <v>2398.9749416100003</v>
      </c>
      <c r="AI81" s="40">
        <f t="shared" si="50"/>
        <v>1.2410935464024843E-2</v>
      </c>
      <c r="AJ81" s="44">
        <v>2760</v>
      </c>
      <c r="AK81" s="44">
        <v>202014.28784014934</v>
      </c>
      <c r="AL81" s="44">
        <v>45</v>
      </c>
      <c r="AM81" s="44">
        <v>2081.8733000899992</v>
      </c>
      <c r="AN81" s="40">
        <f t="shared" si="51"/>
        <v>1.0305574533111005E-2</v>
      </c>
      <c r="AO81" s="44">
        <v>2738</v>
      </c>
      <c r="AP81" s="44">
        <v>201848.04803317005</v>
      </c>
      <c r="AQ81" s="44">
        <v>48</v>
      </c>
      <c r="AR81" s="44">
        <v>2178.37625256</v>
      </c>
      <c r="AS81" s="40">
        <f t="shared" si="52"/>
        <v>1.0792159120617423E-2</v>
      </c>
      <c r="AT81" s="44">
        <v>2724</v>
      </c>
      <c r="AU81" s="44">
        <v>212790.60597383036</v>
      </c>
      <c r="AV81" s="44">
        <v>46</v>
      </c>
      <c r="AW81" s="44">
        <v>2193.72331205</v>
      </c>
      <c r="AX81" s="40">
        <f t="shared" si="53"/>
        <v>1.0309305253446154E-2</v>
      </c>
      <c r="AY81" s="41">
        <v>3749</v>
      </c>
      <c r="AZ81" s="41">
        <v>230020.13264830993</v>
      </c>
      <c r="BA81" s="41">
        <v>197</v>
      </c>
      <c r="BB81" s="41">
        <v>5949.1958680899979</v>
      </c>
      <c r="BC81" s="40">
        <f t="shared" si="54"/>
        <v>2.5863805048691287E-2</v>
      </c>
      <c r="BD81" s="39">
        <v>3781</v>
      </c>
      <c r="BE81" s="39">
        <v>225985.46934718976</v>
      </c>
      <c r="BF81" s="39">
        <v>194</v>
      </c>
      <c r="BG81" s="39">
        <v>5579.4298981500006</v>
      </c>
      <c r="BH81" s="40">
        <f t="shared" si="55"/>
        <v>2.4689330310782583E-2</v>
      </c>
      <c r="BI81" s="39">
        <v>3734</v>
      </c>
      <c r="BJ81" s="39">
        <v>235849.56815574004</v>
      </c>
      <c r="BK81" s="39">
        <v>186</v>
      </c>
      <c r="BL81" s="39">
        <v>5516.1449324199984</v>
      </c>
      <c r="BM81" s="40">
        <f t="shared" si="56"/>
        <v>2.3388403784472853E-2</v>
      </c>
      <c r="BN81" s="42">
        <v>0</v>
      </c>
      <c r="BO81" s="42">
        <v>0</v>
      </c>
    </row>
    <row r="82" spans="1:67" s="29" customFormat="1" ht="35.1" customHeight="1" x14ac:dyDescent="0.25">
      <c r="A82" s="38">
        <f t="shared" si="58"/>
        <v>76</v>
      </c>
      <c r="B82" s="45" t="s">
        <v>2139</v>
      </c>
      <c r="C82" s="45" t="s">
        <v>2143</v>
      </c>
      <c r="D82" s="64">
        <v>11446</v>
      </c>
      <c r="E82" s="45" t="s">
        <v>2037</v>
      </c>
      <c r="F82" s="41">
        <v>2453</v>
      </c>
      <c r="G82" s="41">
        <v>139578.68252962027</v>
      </c>
      <c r="H82" s="41">
        <v>5</v>
      </c>
      <c r="I82" s="41">
        <v>96.112062309999985</v>
      </c>
      <c r="J82" s="40">
        <f t="shared" si="45"/>
        <v>6.8858697165022928E-4</v>
      </c>
      <c r="K82" s="41">
        <v>2451</v>
      </c>
      <c r="L82" s="41">
        <v>142339.03579121022</v>
      </c>
      <c r="M82" s="41">
        <v>6</v>
      </c>
      <c r="N82" s="41">
        <v>336.74984433999998</v>
      </c>
      <c r="O82" s="40">
        <f t="shared" si="46"/>
        <v>2.3658291800849412E-3</v>
      </c>
      <c r="P82" s="41">
        <v>3098</v>
      </c>
      <c r="Q82" s="41">
        <v>152321.93453059008</v>
      </c>
      <c r="R82" s="41">
        <v>42</v>
      </c>
      <c r="S82" s="41">
        <v>812.62068925999995</v>
      </c>
      <c r="T82" s="40">
        <f t="shared" si="47"/>
        <v>5.3348895007422929E-3</v>
      </c>
      <c r="U82" s="41">
        <v>2387</v>
      </c>
      <c r="V82" s="41">
        <v>148454.69821747928</v>
      </c>
      <c r="W82" s="41">
        <v>5</v>
      </c>
      <c r="X82" s="41">
        <v>372.06592524000007</v>
      </c>
      <c r="Y82" s="40">
        <f t="shared" si="48"/>
        <v>2.5062590117218161E-3</v>
      </c>
      <c r="Z82" s="41">
        <v>2358</v>
      </c>
      <c r="AA82" s="41">
        <v>154675.71968095968</v>
      </c>
      <c r="AB82" s="41">
        <v>6</v>
      </c>
      <c r="AC82" s="41">
        <v>14332.225791150002</v>
      </c>
      <c r="AD82" s="40">
        <f t="shared" si="49"/>
        <v>9.2659829355972764E-2</v>
      </c>
      <c r="AE82" s="44">
        <v>2310</v>
      </c>
      <c r="AF82" s="44">
        <v>159063.39840996964</v>
      </c>
      <c r="AG82" s="44">
        <v>10</v>
      </c>
      <c r="AH82" s="44">
        <v>14348.699533460001</v>
      </c>
      <c r="AI82" s="40">
        <f t="shared" si="50"/>
        <v>9.0207424692874322E-2</v>
      </c>
      <c r="AJ82" s="44">
        <v>2311</v>
      </c>
      <c r="AK82" s="44">
        <v>162316.45768974026</v>
      </c>
      <c r="AL82" s="44">
        <v>9</v>
      </c>
      <c r="AM82" s="44">
        <v>14673.66396962</v>
      </c>
      <c r="AN82" s="40">
        <f t="shared" si="51"/>
        <v>9.0401578364086591E-2</v>
      </c>
      <c r="AO82" s="44">
        <v>2335</v>
      </c>
      <c r="AP82" s="44">
        <v>163635.76566477999</v>
      </c>
      <c r="AQ82" s="44">
        <v>8</v>
      </c>
      <c r="AR82" s="44">
        <v>14641.459073470001</v>
      </c>
      <c r="AS82" s="40">
        <f t="shared" si="52"/>
        <v>8.9475910195966069E-2</v>
      </c>
      <c r="AT82" s="44">
        <v>2312</v>
      </c>
      <c r="AU82" s="44">
        <v>165099.39459050004</v>
      </c>
      <c r="AV82" s="44">
        <v>12</v>
      </c>
      <c r="AW82" s="44">
        <v>14772.515485060001</v>
      </c>
      <c r="AX82" s="40">
        <f t="shared" si="53"/>
        <v>8.9476497001703875E-2</v>
      </c>
      <c r="AY82" s="41">
        <v>3743</v>
      </c>
      <c r="AZ82" s="41">
        <v>180217.71313376093</v>
      </c>
      <c r="BA82" s="41">
        <v>135</v>
      </c>
      <c r="BB82" s="41">
        <v>16830.890342459992</v>
      </c>
      <c r="BC82" s="40">
        <f t="shared" si="54"/>
        <v>9.339198711265298E-2</v>
      </c>
      <c r="BD82" s="39">
        <v>3746</v>
      </c>
      <c r="BE82" s="39">
        <v>181326.43256881041</v>
      </c>
      <c r="BF82" s="39">
        <v>129</v>
      </c>
      <c r="BG82" s="39">
        <v>16418.580709299997</v>
      </c>
      <c r="BH82" s="40">
        <f t="shared" si="55"/>
        <v>9.0547089449131549E-2</v>
      </c>
      <c r="BI82" s="39">
        <v>3821</v>
      </c>
      <c r="BJ82" s="39">
        <v>183240.86043694027</v>
      </c>
      <c r="BK82" s="39">
        <v>110</v>
      </c>
      <c r="BL82" s="39">
        <v>15938.869354109998</v>
      </c>
      <c r="BM82" s="40">
        <f t="shared" si="56"/>
        <v>8.6983161485399876E-2</v>
      </c>
      <c r="BN82" s="42">
        <v>0</v>
      </c>
      <c r="BO82" s="42">
        <v>0</v>
      </c>
    </row>
    <row r="83" spans="1:67" s="29" customFormat="1" ht="35.1" customHeight="1" x14ac:dyDescent="0.25">
      <c r="A83" s="38">
        <f t="shared" si="58"/>
        <v>77</v>
      </c>
      <c r="B83" s="45" t="s">
        <v>2139</v>
      </c>
      <c r="C83" s="45" t="s">
        <v>2144</v>
      </c>
      <c r="D83" s="64">
        <v>11447</v>
      </c>
      <c r="E83" s="45" t="s">
        <v>2047</v>
      </c>
      <c r="F83" s="41">
        <v>2624</v>
      </c>
      <c r="G83" s="41">
        <v>108857.50426207001</v>
      </c>
      <c r="H83" s="41">
        <v>29</v>
      </c>
      <c r="I83" s="41">
        <v>421.17557108</v>
      </c>
      <c r="J83" s="40">
        <f t="shared" si="45"/>
        <v>3.8690540807001872E-3</v>
      </c>
      <c r="K83" s="41">
        <v>2604</v>
      </c>
      <c r="L83" s="41">
        <v>111289.5192069099</v>
      </c>
      <c r="M83" s="41">
        <v>29</v>
      </c>
      <c r="N83" s="41">
        <v>398.10681596000001</v>
      </c>
      <c r="O83" s="40">
        <f t="shared" si="46"/>
        <v>3.5772175025739691E-3</v>
      </c>
      <c r="P83" s="41">
        <v>3993</v>
      </c>
      <c r="Q83" s="41">
        <v>140558.55965988012</v>
      </c>
      <c r="R83" s="41">
        <v>99</v>
      </c>
      <c r="S83" s="41">
        <v>1682.2035489200005</v>
      </c>
      <c r="T83" s="40">
        <f t="shared" si="47"/>
        <v>1.1967990800350773E-2</v>
      </c>
      <c r="U83" s="41">
        <v>2557</v>
      </c>
      <c r="V83" s="41">
        <v>131467.09925737011</v>
      </c>
      <c r="W83" s="41">
        <v>27</v>
      </c>
      <c r="X83" s="41">
        <v>342.10897219000003</v>
      </c>
      <c r="Y83" s="40">
        <f t="shared" si="48"/>
        <v>2.6022402116004793E-3</v>
      </c>
      <c r="Z83" s="41">
        <v>2538</v>
      </c>
      <c r="AA83" s="41">
        <v>137635.71417170993</v>
      </c>
      <c r="AB83" s="41">
        <v>35</v>
      </c>
      <c r="AC83" s="41">
        <v>509.9841351899999</v>
      </c>
      <c r="AD83" s="40">
        <f t="shared" si="49"/>
        <v>3.7053183344096284E-3</v>
      </c>
      <c r="AE83" s="44">
        <v>2494</v>
      </c>
      <c r="AF83" s="44">
        <v>137044.45821848017</v>
      </c>
      <c r="AG83" s="44">
        <v>39</v>
      </c>
      <c r="AH83" s="44">
        <v>400.14203857000001</v>
      </c>
      <c r="AI83" s="40">
        <f t="shared" si="50"/>
        <v>2.9197972962327467E-3</v>
      </c>
      <c r="AJ83" s="44">
        <v>2437</v>
      </c>
      <c r="AK83" s="44">
        <v>147110.69572827968</v>
      </c>
      <c r="AL83" s="44">
        <v>30</v>
      </c>
      <c r="AM83" s="44">
        <v>621.64823736999983</v>
      </c>
      <c r="AN83" s="40">
        <f t="shared" si="51"/>
        <v>4.2257174727676709E-3</v>
      </c>
      <c r="AO83" s="44">
        <v>2359</v>
      </c>
      <c r="AP83" s="44">
        <v>144269.87008009001</v>
      </c>
      <c r="AQ83" s="44">
        <v>36</v>
      </c>
      <c r="AR83" s="44">
        <v>811.65450226999985</v>
      </c>
      <c r="AS83" s="40">
        <f t="shared" si="52"/>
        <v>5.6259460261482023E-3</v>
      </c>
      <c r="AT83" s="44">
        <v>2297</v>
      </c>
      <c r="AU83" s="44">
        <v>143161.53411617025</v>
      </c>
      <c r="AV83" s="44">
        <v>41</v>
      </c>
      <c r="AW83" s="44">
        <v>1226.6543737500003</v>
      </c>
      <c r="AX83" s="40">
        <f t="shared" si="53"/>
        <v>8.5683237562585498E-3</v>
      </c>
      <c r="AY83" s="41">
        <v>4215</v>
      </c>
      <c r="AZ83" s="41">
        <v>162161.67066982953</v>
      </c>
      <c r="BA83" s="41">
        <v>260</v>
      </c>
      <c r="BB83" s="41">
        <v>4237.4622640999987</v>
      </c>
      <c r="BC83" s="40">
        <f t="shared" si="54"/>
        <v>2.6131096495223678E-2</v>
      </c>
      <c r="BD83" s="39">
        <v>4222</v>
      </c>
      <c r="BE83" s="39">
        <v>158047.40594560007</v>
      </c>
      <c r="BF83" s="39">
        <v>251</v>
      </c>
      <c r="BG83" s="39">
        <v>4593.379524799996</v>
      </c>
      <c r="BH83" s="40">
        <f t="shared" si="55"/>
        <v>2.9063302224530262E-2</v>
      </c>
      <c r="BI83" s="39">
        <v>4196</v>
      </c>
      <c r="BJ83" s="39">
        <v>156066.43507674983</v>
      </c>
      <c r="BK83" s="39">
        <v>239</v>
      </c>
      <c r="BL83" s="39">
        <v>4395.639134899996</v>
      </c>
      <c r="BM83" s="40">
        <f t="shared" si="56"/>
        <v>2.8165179352871893E-2</v>
      </c>
      <c r="BN83" s="42">
        <v>0</v>
      </c>
      <c r="BO83" s="42">
        <v>0</v>
      </c>
    </row>
    <row r="84" spans="1:67" s="29" customFormat="1" ht="35.1" customHeight="1" x14ac:dyDescent="0.25">
      <c r="A84" s="38">
        <f t="shared" si="58"/>
        <v>78</v>
      </c>
      <c r="B84" s="45" t="s">
        <v>2139</v>
      </c>
      <c r="C84" s="45" t="s">
        <v>2145</v>
      </c>
      <c r="D84" s="64">
        <v>11448</v>
      </c>
      <c r="E84" s="45" t="s">
        <v>2035</v>
      </c>
      <c r="F84" s="41">
        <v>1802</v>
      </c>
      <c r="G84" s="41">
        <v>100692.49488885008</v>
      </c>
      <c r="H84" s="41">
        <v>26</v>
      </c>
      <c r="I84" s="41">
        <v>423.25336132999996</v>
      </c>
      <c r="J84" s="40">
        <f t="shared" si="45"/>
        <v>4.2034251092617214E-3</v>
      </c>
      <c r="K84" s="41">
        <v>1781</v>
      </c>
      <c r="L84" s="41">
        <v>100202.87657452005</v>
      </c>
      <c r="M84" s="41">
        <v>34</v>
      </c>
      <c r="N84" s="41">
        <v>446.22045030000004</v>
      </c>
      <c r="O84" s="40">
        <f t="shared" si="46"/>
        <v>4.4531700641163687E-3</v>
      </c>
      <c r="P84" s="41">
        <v>2926</v>
      </c>
      <c r="Q84" s="41">
        <v>122768.13494382025</v>
      </c>
      <c r="R84" s="41">
        <v>120</v>
      </c>
      <c r="S84" s="41">
        <v>3248.9662992999997</v>
      </c>
      <c r="T84" s="40">
        <f t="shared" si="47"/>
        <v>2.6464247426962663E-2</v>
      </c>
      <c r="U84" s="41">
        <v>1706</v>
      </c>
      <c r="V84" s="41">
        <v>112508.54063838017</v>
      </c>
      <c r="W84" s="41">
        <v>24</v>
      </c>
      <c r="X84" s="41">
        <v>1468.1526136100001</v>
      </c>
      <c r="Y84" s="40">
        <f t="shared" si="48"/>
        <v>1.3049254796832442E-2</v>
      </c>
      <c r="Z84" s="41">
        <v>1704</v>
      </c>
      <c r="AA84" s="41">
        <v>113730.79244980015</v>
      </c>
      <c r="AB84" s="41">
        <v>31</v>
      </c>
      <c r="AC84" s="41">
        <v>1579.71049971</v>
      </c>
      <c r="AD84" s="40">
        <f t="shared" si="49"/>
        <v>1.3889910249304483E-2</v>
      </c>
      <c r="AE84" s="44">
        <v>1675</v>
      </c>
      <c r="AF84" s="44">
        <v>118304.35301447008</v>
      </c>
      <c r="AG84" s="44">
        <v>24</v>
      </c>
      <c r="AH84" s="44">
        <v>1476.61767977</v>
      </c>
      <c r="AI84" s="40">
        <f t="shared" si="50"/>
        <v>1.2481516040152737E-2</v>
      </c>
      <c r="AJ84" s="44">
        <v>1651</v>
      </c>
      <c r="AK84" s="44">
        <v>119795.21058040019</v>
      </c>
      <c r="AL84" s="44">
        <v>15</v>
      </c>
      <c r="AM84" s="44">
        <v>1374.6918726599999</v>
      </c>
      <c r="AN84" s="40">
        <f t="shared" si="51"/>
        <v>1.1475349189668811E-2</v>
      </c>
      <c r="AO84" s="44">
        <v>1590</v>
      </c>
      <c r="AP84" s="44">
        <v>123985.63735717</v>
      </c>
      <c r="AQ84" s="44">
        <v>17</v>
      </c>
      <c r="AR84" s="44">
        <v>1402.4443969500001</v>
      </c>
      <c r="AS84" s="40">
        <f t="shared" si="52"/>
        <v>1.1311345627154594E-2</v>
      </c>
      <c r="AT84" s="44">
        <v>1563</v>
      </c>
      <c r="AU84" s="44">
        <v>127018.40608393982</v>
      </c>
      <c r="AV84" s="44">
        <v>15</v>
      </c>
      <c r="AW84" s="44">
        <v>1415.1972056</v>
      </c>
      <c r="AX84" s="40">
        <f t="shared" si="53"/>
        <v>1.1141670323470838E-2</v>
      </c>
      <c r="AY84" s="41">
        <v>3313</v>
      </c>
      <c r="AZ84" s="41">
        <v>151734.99187430998</v>
      </c>
      <c r="BA84" s="41">
        <v>233</v>
      </c>
      <c r="BB84" s="41">
        <v>5310.0399637699966</v>
      </c>
      <c r="BC84" s="40">
        <f t="shared" si="54"/>
        <v>3.4995487185767803E-2</v>
      </c>
      <c r="BD84" s="39">
        <v>3350</v>
      </c>
      <c r="BE84" s="39">
        <v>154926.02037836003</v>
      </c>
      <c r="BF84" s="39">
        <v>230</v>
      </c>
      <c r="BG84" s="39">
        <v>5152.3294916899968</v>
      </c>
      <c r="BH84" s="40">
        <f t="shared" si="55"/>
        <v>3.3256708454183409E-2</v>
      </c>
      <c r="BI84" s="39">
        <v>3484</v>
      </c>
      <c r="BJ84" s="39">
        <v>160212.35269929993</v>
      </c>
      <c r="BK84" s="39">
        <v>214</v>
      </c>
      <c r="BL84" s="39">
        <v>4864.2939597599971</v>
      </c>
      <c r="BM84" s="40">
        <f t="shared" si="56"/>
        <v>3.0361541278216636E-2</v>
      </c>
      <c r="BN84" s="42">
        <v>0</v>
      </c>
      <c r="BO84" s="42">
        <v>0</v>
      </c>
    </row>
    <row r="85" spans="1:67" s="29" customFormat="1" ht="35.1" customHeight="1" x14ac:dyDescent="0.25">
      <c r="A85" s="38">
        <f t="shared" si="58"/>
        <v>79</v>
      </c>
      <c r="B85" s="45" t="s">
        <v>2146</v>
      </c>
      <c r="C85" s="45" t="s">
        <v>2147</v>
      </c>
      <c r="D85" s="64" t="s">
        <v>10</v>
      </c>
      <c r="E85" s="45" t="s">
        <v>2079</v>
      </c>
      <c r="F85" s="41">
        <v>6025</v>
      </c>
      <c r="G85" s="41">
        <v>418205.47895150015</v>
      </c>
      <c r="H85" s="41">
        <v>312</v>
      </c>
      <c r="I85" s="41">
        <v>9663.5282785099989</v>
      </c>
      <c r="J85" s="40">
        <f t="shared" ref="J85" si="59">+IFERROR(I85/G85,"")</f>
        <v>2.3107129783994752E-2</v>
      </c>
      <c r="K85" s="41">
        <v>6069</v>
      </c>
      <c r="L85" s="41">
        <v>454772.04713028931</v>
      </c>
      <c r="M85" s="41">
        <v>312</v>
      </c>
      <c r="N85" s="41">
        <v>9291.299635179992</v>
      </c>
      <c r="O85" s="40">
        <f t="shared" ref="O85" si="60">+IFERROR(N85/L85,"")</f>
        <v>2.0430674430871723E-2</v>
      </c>
      <c r="P85" s="41">
        <v>6004</v>
      </c>
      <c r="Q85" s="41">
        <v>468440.2792031609</v>
      </c>
      <c r="R85" s="41">
        <v>360</v>
      </c>
      <c r="S85" s="41">
        <v>10132.251419080001</v>
      </c>
      <c r="T85" s="40">
        <f t="shared" ref="T85" si="61">+IFERROR(S85/Q85,"")</f>
        <v>2.1629761292763811E-2</v>
      </c>
      <c r="U85" s="41">
        <v>5970</v>
      </c>
      <c r="V85" s="41">
        <v>486718.77180402988</v>
      </c>
      <c r="W85" s="41">
        <v>235</v>
      </c>
      <c r="X85" s="41">
        <v>11198.793371629999</v>
      </c>
      <c r="Y85" s="40">
        <f t="shared" ref="Y85" si="62">+IFERROR(X85/V85,"")</f>
        <v>2.3008755816262268E-2</v>
      </c>
      <c r="Z85" s="41">
        <v>5946</v>
      </c>
      <c r="AA85" s="41">
        <v>490877.24250892003</v>
      </c>
      <c r="AB85" s="41">
        <v>296</v>
      </c>
      <c r="AC85" s="41">
        <v>14895.478155229994</v>
      </c>
      <c r="AD85" s="40">
        <f t="shared" ref="AD85" si="63">+IFERROR(AC85/AA85,"")</f>
        <v>3.0344609334704124E-2</v>
      </c>
      <c r="AE85" s="44">
        <v>5860</v>
      </c>
      <c r="AF85" s="44">
        <v>498434.12423022912</v>
      </c>
      <c r="AG85" s="44">
        <v>274</v>
      </c>
      <c r="AH85" s="44">
        <v>11813.416812870004</v>
      </c>
      <c r="AI85" s="40">
        <f t="shared" ref="AI85" si="64">+IFERROR(AH85/AF85,"")</f>
        <v>2.3701059455177531E-2</v>
      </c>
      <c r="AJ85" s="44">
        <v>5773</v>
      </c>
      <c r="AK85" s="44">
        <v>510367.29781112081</v>
      </c>
      <c r="AL85" s="44">
        <v>297</v>
      </c>
      <c r="AM85" s="44">
        <v>11825.232319870003</v>
      </c>
      <c r="AN85" s="40">
        <f t="shared" ref="AN85" si="65">+IFERROR(AM85/AK85,"")</f>
        <v>2.3170043164180833E-2</v>
      </c>
      <c r="AO85" s="44">
        <v>5907</v>
      </c>
      <c r="AP85" s="44">
        <v>512293.75146097993</v>
      </c>
      <c r="AQ85" s="44">
        <v>304</v>
      </c>
      <c r="AR85" s="44">
        <v>12187.906246469998</v>
      </c>
      <c r="AS85" s="40">
        <f t="shared" ref="AS85" si="66">+IFERROR(AR85/AP85,"")</f>
        <v>2.3790854781484329E-2</v>
      </c>
      <c r="AT85" s="44">
        <v>5942</v>
      </c>
      <c r="AU85" s="44">
        <v>512478.56394102803</v>
      </c>
      <c r="AV85" s="44">
        <v>315</v>
      </c>
      <c r="AW85" s="44">
        <v>11994.912393990004</v>
      </c>
      <c r="AX85" s="40">
        <f t="shared" ref="AX85" si="67">+IFERROR(AW85/AU85,"")</f>
        <v>2.3405686087136092E-2</v>
      </c>
      <c r="AY85" s="41">
        <v>5864</v>
      </c>
      <c r="AZ85" s="41">
        <v>527066.88274307898</v>
      </c>
      <c r="BA85" s="41">
        <v>344</v>
      </c>
      <c r="BB85" s="41">
        <v>13547.283213460008</v>
      </c>
      <c r="BC85" s="40">
        <f t="shared" ref="BC85" si="68">+IFERROR(BB85/AZ85,"")</f>
        <v>2.5703157714926456E-2</v>
      </c>
      <c r="BD85" s="39">
        <v>5767</v>
      </c>
      <c r="BE85" s="39">
        <v>537051.29637837934</v>
      </c>
      <c r="BF85" s="39">
        <v>384</v>
      </c>
      <c r="BG85" s="39">
        <v>10310.318880360001</v>
      </c>
      <c r="BH85" s="40">
        <f t="shared" ref="BH85" si="69">+IFERROR(BG85/BE85,"")</f>
        <v>1.919801506837043E-2</v>
      </c>
      <c r="BI85" s="39">
        <v>5627</v>
      </c>
      <c r="BJ85" s="39">
        <v>546207.70810807939</v>
      </c>
      <c r="BK85" s="39">
        <v>369</v>
      </c>
      <c r="BL85" s="39">
        <v>9698.5019601499989</v>
      </c>
      <c r="BM85" s="40">
        <f t="shared" ref="BM85" si="70">+IFERROR(BL85/BJ85,"")</f>
        <v>1.7756069378337909E-2</v>
      </c>
      <c r="BN85" s="42">
        <v>0</v>
      </c>
      <c r="BO85" s="42">
        <v>0</v>
      </c>
    </row>
    <row r="86" spans="1:67" s="29" customFormat="1" ht="35.1" customHeight="1" x14ac:dyDescent="0.25">
      <c r="A86" s="38">
        <f t="shared" si="58"/>
        <v>80</v>
      </c>
      <c r="B86" s="45" t="s">
        <v>2148</v>
      </c>
      <c r="C86" s="45" t="s">
        <v>2149</v>
      </c>
      <c r="D86" s="64" t="s">
        <v>13</v>
      </c>
      <c r="E86" s="45" t="s">
        <v>2045</v>
      </c>
      <c r="F86" s="41">
        <v>12477</v>
      </c>
      <c r="G86" s="41">
        <v>604184.44536539505</v>
      </c>
      <c r="H86" s="41">
        <v>87</v>
      </c>
      <c r="I86" s="41">
        <v>31075.083192030008</v>
      </c>
      <c r="J86" s="40">
        <f t="shared" ref="J86:J94" si="71">+IFERROR(I86/G86,"")</f>
        <v>5.1433106943421236E-2</v>
      </c>
      <c r="K86" s="41">
        <v>12287</v>
      </c>
      <c r="L86" s="41">
        <v>606596.36524572247</v>
      </c>
      <c r="M86" s="41">
        <v>185</v>
      </c>
      <c r="N86" s="41">
        <v>36063.474213629976</v>
      </c>
      <c r="O86" s="40">
        <f t="shared" ref="O86:O94" si="72">+IFERROR(N86/L86,"")</f>
        <v>5.94521765705293E-2</v>
      </c>
      <c r="P86" s="41">
        <v>12049</v>
      </c>
      <c r="Q86" s="41">
        <v>599729.06057017308</v>
      </c>
      <c r="R86" s="41">
        <v>226</v>
      </c>
      <c r="S86" s="41">
        <v>48796.552184850014</v>
      </c>
      <c r="T86" s="40">
        <f t="shared" ref="T86:T94" si="73">+IFERROR(S86/Q86,"")</f>
        <v>8.1364328315953652E-2</v>
      </c>
      <c r="U86" s="41">
        <v>11779</v>
      </c>
      <c r="V86" s="41">
        <v>590936.06768249138</v>
      </c>
      <c r="W86" s="41">
        <v>209</v>
      </c>
      <c r="X86" s="41">
        <v>79271.871784599978</v>
      </c>
      <c r="Y86" s="40">
        <f t="shared" ref="Y86:Y94" si="74">+IFERROR(X86/V86,"")</f>
        <v>0.13414627422469766</v>
      </c>
      <c r="Z86" s="41">
        <v>11594</v>
      </c>
      <c r="AA86" s="41">
        <v>588472.07645082322</v>
      </c>
      <c r="AB86" s="41">
        <v>202</v>
      </c>
      <c r="AC86" s="41">
        <v>79607.727054600051</v>
      </c>
      <c r="AD86" s="40">
        <f t="shared" ref="AD86:AD94" si="75">+IFERROR(AC86/AA86,"")</f>
        <v>0.13527868226939163</v>
      </c>
      <c r="AE86" s="44">
        <v>11363</v>
      </c>
      <c r="AF86" s="44">
        <v>588808.89423277148</v>
      </c>
      <c r="AG86" s="44">
        <v>191</v>
      </c>
      <c r="AH86" s="44">
        <v>72891.10020257</v>
      </c>
      <c r="AI86" s="40">
        <f t="shared" ref="AI86:AI94" si="76">+IFERROR(AH86/AF86,"")</f>
        <v>0.1237941561625838</v>
      </c>
      <c r="AJ86" s="44">
        <v>11292</v>
      </c>
      <c r="AK86" s="44">
        <v>580315.77469079476</v>
      </c>
      <c r="AL86" s="44">
        <v>166</v>
      </c>
      <c r="AM86" s="44">
        <v>71981.448649920043</v>
      </c>
      <c r="AN86" s="40">
        <f t="shared" ref="AN86:AN94" si="77">+IFERROR(AM86/AK86,"")</f>
        <v>0.12403841458260095</v>
      </c>
      <c r="AO86" s="44">
        <v>10995</v>
      </c>
      <c r="AP86" s="44">
        <v>578188.2141791</v>
      </c>
      <c r="AQ86" s="44">
        <v>201</v>
      </c>
      <c r="AR86" s="44">
        <v>74754.76026342003</v>
      </c>
      <c r="AS86" s="40">
        <f t="shared" ref="AS86:AS94" si="78">+IFERROR(AR86/AP86,"")</f>
        <v>0.1292913941000256</v>
      </c>
      <c r="AT86" s="44">
        <v>10843</v>
      </c>
      <c r="AU86" s="44">
        <v>575009.05581657332</v>
      </c>
      <c r="AV86" s="44">
        <v>209</v>
      </c>
      <c r="AW86" s="44">
        <v>74184.313711380077</v>
      </c>
      <c r="AX86" s="40">
        <f t="shared" ref="AX86:AX94" si="79">+IFERROR(AW86/AU86,"")</f>
        <v>0.12901416588305822</v>
      </c>
      <c r="AY86" s="41">
        <v>10629</v>
      </c>
      <c r="AZ86" s="41">
        <v>577653.89639744919</v>
      </c>
      <c r="BA86" s="41">
        <v>295</v>
      </c>
      <c r="BB86" s="41">
        <v>81906.415559370129</v>
      </c>
      <c r="BC86" s="40">
        <f t="shared" ref="BC86:BC94" si="80">+IFERROR(BB86/AZ86,"")</f>
        <v>0.14179150538095775</v>
      </c>
      <c r="BD86" s="39">
        <v>10539</v>
      </c>
      <c r="BE86" s="39">
        <v>574175.47494943067</v>
      </c>
      <c r="BF86" s="39">
        <v>348</v>
      </c>
      <c r="BG86" s="39">
        <v>84391.858830040132</v>
      </c>
      <c r="BH86" s="40">
        <f t="shared" ref="BH86:BH94" si="81">+IFERROR(BG86/BE86,"")</f>
        <v>0.14697921195166472</v>
      </c>
      <c r="BI86" s="39">
        <v>10512</v>
      </c>
      <c r="BJ86" s="39">
        <v>574345.36371423141</v>
      </c>
      <c r="BK86" s="39">
        <v>392</v>
      </c>
      <c r="BL86" s="39">
        <v>87917.630036370116</v>
      </c>
      <c r="BM86" s="40">
        <f t="shared" ref="BM86:BM94" si="82">+IFERROR(BL86/BJ86,"")</f>
        <v>0.15307450114651575</v>
      </c>
      <c r="BN86" s="42">
        <v>0</v>
      </c>
      <c r="BO86" s="42">
        <v>0</v>
      </c>
    </row>
    <row r="87" spans="1:67" s="29" customFormat="1" ht="35.1" customHeight="1" x14ac:dyDescent="0.25">
      <c r="A87" s="38">
        <f t="shared" si="58"/>
        <v>81</v>
      </c>
      <c r="B87" s="45" t="s">
        <v>2148</v>
      </c>
      <c r="C87" s="45" t="s">
        <v>2150</v>
      </c>
      <c r="D87" s="64" t="s">
        <v>7</v>
      </c>
      <c r="E87" s="45" t="s">
        <v>2049</v>
      </c>
      <c r="F87" s="41">
        <v>51432</v>
      </c>
      <c r="G87" s="41">
        <v>4253606.5348706348</v>
      </c>
      <c r="H87" s="41">
        <v>0</v>
      </c>
      <c r="I87" s="41">
        <v>0</v>
      </c>
      <c r="J87" s="40">
        <f t="shared" si="71"/>
        <v>0</v>
      </c>
      <c r="K87" s="41">
        <v>50678</v>
      </c>
      <c r="L87" s="41">
        <v>4324541.1951040374</v>
      </c>
      <c r="M87" s="41">
        <v>81</v>
      </c>
      <c r="N87" s="41">
        <v>907.08372910999981</v>
      </c>
      <c r="O87" s="40">
        <f t="shared" si="72"/>
        <v>2.0975259297724823E-4</v>
      </c>
      <c r="P87" s="41">
        <v>49489</v>
      </c>
      <c r="Q87" s="41">
        <v>3934992.1620069854</v>
      </c>
      <c r="R87" s="41">
        <v>49</v>
      </c>
      <c r="S87" s="41">
        <v>818.18980746999989</v>
      </c>
      <c r="T87" s="40">
        <f t="shared" si="73"/>
        <v>2.0792666764873406E-4</v>
      </c>
      <c r="U87" s="41">
        <v>48423</v>
      </c>
      <c r="V87" s="41">
        <v>3528181.6296880939</v>
      </c>
      <c r="W87" s="41">
        <v>0</v>
      </c>
      <c r="X87" s="41">
        <v>0</v>
      </c>
      <c r="Y87" s="40">
        <f t="shared" si="74"/>
        <v>0</v>
      </c>
      <c r="Z87" s="41">
        <v>47206</v>
      </c>
      <c r="AA87" s="41">
        <v>3155894.2592164865</v>
      </c>
      <c r="AB87" s="41">
        <v>59</v>
      </c>
      <c r="AC87" s="41">
        <v>383.31678713999997</v>
      </c>
      <c r="AD87" s="40">
        <f t="shared" si="75"/>
        <v>1.2146059267371207E-4</v>
      </c>
      <c r="AE87" s="44">
        <v>46210</v>
      </c>
      <c r="AF87" s="44">
        <v>3013029.4339954765</v>
      </c>
      <c r="AG87" s="44">
        <v>21</v>
      </c>
      <c r="AH87" s="44">
        <v>402.43178977999992</v>
      </c>
      <c r="AI87" s="40">
        <f t="shared" si="76"/>
        <v>1.3356384283519883E-4</v>
      </c>
      <c r="AJ87" s="44">
        <v>45754</v>
      </c>
      <c r="AK87" s="44">
        <v>2873262.2682524351</v>
      </c>
      <c r="AL87" s="44">
        <v>11</v>
      </c>
      <c r="AM87" s="44">
        <v>268.92133855000003</v>
      </c>
      <c r="AN87" s="40">
        <f t="shared" si="77"/>
        <v>9.3594428020510065E-5</v>
      </c>
      <c r="AO87" s="44">
        <v>43984</v>
      </c>
      <c r="AP87" s="44">
        <v>2794972.21989349</v>
      </c>
      <c r="AQ87" s="44">
        <v>43</v>
      </c>
      <c r="AR87" s="44">
        <v>1049.0964003499998</v>
      </c>
      <c r="AS87" s="40">
        <f t="shared" si="78"/>
        <v>3.753512800173658E-4</v>
      </c>
      <c r="AT87" s="44">
        <v>42622</v>
      </c>
      <c r="AU87" s="44">
        <v>2795542.7089027339</v>
      </c>
      <c r="AV87" s="44">
        <v>60</v>
      </c>
      <c r="AW87" s="44">
        <v>1381.0483902499998</v>
      </c>
      <c r="AX87" s="40">
        <f t="shared" si="79"/>
        <v>4.9401799008539173E-4</v>
      </c>
      <c r="AY87" s="41">
        <v>41382</v>
      </c>
      <c r="AZ87" s="41">
        <v>2795279.876795785</v>
      </c>
      <c r="BA87" s="41">
        <v>300</v>
      </c>
      <c r="BB87" s="41">
        <v>5348.7949825900005</v>
      </c>
      <c r="BC87" s="40">
        <f t="shared" si="80"/>
        <v>1.9135096370819572E-3</v>
      </c>
      <c r="BD87" s="39">
        <v>40883</v>
      </c>
      <c r="BE87" s="39">
        <v>2763687.1806762763</v>
      </c>
      <c r="BF87" s="39">
        <v>331</v>
      </c>
      <c r="BG87" s="39">
        <v>7187.3727770000032</v>
      </c>
      <c r="BH87" s="40">
        <f t="shared" si="81"/>
        <v>2.6006462769209821E-3</v>
      </c>
      <c r="BI87" s="39">
        <v>40552</v>
      </c>
      <c r="BJ87" s="39">
        <v>2638690.7563418187</v>
      </c>
      <c r="BK87" s="39">
        <v>516</v>
      </c>
      <c r="BL87" s="39">
        <v>13288.49708237001</v>
      </c>
      <c r="BM87" s="40">
        <f t="shared" si="82"/>
        <v>5.0360191130516107E-3</v>
      </c>
      <c r="BN87" s="42">
        <v>0</v>
      </c>
      <c r="BO87" s="42">
        <v>0</v>
      </c>
    </row>
    <row r="88" spans="1:67" s="29" customFormat="1" ht="35.1" customHeight="1" x14ac:dyDescent="0.25">
      <c r="A88" s="38">
        <f t="shared" si="58"/>
        <v>82</v>
      </c>
      <c r="B88" s="45" t="s">
        <v>2148</v>
      </c>
      <c r="C88" s="45" t="s">
        <v>2151</v>
      </c>
      <c r="D88" s="64" t="s">
        <v>5</v>
      </c>
      <c r="E88" s="45" t="s">
        <v>2037</v>
      </c>
      <c r="F88" s="41">
        <v>14129</v>
      </c>
      <c r="G88" s="41">
        <v>250642.04903776053</v>
      </c>
      <c r="H88" s="41">
        <v>0</v>
      </c>
      <c r="I88" s="41">
        <v>0</v>
      </c>
      <c r="J88" s="40">
        <f t="shared" si="71"/>
        <v>0</v>
      </c>
      <c r="K88" s="41">
        <v>13968</v>
      </c>
      <c r="L88" s="41">
        <v>250820.28599413045</v>
      </c>
      <c r="M88" s="41">
        <v>0</v>
      </c>
      <c r="N88" s="41">
        <v>0</v>
      </c>
      <c r="O88" s="40">
        <f t="shared" si="72"/>
        <v>0</v>
      </c>
      <c r="P88" s="41">
        <v>13613</v>
      </c>
      <c r="Q88" s="41">
        <v>251504.69241542905</v>
      </c>
      <c r="R88" s="41">
        <v>0</v>
      </c>
      <c r="S88" s="41">
        <v>0</v>
      </c>
      <c r="T88" s="40">
        <f t="shared" si="73"/>
        <v>0</v>
      </c>
      <c r="U88" s="41">
        <v>13138</v>
      </c>
      <c r="V88" s="41">
        <v>248251.92029562028</v>
      </c>
      <c r="W88" s="41">
        <v>0</v>
      </c>
      <c r="X88" s="41">
        <v>0</v>
      </c>
      <c r="Y88" s="40">
        <f t="shared" si="74"/>
        <v>0</v>
      </c>
      <c r="Z88" s="41">
        <v>13049</v>
      </c>
      <c r="AA88" s="41">
        <v>248578.56220799973</v>
      </c>
      <c r="AB88" s="41">
        <v>27</v>
      </c>
      <c r="AC88" s="41">
        <v>90.211767680000008</v>
      </c>
      <c r="AD88" s="40">
        <f t="shared" si="75"/>
        <v>3.629104894593232E-4</v>
      </c>
      <c r="AE88" s="44">
        <v>12881</v>
      </c>
      <c r="AF88" s="44">
        <v>251738.80200093062</v>
      </c>
      <c r="AG88" s="44">
        <v>13</v>
      </c>
      <c r="AH88" s="44">
        <v>98.414586390000011</v>
      </c>
      <c r="AI88" s="40">
        <f t="shared" si="76"/>
        <v>3.9093928154006311E-4</v>
      </c>
      <c r="AJ88" s="44">
        <v>12801</v>
      </c>
      <c r="AK88" s="44">
        <v>247664.07547439716</v>
      </c>
      <c r="AL88" s="44">
        <v>13</v>
      </c>
      <c r="AM88" s="44">
        <v>86.836107739999989</v>
      </c>
      <c r="AN88" s="40">
        <f t="shared" si="77"/>
        <v>3.5062052327801928E-4</v>
      </c>
      <c r="AO88" s="44">
        <v>12465</v>
      </c>
      <c r="AP88" s="44">
        <v>246010.40255179003</v>
      </c>
      <c r="AQ88" s="44">
        <v>16</v>
      </c>
      <c r="AR88" s="44">
        <v>287.92676142999989</v>
      </c>
      <c r="AS88" s="40">
        <f t="shared" si="78"/>
        <v>1.1703844977424709E-3</v>
      </c>
      <c r="AT88" s="44">
        <v>12197</v>
      </c>
      <c r="AU88" s="44">
        <v>246386.51538496889</v>
      </c>
      <c r="AV88" s="44">
        <v>11</v>
      </c>
      <c r="AW88" s="44">
        <v>259.96876273000004</v>
      </c>
      <c r="AX88" s="40">
        <f t="shared" si="79"/>
        <v>1.0551257739239886E-3</v>
      </c>
      <c r="AY88" s="41">
        <v>11802</v>
      </c>
      <c r="AZ88" s="41">
        <v>242832.85901418945</v>
      </c>
      <c r="BA88" s="41">
        <v>85</v>
      </c>
      <c r="BB88" s="41">
        <v>849.77223749000052</v>
      </c>
      <c r="BC88" s="40">
        <f t="shared" si="80"/>
        <v>3.4994120686127812E-3</v>
      </c>
      <c r="BD88" s="39">
        <v>11682</v>
      </c>
      <c r="BE88" s="39">
        <v>241856.54328644957</v>
      </c>
      <c r="BF88" s="39">
        <v>129</v>
      </c>
      <c r="BG88" s="39">
        <v>1520.7681714599983</v>
      </c>
      <c r="BH88" s="40">
        <f t="shared" si="81"/>
        <v>6.2878934379659674E-3</v>
      </c>
      <c r="BI88" s="39">
        <v>11671</v>
      </c>
      <c r="BJ88" s="39">
        <v>235503.75203896957</v>
      </c>
      <c r="BK88" s="39">
        <v>105</v>
      </c>
      <c r="BL88" s="39">
        <v>1465.7150443299984</v>
      </c>
      <c r="BM88" s="40">
        <f t="shared" si="82"/>
        <v>6.2237439176232815E-3</v>
      </c>
      <c r="BN88" s="42">
        <v>0</v>
      </c>
      <c r="BO88" s="42">
        <v>0</v>
      </c>
    </row>
    <row r="89" spans="1:67" s="29" customFormat="1" ht="35.1" customHeight="1" x14ac:dyDescent="0.25">
      <c r="A89" s="38">
        <f t="shared" si="58"/>
        <v>83</v>
      </c>
      <c r="B89" s="45" t="s">
        <v>2148</v>
      </c>
      <c r="C89" s="45" t="s">
        <v>2152</v>
      </c>
      <c r="D89" s="64" t="s">
        <v>6</v>
      </c>
      <c r="E89" s="45" t="s">
        <v>2047</v>
      </c>
      <c r="F89" s="41">
        <v>17116</v>
      </c>
      <c r="G89" s="41">
        <v>481387.78510501899</v>
      </c>
      <c r="H89" s="41">
        <v>33</v>
      </c>
      <c r="I89" s="41">
        <v>24065.341724760005</v>
      </c>
      <c r="J89" s="40">
        <f t="shared" si="71"/>
        <v>4.9991591954311715E-2</v>
      </c>
      <c r="K89" s="41">
        <v>16596</v>
      </c>
      <c r="L89" s="41">
        <v>485269.57011253154</v>
      </c>
      <c r="M89" s="41">
        <v>116</v>
      </c>
      <c r="N89" s="41">
        <v>30277.712231629997</v>
      </c>
      <c r="O89" s="40">
        <f t="shared" si="72"/>
        <v>6.2393593368339065E-2</v>
      </c>
      <c r="P89" s="41">
        <v>16148</v>
      </c>
      <c r="Q89" s="41">
        <v>488241.81188285927</v>
      </c>
      <c r="R89" s="41">
        <v>57</v>
      </c>
      <c r="S89" s="41">
        <v>22784.131077800012</v>
      </c>
      <c r="T89" s="40">
        <f t="shared" si="73"/>
        <v>4.666566959911754E-2</v>
      </c>
      <c r="U89" s="41">
        <v>15741</v>
      </c>
      <c r="V89" s="41">
        <v>489143.28165013186</v>
      </c>
      <c r="W89" s="41">
        <v>34</v>
      </c>
      <c r="X89" s="41">
        <v>21729.900222409997</v>
      </c>
      <c r="Y89" s="40">
        <f t="shared" si="74"/>
        <v>4.4424406994007702E-2</v>
      </c>
      <c r="Z89" s="41">
        <v>15318</v>
      </c>
      <c r="AA89" s="41">
        <v>491263.44594825129</v>
      </c>
      <c r="AB89" s="41">
        <v>43</v>
      </c>
      <c r="AC89" s="41">
        <v>21778.735239249989</v>
      </c>
      <c r="AD89" s="40">
        <f t="shared" si="75"/>
        <v>4.433208987738143E-2</v>
      </c>
      <c r="AE89" s="44">
        <v>14987</v>
      </c>
      <c r="AF89" s="44">
        <v>491687.06126212137</v>
      </c>
      <c r="AG89" s="44">
        <v>109</v>
      </c>
      <c r="AH89" s="44">
        <v>22139.381800229996</v>
      </c>
      <c r="AI89" s="40">
        <f t="shared" si="76"/>
        <v>4.5027383359244749E-2</v>
      </c>
      <c r="AJ89" s="44">
        <v>14908</v>
      </c>
      <c r="AK89" s="44">
        <v>490838.42874260613</v>
      </c>
      <c r="AL89" s="44">
        <v>111</v>
      </c>
      <c r="AM89" s="44">
        <v>22092.340345050005</v>
      </c>
      <c r="AN89" s="40">
        <f t="shared" si="77"/>
        <v>4.5009394235175394E-2</v>
      </c>
      <c r="AO89" s="44">
        <v>14530</v>
      </c>
      <c r="AP89" s="44">
        <v>502436.29627122992</v>
      </c>
      <c r="AQ89" s="44">
        <v>176</v>
      </c>
      <c r="AR89" s="44">
        <v>25558.613185270005</v>
      </c>
      <c r="AS89" s="40">
        <f t="shared" si="78"/>
        <v>5.0869360702939168E-2</v>
      </c>
      <c r="AT89" s="44">
        <v>14379</v>
      </c>
      <c r="AU89" s="44">
        <v>511110.66837825283</v>
      </c>
      <c r="AV89" s="44">
        <v>200</v>
      </c>
      <c r="AW89" s="44">
        <v>26891.948420979981</v>
      </c>
      <c r="AX89" s="40">
        <f t="shared" si="79"/>
        <v>5.2614727268964601E-2</v>
      </c>
      <c r="AY89" s="41">
        <v>14162</v>
      </c>
      <c r="AZ89" s="41">
        <v>499289.6379666815</v>
      </c>
      <c r="BA89" s="41">
        <v>307</v>
      </c>
      <c r="BB89" s="41">
        <v>13766.990300420019</v>
      </c>
      <c r="BC89" s="40">
        <f t="shared" si="80"/>
        <v>2.757315444495308E-2</v>
      </c>
      <c r="BD89" s="39">
        <v>14091</v>
      </c>
      <c r="BE89" s="39">
        <v>492418.18260338879</v>
      </c>
      <c r="BF89" s="39">
        <v>332</v>
      </c>
      <c r="BG89" s="39">
        <v>8529.822800449987</v>
      </c>
      <c r="BH89" s="40">
        <f t="shared" si="81"/>
        <v>1.732231485716727E-2</v>
      </c>
      <c r="BI89" s="39">
        <v>14087</v>
      </c>
      <c r="BJ89" s="39">
        <v>486287.8791721618</v>
      </c>
      <c r="BK89" s="39">
        <v>332</v>
      </c>
      <c r="BL89" s="39">
        <v>9931.4667724500177</v>
      </c>
      <c r="BM89" s="40">
        <f t="shared" si="82"/>
        <v>2.042301936325654E-2</v>
      </c>
      <c r="BN89" s="42">
        <v>0</v>
      </c>
      <c r="BO89" s="42">
        <v>0</v>
      </c>
    </row>
    <row r="90" spans="1:67" s="29" customFormat="1" ht="35.1" customHeight="1" x14ac:dyDescent="0.25">
      <c r="A90" s="38">
        <f t="shared" si="58"/>
        <v>84</v>
      </c>
      <c r="B90" s="45" t="s">
        <v>2148</v>
      </c>
      <c r="C90" s="45" t="s">
        <v>2153</v>
      </c>
      <c r="D90" s="64" t="s">
        <v>4</v>
      </c>
      <c r="E90" s="45" t="s">
        <v>2060</v>
      </c>
      <c r="F90" s="41">
        <v>12454</v>
      </c>
      <c r="G90" s="41">
        <v>345388.68066469423</v>
      </c>
      <c r="H90" s="41">
        <v>2</v>
      </c>
      <c r="I90" s="41">
        <v>12493.35333321</v>
      </c>
      <c r="J90" s="40">
        <f t="shared" si="71"/>
        <v>3.6171866747823841E-2</v>
      </c>
      <c r="K90" s="41">
        <v>12360</v>
      </c>
      <c r="L90" s="41">
        <v>347706.05687784986</v>
      </c>
      <c r="M90" s="41">
        <v>19</v>
      </c>
      <c r="N90" s="41">
        <v>13127.42264391</v>
      </c>
      <c r="O90" s="40">
        <f t="shared" si="72"/>
        <v>3.7754368623269918E-2</v>
      </c>
      <c r="P90" s="41">
        <v>12132</v>
      </c>
      <c r="Q90" s="41">
        <v>348273.86525685951</v>
      </c>
      <c r="R90" s="41">
        <v>5</v>
      </c>
      <c r="S90" s="41">
        <v>12697.981615789999</v>
      </c>
      <c r="T90" s="40">
        <f t="shared" si="73"/>
        <v>3.6459760213201652E-2</v>
      </c>
      <c r="U90" s="41">
        <v>11959</v>
      </c>
      <c r="V90" s="41">
        <v>349725.70110067003</v>
      </c>
      <c r="W90" s="41">
        <v>9</v>
      </c>
      <c r="X90" s="41">
        <v>17628.645798699999</v>
      </c>
      <c r="Y90" s="40">
        <f t="shared" si="74"/>
        <v>5.0407064002498114E-2</v>
      </c>
      <c r="Z90" s="41">
        <v>11756</v>
      </c>
      <c r="AA90" s="41">
        <v>349946.10025420896</v>
      </c>
      <c r="AB90" s="41">
        <v>15</v>
      </c>
      <c r="AC90" s="41">
        <v>17885.570991849996</v>
      </c>
      <c r="AD90" s="40">
        <f t="shared" si="75"/>
        <v>5.1109502231507946E-2</v>
      </c>
      <c r="AE90" s="44">
        <v>11693</v>
      </c>
      <c r="AF90" s="44">
        <v>337536.25462665025</v>
      </c>
      <c r="AG90" s="44">
        <v>11</v>
      </c>
      <c r="AH90" s="44">
        <v>5316.8060217000002</v>
      </c>
      <c r="AI90" s="40">
        <f t="shared" si="76"/>
        <v>1.5751807246842071E-2</v>
      </c>
      <c r="AJ90" s="44">
        <v>11611</v>
      </c>
      <c r="AK90" s="44">
        <v>336515.81081885245</v>
      </c>
      <c r="AL90" s="44">
        <v>12</v>
      </c>
      <c r="AM90" s="44">
        <v>5111.2556373400012</v>
      </c>
      <c r="AN90" s="40">
        <f t="shared" si="77"/>
        <v>1.5188753315639623E-2</v>
      </c>
      <c r="AO90" s="44">
        <v>11303</v>
      </c>
      <c r="AP90" s="44">
        <v>335151.44474229001</v>
      </c>
      <c r="AQ90" s="44">
        <v>27</v>
      </c>
      <c r="AR90" s="44">
        <v>5624.0750164300025</v>
      </c>
      <c r="AS90" s="40">
        <f t="shared" si="78"/>
        <v>1.6780697516475145E-2</v>
      </c>
      <c r="AT90" s="44">
        <v>11058</v>
      </c>
      <c r="AU90" s="44">
        <v>333351.47442438937</v>
      </c>
      <c r="AV90" s="44">
        <v>20</v>
      </c>
      <c r="AW90" s="44">
        <v>5780.3083154900005</v>
      </c>
      <c r="AX90" s="40">
        <f t="shared" si="79"/>
        <v>1.7339981247933817E-2</v>
      </c>
      <c r="AY90" s="41">
        <v>10820</v>
      </c>
      <c r="AZ90" s="41">
        <v>330259.53825291002</v>
      </c>
      <c r="BA90" s="41">
        <v>56</v>
      </c>
      <c r="BB90" s="41">
        <v>17989.505937660004</v>
      </c>
      <c r="BC90" s="40">
        <f t="shared" si="80"/>
        <v>5.4470814174892322E-2</v>
      </c>
      <c r="BD90" s="39">
        <v>10737</v>
      </c>
      <c r="BE90" s="39">
        <v>328681.54538852954</v>
      </c>
      <c r="BF90" s="39">
        <v>47</v>
      </c>
      <c r="BG90" s="39">
        <v>13502.427927360002</v>
      </c>
      <c r="BH90" s="40">
        <f t="shared" si="81"/>
        <v>4.1080578197352044E-2</v>
      </c>
      <c r="BI90" s="39">
        <v>10685</v>
      </c>
      <c r="BJ90" s="39">
        <v>326607.97042553086</v>
      </c>
      <c r="BK90" s="39">
        <v>44</v>
      </c>
      <c r="BL90" s="39">
        <v>13359.951622689998</v>
      </c>
      <c r="BM90" s="40">
        <f t="shared" si="82"/>
        <v>4.0905161026179457E-2</v>
      </c>
      <c r="BN90" s="42">
        <v>0</v>
      </c>
      <c r="BO90" s="42">
        <v>0</v>
      </c>
    </row>
    <row r="91" spans="1:67" s="29" customFormat="1" ht="35.1" customHeight="1" x14ac:dyDescent="0.25">
      <c r="A91" s="38">
        <f t="shared" si="58"/>
        <v>85</v>
      </c>
      <c r="B91" s="45" t="s">
        <v>2148</v>
      </c>
      <c r="C91" s="45" t="s">
        <v>2154</v>
      </c>
      <c r="D91" s="64" t="s">
        <v>9</v>
      </c>
      <c r="E91" s="45" t="s">
        <v>2041</v>
      </c>
      <c r="F91" s="41">
        <v>20078</v>
      </c>
      <c r="G91" s="41">
        <v>501049.15975891874</v>
      </c>
      <c r="H91" s="41">
        <v>1</v>
      </c>
      <c r="I91" s="41">
        <v>680.62682510000002</v>
      </c>
      <c r="J91" s="40">
        <f t="shared" si="71"/>
        <v>1.3584032860717412E-3</v>
      </c>
      <c r="K91" s="41">
        <v>19668</v>
      </c>
      <c r="L91" s="41">
        <v>704563.02353996015</v>
      </c>
      <c r="M91" s="41">
        <v>11</v>
      </c>
      <c r="N91" s="41">
        <v>730.27457585000002</v>
      </c>
      <c r="O91" s="40">
        <f t="shared" si="72"/>
        <v>1.0364929061716245E-3</v>
      </c>
      <c r="P91" s="41">
        <v>19096</v>
      </c>
      <c r="Q91" s="41">
        <v>703403.44357787818</v>
      </c>
      <c r="R91" s="41">
        <v>1</v>
      </c>
      <c r="S91" s="41">
        <v>522.6903251</v>
      </c>
      <c r="T91" s="40">
        <f t="shared" si="73"/>
        <v>7.4308752661392068E-4</v>
      </c>
      <c r="U91" s="41">
        <v>18658</v>
      </c>
      <c r="V91" s="41">
        <v>698606.42721848958</v>
      </c>
      <c r="W91" s="41">
        <v>1</v>
      </c>
      <c r="X91" s="41">
        <v>522.6903251</v>
      </c>
      <c r="Y91" s="40">
        <f t="shared" si="74"/>
        <v>7.4818997469161313E-4</v>
      </c>
      <c r="Z91" s="41">
        <v>18215</v>
      </c>
      <c r="AA91" s="41">
        <v>683833.6291878199</v>
      </c>
      <c r="AB91" s="41">
        <v>8</v>
      </c>
      <c r="AC91" s="41">
        <v>1373.38986363</v>
      </c>
      <c r="AD91" s="40">
        <f t="shared" si="75"/>
        <v>2.0083684174192441E-3</v>
      </c>
      <c r="AE91" s="44">
        <v>18021</v>
      </c>
      <c r="AF91" s="44">
        <v>671198.77070112107</v>
      </c>
      <c r="AG91" s="44">
        <v>1</v>
      </c>
      <c r="AH91" s="44">
        <v>522.6903251</v>
      </c>
      <c r="AI91" s="40">
        <f t="shared" si="76"/>
        <v>7.7874148153460993E-4</v>
      </c>
      <c r="AJ91" s="44">
        <v>17884</v>
      </c>
      <c r="AK91" s="44">
        <v>668106.83701710589</v>
      </c>
      <c r="AL91" s="44">
        <v>1</v>
      </c>
      <c r="AM91" s="44">
        <v>522.6903251</v>
      </c>
      <c r="AN91" s="40">
        <f t="shared" si="77"/>
        <v>7.8234542162994997E-4</v>
      </c>
      <c r="AO91" s="44">
        <v>17093</v>
      </c>
      <c r="AP91" s="44">
        <v>862553.23481537995</v>
      </c>
      <c r="AQ91" s="44">
        <v>1</v>
      </c>
      <c r="AR91" s="44">
        <v>522.6903251</v>
      </c>
      <c r="AS91" s="40">
        <f t="shared" si="78"/>
        <v>6.0598036619951472E-4</v>
      </c>
      <c r="AT91" s="44">
        <v>16625</v>
      </c>
      <c r="AU91" s="44">
        <v>859260.23990710184</v>
      </c>
      <c r="AV91" s="44">
        <v>1</v>
      </c>
      <c r="AW91" s="44">
        <v>522.6903251</v>
      </c>
      <c r="AX91" s="40">
        <f t="shared" si="79"/>
        <v>6.0830270135216571E-4</v>
      </c>
      <c r="AY91" s="41">
        <v>16134</v>
      </c>
      <c r="AZ91" s="41">
        <v>856547.52095170994</v>
      </c>
      <c r="BA91" s="41">
        <v>97</v>
      </c>
      <c r="BB91" s="41">
        <v>982.01612097999987</v>
      </c>
      <c r="BC91" s="40">
        <f t="shared" si="80"/>
        <v>1.1464817735843561E-3</v>
      </c>
      <c r="BD91" s="39">
        <v>15851</v>
      </c>
      <c r="BE91" s="39">
        <v>839244.31052718137</v>
      </c>
      <c r="BF91" s="39">
        <v>64</v>
      </c>
      <c r="BG91" s="39">
        <v>582.9442683599998</v>
      </c>
      <c r="BH91" s="40">
        <f t="shared" si="81"/>
        <v>6.9460616062302092E-4</v>
      </c>
      <c r="BI91" s="39">
        <v>15734</v>
      </c>
      <c r="BJ91" s="39">
        <v>838106.23228295497</v>
      </c>
      <c r="BK91" s="39">
        <v>84</v>
      </c>
      <c r="BL91" s="39">
        <v>1500.8871637200002</v>
      </c>
      <c r="BM91" s="40">
        <f t="shared" si="82"/>
        <v>1.7908077829604807E-3</v>
      </c>
      <c r="BN91" s="42">
        <v>0</v>
      </c>
      <c r="BO91" s="42">
        <v>0</v>
      </c>
    </row>
    <row r="92" spans="1:67" s="29" customFormat="1" ht="35.1" customHeight="1" x14ac:dyDescent="0.25">
      <c r="A92" s="38">
        <f t="shared" si="58"/>
        <v>86</v>
      </c>
      <c r="B92" s="45" t="s">
        <v>2148</v>
      </c>
      <c r="C92" s="45" t="s">
        <v>2155</v>
      </c>
      <c r="D92" s="64" t="s">
        <v>8</v>
      </c>
      <c r="E92" s="45" t="s">
        <v>2073</v>
      </c>
      <c r="F92" s="41">
        <v>5248</v>
      </c>
      <c r="G92" s="41">
        <v>178451.4121966403</v>
      </c>
      <c r="H92" s="41">
        <v>1</v>
      </c>
      <c r="I92" s="41">
        <v>2036.2472776799998</v>
      </c>
      <c r="J92" s="40">
        <f t="shared" si="71"/>
        <v>1.1410653760678595E-2</v>
      </c>
      <c r="K92" s="41">
        <v>5267</v>
      </c>
      <c r="L92" s="41">
        <v>179071.09539875976</v>
      </c>
      <c r="M92" s="41">
        <v>2</v>
      </c>
      <c r="N92" s="41">
        <v>2133.4261896799999</v>
      </c>
      <c r="O92" s="40">
        <f t="shared" si="72"/>
        <v>1.19138501103667E-2</v>
      </c>
      <c r="P92" s="41">
        <v>5248</v>
      </c>
      <c r="Q92" s="41">
        <v>177103.72233860972</v>
      </c>
      <c r="R92" s="41">
        <v>1</v>
      </c>
      <c r="S92" s="41">
        <v>97.178911999999997</v>
      </c>
      <c r="T92" s="40">
        <f t="shared" si="73"/>
        <v>5.4871185493323977E-4</v>
      </c>
      <c r="U92" s="41">
        <v>5204</v>
      </c>
      <c r="V92" s="41">
        <v>174673.97260850013</v>
      </c>
      <c r="W92" s="41">
        <v>3</v>
      </c>
      <c r="X92" s="41">
        <v>133.49758409999998</v>
      </c>
      <c r="Y92" s="40">
        <f t="shared" si="74"/>
        <v>7.6426717791099009E-4</v>
      </c>
      <c r="Z92" s="41">
        <v>5198</v>
      </c>
      <c r="AA92" s="41">
        <v>172255.22644883042</v>
      </c>
      <c r="AB92" s="41">
        <v>1</v>
      </c>
      <c r="AC92" s="41">
        <v>97.178911999999997</v>
      </c>
      <c r="AD92" s="40">
        <f t="shared" si="75"/>
        <v>5.641565368053877E-4</v>
      </c>
      <c r="AE92" s="44">
        <v>5209</v>
      </c>
      <c r="AF92" s="44">
        <v>171349.7624067904</v>
      </c>
      <c r="AG92" s="44">
        <v>0</v>
      </c>
      <c r="AH92" s="44">
        <v>0</v>
      </c>
      <c r="AI92" s="40">
        <f t="shared" si="76"/>
        <v>0</v>
      </c>
      <c r="AJ92" s="44">
        <v>5195</v>
      </c>
      <c r="AK92" s="44">
        <v>169578.20513792065</v>
      </c>
      <c r="AL92" s="44">
        <v>2</v>
      </c>
      <c r="AM92" s="44">
        <v>28.82917862</v>
      </c>
      <c r="AN92" s="40">
        <f t="shared" si="77"/>
        <v>1.7000521143948168E-4</v>
      </c>
      <c r="AO92" s="44">
        <v>5142</v>
      </c>
      <c r="AP92" s="44">
        <v>168006.35019654001</v>
      </c>
      <c r="AQ92" s="44">
        <v>5</v>
      </c>
      <c r="AR92" s="44">
        <v>56.085347110000008</v>
      </c>
      <c r="AS92" s="40">
        <f t="shared" si="78"/>
        <v>3.3382873352340141E-4</v>
      </c>
      <c r="AT92" s="44">
        <v>5102</v>
      </c>
      <c r="AU92" s="44">
        <v>165686.54448202951</v>
      </c>
      <c r="AV92" s="44">
        <v>2</v>
      </c>
      <c r="AW92" s="44">
        <v>28.829178619999997</v>
      </c>
      <c r="AX92" s="40">
        <f t="shared" si="79"/>
        <v>1.7399830933843171E-4</v>
      </c>
      <c r="AY92" s="41">
        <v>5061</v>
      </c>
      <c r="AZ92" s="41">
        <v>163461.1243013299</v>
      </c>
      <c r="BA92" s="41">
        <v>4</v>
      </c>
      <c r="BB92" s="41">
        <v>365.42076527</v>
      </c>
      <c r="BC92" s="40">
        <f t="shared" si="80"/>
        <v>2.2355209339951112E-3</v>
      </c>
      <c r="BD92" s="39">
        <v>5035</v>
      </c>
      <c r="BE92" s="39">
        <v>161851.54402585016</v>
      </c>
      <c r="BF92" s="39">
        <v>4</v>
      </c>
      <c r="BG92" s="39">
        <v>365.42076527</v>
      </c>
      <c r="BH92" s="40">
        <f t="shared" si="81"/>
        <v>2.2577527293260592E-3</v>
      </c>
      <c r="BI92" s="39">
        <v>5035</v>
      </c>
      <c r="BJ92" s="39">
        <v>160384.39286699941</v>
      </c>
      <c r="BK92" s="39">
        <v>9</v>
      </c>
      <c r="BL92" s="39">
        <v>942.45573554000009</v>
      </c>
      <c r="BM92" s="40">
        <f t="shared" si="82"/>
        <v>5.8762309642032455E-3</v>
      </c>
      <c r="BN92" s="42">
        <v>0</v>
      </c>
      <c r="BO92" s="42">
        <v>0</v>
      </c>
    </row>
    <row r="93" spans="1:67" s="29" customFormat="1" ht="35.1" customHeight="1" x14ac:dyDescent="0.25">
      <c r="A93" s="38">
        <f t="shared" si="58"/>
        <v>87</v>
      </c>
      <c r="B93" s="45" t="s">
        <v>2148</v>
      </c>
      <c r="C93" s="45" t="s">
        <v>2156</v>
      </c>
      <c r="D93" s="64" t="s">
        <v>3</v>
      </c>
      <c r="E93" s="45" t="s">
        <v>2107</v>
      </c>
      <c r="F93" s="41">
        <v>4367</v>
      </c>
      <c r="G93" s="41">
        <v>383562.84078686946</v>
      </c>
      <c r="H93" s="41">
        <v>12</v>
      </c>
      <c r="I93" s="41">
        <v>150689.07938213999</v>
      </c>
      <c r="J93" s="40">
        <f t="shared" si="71"/>
        <v>0.39286673097165814</v>
      </c>
      <c r="K93" s="41">
        <v>4393</v>
      </c>
      <c r="L93" s="41">
        <v>385276.51322135021</v>
      </c>
      <c r="M93" s="41">
        <v>21</v>
      </c>
      <c r="N93" s="41">
        <v>151350.05663251999</v>
      </c>
      <c r="O93" s="40">
        <f t="shared" si="72"/>
        <v>0.39283488984849152</v>
      </c>
      <c r="P93" s="41">
        <v>4416</v>
      </c>
      <c r="Q93" s="41">
        <v>385706.09104564029</v>
      </c>
      <c r="R93" s="41">
        <v>14</v>
      </c>
      <c r="S93" s="41">
        <v>145551.61731090004</v>
      </c>
      <c r="T93" s="40">
        <f t="shared" si="73"/>
        <v>0.37736406214460594</v>
      </c>
      <c r="U93" s="41">
        <v>4396</v>
      </c>
      <c r="V93" s="41">
        <v>374963.92392731993</v>
      </c>
      <c r="W93" s="41">
        <v>14</v>
      </c>
      <c r="X93" s="41">
        <v>140282.29901928001</v>
      </c>
      <c r="Y93" s="40">
        <f t="shared" si="74"/>
        <v>0.37412212233641767</v>
      </c>
      <c r="Z93" s="41">
        <v>4475</v>
      </c>
      <c r="AA93" s="41">
        <v>374186.7930271104</v>
      </c>
      <c r="AB93" s="41">
        <v>10</v>
      </c>
      <c r="AC93" s="41">
        <v>10277.720033899999</v>
      </c>
      <c r="AD93" s="40">
        <f t="shared" si="75"/>
        <v>2.7466816641910082E-2</v>
      </c>
      <c r="AE93" s="44">
        <v>4526</v>
      </c>
      <c r="AF93" s="44">
        <v>373710.83164723002</v>
      </c>
      <c r="AG93" s="44">
        <v>14</v>
      </c>
      <c r="AH93" s="44">
        <v>13011.87424092</v>
      </c>
      <c r="AI93" s="40">
        <f t="shared" si="76"/>
        <v>3.4818028108970507E-2</v>
      </c>
      <c r="AJ93" s="44">
        <v>4578</v>
      </c>
      <c r="AK93" s="44">
        <v>370023.46545934031</v>
      </c>
      <c r="AL93" s="44">
        <v>13</v>
      </c>
      <c r="AM93" s="44">
        <v>18107.766380379999</v>
      </c>
      <c r="AN93" s="40">
        <f t="shared" si="77"/>
        <v>4.8936805556105342E-2</v>
      </c>
      <c r="AO93" s="44">
        <v>4577</v>
      </c>
      <c r="AP93" s="44">
        <v>366540.10226997</v>
      </c>
      <c r="AQ93" s="44">
        <v>28</v>
      </c>
      <c r="AR93" s="44">
        <v>17504.664493010001</v>
      </c>
      <c r="AS93" s="40">
        <f t="shared" si="78"/>
        <v>4.7756478444252695E-2</v>
      </c>
      <c r="AT93" s="44">
        <v>4588</v>
      </c>
      <c r="AU93" s="44">
        <v>365330.54534681852</v>
      </c>
      <c r="AV93" s="44">
        <v>22</v>
      </c>
      <c r="AW93" s="44">
        <v>151446.61407206996</v>
      </c>
      <c r="AX93" s="40">
        <f t="shared" si="79"/>
        <v>0.41454681520894304</v>
      </c>
      <c r="AY93" s="41">
        <v>4542</v>
      </c>
      <c r="AZ93" s="41">
        <v>368453.91791570053</v>
      </c>
      <c r="BA93" s="41">
        <v>34</v>
      </c>
      <c r="BB93" s="41">
        <v>154570.01946267992</v>
      </c>
      <c r="BC93" s="40">
        <f t="shared" si="80"/>
        <v>0.41950977299159664</v>
      </c>
      <c r="BD93" s="39">
        <v>4554</v>
      </c>
      <c r="BE93" s="39">
        <v>364731.82844449038</v>
      </c>
      <c r="BF93" s="39">
        <v>53</v>
      </c>
      <c r="BG93" s="39">
        <v>152751.66382162002</v>
      </c>
      <c r="BH93" s="40">
        <f t="shared" si="81"/>
        <v>0.41880541238497299</v>
      </c>
      <c r="BI93" s="39">
        <v>4591</v>
      </c>
      <c r="BJ93" s="39">
        <v>368327.96033076948</v>
      </c>
      <c r="BK93" s="39">
        <v>69</v>
      </c>
      <c r="BL93" s="39">
        <v>167653.83487217</v>
      </c>
      <c r="BM93" s="40">
        <f t="shared" si="82"/>
        <v>0.45517542225578494</v>
      </c>
      <c r="BN93" s="42">
        <v>0</v>
      </c>
      <c r="BO93" s="42">
        <v>0</v>
      </c>
    </row>
    <row r="94" spans="1:67" s="29" customFormat="1" ht="35.1" customHeight="1" x14ac:dyDescent="0.25">
      <c r="A94" s="38">
        <f t="shared" si="58"/>
        <v>88</v>
      </c>
      <c r="B94" s="45" t="s">
        <v>2148</v>
      </c>
      <c r="C94" s="45" t="s">
        <v>2157</v>
      </c>
      <c r="D94" s="64" t="s">
        <v>2</v>
      </c>
      <c r="E94" s="45" t="s">
        <v>2035</v>
      </c>
      <c r="F94" s="41">
        <v>2971</v>
      </c>
      <c r="G94" s="41">
        <v>99185.243430869843</v>
      </c>
      <c r="H94" s="41">
        <v>4</v>
      </c>
      <c r="I94" s="41">
        <v>2626.7895225700004</v>
      </c>
      <c r="J94" s="40">
        <f t="shared" si="71"/>
        <v>2.6483672688677937E-2</v>
      </c>
      <c r="K94" s="41">
        <v>3089</v>
      </c>
      <c r="L94" s="41">
        <v>98892.952426510135</v>
      </c>
      <c r="M94" s="41">
        <v>4</v>
      </c>
      <c r="N94" s="41">
        <v>2626.7895225700004</v>
      </c>
      <c r="O94" s="40">
        <f t="shared" si="72"/>
        <v>2.6561948633519E-2</v>
      </c>
      <c r="P94" s="41">
        <v>3110</v>
      </c>
      <c r="Q94" s="41">
        <v>98601.05972624995</v>
      </c>
      <c r="R94" s="41">
        <v>4</v>
      </c>
      <c r="S94" s="41">
        <v>2626.7895225700004</v>
      </c>
      <c r="T94" s="40">
        <f t="shared" si="73"/>
        <v>2.6640581043072566E-2</v>
      </c>
      <c r="U94" s="41">
        <v>3000</v>
      </c>
      <c r="V94" s="41">
        <v>97800.42660659003</v>
      </c>
      <c r="W94" s="41">
        <v>4</v>
      </c>
      <c r="X94" s="41">
        <v>2626.7895225700004</v>
      </c>
      <c r="Y94" s="40">
        <f t="shared" si="74"/>
        <v>2.6858671415989518E-2</v>
      </c>
      <c r="Z94" s="41">
        <v>3090</v>
      </c>
      <c r="AA94" s="41">
        <v>97711.079133209976</v>
      </c>
      <c r="AB94" s="41">
        <v>7</v>
      </c>
      <c r="AC94" s="41">
        <v>2839.6741830100004</v>
      </c>
      <c r="AD94" s="40">
        <f t="shared" si="75"/>
        <v>2.9061946794576479E-2</v>
      </c>
      <c r="AE94" s="44">
        <v>3163</v>
      </c>
      <c r="AF94" s="44">
        <v>98389.328045490023</v>
      </c>
      <c r="AG94" s="44">
        <v>7</v>
      </c>
      <c r="AH94" s="44">
        <v>2990.9936701000001</v>
      </c>
      <c r="AI94" s="40">
        <f t="shared" si="76"/>
        <v>3.0399574115569962E-2</v>
      </c>
      <c r="AJ94" s="44">
        <v>3184</v>
      </c>
      <c r="AK94" s="44">
        <v>95673.101679049476</v>
      </c>
      <c r="AL94" s="44">
        <v>11</v>
      </c>
      <c r="AM94" s="44">
        <v>17221.676322880008</v>
      </c>
      <c r="AN94" s="40">
        <f t="shared" si="77"/>
        <v>0.18000541448580648</v>
      </c>
      <c r="AO94" s="44">
        <v>3123</v>
      </c>
      <c r="AP94" s="44">
        <v>95395.057193770015</v>
      </c>
      <c r="AQ94" s="44">
        <v>11</v>
      </c>
      <c r="AR94" s="44">
        <v>17220.760522570003</v>
      </c>
      <c r="AS94" s="40">
        <f t="shared" si="78"/>
        <v>0.18052046960452625</v>
      </c>
      <c r="AT94" s="44">
        <v>3102</v>
      </c>
      <c r="AU94" s="44">
        <v>93784.344753139812</v>
      </c>
      <c r="AV94" s="44">
        <v>11</v>
      </c>
      <c r="AW94" s="44">
        <v>15735.797800639999</v>
      </c>
      <c r="AX94" s="40">
        <f t="shared" si="79"/>
        <v>0.16778704209172585</v>
      </c>
      <c r="AY94" s="41">
        <v>2991</v>
      </c>
      <c r="AZ94" s="41">
        <v>93189.410673539984</v>
      </c>
      <c r="BA94" s="41">
        <v>20</v>
      </c>
      <c r="BB94" s="41">
        <v>21831.93741476001</v>
      </c>
      <c r="BC94" s="40">
        <f t="shared" si="80"/>
        <v>0.23427487368968766</v>
      </c>
      <c r="BD94" s="39">
        <v>2967</v>
      </c>
      <c r="BE94" s="39">
        <v>90835.025184930026</v>
      </c>
      <c r="BF94" s="39">
        <v>28</v>
      </c>
      <c r="BG94" s="39">
        <v>22556.902650670007</v>
      </c>
      <c r="BH94" s="40">
        <f t="shared" si="81"/>
        <v>0.24832824788397051</v>
      </c>
      <c r="BI94" s="39">
        <v>2974</v>
      </c>
      <c r="BJ94" s="39">
        <v>89683.039539799953</v>
      </c>
      <c r="BK94" s="39">
        <v>22</v>
      </c>
      <c r="BL94" s="39">
        <v>21265.783585210007</v>
      </c>
      <c r="BM94" s="40">
        <f t="shared" si="82"/>
        <v>0.23712157498601036</v>
      </c>
      <c r="BN94" s="42">
        <v>0</v>
      </c>
      <c r="BO94" s="42">
        <v>0</v>
      </c>
    </row>
    <row r="95" spans="1:67" s="29" customFormat="1" ht="35.1" customHeight="1" x14ac:dyDescent="0.25">
      <c r="A95" s="38">
        <f t="shared" si="58"/>
        <v>89</v>
      </c>
      <c r="B95" s="45" t="s">
        <v>2158</v>
      </c>
      <c r="C95" s="45" t="s">
        <v>2159</v>
      </c>
      <c r="D95" s="64">
        <v>11853</v>
      </c>
      <c r="E95" s="45" t="s">
        <v>2107</v>
      </c>
      <c r="F95" s="41">
        <v>396</v>
      </c>
      <c r="G95" s="41">
        <v>44666.331408680031</v>
      </c>
      <c r="H95" s="41">
        <v>0</v>
      </c>
      <c r="I95" s="41">
        <v>0</v>
      </c>
      <c r="J95" s="40">
        <f t="shared" ref="J95:J100" si="83">+IFERROR(I95/G95,"")</f>
        <v>0</v>
      </c>
      <c r="K95" s="41">
        <v>418</v>
      </c>
      <c r="L95" s="41">
        <v>49658.42333218002</v>
      </c>
      <c r="M95" s="41">
        <v>0</v>
      </c>
      <c r="N95" s="41">
        <v>0</v>
      </c>
      <c r="O95" s="40">
        <f t="shared" ref="O95:O100" si="84">+IFERROR(N95/L95,"")</f>
        <v>0</v>
      </c>
      <c r="P95" s="41">
        <v>432</v>
      </c>
      <c r="Q95" s="41">
        <v>56718.683627030019</v>
      </c>
      <c r="R95" s="41">
        <v>0</v>
      </c>
      <c r="S95" s="41">
        <v>0</v>
      </c>
      <c r="T95" s="40">
        <f t="shared" ref="T95:T100" si="85">+IFERROR(S95/Q95,"")</f>
        <v>0</v>
      </c>
      <c r="U95" s="41">
        <v>436</v>
      </c>
      <c r="V95" s="41">
        <v>62488.154219419965</v>
      </c>
      <c r="W95" s="41">
        <v>0</v>
      </c>
      <c r="X95" s="41">
        <v>0</v>
      </c>
      <c r="Y95" s="40">
        <f t="shared" ref="Y95:Y100" si="86">+IFERROR(X95/V95,"")</f>
        <v>0</v>
      </c>
      <c r="Z95" s="41">
        <v>427</v>
      </c>
      <c r="AA95" s="41">
        <v>64149.518796439967</v>
      </c>
      <c r="AB95" s="41">
        <v>0</v>
      </c>
      <c r="AC95" s="41">
        <v>0</v>
      </c>
      <c r="AD95" s="40">
        <f t="shared" ref="AD95:AD100" si="87">+IFERROR(AC95/AA95,"")</f>
        <v>0</v>
      </c>
      <c r="AE95" s="44">
        <v>411</v>
      </c>
      <c r="AF95" s="44">
        <v>63435.597035280007</v>
      </c>
      <c r="AG95" s="44">
        <v>0</v>
      </c>
      <c r="AH95" s="44">
        <v>0</v>
      </c>
      <c r="AI95" s="40">
        <f t="shared" ref="AI95:AI100" si="88">+IFERROR(AH95/AF95,"")</f>
        <v>0</v>
      </c>
      <c r="AJ95" s="44">
        <v>404</v>
      </c>
      <c r="AK95" s="44">
        <v>61539.599490469991</v>
      </c>
      <c r="AL95" s="44">
        <v>0</v>
      </c>
      <c r="AM95" s="44">
        <v>0</v>
      </c>
      <c r="AN95" s="40">
        <f t="shared" ref="AN95:AN100" si="89">+IFERROR(AM95/AK95,"")</f>
        <v>0</v>
      </c>
      <c r="AO95" s="44">
        <v>386</v>
      </c>
      <c r="AP95" s="44">
        <v>60995.83407135</v>
      </c>
      <c r="AQ95" s="44">
        <v>0</v>
      </c>
      <c r="AR95" s="44">
        <v>0</v>
      </c>
      <c r="AS95" s="40">
        <f t="shared" ref="AS95:AS100" si="90">+IFERROR(AR95/AP95,"")</f>
        <v>0</v>
      </c>
      <c r="AT95" s="44">
        <v>371</v>
      </c>
      <c r="AU95" s="44">
        <v>61610.22531283</v>
      </c>
      <c r="AV95" s="44">
        <v>0</v>
      </c>
      <c r="AW95" s="44">
        <v>0</v>
      </c>
      <c r="AX95" s="40">
        <f t="shared" ref="AX95:AX100" si="91">+IFERROR(AW95/AU95,"")</f>
        <v>0</v>
      </c>
      <c r="AY95" s="41">
        <v>364</v>
      </c>
      <c r="AZ95" s="41">
        <v>64390.780562320055</v>
      </c>
      <c r="BA95" s="41">
        <v>0</v>
      </c>
      <c r="BB95" s="41">
        <v>0</v>
      </c>
      <c r="BC95" s="40">
        <f t="shared" ref="BC95:BC100" si="92">+IFERROR(BB95/AZ95,"")</f>
        <v>0</v>
      </c>
      <c r="BD95" s="39">
        <v>367</v>
      </c>
      <c r="BE95" s="39">
        <v>65383.342315320064</v>
      </c>
      <c r="BF95" s="39">
        <v>0</v>
      </c>
      <c r="BG95" s="39">
        <v>0</v>
      </c>
      <c r="BH95" s="40">
        <f t="shared" ref="BH95:BH100" si="93">+IFERROR(BG95/BE95,"")</f>
        <v>0</v>
      </c>
      <c r="BI95" s="39">
        <v>358</v>
      </c>
      <c r="BJ95" s="39">
        <v>68439.927269930005</v>
      </c>
      <c r="BK95" s="39">
        <v>0</v>
      </c>
      <c r="BL95" s="39">
        <v>0</v>
      </c>
      <c r="BM95" s="40">
        <f t="shared" ref="BM95:BM100" si="94">+IFERROR(BL95/BJ95,"")</f>
        <v>0</v>
      </c>
      <c r="BN95" s="42">
        <v>0</v>
      </c>
      <c r="BO95" s="42">
        <v>0</v>
      </c>
    </row>
    <row r="96" spans="1:67" s="29" customFormat="1" ht="35.1" customHeight="1" x14ac:dyDescent="0.25">
      <c r="A96" s="38">
        <f t="shared" si="58"/>
        <v>90</v>
      </c>
      <c r="B96" s="45" t="s">
        <v>2160</v>
      </c>
      <c r="C96" s="45" t="s">
        <v>2161</v>
      </c>
      <c r="D96" s="64" t="s">
        <v>19</v>
      </c>
      <c r="E96" s="45" t="s">
        <v>2054</v>
      </c>
      <c r="F96" s="41">
        <v>3932</v>
      </c>
      <c r="G96" s="41">
        <v>427860.25320966041</v>
      </c>
      <c r="H96" s="41">
        <v>41</v>
      </c>
      <c r="I96" s="41">
        <v>428.70522208999984</v>
      </c>
      <c r="J96" s="40">
        <f t="shared" si="83"/>
        <v>1.0019748711734748E-3</v>
      </c>
      <c r="K96" s="41">
        <v>3834</v>
      </c>
      <c r="L96" s="41">
        <v>422409.87791952997</v>
      </c>
      <c r="M96" s="41">
        <v>68</v>
      </c>
      <c r="N96" s="41">
        <v>19785.289600249998</v>
      </c>
      <c r="O96" s="40">
        <f t="shared" si="84"/>
        <v>4.683907890056288E-2</v>
      </c>
      <c r="P96" s="41">
        <v>3666</v>
      </c>
      <c r="Q96" s="41">
        <v>423445.08195485972</v>
      </c>
      <c r="R96" s="41">
        <v>59</v>
      </c>
      <c r="S96" s="41">
        <v>20141.259509350006</v>
      </c>
      <c r="T96" s="40">
        <f t="shared" si="85"/>
        <v>4.7565222428293814E-2</v>
      </c>
      <c r="U96" s="41">
        <v>3522</v>
      </c>
      <c r="V96" s="41">
        <v>423295.5059438303</v>
      </c>
      <c r="W96" s="41">
        <v>56</v>
      </c>
      <c r="X96" s="41">
        <v>20422.113931220003</v>
      </c>
      <c r="Y96" s="40">
        <f t="shared" si="86"/>
        <v>4.8245525039734158E-2</v>
      </c>
      <c r="Z96" s="41">
        <v>3348</v>
      </c>
      <c r="AA96" s="41">
        <v>412432.43702421983</v>
      </c>
      <c r="AB96" s="41">
        <v>53</v>
      </c>
      <c r="AC96" s="41">
        <v>20020.993399899995</v>
      </c>
      <c r="AD96" s="40">
        <f t="shared" si="87"/>
        <v>4.8543692499928841E-2</v>
      </c>
      <c r="AE96" s="44">
        <v>3200</v>
      </c>
      <c r="AF96" s="44">
        <v>504176.94394118013</v>
      </c>
      <c r="AG96" s="44">
        <v>51</v>
      </c>
      <c r="AH96" s="44">
        <v>19783.442433299999</v>
      </c>
      <c r="AI96" s="40">
        <f t="shared" si="88"/>
        <v>3.9239085942033951E-2</v>
      </c>
      <c r="AJ96" s="44">
        <v>3011</v>
      </c>
      <c r="AK96" s="44">
        <v>503382.30232511018</v>
      </c>
      <c r="AL96" s="44">
        <v>37</v>
      </c>
      <c r="AM96" s="44">
        <v>19648.020114979998</v>
      </c>
      <c r="AN96" s="40">
        <f t="shared" si="89"/>
        <v>3.903200415315812E-2</v>
      </c>
      <c r="AO96" s="44">
        <v>2745</v>
      </c>
      <c r="AP96" s="44">
        <v>491315.10750195</v>
      </c>
      <c r="AQ96" s="44">
        <v>36</v>
      </c>
      <c r="AR96" s="44">
        <v>19597.758733559993</v>
      </c>
      <c r="AS96" s="40">
        <f t="shared" si="90"/>
        <v>3.988836987570591E-2</v>
      </c>
      <c r="AT96" s="44">
        <v>2552</v>
      </c>
      <c r="AU96" s="44">
        <v>491753.85228061932</v>
      </c>
      <c r="AV96" s="44">
        <v>36</v>
      </c>
      <c r="AW96" s="44">
        <v>19681.174786099997</v>
      </c>
      <c r="AX96" s="40">
        <f t="shared" si="91"/>
        <v>4.0022410998559771E-2</v>
      </c>
      <c r="AY96" s="41">
        <v>2305</v>
      </c>
      <c r="AZ96" s="41">
        <v>580358.30196851026</v>
      </c>
      <c r="BA96" s="41">
        <v>35</v>
      </c>
      <c r="BB96" s="41">
        <v>19355.937185139996</v>
      </c>
      <c r="BC96" s="40">
        <f t="shared" si="92"/>
        <v>3.3351702076952858E-2</v>
      </c>
      <c r="BD96" s="39">
        <v>2176</v>
      </c>
      <c r="BE96" s="39">
        <v>577512.96956816036</v>
      </c>
      <c r="BF96" s="39">
        <v>35</v>
      </c>
      <c r="BG96" s="39">
        <v>21788.480345730004</v>
      </c>
      <c r="BH96" s="40">
        <f t="shared" si="93"/>
        <v>3.7728122992670629E-2</v>
      </c>
      <c r="BI96" s="39">
        <v>2080</v>
      </c>
      <c r="BJ96" s="39">
        <v>570390.26775354054</v>
      </c>
      <c r="BK96" s="39">
        <v>34</v>
      </c>
      <c r="BL96" s="39">
        <v>21104.016328290003</v>
      </c>
      <c r="BM96" s="40">
        <f t="shared" si="94"/>
        <v>3.6999257388116623E-2</v>
      </c>
      <c r="BN96" s="42">
        <v>0</v>
      </c>
      <c r="BO96" s="42">
        <v>0</v>
      </c>
    </row>
    <row r="97" spans="1:67" s="29" customFormat="1" ht="35.1" customHeight="1" x14ac:dyDescent="0.25">
      <c r="A97" s="38">
        <f t="shared" si="58"/>
        <v>91</v>
      </c>
      <c r="B97" s="45" t="s">
        <v>2160</v>
      </c>
      <c r="C97" s="45" t="s">
        <v>2162</v>
      </c>
      <c r="D97" s="64" t="s">
        <v>20</v>
      </c>
      <c r="E97" s="45" t="s">
        <v>2107</v>
      </c>
      <c r="F97" s="41">
        <v>1938</v>
      </c>
      <c r="G97" s="41">
        <v>245957.26813998935</v>
      </c>
      <c r="H97" s="41">
        <v>77</v>
      </c>
      <c r="I97" s="41">
        <v>3893.6580676599983</v>
      </c>
      <c r="J97" s="40">
        <f t="shared" si="83"/>
        <v>1.5830628210766591E-2</v>
      </c>
      <c r="K97" s="41">
        <v>1887</v>
      </c>
      <c r="L97" s="41">
        <v>240086.3555733299</v>
      </c>
      <c r="M97" s="41">
        <v>86</v>
      </c>
      <c r="N97" s="41">
        <v>11432.91547061</v>
      </c>
      <c r="O97" s="40">
        <f t="shared" si="84"/>
        <v>4.7620013404377028E-2</v>
      </c>
      <c r="P97" s="41">
        <v>1813</v>
      </c>
      <c r="Q97" s="41">
        <v>233752.86238062999</v>
      </c>
      <c r="R97" s="41">
        <v>69</v>
      </c>
      <c r="S97" s="41">
        <v>8559.4430872499997</v>
      </c>
      <c r="T97" s="40">
        <f t="shared" si="85"/>
        <v>3.6617489942485856E-2</v>
      </c>
      <c r="U97" s="41">
        <v>1721</v>
      </c>
      <c r="V97" s="41">
        <v>240914.73952281999</v>
      </c>
      <c r="W97" s="41">
        <v>65</v>
      </c>
      <c r="X97" s="41">
        <v>8210.4456477000022</v>
      </c>
      <c r="Y97" s="40">
        <f t="shared" si="86"/>
        <v>3.4080296058109347E-2</v>
      </c>
      <c r="Z97" s="41">
        <v>1631</v>
      </c>
      <c r="AA97" s="41">
        <v>226706.76090319976</v>
      </c>
      <c r="AB97" s="41">
        <v>61</v>
      </c>
      <c r="AC97" s="41">
        <v>7597.5356004600008</v>
      </c>
      <c r="AD97" s="40">
        <f t="shared" si="87"/>
        <v>3.3512611490682583E-2</v>
      </c>
      <c r="AE97" s="44">
        <v>1519</v>
      </c>
      <c r="AF97" s="44">
        <v>227042.20973625977</v>
      </c>
      <c r="AG97" s="44">
        <v>60</v>
      </c>
      <c r="AH97" s="44">
        <v>7445.4549318199988</v>
      </c>
      <c r="AI97" s="40">
        <f t="shared" si="88"/>
        <v>3.2793263157845857E-2</v>
      </c>
      <c r="AJ97" s="44">
        <v>1399</v>
      </c>
      <c r="AK97" s="44">
        <v>217769.54061670986</v>
      </c>
      <c r="AL97" s="44">
        <v>25</v>
      </c>
      <c r="AM97" s="44">
        <v>5050.3976936499976</v>
      </c>
      <c r="AN97" s="40">
        <f t="shared" si="89"/>
        <v>2.3191478842025309E-2</v>
      </c>
      <c r="AO97" s="44">
        <v>1273</v>
      </c>
      <c r="AP97" s="44">
        <v>212895.87972880004</v>
      </c>
      <c r="AQ97" s="44">
        <v>27</v>
      </c>
      <c r="AR97" s="44">
        <v>38379.167008410019</v>
      </c>
      <c r="AS97" s="40">
        <f t="shared" si="90"/>
        <v>0.180272004593512</v>
      </c>
      <c r="AT97" s="44">
        <v>1150</v>
      </c>
      <c r="AU97" s="44">
        <v>203365.18004737966</v>
      </c>
      <c r="AV97" s="44">
        <v>26</v>
      </c>
      <c r="AW97" s="44">
        <v>35390.348176510015</v>
      </c>
      <c r="AX97" s="40">
        <f t="shared" si="91"/>
        <v>0.17402363653534411</v>
      </c>
      <c r="AY97" s="41">
        <v>1021</v>
      </c>
      <c r="AZ97" s="41">
        <v>184887.21011324006</v>
      </c>
      <c r="BA97" s="41">
        <v>23</v>
      </c>
      <c r="BB97" s="41">
        <v>23696.244241740005</v>
      </c>
      <c r="BC97" s="40">
        <f t="shared" si="92"/>
        <v>0.12816594629356182</v>
      </c>
      <c r="BD97" s="39">
        <v>973</v>
      </c>
      <c r="BE97" s="39">
        <v>178808.32576291013</v>
      </c>
      <c r="BF97" s="39">
        <v>21</v>
      </c>
      <c r="BG97" s="39">
        <v>15423.337496780001</v>
      </c>
      <c r="BH97" s="40">
        <f t="shared" si="93"/>
        <v>8.6256260333372206E-2</v>
      </c>
      <c r="BI97" s="39">
        <v>912</v>
      </c>
      <c r="BJ97" s="39">
        <v>174023.96663400996</v>
      </c>
      <c r="BK97" s="39">
        <v>20</v>
      </c>
      <c r="BL97" s="39">
        <v>15216.193503960001</v>
      </c>
      <c r="BM97" s="40">
        <f t="shared" si="94"/>
        <v>8.7437344397287523E-2</v>
      </c>
      <c r="BN97" s="42">
        <v>0</v>
      </c>
      <c r="BO97" s="42">
        <v>0</v>
      </c>
    </row>
    <row r="98" spans="1:67" s="29" customFormat="1" ht="35.1" customHeight="1" x14ac:dyDescent="0.25">
      <c r="A98" s="38">
        <f t="shared" si="58"/>
        <v>92</v>
      </c>
      <c r="B98" s="45" t="s">
        <v>2163</v>
      </c>
      <c r="C98" s="45" t="s">
        <v>2163</v>
      </c>
      <c r="D98" s="64" t="s">
        <v>24</v>
      </c>
      <c r="E98" s="45" t="s">
        <v>2037</v>
      </c>
      <c r="F98" s="41">
        <v>4578</v>
      </c>
      <c r="G98" s="41">
        <v>68673.862055727936</v>
      </c>
      <c r="H98" s="41">
        <v>967</v>
      </c>
      <c r="I98" s="41">
        <v>5930.7866409099979</v>
      </c>
      <c r="J98" s="40">
        <f t="shared" si="83"/>
        <v>8.6361629641525661E-2</v>
      </c>
      <c r="K98" s="41">
        <v>6077</v>
      </c>
      <c r="L98" s="41">
        <v>77087.352896649463</v>
      </c>
      <c r="M98" s="41">
        <v>1121</v>
      </c>
      <c r="N98" s="41">
        <v>7526.3536656899987</v>
      </c>
      <c r="O98" s="40">
        <f t="shared" si="84"/>
        <v>9.7634091493328801E-2</v>
      </c>
      <c r="P98" s="41">
        <v>8052</v>
      </c>
      <c r="Q98" s="41">
        <v>90295.809753086185</v>
      </c>
      <c r="R98" s="41">
        <v>1112</v>
      </c>
      <c r="S98" s="41">
        <v>7788.9015921999962</v>
      </c>
      <c r="T98" s="40">
        <f t="shared" si="85"/>
        <v>8.6259834354426204E-2</v>
      </c>
      <c r="U98" s="41">
        <v>9982</v>
      </c>
      <c r="V98" s="41">
        <v>113243.02946859501</v>
      </c>
      <c r="W98" s="41">
        <v>666</v>
      </c>
      <c r="X98" s="41">
        <v>4619.5693219100012</v>
      </c>
      <c r="Y98" s="40">
        <f t="shared" si="86"/>
        <v>4.0793409921898269E-2</v>
      </c>
      <c r="Z98" s="41">
        <v>14788</v>
      </c>
      <c r="AA98" s="41">
        <v>158601.26512010611</v>
      </c>
      <c r="AB98" s="41">
        <v>653</v>
      </c>
      <c r="AC98" s="41">
        <v>5760.2505319599886</v>
      </c>
      <c r="AD98" s="40">
        <f t="shared" si="87"/>
        <v>3.6319070516857774E-2</v>
      </c>
      <c r="AE98" s="44">
        <v>10263</v>
      </c>
      <c r="AF98" s="44">
        <v>237909</v>
      </c>
      <c r="AG98" s="44">
        <v>688</v>
      </c>
      <c r="AH98" s="44">
        <v>6594.8331646499919</v>
      </c>
      <c r="AI98" s="40">
        <f t="shared" si="88"/>
        <v>2.7719981861341909E-2</v>
      </c>
      <c r="AJ98" s="44">
        <v>26256</v>
      </c>
      <c r="AK98" s="44">
        <v>261533.56899999999</v>
      </c>
      <c r="AL98" s="44">
        <v>711</v>
      </c>
      <c r="AM98" s="44">
        <v>6346.9986068699891</v>
      </c>
      <c r="AN98" s="40">
        <f t="shared" si="89"/>
        <v>2.4268389832855411E-2</v>
      </c>
      <c r="AO98" s="44">
        <v>26256</v>
      </c>
      <c r="AP98" s="44">
        <v>298442.61099999998</v>
      </c>
      <c r="AQ98" s="44">
        <v>741</v>
      </c>
      <c r="AR98" s="44">
        <v>7818.1254632799928</v>
      </c>
      <c r="AS98" s="40">
        <f t="shared" si="90"/>
        <v>2.619641155491698E-2</v>
      </c>
      <c r="AT98" s="44">
        <v>31778</v>
      </c>
      <c r="AU98" s="44">
        <v>322015.47459570738</v>
      </c>
      <c r="AV98" s="44">
        <v>850</v>
      </c>
      <c r="AW98" s="44">
        <v>8165.6689358800004</v>
      </c>
      <c r="AX98" s="40">
        <f t="shared" si="91"/>
        <v>2.5358001649243886E-2</v>
      </c>
      <c r="AY98" s="41">
        <v>34190</v>
      </c>
      <c r="AZ98" s="41">
        <v>337437.68316422246</v>
      </c>
      <c r="BA98" s="41">
        <v>838</v>
      </c>
      <c r="BB98" s="41">
        <v>7627.8784219600066</v>
      </c>
      <c r="BC98" s="40">
        <f t="shared" si="92"/>
        <v>2.2605295147927237E-2</v>
      </c>
      <c r="BD98" s="39">
        <v>35181</v>
      </c>
      <c r="BE98" s="39">
        <v>342255.11256474257</v>
      </c>
      <c r="BF98" s="39">
        <v>750</v>
      </c>
      <c r="BG98" s="39">
        <v>7198.6538810200045</v>
      </c>
      <c r="BH98" s="40">
        <f t="shared" si="93"/>
        <v>2.1033006131232806E-2</v>
      </c>
      <c r="BI98" s="39">
        <v>36966</v>
      </c>
      <c r="BJ98" s="39">
        <v>354130.37616517651</v>
      </c>
      <c r="BK98" s="39">
        <v>728</v>
      </c>
      <c r="BL98" s="39">
        <v>6780.1089721800054</v>
      </c>
      <c r="BM98" s="40">
        <f t="shared" si="94"/>
        <v>1.9145798916209236E-2</v>
      </c>
      <c r="BN98" s="42"/>
      <c r="BO98" s="42"/>
    </row>
    <row r="99" spans="1:67" s="29" customFormat="1" ht="35.1" customHeight="1" x14ac:dyDescent="0.25">
      <c r="A99" s="38">
        <f t="shared" si="58"/>
        <v>93</v>
      </c>
      <c r="B99" s="45" t="s">
        <v>2164</v>
      </c>
      <c r="C99" s="45" t="s">
        <v>2164</v>
      </c>
      <c r="D99" s="64" t="s">
        <v>25</v>
      </c>
      <c r="E99" s="45" t="s">
        <v>2039</v>
      </c>
      <c r="F99" s="41">
        <v>402</v>
      </c>
      <c r="G99" s="41">
        <v>63779.165511775551</v>
      </c>
      <c r="H99" s="41">
        <v>8</v>
      </c>
      <c r="I99" s="41">
        <v>776.52618587999996</v>
      </c>
      <c r="J99" s="40">
        <f t="shared" si="83"/>
        <v>1.2175232768397227E-2</v>
      </c>
      <c r="K99" s="41">
        <v>549</v>
      </c>
      <c r="L99" s="41">
        <v>92081.844538352729</v>
      </c>
      <c r="M99" s="41">
        <v>10</v>
      </c>
      <c r="N99" s="41">
        <v>902.03527156999996</v>
      </c>
      <c r="O99" s="40">
        <f t="shared" si="84"/>
        <v>9.796016533903119E-3</v>
      </c>
      <c r="P99" s="41">
        <v>613</v>
      </c>
      <c r="Q99" s="41">
        <v>99804.272869454799</v>
      </c>
      <c r="R99" s="41">
        <v>14</v>
      </c>
      <c r="S99" s="41">
        <v>1422.36051739</v>
      </c>
      <c r="T99" s="40">
        <f t="shared" si="85"/>
        <v>1.4251499224391574E-2</v>
      </c>
      <c r="U99" s="41">
        <v>616</v>
      </c>
      <c r="V99" s="41">
        <v>105286.443718069</v>
      </c>
      <c r="W99" s="41">
        <v>11</v>
      </c>
      <c r="X99" s="41">
        <v>1445.5050605199999</v>
      </c>
      <c r="Y99" s="40">
        <f t="shared" si="86"/>
        <v>1.3729260952062396E-2</v>
      </c>
      <c r="Z99" s="41">
        <v>624</v>
      </c>
      <c r="AA99" s="41">
        <v>110681.22324043053</v>
      </c>
      <c r="AB99" s="41">
        <v>15</v>
      </c>
      <c r="AC99" s="41">
        <v>2925.9539030300007</v>
      </c>
      <c r="AD99" s="40">
        <f t="shared" si="87"/>
        <v>2.6435865247658237E-2</v>
      </c>
      <c r="AE99" s="44">
        <v>587</v>
      </c>
      <c r="AF99" s="44">
        <v>100733.59832172014</v>
      </c>
      <c r="AG99" s="44">
        <v>8</v>
      </c>
      <c r="AH99" s="44">
        <v>1091.47289832</v>
      </c>
      <c r="AI99" s="40">
        <f t="shared" si="88"/>
        <v>1.0835241830973659E-2</v>
      </c>
      <c r="AJ99" s="44">
        <v>730</v>
      </c>
      <c r="AK99" s="44">
        <v>139086.818636746</v>
      </c>
      <c r="AL99" s="44">
        <v>9</v>
      </c>
      <c r="AM99" s="44">
        <v>1218.56125251</v>
      </c>
      <c r="AN99" s="40">
        <f t="shared" si="89"/>
        <v>8.7611555462529123E-3</v>
      </c>
      <c r="AO99" s="44">
        <v>730</v>
      </c>
      <c r="AP99" s="44">
        <v>139086.818636746</v>
      </c>
      <c r="AQ99" s="44">
        <v>7</v>
      </c>
      <c r="AR99" s="44">
        <v>999.16522520000001</v>
      </c>
      <c r="AS99" s="40">
        <f t="shared" si="90"/>
        <v>7.1837520981015944E-3</v>
      </c>
      <c r="AT99" s="44">
        <v>890</v>
      </c>
      <c r="AU99" s="44">
        <v>193216.78462920999</v>
      </c>
      <c r="AV99" s="44">
        <v>17</v>
      </c>
      <c r="AW99" s="44">
        <v>3346.7718627400013</v>
      </c>
      <c r="AX99" s="40">
        <f t="shared" si="91"/>
        <v>1.7321330903847604E-2</v>
      </c>
      <c r="AY99" s="41">
        <v>985</v>
      </c>
      <c r="AZ99" s="41">
        <v>222187.41997374583</v>
      </c>
      <c r="BA99" s="41">
        <v>13</v>
      </c>
      <c r="BB99" s="41">
        <v>3395.3210008799997</v>
      </c>
      <c r="BC99" s="40">
        <f t="shared" si="92"/>
        <v>1.5281337716065107E-2</v>
      </c>
      <c r="BD99" s="39">
        <v>1090</v>
      </c>
      <c r="BE99" s="39">
        <v>255873.43208098217</v>
      </c>
      <c r="BF99" s="39">
        <v>21</v>
      </c>
      <c r="BG99" s="39">
        <v>7010.3275694800004</v>
      </c>
      <c r="BH99" s="40">
        <f t="shared" si="93"/>
        <v>2.739763762289037E-2</v>
      </c>
      <c r="BI99" s="39">
        <v>1165</v>
      </c>
      <c r="BJ99" s="39">
        <v>283540.5936676056</v>
      </c>
      <c r="BK99" s="39">
        <v>16</v>
      </c>
      <c r="BL99" s="39">
        <v>1909.0661229100001</v>
      </c>
      <c r="BM99" s="40">
        <f t="shared" si="94"/>
        <v>6.7329552295005658E-3</v>
      </c>
      <c r="BN99" s="42"/>
      <c r="BO99" s="42"/>
    </row>
    <row r="100" spans="1:67" s="29" customFormat="1" ht="35.1" customHeight="1" x14ac:dyDescent="0.25">
      <c r="A100" s="38">
        <f t="shared" si="58"/>
        <v>94</v>
      </c>
      <c r="B100" s="45" t="s">
        <v>2165</v>
      </c>
      <c r="C100" s="45" t="s">
        <v>2165</v>
      </c>
      <c r="D100" s="64" t="s">
        <v>45</v>
      </c>
      <c r="E100" s="45" t="s">
        <v>2166</v>
      </c>
      <c r="F100" s="41">
        <v>0</v>
      </c>
      <c r="G100" s="41">
        <v>0</v>
      </c>
      <c r="H100" s="41">
        <v>0</v>
      </c>
      <c r="I100" s="41">
        <v>0</v>
      </c>
      <c r="J100" s="40" t="str">
        <f t="shared" si="83"/>
        <v/>
      </c>
      <c r="K100" s="41">
        <v>0</v>
      </c>
      <c r="L100" s="41">
        <v>0</v>
      </c>
      <c r="M100" s="41">
        <v>0</v>
      </c>
      <c r="N100" s="41">
        <v>0</v>
      </c>
      <c r="O100" s="40" t="str">
        <f t="shared" si="84"/>
        <v/>
      </c>
      <c r="P100" s="41">
        <v>0</v>
      </c>
      <c r="Q100" s="41">
        <v>0</v>
      </c>
      <c r="R100" s="41">
        <v>0</v>
      </c>
      <c r="S100" s="41">
        <v>0</v>
      </c>
      <c r="T100" s="40" t="str">
        <f t="shared" si="85"/>
        <v/>
      </c>
      <c r="U100" s="41">
        <v>0</v>
      </c>
      <c r="V100" s="41">
        <v>0</v>
      </c>
      <c r="W100" s="41">
        <v>0</v>
      </c>
      <c r="X100" s="41">
        <v>0</v>
      </c>
      <c r="Y100" s="40" t="str">
        <f t="shared" si="86"/>
        <v/>
      </c>
      <c r="Z100" s="41">
        <v>0</v>
      </c>
      <c r="AA100" s="41">
        <v>0</v>
      </c>
      <c r="AB100" s="41">
        <v>0</v>
      </c>
      <c r="AC100" s="41">
        <v>0</v>
      </c>
      <c r="AD100" s="40" t="str">
        <f t="shared" si="87"/>
        <v/>
      </c>
      <c r="AE100" s="44">
        <v>0</v>
      </c>
      <c r="AF100" s="44">
        <v>0</v>
      </c>
      <c r="AG100" s="44">
        <v>0</v>
      </c>
      <c r="AH100" s="44">
        <v>0</v>
      </c>
      <c r="AI100" s="40" t="str">
        <f t="shared" si="88"/>
        <v/>
      </c>
      <c r="AJ100" s="44">
        <v>0</v>
      </c>
      <c r="AK100" s="44">
        <v>0</v>
      </c>
      <c r="AL100" s="44">
        <v>0</v>
      </c>
      <c r="AM100" s="44">
        <v>0</v>
      </c>
      <c r="AN100" s="40" t="str">
        <f t="shared" si="89"/>
        <v/>
      </c>
      <c r="AO100" s="44">
        <v>0</v>
      </c>
      <c r="AP100" s="44">
        <v>0</v>
      </c>
      <c r="AQ100" s="44">
        <v>0</v>
      </c>
      <c r="AR100" s="44">
        <v>0</v>
      </c>
      <c r="AS100" s="40" t="str">
        <f t="shared" si="90"/>
        <v/>
      </c>
      <c r="AT100" s="44">
        <v>0</v>
      </c>
      <c r="AU100" s="44">
        <v>0</v>
      </c>
      <c r="AV100" s="44">
        <v>0</v>
      </c>
      <c r="AW100" s="44">
        <v>0</v>
      </c>
      <c r="AX100" s="40" t="str">
        <f t="shared" si="91"/>
        <v/>
      </c>
      <c r="AY100" s="41">
        <v>5579</v>
      </c>
      <c r="AZ100" s="41">
        <v>514744.78674296394</v>
      </c>
      <c r="BA100" s="41">
        <v>270</v>
      </c>
      <c r="BB100" s="41">
        <v>31099.375676540025</v>
      </c>
      <c r="BC100" s="40">
        <f t="shared" si="92"/>
        <v>6.0417077506157227E-2</v>
      </c>
      <c r="BD100" s="39">
        <v>5668</v>
      </c>
      <c r="BE100" s="39">
        <v>519728.00189436338</v>
      </c>
      <c r="BF100" s="39">
        <v>424</v>
      </c>
      <c r="BG100" s="39">
        <v>47166.462843780042</v>
      </c>
      <c r="BH100" s="40">
        <f t="shared" si="93"/>
        <v>9.0752206292257456E-2</v>
      </c>
      <c r="BI100" s="39">
        <v>0</v>
      </c>
      <c r="BJ100" s="39">
        <v>0</v>
      </c>
      <c r="BK100" s="39">
        <v>0</v>
      </c>
      <c r="BL100" s="39">
        <v>0</v>
      </c>
      <c r="BM100" s="40" t="str">
        <f t="shared" si="94"/>
        <v/>
      </c>
      <c r="BN100" s="42"/>
      <c r="BO100" s="42"/>
    </row>
  </sheetData>
  <autoFilter ref="A6:BP100" xr:uid="{B638B9E3-7187-4D36-87EF-77252FBB4735}">
    <filterColumn colId="0" showButton="0"/>
  </autoFilter>
  <mergeCells count="45">
    <mergeCell ref="BL2:BM2"/>
    <mergeCell ref="A3:A5"/>
    <mergeCell ref="B3:B5"/>
    <mergeCell ref="D3:D5"/>
    <mergeCell ref="F3:J3"/>
    <mergeCell ref="K3:O3"/>
    <mergeCell ref="P3:T3"/>
    <mergeCell ref="U3:Y3"/>
    <mergeCell ref="Z3:AD3"/>
    <mergeCell ref="AE3:AI3"/>
    <mergeCell ref="AY4:AZ4"/>
    <mergeCell ref="BA4:BC4"/>
    <mergeCell ref="BD4:BE4"/>
    <mergeCell ref="AB4:AD4"/>
    <mergeCell ref="AE4:AF4"/>
    <mergeCell ref="AG4:AI4"/>
    <mergeCell ref="BN3:BO3"/>
    <mergeCell ref="F4:G4"/>
    <mergeCell ref="H4:J4"/>
    <mergeCell ref="K4:L4"/>
    <mergeCell ref="M4:O4"/>
    <mergeCell ref="P4:Q4"/>
    <mergeCell ref="R4:T4"/>
    <mergeCell ref="U4:V4"/>
    <mergeCell ref="W4:Y4"/>
    <mergeCell ref="Z4:AA4"/>
    <mergeCell ref="AJ3:AN3"/>
    <mergeCell ref="AO3:AS3"/>
    <mergeCell ref="AT3:AX3"/>
    <mergeCell ref="AY3:BC3"/>
    <mergeCell ref="BD3:BH3"/>
    <mergeCell ref="BI3:BM3"/>
    <mergeCell ref="AJ4:AK4"/>
    <mergeCell ref="AL4:AN4"/>
    <mergeCell ref="AO4:AP4"/>
    <mergeCell ref="C3:C5"/>
    <mergeCell ref="E3:E5"/>
    <mergeCell ref="BK4:BM4"/>
    <mergeCell ref="BN4:BN5"/>
    <mergeCell ref="BO4:BO5"/>
    <mergeCell ref="AQ4:AS4"/>
    <mergeCell ref="AT4:AU4"/>
    <mergeCell ref="AV4:AX4"/>
    <mergeCell ref="BF4:BH4"/>
    <mergeCell ref="BI4:BJ4"/>
  </mergeCells>
  <conditionalFormatting sqref="F7:I100">
    <cfRule type="cellIs" dxfId="58" priority="36" stopIfTrue="1" operator="equal">
      <formula>0</formula>
    </cfRule>
  </conditionalFormatting>
  <conditionalFormatting sqref="F6:O6">
    <cfRule type="cellIs" dxfId="57" priority="114" stopIfTrue="1" operator="equal">
      <formula>0</formula>
    </cfRule>
  </conditionalFormatting>
  <conditionalFormatting sqref="K7:L14">
    <cfRule type="cellIs" dxfId="56" priority="115" stopIfTrue="1" operator="equal">
      <formula>0</formula>
    </cfRule>
  </conditionalFormatting>
  <conditionalFormatting sqref="K7:N100">
    <cfRule type="cellIs" dxfId="55" priority="34" stopIfTrue="1" operator="equal">
      <formula>0</formula>
    </cfRule>
  </conditionalFormatting>
  <conditionalFormatting sqref="N32:N45">
    <cfRule type="cellIs" dxfId="54" priority="32" stopIfTrue="1" operator="equal">
      <formula>0</formula>
    </cfRule>
  </conditionalFormatting>
  <conditionalFormatting sqref="P7:Q14">
    <cfRule type="cellIs" dxfId="53" priority="120" stopIfTrue="1" operator="equal">
      <formula>0</formula>
    </cfRule>
  </conditionalFormatting>
  <conditionalFormatting sqref="P6:S100">
    <cfRule type="cellIs" dxfId="52" priority="10" stopIfTrue="1" operator="equal">
      <formula>0</formula>
    </cfRule>
  </conditionalFormatting>
  <conditionalFormatting sqref="T6">
    <cfRule type="cellIs" dxfId="51" priority="99" stopIfTrue="1" operator="equal">
      <formula>0</formula>
    </cfRule>
  </conditionalFormatting>
  <conditionalFormatting sqref="U6:X100">
    <cfRule type="cellIs" dxfId="50" priority="9" stopIfTrue="1" operator="equal">
      <formula>0</formula>
    </cfRule>
  </conditionalFormatting>
  <conditionalFormatting sqref="V7:X14 U8:U14">
    <cfRule type="cellIs" dxfId="49" priority="119" stopIfTrue="1" operator="equal">
      <formula>0</formula>
    </cfRule>
  </conditionalFormatting>
  <conditionalFormatting sqref="V21:X95">
    <cfRule type="cellIs" dxfId="48" priority="29" stopIfTrue="1" operator="equal">
      <formula>0</formula>
    </cfRule>
  </conditionalFormatting>
  <conditionalFormatting sqref="Y6">
    <cfRule type="cellIs" dxfId="47" priority="84" stopIfTrue="1" operator="equal">
      <formula>0</formula>
    </cfRule>
  </conditionalFormatting>
  <conditionalFormatting sqref="Z7:AA14">
    <cfRule type="cellIs" dxfId="46" priority="118" stopIfTrue="1" operator="equal">
      <formula>0</formula>
    </cfRule>
  </conditionalFormatting>
  <conditionalFormatting sqref="Z6:AC100">
    <cfRule type="cellIs" dxfId="45" priority="8" stopIfTrue="1" operator="equal">
      <formula>0</formula>
    </cfRule>
  </conditionalFormatting>
  <conditionalFormatting sqref="AD6:AI6">
    <cfRule type="cellIs" dxfId="44" priority="7" stopIfTrue="1" operator="equal">
      <formula>0</formula>
    </cfRule>
  </conditionalFormatting>
  <conditionalFormatting sqref="AE7:AF14 M7:N31 R7:S31 W7:X31 AB7:AC31 BA7:BB31 H7:I45 AV7:AW69 AL7:AM75 AQ7:AR75 BF7:BG100 BK7:BL100">
    <cfRule type="cellIs" dxfId="43" priority="116" stopIfTrue="1" operator="equal">
      <formula>0</formula>
    </cfRule>
  </conditionalFormatting>
  <conditionalFormatting sqref="AE15:AH100">
    <cfRule type="cellIs" dxfId="42" priority="24" stopIfTrue="1" operator="equal">
      <formula>0</formula>
    </cfRule>
  </conditionalFormatting>
  <conditionalFormatting sqref="AG7:AH75">
    <cfRule type="cellIs" dxfId="41" priority="57" stopIfTrue="1" operator="equal">
      <formula>0</formula>
    </cfRule>
  </conditionalFormatting>
  <conditionalFormatting sqref="AJ6:AM100">
    <cfRule type="cellIs" dxfId="40" priority="6" stopIfTrue="1" operator="equal">
      <formula>0</formula>
    </cfRule>
  </conditionalFormatting>
  <conditionalFormatting sqref="AN6">
    <cfRule type="cellIs" dxfId="39" priority="66" stopIfTrue="1" operator="equal">
      <formula>0</formula>
    </cfRule>
  </conditionalFormatting>
  <conditionalFormatting sqref="AO6:AR100">
    <cfRule type="cellIs" dxfId="38" priority="5" stopIfTrue="1" operator="equal">
      <formula>0</formula>
    </cfRule>
  </conditionalFormatting>
  <conditionalFormatting sqref="AS6">
    <cfRule type="cellIs" dxfId="37" priority="65" stopIfTrue="1" operator="equal">
      <formula>0</formula>
    </cfRule>
  </conditionalFormatting>
  <conditionalFormatting sqref="AT6:AW100">
    <cfRule type="cellIs" dxfId="36" priority="4" stopIfTrue="1" operator="equal">
      <formula>0</formula>
    </cfRule>
  </conditionalFormatting>
  <conditionalFormatting sqref="AX6">
    <cfRule type="cellIs" dxfId="35" priority="64" stopIfTrue="1" operator="equal">
      <formula>0</formula>
    </cfRule>
  </conditionalFormatting>
  <conditionalFormatting sqref="AY7:AZ14">
    <cfRule type="cellIs" dxfId="34" priority="117" stopIfTrue="1" operator="equal">
      <formula>0</formula>
    </cfRule>
  </conditionalFormatting>
  <conditionalFormatting sqref="AY6:BB100">
    <cfRule type="cellIs" dxfId="33" priority="3" stopIfTrue="1" operator="equal">
      <formula>0</formula>
    </cfRule>
  </conditionalFormatting>
  <conditionalFormatting sqref="BC6">
    <cfRule type="cellIs" dxfId="32" priority="63" stopIfTrue="1" operator="equal">
      <formula>0</formula>
    </cfRule>
  </conditionalFormatting>
  <conditionalFormatting sqref="BD6:BG100">
    <cfRule type="cellIs" dxfId="31" priority="2" stopIfTrue="1" operator="equal">
      <formula>0</formula>
    </cfRule>
  </conditionalFormatting>
  <conditionalFormatting sqref="BH6">
    <cfRule type="cellIs" dxfId="30" priority="62" stopIfTrue="1" operator="equal">
      <formula>0</formula>
    </cfRule>
  </conditionalFormatting>
  <conditionalFormatting sqref="BI6:BL100">
    <cfRule type="cellIs" dxfId="29" priority="1" stopIfTrue="1" operator="equal">
      <formula>0</formula>
    </cfRule>
  </conditionalFormatting>
  <conditionalFormatting sqref="BM6:BO6">
    <cfRule type="cellIs" dxfId="28" priority="61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9A4E-14FB-4A82-B711-44BE806A57E5}">
  <sheetPr>
    <tabColor rgb="FFFFFF00"/>
    <pageSetUpPr fitToPage="1"/>
  </sheetPr>
  <dimension ref="A1:CY100"/>
  <sheetViews>
    <sheetView view="pageBreakPreview" zoomScale="55" zoomScaleNormal="115" zoomScaleSheetLayoutView="55" workbookViewId="0">
      <pane xSplit="4" ySplit="6" topLeftCell="E7" activePane="bottomRight" state="frozen"/>
      <selection activeCell="C7" sqref="C7"/>
      <selection pane="topRight" activeCell="C7" sqref="C7"/>
      <selection pane="bottomLeft" activeCell="C7" sqref="C7"/>
      <selection pane="bottomRight" activeCell="E7" sqref="E7"/>
    </sheetView>
  </sheetViews>
  <sheetFormatPr defaultColWidth="15" defaultRowHeight="18.75" x14ac:dyDescent="0.25"/>
  <cols>
    <col min="1" max="1" width="5.7109375" style="24" customWidth="1"/>
    <col min="2" max="2" width="40" style="24" bestFit="1" customWidth="1"/>
    <col min="3" max="3" width="40.140625" style="25" bestFit="1" customWidth="1"/>
    <col min="4" max="4" width="9.5703125" style="24" customWidth="1"/>
    <col min="5" max="5" width="41" style="24" bestFit="1" customWidth="1"/>
    <col min="6" max="6" width="12.7109375" style="24" customWidth="1"/>
    <col min="7" max="10" width="15.7109375" style="24" customWidth="1"/>
    <col min="11" max="11" width="12.7109375" style="24" customWidth="1"/>
    <col min="12" max="12" width="15.7109375" style="24" customWidth="1"/>
    <col min="13" max="14" width="12.7109375" style="24" customWidth="1"/>
    <col min="15" max="15" width="15.7109375" style="24" customWidth="1"/>
    <col min="16" max="16" width="12.7109375" style="24" customWidth="1"/>
    <col min="17" max="17" width="15.7109375" style="24" customWidth="1"/>
    <col min="18" max="19" width="12.7109375" style="24" customWidth="1"/>
    <col min="20" max="20" width="15.28515625" style="24" customWidth="1"/>
    <col min="21" max="22" width="12.7109375" style="24" customWidth="1"/>
    <col min="23" max="26" width="15.7109375" style="24" customWidth="1"/>
    <col min="27" max="27" width="12.7109375" style="24" customWidth="1"/>
    <col min="28" max="28" width="15.7109375" style="24" customWidth="1"/>
    <col min="29" max="30" width="12.7109375" style="24" customWidth="1"/>
    <col min="31" max="34" width="15.7109375" style="24" customWidth="1"/>
    <col min="35" max="35" width="12.7109375" style="24" customWidth="1"/>
    <col min="36" max="36" width="15.7109375" style="24" customWidth="1"/>
    <col min="37" max="38" width="12.7109375" style="24" customWidth="1"/>
    <col min="39" max="42" width="15.7109375" style="24" customWidth="1"/>
    <col min="43" max="43" width="12.7109375" style="24" customWidth="1"/>
    <col min="44" max="44" width="15.7109375" style="24" customWidth="1"/>
    <col min="45" max="46" width="12.7109375" style="24" customWidth="1"/>
    <col min="47" max="50" width="15.7109375" style="24" customWidth="1"/>
    <col min="51" max="51" width="15.28515625" style="24" customWidth="1"/>
    <col min="52" max="52" width="15.7109375" style="24" customWidth="1"/>
    <col min="53" max="54" width="12.7109375" style="24" customWidth="1"/>
    <col min="55" max="58" width="15.7109375" style="24" customWidth="1"/>
    <col min="59" max="59" width="12.7109375" style="24" customWidth="1"/>
    <col min="60" max="60" width="15.7109375" style="24" customWidth="1"/>
    <col min="61" max="62" width="12.7109375" style="24" customWidth="1"/>
    <col min="63" max="66" width="15.7109375" style="24" customWidth="1"/>
    <col min="67" max="67" width="12.7109375" style="24" customWidth="1"/>
    <col min="68" max="68" width="15.7109375" style="24" customWidth="1"/>
    <col min="69" max="69" width="12.7109375" style="24" customWidth="1"/>
    <col min="70" max="70" width="12.7109375" style="24" customWidth="1" collapsed="1"/>
    <col min="71" max="74" width="15.7109375" style="24" customWidth="1"/>
    <col min="75" max="75" width="12.7109375" style="24" customWidth="1"/>
    <col min="76" max="76" width="15.7109375" style="24" customWidth="1"/>
    <col min="77" max="77" width="12.7109375" style="24" customWidth="1"/>
    <col min="78" max="78" width="12.7109375" style="24" customWidth="1" collapsed="1"/>
    <col min="79" max="82" width="15.7109375" style="24" customWidth="1"/>
    <col min="83" max="83" width="12.7109375" style="24" customWidth="1"/>
    <col min="84" max="84" width="15.7109375" style="24" customWidth="1"/>
    <col min="85" max="86" width="12.7109375" style="24" customWidth="1"/>
    <col min="87" max="90" width="15.7109375" style="24" customWidth="1"/>
    <col min="91" max="91" width="12.7109375" style="24" customWidth="1"/>
    <col min="92" max="92" width="15.7109375" style="24" customWidth="1"/>
    <col min="93" max="94" width="12.7109375" style="24" customWidth="1"/>
    <col min="95" max="98" width="15.7109375" style="24" customWidth="1"/>
    <col min="99" max="99" width="12.7109375" style="24" customWidth="1"/>
    <col min="100" max="100" width="15.7109375" style="24" customWidth="1"/>
    <col min="101" max="101" width="12.7109375" style="24" customWidth="1"/>
    <col min="102" max="103" width="17.140625" style="24" hidden="1" customWidth="1"/>
    <col min="104" max="104" width="15" style="24" customWidth="1"/>
    <col min="105" max="16384" width="15" style="24"/>
  </cols>
  <sheetData>
    <row r="1" spans="1:103" s="23" customFormat="1" ht="47.25" customHeight="1" x14ac:dyDescent="0.25">
      <c r="A1" s="21" t="s">
        <v>2167</v>
      </c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</row>
    <row r="2" spans="1:103" x14ac:dyDescent="0.25">
      <c r="M2" s="26"/>
      <c r="BY2" s="27"/>
      <c r="CG2" s="27"/>
      <c r="CO2" s="27"/>
      <c r="CV2" s="75" t="s">
        <v>2008</v>
      </c>
      <c r="CW2" s="75"/>
      <c r="CX2" s="27"/>
      <c r="CY2" s="27" t="s">
        <v>2008</v>
      </c>
    </row>
    <row r="3" spans="1:103" s="29" customFormat="1" ht="46.5" customHeight="1" x14ac:dyDescent="0.25">
      <c r="A3" s="68" t="s">
        <v>0</v>
      </c>
      <c r="B3" s="68" t="s">
        <v>2032</v>
      </c>
      <c r="C3" s="68" t="s">
        <v>2009</v>
      </c>
      <c r="D3" s="68" t="s">
        <v>2010</v>
      </c>
      <c r="E3" s="71" t="s">
        <v>2011</v>
      </c>
      <c r="F3" s="68" t="s">
        <v>2168</v>
      </c>
      <c r="G3" s="68"/>
      <c r="H3" s="68"/>
      <c r="I3" s="68"/>
      <c r="J3" s="68"/>
      <c r="K3" s="68"/>
      <c r="L3" s="68"/>
      <c r="M3" s="68"/>
      <c r="N3" s="76" t="s">
        <v>2169</v>
      </c>
      <c r="O3" s="77"/>
      <c r="P3" s="77"/>
      <c r="Q3" s="77"/>
      <c r="R3" s="77"/>
      <c r="S3" s="77"/>
      <c r="T3" s="77"/>
      <c r="U3" s="78"/>
      <c r="V3" s="68" t="s">
        <v>2170</v>
      </c>
      <c r="W3" s="68"/>
      <c r="X3" s="68"/>
      <c r="Y3" s="68"/>
      <c r="Z3" s="68"/>
      <c r="AA3" s="68"/>
      <c r="AB3" s="68"/>
      <c r="AC3" s="68"/>
      <c r="AD3" s="68" t="s">
        <v>2171</v>
      </c>
      <c r="AE3" s="68"/>
      <c r="AF3" s="68"/>
      <c r="AG3" s="68"/>
      <c r="AH3" s="68"/>
      <c r="AI3" s="68"/>
      <c r="AJ3" s="68"/>
      <c r="AK3" s="68"/>
      <c r="AL3" s="68" t="s">
        <v>2172</v>
      </c>
      <c r="AM3" s="68"/>
      <c r="AN3" s="68"/>
      <c r="AO3" s="68"/>
      <c r="AP3" s="68"/>
      <c r="AQ3" s="68"/>
      <c r="AR3" s="68"/>
      <c r="AS3" s="68"/>
      <c r="AT3" s="68" t="s">
        <v>2173</v>
      </c>
      <c r="AU3" s="68"/>
      <c r="AV3" s="68"/>
      <c r="AW3" s="68"/>
      <c r="AX3" s="68"/>
      <c r="AY3" s="68"/>
      <c r="AZ3" s="68"/>
      <c r="BA3" s="68"/>
      <c r="BB3" s="68" t="s">
        <v>2174</v>
      </c>
      <c r="BC3" s="68"/>
      <c r="BD3" s="68"/>
      <c r="BE3" s="68"/>
      <c r="BF3" s="68"/>
      <c r="BG3" s="68"/>
      <c r="BH3" s="68"/>
      <c r="BI3" s="68"/>
      <c r="BJ3" s="68" t="s">
        <v>2175</v>
      </c>
      <c r="BK3" s="68"/>
      <c r="BL3" s="68"/>
      <c r="BM3" s="68"/>
      <c r="BN3" s="68"/>
      <c r="BO3" s="68"/>
      <c r="BP3" s="68"/>
      <c r="BQ3" s="68"/>
      <c r="BR3" s="68" t="s">
        <v>2176</v>
      </c>
      <c r="BS3" s="68"/>
      <c r="BT3" s="68"/>
      <c r="BU3" s="68"/>
      <c r="BV3" s="68"/>
      <c r="BW3" s="68"/>
      <c r="BX3" s="68"/>
      <c r="BY3" s="68"/>
      <c r="BZ3" s="68" t="s">
        <v>2177</v>
      </c>
      <c r="CA3" s="68"/>
      <c r="CB3" s="68"/>
      <c r="CC3" s="68"/>
      <c r="CD3" s="68"/>
      <c r="CE3" s="68"/>
      <c r="CF3" s="68"/>
      <c r="CG3" s="68"/>
      <c r="CH3" s="68" t="s">
        <v>2178</v>
      </c>
      <c r="CI3" s="68"/>
      <c r="CJ3" s="68"/>
      <c r="CK3" s="68"/>
      <c r="CL3" s="68"/>
      <c r="CM3" s="68"/>
      <c r="CN3" s="68"/>
      <c r="CO3" s="68"/>
      <c r="CP3" s="68" t="s">
        <v>2179</v>
      </c>
      <c r="CQ3" s="68"/>
      <c r="CR3" s="68"/>
      <c r="CS3" s="68"/>
      <c r="CT3" s="68"/>
      <c r="CU3" s="68"/>
      <c r="CV3" s="68"/>
      <c r="CW3" s="68"/>
      <c r="CX3" s="74" t="s">
        <v>2024</v>
      </c>
      <c r="CY3" s="74"/>
    </row>
    <row r="4" spans="1:103" s="29" customFormat="1" ht="39.75" customHeight="1" x14ac:dyDescent="0.25">
      <c r="A4" s="68"/>
      <c r="B4" s="68"/>
      <c r="C4" s="68"/>
      <c r="D4" s="68"/>
      <c r="E4" s="72"/>
      <c r="F4" s="70" t="s">
        <v>2025</v>
      </c>
      <c r="G4" s="70"/>
      <c r="H4" s="68" t="s">
        <v>2026</v>
      </c>
      <c r="I4" s="68"/>
      <c r="J4" s="68"/>
      <c r="K4" s="68" t="s">
        <v>2180</v>
      </c>
      <c r="L4" s="68"/>
      <c r="M4" s="68"/>
      <c r="N4" s="70" t="s">
        <v>2025</v>
      </c>
      <c r="O4" s="70"/>
      <c r="P4" s="68" t="s">
        <v>2026</v>
      </c>
      <c r="Q4" s="68"/>
      <c r="R4" s="68"/>
      <c r="S4" s="68" t="s">
        <v>2180</v>
      </c>
      <c r="T4" s="68"/>
      <c r="U4" s="68"/>
      <c r="V4" s="70" t="s">
        <v>2025</v>
      </c>
      <c r="W4" s="70"/>
      <c r="X4" s="68" t="s">
        <v>2026</v>
      </c>
      <c r="Y4" s="68"/>
      <c r="Z4" s="68"/>
      <c r="AA4" s="68" t="s">
        <v>2180</v>
      </c>
      <c r="AB4" s="68"/>
      <c r="AC4" s="68"/>
      <c r="AD4" s="70" t="s">
        <v>2025</v>
      </c>
      <c r="AE4" s="70"/>
      <c r="AF4" s="68" t="s">
        <v>2026</v>
      </c>
      <c r="AG4" s="68"/>
      <c r="AH4" s="68"/>
      <c r="AI4" s="68" t="s">
        <v>2180</v>
      </c>
      <c r="AJ4" s="68"/>
      <c r="AK4" s="68"/>
      <c r="AL4" s="70" t="s">
        <v>2025</v>
      </c>
      <c r="AM4" s="70"/>
      <c r="AN4" s="68" t="s">
        <v>2026</v>
      </c>
      <c r="AO4" s="68"/>
      <c r="AP4" s="68"/>
      <c r="AQ4" s="68" t="s">
        <v>2180</v>
      </c>
      <c r="AR4" s="68"/>
      <c r="AS4" s="68"/>
      <c r="AT4" s="70" t="s">
        <v>2025</v>
      </c>
      <c r="AU4" s="70"/>
      <c r="AV4" s="68" t="s">
        <v>2026</v>
      </c>
      <c r="AW4" s="68"/>
      <c r="AX4" s="68"/>
      <c r="AY4" s="68" t="s">
        <v>2180</v>
      </c>
      <c r="AZ4" s="68"/>
      <c r="BA4" s="68"/>
      <c r="BB4" s="70" t="s">
        <v>2025</v>
      </c>
      <c r="BC4" s="70"/>
      <c r="BD4" s="68" t="s">
        <v>2026</v>
      </c>
      <c r="BE4" s="68"/>
      <c r="BF4" s="68"/>
      <c r="BG4" s="68" t="s">
        <v>2180</v>
      </c>
      <c r="BH4" s="68"/>
      <c r="BI4" s="68"/>
      <c r="BJ4" s="70" t="s">
        <v>2025</v>
      </c>
      <c r="BK4" s="70"/>
      <c r="BL4" s="68" t="s">
        <v>2026</v>
      </c>
      <c r="BM4" s="68"/>
      <c r="BN4" s="68"/>
      <c r="BO4" s="68" t="s">
        <v>2180</v>
      </c>
      <c r="BP4" s="68"/>
      <c r="BQ4" s="68"/>
      <c r="BR4" s="70" t="s">
        <v>2025</v>
      </c>
      <c r="BS4" s="70"/>
      <c r="BT4" s="68" t="s">
        <v>2026</v>
      </c>
      <c r="BU4" s="68"/>
      <c r="BV4" s="68"/>
      <c r="BW4" s="68" t="s">
        <v>2180</v>
      </c>
      <c r="BX4" s="68"/>
      <c r="BY4" s="68"/>
      <c r="BZ4" s="70" t="s">
        <v>2025</v>
      </c>
      <c r="CA4" s="70"/>
      <c r="CB4" s="68" t="s">
        <v>2026</v>
      </c>
      <c r="CC4" s="68"/>
      <c r="CD4" s="68"/>
      <c r="CE4" s="68" t="s">
        <v>2180</v>
      </c>
      <c r="CF4" s="68"/>
      <c r="CG4" s="68"/>
      <c r="CH4" s="70" t="s">
        <v>2025</v>
      </c>
      <c r="CI4" s="70"/>
      <c r="CJ4" s="68" t="s">
        <v>2026</v>
      </c>
      <c r="CK4" s="68"/>
      <c r="CL4" s="68"/>
      <c r="CM4" s="68" t="s">
        <v>2180</v>
      </c>
      <c r="CN4" s="68"/>
      <c r="CO4" s="68"/>
      <c r="CP4" s="70" t="s">
        <v>2025</v>
      </c>
      <c r="CQ4" s="70"/>
      <c r="CR4" s="68" t="s">
        <v>2026</v>
      </c>
      <c r="CS4" s="68"/>
      <c r="CT4" s="68"/>
      <c r="CU4" s="68" t="s">
        <v>2180</v>
      </c>
      <c r="CV4" s="68"/>
      <c r="CW4" s="68"/>
      <c r="CX4" s="69" t="s">
        <v>2027</v>
      </c>
      <c r="CY4" s="69" t="s">
        <v>2028</v>
      </c>
    </row>
    <row r="5" spans="1:103" s="29" customFormat="1" ht="27" customHeight="1" x14ac:dyDescent="0.25">
      <c r="A5" s="68"/>
      <c r="B5" s="68"/>
      <c r="C5" s="68"/>
      <c r="D5" s="68"/>
      <c r="E5" s="73"/>
      <c r="F5" s="30" t="s">
        <v>2029</v>
      </c>
      <c r="G5" s="30" t="s">
        <v>2030</v>
      </c>
      <c r="H5" s="30" t="s">
        <v>2029</v>
      </c>
      <c r="I5" s="30" t="s">
        <v>2030</v>
      </c>
      <c r="J5" s="28" t="s">
        <v>2031</v>
      </c>
      <c r="K5" s="30" t="s">
        <v>2029</v>
      </c>
      <c r="L5" s="30" t="s">
        <v>2030</v>
      </c>
      <c r="M5" s="28" t="s">
        <v>2031</v>
      </c>
      <c r="N5" s="30" t="s">
        <v>2029</v>
      </c>
      <c r="O5" s="30" t="s">
        <v>2030</v>
      </c>
      <c r="P5" s="30" t="s">
        <v>2029</v>
      </c>
      <c r="Q5" s="30" t="s">
        <v>2030</v>
      </c>
      <c r="R5" s="28" t="s">
        <v>2031</v>
      </c>
      <c r="S5" s="30" t="s">
        <v>2029</v>
      </c>
      <c r="T5" s="30" t="s">
        <v>2030</v>
      </c>
      <c r="U5" s="28" t="s">
        <v>2031</v>
      </c>
      <c r="V5" s="30" t="s">
        <v>2029</v>
      </c>
      <c r="W5" s="30" t="s">
        <v>2030</v>
      </c>
      <c r="X5" s="30" t="s">
        <v>2029</v>
      </c>
      <c r="Y5" s="30" t="s">
        <v>2030</v>
      </c>
      <c r="Z5" s="28" t="s">
        <v>2031</v>
      </c>
      <c r="AA5" s="30" t="s">
        <v>2029</v>
      </c>
      <c r="AB5" s="30" t="s">
        <v>2030</v>
      </c>
      <c r="AC5" s="28" t="s">
        <v>2031</v>
      </c>
      <c r="AD5" s="30" t="s">
        <v>2029</v>
      </c>
      <c r="AE5" s="30" t="s">
        <v>2030</v>
      </c>
      <c r="AF5" s="30" t="s">
        <v>2029</v>
      </c>
      <c r="AG5" s="30" t="s">
        <v>2030</v>
      </c>
      <c r="AH5" s="28" t="s">
        <v>2031</v>
      </c>
      <c r="AI5" s="30" t="s">
        <v>2029</v>
      </c>
      <c r="AJ5" s="30" t="s">
        <v>2030</v>
      </c>
      <c r="AK5" s="28" t="s">
        <v>2031</v>
      </c>
      <c r="AL5" s="30" t="s">
        <v>2029</v>
      </c>
      <c r="AM5" s="30" t="s">
        <v>2030</v>
      </c>
      <c r="AN5" s="30" t="s">
        <v>2029</v>
      </c>
      <c r="AO5" s="30" t="s">
        <v>2030</v>
      </c>
      <c r="AP5" s="28" t="s">
        <v>2031</v>
      </c>
      <c r="AQ5" s="30" t="s">
        <v>2029</v>
      </c>
      <c r="AR5" s="30" t="s">
        <v>2030</v>
      </c>
      <c r="AS5" s="28" t="s">
        <v>2031</v>
      </c>
      <c r="AT5" s="30" t="s">
        <v>2029</v>
      </c>
      <c r="AU5" s="30" t="s">
        <v>2030</v>
      </c>
      <c r="AV5" s="30" t="s">
        <v>2029</v>
      </c>
      <c r="AW5" s="30" t="s">
        <v>2030</v>
      </c>
      <c r="AX5" s="28" t="s">
        <v>2031</v>
      </c>
      <c r="AY5" s="30" t="s">
        <v>2029</v>
      </c>
      <c r="AZ5" s="30" t="s">
        <v>2030</v>
      </c>
      <c r="BA5" s="28" t="s">
        <v>2031</v>
      </c>
      <c r="BB5" s="30" t="s">
        <v>2029</v>
      </c>
      <c r="BC5" s="30" t="s">
        <v>2030</v>
      </c>
      <c r="BD5" s="30" t="s">
        <v>2029</v>
      </c>
      <c r="BE5" s="30" t="s">
        <v>2030</v>
      </c>
      <c r="BF5" s="28" t="s">
        <v>2031</v>
      </c>
      <c r="BG5" s="30" t="s">
        <v>2029</v>
      </c>
      <c r="BH5" s="30" t="s">
        <v>2030</v>
      </c>
      <c r="BI5" s="28" t="s">
        <v>2031</v>
      </c>
      <c r="BJ5" s="30" t="s">
        <v>2029</v>
      </c>
      <c r="BK5" s="30" t="s">
        <v>2030</v>
      </c>
      <c r="BL5" s="30" t="s">
        <v>2029</v>
      </c>
      <c r="BM5" s="30" t="s">
        <v>2030</v>
      </c>
      <c r="BN5" s="28" t="s">
        <v>2031</v>
      </c>
      <c r="BO5" s="30" t="s">
        <v>2029</v>
      </c>
      <c r="BP5" s="30" t="s">
        <v>2030</v>
      </c>
      <c r="BQ5" s="28" t="s">
        <v>2031</v>
      </c>
      <c r="BR5" s="30" t="s">
        <v>2029</v>
      </c>
      <c r="BS5" s="30" t="s">
        <v>2030</v>
      </c>
      <c r="BT5" s="30" t="s">
        <v>2029</v>
      </c>
      <c r="BU5" s="30" t="s">
        <v>2030</v>
      </c>
      <c r="BV5" s="28" t="s">
        <v>2031</v>
      </c>
      <c r="BW5" s="30" t="s">
        <v>2029</v>
      </c>
      <c r="BX5" s="30" t="s">
        <v>2030</v>
      </c>
      <c r="BY5" s="28" t="s">
        <v>2031</v>
      </c>
      <c r="BZ5" s="30" t="s">
        <v>2029</v>
      </c>
      <c r="CA5" s="30" t="s">
        <v>2030</v>
      </c>
      <c r="CB5" s="30" t="s">
        <v>2029</v>
      </c>
      <c r="CC5" s="30" t="s">
        <v>2030</v>
      </c>
      <c r="CD5" s="28" t="s">
        <v>2031</v>
      </c>
      <c r="CE5" s="30" t="s">
        <v>2029</v>
      </c>
      <c r="CF5" s="30" t="s">
        <v>2030</v>
      </c>
      <c r="CG5" s="28" t="s">
        <v>2031</v>
      </c>
      <c r="CH5" s="30" t="s">
        <v>2029</v>
      </c>
      <c r="CI5" s="30" t="s">
        <v>2030</v>
      </c>
      <c r="CJ5" s="30" t="s">
        <v>2029</v>
      </c>
      <c r="CK5" s="30" t="s">
        <v>2030</v>
      </c>
      <c r="CL5" s="28" t="s">
        <v>2031</v>
      </c>
      <c r="CM5" s="30" t="s">
        <v>2029</v>
      </c>
      <c r="CN5" s="30" t="s">
        <v>2030</v>
      </c>
      <c r="CO5" s="28" t="s">
        <v>2031</v>
      </c>
      <c r="CP5" s="30" t="s">
        <v>2029</v>
      </c>
      <c r="CQ5" s="30" t="s">
        <v>2030</v>
      </c>
      <c r="CR5" s="30" t="s">
        <v>2029</v>
      </c>
      <c r="CS5" s="30" t="s">
        <v>2030</v>
      </c>
      <c r="CT5" s="28" t="s">
        <v>2031</v>
      </c>
      <c r="CU5" s="30" t="s">
        <v>2029</v>
      </c>
      <c r="CV5" s="30" t="s">
        <v>2030</v>
      </c>
      <c r="CW5" s="28" t="s">
        <v>2031</v>
      </c>
      <c r="CX5" s="69"/>
      <c r="CY5" s="69"/>
    </row>
    <row r="6" spans="1:103" s="37" customFormat="1" ht="35.1" customHeight="1" x14ac:dyDescent="0.25">
      <c r="A6" s="31"/>
      <c r="B6" s="31"/>
      <c r="C6" s="32" t="s">
        <v>2025</v>
      </c>
      <c r="D6" s="32"/>
      <c r="E6" s="32"/>
      <c r="F6" s="33">
        <f>+SUM(F7:F100)</f>
        <v>444716</v>
      </c>
      <c r="G6" s="33">
        <f t="shared" ref="G6:I6" si="0">+SUM(G7:G100)</f>
        <v>28291317.855895504</v>
      </c>
      <c r="H6" s="33">
        <f t="shared" si="0"/>
        <v>20058</v>
      </c>
      <c r="I6" s="33">
        <f t="shared" si="0"/>
        <v>1721201.2235508102</v>
      </c>
      <c r="J6" s="34">
        <f>+IFERROR(I6/G6,"")</f>
        <v>6.0838495835291627E-2</v>
      </c>
      <c r="K6" s="33">
        <f t="shared" ref="K6" si="1">+SUM(K7:K100)</f>
        <v>20030</v>
      </c>
      <c r="L6" s="33">
        <f t="shared" ref="L6" si="2">+SUM(L7:L100)</f>
        <v>923082.45112004993</v>
      </c>
      <c r="M6" s="35">
        <f>+IFERROR(L6/(G6-(I6-L6)),"")</f>
        <v>3.3574937871643319E-2</v>
      </c>
      <c r="N6" s="33">
        <f t="shared" ref="N6" si="3">+SUM(N7:N100)</f>
        <v>448604</v>
      </c>
      <c r="O6" s="33">
        <f t="shared" ref="O6" si="4">+SUM(O7:O100)</f>
        <v>28214218.163087755</v>
      </c>
      <c r="P6" s="33">
        <f t="shared" ref="P6" si="5">+SUM(P7:P100)</f>
        <v>22084</v>
      </c>
      <c r="Q6" s="33">
        <f t="shared" ref="Q6" si="6">+SUM(Q7:Q100)</f>
        <v>1932091.630141014</v>
      </c>
      <c r="R6" s="34">
        <f>+IFERROR(Q6/O6,"")</f>
        <v>6.847936097228953E-2</v>
      </c>
      <c r="S6" s="33">
        <f t="shared" ref="S6" si="7">+SUM(S7:S100)</f>
        <v>22056</v>
      </c>
      <c r="T6" s="33">
        <f t="shared" ref="T6" si="8">+SUM(T7:T100)</f>
        <v>1133798.9713251542</v>
      </c>
      <c r="U6" s="35">
        <f>+IFERROR(T6/(O6-(Q6-T6)),"")</f>
        <v>4.1355487749209413E-2</v>
      </c>
      <c r="V6" s="33">
        <f t="shared" ref="V6" si="9">+SUM(V7:V100)</f>
        <v>451494</v>
      </c>
      <c r="W6" s="33">
        <f t="shared" ref="W6" si="10">+SUM(W7:W100)</f>
        <v>28015820.561382223</v>
      </c>
      <c r="X6" s="33">
        <f t="shared" ref="X6" si="11">+SUM(X7:X100)</f>
        <v>23605</v>
      </c>
      <c r="Y6" s="33">
        <f t="shared" ref="Y6" si="12">+SUM(Y7:Y100)</f>
        <v>1908572.9774829615</v>
      </c>
      <c r="Z6" s="34">
        <f t="shared" ref="Z6:Z63" si="13">+IFERROR(Y6/W6,"")</f>
        <v>6.8124828730299306E-2</v>
      </c>
      <c r="AA6" s="33">
        <f t="shared" ref="AA6" si="14">+SUM(AA7:AA100)</f>
        <v>23578</v>
      </c>
      <c r="AB6" s="33">
        <f t="shared" ref="AB6" si="15">+SUM(AB7:AB100)</f>
        <v>1112552.6851007505</v>
      </c>
      <c r="AC6" s="35">
        <f>+IFERROR(AB6/(W6-(Y6-AB6)),"")</f>
        <v>4.0872918761560878E-2</v>
      </c>
      <c r="AD6" s="33">
        <f t="shared" ref="AD6" si="16">+SUM(AD7:AD100)</f>
        <v>458549</v>
      </c>
      <c r="AE6" s="33">
        <f t="shared" ref="AE6" si="17">+SUM(AE7:AE100)</f>
        <v>28629880.147624269</v>
      </c>
      <c r="AF6" s="33">
        <f t="shared" ref="AF6" si="18">+SUM(AF7:AF100)</f>
        <v>23907</v>
      </c>
      <c r="AG6" s="33">
        <f t="shared" ref="AG6" si="19">+SUM(AG7:AG100)</f>
        <v>1946145.0592966489</v>
      </c>
      <c r="AH6" s="34">
        <f>+IFERROR(AG6/AE6,"")</f>
        <v>6.7976011400038699E-2</v>
      </c>
      <c r="AI6" s="33">
        <f t="shared" ref="AI6" si="20">+SUM(AI7:AI100)</f>
        <v>23882</v>
      </c>
      <c r="AJ6" s="33">
        <f t="shared" ref="AJ6" si="21">+SUM(AJ7:AJ100)</f>
        <v>1150794.5646723686</v>
      </c>
      <c r="AK6" s="35">
        <f>+IFERROR(AJ6/(AE6-(AG6-AJ6)),"")</f>
        <v>4.1344135468383482E-2</v>
      </c>
      <c r="AL6" s="33">
        <f t="shared" ref="AL6" si="22">+SUM(AL7:AL100)</f>
        <v>468845</v>
      </c>
      <c r="AM6" s="33">
        <f t="shared" ref="AM6" si="23">+SUM(AM7:AM100)</f>
        <v>29159144.511423439</v>
      </c>
      <c r="AN6" s="33">
        <f t="shared" ref="AN6" si="24">+SUM(AN7:AN100)</f>
        <v>25992</v>
      </c>
      <c r="AO6" s="33">
        <f t="shared" ref="AO6" si="25">+SUM(AO7:AO100)</f>
        <v>1979460.2206726191</v>
      </c>
      <c r="AP6" s="34">
        <f>+IFERROR(AO6/AM6,"")</f>
        <v>6.7884715201337348E-2</v>
      </c>
      <c r="AQ6" s="33">
        <f t="shared" ref="AQ6" si="26">+SUM(AQ7:AQ100)</f>
        <v>25963</v>
      </c>
      <c r="AR6" s="33">
        <f t="shared" ref="AR6" si="27">+SUM(AR7:AR100)</f>
        <v>1169320.2222491794</v>
      </c>
      <c r="AS6" s="35">
        <f>+IFERROR(AR6/(AM6-(AO6-AR6)),"")</f>
        <v>4.1247311584185056E-2</v>
      </c>
      <c r="AT6" s="33">
        <f t="shared" ref="AT6" si="28">+SUM(AT7:AT100)</f>
        <v>473444</v>
      </c>
      <c r="AU6" s="33">
        <f t="shared" ref="AU6" si="29">+SUM(AU7:AU100)</f>
        <v>29182449.233366862</v>
      </c>
      <c r="AV6" s="33">
        <f t="shared" ref="AV6" si="30">+SUM(AV7:AV100)</f>
        <v>27192</v>
      </c>
      <c r="AW6" s="33">
        <f t="shared" ref="AW6" si="31">+SUM(AW7:AW100)</f>
        <v>1970648.5172827791</v>
      </c>
      <c r="AX6" s="34">
        <f>+IFERROR(AW6/AU6,"")</f>
        <v>6.752855120294575E-2</v>
      </c>
      <c r="AY6" s="33">
        <f t="shared" ref="AY6" si="32">+SUM(AY7:AY100)</f>
        <v>27165</v>
      </c>
      <c r="AZ6" s="33">
        <f t="shared" ref="AZ6" si="33">+SUM(AZ7:AZ100)</f>
        <v>1174519.4929159088</v>
      </c>
      <c r="BA6" s="35">
        <f>+IFERROR(AZ6/(AU6-(AW6-AZ6)),"")</f>
        <v>4.1376250400484205E-2</v>
      </c>
      <c r="BB6" s="33">
        <f t="shared" ref="BB6" si="34">+SUM(BB7:BB100)</f>
        <v>476471</v>
      </c>
      <c r="BC6" s="33">
        <f t="shared" ref="BC6" si="35">+SUM(BC7:BC100)</f>
        <v>29579206.823150266</v>
      </c>
      <c r="BD6" s="33">
        <f t="shared" ref="BD6" si="36">+SUM(BD7:BD100)</f>
        <v>28890</v>
      </c>
      <c r="BE6" s="33">
        <f t="shared" ref="BE6" si="37">+SUM(BE7:BE100)</f>
        <v>1818539.2532845826</v>
      </c>
      <c r="BF6" s="34">
        <f>+IFERROR(BE6/BC6,"")</f>
        <v>6.1480325153996242E-2</v>
      </c>
      <c r="BG6" s="33">
        <f t="shared" ref="BG6" si="38">+SUM(BG7:BG100)</f>
        <v>28866</v>
      </c>
      <c r="BH6" s="33">
        <f t="shared" ref="BH6" si="39">+SUM(BH7:BH100)</f>
        <v>1154131.4301343216</v>
      </c>
      <c r="BI6" s="35">
        <f>+IFERROR(BH6/(BC6-(BE6-BH6)),"")</f>
        <v>3.9914904133842376E-2</v>
      </c>
      <c r="BJ6" s="33">
        <f t="shared" ref="BJ6" si="40">+SUM(BJ7:BJ100)</f>
        <v>481283</v>
      </c>
      <c r="BK6" s="33">
        <f t="shared" ref="BK6" si="41">+SUM(BK7:BK100)</f>
        <v>29343854.918668445</v>
      </c>
      <c r="BL6" s="33">
        <f t="shared" ref="BL6" si="42">+SUM(BL7:BL100)</f>
        <v>30056</v>
      </c>
      <c r="BM6" s="33">
        <f t="shared" ref="BM6" si="43">+SUM(BM7:BM100)</f>
        <v>2319268.903580022</v>
      </c>
      <c r="BN6" s="34">
        <f>+IFERROR(BM6/BK6,"")</f>
        <v>7.9037635307572088E-2</v>
      </c>
      <c r="BO6" s="33">
        <f t="shared" ref="BO6" si="44">+SUM(BO7:BO100)</f>
        <v>30028</v>
      </c>
      <c r="BP6" s="33">
        <f t="shared" ref="BP6" si="45">+SUM(BP7:BP100)</f>
        <v>1246784.6813305821</v>
      </c>
      <c r="BQ6" s="35">
        <f>+IFERROR(BP6/(BK6-(BM6-BP6)),"")</f>
        <v>4.4100609578456212E-2</v>
      </c>
      <c r="BR6" s="33">
        <f t="shared" ref="BR6" si="46">+SUM(BR7:BR100)</f>
        <v>482719</v>
      </c>
      <c r="BS6" s="33">
        <f t="shared" ref="BS6" si="47">+SUM(BS7:BS100)</f>
        <v>29467819.24341457</v>
      </c>
      <c r="BT6" s="33">
        <f t="shared" ref="BT6" si="48">+SUM(BT7:BT100)</f>
        <v>29550</v>
      </c>
      <c r="BU6" s="33">
        <f t="shared" ref="BU6" si="49">+SUM(BU7:BU100)</f>
        <v>2233615.5041086716</v>
      </c>
      <c r="BV6" s="34">
        <f>+IFERROR(BU6/BS6,"")</f>
        <v>7.5798466308559201E-2</v>
      </c>
      <c r="BW6" s="33">
        <f t="shared" ref="BW6" si="50">+SUM(BW7:BW100)</f>
        <v>29523</v>
      </c>
      <c r="BX6" s="33">
        <f t="shared" ref="BX6" si="51">+SUM(BX7:BX100)</f>
        <v>1164764.5117221125</v>
      </c>
      <c r="BY6" s="35">
        <f>+IFERROR(BX6/(BS6-(BU6-BX6)),"")</f>
        <v>4.1014324936961381E-2</v>
      </c>
      <c r="BZ6" s="33">
        <f t="shared" ref="BZ6" si="52">+SUM(BZ7:BZ100)</f>
        <v>491243</v>
      </c>
      <c r="CA6" s="33">
        <f t="shared" ref="CA6" si="53">+SUM(CA7:CA100)</f>
        <v>29402288.202981487</v>
      </c>
      <c r="CB6" s="33">
        <f t="shared" ref="CB6" si="54">+SUM(CB7:CB100)</f>
        <v>29764</v>
      </c>
      <c r="CC6" s="33">
        <f t="shared" ref="CC6" si="55">+SUM(CC7:CC100)</f>
        <v>2240963.0755313165</v>
      </c>
      <c r="CD6" s="34">
        <f>+IFERROR(CC6/CA6,"")</f>
        <v>7.621730186646071E-2</v>
      </c>
      <c r="CE6" s="33">
        <f t="shared" ref="CE6" si="56">+SUM(CE7:CE100)</f>
        <v>29732</v>
      </c>
      <c r="CF6" s="33">
        <f t="shared" ref="CF6" si="57">+SUM(CF7:CF100)</f>
        <v>1154015.8573188465</v>
      </c>
      <c r="CG6" s="35">
        <f>+IFERROR(CF6/(CA6-(CC6-CF6)),"")</f>
        <v>4.0755852381915453E-2</v>
      </c>
      <c r="CH6" s="33">
        <f t="shared" ref="CH6" si="58">+SUM(CH7:CH100)</f>
        <v>502185</v>
      </c>
      <c r="CI6" s="33">
        <f t="shared" ref="CI6" si="59">+SUM(CI7:CI100)</f>
        <v>29842075.491730861</v>
      </c>
      <c r="CJ6" s="33">
        <f t="shared" ref="CJ6" si="60">+SUM(CJ7:CJ100)</f>
        <v>30843</v>
      </c>
      <c r="CK6" s="33">
        <f t="shared" ref="CK6" si="61">+SUM(CK7:CK100)</f>
        <v>2283671.0725386273</v>
      </c>
      <c r="CL6" s="34">
        <f>+IFERROR(CK6/CI6,"")</f>
        <v>7.6525209286177995E-2</v>
      </c>
      <c r="CM6" s="33">
        <f t="shared" ref="CM6" si="62">+SUM(CM7:CM100)</f>
        <v>30814</v>
      </c>
      <c r="CN6" s="33">
        <f t="shared" ref="CN6" si="63">+SUM(CN7:CN100)</f>
        <v>1219371.0180657187</v>
      </c>
      <c r="CO6" s="35">
        <f>+IFERROR(CN6/(CI6-(CK6-CN6)),"")</f>
        <v>4.2371969324877898E-2</v>
      </c>
      <c r="CP6" s="33">
        <f t="shared" ref="CP6" si="64">+SUM(CP7:CP100)</f>
        <v>503054</v>
      </c>
      <c r="CQ6" s="33">
        <f t="shared" ref="CQ6" si="65">+SUM(CQ7:CQ100)</f>
        <v>29910415.652357377</v>
      </c>
      <c r="CR6" s="33">
        <f t="shared" ref="CR6" si="66">+SUM(CR7:CR100)</f>
        <v>30417</v>
      </c>
      <c r="CS6" s="33">
        <f t="shared" ref="CS6" si="67">+SUM(CS7:CS100)</f>
        <v>2215403.2142122416</v>
      </c>
      <c r="CT6" s="34">
        <f>+IFERROR(CS6/CQ6,"")</f>
        <v>7.4067951444119623E-2</v>
      </c>
      <c r="CU6" s="33">
        <f t="shared" ref="CU6" si="68">+SUM(CU7:CU100)</f>
        <v>30389</v>
      </c>
      <c r="CV6" s="33">
        <f t="shared" ref="CV6" si="69">+SUM(CV7:CV100)</f>
        <v>1175630.0006577619</v>
      </c>
      <c r="CW6" s="35">
        <f>+IFERROR(CV6/(CQ6-(CS6-CV6)),"")</f>
        <v>4.0720604092885873E-2</v>
      </c>
      <c r="CX6" s="36" t="e">
        <f>+#REF!+#REF!+#REF!+#REF!+#REF!+#REF!+#REF!+#REF!+#REF!+#REF!+#REF!+#REF!+#REF!+#REF!</f>
        <v>#REF!</v>
      </c>
      <c r="CY6" s="36" t="e">
        <f>+#REF!+#REF!+#REF!+#REF!+#REF!+#REF!+#REF!+#REF!+#REF!+#REF!+#REF!+#REF!+#REF!+#REF!</f>
        <v>#REF!</v>
      </c>
    </row>
    <row r="7" spans="1:103" s="29" customFormat="1" ht="35.1" customHeight="1" x14ac:dyDescent="0.25">
      <c r="A7" s="38">
        <v>1</v>
      </c>
      <c r="B7" s="45" t="s">
        <v>2033</v>
      </c>
      <c r="C7" s="45" t="s">
        <v>2034</v>
      </c>
      <c r="D7" s="64">
        <v>11253</v>
      </c>
      <c r="E7" s="45" t="s">
        <v>2035</v>
      </c>
      <c r="F7" s="39">
        <v>2598</v>
      </c>
      <c r="G7" s="39">
        <v>937866.30376343103</v>
      </c>
      <c r="H7" s="39">
        <v>59</v>
      </c>
      <c r="I7" s="39">
        <v>99078.40221529</v>
      </c>
      <c r="J7" s="40">
        <f t="shared" ref="J7:J64" si="70">+IFERROR(I7/G7,"")</f>
        <v>0.10564235202577626</v>
      </c>
      <c r="K7" s="39">
        <v>55</v>
      </c>
      <c r="L7" s="39">
        <v>49292.952506800008</v>
      </c>
      <c r="M7" s="40">
        <f t="shared" ref="M7:M64" si="71">+IFERROR(L7/(G7-(I7-L7)),"")</f>
        <v>5.5505027815576015E-2</v>
      </c>
      <c r="N7" s="39">
        <v>2826</v>
      </c>
      <c r="O7" s="39">
        <v>947238.99588114244</v>
      </c>
      <c r="P7" s="39">
        <v>58</v>
      </c>
      <c r="Q7" s="39">
        <v>99203.369524660011</v>
      </c>
      <c r="R7" s="40">
        <f t="shared" ref="R7:R64" si="72">+IFERROR(Q7/O7,"")</f>
        <v>0.10472897542861279</v>
      </c>
      <c r="S7" s="39">
        <v>54</v>
      </c>
      <c r="T7" s="39">
        <v>49417.919816170011</v>
      </c>
      <c r="U7" s="40">
        <f t="shared" ref="U7:U64" si="73">+IFERROR(T7/(O7-(Q7-T7)),"")</f>
        <v>5.5064599195046221E-2</v>
      </c>
      <c r="V7" s="39">
        <v>3495</v>
      </c>
      <c r="W7" s="39">
        <v>941550.66901010997</v>
      </c>
      <c r="X7" s="39">
        <v>61</v>
      </c>
      <c r="Y7" s="39">
        <v>104765.98321724002</v>
      </c>
      <c r="Z7" s="40">
        <f t="shared" si="13"/>
        <v>0.11126961794566478</v>
      </c>
      <c r="AA7" s="39">
        <v>57</v>
      </c>
      <c r="AB7" s="39">
        <v>54980.533508750013</v>
      </c>
      <c r="AC7" s="40">
        <f t="shared" ref="AC7:AC64" si="74">+IFERROR(AB7/(W7-(Y7-AB7)),"")</f>
        <v>6.1653597066510017E-2</v>
      </c>
      <c r="AD7" s="39">
        <v>4382</v>
      </c>
      <c r="AE7" s="39">
        <v>955467.84600939683</v>
      </c>
      <c r="AF7" s="39">
        <v>51</v>
      </c>
      <c r="AG7" s="39">
        <v>96705.925270310021</v>
      </c>
      <c r="AH7" s="40">
        <f t="shared" ref="AH7:AH64" si="75">+IFERROR(AG7/AE7,"")</f>
        <v>0.10121316554420078</v>
      </c>
      <c r="AI7" s="39">
        <v>47</v>
      </c>
      <c r="AJ7" s="39">
        <v>46920.475561820029</v>
      </c>
      <c r="AK7" s="40">
        <f t="shared" ref="AK7:AK64" si="76">+IFERROR(AJ7/(AE7-(AG7-AJ7)),"")</f>
        <v>5.1806765543261177E-2</v>
      </c>
      <c r="AL7" s="39">
        <v>5726</v>
      </c>
      <c r="AM7" s="39">
        <v>974672.17504669947</v>
      </c>
      <c r="AN7" s="39">
        <v>59</v>
      </c>
      <c r="AO7" s="39">
        <v>96623.29628669002</v>
      </c>
      <c r="AP7" s="40">
        <f t="shared" ref="AP7:AP64" si="77">+IFERROR(AO7/AM7,"")</f>
        <v>9.9134148650607073E-2</v>
      </c>
      <c r="AQ7" s="39">
        <v>55</v>
      </c>
      <c r="AR7" s="39">
        <v>46837.846578200013</v>
      </c>
      <c r="AS7" s="40">
        <f t="shared" ref="AS7:AS64" si="78">+IFERROR(AR7/(AM7-(AO7-AR7)),"")</f>
        <v>5.0641711352352375E-2</v>
      </c>
      <c r="AT7" s="39">
        <v>6596</v>
      </c>
      <c r="AU7" s="39">
        <v>974589.83149275114</v>
      </c>
      <c r="AV7" s="39">
        <v>70</v>
      </c>
      <c r="AW7" s="39">
        <v>95289.667088960006</v>
      </c>
      <c r="AX7" s="40">
        <f t="shared" ref="AX7:AX64" si="79">+IFERROR(AW7/AU7,"")</f>
        <v>9.777412405689434E-2</v>
      </c>
      <c r="AY7" s="39">
        <v>66</v>
      </c>
      <c r="AZ7" s="39">
        <v>45504.217380470007</v>
      </c>
      <c r="BA7" s="40">
        <f t="shared" ref="BA7:BA64" si="80">+IFERROR(AZ7/(AU7-(AW7-AZ7)),"")</f>
        <v>4.9204154172233644E-2</v>
      </c>
      <c r="BB7" s="41">
        <v>7494</v>
      </c>
      <c r="BC7" s="41">
        <v>882928.65597533865</v>
      </c>
      <c r="BD7" s="41">
        <v>67</v>
      </c>
      <c r="BE7" s="41">
        <v>94114.959233240035</v>
      </c>
      <c r="BF7" s="40">
        <f t="shared" ref="BF7:BF64" si="81">+IFERROR(BE7/BC7,"")</f>
        <v>0.10659407030942349</v>
      </c>
      <c r="BG7" s="39">
        <v>63</v>
      </c>
      <c r="BH7" s="39">
        <v>45361.125539830035</v>
      </c>
      <c r="BI7" s="40">
        <f t="shared" ref="BI7:BI64" si="82">+IFERROR(BH7/(BC7-(BE7-BH7)),"")</f>
        <v>5.4378440020213407E-2</v>
      </c>
      <c r="BJ7" s="39">
        <v>8775</v>
      </c>
      <c r="BK7" s="39">
        <v>826638.60393921961</v>
      </c>
      <c r="BL7" s="39">
        <v>79</v>
      </c>
      <c r="BM7" s="39">
        <v>85570.081869680012</v>
      </c>
      <c r="BN7" s="40">
        <f t="shared" ref="BN7:BN64" si="83">+IFERROR(BM7/BK7,"")</f>
        <v>0.10351570984213525</v>
      </c>
      <c r="BO7" s="4">
        <v>75</v>
      </c>
      <c r="BP7" s="4">
        <v>36816.248176270012</v>
      </c>
      <c r="BQ7" s="40">
        <f t="shared" ref="BQ7:BQ64" si="84">+IFERROR(BP7/(BK7-(BM7-BP7)),"")</f>
        <v>4.7328665612821001E-2</v>
      </c>
      <c r="BR7" s="39">
        <v>9884</v>
      </c>
      <c r="BS7" s="39">
        <v>829026.38412364176</v>
      </c>
      <c r="BT7" s="39">
        <v>93</v>
      </c>
      <c r="BU7" s="39">
        <v>82148.511895399977</v>
      </c>
      <c r="BV7" s="40">
        <f t="shared" ref="BV7:BV64" si="85">+IFERROR(BU7/BS7,"")</f>
        <v>9.9090346783400174E-2</v>
      </c>
      <c r="BW7" s="4">
        <v>89</v>
      </c>
      <c r="BX7" s="4">
        <v>33394.678201989984</v>
      </c>
      <c r="BY7" s="40">
        <f t="shared" ref="BY7:BY64" si="86">+IFERROR(BX7/(BS7-(BU7-BX7)),"")</f>
        <v>4.2798735113232692E-2</v>
      </c>
      <c r="BZ7" s="39">
        <v>11016</v>
      </c>
      <c r="CA7" s="39">
        <v>831115.39668765967</v>
      </c>
      <c r="CB7" s="39">
        <v>106</v>
      </c>
      <c r="CC7" s="39">
        <v>87384.491803630008</v>
      </c>
      <c r="CD7" s="40">
        <f t="shared" ref="CD7:CD64" si="87">+IFERROR(CC7/CA7,"")</f>
        <v>0.1051412260582508</v>
      </c>
      <c r="CE7" s="4">
        <v>102</v>
      </c>
      <c r="CF7" s="4">
        <v>38630.658110220007</v>
      </c>
      <c r="CG7" s="40">
        <f t="shared" ref="CG7:CG64" si="88">+IFERROR(CF7/(CA7-(CC7-CF7)),"")</f>
        <v>4.9376988770221501E-2</v>
      </c>
      <c r="CH7" s="39">
        <v>12228</v>
      </c>
      <c r="CI7" s="39">
        <v>846131.2957542463</v>
      </c>
      <c r="CJ7" s="39">
        <v>128</v>
      </c>
      <c r="CK7" s="39">
        <v>86942.124613210006</v>
      </c>
      <c r="CL7" s="40">
        <f t="shared" ref="CL7:CL64" si="89">+IFERROR(CK7/CI7,"")</f>
        <v>0.10275252203703125</v>
      </c>
      <c r="CM7" s="4">
        <v>124</v>
      </c>
      <c r="CN7" s="4">
        <v>38188.290919800005</v>
      </c>
      <c r="CO7" s="40">
        <f t="shared" ref="CO7:CO64" si="90">+IFERROR(CN7/(CI7-(CK7-CN7)),"")</f>
        <v>4.7892363073696223E-2</v>
      </c>
      <c r="CP7" s="39">
        <v>13449</v>
      </c>
      <c r="CQ7" s="39">
        <v>851212.9901987731</v>
      </c>
      <c r="CR7" s="39">
        <v>200</v>
      </c>
      <c r="CS7" s="39">
        <v>88312.754302179994</v>
      </c>
      <c r="CT7" s="40">
        <f t="shared" ref="CT7:CT64" si="91">+IFERROR(CS7/CQ7,"")</f>
        <v>0.10374930284082885</v>
      </c>
      <c r="CU7" s="4">
        <v>196</v>
      </c>
      <c r="CV7" s="4">
        <v>39558.920608769993</v>
      </c>
      <c r="CW7" s="40">
        <f t="shared" ref="CW7:CW64" si="92">+IFERROR(CV7/(CQ7-(CS7-CV7)),"")</f>
        <v>4.9297114112381135E-2</v>
      </c>
      <c r="CX7" s="42">
        <v>0</v>
      </c>
      <c r="CY7" s="42">
        <v>0</v>
      </c>
    </row>
    <row r="8" spans="1:103" s="29" customFormat="1" ht="35.1" customHeight="1" x14ac:dyDescent="0.25">
      <c r="A8" s="38">
        <f t="shared" ref="A8:A71" si="93">+A7+1</f>
        <v>2</v>
      </c>
      <c r="B8" s="45" t="s">
        <v>2033</v>
      </c>
      <c r="C8" s="45" t="s">
        <v>2036</v>
      </c>
      <c r="D8" s="64">
        <v>11254</v>
      </c>
      <c r="E8" s="45" t="s">
        <v>2037</v>
      </c>
      <c r="F8" s="39">
        <v>3064</v>
      </c>
      <c r="G8" s="39">
        <v>215927.13858850926</v>
      </c>
      <c r="H8" s="39">
        <v>5</v>
      </c>
      <c r="I8" s="39">
        <v>68.569206500000007</v>
      </c>
      <c r="J8" s="40">
        <f t="shared" si="70"/>
        <v>3.1755714889860064E-4</v>
      </c>
      <c r="K8" s="39">
        <v>5</v>
      </c>
      <c r="L8" s="39">
        <v>68.569206500000007</v>
      </c>
      <c r="M8" s="40">
        <f t="shared" si="71"/>
        <v>3.1755714889860064E-4</v>
      </c>
      <c r="N8" s="39">
        <v>3200</v>
      </c>
      <c r="O8" s="39">
        <v>232959.81591525991</v>
      </c>
      <c r="P8" s="39">
        <v>6</v>
      </c>
      <c r="Q8" s="39">
        <v>165.52785451000003</v>
      </c>
      <c r="R8" s="40">
        <f t="shared" si="72"/>
        <v>7.1054251935969706E-4</v>
      </c>
      <c r="S8" s="39">
        <v>6</v>
      </c>
      <c r="T8" s="39">
        <v>165.52785451000003</v>
      </c>
      <c r="U8" s="40">
        <f t="shared" si="73"/>
        <v>7.1054251935969706E-4</v>
      </c>
      <c r="V8" s="39">
        <v>3397</v>
      </c>
      <c r="W8" s="39">
        <v>236477.40218933974</v>
      </c>
      <c r="X8" s="39">
        <v>8</v>
      </c>
      <c r="Y8" s="39">
        <v>225.14961631</v>
      </c>
      <c r="Z8" s="40">
        <f t="shared" si="13"/>
        <v>9.5209780818604408E-4</v>
      </c>
      <c r="AA8" s="39">
        <v>8</v>
      </c>
      <c r="AB8" s="39">
        <v>225.14961631</v>
      </c>
      <c r="AC8" s="40">
        <f t="shared" si="74"/>
        <v>9.5209780818604408E-4</v>
      </c>
      <c r="AD8" s="39">
        <v>3604</v>
      </c>
      <c r="AE8" s="39">
        <v>242933.43061171024</v>
      </c>
      <c r="AF8" s="39">
        <v>10</v>
      </c>
      <c r="AG8" s="39">
        <v>263.48218021000002</v>
      </c>
      <c r="AH8" s="40">
        <f t="shared" si="75"/>
        <v>1.0845859277026949E-3</v>
      </c>
      <c r="AI8" s="39">
        <v>10</v>
      </c>
      <c r="AJ8" s="39">
        <v>263.48218021000002</v>
      </c>
      <c r="AK8" s="40">
        <f t="shared" si="76"/>
        <v>1.0845859277026949E-3</v>
      </c>
      <c r="AL8" s="39">
        <v>3930</v>
      </c>
      <c r="AM8" s="39">
        <v>251147.52582145997</v>
      </c>
      <c r="AN8" s="39">
        <v>10</v>
      </c>
      <c r="AO8" s="39">
        <v>241.43306153999995</v>
      </c>
      <c r="AP8" s="40">
        <f t="shared" si="77"/>
        <v>9.6131968949450845E-4</v>
      </c>
      <c r="AQ8" s="39">
        <v>10</v>
      </c>
      <c r="AR8" s="39">
        <v>241.43306153999995</v>
      </c>
      <c r="AS8" s="40">
        <f t="shared" si="78"/>
        <v>9.6131968949450845E-4</v>
      </c>
      <c r="AT8" s="39">
        <v>4205</v>
      </c>
      <c r="AU8" s="39">
        <v>255727.87347273013</v>
      </c>
      <c r="AV8" s="39">
        <v>10</v>
      </c>
      <c r="AW8" s="39">
        <v>373.78447163999994</v>
      </c>
      <c r="AX8" s="40">
        <f t="shared" si="79"/>
        <v>1.4616493171592377E-3</v>
      </c>
      <c r="AY8" s="39">
        <v>10</v>
      </c>
      <c r="AZ8" s="39">
        <v>373.78447163999994</v>
      </c>
      <c r="BA8" s="40">
        <f t="shared" si="80"/>
        <v>1.4616493171592377E-3</v>
      </c>
      <c r="BB8" s="41">
        <v>4439</v>
      </c>
      <c r="BC8" s="41">
        <v>250831.35586183032</v>
      </c>
      <c r="BD8" s="41">
        <v>12</v>
      </c>
      <c r="BE8" s="41">
        <v>500.98734843999995</v>
      </c>
      <c r="BF8" s="40">
        <f t="shared" si="81"/>
        <v>1.9973075005661066E-3</v>
      </c>
      <c r="BG8" s="39">
        <v>12</v>
      </c>
      <c r="BH8" s="39">
        <v>500.98734843999995</v>
      </c>
      <c r="BI8" s="40">
        <f t="shared" si="82"/>
        <v>1.9973075005661066E-3</v>
      </c>
      <c r="BJ8" s="39">
        <v>4686</v>
      </c>
      <c r="BK8" s="39">
        <v>256769.50948684005</v>
      </c>
      <c r="BL8" s="39">
        <v>13</v>
      </c>
      <c r="BM8" s="39">
        <v>1636.20624318</v>
      </c>
      <c r="BN8" s="40">
        <f t="shared" si="83"/>
        <v>6.3722762350171443E-3</v>
      </c>
      <c r="BO8" s="4">
        <v>13</v>
      </c>
      <c r="BP8" s="4">
        <v>1636.20624318</v>
      </c>
      <c r="BQ8" s="40">
        <f t="shared" si="84"/>
        <v>6.3722762350171443E-3</v>
      </c>
      <c r="BR8" s="39">
        <v>4940</v>
      </c>
      <c r="BS8" s="39">
        <v>267869.61421011022</v>
      </c>
      <c r="BT8" s="39">
        <v>14</v>
      </c>
      <c r="BU8" s="39">
        <v>1722.6648877200003</v>
      </c>
      <c r="BV8" s="40">
        <f t="shared" si="85"/>
        <v>6.4309828227429519E-3</v>
      </c>
      <c r="BW8" s="4">
        <v>14</v>
      </c>
      <c r="BX8" s="4">
        <v>1722.6648877200003</v>
      </c>
      <c r="BY8" s="40">
        <f t="shared" si="86"/>
        <v>6.4309828227429519E-3</v>
      </c>
      <c r="BZ8" s="39">
        <v>5226</v>
      </c>
      <c r="CA8" s="39">
        <v>269760.60042385984</v>
      </c>
      <c r="CB8" s="39">
        <v>15</v>
      </c>
      <c r="CC8" s="39">
        <v>1425.8485241899998</v>
      </c>
      <c r="CD8" s="40">
        <f t="shared" si="87"/>
        <v>5.2856070232259389E-3</v>
      </c>
      <c r="CE8" s="4">
        <v>15</v>
      </c>
      <c r="CF8" s="4">
        <v>1425.8485241899998</v>
      </c>
      <c r="CG8" s="40">
        <f t="shared" si="88"/>
        <v>5.2856070232259389E-3</v>
      </c>
      <c r="CH8" s="39">
        <v>5544</v>
      </c>
      <c r="CI8" s="39">
        <v>281127.96065348916</v>
      </c>
      <c r="CJ8" s="39">
        <v>14</v>
      </c>
      <c r="CK8" s="39">
        <v>1238.4265926699998</v>
      </c>
      <c r="CL8" s="40">
        <f t="shared" si="89"/>
        <v>4.405206048488544E-3</v>
      </c>
      <c r="CM8" s="4">
        <v>14</v>
      </c>
      <c r="CN8" s="4">
        <v>1238.4265926699998</v>
      </c>
      <c r="CO8" s="40">
        <f t="shared" si="90"/>
        <v>4.405206048488544E-3</v>
      </c>
      <c r="CP8" s="39">
        <v>5828</v>
      </c>
      <c r="CQ8" s="39">
        <v>283554.70602312975</v>
      </c>
      <c r="CR8" s="39">
        <v>19</v>
      </c>
      <c r="CS8" s="39">
        <v>1079.9514652600003</v>
      </c>
      <c r="CT8" s="40">
        <f t="shared" si="91"/>
        <v>3.8086176752499673E-3</v>
      </c>
      <c r="CU8" s="4">
        <v>19</v>
      </c>
      <c r="CV8" s="4">
        <v>1079.9514652600003</v>
      </c>
      <c r="CW8" s="40">
        <f t="shared" si="92"/>
        <v>3.8086176752499673E-3</v>
      </c>
      <c r="CX8" s="42">
        <v>0</v>
      </c>
      <c r="CY8" s="42">
        <v>0</v>
      </c>
    </row>
    <row r="9" spans="1:103" s="29" customFormat="1" ht="35.1" customHeight="1" x14ac:dyDescent="0.25">
      <c r="A9" s="38">
        <f t="shared" si="93"/>
        <v>3</v>
      </c>
      <c r="B9" s="45" t="s">
        <v>2033</v>
      </c>
      <c r="C9" s="45" t="s">
        <v>2038</v>
      </c>
      <c r="D9" s="64">
        <v>11255</v>
      </c>
      <c r="E9" s="45" t="s">
        <v>2039</v>
      </c>
      <c r="F9" s="39">
        <v>2646</v>
      </c>
      <c r="G9" s="39">
        <v>193497.93293353025</v>
      </c>
      <c r="H9" s="39">
        <v>25</v>
      </c>
      <c r="I9" s="39">
        <v>722.34270906999984</v>
      </c>
      <c r="J9" s="40">
        <f t="shared" si="70"/>
        <v>3.7330771348246731E-3</v>
      </c>
      <c r="K9" s="39">
        <v>25</v>
      </c>
      <c r="L9" s="39">
        <v>722.34270906999984</v>
      </c>
      <c r="M9" s="40">
        <f t="shared" si="71"/>
        <v>3.7330771348246731E-3</v>
      </c>
      <c r="N9" s="39">
        <v>2691</v>
      </c>
      <c r="O9" s="39">
        <v>196162.95814125033</v>
      </c>
      <c r="P9" s="39">
        <v>24</v>
      </c>
      <c r="Q9" s="39">
        <v>716.64462033999985</v>
      </c>
      <c r="R9" s="40">
        <f t="shared" si="72"/>
        <v>3.6533126698872894E-3</v>
      </c>
      <c r="S9" s="39">
        <v>24</v>
      </c>
      <c r="T9" s="39">
        <v>716.64462033999985</v>
      </c>
      <c r="U9" s="40">
        <f t="shared" si="73"/>
        <v>3.6533126698872894E-3</v>
      </c>
      <c r="V9" s="39">
        <v>2728</v>
      </c>
      <c r="W9" s="39">
        <v>198342.94935290975</v>
      </c>
      <c r="X9" s="39">
        <v>24</v>
      </c>
      <c r="Y9" s="39">
        <v>714.36225827999976</v>
      </c>
      <c r="Z9" s="40">
        <f t="shared" si="13"/>
        <v>3.6016518893693655E-3</v>
      </c>
      <c r="AA9" s="39">
        <v>24</v>
      </c>
      <c r="AB9" s="39">
        <v>714.36225827999976</v>
      </c>
      <c r="AC9" s="40">
        <f t="shared" si="74"/>
        <v>3.6016518893693655E-3</v>
      </c>
      <c r="AD9" s="39">
        <v>2734</v>
      </c>
      <c r="AE9" s="39">
        <v>200615.7036568803</v>
      </c>
      <c r="AF9" s="39">
        <v>23</v>
      </c>
      <c r="AG9" s="39">
        <v>702.84610812999972</v>
      </c>
      <c r="AH9" s="40">
        <f t="shared" si="75"/>
        <v>3.5034451207872578E-3</v>
      </c>
      <c r="AI9" s="39">
        <v>23</v>
      </c>
      <c r="AJ9" s="39">
        <v>702.84610812999972</v>
      </c>
      <c r="AK9" s="40">
        <f t="shared" si="76"/>
        <v>3.5034451207872578E-3</v>
      </c>
      <c r="AL9" s="39">
        <v>2662</v>
      </c>
      <c r="AM9" s="39">
        <v>201680.92820247999</v>
      </c>
      <c r="AN9" s="39">
        <v>25</v>
      </c>
      <c r="AO9" s="39">
        <v>14450.516268129999</v>
      </c>
      <c r="AP9" s="40">
        <f t="shared" si="77"/>
        <v>7.1650385571521313E-2</v>
      </c>
      <c r="AQ9" s="39">
        <v>25</v>
      </c>
      <c r="AR9" s="39">
        <v>14450.516268129999</v>
      </c>
      <c r="AS9" s="40">
        <f t="shared" si="78"/>
        <v>7.1650385571521313E-2</v>
      </c>
      <c r="AT9" s="39">
        <v>2685</v>
      </c>
      <c r="AU9" s="39">
        <v>205511.78920100126</v>
      </c>
      <c r="AV9" s="39">
        <v>26</v>
      </c>
      <c r="AW9" s="39">
        <v>14440.07389989</v>
      </c>
      <c r="AX9" s="40">
        <f t="shared" si="79"/>
        <v>7.0263968583168981E-2</v>
      </c>
      <c r="AY9" s="39">
        <v>26</v>
      </c>
      <c r="AZ9" s="39">
        <v>14440.07389989</v>
      </c>
      <c r="BA9" s="40">
        <f t="shared" si="80"/>
        <v>7.0263968583168981E-2</v>
      </c>
      <c r="BB9" s="41">
        <v>2741</v>
      </c>
      <c r="BC9" s="41">
        <v>209228.09432582007</v>
      </c>
      <c r="BD9" s="41">
        <v>24</v>
      </c>
      <c r="BE9" s="41">
        <v>14524.13710718</v>
      </c>
      <c r="BF9" s="40">
        <f t="shared" si="81"/>
        <v>6.9417719231157901E-2</v>
      </c>
      <c r="BG9" s="39">
        <v>24</v>
      </c>
      <c r="BH9" s="39">
        <v>14524.13710718</v>
      </c>
      <c r="BI9" s="40">
        <f t="shared" si="82"/>
        <v>6.9417719231157901E-2</v>
      </c>
      <c r="BJ9" s="39">
        <v>2795</v>
      </c>
      <c r="BK9" s="39">
        <v>210491.27984015999</v>
      </c>
      <c r="BL9" s="39">
        <v>25</v>
      </c>
      <c r="BM9" s="39">
        <v>14529.408238510003</v>
      </c>
      <c r="BN9" s="40">
        <f t="shared" si="83"/>
        <v>6.9026176521626681E-2</v>
      </c>
      <c r="BO9" s="4">
        <v>25</v>
      </c>
      <c r="BP9" s="4">
        <v>14529.408238510003</v>
      </c>
      <c r="BQ9" s="40">
        <f t="shared" si="84"/>
        <v>6.9026176521626681E-2</v>
      </c>
      <c r="BR9" s="39">
        <v>2866</v>
      </c>
      <c r="BS9" s="39">
        <v>212289.65770061046</v>
      </c>
      <c r="BT9" s="39">
        <v>29</v>
      </c>
      <c r="BU9" s="39">
        <v>15331.823564979999</v>
      </c>
      <c r="BV9" s="40">
        <f t="shared" si="85"/>
        <v>7.2221245872478079E-2</v>
      </c>
      <c r="BW9" s="4">
        <v>29</v>
      </c>
      <c r="BX9" s="4">
        <v>15331.823564979999</v>
      </c>
      <c r="BY9" s="40">
        <f t="shared" si="86"/>
        <v>7.2221245872478079E-2</v>
      </c>
      <c r="BZ9" s="39">
        <v>2944</v>
      </c>
      <c r="CA9" s="39">
        <v>214933.35540801007</v>
      </c>
      <c r="CB9" s="39">
        <v>30</v>
      </c>
      <c r="CC9" s="39">
        <v>15365.692347709997</v>
      </c>
      <c r="CD9" s="40">
        <f t="shared" si="87"/>
        <v>7.1490496756732594E-2</v>
      </c>
      <c r="CE9" s="4">
        <v>30</v>
      </c>
      <c r="CF9" s="4">
        <v>15365.692347709997</v>
      </c>
      <c r="CG9" s="40">
        <f t="shared" si="88"/>
        <v>7.1490496756732594E-2</v>
      </c>
      <c r="CH9" s="39">
        <v>2963</v>
      </c>
      <c r="CI9" s="39">
        <v>215059.76015564037</v>
      </c>
      <c r="CJ9" s="39">
        <v>28</v>
      </c>
      <c r="CK9" s="39">
        <v>15134.961858160001</v>
      </c>
      <c r="CL9" s="40">
        <f t="shared" si="89"/>
        <v>7.0375610235995409E-2</v>
      </c>
      <c r="CM9" s="4">
        <v>28</v>
      </c>
      <c r="CN9" s="4">
        <v>15134.961858160001</v>
      </c>
      <c r="CO9" s="40">
        <f t="shared" si="90"/>
        <v>7.0375610235995409E-2</v>
      </c>
      <c r="CP9" s="39">
        <v>3025</v>
      </c>
      <c r="CQ9" s="39">
        <v>216847.11360840904</v>
      </c>
      <c r="CR9" s="39">
        <v>26</v>
      </c>
      <c r="CS9" s="39">
        <v>15161.629339429999</v>
      </c>
      <c r="CT9" s="40">
        <f t="shared" si="91"/>
        <v>6.9918520413462637E-2</v>
      </c>
      <c r="CU9" s="4">
        <v>26</v>
      </c>
      <c r="CV9" s="4">
        <v>15161.629339429999</v>
      </c>
      <c r="CW9" s="40">
        <f t="shared" si="92"/>
        <v>6.9918520413462637E-2</v>
      </c>
      <c r="CX9" s="42">
        <v>0</v>
      </c>
      <c r="CY9" s="42">
        <v>0</v>
      </c>
    </row>
    <row r="10" spans="1:103" s="29" customFormat="1" ht="35.1" customHeight="1" x14ac:dyDescent="0.25">
      <c r="A10" s="38">
        <f t="shared" si="93"/>
        <v>4</v>
      </c>
      <c r="B10" s="45" t="s">
        <v>2033</v>
      </c>
      <c r="C10" s="45" t="s">
        <v>2040</v>
      </c>
      <c r="D10" s="64">
        <v>11256</v>
      </c>
      <c r="E10" s="45" t="s">
        <v>2041</v>
      </c>
      <c r="F10" s="39">
        <v>2684</v>
      </c>
      <c r="G10" s="39">
        <v>151264.40400861995</v>
      </c>
      <c r="H10" s="39">
        <v>12</v>
      </c>
      <c r="I10" s="39">
        <v>776.08718289000012</v>
      </c>
      <c r="J10" s="40">
        <f t="shared" si="70"/>
        <v>5.1306663188635838E-3</v>
      </c>
      <c r="K10" s="39">
        <v>12</v>
      </c>
      <c r="L10" s="39">
        <v>776.08718289000012</v>
      </c>
      <c r="M10" s="40">
        <f t="shared" si="71"/>
        <v>5.1306663188635838E-3</v>
      </c>
      <c r="N10" s="39">
        <v>2850</v>
      </c>
      <c r="O10" s="39">
        <v>154223.79297677981</v>
      </c>
      <c r="P10" s="39">
        <v>14</v>
      </c>
      <c r="Q10" s="39">
        <v>929.11896456000011</v>
      </c>
      <c r="R10" s="40">
        <f t="shared" si="72"/>
        <v>6.0244852407429104E-3</v>
      </c>
      <c r="S10" s="39">
        <v>14</v>
      </c>
      <c r="T10" s="39">
        <v>929.11896456000011</v>
      </c>
      <c r="U10" s="40">
        <f t="shared" si="73"/>
        <v>6.0244852407429104E-3</v>
      </c>
      <c r="V10" s="39">
        <v>3019</v>
      </c>
      <c r="W10" s="39">
        <v>158878.38212003006</v>
      </c>
      <c r="X10" s="39">
        <v>12</v>
      </c>
      <c r="Y10" s="39">
        <v>780.69849213000009</v>
      </c>
      <c r="Z10" s="40">
        <f t="shared" si="13"/>
        <v>4.9138119466762631E-3</v>
      </c>
      <c r="AA10" s="39">
        <v>12</v>
      </c>
      <c r="AB10" s="39">
        <v>780.69849213000009</v>
      </c>
      <c r="AC10" s="40">
        <f t="shared" si="74"/>
        <v>4.9138119466762631E-3</v>
      </c>
      <c r="AD10" s="39">
        <v>3166</v>
      </c>
      <c r="AE10" s="39">
        <v>157238.54826224942</v>
      </c>
      <c r="AF10" s="39">
        <v>11</v>
      </c>
      <c r="AG10" s="39">
        <v>436.04447755999996</v>
      </c>
      <c r="AH10" s="40">
        <f t="shared" si="75"/>
        <v>2.7731398081388137E-3</v>
      </c>
      <c r="AI10" s="39">
        <v>11</v>
      </c>
      <c r="AJ10" s="39">
        <v>436.04447755999996</v>
      </c>
      <c r="AK10" s="40">
        <f t="shared" si="76"/>
        <v>2.7731398081388137E-3</v>
      </c>
      <c r="AL10" s="39">
        <v>3370</v>
      </c>
      <c r="AM10" s="39">
        <v>157785.60129603019</v>
      </c>
      <c r="AN10" s="39">
        <v>25</v>
      </c>
      <c r="AO10" s="39">
        <v>791.86561698000014</v>
      </c>
      <c r="AP10" s="40">
        <f t="shared" si="77"/>
        <v>5.0186177349246068E-3</v>
      </c>
      <c r="AQ10" s="39">
        <v>25</v>
      </c>
      <c r="AR10" s="39">
        <v>791.86561698000014</v>
      </c>
      <c r="AS10" s="40">
        <f t="shared" si="78"/>
        <v>5.0186177349246068E-3</v>
      </c>
      <c r="AT10" s="39">
        <v>3586</v>
      </c>
      <c r="AU10" s="39">
        <v>157914.68018132966</v>
      </c>
      <c r="AV10" s="39">
        <v>26</v>
      </c>
      <c r="AW10" s="39">
        <v>655.79378784000016</v>
      </c>
      <c r="AX10" s="40">
        <f t="shared" si="79"/>
        <v>4.1528361206631817E-3</v>
      </c>
      <c r="AY10" s="39">
        <v>26</v>
      </c>
      <c r="AZ10" s="39">
        <v>655.79378784000016</v>
      </c>
      <c r="BA10" s="40">
        <f t="shared" si="80"/>
        <v>4.1528361206631817E-3</v>
      </c>
      <c r="BB10" s="41">
        <v>3794</v>
      </c>
      <c r="BC10" s="41">
        <v>155219.55979943962</v>
      </c>
      <c r="BD10" s="41">
        <v>30</v>
      </c>
      <c r="BE10" s="41">
        <v>843.17718290999994</v>
      </c>
      <c r="BF10" s="40">
        <f t="shared" si="81"/>
        <v>5.4321580604884826E-3</v>
      </c>
      <c r="BG10" s="39">
        <v>30</v>
      </c>
      <c r="BH10" s="39">
        <v>843.17718290999994</v>
      </c>
      <c r="BI10" s="40">
        <f t="shared" si="82"/>
        <v>5.4321580604884826E-3</v>
      </c>
      <c r="BJ10" s="39">
        <v>4001</v>
      </c>
      <c r="BK10" s="39">
        <v>160890.86008012004</v>
      </c>
      <c r="BL10" s="39">
        <v>30</v>
      </c>
      <c r="BM10" s="39">
        <v>849.75655519000009</v>
      </c>
      <c r="BN10" s="40">
        <f t="shared" si="83"/>
        <v>5.2815713382776399E-3</v>
      </c>
      <c r="BO10" s="4">
        <v>30</v>
      </c>
      <c r="BP10" s="4">
        <v>849.75655519000009</v>
      </c>
      <c r="BQ10" s="40">
        <f t="shared" si="84"/>
        <v>5.2815713382776399E-3</v>
      </c>
      <c r="BR10" s="39">
        <v>4237</v>
      </c>
      <c r="BS10" s="39">
        <v>163001.86247729018</v>
      </c>
      <c r="BT10" s="39">
        <v>36</v>
      </c>
      <c r="BU10" s="39">
        <v>822.69084698999995</v>
      </c>
      <c r="BV10" s="40">
        <f t="shared" si="85"/>
        <v>5.0471254406962325E-3</v>
      </c>
      <c r="BW10" s="4">
        <v>36</v>
      </c>
      <c r="BX10" s="4">
        <v>822.69084698999995</v>
      </c>
      <c r="BY10" s="40">
        <f t="shared" si="86"/>
        <v>5.0471254406962325E-3</v>
      </c>
      <c r="BZ10" s="39">
        <v>4444</v>
      </c>
      <c r="CA10" s="39">
        <v>163785.66834642977</v>
      </c>
      <c r="CB10" s="39">
        <v>43</v>
      </c>
      <c r="CC10" s="39">
        <v>942.15730263000023</v>
      </c>
      <c r="CD10" s="40">
        <f t="shared" si="87"/>
        <v>5.7523793879034934E-3</v>
      </c>
      <c r="CE10" s="4">
        <v>43</v>
      </c>
      <c r="CF10" s="4">
        <v>942.15730263000023</v>
      </c>
      <c r="CG10" s="40">
        <f t="shared" si="88"/>
        <v>5.7523793879034934E-3</v>
      </c>
      <c r="CH10" s="39">
        <v>4676</v>
      </c>
      <c r="CI10" s="39">
        <v>169195.79260019975</v>
      </c>
      <c r="CJ10" s="39">
        <v>42</v>
      </c>
      <c r="CK10" s="39">
        <v>815.77720758999999</v>
      </c>
      <c r="CL10" s="40">
        <f t="shared" si="89"/>
        <v>4.8214981888919433E-3</v>
      </c>
      <c r="CM10" s="4">
        <v>42</v>
      </c>
      <c r="CN10" s="4">
        <v>815.77720758999999</v>
      </c>
      <c r="CO10" s="40">
        <f t="shared" si="90"/>
        <v>4.8214981888919433E-3</v>
      </c>
      <c r="CP10" s="39">
        <v>4887</v>
      </c>
      <c r="CQ10" s="39">
        <v>172085.30929760853</v>
      </c>
      <c r="CR10" s="39">
        <v>30</v>
      </c>
      <c r="CS10" s="39">
        <v>762.48946693000005</v>
      </c>
      <c r="CT10" s="40">
        <f t="shared" si="91"/>
        <v>4.4308806489189159E-3</v>
      </c>
      <c r="CU10" s="4">
        <v>30</v>
      </c>
      <c r="CV10" s="4">
        <v>762.48946693000005</v>
      </c>
      <c r="CW10" s="40">
        <f t="shared" si="92"/>
        <v>4.4308806489189159E-3</v>
      </c>
      <c r="CX10" s="42">
        <v>0</v>
      </c>
      <c r="CY10" s="42">
        <v>0</v>
      </c>
    </row>
    <row r="11" spans="1:103" s="29" customFormat="1" ht="35.1" customHeight="1" x14ac:dyDescent="0.25">
      <c r="A11" s="38">
        <f t="shared" si="93"/>
        <v>5</v>
      </c>
      <c r="B11" s="45" t="s">
        <v>2033</v>
      </c>
      <c r="C11" s="45" t="s">
        <v>2042</v>
      </c>
      <c r="D11" s="64">
        <v>11183</v>
      </c>
      <c r="E11" s="45" t="s">
        <v>2043</v>
      </c>
      <c r="F11" s="39">
        <v>1872</v>
      </c>
      <c r="G11" s="39">
        <v>160270.57412014008</v>
      </c>
      <c r="H11" s="39">
        <v>125</v>
      </c>
      <c r="I11" s="39">
        <v>8565.2275397899975</v>
      </c>
      <c r="J11" s="40">
        <f t="shared" si="70"/>
        <v>5.3442296484003581E-2</v>
      </c>
      <c r="K11" s="39">
        <v>125</v>
      </c>
      <c r="L11" s="39">
        <v>8565.2275397899975</v>
      </c>
      <c r="M11" s="40">
        <f t="shared" si="71"/>
        <v>5.3442296484003581E-2</v>
      </c>
      <c r="N11" s="39">
        <v>1888</v>
      </c>
      <c r="O11" s="39">
        <v>160219.43643873039</v>
      </c>
      <c r="P11" s="39">
        <v>143</v>
      </c>
      <c r="Q11" s="39">
        <v>10843.152242219991</v>
      </c>
      <c r="R11" s="40">
        <f t="shared" si="72"/>
        <v>6.7676884173578575E-2</v>
      </c>
      <c r="S11" s="39">
        <v>143</v>
      </c>
      <c r="T11" s="39">
        <v>10843.152242219991</v>
      </c>
      <c r="U11" s="40">
        <f t="shared" si="73"/>
        <v>6.7676884173578575E-2</v>
      </c>
      <c r="V11" s="39">
        <v>1920</v>
      </c>
      <c r="W11" s="39">
        <v>161557.67810167995</v>
      </c>
      <c r="X11" s="39">
        <v>161</v>
      </c>
      <c r="Y11" s="39">
        <v>11441.756098149986</v>
      </c>
      <c r="Z11" s="40">
        <f t="shared" si="13"/>
        <v>7.0821493800801355E-2</v>
      </c>
      <c r="AA11" s="39">
        <v>161</v>
      </c>
      <c r="AB11" s="39">
        <v>11441.756098149986</v>
      </c>
      <c r="AC11" s="40">
        <f t="shared" si="74"/>
        <v>7.0821493800801355E-2</v>
      </c>
      <c r="AD11" s="39">
        <v>1934</v>
      </c>
      <c r="AE11" s="39">
        <v>164105.62691791018</v>
      </c>
      <c r="AF11" s="39">
        <v>161</v>
      </c>
      <c r="AG11" s="39">
        <v>11740.404478559985</v>
      </c>
      <c r="AH11" s="40">
        <f t="shared" si="75"/>
        <v>7.1541754533699417E-2</v>
      </c>
      <c r="AI11" s="39">
        <v>161</v>
      </c>
      <c r="AJ11" s="39">
        <v>11740.404478559985</v>
      </c>
      <c r="AK11" s="40">
        <f t="shared" si="76"/>
        <v>7.1541754533699417E-2</v>
      </c>
      <c r="AL11" s="39">
        <v>1906</v>
      </c>
      <c r="AM11" s="39">
        <v>163822.82162099003</v>
      </c>
      <c r="AN11" s="39">
        <v>149</v>
      </c>
      <c r="AO11" s="39">
        <v>12192.260502109988</v>
      </c>
      <c r="AP11" s="40">
        <f t="shared" si="77"/>
        <v>7.4423455666739885E-2</v>
      </c>
      <c r="AQ11" s="39">
        <v>149</v>
      </c>
      <c r="AR11" s="39">
        <v>12192.260502109988</v>
      </c>
      <c r="AS11" s="40">
        <f t="shared" si="78"/>
        <v>7.4423455666739885E-2</v>
      </c>
      <c r="AT11" s="39">
        <v>1910</v>
      </c>
      <c r="AU11" s="39">
        <v>163706.06244498992</v>
      </c>
      <c r="AV11" s="39">
        <v>148</v>
      </c>
      <c r="AW11" s="39">
        <v>11440.17354955999</v>
      </c>
      <c r="AX11" s="40">
        <f t="shared" si="79"/>
        <v>6.988240617786666E-2</v>
      </c>
      <c r="AY11" s="39">
        <v>148</v>
      </c>
      <c r="AZ11" s="39">
        <v>11440.17354955999</v>
      </c>
      <c r="BA11" s="40">
        <f t="shared" si="80"/>
        <v>6.988240617786666E-2</v>
      </c>
      <c r="BB11" s="41">
        <v>1939</v>
      </c>
      <c r="BC11" s="41">
        <v>162078.4273377402</v>
      </c>
      <c r="BD11" s="41">
        <v>145</v>
      </c>
      <c r="BE11" s="41">
        <v>11032.435268689991</v>
      </c>
      <c r="BF11" s="40">
        <f t="shared" si="81"/>
        <v>6.8068498997096771E-2</v>
      </c>
      <c r="BG11" s="39">
        <v>145</v>
      </c>
      <c r="BH11" s="39">
        <v>11032.435268689991</v>
      </c>
      <c r="BI11" s="40">
        <f t="shared" si="82"/>
        <v>6.8068498997096771E-2</v>
      </c>
      <c r="BJ11" s="39">
        <v>1933</v>
      </c>
      <c r="BK11" s="39">
        <v>161553.27492665002</v>
      </c>
      <c r="BL11" s="39">
        <v>144</v>
      </c>
      <c r="BM11" s="39">
        <v>10993.664522009993</v>
      </c>
      <c r="BN11" s="40">
        <f t="shared" si="83"/>
        <v>6.8049778173803296E-2</v>
      </c>
      <c r="BO11" s="4">
        <v>144</v>
      </c>
      <c r="BP11" s="4">
        <v>10993.664522009993</v>
      </c>
      <c r="BQ11" s="40">
        <f t="shared" si="84"/>
        <v>6.8049778173803296E-2</v>
      </c>
      <c r="BR11" s="39">
        <v>1945</v>
      </c>
      <c r="BS11" s="39">
        <v>160385.12574876955</v>
      </c>
      <c r="BT11" s="39">
        <v>144</v>
      </c>
      <c r="BU11" s="39">
        <v>9994.9629461299937</v>
      </c>
      <c r="BV11" s="40">
        <f t="shared" si="85"/>
        <v>6.2318515507393757E-2</v>
      </c>
      <c r="BW11" s="4">
        <v>144</v>
      </c>
      <c r="BX11" s="4">
        <v>9994.9629461299937</v>
      </c>
      <c r="BY11" s="40">
        <f t="shared" si="86"/>
        <v>6.2318515507393757E-2</v>
      </c>
      <c r="BZ11" s="39">
        <v>1945</v>
      </c>
      <c r="CA11" s="39">
        <v>158489.40792675031</v>
      </c>
      <c r="CB11" s="39">
        <v>155</v>
      </c>
      <c r="CC11" s="39">
        <v>9380.9772467399998</v>
      </c>
      <c r="CD11" s="40">
        <f t="shared" si="87"/>
        <v>5.9189931803364702E-2</v>
      </c>
      <c r="CE11" s="4">
        <v>155</v>
      </c>
      <c r="CF11" s="4">
        <v>9380.9772467399998</v>
      </c>
      <c r="CG11" s="40">
        <f t="shared" si="88"/>
        <v>5.9189931803364702E-2</v>
      </c>
      <c r="CH11" s="39">
        <v>1966</v>
      </c>
      <c r="CI11" s="39">
        <v>157618.52067581005</v>
      </c>
      <c r="CJ11" s="39">
        <v>168</v>
      </c>
      <c r="CK11" s="39">
        <v>15005.818122149998</v>
      </c>
      <c r="CL11" s="40">
        <f t="shared" si="89"/>
        <v>9.5203393978135223E-2</v>
      </c>
      <c r="CM11" s="4">
        <v>168</v>
      </c>
      <c r="CN11" s="4">
        <v>15005.818122149998</v>
      </c>
      <c r="CO11" s="40">
        <f t="shared" si="90"/>
        <v>9.5203393978135223E-2</v>
      </c>
      <c r="CP11" s="39">
        <v>1990</v>
      </c>
      <c r="CQ11" s="39">
        <v>157910.81008602973</v>
      </c>
      <c r="CR11" s="39">
        <v>150</v>
      </c>
      <c r="CS11" s="39">
        <v>9746.7988024799943</v>
      </c>
      <c r="CT11" s="40">
        <f t="shared" si="91"/>
        <v>6.1723442474710524E-2</v>
      </c>
      <c r="CU11" s="4">
        <v>150</v>
      </c>
      <c r="CV11" s="4">
        <v>9746.7988024799943</v>
      </c>
      <c r="CW11" s="40">
        <f t="shared" si="92"/>
        <v>6.1723442474710524E-2</v>
      </c>
      <c r="CX11" s="42">
        <v>0</v>
      </c>
      <c r="CY11" s="42">
        <v>0</v>
      </c>
    </row>
    <row r="12" spans="1:103" s="29" customFormat="1" ht="35.1" customHeight="1" x14ac:dyDescent="0.25">
      <c r="A12" s="38">
        <f t="shared" si="93"/>
        <v>6</v>
      </c>
      <c r="B12" s="45" t="s">
        <v>2033</v>
      </c>
      <c r="C12" s="45" t="s">
        <v>2044</v>
      </c>
      <c r="D12" s="64">
        <v>10014</v>
      </c>
      <c r="E12" s="45" t="s">
        <v>2045</v>
      </c>
      <c r="F12" s="39">
        <v>1600</v>
      </c>
      <c r="G12" s="39">
        <v>133106.21904403</v>
      </c>
      <c r="H12" s="39">
        <v>103</v>
      </c>
      <c r="I12" s="39">
        <v>3311.9789283599994</v>
      </c>
      <c r="J12" s="40">
        <f t="shared" si="70"/>
        <v>2.4882225279529838E-2</v>
      </c>
      <c r="K12" s="39">
        <v>103</v>
      </c>
      <c r="L12" s="39">
        <v>3311.9789283599994</v>
      </c>
      <c r="M12" s="40">
        <f t="shared" si="71"/>
        <v>2.4882225279529838E-2</v>
      </c>
      <c r="N12" s="39">
        <v>1584</v>
      </c>
      <c r="O12" s="39">
        <v>131673.84081834991</v>
      </c>
      <c r="P12" s="39">
        <v>111</v>
      </c>
      <c r="Q12" s="39">
        <v>5037.5879974500003</v>
      </c>
      <c r="R12" s="40">
        <f t="shared" si="72"/>
        <v>3.825807742936263E-2</v>
      </c>
      <c r="S12" s="39">
        <v>111</v>
      </c>
      <c r="T12" s="39">
        <v>5037.5879974500003</v>
      </c>
      <c r="U12" s="40">
        <f t="shared" si="73"/>
        <v>3.825807742936263E-2</v>
      </c>
      <c r="V12" s="39">
        <v>1569</v>
      </c>
      <c r="W12" s="39">
        <v>130836.99925777983</v>
      </c>
      <c r="X12" s="39">
        <v>113</v>
      </c>
      <c r="Y12" s="39">
        <v>5538.6091004200025</v>
      </c>
      <c r="Z12" s="40">
        <f t="shared" si="13"/>
        <v>4.2332131826927896E-2</v>
      </c>
      <c r="AA12" s="39">
        <v>113</v>
      </c>
      <c r="AB12" s="39">
        <v>5538.6091004200025</v>
      </c>
      <c r="AC12" s="40">
        <f t="shared" si="74"/>
        <v>4.2332131826927896E-2</v>
      </c>
      <c r="AD12" s="39">
        <v>1571</v>
      </c>
      <c r="AE12" s="39">
        <v>131724.75382538972</v>
      </c>
      <c r="AF12" s="39">
        <v>112</v>
      </c>
      <c r="AG12" s="39">
        <v>5601.8543017200018</v>
      </c>
      <c r="AH12" s="40">
        <f t="shared" si="75"/>
        <v>4.252696732419517E-2</v>
      </c>
      <c r="AI12" s="39">
        <v>112</v>
      </c>
      <c r="AJ12" s="39">
        <v>5601.8543017200018</v>
      </c>
      <c r="AK12" s="40">
        <f t="shared" si="76"/>
        <v>4.252696732419517E-2</v>
      </c>
      <c r="AL12" s="39">
        <v>1577</v>
      </c>
      <c r="AM12" s="39">
        <v>133153.99585616999</v>
      </c>
      <c r="AN12" s="39">
        <v>109</v>
      </c>
      <c r="AO12" s="39">
        <v>5539.104090140002</v>
      </c>
      <c r="AP12" s="40">
        <f t="shared" si="77"/>
        <v>4.1599232937201677E-2</v>
      </c>
      <c r="AQ12" s="39">
        <v>109</v>
      </c>
      <c r="AR12" s="39">
        <v>5539.104090140002</v>
      </c>
      <c r="AS12" s="40">
        <f t="shared" si="78"/>
        <v>4.1599232937201677E-2</v>
      </c>
      <c r="AT12" s="39">
        <v>1565</v>
      </c>
      <c r="AU12" s="39">
        <v>133706.05290017993</v>
      </c>
      <c r="AV12" s="39">
        <v>106</v>
      </c>
      <c r="AW12" s="39">
        <v>5820.5677490500011</v>
      </c>
      <c r="AX12" s="40">
        <f t="shared" si="79"/>
        <v>4.3532567320609075E-2</v>
      </c>
      <c r="AY12" s="39">
        <v>106</v>
      </c>
      <c r="AZ12" s="39">
        <v>5820.5677490500011</v>
      </c>
      <c r="BA12" s="40">
        <f t="shared" si="80"/>
        <v>4.3532567320609075E-2</v>
      </c>
      <c r="BB12" s="41">
        <v>1536</v>
      </c>
      <c r="BC12" s="41">
        <v>132953.30335613995</v>
      </c>
      <c r="BD12" s="41">
        <v>101</v>
      </c>
      <c r="BE12" s="41">
        <v>4847.9415044100033</v>
      </c>
      <c r="BF12" s="40">
        <f t="shared" si="81"/>
        <v>3.6463490428845516E-2</v>
      </c>
      <c r="BG12" s="39">
        <v>101</v>
      </c>
      <c r="BH12" s="39">
        <v>4847.9415044100033</v>
      </c>
      <c r="BI12" s="40">
        <f t="shared" si="82"/>
        <v>3.6463490428845516E-2</v>
      </c>
      <c r="BJ12" s="39">
        <v>1523</v>
      </c>
      <c r="BK12" s="39">
        <v>132394.16177130988</v>
      </c>
      <c r="BL12" s="39">
        <v>106</v>
      </c>
      <c r="BM12" s="39">
        <v>7545.8923859000015</v>
      </c>
      <c r="BN12" s="40">
        <f t="shared" si="83"/>
        <v>5.6995658153977703E-2</v>
      </c>
      <c r="BO12" s="4">
        <v>106</v>
      </c>
      <c r="BP12" s="4">
        <v>7545.8923859000015</v>
      </c>
      <c r="BQ12" s="40">
        <f t="shared" si="84"/>
        <v>5.6995658153977703E-2</v>
      </c>
      <c r="BR12" s="39">
        <v>1529</v>
      </c>
      <c r="BS12" s="39">
        <v>131599.67056948002</v>
      </c>
      <c r="BT12" s="39">
        <v>107</v>
      </c>
      <c r="BU12" s="39">
        <v>7977.6376607200009</v>
      </c>
      <c r="BV12" s="40">
        <f t="shared" si="85"/>
        <v>6.0620498715519867E-2</v>
      </c>
      <c r="BW12" s="4">
        <v>107</v>
      </c>
      <c r="BX12" s="4">
        <v>7977.6376607200009</v>
      </c>
      <c r="BY12" s="40">
        <f t="shared" si="86"/>
        <v>6.0620498715519867E-2</v>
      </c>
      <c r="BZ12" s="39">
        <v>1540</v>
      </c>
      <c r="CA12" s="39">
        <v>129930.37258786993</v>
      </c>
      <c r="CB12" s="39">
        <v>108</v>
      </c>
      <c r="CC12" s="39">
        <v>8023.3737689500022</v>
      </c>
      <c r="CD12" s="40">
        <f t="shared" si="87"/>
        <v>6.1751333496130142E-2</v>
      </c>
      <c r="CE12" s="4">
        <v>108</v>
      </c>
      <c r="CF12" s="4">
        <v>8023.3737689500022</v>
      </c>
      <c r="CG12" s="40">
        <f t="shared" si="88"/>
        <v>6.1751333496130142E-2</v>
      </c>
      <c r="CH12" s="39">
        <v>1538</v>
      </c>
      <c r="CI12" s="39">
        <v>128404.3799589799</v>
      </c>
      <c r="CJ12" s="39">
        <v>99</v>
      </c>
      <c r="CK12" s="39">
        <v>7581.1212021600004</v>
      </c>
      <c r="CL12" s="40">
        <f t="shared" si="89"/>
        <v>5.9040986020740628E-2</v>
      </c>
      <c r="CM12" s="4">
        <v>99</v>
      </c>
      <c r="CN12" s="4">
        <v>7581.1212021600004</v>
      </c>
      <c r="CO12" s="40">
        <f t="shared" si="90"/>
        <v>5.9040986020740628E-2</v>
      </c>
      <c r="CP12" s="39">
        <v>1546</v>
      </c>
      <c r="CQ12" s="39">
        <v>128222.12917499994</v>
      </c>
      <c r="CR12" s="39">
        <v>105</v>
      </c>
      <c r="CS12" s="39">
        <v>9370.4055959899961</v>
      </c>
      <c r="CT12" s="40">
        <f t="shared" si="91"/>
        <v>7.3079472757788116E-2</v>
      </c>
      <c r="CU12" s="4">
        <v>105</v>
      </c>
      <c r="CV12" s="4">
        <v>9370.4055959899961</v>
      </c>
      <c r="CW12" s="40">
        <f t="shared" si="92"/>
        <v>7.3079472757788116E-2</v>
      </c>
      <c r="CX12" s="42"/>
      <c r="CY12" s="42"/>
    </row>
    <row r="13" spans="1:103" s="29" customFormat="1" ht="35.1" customHeight="1" x14ac:dyDescent="0.25">
      <c r="A13" s="38">
        <f t="shared" si="93"/>
        <v>7</v>
      </c>
      <c r="B13" s="45" t="s">
        <v>2033</v>
      </c>
      <c r="C13" s="45" t="s">
        <v>2046</v>
      </c>
      <c r="D13" s="64">
        <v>11141</v>
      </c>
      <c r="E13" s="45" t="s">
        <v>2047</v>
      </c>
      <c r="F13" s="39">
        <v>2588</v>
      </c>
      <c r="G13" s="39">
        <v>184640.45975902883</v>
      </c>
      <c r="H13" s="39">
        <v>16</v>
      </c>
      <c r="I13" s="39">
        <v>2247.2344867500001</v>
      </c>
      <c r="J13" s="40">
        <f t="shared" si="70"/>
        <v>1.2170867044432342E-2</v>
      </c>
      <c r="K13" s="39">
        <v>16</v>
      </c>
      <c r="L13" s="39">
        <v>2247.2344867500001</v>
      </c>
      <c r="M13" s="40">
        <f t="shared" si="71"/>
        <v>1.2170867044432342E-2</v>
      </c>
      <c r="N13" s="39">
        <v>2592</v>
      </c>
      <c r="O13" s="39">
        <v>183581.40602740998</v>
      </c>
      <c r="P13" s="39">
        <v>16</v>
      </c>
      <c r="Q13" s="39">
        <v>2244.3645167700001</v>
      </c>
      <c r="R13" s="40">
        <f t="shared" si="72"/>
        <v>1.2225445731878211E-2</v>
      </c>
      <c r="S13" s="39">
        <v>16</v>
      </c>
      <c r="T13" s="39">
        <v>2244.3645167700001</v>
      </c>
      <c r="U13" s="40">
        <f t="shared" si="73"/>
        <v>1.2225445731878211E-2</v>
      </c>
      <c r="V13" s="39">
        <v>2612</v>
      </c>
      <c r="W13" s="39">
        <v>184559.51164349855</v>
      </c>
      <c r="X13" s="39">
        <v>16</v>
      </c>
      <c r="Y13" s="39">
        <v>2238.1599292699993</v>
      </c>
      <c r="Z13" s="40">
        <f t="shared" si="13"/>
        <v>1.2127036473705595E-2</v>
      </c>
      <c r="AA13" s="39">
        <v>16</v>
      </c>
      <c r="AB13" s="39">
        <v>2238.1599292699993</v>
      </c>
      <c r="AC13" s="40">
        <f t="shared" si="74"/>
        <v>1.2127036473705595E-2</v>
      </c>
      <c r="AD13" s="39">
        <v>2625</v>
      </c>
      <c r="AE13" s="39">
        <v>182792.62850329158</v>
      </c>
      <c r="AF13" s="39">
        <v>14</v>
      </c>
      <c r="AG13" s="39">
        <v>2264.0656081399998</v>
      </c>
      <c r="AH13" s="40">
        <f t="shared" si="75"/>
        <v>1.2385978727250647E-2</v>
      </c>
      <c r="AI13" s="39">
        <v>14</v>
      </c>
      <c r="AJ13" s="39">
        <v>2264.0656081399998</v>
      </c>
      <c r="AK13" s="40">
        <f t="shared" si="76"/>
        <v>1.2385978727250647E-2</v>
      </c>
      <c r="AL13" s="39">
        <v>2643</v>
      </c>
      <c r="AM13" s="39">
        <v>193469.31932100072</v>
      </c>
      <c r="AN13" s="39">
        <v>16</v>
      </c>
      <c r="AO13" s="39">
        <v>2283.3620491299998</v>
      </c>
      <c r="AP13" s="40">
        <f t="shared" si="77"/>
        <v>1.1802191981362625E-2</v>
      </c>
      <c r="AQ13" s="39">
        <v>16</v>
      </c>
      <c r="AR13" s="39">
        <v>2283.3620491299998</v>
      </c>
      <c r="AS13" s="40">
        <f t="shared" si="78"/>
        <v>1.1802191981362625E-2</v>
      </c>
      <c r="AT13" s="39">
        <v>2691</v>
      </c>
      <c r="AU13" s="39">
        <v>197619.39722538923</v>
      </c>
      <c r="AV13" s="39">
        <v>15</v>
      </c>
      <c r="AW13" s="39">
        <v>2130.4029051699999</v>
      </c>
      <c r="AX13" s="40">
        <f t="shared" si="79"/>
        <v>1.0780332978853432E-2</v>
      </c>
      <c r="AY13" s="39">
        <v>15</v>
      </c>
      <c r="AZ13" s="39">
        <v>2130.4029051699999</v>
      </c>
      <c r="BA13" s="40">
        <f t="shared" si="80"/>
        <v>1.0780332978853432E-2</v>
      </c>
      <c r="BB13" s="41">
        <v>2750</v>
      </c>
      <c r="BC13" s="41">
        <v>200891.12409857992</v>
      </c>
      <c r="BD13" s="41">
        <v>15</v>
      </c>
      <c r="BE13" s="41">
        <v>2144.6499238699998</v>
      </c>
      <c r="BF13" s="40">
        <f t="shared" si="81"/>
        <v>1.0675682828165131E-2</v>
      </c>
      <c r="BG13" s="39">
        <v>15</v>
      </c>
      <c r="BH13" s="39">
        <v>2144.6499238699998</v>
      </c>
      <c r="BI13" s="40">
        <f t="shared" si="82"/>
        <v>1.0675682828165131E-2</v>
      </c>
      <c r="BJ13" s="39">
        <v>2783</v>
      </c>
      <c r="BK13" s="39">
        <v>193489.03508149061</v>
      </c>
      <c r="BL13" s="39">
        <v>14</v>
      </c>
      <c r="BM13" s="39">
        <v>2233.8842436099994</v>
      </c>
      <c r="BN13" s="40">
        <f t="shared" si="83"/>
        <v>1.1545275641429334E-2</v>
      </c>
      <c r="BO13" s="4">
        <v>14</v>
      </c>
      <c r="BP13" s="4">
        <v>2233.8842436099994</v>
      </c>
      <c r="BQ13" s="40">
        <f t="shared" si="84"/>
        <v>1.1545275641429334E-2</v>
      </c>
      <c r="BR13" s="39">
        <v>2817</v>
      </c>
      <c r="BS13" s="39">
        <v>183040.91790167039</v>
      </c>
      <c r="BT13" s="39">
        <v>16</v>
      </c>
      <c r="BU13" s="39">
        <v>2247.6047404299989</v>
      </c>
      <c r="BV13" s="40">
        <f t="shared" si="85"/>
        <v>1.2279247537632064E-2</v>
      </c>
      <c r="BW13" s="4">
        <v>16</v>
      </c>
      <c r="BX13" s="4">
        <v>2247.6047404299989</v>
      </c>
      <c r="BY13" s="40">
        <f t="shared" si="86"/>
        <v>1.2279247537632064E-2</v>
      </c>
      <c r="BZ13" s="39">
        <v>2872</v>
      </c>
      <c r="CA13" s="39">
        <v>181973.12732306911</v>
      </c>
      <c r="CB13" s="39">
        <v>15</v>
      </c>
      <c r="CC13" s="39">
        <v>2204.7166123299999</v>
      </c>
      <c r="CD13" s="40">
        <f t="shared" si="87"/>
        <v>1.2115616436133552E-2</v>
      </c>
      <c r="CE13" s="4">
        <v>15</v>
      </c>
      <c r="CF13" s="4">
        <v>2204.7166123299999</v>
      </c>
      <c r="CG13" s="40">
        <f t="shared" si="88"/>
        <v>1.2115616436133552E-2</v>
      </c>
      <c r="CH13" s="39">
        <v>2986</v>
      </c>
      <c r="CI13" s="39">
        <v>183160.46831041996</v>
      </c>
      <c r="CJ13" s="39">
        <v>16</v>
      </c>
      <c r="CK13" s="39">
        <v>2296.3666807999998</v>
      </c>
      <c r="CL13" s="40">
        <f t="shared" si="89"/>
        <v>1.2537458011453227E-2</v>
      </c>
      <c r="CM13" s="4">
        <v>16</v>
      </c>
      <c r="CN13" s="4">
        <v>2296.3666807999998</v>
      </c>
      <c r="CO13" s="40">
        <f t="shared" si="90"/>
        <v>1.2537458011453227E-2</v>
      </c>
      <c r="CP13" s="39">
        <v>3065</v>
      </c>
      <c r="CQ13" s="39">
        <v>184253.43321602998</v>
      </c>
      <c r="CR13" s="39">
        <v>12</v>
      </c>
      <c r="CS13" s="39">
        <v>2168.2914355799999</v>
      </c>
      <c r="CT13" s="40">
        <f t="shared" si="91"/>
        <v>1.1767983899859074E-2</v>
      </c>
      <c r="CU13" s="4">
        <v>12</v>
      </c>
      <c r="CV13" s="4">
        <v>2168.2914355799999</v>
      </c>
      <c r="CW13" s="40">
        <f t="shared" si="92"/>
        <v>1.1767983899859074E-2</v>
      </c>
      <c r="CX13" s="42"/>
      <c r="CY13" s="42"/>
    </row>
    <row r="14" spans="1:103" s="29" customFormat="1" ht="35.1" customHeight="1" x14ac:dyDescent="0.25">
      <c r="A14" s="38">
        <f t="shared" si="93"/>
        <v>8</v>
      </c>
      <c r="B14" s="45" t="s">
        <v>2033</v>
      </c>
      <c r="C14" s="45" t="s">
        <v>2048</v>
      </c>
      <c r="D14" s="64">
        <v>11142</v>
      </c>
      <c r="E14" s="45" t="s">
        <v>2049</v>
      </c>
      <c r="F14" s="39">
        <v>2706</v>
      </c>
      <c r="G14" s="39">
        <v>123785.0344155999</v>
      </c>
      <c r="H14" s="39">
        <v>123</v>
      </c>
      <c r="I14" s="39">
        <v>2066.7114449699998</v>
      </c>
      <c r="J14" s="40">
        <f t="shared" si="70"/>
        <v>1.6695971808927689E-2</v>
      </c>
      <c r="K14" s="39">
        <v>123</v>
      </c>
      <c r="L14" s="39">
        <v>2066.7114449699998</v>
      </c>
      <c r="M14" s="40">
        <f t="shared" si="71"/>
        <v>1.6695971808927689E-2</v>
      </c>
      <c r="N14" s="39">
        <v>2733</v>
      </c>
      <c r="O14" s="39">
        <v>122863.44273373995</v>
      </c>
      <c r="P14" s="39">
        <v>128</v>
      </c>
      <c r="Q14" s="39">
        <v>3312.5995357199977</v>
      </c>
      <c r="R14" s="40">
        <f t="shared" si="72"/>
        <v>2.6961636936210589E-2</v>
      </c>
      <c r="S14" s="39">
        <v>128</v>
      </c>
      <c r="T14" s="39">
        <v>3312.5995357199977</v>
      </c>
      <c r="U14" s="40">
        <f t="shared" si="73"/>
        <v>2.6961636936210589E-2</v>
      </c>
      <c r="V14" s="39">
        <v>2807</v>
      </c>
      <c r="W14" s="39">
        <v>124522.98601423013</v>
      </c>
      <c r="X14" s="39">
        <v>120</v>
      </c>
      <c r="Y14" s="39">
        <v>2932.5915566899962</v>
      </c>
      <c r="Z14" s="40">
        <f t="shared" si="13"/>
        <v>2.3550604194111341E-2</v>
      </c>
      <c r="AA14" s="39">
        <v>120</v>
      </c>
      <c r="AB14" s="39">
        <v>2932.5915566899962</v>
      </c>
      <c r="AC14" s="40">
        <f t="shared" si="74"/>
        <v>2.3550604194111341E-2</v>
      </c>
      <c r="AD14" s="39">
        <v>2840</v>
      </c>
      <c r="AE14" s="39">
        <v>124783.69542770983</v>
      </c>
      <c r="AF14" s="39">
        <v>108</v>
      </c>
      <c r="AG14" s="39">
        <v>2779.6779961999978</v>
      </c>
      <c r="AH14" s="40">
        <f t="shared" si="75"/>
        <v>2.2275971124852058E-2</v>
      </c>
      <c r="AI14" s="39">
        <v>108</v>
      </c>
      <c r="AJ14" s="39">
        <v>2779.6779961999978</v>
      </c>
      <c r="AK14" s="40">
        <f t="shared" si="76"/>
        <v>2.2275971124852058E-2</v>
      </c>
      <c r="AL14" s="39">
        <v>2815</v>
      </c>
      <c r="AM14" s="39">
        <v>124776.92602914004</v>
      </c>
      <c r="AN14" s="39">
        <v>102</v>
      </c>
      <c r="AO14" s="39">
        <v>3335.6626077699993</v>
      </c>
      <c r="AP14" s="40">
        <f t="shared" si="77"/>
        <v>2.6733008368798879E-2</v>
      </c>
      <c r="AQ14" s="39">
        <v>102</v>
      </c>
      <c r="AR14" s="39">
        <v>3335.6626077699993</v>
      </c>
      <c r="AS14" s="40">
        <f t="shared" si="78"/>
        <v>2.6733008368798879E-2</v>
      </c>
      <c r="AT14" s="39">
        <v>2874</v>
      </c>
      <c r="AU14" s="39">
        <v>125626.7124711201</v>
      </c>
      <c r="AV14" s="39">
        <v>109</v>
      </c>
      <c r="AW14" s="39">
        <v>3716.9070587100005</v>
      </c>
      <c r="AX14" s="40">
        <f t="shared" si="79"/>
        <v>2.9586916552993996E-2</v>
      </c>
      <c r="AY14" s="39">
        <v>109</v>
      </c>
      <c r="AZ14" s="39">
        <v>3716.9070587100005</v>
      </c>
      <c r="BA14" s="40">
        <f t="shared" si="80"/>
        <v>2.9586916552993996E-2</v>
      </c>
      <c r="BB14" s="41">
        <v>2919</v>
      </c>
      <c r="BC14" s="41">
        <v>125559.86759238022</v>
      </c>
      <c r="BD14" s="41">
        <v>110</v>
      </c>
      <c r="BE14" s="41">
        <v>3707.378711320001</v>
      </c>
      <c r="BF14" s="40">
        <f t="shared" si="81"/>
        <v>2.9526780988298751E-2</v>
      </c>
      <c r="BG14" s="39">
        <v>110</v>
      </c>
      <c r="BH14" s="39">
        <v>3707.378711320001</v>
      </c>
      <c r="BI14" s="40">
        <f t="shared" si="82"/>
        <v>2.9526780988298751E-2</v>
      </c>
      <c r="BJ14" s="39">
        <v>2942</v>
      </c>
      <c r="BK14" s="39">
        <v>124421.24866480024</v>
      </c>
      <c r="BL14" s="39">
        <v>120</v>
      </c>
      <c r="BM14" s="39">
        <v>3944.5007414700017</v>
      </c>
      <c r="BN14" s="40">
        <f t="shared" si="83"/>
        <v>3.1702790188971416E-2</v>
      </c>
      <c r="BO14" s="4">
        <v>120</v>
      </c>
      <c r="BP14" s="4">
        <v>3944.5007414700017</v>
      </c>
      <c r="BQ14" s="40">
        <f t="shared" si="84"/>
        <v>3.1702790188971416E-2</v>
      </c>
      <c r="BR14" s="39">
        <v>2984</v>
      </c>
      <c r="BS14" s="39">
        <v>123183.08557880012</v>
      </c>
      <c r="BT14" s="39">
        <v>115</v>
      </c>
      <c r="BU14" s="39">
        <v>2760.1263098800009</v>
      </c>
      <c r="BV14" s="40">
        <f t="shared" si="85"/>
        <v>2.2406698914148811E-2</v>
      </c>
      <c r="BW14" s="4">
        <v>115</v>
      </c>
      <c r="BX14" s="4">
        <v>2760.1263098800009</v>
      </c>
      <c r="BY14" s="40">
        <f t="shared" si="86"/>
        <v>2.2406698914148811E-2</v>
      </c>
      <c r="BZ14" s="39">
        <v>2982</v>
      </c>
      <c r="CA14" s="39">
        <v>121988.75813433994</v>
      </c>
      <c r="CB14" s="39">
        <v>114</v>
      </c>
      <c r="CC14" s="39">
        <v>3570.0090963100038</v>
      </c>
      <c r="CD14" s="40">
        <f t="shared" si="87"/>
        <v>2.9265066313557651E-2</v>
      </c>
      <c r="CE14" s="4">
        <v>114</v>
      </c>
      <c r="CF14" s="4">
        <v>3570.0090963100038</v>
      </c>
      <c r="CG14" s="40">
        <f t="shared" si="88"/>
        <v>2.9265066313557651E-2</v>
      </c>
      <c r="CH14" s="39">
        <v>3023</v>
      </c>
      <c r="CI14" s="39">
        <v>121715.37322427004</v>
      </c>
      <c r="CJ14" s="39">
        <v>104</v>
      </c>
      <c r="CK14" s="39">
        <v>3490.9164808000023</v>
      </c>
      <c r="CL14" s="40">
        <f t="shared" si="89"/>
        <v>2.8680982429127644E-2</v>
      </c>
      <c r="CM14" s="4">
        <v>104</v>
      </c>
      <c r="CN14" s="4">
        <v>3490.9164808000023</v>
      </c>
      <c r="CO14" s="40">
        <f t="shared" si="90"/>
        <v>2.8680982429127644E-2</v>
      </c>
      <c r="CP14" s="39">
        <v>3061</v>
      </c>
      <c r="CQ14" s="39">
        <v>121709.99542654975</v>
      </c>
      <c r="CR14" s="39">
        <v>98</v>
      </c>
      <c r="CS14" s="39">
        <v>2915.2621212100016</v>
      </c>
      <c r="CT14" s="40">
        <f t="shared" si="91"/>
        <v>2.3952528393358791E-2</v>
      </c>
      <c r="CU14" s="4">
        <v>98</v>
      </c>
      <c r="CV14" s="4">
        <v>2915.2621212100016</v>
      </c>
      <c r="CW14" s="40">
        <f t="shared" si="92"/>
        <v>2.3952528393358791E-2</v>
      </c>
      <c r="CX14" s="42"/>
      <c r="CY14" s="42"/>
    </row>
    <row r="15" spans="1:103" s="29" customFormat="1" ht="35.1" customHeight="1" x14ac:dyDescent="0.25">
      <c r="A15" s="38">
        <f t="shared" si="93"/>
        <v>9</v>
      </c>
      <c r="B15" s="45" t="s">
        <v>2033</v>
      </c>
      <c r="C15" s="45" t="s">
        <v>2181</v>
      </c>
      <c r="D15" s="64">
        <v>12174</v>
      </c>
      <c r="E15" s="45" t="s">
        <v>2049</v>
      </c>
      <c r="F15" s="39">
        <v>0</v>
      </c>
      <c r="G15" s="39">
        <v>0</v>
      </c>
      <c r="H15" s="39">
        <v>0</v>
      </c>
      <c r="I15" s="39">
        <v>0</v>
      </c>
      <c r="J15" s="40" t="str">
        <f t="shared" si="70"/>
        <v/>
      </c>
      <c r="K15" s="39">
        <v>0</v>
      </c>
      <c r="L15" s="39">
        <v>0</v>
      </c>
      <c r="M15" s="40" t="str">
        <f t="shared" si="71"/>
        <v/>
      </c>
      <c r="N15" s="39">
        <v>0</v>
      </c>
      <c r="O15" s="39">
        <v>0</v>
      </c>
      <c r="P15" s="39">
        <v>0</v>
      </c>
      <c r="Q15" s="39">
        <v>0</v>
      </c>
      <c r="R15" s="40" t="str">
        <f t="shared" si="72"/>
        <v/>
      </c>
      <c r="S15" s="39">
        <v>0</v>
      </c>
      <c r="T15" s="39">
        <v>0</v>
      </c>
      <c r="U15" s="40" t="str">
        <f t="shared" si="73"/>
        <v/>
      </c>
      <c r="V15" s="39">
        <v>0</v>
      </c>
      <c r="W15" s="39">
        <v>0</v>
      </c>
      <c r="X15" s="39">
        <v>0</v>
      </c>
      <c r="Y15" s="39">
        <v>0</v>
      </c>
      <c r="Z15" s="40" t="str">
        <f t="shared" si="13"/>
        <v/>
      </c>
      <c r="AA15" s="39">
        <v>0</v>
      </c>
      <c r="AB15" s="39">
        <v>0</v>
      </c>
      <c r="AC15" s="40" t="str">
        <f t="shared" si="74"/>
        <v/>
      </c>
      <c r="AD15" s="39">
        <v>86</v>
      </c>
      <c r="AE15" s="39">
        <v>3708.7150000000001</v>
      </c>
      <c r="AF15" s="39">
        <v>0</v>
      </c>
      <c r="AG15" s="39">
        <v>0</v>
      </c>
      <c r="AH15" s="40">
        <f t="shared" si="75"/>
        <v>0</v>
      </c>
      <c r="AI15" s="39">
        <v>0</v>
      </c>
      <c r="AJ15" s="39">
        <v>0</v>
      </c>
      <c r="AK15" s="40">
        <f t="shared" si="76"/>
        <v>0</v>
      </c>
      <c r="AL15" s="39">
        <v>254</v>
      </c>
      <c r="AM15" s="39">
        <v>11084.719463129995</v>
      </c>
      <c r="AN15" s="39">
        <v>0</v>
      </c>
      <c r="AO15" s="39">
        <v>0</v>
      </c>
      <c r="AP15" s="40">
        <f t="shared" si="77"/>
        <v>0</v>
      </c>
      <c r="AQ15" s="39">
        <v>0</v>
      </c>
      <c r="AR15" s="39">
        <v>0</v>
      </c>
      <c r="AS15" s="40">
        <f t="shared" si="78"/>
        <v>0</v>
      </c>
      <c r="AT15" s="39">
        <v>381</v>
      </c>
      <c r="AU15" s="39">
        <v>18330.183311739991</v>
      </c>
      <c r="AV15" s="39">
        <v>0</v>
      </c>
      <c r="AW15" s="39">
        <v>0</v>
      </c>
      <c r="AX15" s="40">
        <f t="shared" si="79"/>
        <v>0</v>
      </c>
      <c r="AY15" s="39">
        <v>0</v>
      </c>
      <c r="AZ15" s="39">
        <v>0</v>
      </c>
      <c r="BA15" s="40">
        <f t="shared" si="80"/>
        <v>0</v>
      </c>
      <c r="BB15" s="41">
        <v>522</v>
      </c>
      <c r="BC15" s="41">
        <v>25506.503167879993</v>
      </c>
      <c r="BD15" s="41">
        <v>0</v>
      </c>
      <c r="BE15" s="41">
        <v>0</v>
      </c>
      <c r="BF15" s="40">
        <f t="shared" si="81"/>
        <v>0</v>
      </c>
      <c r="BG15" s="39">
        <v>0</v>
      </c>
      <c r="BH15" s="39">
        <v>0</v>
      </c>
      <c r="BI15" s="40">
        <f t="shared" si="82"/>
        <v>0</v>
      </c>
      <c r="BJ15" s="39">
        <v>641</v>
      </c>
      <c r="BK15" s="39">
        <v>32124.118233700021</v>
      </c>
      <c r="BL15" s="39">
        <v>0</v>
      </c>
      <c r="BM15" s="39">
        <v>0</v>
      </c>
      <c r="BN15" s="40">
        <f t="shared" si="83"/>
        <v>0</v>
      </c>
      <c r="BO15" s="4">
        <v>0</v>
      </c>
      <c r="BP15" s="4">
        <v>0</v>
      </c>
      <c r="BQ15" s="40">
        <f t="shared" si="84"/>
        <v>0</v>
      </c>
      <c r="BR15" s="39">
        <v>813</v>
      </c>
      <c r="BS15" s="39">
        <v>40263.351656219966</v>
      </c>
      <c r="BT15" s="39">
        <v>0</v>
      </c>
      <c r="BU15" s="39">
        <v>0</v>
      </c>
      <c r="BV15" s="40">
        <f t="shared" si="85"/>
        <v>0</v>
      </c>
      <c r="BW15" s="4">
        <v>0</v>
      </c>
      <c r="BX15" s="4">
        <v>0</v>
      </c>
      <c r="BY15" s="40">
        <f t="shared" si="86"/>
        <v>0</v>
      </c>
      <c r="BZ15" s="39">
        <v>986</v>
      </c>
      <c r="CA15" s="39">
        <v>47709.410083859992</v>
      </c>
      <c r="CB15" s="39">
        <v>0</v>
      </c>
      <c r="CC15" s="39">
        <v>0</v>
      </c>
      <c r="CD15" s="40">
        <f t="shared" si="87"/>
        <v>0</v>
      </c>
      <c r="CE15" s="4">
        <v>0</v>
      </c>
      <c r="CF15" s="4">
        <v>0</v>
      </c>
      <c r="CG15" s="40">
        <f t="shared" si="88"/>
        <v>0</v>
      </c>
      <c r="CH15" s="39">
        <v>1133</v>
      </c>
      <c r="CI15" s="39">
        <v>54824.492814039942</v>
      </c>
      <c r="CJ15" s="39">
        <v>0</v>
      </c>
      <c r="CK15" s="39">
        <v>0</v>
      </c>
      <c r="CL15" s="40">
        <f t="shared" si="89"/>
        <v>0</v>
      </c>
      <c r="CM15" s="4">
        <v>0</v>
      </c>
      <c r="CN15" s="4">
        <v>0</v>
      </c>
      <c r="CO15" s="40">
        <f t="shared" si="90"/>
        <v>0</v>
      </c>
      <c r="CP15" s="39">
        <v>1268</v>
      </c>
      <c r="CQ15" s="39">
        <v>61508.460487890006</v>
      </c>
      <c r="CR15" s="39">
        <v>0</v>
      </c>
      <c r="CS15" s="39">
        <v>0</v>
      </c>
      <c r="CT15" s="40">
        <f t="shared" si="91"/>
        <v>0</v>
      </c>
      <c r="CU15" s="4">
        <v>0</v>
      </c>
      <c r="CV15" s="4">
        <v>0</v>
      </c>
      <c r="CW15" s="40">
        <f t="shared" si="92"/>
        <v>0</v>
      </c>
      <c r="CX15" s="42"/>
      <c r="CY15" s="42"/>
    </row>
    <row r="16" spans="1:103" s="29" customFormat="1" ht="35.1" customHeight="1" x14ac:dyDescent="0.25">
      <c r="A16" s="38">
        <f t="shared" si="93"/>
        <v>10</v>
      </c>
      <c r="B16" s="45" t="s">
        <v>2033</v>
      </c>
      <c r="C16" s="45" t="s">
        <v>2182</v>
      </c>
      <c r="D16" s="64">
        <v>12190</v>
      </c>
      <c r="E16" s="45" t="s">
        <v>2049</v>
      </c>
      <c r="F16" s="39">
        <v>0</v>
      </c>
      <c r="G16" s="39">
        <v>0</v>
      </c>
      <c r="H16" s="39">
        <v>0</v>
      </c>
      <c r="I16" s="39">
        <v>0</v>
      </c>
      <c r="J16" s="40" t="str">
        <f t="shared" si="70"/>
        <v/>
      </c>
      <c r="K16" s="39">
        <v>0</v>
      </c>
      <c r="L16" s="39">
        <v>0</v>
      </c>
      <c r="M16" s="40" t="str">
        <f t="shared" si="71"/>
        <v/>
      </c>
      <c r="N16" s="39">
        <v>0</v>
      </c>
      <c r="O16" s="39">
        <v>0</v>
      </c>
      <c r="P16" s="39">
        <v>0</v>
      </c>
      <c r="Q16" s="39">
        <v>0</v>
      </c>
      <c r="R16" s="40" t="str">
        <f t="shared" si="72"/>
        <v/>
      </c>
      <c r="S16" s="39">
        <v>0</v>
      </c>
      <c r="T16" s="39">
        <v>0</v>
      </c>
      <c r="U16" s="40" t="str">
        <f t="shared" si="73"/>
        <v/>
      </c>
      <c r="V16" s="39">
        <v>0</v>
      </c>
      <c r="W16" s="39">
        <v>0</v>
      </c>
      <c r="X16" s="39">
        <v>0</v>
      </c>
      <c r="Y16" s="39">
        <v>0</v>
      </c>
      <c r="Z16" s="40" t="str">
        <f t="shared" si="13"/>
        <v/>
      </c>
      <c r="AA16" s="39">
        <v>0</v>
      </c>
      <c r="AB16" s="39">
        <v>0</v>
      </c>
      <c r="AC16" s="40" t="str">
        <f t="shared" si="74"/>
        <v/>
      </c>
      <c r="AD16" s="39">
        <v>0</v>
      </c>
      <c r="AE16" s="39">
        <v>0</v>
      </c>
      <c r="AF16" s="39">
        <v>0</v>
      </c>
      <c r="AG16" s="39">
        <v>0</v>
      </c>
      <c r="AH16" s="40" t="str">
        <f t="shared" si="75"/>
        <v/>
      </c>
      <c r="AI16" s="39">
        <v>0</v>
      </c>
      <c r="AJ16" s="39">
        <v>0</v>
      </c>
      <c r="AK16" s="40" t="str">
        <f t="shared" si="76"/>
        <v/>
      </c>
      <c r="AL16" s="39">
        <v>0</v>
      </c>
      <c r="AM16" s="39">
        <v>0</v>
      </c>
      <c r="AN16" s="39">
        <v>0</v>
      </c>
      <c r="AO16" s="39">
        <v>0</v>
      </c>
      <c r="AP16" s="40" t="str">
        <f t="shared" si="77"/>
        <v/>
      </c>
      <c r="AQ16" s="39">
        <v>0</v>
      </c>
      <c r="AR16" s="39">
        <v>0</v>
      </c>
      <c r="AS16" s="40" t="str">
        <f t="shared" si="78"/>
        <v/>
      </c>
      <c r="AT16" s="39">
        <v>26</v>
      </c>
      <c r="AU16" s="39">
        <v>888.5</v>
      </c>
      <c r="AV16" s="39">
        <v>0</v>
      </c>
      <c r="AW16" s="39">
        <v>0</v>
      </c>
      <c r="AX16" s="40">
        <f t="shared" si="79"/>
        <v>0</v>
      </c>
      <c r="AY16" s="39">
        <v>0</v>
      </c>
      <c r="AZ16" s="39">
        <v>0</v>
      </c>
      <c r="BA16" s="40">
        <f t="shared" si="80"/>
        <v>0</v>
      </c>
      <c r="BB16" s="41">
        <v>137</v>
      </c>
      <c r="BC16" s="41">
        <v>6032.780025500002</v>
      </c>
      <c r="BD16" s="41">
        <v>0</v>
      </c>
      <c r="BE16" s="41">
        <v>0</v>
      </c>
      <c r="BF16" s="40">
        <f t="shared" si="81"/>
        <v>0</v>
      </c>
      <c r="BG16" s="39">
        <v>0</v>
      </c>
      <c r="BH16" s="39">
        <v>0</v>
      </c>
      <c r="BI16" s="40">
        <f t="shared" si="82"/>
        <v>0</v>
      </c>
      <c r="BJ16" s="39">
        <v>280</v>
      </c>
      <c r="BK16" s="39">
        <v>12645.048191160002</v>
      </c>
      <c r="BL16" s="39">
        <v>0</v>
      </c>
      <c r="BM16" s="39">
        <v>0</v>
      </c>
      <c r="BN16" s="40">
        <f t="shared" si="83"/>
        <v>0</v>
      </c>
      <c r="BO16" s="4">
        <v>0</v>
      </c>
      <c r="BP16" s="4">
        <v>0</v>
      </c>
      <c r="BQ16" s="40">
        <f t="shared" si="84"/>
        <v>0</v>
      </c>
      <c r="BR16" s="39">
        <v>424</v>
      </c>
      <c r="BS16" s="39">
        <v>19336.948386960008</v>
      </c>
      <c r="BT16" s="39">
        <v>0</v>
      </c>
      <c r="BU16" s="39">
        <v>0</v>
      </c>
      <c r="BV16" s="40">
        <f t="shared" si="85"/>
        <v>0</v>
      </c>
      <c r="BW16" s="4">
        <v>0</v>
      </c>
      <c r="BX16" s="4">
        <v>0</v>
      </c>
      <c r="BY16" s="40">
        <f t="shared" si="86"/>
        <v>0</v>
      </c>
      <c r="BZ16" s="39">
        <v>541</v>
      </c>
      <c r="CA16" s="39">
        <v>24703.709973449975</v>
      </c>
      <c r="CB16" s="39">
        <v>0</v>
      </c>
      <c r="CC16" s="39">
        <v>0</v>
      </c>
      <c r="CD16" s="40">
        <f t="shared" si="87"/>
        <v>0</v>
      </c>
      <c r="CE16" s="4">
        <v>0</v>
      </c>
      <c r="CF16" s="4">
        <v>0</v>
      </c>
      <c r="CG16" s="40">
        <f t="shared" si="88"/>
        <v>0</v>
      </c>
      <c r="CH16" s="39">
        <v>676</v>
      </c>
      <c r="CI16" s="39">
        <v>30081.775454180017</v>
      </c>
      <c r="CJ16" s="39">
        <v>0</v>
      </c>
      <c r="CK16" s="39">
        <v>0</v>
      </c>
      <c r="CL16" s="40">
        <f t="shared" si="89"/>
        <v>0</v>
      </c>
      <c r="CM16" s="4">
        <v>0</v>
      </c>
      <c r="CN16" s="4">
        <v>0</v>
      </c>
      <c r="CO16" s="40">
        <f t="shared" si="90"/>
        <v>0</v>
      </c>
      <c r="CP16" s="39">
        <v>782</v>
      </c>
      <c r="CQ16" s="39">
        <v>34479.337470350001</v>
      </c>
      <c r="CR16" s="39">
        <v>0</v>
      </c>
      <c r="CS16" s="39">
        <v>0</v>
      </c>
      <c r="CT16" s="40">
        <f t="shared" si="91"/>
        <v>0</v>
      </c>
      <c r="CU16" s="4">
        <v>0</v>
      </c>
      <c r="CV16" s="4">
        <v>0</v>
      </c>
      <c r="CW16" s="40">
        <f t="shared" si="92"/>
        <v>0</v>
      </c>
      <c r="CX16" s="42"/>
      <c r="CY16" s="42"/>
    </row>
    <row r="17" spans="1:103" s="29" customFormat="1" ht="35.1" customHeight="1" x14ac:dyDescent="0.25">
      <c r="A17" s="38">
        <f t="shared" si="93"/>
        <v>11</v>
      </c>
      <c r="B17" s="45" t="s">
        <v>2050</v>
      </c>
      <c r="C17" s="45" t="s">
        <v>2051</v>
      </c>
      <c r="D17" s="64">
        <v>11198</v>
      </c>
      <c r="E17" s="45" t="s">
        <v>2035</v>
      </c>
      <c r="F17" s="39">
        <v>3956</v>
      </c>
      <c r="G17" s="39">
        <v>1732314.2348008561</v>
      </c>
      <c r="H17" s="39">
        <v>104</v>
      </c>
      <c r="I17" s="39">
        <v>79816.398439209966</v>
      </c>
      <c r="J17" s="40">
        <f t="shared" si="70"/>
        <v>4.6075011586096865E-2</v>
      </c>
      <c r="K17" s="39">
        <v>103</v>
      </c>
      <c r="L17" s="39">
        <v>68831.545282659965</v>
      </c>
      <c r="M17" s="40">
        <f t="shared" si="71"/>
        <v>3.9987434140529445E-2</v>
      </c>
      <c r="N17" s="39">
        <v>3947</v>
      </c>
      <c r="O17" s="39">
        <v>1732978.7272160735</v>
      </c>
      <c r="P17" s="39">
        <v>184</v>
      </c>
      <c r="Q17" s="39">
        <v>89936.295786820076</v>
      </c>
      <c r="R17" s="40">
        <f t="shared" si="72"/>
        <v>5.1896941592178308E-2</v>
      </c>
      <c r="S17" s="39">
        <v>183</v>
      </c>
      <c r="T17" s="39">
        <v>78951.442630270074</v>
      </c>
      <c r="U17" s="40">
        <f t="shared" si="73"/>
        <v>4.5848852205348199E-2</v>
      </c>
      <c r="V17" s="39">
        <v>3967</v>
      </c>
      <c r="W17" s="39">
        <v>1730246.27789633</v>
      </c>
      <c r="X17" s="39">
        <v>221</v>
      </c>
      <c r="Y17" s="39">
        <v>124293.07244197006</v>
      </c>
      <c r="Z17" s="40">
        <f t="shared" si="13"/>
        <v>7.1835480318494432E-2</v>
      </c>
      <c r="AA17" s="39">
        <v>220</v>
      </c>
      <c r="AB17" s="39">
        <v>113308.21928542005</v>
      </c>
      <c r="AC17" s="40">
        <f t="shared" si="74"/>
        <v>6.5905171636460064E-2</v>
      </c>
      <c r="AD17" s="39">
        <v>4013</v>
      </c>
      <c r="AE17" s="39">
        <v>1768546.9159458193</v>
      </c>
      <c r="AF17" s="39">
        <v>217</v>
      </c>
      <c r="AG17" s="39">
        <v>125841.36739496006</v>
      </c>
      <c r="AH17" s="40">
        <f t="shared" si="75"/>
        <v>7.1155232728253678E-2</v>
      </c>
      <c r="AI17" s="39">
        <v>216</v>
      </c>
      <c r="AJ17" s="39">
        <v>114856.51423841006</v>
      </c>
      <c r="AK17" s="40">
        <f t="shared" si="76"/>
        <v>6.5349905229594898E-2</v>
      </c>
      <c r="AL17" s="39">
        <v>3992</v>
      </c>
      <c r="AM17" s="39">
        <v>1788209.0648918971</v>
      </c>
      <c r="AN17" s="39">
        <v>223</v>
      </c>
      <c r="AO17" s="39">
        <v>92659.157768230041</v>
      </c>
      <c r="AP17" s="40">
        <f t="shared" si="77"/>
        <v>5.1816736413776973E-2</v>
      </c>
      <c r="AQ17" s="39">
        <v>222</v>
      </c>
      <c r="AR17" s="39">
        <v>81674.30461168004</v>
      </c>
      <c r="AS17" s="40">
        <f t="shared" si="78"/>
        <v>4.5956106197726311E-2</v>
      </c>
      <c r="AT17" s="39">
        <v>3971</v>
      </c>
      <c r="AU17" s="39">
        <v>1764144.8393414121</v>
      </c>
      <c r="AV17" s="39">
        <v>249</v>
      </c>
      <c r="AW17" s="39">
        <v>95963.737506740072</v>
      </c>
      <c r="AX17" s="40">
        <f t="shared" si="79"/>
        <v>5.439674530497457E-2</v>
      </c>
      <c r="AY17" s="39">
        <v>248</v>
      </c>
      <c r="AZ17" s="39">
        <v>84978.88435019007</v>
      </c>
      <c r="BA17" s="40">
        <f t="shared" si="80"/>
        <v>4.8471836580708652E-2</v>
      </c>
      <c r="BB17" s="41">
        <v>3935</v>
      </c>
      <c r="BC17" s="41">
        <v>1783681.6190067236</v>
      </c>
      <c r="BD17" s="41">
        <v>239</v>
      </c>
      <c r="BE17" s="41">
        <v>99798.08535184004</v>
      </c>
      <c r="BF17" s="40">
        <f t="shared" si="81"/>
        <v>5.595061601151357E-2</v>
      </c>
      <c r="BG17" s="39">
        <v>238</v>
      </c>
      <c r="BH17" s="39">
        <v>88813.232195290038</v>
      </c>
      <c r="BI17" s="40">
        <f t="shared" si="82"/>
        <v>5.0100634189793769E-2</v>
      </c>
      <c r="BJ17" s="39">
        <v>3982</v>
      </c>
      <c r="BK17" s="39">
        <v>1761261.4591245777</v>
      </c>
      <c r="BL17" s="39">
        <v>304</v>
      </c>
      <c r="BM17" s="39">
        <v>99737.012970579992</v>
      </c>
      <c r="BN17" s="40">
        <f t="shared" si="83"/>
        <v>5.6628169800611861E-2</v>
      </c>
      <c r="BO17" s="4">
        <v>303</v>
      </c>
      <c r="BP17" s="4">
        <v>88752.15981402999</v>
      </c>
      <c r="BQ17" s="40">
        <f t="shared" si="84"/>
        <v>5.0707505037435908E-2</v>
      </c>
      <c r="BR17" s="39">
        <v>4056</v>
      </c>
      <c r="BS17" s="39">
        <v>1753562.5058359772</v>
      </c>
      <c r="BT17" s="39">
        <v>295</v>
      </c>
      <c r="BU17" s="39">
        <v>102725.11060041006</v>
      </c>
      <c r="BV17" s="40">
        <f t="shared" si="85"/>
        <v>5.858080921468941E-2</v>
      </c>
      <c r="BW17" s="4">
        <v>294</v>
      </c>
      <c r="BX17" s="4">
        <v>91740.257443860057</v>
      </c>
      <c r="BY17" s="40">
        <f t="shared" si="86"/>
        <v>5.2646295160963502E-2</v>
      </c>
      <c r="BZ17" s="39">
        <v>4068</v>
      </c>
      <c r="CA17" s="39">
        <v>1711566.9957970635</v>
      </c>
      <c r="CB17" s="39">
        <v>330</v>
      </c>
      <c r="CC17" s="39">
        <v>100968.07018496006</v>
      </c>
      <c r="CD17" s="40">
        <f t="shared" si="87"/>
        <v>5.8991596842482938E-2</v>
      </c>
      <c r="CE17" s="4">
        <v>329</v>
      </c>
      <c r="CF17" s="4">
        <v>89983.217028410058</v>
      </c>
      <c r="CG17" s="40">
        <f t="shared" si="88"/>
        <v>5.2913184710202878E-2</v>
      </c>
      <c r="CH17" s="39">
        <v>4076</v>
      </c>
      <c r="CI17" s="39">
        <v>1696573.4853966383</v>
      </c>
      <c r="CJ17" s="39">
        <v>324</v>
      </c>
      <c r="CK17" s="39">
        <v>101448.8103493501</v>
      </c>
      <c r="CL17" s="40">
        <f t="shared" si="89"/>
        <v>5.9796296018166641E-2</v>
      </c>
      <c r="CM17" s="4">
        <v>323</v>
      </c>
      <c r="CN17" s="4">
        <v>90463.957192800095</v>
      </c>
      <c r="CO17" s="40">
        <f t="shared" si="90"/>
        <v>5.366905985393166E-2</v>
      </c>
      <c r="CP17" s="39">
        <v>4222</v>
      </c>
      <c r="CQ17" s="39">
        <v>1680206.3533397405</v>
      </c>
      <c r="CR17" s="39">
        <v>309</v>
      </c>
      <c r="CS17" s="39">
        <v>90384.88409474006</v>
      </c>
      <c r="CT17" s="40">
        <f t="shared" si="91"/>
        <v>5.379391877377581E-2</v>
      </c>
      <c r="CU17" s="4">
        <v>308</v>
      </c>
      <c r="CV17" s="4">
        <v>79400.030938190059</v>
      </c>
      <c r="CW17" s="40">
        <f t="shared" si="92"/>
        <v>4.7567102945580454E-2</v>
      </c>
      <c r="CX17" s="42">
        <v>0</v>
      </c>
      <c r="CY17" s="42">
        <v>0</v>
      </c>
    </row>
    <row r="18" spans="1:103" s="29" customFormat="1" ht="35.1" customHeight="1" x14ac:dyDescent="0.25">
      <c r="A18" s="38">
        <f t="shared" si="93"/>
        <v>12</v>
      </c>
      <c r="B18" s="45" t="s">
        <v>2050</v>
      </c>
      <c r="C18" s="45" t="s">
        <v>2052</v>
      </c>
      <c r="D18" s="64">
        <v>11201</v>
      </c>
      <c r="E18" s="45" t="s">
        <v>2047</v>
      </c>
      <c r="F18" s="39">
        <v>7726</v>
      </c>
      <c r="G18" s="39">
        <v>479338.23231995979</v>
      </c>
      <c r="H18" s="39">
        <v>35</v>
      </c>
      <c r="I18" s="39">
        <v>368.27803535999993</v>
      </c>
      <c r="J18" s="40">
        <f t="shared" si="70"/>
        <v>7.6830515600135392E-4</v>
      </c>
      <c r="K18" s="39">
        <v>35</v>
      </c>
      <c r="L18" s="39">
        <v>368.27803535999993</v>
      </c>
      <c r="M18" s="40">
        <f t="shared" si="71"/>
        <v>7.6830515600135392E-4</v>
      </c>
      <c r="N18" s="39">
        <v>7681</v>
      </c>
      <c r="O18" s="39">
        <v>442134.1430635819</v>
      </c>
      <c r="P18" s="39">
        <v>84</v>
      </c>
      <c r="Q18" s="39">
        <v>1618.5193367899997</v>
      </c>
      <c r="R18" s="40">
        <f t="shared" si="72"/>
        <v>3.6606974651972207E-3</v>
      </c>
      <c r="S18" s="39">
        <v>84</v>
      </c>
      <c r="T18" s="39">
        <v>1618.5193367899997</v>
      </c>
      <c r="U18" s="40">
        <f t="shared" si="73"/>
        <v>3.6606974651972207E-3</v>
      </c>
      <c r="V18" s="39">
        <v>7633</v>
      </c>
      <c r="W18" s="39">
        <v>445199.0856568208</v>
      </c>
      <c r="X18" s="39">
        <v>214</v>
      </c>
      <c r="Y18" s="39">
        <v>2502.2212676900008</v>
      </c>
      <c r="Z18" s="40">
        <f t="shared" si="13"/>
        <v>5.6204546422155589E-3</v>
      </c>
      <c r="AA18" s="39">
        <v>214</v>
      </c>
      <c r="AB18" s="39">
        <v>2502.2212676900008</v>
      </c>
      <c r="AC18" s="40">
        <f t="shared" si="74"/>
        <v>5.6204546422155589E-3</v>
      </c>
      <c r="AD18" s="39">
        <v>7587</v>
      </c>
      <c r="AE18" s="39">
        <v>455056.29835056991</v>
      </c>
      <c r="AF18" s="39">
        <v>290</v>
      </c>
      <c r="AG18" s="39">
        <v>4470.6647371200006</v>
      </c>
      <c r="AH18" s="40">
        <f t="shared" si="75"/>
        <v>9.8244211833232436E-3</v>
      </c>
      <c r="AI18" s="39">
        <v>290</v>
      </c>
      <c r="AJ18" s="39">
        <v>4470.6647371200006</v>
      </c>
      <c r="AK18" s="40">
        <f t="shared" si="76"/>
        <v>9.8244211833232436E-3</v>
      </c>
      <c r="AL18" s="39">
        <v>7572</v>
      </c>
      <c r="AM18" s="39">
        <v>459381.55250724935</v>
      </c>
      <c r="AN18" s="39">
        <v>291</v>
      </c>
      <c r="AO18" s="39">
        <v>4114.4809618399995</v>
      </c>
      <c r="AP18" s="40">
        <f t="shared" si="77"/>
        <v>8.9565654941598256E-3</v>
      </c>
      <c r="AQ18" s="39">
        <v>291</v>
      </c>
      <c r="AR18" s="39">
        <v>4114.4809618399995</v>
      </c>
      <c r="AS18" s="40">
        <f t="shared" si="78"/>
        <v>8.9565654941598256E-3</v>
      </c>
      <c r="AT18" s="39">
        <v>7568</v>
      </c>
      <c r="AU18" s="39">
        <v>459656.95077295008</v>
      </c>
      <c r="AV18" s="39">
        <v>242</v>
      </c>
      <c r="AW18" s="39">
        <v>3221.8566811599985</v>
      </c>
      <c r="AX18" s="40">
        <f t="shared" si="79"/>
        <v>7.0092634860458173E-3</v>
      </c>
      <c r="AY18" s="39">
        <v>242</v>
      </c>
      <c r="AZ18" s="39">
        <v>3221.8566811599985</v>
      </c>
      <c r="BA18" s="40">
        <f t="shared" si="80"/>
        <v>7.0092634860458173E-3</v>
      </c>
      <c r="BB18" s="41">
        <v>7461</v>
      </c>
      <c r="BC18" s="41">
        <v>450905.69918364944</v>
      </c>
      <c r="BD18" s="41">
        <v>214</v>
      </c>
      <c r="BE18" s="41">
        <v>3515.0696917899995</v>
      </c>
      <c r="BF18" s="40">
        <f t="shared" si="81"/>
        <v>7.7955760997342072E-3</v>
      </c>
      <c r="BG18" s="39">
        <v>214</v>
      </c>
      <c r="BH18" s="39">
        <v>3515.0696917899995</v>
      </c>
      <c r="BI18" s="40">
        <f t="shared" si="82"/>
        <v>7.7955760997342072E-3</v>
      </c>
      <c r="BJ18" s="39">
        <v>7409</v>
      </c>
      <c r="BK18" s="39">
        <v>448859.65587941877</v>
      </c>
      <c r="BL18" s="39">
        <v>277</v>
      </c>
      <c r="BM18" s="39">
        <v>4439.9089092700015</v>
      </c>
      <c r="BN18" s="40">
        <f t="shared" si="83"/>
        <v>9.8915303505529E-3</v>
      </c>
      <c r="BO18" s="4">
        <v>277</v>
      </c>
      <c r="BP18" s="4">
        <v>4439.9089092700015</v>
      </c>
      <c r="BQ18" s="40">
        <f t="shared" si="84"/>
        <v>9.8915303505529E-3</v>
      </c>
      <c r="BR18" s="39">
        <v>7357</v>
      </c>
      <c r="BS18" s="39">
        <v>445446.46860220929</v>
      </c>
      <c r="BT18" s="39">
        <v>208</v>
      </c>
      <c r="BU18" s="39">
        <v>3715.2341179499981</v>
      </c>
      <c r="BV18" s="40">
        <f t="shared" si="85"/>
        <v>8.3404727163024408E-3</v>
      </c>
      <c r="BW18" s="4">
        <v>208</v>
      </c>
      <c r="BX18" s="4">
        <v>3715.2341179499981</v>
      </c>
      <c r="BY18" s="40">
        <f t="shared" si="86"/>
        <v>8.3404727163024408E-3</v>
      </c>
      <c r="BZ18" s="39">
        <v>7463</v>
      </c>
      <c r="CA18" s="39">
        <v>451175.82675644988</v>
      </c>
      <c r="CB18" s="39">
        <v>287</v>
      </c>
      <c r="CC18" s="39">
        <v>4407.1023238800008</v>
      </c>
      <c r="CD18" s="40">
        <f t="shared" si="87"/>
        <v>9.7680373426987863E-3</v>
      </c>
      <c r="CE18" s="4">
        <v>287</v>
      </c>
      <c r="CF18" s="4">
        <v>4407.1023238800008</v>
      </c>
      <c r="CG18" s="40">
        <f t="shared" si="88"/>
        <v>9.7680373426987863E-3</v>
      </c>
      <c r="CH18" s="39">
        <v>7566</v>
      </c>
      <c r="CI18" s="39">
        <v>448436.19770724856</v>
      </c>
      <c r="CJ18" s="39">
        <v>253</v>
      </c>
      <c r="CK18" s="39">
        <v>4112.0749562999999</v>
      </c>
      <c r="CL18" s="40">
        <f t="shared" si="89"/>
        <v>9.1698105044242546E-3</v>
      </c>
      <c r="CM18" s="4">
        <v>253</v>
      </c>
      <c r="CN18" s="4">
        <v>4112.0749562999999</v>
      </c>
      <c r="CO18" s="40">
        <f t="shared" si="90"/>
        <v>9.1698105044242546E-3</v>
      </c>
      <c r="CP18" s="39">
        <v>7531</v>
      </c>
      <c r="CQ18" s="39">
        <v>445139.33470766054</v>
      </c>
      <c r="CR18" s="39">
        <v>228</v>
      </c>
      <c r="CS18" s="39">
        <v>3952.3128732499986</v>
      </c>
      <c r="CT18" s="40">
        <f t="shared" si="91"/>
        <v>8.8788218993174992E-3</v>
      </c>
      <c r="CU18" s="4">
        <v>228</v>
      </c>
      <c r="CV18" s="4">
        <v>3952.3128732499986</v>
      </c>
      <c r="CW18" s="40">
        <f t="shared" si="92"/>
        <v>8.8788218993174992E-3</v>
      </c>
      <c r="CX18" s="42">
        <v>0</v>
      </c>
      <c r="CY18" s="42">
        <v>0</v>
      </c>
    </row>
    <row r="19" spans="1:103" s="29" customFormat="1" ht="35.1" customHeight="1" x14ac:dyDescent="0.25">
      <c r="A19" s="38">
        <f t="shared" si="93"/>
        <v>13</v>
      </c>
      <c r="B19" s="45" t="s">
        <v>2050</v>
      </c>
      <c r="C19" s="45" t="s">
        <v>2053</v>
      </c>
      <c r="D19" s="64">
        <v>11202</v>
      </c>
      <c r="E19" s="45" t="s">
        <v>2054</v>
      </c>
      <c r="F19" s="39">
        <v>5836</v>
      </c>
      <c r="G19" s="39">
        <v>325861.48819465155</v>
      </c>
      <c r="H19" s="39">
        <v>52</v>
      </c>
      <c r="I19" s="39">
        <v>5555.7009309899968</v>
      </c>
      <c r="J19" s="40">
        <f t="shared" si="70"/>
        <v>1.704927133847535E-2</v>
      </c>
      <c r="K19" s="39">
        <v>52</v>
      </c>
      <c r="L19" s="39">
        <v>5555.7009309899968</v>
      </c>
      <c r="M19" s="40">
        <f t="shared" si="71"/>
        <v>1.704927133847535E-2</v>
      </c>
      <c r="N19" s="39">
        <v>5975</v>
      </c>
      <c r="O19" s="39">
        <v>322935.633695342</v>
      </c>
      <c r="P19" s="39">
        <v>138</v>
      </c>
      <c r="Q19" s="39">
        <v>41165.403628099994</v>
      </c>
      <c r="R19" s="40">
        <f t="shared" si="72"/>
        <v>0.12747247232225695</v>
      </c>
      <c r="S19" s="39">
        <v>138</v>
      </c>
      <c r="T19" s="39">
        <v>41165.403628099994</v>
      </c>
      <c r="U19" s="40">
        <f t="shared" si="73"/>
        <v>0.12747247232225695</v>
      </c>
      <c r="V19" s="39">
        <v>6155</v>
      </c>
      <c r="W19" s="39">
        <v>330796.43782857817</v>
      </c>
      <c r="X19" s="39">
        <v>172</v>
      </c>
      <c r="Y19" s="39">
        <v>43008.50289036001</v>
      </c>
      <c r="Z19" s="40">
        <f t="shared" si="13"/>
        <v>0.13001501217086087</v>
      </c>
      <c r="AA19" s="39">
        <v>172</v>
      </c>
      <c r="AB19" s="39">
        <v>43008.50289036001</v>
      </c>
      <c r="AC19" s="40">
        <f t="shared" si="74"/>
        <v>0.13001501217086087</v>
      </c>
      <c r="AD19" s="39">
        <v>6358</v>
      </c>
      <c r="AE19" s="39">
        <v>339917.81943814165</v>
      </c>
      <c r="AF19" s="39">
        <v>205</v>
      </c>
      <c r="AG19" s="39">
        <v>39541.022434919993</v>
      </c>
      <c r="AH19" s="40">
        <f t="shared" si="75"/>
        <v>0.11632524149595423</v>
      </c>
      <c r="AI19" s="39">
        <v>205</v>
      </c>
      <c r="AJ19" s="39">
        <v>39541.022434919993</v>
      </c>
      <c r="AK19" s="40">
        <f t="shared" si="76"/>
        <v>0.11632524149595423</v>
      </c>
      <c r="AL19" s="39">
        <v>6431</v>
      </c>
      <c r="AM19" s="39">
        <v>366438.64312194148</v>
      </c>
      <c r="AN19" s="39">
        <v>233</v>
      </c>
      <c r="AO19" s="39">
        <v>41728.922614899981</v>
      </c>
      <c r="AP19" s="40">
        <f t="shared" si="77"/>
        <v>0.11387697066931245</v>
      </c>
      <c r="AQ19" s="39">
        <v>233</v>
      </c>
      <c r="AR19" s="39">
        <v>41728.922614899981</v>
      </c>
      <c r="AS19" s="40">
        <f t="shared" si="78"/>
        <v>0.11387697066931245</v>
      </c>
      <c r="AT19" s="39">
        <v>6399</v>
      </c>
      <c r="AU19" s="39">
        <v>366105.56342666224</v>
      </c>
      <c r="AV19" s="39">
        <v>222</v>
      </c>
      <c r="AW19" s="39">
        <v>42028.199950089984</v>
      </c>
      <c r="AX19" s="40">
        <f t="shared" si="79"/>
        <v>0.11479803681953338</v>
      </c>
      <c r="AY19" s="39">
        <v>222</v>
      </c>
      <c r="AZ19" s="39">
        <v>42028.199950089984</v>
      </c>
      <c r="BA19" s="40">
        <f t="shared" si="80"/>
        <v>0.11479803681953338</v>
      </c>
      <c r="BB19" s="41">
        <v>6305</v>
      </c>
      <c r="BC19" s="41">
        <v>357612.00386986171</v>
      </c>
      <c r="BD19" s="41">
        <v>240</v>
      </c>
      <c r="BE19" s="41">
        <v>46203.574331939984</v>
      </c>
      <c r="BF19" s="40">
        <f t="shared" si="81"/>
        <v>0.12920028922953572</v>
      </c>
      <c r="BG19" s="39">
        <v>240</v>
      </c>
      <c r="BH19" s="39">
        <v>46203.574331939984</v>
      </c>
      <c r="BI19" s="40">
        <f t="shared" si="82"/>
        <v>0.12920028922953572</v>
      </c>
      <c r="BJ19" s="39">
        <v>6256</v>
      </c>
      <c r="BK19" s="39">
        <v>349639.45144867123</v>
      </c>
      <c r="BL19" s="39">
        <v>318</v>
      </c>
      <c r="BM19" s="39">
        <v>46042.156396819992</v>
      </c>
      <c r="BN19" s="40">
        <f t="shared" si="83"/>
        <v>0.13168467175558191</v>
      </c>
      <c r="BO19" s="4">
        <v>318</v>
      </c>
      <c r="BP19" s="4">
        <v>46042.156396819992</v>
      </c>
      <c r="BQ19" s="40">
        <f t="shared" si="84"/>
        <v>0.13168467175558191</v>
      </c>
      <c r="BR19" s="39">
        <v>6216</v>
      </c>
      <c r="BS19" s="39">
        <v>347357.20666227018</v>
      </c>
      <c r="BT19" s="39">
        <v>356</v>
      </c>
      <c r="BU19" s="39">
        <v>25990.799600509963</v>
      </c>
      <c r="BV19" s="40">
        <f t="shared" si="85"/>
        <v>7.4824414470203868E-2</v>
      </c>
      <c r="BW19" s="4">
        <v>356</v>
      </c>
      <c r="BX19" s="4">
        <v>25990.799600509963</v>
      </c>
      <c r="BY19" s="40">
        <f t="shared" si="86"/>
        <v>7.4824414470203868E-2</v>
      </c>
      <c r="BZ19" s="39">
        <v>6159</v>
      </c>
      <c r="CA19" s="39">
        <v>336876.40401429014</v>
      </c>
      <c r="CB19" s="39">
        <v>405</v>
      </c>
      <c r="CC19" s="39">
        <v>27573.435633519981</v>
      </c>
      <c r="CD19" s="40">
        <f t="shared" si="87"/>
        <v>8.185030267762633E-2</v>
      </c>
      <c r="CE19" s="4">
        <v>405</v>
      </c>
      <c r="CF19" s="4">
        <v>27573.435633519981</v>
      </c>
      <c r="CG19" s="40">
        <f t="shared" si="88"/>
        <v>8.185030267762633E-2</v>
      </c>
      <c r="CH19" s="39">
        <v>6073</v>
      </c>
      <c r="CI19" s="39">
        <v>327835.31293864077</v>
      </c>
      <c r="CJ19" s="39">
        <v>380</v>
      </c>
      <c r="CK19" s="39">
        <v>26956.657959129971</v>
      </c>
      <c r="CL19" s="40">
        <f t="shared" si="89"/>
        <v>8.2226218150499575E-2</v>
      </c>
      <c r="CM19" s="4">
        <v>380</v>
      </c>
      <c r="CN19" s="4">
        <v>26956.657959129971</v>
      </c>
      <c r="CO19" s="40">
        <f t="shared" si="90"/>
        <v>8.2226218150499575E-2</v>
      </c>
      <c r="CP19" s="39">
        <v>5990</v>
      </c>
      <c r="CQ19" s="39">
        <v>319631.91950321902</v>
      </c>
      <c r="CR19" s="39">
        <v>376</v>
      </c>
      <c r="CS19" s="39">
        <v>25750.961610599963</v>
      </c>
      <c r="CT19" s="40">
        <f t="shared" si="91"/>
        <v>8.0564424387347913E-2</v>
      </c>
      <c r="CU19" s="4">
        <v>376</v>
      </c>
      <c r="CV19" s="4">
        <v>25750.961610599963</v>
      </c>
      <c r="CW19" s="40">
        <f t="shared" si="92"/>
        <v>8.0564424387347913E-2</v>
      </c>
      <c r="CX19" s="42">
        <v>0</v>
      </c>
      <c r="CY19" s="42">
        <v>0</v>
      </c>
    </row>
    <row r="20" spans="1:103" s="29" customFormat="1" ht="35.1" customHeight="1" x14ac:dyDescent="0.25">
      <c r="A20" s="38">
        <f t="shared" si="93"/>
        <v>14</v>
      </c>
      <c r="B20" s="45" t="s">
        <v>2050</v>
      </c>
      <c r="C20" s="45" t="s">
        <v>2055</v>
      </c>
      <c r="D20" s="64">
        <v>11199</v>
      </c>
      <c r="E20" s="45" t="s">
        <v>2037</v>
      </c>
      <c r="F20" s="39">
        <v>7163</v>
      </c>
      <c r="G20" s="39">
        <v>687851.93843224901</v>
      </c>
      <c r="H20" s="39">
        <v>53</v>
      </c>
      <c r="I20" s="39">
        <v>1850.6102761299999</v>
      </c>
      <c r="J20" s="40">
        <f t="shared" si="70"/>
        <v>2.6904195114255368E-3</v>
      </c>
      <c r="K20" s="39">
        <v>53</v>
      </c>
      <c r="L20" s="39">
        <v>1850.6102761299999</v>
      </c>
      <c r="M20" s="40">
        <f t="shared" si="71"/>
        <v>2.6904195114255368E-3</v>
      </c>
      <c r="N20" s="39">
        <v>7194</v>
      </c>
      <c r="O20" s="39">
        <v>683545.10013609042</v>
      </c>
      <c r="P20" s="39">
        <v>143</v>
      </c>
      <c r="Q20" s="39">
        <v>4827.3077472600025</v>
      </c>
      <c r="R20" s="40">
        <f t="shared" si="72"/>
        <v>7.0621642175460108E-3</v>
      </c>
      <c r="S20" s="39">
        <v>143</v>
      </c>
      <c r="T20" s="39">
        <v>4827.3077472600025</v>
      </c>
      <c r="U20" s="40">
        <f t="shared" si="73"/>
        <v>7.0621642175460108E-3</v>
      </c>
      <c r="V20" s="39">
        <v>7235</v>
      </c>
      <c r="W20" s="39">
        <v>631448.34691716079</v>
      </c>
      <c r="X20" s="39">
        <v>202</v>
      </c>
      <c r="Y20" s="39">
        <v>6772.7769338800044</v>
      </c>
      <c r="Z20" s="40">
        <f t="shared" si="13"/>
        <v>1.072578139913718E-2</v>
      </c>
      <c r="AA20" s="39">
        <v>202</v>
      </c>
      <c r="AB20" s="39">
        <v>6772.7769338800044</v>
      </c>
      <c r="AC20" s="40">
        <f t="shared" si="74"/>
        <v>1.072578139913718E-2</v>
      </c>
      <c r="AD20" s="39">
        <v>7277</v>
      </c>
      <c r="AE20" s="39">
        <v>631386.68715146068</v>
      </c>
      <c r="AF20" s="39">
        <v>217</v>
      </c>
      <c r="AG20" s="39">
        <v>7215.6812088400075</v>
      </c>
      <c r="AH20" s="40">
        <f t="shared" si="75"/>
        <v>1.1428307494720851E-2</v>
      </c>
      <c r="AI20" s="39">
        <v>217</v>
      </c>
      <c r="AJ20" s="39">
        <v>7215.6812088400075</v>
      </c>
      <c r="AK20" s="40">
        <f t="shared" si="76"/>
        <v>1.1428307494720851E-2</v>
      </c>
      <c r="AL20" s="39">
        <v>7244</v>
      </c>
      <c r="AM20" s="39">
        <v>579507.17972289678</v>
      </c>
      <c r="AN20" s="39">
        <v>241</v>
      </c>
      <c r="AO20" s="39">
        <v>6240.9311031200032</v>
      </c>
      <c r="AP20" s="40">
        <f t="shared" si="77"/>
        <v>1.0769376672958965E-2</v>
      </c>
      <c r="AQ20" s="39">
        <v>241</v>
      </c>
      <c r="AR20" s="39">
        <v>6240.9311031200032</v>
      </c>
      <c r="AS20" s="40">
        <f t="shared" si="78"/>
        <v>1.0769376672958965E-2</v>
      </c>
      <c r="AT20" s="39">
        <v>7271</v>
      </c>
      <c r="AU20" s="39">
        <v>575235.45716874418</v>
      </c>
      <c r="AV20" s="39">
        <v>278</v>
      </c>
      <c r="AW20" s="39">
        <v>6336.0049166599974</v>
      </c>
      <c r="AX20" s="40">
        <f t="shared" si="79"/>
        <v>1.1014628597209964E-2</v>
      </c>
      <c r="AY20" s="39">
        <v>278</v>
      </c>
      <c r="AZ20" s="39">
        <v>6336.0049166599974</v>
      </c>
      <c r="BA20" s="40">
        <f t="shared" si="80"/>
        <v>1.1014628597209964E-2</v>
      </c>
      <c r="BB20" s="41">
        <v>7182</v>
      </c>
      <c r="BC20" s="41">
        <v>475209.85050792148</v>
      </c>
      <c r="BD20" s="41">
        <v>336</v>
      </c>
      <c r="BE20" s="41">
        <v>6912.9275770300028</v>
      </c>
      <c r="BF20" s="40">
        <f t="shared" si="81"/>
        <v>1.4547104967713139E-2</v>
      </c>
      <c r="BG20" s="39">
        <v>336</v>
      </c>
      <c r="BH20" s="39">
        <v>6912.9275770300028</v>
      </c>
      <c r="BI20" s="40">
        <f t="shared" si="82"/>
        <v>1.4547104967713139E-2</v>
      </c>
      <c r="BJ20" s="39">
        <v>7048</v>
      </c>
      <c r="BK20" s="39">
        <v>471751.67642698047</v>
      </c>
      <c r="BL20" s="39">
        <v>383</v>
      </c>
      <c r="BM20" s="39">
        <v>8526.378222769994</v>
      </c>
      <c r="BN20" s="40">
        <f t="shared" si="83"/>
        <v>1.8073869471642967E-2</v>
      </c>
      <c r="BO20" s="4">
        <v>383</v>
      </c>
      <c r="BP20" s="4">
        <v>8526.378222769994</v>
      </c>
      <c r="BQ20" s="40">
        <f t="shared" si="84"/>
        <v>1.8073869471642967E-2</v>
      </c>
      <c r="BR20" s="39">
        <v>6914</v>
      </c>
      <c r="BS20" s="39">
        <v>468699.49762934109</v>
      </c>
      <c r="BT20" s="39">
        <v>353</v>
      </c>
      <c r="BU20" s="39">
        <v>7846.0512414799896</v>
      </c>
      <c r="BV20" s="40">
        <f t="shared" si="85"/>
        <v>1.6740046194128496E-2</v>
      </c>
      <c r="BW20" s="4">
        <v>353</v>
      </c>
      <c r="BX20" s="4">
        <v>7846.0512414799896</v>
      </c>
      <c r="BY20" s="40">
        <f t="shared" si="86"/>
        <v>1.6740046194128496E-2</v>
      </c>
      <c r="BZ20" s="39">
        <v>6872</v>
      </c>
      <c r="CA20" s="39">
        <v>464113.88048593013</v>
      </c>
      <c r="CB20" s="39">
        <v>405</v>
      </c>
      <c r="CC20" s="39">
        <v>9311.1477604099928</v>
      </c>
      <c r="CD20" s="40">
        <f t="shared" si="87"/>
        <v>2.0062204885277646E-2</v>
      </c>
      <c r="CE20" s="4">
        <v>405</v>
      </c>
      <c r="CF20" s="4">
        <v>9311.1477604099928</v>
      </c>
      <c r="CG20" s="40">
        <f t="shared" si="88"/>
        <v>2.0062204885277646E-2</v>
      </c>
      <c r="CH20" s="39">
        <v>6845</v>
      </c>
      <c r="CI20" s="39">
        <v>463261.23105756193</v>
      </c>
      <c r="CJ20" s="39">
        <v>392</v>
      </c>
      <c r="CK20" s="39">
        <v>9000.1450586399969</v>
      </c>
      <c r="CL20" s="40">
        <f t="shared" si="89"/>
        <v>1.9427796792090498E-2</v>
      </c>
      <c r="CM20" s="4">
        <v>392</v>
      </c>
      <c r="CN20" s="4">
        <v>9000.1450586399969</v>
      </c>
      <c r="CO20" s="40">
        <f t="shared" si="90"/>
        <v>1.9427796792090498E-2</v>
      </c>
      <c r="CP20" s="39">
        <v>6756</v>
      </c>
      <c r="CQ20" s="39">
        <v>458067.70551814354</v>
      </c>
      <c r="CR20" s="39">
        <v>377</v>
      </c>
      <c r="CS20" s="39">
        <v>8651.2559452700007</v>
      </c>
      <c r="CT20" s="40">
        <f t="shared" si="91"/>
        <v>1.8886413167861566E-2</v>
      </c>
      <c r="CU20" s="4">
        <v>377</v>
      </c>
      <c r="CV20" s="4">
        <v>8651.2559452700007</v>
      </c>
      <c r="CW20" s="40">
        <f t="shared" si="92"/>
        <v>1.8886413167861566E-2</v>
      </c>
      <c r="CX20" s="42">
        <v>0</v>
      </c>
      <c r="CY20" s="42">
        <v>0</v>
      </c>
    </row>
    <row r="21" spans="1:103" s="29" customFormat="1" ht="35.1" customHeight="1" x14ac:dyDescent="0.25">
      <c r="A21" s="38">
        <f t="shared" si="93"/>
        <v>15</v>
      </c>
      <c r="B21" s="45" t="s">
        <v>2050</v>
      </c>
      <c r="C21" s="45" t="s">
        <v>2056</v>
      </c>
      <c r="D21" s="64">
        <v>11200</v>
      </c>
      <c r="E21" s="45" t="s">
        <v>2049</v>
      </c>
      <c r="F21" s="39">
        <v>7577</v>
      </c>
      <c r="G21" s="39">
        <v>429333.86959897942</v>
      </c>
      <c r="H21" s="39">
        <v>192</v>
      </c>
      <c r="I21" s="39">
        <v>12215.364699220008</v>
      </c>
      <c r="J21" s="40">
        <f t="shared" si="70"/>
        <v>2.8451900872926251E-2</v>
      </c>
      <c r="K21" s="39">
        <v>192</v>
      </c>
      <c r="L21" s="39">
        <v>12215.364699220008</v>
      </c>
      <c r="M21" s="40">
        <f t="shared" si="71"/>
        <v>2.8451900872926251E-2</v>
      </c>
      <c r="N21" s="39">
        <v>7557</v>
      </c>
      <c r="O21" s="39">
        <v>426924.32110861404</v>
      </c>
      <c r="P21" s="39">
        <v>314</v>
      </c>
      <c r="Q21" s="39">
        <v>17285.415841160015</v>
      </c>
      <c r="R21" s="40">
        <f t="shared" si="72"/>
        <v>4.0488243434513592E-2</v>
      </c>
      <c r="S21" s="39">
        <v>314</v>
      </c>
      <c r="T21" s="39">
        <v>17285.415841160015</v>
      </c>
      <c r="U21" s="40">
        <f t="shared" si="73"/>
        <v>4.0488243434513592E-2</v>
      </c>
      <c r="V21" s="39">
        <v>7635</v>
      </c>
      <c r="W21" s="39">
        <v>435743.87053875055</v>
      </c>
      <c r="X21" s="39">
        <v>420</v>
      </c>
      <c r="Y21" s="39">
        <v>21920.955803669993</v>
      </c>
      <c r="Z21" s="40">
        <f t="shared" si="13"/>
        <v>5.0306974545774062E-2</v>
      </c>
      <c r="AA21" s="39">
        <v>420</v>
      </c>
      <c r="AB21" s="39">
        <v>21920.955803669993</v>
      </c>
      <c r="AC21" s="40">
        <f t="shared" si="74"/>
        <v>5.0306974545774062E-2</v>
      </c>
      <c r="AD21" s="39">
        <v>7723</v>
      </c>
      <c r="AE21" s="39">
        <v>445579.32417775952</v>
      </c>
      <c r="AF21" s="39">
        <v>439</v>
      </c>
      <c r="AG21" s="39">
        <v>23441.669565930009</v>
      </c>
      <c r="AH21" s="40">
        <f t="shared" si="75"/>
        <v>5.2609419454521598E-2</v>
      </c>
      <c r="AI21" s="39">
        <v>439</v>
      </c>
      <c r="AJ21" s="39">
        <v>23441.669565930009</v>
      </c>
      <c r="AK21" s="40">
        <f t="shared" si="76"/>
        <v>5.2609419454521598E-2</v>
      </c>
      <c r="AL21" s="39">
        <v>7673</v>
      </c>
      <c r="AM21" s="39">
        <v>440117.51477488066</v>
      </c>
      <c r="AN21" s="39">
        <v>516</v>
      </c>
      <c r="AO21" s="39">
        <v>29602.085940150013</v>
      </c>
      <c r="AP21" s="40">
        <f t="shared" si="77"/>
        <v>6.7259504442333834E-2</v>
      </c>
      <c r="AQ21" s="39">
        <v>516</v>
      </c>
      <c r="AR21" s="39">
        <v>29602.085940150013</v>
      </c>
      <c r="AS21" s="40">
        <f t="shared" si="78"/>
        <v>6.7259504442333834E-2</v>
      </c>
      <c r="AT21" s="39">
        <v>7576</v>
      </c>
      <c r="AU21" s="39">
        <v>432801.01508887328</v>
      </c>
      <c r="AV21" s="39">
        <v>459</v>
      </c>
      <c r="AW21" s="39">
        <v>25945.05328859001</v>
      </c>
      <c r="AX21" s="40">
        <f t="shared" si="79"/>
        <v>5.9946840196902815E-2</v>
      </c>
      <c r="AY21" s="39">
        <v>459</v>
      </c>
      <c r="AZ21" s="39">
        <v>25945.05328859001</v>
      </c>
      <c r="BA21" s="40">
        <f t="shared" si="80"/>
        <v>5.9946840196902815E-2</v>
      </c>
      <c r="BB21" s="41">
        <v>7422</v>
      </c>
      <c r="BC21" s="41">
        <v>423509.51495006296</v>
      </c>
      <c r="BD21" s="41">
        <v>512</v>
      </c>
      <c r="BE21" s="41">
        <v>33960.998732390006</v>
      </c>
      <c r="BF21" s="40">
        <f t="shared" si="81"/>
        <v>8.0189458639186487E-2</v>
      </c>
      <c r="BG21" s="39">
        <v>512</v>
      </c>
      <c r="BH21" s="39">
        <v>33960.998732390006</v>
      </c>
      <c r="BI21" s="40">
        <f t="shared" si="82"/>
        <v>8.0189458639186487E-2</v>
      </c>
      <c r="BJ21" s="39">
        <v>7265</v>
      </c>
      <c r="BK21" s="39">
        <v>415401.81299637858</v>
      </c>
      <c r="BL21" s="39">
        <v>594</v>
      </c>
      <c r="BM21" s="39">
        <v>33275.51321336002</v>
      </c>
      <c r="BN21" s="40">
        <f t="shared" si="83"/>
        <v>8.0104400540134651E-2</v>
      </c>
      <c r="BO21" s="4">
        <v>594</v>
      </c>
      <c r="BP21" s="4">
        <v>33275.51321336002</v>
      </c>
      <c r="BQ21" s="40">
        <f t="shared" si="84"/>
        <v>8.0104400540134651E-2</v>
      </c>
      <c r="BR21" s="39">
        <v>7147</v>
      </c>
      <c r="BS21" s="39">
        <v>439074.66936027718</v>
      </c>
      <c r="BT21" s="39">
        <v>578</v>
      </c>
      <c r="BU21" s="39">
        <v>37654.131850889993</v>
      </c>
      <c r="BV21" s="40">
        <f t="shared" si="85"/>
        <v>8.57579233749724E-2</v>
      </c>
      <c r="BW21" s="4">
        <v>578</v>
      </c>
      <c r="BX21" s="4">
        <v>37654.131850889993</v>
      </c>
      <c r="BY21" s="40">
        <f t="shared" si="86"/>
        <v>8.57579233749724E-2</v>
      </c>
      <c r="BZ21" s="39">
        <v>7114</v>
      </c>
      <c r="CA21" s="39">
        <v>427307.42879146937</v>
      </c>
      <c r="CB21" s="39">
        <v>652</v>
      </c>
      <c r="CC21" s="39">
        <v>37788.898459660006</v>
      </c>
      <c r="CD21" s="40">
        <f t="shared" si="87"/>
        <v>8.843492041909104E-2</v>
      </c>
      <c r="CE21" s="4">
        <v>652</v>
      </c>
      <c r="CF21" s="4">
        <v>37788.898459660006</v>
      </c>
      <c r="CG21" s="40">
        <f t="shared" si="88"/>
        <v>8.843492041909104E-2</v>
      </c>
      <c r="CH21" s="39">
        <v>7057</v>
      </c>
      <c r="CI21" s="39">
        <v>423767.19582358433</v>
      </c>
      <c r="CJ21" s="39">
        <v>683</v>
      </c>
      <c r="CK21" s="39">
        <v>39645.436080299951</v>
      </c>
      <c r="CL21" s="40">
        <f t="shared" si="89"/>
        <v>9.3554754759272288E-2</v>
      </c>
      <c r="CM21" s="4">
        <v>683</v>
      </c>
      <c r="CN21" s="4">
        <v>39645.436080299951</v>
      </c>
      <c r="CO21" s="40">
        <f t="shared" si="90"/>
        <v>9.3554754759272288E-2</v>
      </c>
      <c r="CP21" s="39">
        <v>6943</v>
      </c>
      <c r="CQ21" s="39">
        <v>454559.70979484019</v>
      </c>
      <c r="CR21" s="39">
        <v>647</v>
      </c>
      <c r="CS21" s="39">
        <v>42485.512606189994</v>
      </c>
      <c r="CT21" s="40">
        <f t="shared" si="91"/>
        <v>9.3465196520310379E-2</v>
      </c>
      <c r="CU21" s="4">
        <v>647</v>
      </c>
      <c r="CV21" s="4">
        <v>42485.512606189994</v>
      </c>
      <c r="CW21" s="40">
        <f t="shared" si="92"/>
        <v>9.3465196520310379E-2</v>
      </c>
      <c r="CX21" s="42">
        <v>0</v>
      </c>
      <c r="CY21" s="42">
        <v>0</v>
      </c>
    </row>
    <row r="22" spans="1:103" s="29" customFormat="1" ht="35.1" customHeight="1" x14ac:dyDescent="0.25">
      <c r="A22" s="38">
        <f t="shared" si="93"/>
        <v>16</v>
      </c>
      <c r="B22" s="45" t="s">
        <v>2050</v>
      </c>
      <c r="C22" s="45" t="s">
        <v>2057</v>
      </c>
      <c r="D22" s="64">
        <v>11203</v>
      </c>
      <c r="E22" s="45" t="s">
        <v>2041</v>
      </c>
      <c r="F22" s="39">
        <v>5715</v>
      </c>
      <c r="G22" s="39">
        <v>191148.64937993084</v>
      </c>
      <c r="H22" s="39">
        <v>156</v>
      </c>
      <c r="I22" s="39">
        <v>6542.5114338500016</v>
      </c>
      <c r="J22" s="40">
        <f t="shared" si="70"/>
        <v>3.4227348480218536E-2</v>
      </c>
      <c r="K22" s="39">
        <v>156</v>
      </c>
      <c r="L22" s="39">
        <v>6542.5114338500016</v>
      </c>
      <c r="M22" s="40">
        <f t="shared" si="71"/>
        <v>3.4227348480218536E-2</v>
      </c>
      <c r="N22" s="39">
        <v>5780</v>
      </c>
      <c r="O22" s="39">
        <v>192485.79269841063</v>
      </c>
      <c r="P22" s="39">
        <v>191</v>
      </c>
      <c r="Q22" s="39">
        <v>8904.7985352099968</v>
      </c>
      <c r="R22" s="40">
        <f t="shared" si="72"/>
        <v>4.6262108025614944E-2</v>
      </c>
      <c r="S22" s="39">
        <v>191</v>
      </c>
      <c r="T22" s="39">
        <v>8904.7985352099968</v>
      </c>
      <c r="U22" s="40">
        <f t="shared" si="73"/>
        <v>4.6262108025614944E-2</v>
      </c>
      <c r="V22" s="39">
        <v>5902</v>
      </c>
      <c r="W22" s="39">
        <v>196446.85926211043</v>
      </c>
      <c r="X22" s="39">
        <v>235</v>
      </c>
      <c r="Y22" s="39">
        <v>9434.0561728899957</v>
      </c>
      <c r="Z22" s="40">
        <f t="shared" si="13"/>
        <v>4.8023451269854855E-2</v>
      </c>
      <c r="AA22" s="39">
        <v>235</v>
      </c>
      <c r="AB22" s="39">
        <v>9434.0561728899957</v>
      </c>
      <c r="AC22" s="40">
        <f t="shared" si="74"/>
        <v>4.8023451269854855E-2</v>
      </c>
      <c r="AD22" s="39">
        <v>6085</v>
      </c>
      <c r="AE22" s="39">
        <v>204830.19123086039</v>
      </c>
      <c r="AF22" s="39">
        <v>217</v>
      </c>
      <c r="AG22" s="39">
        <v>8818.5171561399948</v>
      </c>
      <c r="AH22" s="40">
        <f t="shared" si="75"/>
        <v>4.3052819035846158E-2</v>
      </c>
      <c r="AI22" s="39">
        <v>217</v>
      </c>
      <c r="AJ22" s="39">
        <v>8818.5171561399948</v>
      </c>
      <c r="AK22" s="40">
        <f t="shared" si="76"/>
        <v>4.3052819035846158E-2</v>
      </c>
      <c r="AL22" s="39">
        <v>6112</v>
      </c>
      <c r="AM22" s="39">
        <v>209256.10223043858</v>
      </c>
      <c r="AN22" s="39">
        <v>230</v>
      </c>
      <c r="AO22" s="39">
        <v>9963.084390799997</v>
      </c>
      <c r="AP22" s="40">
        <f t="shared" si="77"/>
        <v>4.7611918049722507E-2</v>
      </c>
      <c r="AQ22" s="39">
        <v>230</v>
      </c>
      <c r="AR22" s="39">
        <v>9963.084390799997</v>
      </c>
      <c r="AS22" s="40">
        <f t="shared" si="78"/>
        <v>4.7611918049722507E-2</v>
      </c>
      <c r="AT22" s="39">
        <v>6094</v>
      </c>
      <c r="AU22" s="39">
        <v>208276.13568970922</v>
      </c>
      <c r="AV22" s="39">
        <v>240</v>
      </c>
      <c r="AW22" s="39">
        <v>9735.6911324199937</v>
      </c>
      <c r="AX22" s="40">
        <f t="shared" si="79"/>
        <v>4.674415098100472E-2</v>
      </c>
      <c r="AY22" s="39">
        <v>240</v>
      </c>
      <c r="AZ22" s="39">
        <v>9735.6911324199937</v>
      </c>
      <c r="BA22" s="40">
        <f t="shared" si="80"/>
        <v>4.674415098100472E-2</v>
      </c>
      <c r="BB22" s="41">
        <v>5990</v>
      </c>
      <c r="BC22" s="41">
        <v>203567.17119987862</v>
      </c>
      <c r="BD22" s="41">
        <v>246</v>
      </c>
      <c r="BE22" s="41">
        <v>10487.954402739992</v>
      </c>
      <c r="BF22" s="40">
        <f t="shared" si="81"/>
        <v>5.1520853489888475E-2</v>
      </c>
      <c r="BG22" s="39">
        <v>246</v>
      </c>
      <c r="BH22" s="39">
        <v>10487.954402739992</v>
      </c>
      <c r="BI22" s="40">
        <f t="shared" si="82"/>
        <v>5.1520853489888475E-2</v>
      </c>
      <c r="BJ22" s="39">
        <v>5923</v>
      </c>
      <c r="BK22" s="39">
        <v>200053.81075063825</v>
      </c>
      <c r="BL22" s="39">
        <v>290</v>
      </c>
      <c r="BM22" s="39">
        <v>12564.816924690005</v>
      </c>
      <c r="BN22" s="40">
        <f t="shared" si="83"/>
        <v>6.2807186114298585E-2</v>
      </c>
      <c r="BO22" s="4">
        <v>290</v>
      </c>
      <c r="BP22" s="4">
        <v>12564.816924690005</v>
      </c>
      <c r="BQ22" s="40">
        <f t="shared" si="84"/>
        <v>6.2807186114298585E-2</v>
      </c>
      <c r="BR22" s="39">
        <v>5847</v>
      </c>
      <c r="BS22" s="39">
        <v>194961.77918256994</v>
      </c>
      <c r="BT22" s="39">
        <v>285</v>
      </c>
      <c r="BU22" s="39">
        <v>13179.08771639</v>
      </c>
      <c r="BV22" s="40">
        <f t="shared" si="85"/>
        <v>6.7598314765319106E-2</v>
      </c>
      <c r="BW22" s="4">
        <v>285</v>
      </c>
      <c r="BX22" s="4">
        <v>13179.08771639</v>
      </c>
      <c r="BY22" s="40">
        <f t="shared" si="86"/>
        <v>6.7598314765319106E-2</v>
      </c>
      <c r="BZ22" s="39">
        <v>5845</v>
      </c>
      <c r="CA22" s="39">
        <v>189043.20113471022</v>
      </c>
      <c r="CB22" s="39">
        <v>299</v>
      </c>
      <c r="CC22" s="39">
        <v>14620.632501760005</v>
      </c>
      <c r="CD22" s="40">
        <f t="shared" si="87"/>
        <v>7.7340165708162628E-2</v>
      </c>
      <c r="CE22" s="4">
        <v>299</v>
      </c>
      <c r="CF22" s="4">
        <v>14620.632501760005</v>
      </c>
      <c r="CG22" s="40">
        <f t="shared" si="88"/>
        <v>7.7340165708162628E-2</v>
      </c>
      <c r="CH22" s="39">
        <v>5857</v>
      </c>
      <c r="CI22" s="39">
        <v>188010.41541400127</v>
      </c>
      <c r="CJ22" s="39">
        <v>317</v>
      </c>
      <c r="CK22" s="39">
        <v>16484.272463690009</v>
      </c>
      <c r="CL22" s="40">
        <f t="shared" si="89"/>
        <v>8.7677442908635869E-2</v>
      </c>
      <c r="CM22" s="4">
        <v>317</v>
      </c>
      <c r="CN22" s="4">
        <v>16484.272463690009</v>
      </c>
      <c r="CO22" s="40">
        <f t="shared" si="90"/>
        <v>8.7677442908635869E-2</v>
      </c>
      <c r="CP22" s="39">
        <v>5823</v>
      </c>
      <c r="CQ22" s="39">
        <v>181716.84315936884</v>
      </c>
      <c r="CR22" s="39">
        <v>328</v>
      </c>
      <c r="CS22" s="39">
        <v>15119.465598820016</v>
      </c>
      <c r="CT22" s="40">
        <f t="shared" si="91"/>
        <v>8.3203435278478732E-2</v>
      </c>
      <c r="CU22" s="4">
        <v>328</v>
      </c>
      <c r="CV22" s="4">
        <v>15119.465598820016</v>
      </c>
      <c r="CW22" s="40">
        <f t="shared" si="92"/>
        <v>8.3203435278478732E-2</v>
      </c>
      <c r="CX22" s="42">
        <v>0</v>
      </c>
      <c r="CY22" s="42">
        <v>0</v>
      </c>
    </row>
    <row r="23" spans="1:103" s="29" customFormat="1" ht="35.1" customHeight="1" x14ac:dyDescent="0.25">
      <c r="A23" s="38">
        <f t="shared" si="93"/>
        <v>17</v>
      </c>
      <c r="B23" s="45" t="s">
        <v>2058</v>
      </c>
      <c r="C23" s="45" t="s">
        <v>2059</v>
      </c>
      <c r="D23" s="64" t="s">
        <v>11</v>
      </c>
      <c r="E23" s="45" t="s">
        <v>2060</v>
      </c>
      <c r="F23" s="39">
        <v>4781</v>
      </c>
      <c r="G23" s="39">
        <v>155416.08366497993</v>
      </c>
      <c r="H23" s="39">
        <v>726</v>
      </c>
      <c r="I23" s="39">
        <v>33464.950976740001</v>
      </c>
      <c r="J23" s="40">
        <f t="shared" si="70"/>
        <v>0.2153248890821246</v>
      </c>
      <c r="K23" s="39">
        <v>726</v>
      </c>
      <c r="L23" s="39">
        <v>33464.950976740001</v>
      </c>
      <c r="M23" s="40">
        <f t="shared" si="71"/>
        <v>0.2153248890821246</v>
      </c>
      <c r="N23" s="39">
        <v>4822</v>
      </c>
      <c r="O23" s="39">
        <v>156895.74174937978</v>
      </c>
      <c r="P23" s="39">
        <v>718</v>
      </c>
      <c r="Q23" s="39">
        <v>33400.717431569996</v>
      </c>
      <c r="R23" s="40">
        <f t="shared" si="72"/>
        <v>0.21288479253263118</v>
      </c>
      <c r="S23" s="39">
        <v>718</v>
      </c>
      <c r="T23" s="39">
        <v>33400.717431569996</v>
      </c>
      <c r="U23" s="40">
        <f t="shared" si="73"/>
        <v>0.21288479253263118</v>
      </c>
      <c r="V23" s="39">
        <v>4865</v>
      </c>
      <c r="W23" s="39">
        <v>179239.34386104983</v>
      </c>
      <c r="X23" s="39">
        <v>728</v>
      </c>
      <c r="Y23" s="39">
        <v>33709.070317720012</v>
      </c>
      <c r="Z23" s="40">
        <f t="shared" si="13"/>
        <v>0.18806736061169699</v>
      </c>
      <c r="AA23" s="39">
        <v>728</v>
      </c>
      <c r="AB23" s="39">
        <v>33709.070317720012</v>
      </c>
      <c r="AC23" s="40">
        <f t="shared" si="74"/>
        <v>0.18806736061169699</v>
      </c>
      <c r="AD23" s="39">
        <v>4889</v>
      </c>
      <c r="AE23" s="39">
        <v>182399.73751514885</v>
      </c>
      <c r="AF23" s="39">
        <v>744</v>
      </c>
      <c r="AG23" s="39">
        <v>34535.800332079983</v>
      </c>
      <c r="AH23" s="40">
        <f t="shared" si="75"/>
        <v>0.18934128306632941</v>
      </c>
      <c r="AI23" s="39">
        <v>744</v>
      </c>
      <c r="AJ23" s="39">
        <v>34535.800332079983</v>
      </c>
      <c r="AK23" s="40">
        <f t="shared" si="76"/>
        <v>0.18934128306632941</v>
      </c>
      <c r="AL23" s="39">
        <v>4963</v>
      </c>
      <c r="AM23" s="39">
        <v>185635.98208775025</v>
      </c>
      <c r="AN23" s="39">
        <v>749</v>
      </c>
      <c r="AO23" s="39">
        <v>33456.821989119999</v>
      </c>
      <c r="AP23" s="40">
        <f t="shared" si="77"/>
        <v>0.18022810886579596</v>
      </c>
      <c r="AQ23" s="39">
        <v>749</v>
      </c>
      <c r="AR23" s="39">
        <v>33456.821989119999</v>
      </c>
      <c r="AS23" s="40">
        <f t="shared" si="78"/>
        <v>0.18022810886579596</v>
      </c>
      <c r="AT23" s="39">
        <v>5081</v>
      </c>
      <c r="AU23" s="39">
        <v>187989.40477363978</v>
      </c>
      <c r="AV23" s="39">
        <v>819</v>
      </c>
      <c r="AW23" s="39">
        <v>34097.203716590033</v>
      </c>
      <c r="AX23" s="40">
        <f t="shared" si="79"/>
        <v>0.1813783269203223</v>
      </c>
      <c r="AY23" s="39">
        <v>819</v>
      </c>
      <c r="AZ23" s="39">
        <v>34097.203716590033</v>
      </c>
      <c r="BA23" s="40">
        <f t="shared" si="80"/>
        <v>0.1813783269203223</v>
      </c>
      <c r="BB23" s="41">
        <v>5282</v>
      </c>
      <c r="BC23" s="41">
        <v>185066.21332578949</v>
      </c>
      <c r="BD23" s="41">
        <v>798</v>
      </c>
      <c r="BE23" s="41">
        <v>34251.262373940015</v>
      </c>
      <c r="BF23" s="40">
        <f t="shared" si="81"/>
        <v>0.18507571835191922</v>
      </c>
      <c r="BG23" s="39">
        <v>798</v>
      </c>
      <c r="BH23" s="39">
        <v>34251.262373940015</v>
      </c>
      <c r="BI23" s="40">
        <f t="shared" si="82"/>
        <v>0.18507571835191922</v>
      </c>
      <c r="BJ23" s="39">
        <v>5570</v>
      </c>
      <c r="BK23" s="39">
        <v>185451.15014821957</v>
      </c>
      <c r="BL23" s="39">
        <v>767</v>
      </c>
      <c r="BM23" s="39">
        <v>33870.399004690036</v>
      </c>
      <c r="BN23" s="40">
        <f t="shared" si="83"/>
        <v>0.18263784817521775</v>
      </c>
      <c r="BO23" s="4">
        <v>767</v>
      </c>
      <c r="BP23" s="4">
        <v>33870.399004690036</v>
      </c>
      <c r="BQ23" s="40">
        <f t="shared" si="84"/>
        <v>0.18263784817521775</v>
      </c>
      <c r="BR23" s="39">
        <v>5723</v>
      </c>
      <c r="BS23" s="39">
        <v>193803.20798869009</v>
      </c>
      <c r="BT23" s="39">
        <v>919</v>
      </c>
      <c r="BU23" s="39">
        <v>26261.55021690001</v>
      </c>
      <c r="BV23" s="40">
        <f t="shared" si="85"/>
        <v>0.13550627200367382</v>
      </c>
      <c r="BW23" s="4">
        <v>919</v>
      </c>
      <c r="BX23" s="4">
        <v>26261.55021690001</v>
      </c>
      <c r="BY23" s="40">
        <f t="shared" si="86"/>
        <v>0.13550627200367382</v>
      </c>
      <c r="BZ23" s="39">
        <v>5838</v>
      </c>
      <c r="CA23" s="39">
        <v>237029.88278278988</v>
      </c>
      <c r="CB23" s="39">
        <v>824</v>
      </c>
      <c r="CC23" s="39">
        <v>23905.831734260002</v>
      </c>
      <c r="CD23" s="40">
        <f t="shared" si="87"/>
        <v>0.10085577165882875</v>
      </c>
      <c r="CE23" s="4">
        <v>824</v>
      </c>
      <c r="CF23" s="4">
        <v>23905.831734260002</v>
      </c>
      <c r="CG23" s="40">
        <f t="shared" si="88"/>
        <v>0.10085577165882875</v>
      </c>
      <c r="CH23" s="39">
        <v>6297</v>
      </c>
      <c r="CI23" s="39">
        <v>255951.8253599903</v>
      </c>
      <c r="CJ23" s="39">
        <v>878</v>
      </c>
      <c r="CK23" s="39">
        <v>25093.714419029991</v>
      </c>
      <c r="CL23" s="40">
        <f t="shared" si="89"/>
        <v>9.8040771476180191E-2</v>
      </c>
      <c r="CM23" s="4">
        <v>878</v>
      </c>
      <c r="CN23" s="4">
        <v>25093.714419029991</v>
      </c>
      <c r="CO23" s="40">
        <f t="shared" si="90"/>
        <v>9.8040771476180191E-2</v>
      </c>
      <c r="CP23" s="39">
        <v>6687</v>
      </c>
      <c r="CQ23" s="39">
        <v>268939.13785672979</v>
      </c>
      <c r="CR23" s="39">
        <v>811</v>
      </c>
      <c r="CS23" s="39">
        <v>23779.578477610004</v>
      </c>
      <c r="CT23" s="40">
        <f t="shared" si="91"/>
        <v>8.8419925292829438E-2</v>
      </c>
      <c r="CU23" s="4">
        <v>811</v>
      </c>
      <c r="CV23" s="4">
        <v>23779.578477610004</v>
      </c>
      <c r="CW23" s="40">
        <f t="shared" si="92"/>
        <v>8.8419925292829438E-2</v>
      </c>
      <c r="CX23" s="42">
        <v>0</v>
      </c>
      <c r="CY23" s="42">
        <v>0</v>
      </c>
    </row>
    <row r="24" spans="1:103" s="29" customFormat="1" ht="35.1" customHeight="1" x14ac:dyDescent="0.25">
      <c r="A24" s="38">
        <f t="shared" si="93"/>
        <v>18</v>
      </c>
      <c r="B24" s="45" t="s">
        <v>2058</v>
      </c>
      <c r="C24" s="45" t="s">
        <v>2061</v>
      </c>
      <c r="D24" s="64" t="s">
        <v>21</v>
      </c>
      <c r="E24" s="45" t="s">
        <v>2062</v>
      </c>
      <c r="F24" s="39">
        <v>3172</v>
      </c>
      <c r="G24" s="39">
        <v>715248.05617263238</v>
      </c>
      <c r="H24" s="39">
        <v>97</v>
      </c>
      <c r="I24" s="39">
        <v>470206.55385519005</v>
      </c>
      <c r="J24" s="40">
        <f t="shared" si="70"/>
        <v>0.65740346974351083</v>
      </c>
      <c r="K24" s="39">
        <v>88</v>
      </c>
      <c r="L24" s="39">
        <v>23954.356502899995</v>
      </c>
      <c r="M24" s="40">
        <f t="shared" si="71"/>
        <v>8.9051023342700208E-2</v>
      </c>
      <c r="N24" s="39">
        <v>3212</v>
      </c>
      <c r="O24" s="39">
        <v>714217.58765687211</v>
      </c>
      <c r="P24" s="39">
        <v>102</v>
      </c>
      <c r="Q24" s="39">
        <v>470283.42110856005</v>
      </c>
      <c r="R24" s="40">
        <f t="shared" si="72"/>
        <v>0.6584595916370739</v>
      </c>
      <c r="S24" s="39">
        <v>93</v>
      </c>
      <c r="T24" s="39">
        <v>23946.157116779996</v>
      </c>
      <c r="U24" s="40">
        <f t="shared" si="73"/>
        <v>8.9391250500047315E-2</v>
      </c>
      <c r="V24" s="39">
        <v>3261</v>
      </c>
      <c r="W24" s="39">
        <v>716447.03154916805</v>
      </c>
      <c r="X24" s="39">
        <v>124</v>
      </c>
      <c r="Y24" s="39">
        <v>470244.75512032001</v>
      </c>
      <c r="Z24" s="40">
        <f t="shared" si="13"/>
        <v>0.65635662430412101</v>
      </c>
      <c r="AA24" s="39">
        <v>115</v>
      </c>
      <c r="AB24" s="39">
        <v>24092.947114539998</v>
      </c>
      <c r="AC24" s="40">
        <f t="shared" si="74"/>
        <v>8.9135674684508726E-2</v>
      </c>
      <c r="AD24" s="39">
        <v>3382</v>
      </c>
      <c r="AE24" s="39">
        <v>722643.96077970997</v>
      </c>
      <c r="AF24" s="39">
        <v>129</v>
      </c>
      <c r="AG24" s="39">
        <v>470009.14406296005</v>
      </c>
      <c r="AH24" s="40">
        <f t="shared" si="75"/>
        <v>0.65040209227768964</v>
      </c>
      <c r="AI24" s="39">
        <v>120</v>
      </c>
      <c r="AJ24" s="39">
        <v>23773.922779699995</v>
      </c>
      <c r="AK24" s="40">
        <f t="shared" si="76"/>
        <v>8.6010025670716306E-2</v>
      </c>
      <c r="AL24" s="39">
        <v>3436</v>
      </c>
      <c r="AM24" s="39">
        <v>729963.12592632836</v>
      </c>
      <c r="AN24" s="39">
        <v>133</v>
      </c>
      <c r="AO24" s="39">
        <v>469778.55658763996</v>
      </c>
      <c r="AP24" s="40">
        <f t="shared" si="77"/>
        <v>0.64356477731870043</v>
      </c>
      <c r="AQ24" s="39">
        <v>124</v>
      </c>
      <c r="AR24" s="39">
        <v>23496.831587149987</v>
      </c>
      <c r="AS24" s="40">
        <f t="shared" si="78"/>
        <v>8.2828241507777456E-2</v>
      </c>
      <c r="AT24" s="39">
        <v>3571</v>
      </c>
      <c r="AU24" s="39">
        <v>738035.80770529993</v>
      </c>
      <c r="AV24" s="39">
        <v>169</v>
      </c>
      <c r="AW24" s="39">
        <v>469575.09608044999</v>
      </c>
      <c r="AX24" s="40">
        <f t="shared" si="79"/>
        <v>0.63624974720461369</v>
      </c>
      <c r="AY24" s="39">
        <v>160</v>
      </c>
      <c r="AZ24" s="39">
        <v>23677.370227269999</v>
      </c>
      <c r="BA24" s="40">
        <f t="shared" si="80"/>
        <v>8.1048557850309511E-2</v>
      </c>
      <c r="BB24" s="41">
        <v>3662</v>
      </c>
      <c r="BC24" s="41">
        <v>744590.11767292977</v>
      </c>
      <c r="BD24" s="41">
        <v>160</v>
      </c>
      <c r="BE24" s="41">
        <v>466878.10522646003</v>
      </c>
      <c r="BF24" s="40">
        <f t="shared" si="81"/>
        <v>0.62702699665904227</v>
      </c>
      <c r="BG24" s="39">
        <v>151</v>
      </c>
      <c r="BH24" s="39">
        <v>21246.151493860012</v>
      </c>
      <c r="BI24" s="40">
        <f t="shared" si="82"/>
        <v>7.1067306588424917E-2</v>
      </c>
      <c r="BJ24" s="39">
        <v>3899</v>
      </c>
      <c r="BK24" s="39">
        <v>740079.36766365007</v>
      </c>
      <c r="BL24" s="39">
        <v>155</v>
      </c>
      <c r="BM24" s="39">
        <v>466697.38906602998</v>
      </c>
      <c r="BN24" s="40">
        <f t="shared" si="83"/>
        <v>0.63060451278265306</v>
      </c>
      <c r="BO24" s="4">
        <v>146</v>
      </c>
      <c r="BP24" s="4">
        <v>21211.117484160011</v>
      </c>
      <c r="BQ24" s="40">
        <f t="shared" si="84"/>
        <v>7.2001407250466345E-2</v>
      </c>
      <c r="BR24" s="39">
        <v>3939</v>
      </c>
      <c r="BS24" s="39">
        <v>726406.06647854054</v>
      </c>
      <c r="BT24" s="39">
        <v>211</v>
      </c>
      <c r="BU24" s="39">
        <v>461446.92069048004</v>
      </c>
      <c r="BV24" s="40">
        <f t="shared" si="85"/>
        <v>0.63524651291456702</v>
      </c>
      <c r="BW24" s="4">
        <v>202</v>
      </c>
      <c r="BX24" s="4">
        <v>16214.917555520005</v>
      </c>
      <c r="BY24" s="40">
        <f t="shared" si="86"/>
        <v>5.7668610549281692E-2</v>
      </c>
      <c r="BZ24" s="39">
        <v>4169</v>
      </c>
      <c r="CA24" s="39">
        <v>723657.27819659957</v>
      </c>
      <c r="CB24" s="39">
        <v>194</v>
      </c>
      <c r="CC24" s="39">
        <v>463338.65356670006</v>
      </c>
      <c r="CD24" s="40">
        <f t="shared" si="87"/>
        <v>0.6402736039929976</v>
      </c>
      <c r="CE24" s="4">
        <v>185</v>
      </c>
      <c r="CF24" s="4">
        <v>19072.167268960013</v>
      </c>
      <c r="CG24" s="40">
        <f t="shared" si="88"/>
        <v>6.8263406747722036E-2</v>
      </c>
      <c r="CH24" s="39">
        <v>4311</v>
      </c>
      <c r="CI24" s="39">
        <v>716746.71687574824</v>
      </c>
      <c r="CJ24" s="39">
        <v>219</v>
      </c>
      <c r="CK24" s="39">
        <v>470704.72547985998</v>
      </c>
      <c r="CL24" s="40">
        <f t="shared" si="89"/>
        <v>0.65672393663919504</v>
      </c>
      <c r="CM24" s="4">
        <v>210</v>
      </c>
      <c r="CN24" s="4">
        <v>26537.301181680003</v>
      </c>
      <c r="CO24" s="40">
        <f t="shared" si="90"/>
        <v>9.7356262578633876E-2</v>
      </c>
      <c r="CP24" s="39">
        <v>4415</v>
      </c>
      <c r="CQ24" s="39">
        <v>709524.65428024251</v>
      </c>
      <c r="CR24" s="39">
        <v>187</v>
      </c>
      <c r="CS24" s="39">
        <v>467282.87425630004</v>
      </c>
      <c r="CT24" s="40">
        <f t="shared" si="91"/>
        <v>0.65858581719097853</v>
      </c>
      <c r="CU24" s="4">
        <v>178</v>
      </c>
      <c r="CV24" s="4">
        <v>23401.691166050012</v>
      </c>
      <c r="CW24" s="40">
        <f t="shared" si="92"/>
        <v>8.8094358431691874E-2</v>
      </c>
      <c r="CX24" s="42">
        <v>0</v>
      </c>
      <c r="CY24" s="42">
        <v>0</v>
      </c>
    </row>
    <row r="25" spans="1:103" s="29" customFormat="1" ht="35.1" customHeight="1" x14ac:dyDescent="0.25">
      <c r="A25" s="38">
        <f t="shared" si="93"/>
        <v>19</v>
      </c>
      <c r="B25" s="45" t="s">
        <v>2058</v>
      </c>
      <c r="C25" s="45" t="s">
        <v>2063</v>
      </c>
      <c r="D25" s="64" t="s">
        <v>14</v>
      </c>
      <c r="E25" s="45" t="s">
        <v>2064</v>
      </c>
      <c r="F25" s="39">
        <v>5504</v>
      </c>
      <c r="G25" s="39">
        <v>195790.90844385981</v>
      </c>
      <c r="H25" s="39">
        <v>124</v>
      </c>
      <c r="I25" s="39">
        <v>4094.6373115199972</v>
      </c>
      <c r="J25" s="40">
        <f t="shared" si="70"/>
        <v>2.0913316885161064E-2</v>
      </c>
      <c r="K25" s="39">
        <v>124</v>
      </c>
      <c r="L25" s="39">
        <v>4094.6373115199972</v>
      </c>
      <c r="M25" s="40">
        <f t="shared" si="71"/>
        <v>2.0913316885161064E-2</v>
      </c>
      <c r="N25" s="39">
        <v>5551</v>
      </c>
      <c r="O25" s="39">
        <v>187961.79644853994</v>
      </c>
      <c r="P25" s="39">
        <v>126</v>
      </c>
      <c r="Q25" s="39">
        <v>4073.7106987099969</v>
      </c>
      <c r="R25" s="40">
        <f t="shared" si="72"/>
        <v>2.1673078123752104E-2</v>
      </c>
      <c r="S25" s="39">
        <v>126</v>
      </c>
      <c r="T25" s="39">
        <v>4073.7106987099969</v>
      </c>
      <c r="U25" s="40">
        <f t="shared" si="73"/>
        <v>2.1673078123752104E-2</v>
      </c>
      <c r="V25" s="39">
        <v>5558</v>
      </c>
      <c r="W25" s="39">
        <v>183949.88374080957</v>
      </c>
      <c r="X25" s="39">
        <v>125</v>
      </c>
      <c r="Y25" s="39">
        <v>3979.438060109997</v>
      </c>
      <c r="Z25" s="40">
        <f t="shared" si="13"/>
        <v>2.1633273037112294E-2</v>
      </c>
      <c r="AA25" s="39">
        <v>125</v>
      </c>
      <c r="AB25" s="39">
        <v>3979.438060109997</v>
      </c>
      <c r="AC25" s="40">
        <f t="shared" si="74"/>
        <v>2.1633273037112294E-2</v>
      </c>
      <c r="AD25" s="39">
        <v>5712</v>
      </c>
      <c r="AE25" s="39">
        <v>203187.48968866019</v>
      </c>
      <c r="AF25" s="39">
        <v>133</v>
      </c>
      <c r="AG25" s="39">
        <v>4030.7388920499984</v>
      </c>
      <c r="AH25" s="40">
        <f t="shared" si="75"/>
        <v>1.9837534772569967E-2</v>
      </c>
      <c r="AI25" s="39">
        <v>133</v>
      </c>
      <c r="AJ25" s="39">
        <v>4030.7388920499984</v>
      </c>
      <c r="AK25" s="40">
        <f t="shared" si="76"/>
        <v>1.9837534772569967E-2</v>
      </c>
      <c r="AL25" s="39">
        <v>5924</v>
      </c>
      <c r="AM25" s="39">
        <v>229427.18179634036</v>
      </c>
      <c r="AN25" s="39">
        <v>152</v>
      </c>
      <c r="AO25" s="39">
        <v>4122.8052598999966</v>
      </c>
      <c r="AP25" s="40">
        <f t="shared" si="77"/>
        <v>1.7969994782744442E-2</v>
      </c>
      <c r="AQ25" s="39">
        <v>152</v>
      </c>
      <c r="AR25" s="39">
        <v>4122.8052598999966</v>
      </c>
      <c r="AS25" s="40">
        <f t="shared" si="78"/>
        <v>1.7969994782744442E-2</v>
      </c>
      <c r="AT25" s="39">
        <v>6087</v>
      </c>
      <c r="AU25" s="39">
        <v>253514.09410585018</v>
      </c>
      <c r="AV25" s="39">
        <v>189</v>
      </c>
      <c r="AW25" s="39">
        <v>4309.108826149999</v>
      </c>
      <c r="AX25" s="40">
        <f t="shared" si="79"/>
        <v>1.6997511879362451E-2</v>
      </c>
      <c r="AY25" s="39">
        <v>189</v>
      </c>
      <c r="AZ25" s="39">
        <v>4309.108826149999</v>
      </c>
      <c r="BA25" s="40">
        <f t="shared" si="80"/>
        <v>1.6997511879362451E-2</v>
      </c>
      <c r="BB25" s="41">
        <v>6167</v>
      </c>
      <c r="BC25" s="41">
        <v>267978.05013956019</v>
      </c>
      <c r="BD25" s="41">
        <v>195</v>
      </c>
      <c r="BE25" s="41">
        <v>3456.2521015599978</v>
      </c>
      <c r="BF25" s="40">
        <f t="shared" si="81"/>
        <v>1.2897519404145293E-2</v>
      </c>
      <c r="BG25" s="39">
        <v>195</v>
      </c>
      <c r="BH25" s="39">
        <v>3456.2521015599978</v>
      </c>
      <c r="BI25" s="40">
        <f t="shared" si="82"/>
        <v>1.2897519404145293E-2</v>
      </c>
      <c r="BJ25" s="39">
        <v>6364</v>
      </c>
      <c r="BK25" s="39">
        <v>259473.65082816005</v>
      </c>
      <c r="BL25" s="39">
        <v>190</v>
      </c>
      <c r="BM25" s="39">
        <v>3432.3602906899973</v>
      </c>
      <c r="BN25" s="40">
        <f t="shared" si="83"/>
        <v>1.3228165093969886E-2</v>
      </c>
      <c r="BO25" s="4">
        <v>190</v>
      </c>
      <c r="BP25" s="4">
        <v>3432.3602906899973</v>
      </c>
      <c r="BQ25" s="40">
        <f t="shared" si="84"/>
        <v>1.3228165093969886E-2</v>
      </c>
      <c r="BR25" s="39">
        <v>6337</v>
      </c>
      <c r="BS25" s="39">
        <v>253389.6666888996</v>
      </c>
      <c r="BT25" s="39">
        <v>192</v>
      </c>
      <c r="BU25" s="39">
        <v>3065.0035734899989</v>
      </c>
      <c r="BV25" s="40">
        <f t="shared" si="85"/>
        <v>1.2096008545025129E-2</v>
      </c>
      <c r="BW25" s="4">
        <v>192</v>
      </c>
      <c r="BX25" s="4">
        <v>3065.0035734899989</v>
      </c>
      <c r="BY25" s="40">
        <f t="shared" si="86"/>
        <v>1.2096008545025129E-2</v>
      </c>
      <c r="BZ25" s="39">
        <v>6545</v>
      </c>
      <c r="CA25" s="39">
        <v>246008.20635035998</v>
      </c>
      <c r="CB25" s="39">
        <v>166</v>
      </c>
      <c r="CC25" s="39">
        <v>4152.3042600900008</v>
      </c>
      <c r="CD25" s="40">
        <f t="shared" si="87"/>
        <v>1.6878722550321641E-2</v>
      </c>
      <c r="CE25" s="4">
        <v>166</v>
      </c>
      <c r="CF25" s="4">
        <v>4152.3042600900008</v>
      </c>
      <c r="CG25" s="40">
        <f t="shared" si="88"/>
        <v>1.6878722550321641E-2</v>
      </c>
      <c r="CH25" s="39">
        <v>6694</v>
      </c>
      <c r="CI25" s="39">
        <v>224656.47070426072</v>
      </c>
      <c r="CJ25" s="39">
        <v>169</v>
      </c>
      <c r="CK25" s="39">
        <v>7343.0420707800076</v>
      </c>
      <c r="CL25" s="40">
        <f t="shared" si="89"/>
        <v>3.2685646880149015E-2</v>
      </c>
      <c r="CM25" s="4">
        <v>169</v>
      </c>
      <c r="CN25" s="4">
        <v>7343.0420707800076</v>
      </c>
      <c r="CO25" s="40">
        <f t="shared" si="90"/>
        <v>3.2685646880149015E-2</v>
      </c>
      <c r="CP25" s="39">
        <v>6852</v>
      </c>
      <c r="CQ25" s="39">
        <v>233729.72841591059</v>
      </c>
      <c r="CR25" s="39">
        <v>159</v>
      </c>
      <c r="CS25" s="39">
        <v>7146.4920657900066</v>
      </c>
      <c r="CT25" s="40">
        <f t="shared" si="91"/>
        <v>3.0575879731795069E-2</v>
      </c>
      <c r="CU25" s="4">
        <v>159</v>
      </c>
      <c r="CV25" s="4">
        <v>7146.4920657900066</v>
      </c>
      <c r="CW25" s="40">
        <f t="shared" si="92"/>
        <v>3.0575879731795069E-2</v>
      </c>
      <c r="CX25" s="42">
        <v>0</v>
      </c>
      <c r="CY25" s="42">
        <v>0</v>
      </c>
    </row>
    <row r="26" spans="1:103" s="29" customFormat="1" ht="35.1" customHeight="1" x14ac:dyDescent="0.25">
      <c r="A26" s="38">
        <f t="shared" si="93"/>
        <v>20</v>
      </c>
      <c r="B26" s="45" t="s">
        <v>2058</v>
      </c>
      <c r="C26" s="45" t="s">
        <v>2065</v>
      </c>
      <c r="D26" s="64" t="s">
        <v>22</v>
      </c>
      <c r="E26" s="45" t="s">
        <v>2066</v>
      </c>
      <c r="F26" s="39">
        <v>9160</v>
      </c>
      <c r="G26" s="39">
        <v>349971.95814484032</v>
      </c>
      <c r="H26" s="39">
        <v>345</v>
      </c>
      <c r="I26" s="39">
        <v>6157.9388900799959</v>
      </c>
      <c r="J26" s="40">
        <f t="shared" si="70"/>
        <v>1.7595520860364061E-2</v>
      </c>
      <c r="K26" s="39">
        <v>345</v>
      </c>
      <c r="L26" s="39">
        <v>6157.9388900799959</v>
      </c>
      <c r="M26" s="40">
        <f t="shared" si="71"/>
        <v>1.7595520860364061E-2</v>
      </c>
      <c r="N26" s="39">
        <v>9168</v>
      </c>
      <c r="O26" s="39">
        <v>351846.5457290698</v>
      </c>
      <c r="P26" s="39">
        <v>378</v>
      </c>
      <c r="Q26" s="39">
        <v>6274.8445193399994</v>
      </c>
      <c r="R26" s="40">
        <f t="shared" si="72"/>
        <v>1.7834037581178297E-2</v>
      </c>
      <c r="S26" s="39">
        <v>378</v>
      </c>
      <c r="T26" s="39">
        <v>6274.8445193399994</v>
      </c>
      <c r="U26" s="40">
        <f t="shared" si="73"/>
        <v>1.7834037581178297E-2</v>
      </c>
      <c r="V26" s="39">
        <v>9146</v>
      </c>
      <c r="W26" s="39">
        <v>334848.01070787857</v>
      </c>
      <c r="X26" s="39">
        <v>405</v>
      </c>
      <c r="Y26" s="39">
        <v>6668.1911370199996</v>
      </c>
      <c r="Z26" s="40">
        <f t="shared" si="13"/>
        <v>1.9914083177389189E-2</v>
      </c>
      <c r="AA26" s="39">
        <v>405</v>
      </c>
      <c r="AB26" s="39">
        <v>6668.1911370199996</v>
      </c>
      <c r="AC26" s="40">
        <f t="shared" si="74"/>
        <v>1.9914083177389189E-2</v>
      </c>
      <c r="AD26" s="39">
        <v>9315</v>
      </c>
      <c r="AE26" s="39">
        <v>339767.70621855563</v>
      </c>
      <c r="AF26" s="39">
        <v>418</v>
      </c>
      <c r="AG26" s="39">
        <v>6875.4865171500014</v>
      </c>
      <c r="AH26" s="40">
        <f t="shared" si="75"/>
        <v>2.0235844641242461E-2</v>
      </c>
      <c r="AI26" s="39">
        <v>418</v>
      </c>
      <c r="AJ26" s="39">
        <v>6875.4865171500014</v>
      </c>
      <c r="AK26" s="40">
        <f t="shared" si="76"/>
        <v>2.0235844641242461E-2</v>
      </c>
      <c r="AL26" s="39">
        <v>9439</v>
      </c>
      <c r="AM26" s="39">
        <v>343349.21983189986</v>
      </c>
      <c r="AN26" s="39">
        <v>418</v>
      </c>
      <c r="AO26" s="39">
        <v>6560.154066009999</v>
      </c>
      <c r="AP26" s="40">
        <f t="shared" si="77"/>
        <v>1.9106360775253198E-2</v>
      </c>
      <c r="AQ26" s="39">
        <v>418</v>
      </c>
      <c r="AR26" s="39">
        <v>6560.154066009999</v>
      </c>
      <c r="AS26" s="40">
        <f t="shared" si="78"/>
        <v>1.9106360775253198E-2</v>
      </c>
      <c r="AT26" s="39">
        <v>9565</v>
      </c>
      <c r="AU26" s="39">
        <v>345801.54954781849</v>
      </c>
      <c r="AV26" s="39">
        <v>605</v>
      </c>
      <c r="AW26" s="39">
        <v>8162.8553313099965</v>
      </c>
      <c r="AX26" s="40">
        <f t="shared" si="79"/>
        <v>2.3605606574013376E-2</v>
      </c>
      <c r="AY26" s="39">
        <v>605</v>
      </c>
      <c r="AZ26" s="39">
        <v>8162.8553313099965</v>
      </c>
      <c r="BA26" s="40">
        <f t="shared" si="80"/>
        <v>2.3605606574013376E-2</v>
      </c>
      <c r="BB26" s="41">
        <v>9520</v>
      </c>
      <c r="BC26" s="41">
        <v>332163.68543287908</v>
      </c>
      <c r="BD26" s="41">
        <v>484</v>
      </c>
      <c r="BE26" s="41">
        <v>7493.9273670899947</v>
      </c>
      <c r="BF26" s="40">
        <f t="shared" si="81"/>
        <v>2.2560947194826046E-2</v>
      </c>
      <c r="BG26" s="39">
        <v>484</v>
      </c>
      <c r="BH26" s="39">
        <v>7493.9273670899947</v>
      </c>
      <c r="BI26" s="40">
        <f t="shared" si="82"/>
        <v>2.2560947194826046E-2</v>
      </c>
      <c r="BJ26" s="39">
        <v>9649</v>
      </c>
      <c r="BK26" s="39">
        <v>325588.66145692969</v>
      </c>
      <c r="BL26" s="39">
        <v>457</v>
      </c>
      <c r="BM26" s="39">
        <v>7236.6711358599996</v>
      </c>
      <c r="BN26" s="40">
        <f t="shared" si="83"/>
        <v>2.222642245426381E-2</v>
      </c>
      <c r="BO26" s="4">
        <v>457</v>
      </c>
      <c r="BP26" s="4">
        <v>7236.6711358599996</v>
      </c>
      <c r="BQ26" s="40">
        <f t="shared" si="84"/>
        <v>2.222642245426381E-2</v>
      </c>
      <c r="BR26" s="39">
        <v>9701</v>
      </c>
      <c r="BS26" s="39">
        <v>325606.32208411902</v>
      </c>
      <c r="BT26" s="39">
        <v>681</v>
      </c>
      <c r="BU26" s="39">
        <v>8286.7403717999969</v>
      </c>
      <c r="BV26" s="40">
        <f t="shared" si="85"/>
        <v>2.5450182658490129E-2</v>
      </c>
      <c r="BW26" s="4">
        <v>681</v>
      </c>
      <c r="BX26" s="4">
        <v>8286.7403717999969</v>
      </c>
      <c r="BY26" s="40">
        <f t="shared" si="86"/>
        <v>2.5450182658490129E-2</v>
      </c>
      <c r="BZ26" s="39">
        <v>9844</v>
      </c>
      <c r="CA26" s="39">
        <v>372657.93414832791</v>
      </c>
      <c r="CB26" s="39">
        <v>603</v>
      </c>
      <c r="CC26" s="39">
        <v>12389.059661330008</v>
      </c>
      <c r="CD26" s="40">
        <f t="shared" si="87"/>
        <v>3.3245125156516397E-2</v>
      </c>
      <c r="CE26" s="4">
        <v>603</v>
      </c>
      <c r="CF26" s="4">
        <v>12389.059661330008</v>
      </c>
      <c r="CG26" s="40">
        <f t="shared" si="88"/>
        <v>3.3245125156516397E-2</v>
      </c>
      <c r="CH26" s="39">
        <v>9969</v>
      </c>
      <c r="CI26" s="39">
        <v>422348.89408911817</v>
      </c>
      <c r="CJ26" s="39">
        <v>581</v>
      </c>
      <c r="CK26" s="39">
        <v>15174.674186130003</v>
      </c>
      <c r="CL26" s="40">
        <f t="shared" si="89"/>
        <v>3.5929238595160271E-2</v>
      </c>
      <c r="CM26" s="4">
        <v>581</v>
      </c>
      <c r="CN26" s="4">
        <v>15174.674186130003</v>
      </c>
      <c r="CO26" s="40">
        <f t="shared" si="90"/>
        <v>3.5929238595160271E-2</v>
      </c>
      <c r="CP26" s="39">
        <v>10085</v>
      </c>
      <c r="CQ26" s="39">
        <v>426576.21589540894</v>
      </c>
      <c r="CR26" s="39">
        <v>486</v>
      </c>
      <c r="CS26" s="39">
        <v>10379.825160559991</v>
      </c>
      <c r="CT26" s="40">
        <f t="shared" si="91"/>
        <v>2.4332873643159215E-2</v>
      </c>
      <c r="CU26" s="4">
        <v>486</v>
      </c>
      <c r="CV26" s="4">
        <v>10379.825160559991</v>
      </c>
      <c r="CW26" s="40">
        <f t="shared" si="92"/>
        <v>2.4332873643159215E-2</v>
      </c>
      <c r="CX26" s="42">
        <v>0</v>
      </c>
      <c r="CY26" s="42">
        <v>0</v>
      </c>
    </row>
    <row r="27" spans="1:103" s="29" customFormat="1" ht="35.1" customHeight="1" x14ac:dyDescent="0.25">
      <c r="A27" s="38">
        <f t="shared" si="93"/>
        <v>21</v>
      </c>
      <c r="B27" s="45" t="s">
        <v>2058</v>
      </c>
      <c r="C27" s="45" t="s">
        <v>2067</v>
      </c>
      <c r="D27" s="64" t="s">
        <v>15</v>
      </c>
      <c r="E27" s="45" t="s">
        <v>2068</v>
      </c>
      <c r="F27" s="39">
        <v>3356</v>
      </c>
      <c r="G27" s="39">
        <v>308564.26991892984</v>
      </c>
      <c r="H27" s="39">
        <v>146</v>
      </c>
      <c r="I27" s="39">
        <v>3794.5861294999991</v>
      </c>
      <c r="J27" s="40">
        <f t="shared" si="70"/>
        <v>1.2297555159244342E-2</v>
      </c>
      <c r="K27" s="39">
        <v>146</v>
      </c>
      <c r="L27" s="39">
        <v>3794.5861294999991</v>
      </c>
      <c r="M27" s="40">
        <f t="shared" si="71"/>
        <v>1.2297555159244342E-2</v>
      </c>
      <c r="N27" s="39">
        <v>3339</v>
      </c>
      <c r="O27" s="39">
        <v>296653.34233478957</v>
      </c>
      <c r="P27" s="39">
        <v>152</v>
      </c>
      <c r="Q27" s="39">
        <v>3487.0119806599987</v>
      </c>
      <c r="R27" s="40">
        <f t="shared" si="72"/>
        <v>1.1754500904037395E-2</v>
      </c>
      <c r="S27" s="39">
        <v>152</v>
      </c>
      <c r="T27" s="39">
        <v>3487.0119806599987</v>
      </c>
      <c r="U27" s="40">
        <f t="shared" si="73"/>
        <v>1.1754500904037395E-2</v>
      </c>
      <c r="V27" s="39">
        <v>3341</v>
      </c>
      <c r="W27" s="39">
        <v>293988.20529173978</v>
      </c>
      <c r="X27" s="39">
        <v>158</v>
      </c>
      <c r="Y27" s="39">
        <v>3584.0324460799993</v>
      </c>
      <c r="Z27" s="40">
        <f t="shared" si="13"/>
        <v>1.2191075633539031E-2</v>
      </c>
      <c r="AA27" s="39">
        <v>158</v>
      </c>
      <c r="AB27" s="39">
        <v>3584.0324460799993</v>
      </c>
      <c r="AC27" s="40">
        <f t="shared" si="74"/>
        <v>1.2191075633539031E-2</v>
      </c>
      <c r="AD27" s="39">
        <v>3455</v>
      </c>
      <c r="AE27" s="39">
        <v>299778.21826902847</v>
      </c>
      <c r="AF27" s="39">
        <v>175</v>
      </c>
      <c r="AG27" s="39">
        <v>3691.0070525699985</v>
      </c>
      <c r="AH27" s="40">
        <f t="shared" si="75"/>
        <v>1.2312459103541661E-2</v>
      </c>
      <c r="AI27" s="39">
        <v>175</v>
      </c>
      <c r="AJ27" s="39">
        <v>3691.0070525699985</v>
      </c>
      <c r="AK27" s="40">
        <f t="shared" si="76"/>
        <v>1.2312459103541661E-2</v>
      </c>
      <c r="AL27" s="39">
        <v>3579</v>
      </c>
      <c r="AM27" s="39">
        <v>319910.27683774981</v>
      </c>
      <c r="AN27" s="39">
        <v>189</v>
      </c>
      <c r="AO27" s="39">
        <v>3639.6727953399991</v>
      </c>
      <c r="AP27" s="40">
        <f t="shared" si="77"/>
        <v>1.1377167471196764E-2</v>
      </c>
      <c r="AQ27" s="39">
        <v>189</v>
      </c>
      <c r="AR27" s="39">
        <v>3639.6727953399991</v>
      </c>
      <c r="AS27" s="40">
        <f t="shared" si="78"/>
        <v>1.1377167471196764E-2</v>
      </c>
      <c r="AT27" s="39">
        <v>3687</v>
      </c>
      <c r="AU27" s="39">
        <v>330319.93801021064</v>
      </c>
      <c r="AV27" s="39">
        <v>224</v>
      </c>
      <c r="AW27" s="39">
        <v>4103.2218634999999</v>
      </c>
      <c r="AX27" s="40">
        <f t="shared" si="79"/>
        <v>1.2421962441071794E-2</v>
      </c>
      <c r="AY27" s="39">
        <v>224</v>
      </c>
      <c r="AZ27" s="39">
        <v>4103.2218634999999</v>
      </c>
      <c r="BA27" s="40">
        <f t="shared" si="80"/>
        <v>1.2421962441071794E-2</v>
      </c>
      <c r="BB27" s="41">
        <v>3793</v>
      </c>
      <c r="BC27" s="41">
        <v>341702.71304509003</v>
      </c>
      <c r="BD27" s="41">
        <v>196</v>
      </c>
      <c r="BE27" s="41">
        <v>3462.1335975500001</v>
      </c>
      <c r="BF27" s="40">
        <f t="shared" si="81"/>
        <v>1.0132005001356685E-2</v>
      </c>
      <c r="BG27" s="39">
        <v>196</v>
      </c>
      <c r="BH27" s="39">
        <v>3462.1335975500001</v>
      </c>
      <c r="BI27" s="40">
        <f t="shared" si="82"/>
        <v>1.0132005001356685E-2</v>
      </c>
      <c r="BJ27" s="39">
        <v>3929</v>
      </c>
      <c r="BK27" s="39">
        <v>343523.07968800963</v>
      </c>
      <c r="BL27" s="39">
        <v>182</v>
      </c>
      <c r="BM27" s="39">
        <v>3386.0883767999999</v>
      </c>
      <c r="BN27" s="40">
        <f t="shared" si="83"/>
        <v>9.8569457978639231E-3</v>
      </c>
      <c r="BO27" s="4">
        <v>182</v>
      </c>
      <c r="BP27" s="4">
        <v>3386.0883767999999</v>
      </c>
      <c r="BQ27" s="40">
        <f t="shared" si="84"/>
        <v>9.8569457978639231E-3</v>
      </c>
      <c r="BR27" s="39">
        <v>4033</v>
      </c>
      <c r="BS27" s="39">
        <v>342802.90164920018</v>
      </c>
      <c r="BT27" s="39">
        <v>189</v>
      </c>
      <c r="BU27" s="39">
        <v>3382.1332331100002</v>
      </c>
      <c r="BV27" s="40">
        <f t="shared" si="85"/>
        <v>9.8661161175672661E-3</v>
      </c>
      <c r="BW27" s="4">
        <v>189</v>
      </c>
      <c r="BX27" s="4">
        <v>3382.1332331100002</v>
      </c>
      <c r="BY27" s="40">
        <f t="shared" si="86"/>
        <v>9.8661161175672661E-3</v>
      </c>
      <c r="BZ27" s="39">
        <v>4254</v>
      </c>
      <c r="CA27" s="39">
        <v>337695.44141861034</v>
      </c>
      <c r="CB27" s="39">
        <v>163</v>
      </c>
      <c r="CC27" s="39">
        <v>3943.9842370099996</v>
      </c>
      <c r="CD27" s="40">
        <f t="shared" si="87"/>
        <v>1.1679116011877107E-2</v>
      </c>
      <c r="CE27" s="4">
        <v>163</v>
      </c>
      <c r="CF27" s="4">
        <v>3943.9842370099996</v>
      </c>
      <c r="CG27" s="40">
        <f t="shared" si="88"/>
        <v>1.1679116011877107E-2</v>
      </c>
      <c r="CH27" s="39">
        <v>4547</v>
      </c>
      <c r="CI27" s="39">
        <v>338465.61687441828</v>
      </c>
      <c r="CJ27" s="39">
        <v>170</v>
      </c>
      <c r="CK27" s="39">
        <v>4364.0682158000018</v>
      </c>
      <c r="CL27" s="40">
        <f t="shared" si="89"/>
        <v>1.289368254329719E-2</v>
      </c>
      <c r="CM27" s="4">
        <v>170</v>
      </c>
      <c r="CN27" s="4">
        <v>4364.0682158000018</v>
      </c>
      <c r="CO27" s="40">
        <f t="shared" si="90"/>
        <v>1.289368254329719E-2</v>
      </c>
      <c r="CP27" s="39">
        <v>4737</v>
      </c>
      <c r="CQ27" s="39">
        <v>349993.1770221786</v>
      </c>
      <c r="CR27" s="39">
        <v>143</v>
      </c>
      <c r="CS27" s="39">
        <v>3642.1679428400003</v>
      </c>
      <c r="CT27" s="40">
        <f t="shared" si="91"/>
        <v>1.0406396987016696E-2</v>
      </c>
      <c r="CU27" s="4">
        <v>143</v>
      </c>
      <c r="CV27" s="4">
        <v>3642.1679428400003</v>
      </c>
      <c r="CW27" s="40">
        <f t="shared" si="92"/>
        <v>1.0406396987016696E-2</v>
      </c>
      <c r="CX27" s="42">
        <v>0</v>
      </c>
      <c r="CY27" s="42">
        <v>0</v>
      </c>
    </row>
    <row r="28" spans="1:103" s="29" customFormat="1" ht="35.1" customHeight="1" x14ac:dyDescent="0.25">
      <c r="A28" s="38">
        <f t="shared" si="93"/>
        <v>22</v>
      </c>
      <c r="B28" s="45" t="s">
        <v>2058</v>
      </c>
      <c r="C28" s="45" t="s">
        <v>2069</v>
      </c>
      <c r="D28" s="64" t="s">
        <v>23</v>
      </c>
      <c r="E28" s="45" t="s">
        <v>2070</v>
      </c>
      <c r="F28" s="39">
        <v>3793</v>
      </c>
      <c r="G28" s="39">
        <v>748503.07649183972</v>
      </c>
      <c r="H28" s="39">
        <v>45</v>
      </c>
      <c r="I28" s="39">
        <v>4064.6272320399999</v>
      </c>
      <c r="J28" s="40">
        <f t="shared" si="70"/>
        <v>5.4303413836193004E-3</v>
      </c>
      <c r="K28" s="39">
        <v>44</v>
      </c>
      <c r="L28" s="39">
        <v>822.90587403999996</v>
      </c>
      <c r="M28" s="40">
        <f t="shared" si="71"/>
        <v>1.1041842816232115E-3</v>
      </c>
      <c r="N28" s="39">
        <v>3830</v>
      </c>
      <c r="O28" s="39">
        <v>772358.30951885018</v>
      </c>
      <c r="P28" s="39">
        <v>46</v>
      </c>
      <c r="Q28" s="39">
        <v>4049.3455490399997</v>
      </c>
      <c r="R28" s="40">
        <f t="shared" si="72"/>
        <v>5.2428328913332826E-3</v>
      </c>
      <c r="S28" s="39">
        <v>45</v>
      </c>
      <c r="T28" s="39">
        <v>807.6241910399998</v>
      </c>
      <c r="U28" s="40">
        <f t="shared" si="73"/>
        <v>1.0500673155044425E-3</v>
      </c>
      <c r="V28" s="39">
        <v>3855</v>
      </c>
      <c r="W28" s="39">
        <v>805613.05419241905</v>
      </c>
      <c r="X28" s="39">
        <v>50</v>
      </c>
      <c r="Y28" s="39">
        <v>4076.6530284099999</v>
      </c>
      <c r="Z28" s="40">
        <f t="shared" si="13"/>
        <v>5.0603115319383836E-3</v>
      </c>
      <c r="AA28" s="39">
        <v>49</v>
      </c>
      <c r="AB28" s="39">
        <v>834.93167040999992</v>
      </c>
      <c r="AC28" s="40">
        <f t="shared" si="74"/>
        <v>1.0405801357091856E-3</v>
      </c>
      <c r="AD28" s="39">
        <v>3892</v>
      </c>
      <c r="AE28" s="39">
        <v>833636.78270344925</v>
      </c>
      <c r="AF28" s="39">
        <v>49</v>
      </c>
      <c r="AG28" s="39">
        <v>4068.2515888499997</v>
      </c>
      <c r="AH28" s="40">
        <f t="shared" si="75"/>
        <v>4.8801248616415771E-3</v>
      </c>
      <c r="AI28" s="39">
        <v>48</v>
      </c>
      <c r="AJ28" s="39">
        <v>826.53023084999984</v>
      </c>
      <c r="AK28" s="40">
        <f t="shared" si="76"/>
        <v>9.9534579301424619E-4</v>
      </c>
      <c r="AL28" s="39">
        <v>3923</v>
      </c>
      <c r="AM28" s="39">
        <v>926303.45152623078</v>
      </c>
      <c r="AN28" s="39">
        <v>55</v>
      </c>
      <c r="AO28" s="39">
        <v>4075.7557063099994</v>
      </c>
      <c r="AP28" s="40">
        <f t="shared" si="77"/>
        <v>4.4000221521301149E-3</v>
      </c>
      <c r="AQ28" s="39">
        <v>54</v>
      </c>
      <c r="AR28" s="39">
        <v>834.03434830999981</v>
      </c>
      <c r="AS28" s="40">
        <f t="shared" si="78"/>
        <v>9.0355208221880724E-4</v>
      </c>
      <c r="AT28" s="39">
        <v>4011</v>
      </c>
      <c r="AU28" s="39">
        <v>974841.37161503895</v>
      </c>
      <c r="AV28" s="39">
        <v>59</v>
      </c>
      <c r="AW28" s="39">
        <v>4126.7228282300002</v>
      </c>
      <c r="AX28" s="40">
        <f t="shared" si="79"/>
        <v>4.2332249619168065E-3</v>
      </c>
      <c r="AY28" s="39">
        <v>58</v>
      </c>
      <c r="AZ28" s="39">
        <v>885.00147023</v>
      </c>
      <c r="BA28" s="40">
        <f t="shared" si="80"/>
        <v>9.1087051132209722E-4</v>
      </c>
      <c r="BB28" s="41">
        <v>4075</v>
      </c>
      <c r="BC28" s="41">
        <v>1014755.1692166694</v>
      </c>
      <c r="BD28" s="41">
        <v>62</v>
      </c>
      <c r="BE28" s="41">
        <v>4309.1311140099997</v>
      </c>
      <c r="BF28" s="40">
        <f t="shared" si="81"/>
        <v>4.2464736763414496E-3</v>
      </c>
      <c r="BG28" s="39">
        <v>61</v>
      </c>
      <c r="BH28" s="39">
        <v>1067.4097560099999</v>
      </c>
      <c r="BI28" s="40">
        <f t="shared" si="82"/>
        <v>1.0552600741687227E-3</v>
      </c>
      <c r="BJ28" s="39">
        <v>4263</v>
      </c>
      <c r="BK28" s="39">
        <v>1031586.5291995216</v>
      </c>
      <c r="BL28" s="39">
        <v>61</v>
      </c>
      <c r="BM28" s="39">
        <v>4301.74456216</v>
      </c>
      <c r="BN28" s="40">
        <f t="shared" si="83"/>
        <v>4.1700278555382234E-3</v>
      </c>
      <c r="BO28" s="4">
        <v>60</v>
      </c>
      <c r="BP28" s="4">
        <v>1060.0232041599998</v>
      </c>
      <c r="BQ28" s="40">
        <f t="shared" si="84"/>
        <v>1.0308052280489173E-3</v>
      </c>
      <c r="BR28" s="39">
        <v>4428</v>
      </c>
      <c r="BS28" s="39">
        <v>1060651.8446567676</v>
      </c>
      <c r="BT28" s="39">
        <v>94</v>
      </c>
      <c r="BU28" s="39">
        <v>1397.4010199500001</v>
      </c>
      <c r="BV28" s="40">
        <f t="shared" si="85"/>
        <v>1.3174926598107284E-3</v>
      </c>
      <c r="BW28" s="4">
        <v>94</v>
      </c>
      <c r="BX28" s="4">
        <v>1397.4010199500001</v>
      </c>
      <c r="BY28" s="40">
        <f t="shared" si="86"/>
        <v>1.3174926598107284E-3</v>
      </c>
      <c r="BZ28" s="39">
        <v>4647</v>
      </c>
      <c r="CA28" s="39">
        <v>1073741.9455613687</v>
      </c>
      <c r="CB28" s="39">
        <v>95</v>
      </c>
      <c r="CC28" s="39">
        <v>1311.80708039</v>
      </c>
      <c r="CD28" s="40">
        <f t="shared" si="87"/>
        <v>1.2217154091937492E-3</v>
      </c>
      <c r="CE28" s="4">
        <v>95</v>
      </c>
      <c r="CF28" s="4">
        <v>1311.80708039</v>
      </c>
      <c r="CG28" s="40">
        <f t="shared" si="88"/>
        <v>1.2217154091937492E-3</v>
      </c>
      <c r="CH28" s="39">
        <v>4839</v>
      </c>
      <c r="CI28" s="39">
        <v>1112227.2487990486</v>
      </c>
      <c r="CJ28" s="39">
        <v>101</v>
      </c>
      <c r="CK28" s="39">
        <v>1301.4054967100001</v>
      </c>
      <c r="CL28" s="40">
        <f t="shared" si="89"/>
        <v>1.170089564084337E-3</v>
      </c>
      <c r="CM28" s="4">
        <v>101</v>
      </c>
      <c r="CN28" s="4">
        <v>1301.4054967100001</v>
      </c>
      <c r="CO28" s="40">
        <f t="shared" si="90"/>
        <v>1.170089564084337E-3</v>
      </c>
      <c r="CP28" s="39">
        <v>5074</v>
      </c>
      <c r="CQ28" s="39">
        <v>1121668.4587969722</v>
      </c>
      <c r="CR28" s="39">
        <v>86</v>
      </c>
      <c r="CS28" s="39">
        <v>1130.4237744599998</v>
      </c>
      <c r="CT28" s="40">
        <f t="shared" si="91"/>
        <v>1.0078056181346295E-3</v>
      </c>
      <c r="CU28" s="4">
        <v>86</v>
      </c>
      <c r="CV28" s="4">
        <v>1130.4237744599998</v>
      </c>
      <c r="CW28" s="40">
        <f t="shared" si="92"/>
        <v>1.0078056181346295E-3</v>
      </c>
      <c r="CX28" s="42">
        <v>0</v>
      </c>
      <c r="CY28" s="42">
        <v>0</v>
      </c>
    </row>
    <row r="29" spans="1:103" s="29" customFormat="1" ht="35.1" customHeight="1" x14ac:dyDescent="0.25">
      <c r="A29" s="38">
        <f t="shared" si="93"/>
        <v>23</v>
      </c>
      <c r="B29" s="45" t="s">
        <v>2058</v>
      </c>
      <c r="C29" s="45" t="s">
        <v>2071</v>
      </c>
      <c r="D29" s="64" t="s">
        <v>16</v>
      </c>
      <c r="E29" s="45" t="s">
        <v>2035</v>
      </c>
      <c r="F29" s="39">
        <v>5789</v>
      </c>
      <c r="G29" s="39">
        <v>2679771.0926527851</v>
      </c>
      <c r="H29" s="39">
        <v>786</v>
      </c>
      <c r="I29" s="39">
        <v>29104.393596189933</v>
      </c>
      <c r="J29" s="40">
        <f t="shared" si="70"/>
        <v>1.0860776010304159E-2</v>
      </c>
      <c r="K29" s="39">
        <v>786</v>
      </c>
      <c r="L29" s="39">
        <v>29104.393596189933</v>
      </c>
      <c r="M29" s="40">
        <f t="shared" si="71"/>
        <v>1.0860776010304159E-2</v>
      </c>
      <c r="N29" s="39">
        <v>5776</v>
      </c>
      <c r="O29" s="39">
        <v>2680105.2047641221</v>
      </c>
      <c r="P29" s="39">
        <v>762</v>
      </c>
      <c r="Q29" s="39">
        <v>28468.368909429941</v>
      </c>
      <c r="R29" s="40">
        <f t="shared" si="72"/>
        <v>1.0622108736188757E-2</v>
      </c>
      <c r="S29" s="39">
        <v>762</v>
      </c>
      <c r="T29" s="39">
        <v>28468.368909429941</v>
      </c>
      <c r="U29" s="40">
        <f t="shared" si="73"/>
        <v>1.0622108736188757E-2</v>
      </c>
      <c r="V29" s="39">
        <v>5683</v>
      </c>
      <c r="W29" s="39">
        <v>2666074.9109984906</v>
      </c>
      <c r="X29" s="39">
        <v>749</v>
      </c>
      <c r="Y29" s="39">
        <v>27821.73626324995</v>
      </c>
      <c r="Z29" s="40">
        <f t="shared" si="13"/>
        <v>1.0435466816208189E-2</v>
      </c>
      <c r="AA29" s="39">
        <v>749</v>
      </c>
      <c r="AB29" s="39">
        <v>27821.73626324995</v>
      </c>
      <c r="AC29" s="40">
        <f t="shared" si="74"/>
        <v>1.0435466816208189E-2</v>
      </c>
      <c r="AD29" s="39">
        <v>5773</v>
      </c>
      <c r="AE29" s="39">
        <v>2717551.0338696362</v>
      </c>
      <c r="AF29" s="39">
        <v>742</v>
      </c>
      <c r="AG29" s="39">
        <v>27221.574090179969</v>
      </c>
      <c r="AH29" s="40">
        <f t="shared" si="75"/>
        <v>1.0016950464189817E-2</v>
      </c>
      <c r="AI29" s="39">
        <v>742</v>
      </c>
      <c r="AJ29" s="39">
        <v>27221.574090179969</v>
      </c>
      <c r="AK29" s="40">
        <f t="shared" si="76"/>
        <v>1.0016950464189817E-2</v>
      </c>
      <c r="AL29" s="39">
        <v>5855</v>
      </c>
      <c r="AM29" s="39">
        <v>2715755.1665141876</v>
      </c>
      <c r="AN29" s="39">
        <v>763</v>
      </c>
      <c r="AO29" s="39">
        <v>27079.079487929965</v>
      </c>
      <c r="AP29" s="40">
        <f t="shared" si="77"/>
        <v>9.9711048410477173E-3</v>
      </c>
      <c r="AQ29" s="39">
        <v>763</v>
      </c>
      <c r="AR29" s="39">
        <v>27079.079487929965</v>
      </c>
      <c r="AS29" s="40">
        <f t="shared" si="78"/>
        <v>9.9711048410477173E-3</v>
      </c>
      <c r="AT29" s="39">
        <v>5966</v>
      </c>
      <c r="AU29" s="39">
        <v>2763275.672329782</v>
      </c>
      <c r="AV29" s="39">
        <v>827</v>
      </c>
      <c r="AW29" s="39">
        <v>28476.701734819962</v>
      </c>
      <c r="AX29" s="40">
        <f t="shared" si="79"/>
        <v>1.0305414700376454E-2</v>
      </c>
      <c r="AY29" s="39">
        <v>827</v>
      </c>
      <c r="AZ29" s="39">
        <v>28476.701734819962</v>
      </c>
      <c r="BA29" s="40">
        <f t="shared" si="80"/>
        <v>1.0305414700376454E-2</v>
      </c>
      <c r="BB29" s="41">
        <v>6159</v>
      </c>
      <c r="BC29" s="41">
        <v>3520462.3474554308</v>
      </c>
      <c r="BD29" s="41">
        <v>778</v>
      </c>
      <c r="BE29" s="41">
        <v>19968.229041219984</v>
      </c>
      <c r="BF29" s="40">
        <f t="shared" si="81"/>
        <v>5.6720473251625318E-3</v>
      </c>
      <c r="BG29" s="39">
        <v>778</v>
      </c>
      <c r="BH29" s="39">
        <v>19968.229041219984</v>
      </c>
      <c r="BI29" s="40">
        <f t="shared" si="82"/>
        <v>5.6720473251625318E-3</v>
      </c>
      <c r="BJ29" s="39">
        <v>6440</v>
      </c>
      <c r="BK29" s="39">
        <v>3498530.6718870173</v>
      </c>
      <c r="BL29" s="39">
        <v>755</v>
      </c>
      <c r="BM29" s="39">
        <v>19311.352854949979</v>
      </c>
      <c r="BN29" s="40">
        <f t="shared" si="83"/>
        <v>5.5198466630946904E-3</v>
      </c>
      <c r="BO29" s="4">
        <v>755</v>
      </c>
      <c r="BP29" s="4">
        <v>19311.352854949979</v>
      </c>
      <c r="BQ29" s="40">
        <f t="shared" si="84"/>
        <v>5.5198466630946904E-3</v>
      </c>
      <c r="BR29" s="39">
        <v>6463</v>
      </c>
      <c r="BS29" s="39">
        <v>3527650.9435797036</v>
      </c>
      <c r="BT29" s="39">
        <v>934</v>
      </c>
      <c r="BU29" s="39">
        <v>18753.960227849984</v>
      </c>
      <c r="BV29" s="40">
        <f t="shared" si="85"/>
        <v>5.3162743502108796E-3</v>
      </c>
      <c r="BW29" s="4">
        <v>934</v>
      </c>
      <c r="BX29" s="4">
        <v>18753.960227849984</v>
      </c>
      <c r="BY29" s="40">
        <f t="shared" si="86"/>
        <v>5.3162743502108796E-3</v>
      </c>
      <c r="BZ29" s="39">
        <v>6694</v>
      </c>
      <c r="CA29" s="39">
        <v>3473883.7698216927</v>
      </c>
      <c r="CB29" s="39">
        <v>830</v>
      </c>
      <c r="CC29" s="39">
        <v>28258.816058429973</v>
      </c>
      <c r="CD29" s="40">
        <f t="shared" si="87"/>
        <v>8.1346463874007041E-3</v>
      </c>
      <c r="CE29" s="4">
        <v>830</v>
      </c>
      <c r="CF29" s="4">
        <v>28258.816058429973</v>
      </c>
      <c r="CG29" s="40">
        <f t="shared" si="88"/>
        <v>8.1346463874007041E-3</v>
      </c>
      <c r="CH29" s="39">
        <v>6936</v>
      </c>
      <c r="CI29" s="39">
        <v>3527497.5966660315</v>
      </c>
      <c r="CJ29" s="39">
        <v>852</v>
      </c>
      <c r="CK29" s="39">
        <v>44776.358619490013</v>
      </c>
      <c r="CL29" s="40">
        <f t="shared" si="89"/>
        <v>1.2693519242028628E-2</v>
      </c>
      <c r="CM29" s="4">
        <v>852</v>
      </c>
      <c r="CN29" s="4">
        <v>44776.358619490013</v>
      </c>
      <c r="CO29" s="40">
        <f t="shared" si="90"/>
        <v>1.2693519242028628E-2</v>
      </c>
      <c r="CP29" s="39">
        <v>7407</v>
      </c>
      <c r="CQ29" s="39">
        <v>3505662.7165435716</v>
      </c>
      <c r="CR29" s="39">
        <v>782</v>
      </c>
      <c r="CS29" s="39">
        <v>43132.393528429981</v>
      </c>
      <c r="CT29" s="40">
        <f t="shared" si="91"/>
        <v>1.2303634723581341E-2</v>
      </c>
      <c r="CU29" s="4">
        <v>782</v>
      </c>
      <c r="CV29" s="4">
        <v>43132.393528429981</v>
      </c>
      <c r="CW29" s="40">
        <f t="shared" si="92"/>
        <v>1.2303634723581341E-2</v>
      </c>
      <c r="CX29" s="42">
        <v>0</v>
      </c>
      <c r="CY29" s="42">
        <v>0</v>
      </c>
    </row>
    <row r="30" spans="1:103" s="29" customFormat="1" ht="35.1" customHeight="1" x14ac:dyDescent="0.25">
      <c r="A30" s="38">
        <f t="shared" si="93"/>
        <v>24</v>
      </c>
      <c r="B30" s="45" t="s">
        <v>2058</v>
      </c>
      <c r="C30" s="45" t="s">
        <v>2072</v>
      </c>
      <c r="D30" s="64" t="s">
        <v>12</v>
      </c>
      <c r="E30" s="45" t="s">
        <v>2073</v>
      </c>
      <c r="F30" s="39">
        <v>4413</v>
      </c>
      <c r="G30" s="39">
        <v>144765.80853760996</v>
      </c>
      <c r="H30" s="39">
        <v>514</v>
      </c>
      <c r="I30" s="39">
        <v>18381.985948579993</v>
      </c>
      <c r="J30" s="40">
        <f t="shared" si="70"/>
        <v>0.1269773998036586</v>
      </c>
      <c r="K30" s="39">
        <v>514</v>
      </c>
      <c r="L30" s="39">
        <v>18381.985948579993</v>
      </c>
      <c r="M30" s="40">
        <f t="shared" si="71"/>
        <v>0.1269773998036586</v>
      </c>
      <c r="N30" s="39">
        <v>4469</v>
      </c>
      <c r="O30" s="39">
        <v>138961.03340936991</v>
      </c>
      <c r="P30" s="39">
        <v>535</v>
      </c>
      <c r="Q30" s="39">
        <v>18496.245888049991</v>
      </c>
      <c r="R30" s="40">
        <f t="shared" si="72"/>
        <v>0.13310383086718483</v>
      </c>
      <c r="S30" s="39">
        <v>535</v>
      </c>
      <c r="T30" s="39">
        <v>18496.245888049991</v>
      </c>
      <c r="U30" s="40">
        <f t="shared" si="73"/>
        <v>0.13310383086718483</v>
      </c>
      <c r="V30" s="39">
        <v>4461</v>
      </c>
      <c r="W30" s="39">
        <v>141439.39194691001</v>
      </c>
      <c r="X30" s="39">
        <v>516</v>
      </c>
      <c r="Y30" s="39">
        <v>18128.401977429996</v>
      </c>
      <c r="Z30" s="40">
        <f t="shared" si="13"/>
        <v>0.1281708138580982</v>
      </c>
      <c r="AA30" s="39">
        <v>516</v>
      </c>
      <c r="AB30" s="39">
        <v>18128.401977429996</v>
      </c>
      <c r="AC30" s="40">
        <f t="shared" si="74"/>
        <v>0.1281708138580982</v>
      </c>
      <c r="AD30" s="39">
        <v>4561</v>
      </c>
      <c r="AE30" s="39">
        <v>147777.24891656006</v>
      </c>
      <c r="AF30" s="39">
        <v>508</v>
      </c>
      <c r="AG30" s="39">
        <v>18166.899524060005</v>
      </c>
      <c r="AH30" s="40">
        <f t="shared" si="75"/>
        <v>0.12293434650632615</v>
      </c>
      <c r="AI30" s="39">
        <v>508</v>
      </c>
      <c r="AJ30" s="39">
        <v>18166.899524060005</v>
      </c>
      <c r="AK30" s="40">
        <f t="shared" si="76"/>
        <v>0.12293434650632615</v>
      </c>
      <c r="AL30" s="39">
        <v>4662</v>
      </c>
      <c r="AM30" s="39">
        <v>157360.37518190971</v>
      </c>
      <c r="AN30" s="39">
        <v>534</v>
      </c>
      <c r="AO30" s="39">
        <v>18114.013327830002</v>
      </c>
      <c r="AP30" s="40">
        <f t="shared" si="77"/>
        <v>0.11511165569407213</v>
      </c>
      <c r="AQ30" s="39">
        <v>534</v>
      </c>
      <c r="AR30" s="39">
        <v>18114.013327830002</v>
      </c>
      <c r="AS30" s="40">
        <f t="shared" si="78"/>
        <v>0.11511165569407213</v>
      </c>
      <c r="AT30" s="39">
        <v>4829</v>
      </c>
      <c r="AU30" s="39">
        <v>169482.1553331195</v>
      </c>
      <c r="AV30" s="39">
        <v>619</v>
      </c>
      <c r="AW30" s="39">
        <v>19012.087239239961</v>
      </c>
      <c r="AX30" s="40">
        <f t="shared" si="79"/>
        <v>0.11217751628111787</v>
      </c>
      <c r="AY30" s="39">
        <v>619</v>
      </c>
      <c r="AZ30" s="39">
        <v>19012.087239239961</v>
      </c>
      <c r="BA30" s="40">
        <f t="shared" si="80"/>
        <v>0.11217751628111787</v>
      </c>
      <c r="BB30" s="41">
        <v>4945</v>
      </c>
      <c r="BC30" s="41">
        <v>175276.24696325968</v>
      </c>
      <c r="BD30" s="41">
        <v>619</v>
      </c>
      <c r="BE30" s="41">
        <v>13684.547623800014</v>
      </c>
      <c r="BF30" s="40">
        <f t="shared" si="81"/>
        <v>7.8074170692783509E-2</v>
      </c>
      <c r="BG30" s="39">
        <v>619</v>
      </c>
      <c r="BH30" s="39">
        <v>13684.547623800014</v>
      </c>
      <c r="BI30" s="40">
        <f t="shared" si="82"/>
        <v>7.8074170692783509E-2</v>
      </c>
      <c r="BJ30" s="39">
        <v>5173</v>
      </c>
      <c r="BK30" s="39">
        <v>173103.73446611001</v>
      </c>
      <c r="BL30" s="39">
        <v>594</v>
      </c>
      <c r="BM30" s="39">
        <v>13324.521161640008</v>
      </c>
      <c r="BN30" s="40">
        <f t="shared" si="83"/>
        <v>7.6974198175075559E-2</v>
      </c>
      <c r="BO30" s="4">
        <v>594</v>
      </c>
      <c r="BP30" s="4">
        <v>13324.521161640008</v>
      </c>
      <c r="BQ30" s="40">
        <f t="shared" si="84"/>
        <v>7.6974198175075559E-2</v>
      </c>
      <c r="BR30" s="39">
        <v>5287</v>
      </c>
      <c r="BS30" s="39">
        <v>171608.93824306969</v>
      </c>
      <c r="BT30" s="39">
        <v>730</v>
      </c>
      <c r="BU30" s="39">
        <v>14772.459432040007</v>
      </c>
      <c r="BV30" s="40">
        <f t="shared" si="85"/>
        <v>8.6082109610841215E-2</v>
      </c>
      <c r="BW30" s="4">
        <v>730</v>
      </c>
      <c r="BX30" s="4">
        <v>14772.459432040007</v>
      </c>
      <c r="BY30" s="40">
        <f t="shared" si="86"/>
        <v>8.6082109610841215E-2</v>
      </c>
      <c r="BZ30" s="39">
        <v>5466</v>
      </c>
      <c r="CA30" s="39">
        <v>171045.84348253001</v>
      </c>
      <c r="CB30" s="39">
        <v>680</v>
      </c>
      <c r="CC30" s="39">
        <v>21338.813950109987</v>
      </c>
      <c r="CD30" s="40">
        <f t="shared" si="87"/>
        <v>0.12475494005377251</v>
      </c>
      <c r="CE30" s="4">
        <v>680</v>
      </c>
      <c r="CF30" s="4">
        <v>21338.813950109987</v>
      </c>
      <c r="CG30" s="40">
        <f t="shared" si="88"/>
        <v>0.12475494005377251</v>
      </c>
      <c r="CH30" s="39">
        <v>5635</v>
      </c>
      <c r="CI30" s="39">
        <v>177020.67023303983</v>
      </c>
      <c r="CJ30" s="39">
        <v>675</v>
      </c>
      <c r="CK30" s="39">
        <v>21578.195840110006</v>
      </c>
      <c r="CL30" s="40">
        <f t="shared" si="89"/>
        <v>0.1218964757714637</v>
      </c>
      <c r="CM30" s="4">
        <v>675</v>
      </c>
      <c r="CN30" s="4">
        <v>21578.195840110006</v>
      </c>
      <c r="CO30" s="40">
        <f t="shared" si="90"/>
        <v>0.1218964757714637</v>
      </c>
      <c r="CP30" s="39">
        <v>5848</v>
      </c>
      <c r="CQ30" s="39">
        <v>182580.73983154038</v>
      </c>
      <c r="CR30" s="39">
        <v>598</v>
      </c>
      <c r="CS30" s="39">
        <v>19558.184871349978</v>
      </c>
      <c r="CT30" s="40">
        <f t="shared" si="91"/>
        <v>0.10712074498874032</v>
      </c>
      <c r="CU30" s="4">
        <v>598</v>
      </c>
      <c r="CV30" s="4">
        <v>19558.184871349978</v>
      </c>
      <c r="CW30" s="40">
        <f t="shared" si="92"/>
        <v>0.10712074498874032</v>
      </c>
      <c r="CX30" s="42">
        <v>0</v>
      </c>
      <c r="CY30" s="42">
        <v>0</v>
      </c>
    </row>
    <row r="31" spans="1:103" s="29" customFormat="1" ht="35.1" customHeight="1" x14ac:dyDescent="0.25">
      <c r="A31" s="38">
        <f t="shared" si="93"/>
        <v>25</v>
      </c>
      <c r="B31" s="45" t="s">
        <v>2058</v>
      </c>
      <c r="C31" s="45" t="s">
        <v>2074</v>
      </c>
      <c r="D31" s="64" t="s">
        <v>1</v>
      </c>
      <c r="E31" s="45" t="s">
        <v>2075</v>
      </c>
      <c r="F31" s="39">
        <v>5067</v>
      </c>
      <c r="G31" s="39">
        <v>222287.34914832978</v>
      </c>
      <c r="H31" s="39">
        <v>81</v>
      </c>
      <c r="I31" s="39">
        <v>2159.1944391900006</v>
      </c>
      <c r="J31" s="40">
        <f t="shared" si="70"/>
        <v>9.7135282212987978E-3</v>
      </c>
      <c r="K31" s="39">
        <v>81</v>
      </c>
      <c r="L31" s="39">
        <v>2159.1944391900006</v>
      </c>
      <c r="M31" s="40">
        <f t="shared" si="71"/>
        <v>9.7135282212987978E-3</v>
      </c>
      <c r="N31" s="39">
        <v>5221</v>
      </c>
      <c r="O31" s="39">
        <v>205010.43143988992</v>
      </c>
      <c r="P31" s="39">
        <v>97</v>
      </c>
      <c r="Q31" s="39">
        <v>2268.7151843899987</v>
      </c>
      <c r="R31" s="40">
        <f t="shared" si="72"/>
        <v>1.106634022696156E-2</v>
      </c>
      <c r="S31" s="39">
        <v>97</v>
      </c>
      <c r="T31" s="39">
        <v>2268.7151843899987</v>
      </c>
      <c r="U31" s="40">
        <f t="shared" si="73"/>
        <v>1.106634022696156E-2</v>
      </c>
      <c r="V31" s="39">
        <v>5243</v>
      </c>
      <c r="W31" s="39">
        <v>204921.24673162977</v>
      </c>
      <c r="X31" s="39">
        <v>120</v>
      </c>
      <c r="Y31" s="39">
        <v>2337.7205364900001</v>
      </c>
      <c r="Z31" s="40">
        <f t="shared" si="13"/>
        <v>1.1407897296035585E-2</v>
      </c>
      <c r="AA31" s="39">
        <v>120</v>
      </c>
      <c r="AB31" s="39">
        <v>2337.7205364900001</v>
      </c>
      <c r="AC31" s="40">
        <f t="shared" si="74"/>
        <v>1.1407897296035585E-2</v>
      </c>
      <c r="AD31" s="39">
        <v>5403</v>
      </c>
      <c r="AE31" s="39">
        <v>217776.13563606021</v>
      </c>
      <c r="AF31" s="39">
        <v>105</v>
      </c>
      <c r="AG31" s="39">
        <v>2337.7382459900005</v>
      </c>
      <c r="AH31" s="40">
        <f t="shared" si="75"/>
        <v>1.0734593297663918E-2</v>
      </c>
      <c r="AI31" s="39">
        <v>105</v>
      </c>
      <c r="AJ31" s="39">
        <v>2337.7382459900005</v>
      </c>
      <c r="AK31" s="40">
        <f t="shared" si="76"/>
        <v>1.0734593297663918E-2</v>
      </c>
      <c r="AL31" s="39">
        <v>5424</v>
      </c>
      <c r="AM31" s="39">
        <v>229979.02457579953</v>
      </c>
      <c r="AN31" s="39">
        <v>128</v>
      </c>
      <c r="AO31" s="39">
        <v>2390.43733866</v>
      </c>
      <c r="AP31" s="40">
        <f t="shared" si="77"/>
        <v>1.0394153741060537E-2</v>
      </c>
      <c r="AQ31" s="39">
        <v>128</v>
      </c>
      <c r="AR31" s="39">
        <v>2390.43733866</v>
      </c>
      <c r="AS31" s="40">
        <f t="shared" si="78"/>
        <v>1.0394153741060537E-2</v>
      </c>
      <c r="AT31" s="39">
        <v>5545</v>
      </c>
      <c r="AU31" s="39">
        <v>246688.31831188011</v>
      </c>
      <c r="AV31" s="39">
        <v>289</v>
      </c>
      <c r="AW31" s="39">
        <v>3613.3410576999995</v>
      </c>
      <c r="AX31" s="40">
        <f t="shared" si="79"/>
        <v>1.4647394260200714E-2</v>
      </c>
      <c r="AY31" s="39">
        <v>289</v>
      </c>
      <c r="AZ31" s="39">
        <v>3613.3410576999995</v>
      </c>
      <c r="BA31" s="40">
        <f t="shared" si="80"/>
        <v>1.4647394260200714E-2</v>
      </c>
      <c r="BB31" s="41">
        <v>5770</v>
      </c>
      <c r="BC31" s="41">
        <v>255297.0001824201</v>
      </c>
      <c r="BD31" s="41">
        <v>212</v>
      </c>
      <c r="BE31" s="41">
        <v>2093.2253202600004</v>
      </c>
      <c r="BF31" s="40">
        <f t="shared" si="81"/>
        <v>8.1991771104411946E-3</v>
      </c>
      <c r="BG31" s="39">
        <v>212</v>
      </c>
      <c r="BH31" s="39">
        <v>2093.2253202600004</v>
      </c>
      <c r="BI31" s="40">
        <f t="shared" si="82"/>
        <v>8.1991771104411946E-3</v>
      </c>
      <c r="BJ31" s="39">
        <v>6069</v>
      </c>
      <c r="BK31" s="39">
        <v>262583.76518251037</v>
      </c>
      <c r="BL31" s="39">
        <v>195</v>
      </c>
      <c r="BM31" s="39">
        <v>1972.7612996600001</v>
      </c>
      <c r="BN31" s="40">
        <f t="shared" si="83"/>
        <v>7.512883739361498E-3</v>
      </c>
      <c r="BO31" s="4">
        <v>195</v>
      </c>
      <c r="BP31" s="4">
        <v>1972.7612996600001</v>
      </c>
      <c r="BQ31" s="40">
        <f t="shared" si="84"/>
        <v>7.512883739361498E-3</v>
      </c>
      <c r="BR31" s="39">
        <v>6276</v>
      </c>
      <c r="BS31" s="39">
        <v>257893.70368165002</v>
      </c>
      <c r="BT31" s="39">
        <v>333</v>
      </c>
      <c r="BU31" s="39">
        <v>3810.9002884600009</v>
      </c>
      <c r="BV31" s="40">
        <f t="shared" si="85"/>
        <v>1.4777019500888106E-2</v>
      </c>
      <c r="BW31" s="4">
        <v>333</v>
      </c>
      <c r="BX31" s="4">
        <v>3810.9002884600009</v>
      </c>
      <c r="BY31" s="40">
        <f t="shared" si="86"/>
        <v>1.4777019500888106E-2</v>
      </c>
      <c r="BZ31" s="39">
        <v>6585</v>
      </c>
      <c r="CA31" s="39">
        <v>262195.12612936972</v>
      </c>
      <c r="CB31" s="39">
        <v>389</v>
      </c>
      <c r="CC31" s="39">
        <v>5660.1203248099973</v>
      </c>
      <c r="CD31" s="40">
        <f t="shared" si="87"/>
        <v>2.1587435313413252E-2</v>
      </c>
      <c r="CE31" s="4">
        <v>389</v>
      </c>
      <c r="CF31" s="4">
        <v>5660.1203248099973</v>
      </c>
      <c r="CG31" s="40">
        <f t="shared" si="88"/>
        <v>2.1587435313413252E-2</v>
      </c>
      <c r="CH31" s="39">
        <v>6996</v>
      </c>
      <c r="CI31" s="39">
        <v>284191.33069872996</v>
      </c>
      <c r="CJ31" s="39">
        <v>403</v>
      </c>
      <c r="CK31" s="39">
        <v>6315.8729089499984</v>
      </c>
      <c r="CL31" s="40">
        <f t="shared" si="89"/>
        <v>2.2224016803825127E-2</v>
      </c>
      <c r="CM31" s="4">
        <v>403</v>
      </c>
      <c r="CN31" s="4">
        <v>6315.8729089499984</v>
      </c>
      <c r="CO31" s="40">
        <f t="shared" si="90"/>
        <v>2.2224016803825127E-2</v>
      </c>
      <c r="CP31" s="39">
        <v>7253</v>
      </c>
      <c r="CQ31" s="39">
        <v>288486.1082911003</v>
      </c>
      <c r="CR31" s="39">
        <v>369</v>
      </c>
      <c r="CS31" s="39">
        <v>5629.5927999300011</v>
      </c>
      <c r="CT31" s="40">
        <f t="shared" si="91"/>
        <v>1.9514259571380796E-2</v>
      </c>
      <c r="CU31" s="4">
        <v>369</v>
      </c>
      <c r="CV31" s="4">
        <v>5629.5927999300011</v>
      </c>
      <c r="CW31" s="40">
        <f t="shared" si="92"/>
        <v>1.9514259571380796E-2</v>
      </c>
      <c r="CX31" s="42">
        <v>0</v>
      </c>
      <c r="CY31" s="42">
        <v>0</v>
      </c>
    </row>
    <row r="32" spans="1:103" s="29" customFormat="1" ht="35.1" customHeight="1" x14ac:dyDescent="0.25">
      <c r="A32" s="38">
        <f t="shared" si="93"/>
        <v>26</v>
      </c>
      <c r="B32" s="45" t="s">
        <v>2058</v>
      </c>
      <c r="C32" s="45" t="s">
        <v>2076</v>
      </c>
      <c r="D32" s="64" t="s">
        <v>17</v>
      </c>
      <c r="E32" s="45" t="s">
        <v>2077</v>
      </c>
      <c r="F32" s="39">
        <v>6181</v>
      </c>
      <c r="G32" s="39">
        <v>232040.69488124046</v>
      </c>
      <c r="H32" s="39">
        <v>55</v>
      </c>
      <c r="I32" s="39">
        <v>6338.8308394899977</v>
      </c>
      <c r="J32" s="40">
        <f t="shared" si="70"/>
        <v>2.7317754942658836E-2</v>
      </c>
      <c r="K32" s="39">
        <v>55</v>
      </c>
      <c r="L32" s="39">
        <v>6338.8308394899977</v>
      </c>
      <c r="M32" s="40">
        <f t="shared" si="71"/>
        <v>2.7317754942658836E-2</v>
      </c>
      <c r="N32" s="39">
        <v>6257</v>
      </c>
      <c r="O32" s="39">
        <v>230723.29175754997</v>
      </c>
      <c r="P32" s="39">
        <v>59</v>
      </c>
      <c r="Q32" s="39">
        <v>6405.9353884099992</v>
      </c>
      <c r="R32" s="40">
        <f t="shared" si="72"/>
        <v>2.7764580418441334E-2</v>
      </c>
      <c r="S32" s="39">
        <v>59</v>
      </c>
      <c r="T32" s="39">
        <v>6405.9353884099992</v>
      </c>
      <c r="U32" s="40">
        <f t="shared" si="73"/>
        <v>2.7764580418441334E-2</v>
      </c>
      <c r="V32" s="39">
        <v>6209</v>
      </c>
      <c r="W32" s="39">
        <v>233186.71130108007</v>
      </c>
      <c r="X32" s="39">
        <v>54</v>
      </c>
      <c r="Y32" s="39">
        <v>6324.079920619999</v>
      </c>
      <c r="Z32" s="40">
        <f t="shared" si="13"/>
        <v>2.7120241480890542E-2</v>
      </c>
      <c r="AA32" s="39">
        <v>54</v>
      </c>
      <c r="AB32" s="39">
        <v>6324.079920619999</v>
      </c>
      <c r="AC32" s="40">
        <f t="shared" si="74"/>
        <v>2.7120241480890542E-2</v>
      </c>
      <c r="AD32" s="39">
        <v>6190</v>
      </c>
      <c r="AE32" s="39">
        <v>238312.78821698058</v>
      </c>
      <c r="AF32" s="39">
        <v>54</v>
      </c>
      <c r="AG32" s="39">
        <v>6342.5454001699982</v>
      </c>
      <c r="AH32" s="40">
        <f t="shared" si="75"/>
        <v>2.6614372848490178E-2</v>
      </c>
      <c r="AI32" s="39">
        <v>54</v>
      </c>
      <c r="AJ32" s="39">
        <v>6342.5454001699982</v>
      </c>
      <c r="AK32" s="40">
        <f t="shared" si="76"/>
        <v>2.6614372848490178E-2</v>
      </c>
      <c r="AL32" s="39">
        <v>6198</v>
      </c>
      <c r="AM32" s="39">
        <v>244836.55911217007</v>
      </c>
      <c r="AN32" s="39">
        <v>76</v>
      </c>
      <c r="AO32" s="39">
        <v>6408.8107154399986</v>
      </c>
      <c r="AP32" s="40">
        <f t="shared" si="77"/>
        <v>2.6175873156687558E-2</v>
      </c>
      <c r="AQ32" s="39">
        <v>76</v>
      </c>
      <c r="AR32" s="39">
        <v>6408.8107154399986</v>
      </c>
      <c r="AS32" s="40">
        <f t="shared" si="78"/>
        <v>2.6175873156687558E-2</v>
      </c>
      <c r="AT32" s="39">
        <v>6239</v>
      </c>
      <c r="AU32" s="39">
        <v>245538.19903124988</v>
      </c>
      <c r="AV32" s="39">
        <v>127</v>
      </c>
      <c r="AW32" s="39">
        <v>6809.1411363199968</v>
      </c>
      <c r="AX32" s="40">
        <f t="shared" si="79"/>
        <v>2.7731494175590132E-2</v>
      </c>
      <c r="AY32" s="39">
        <v>127</v>
      </c>
      <c r="AZ32" s="39">
        <v>6809.1411363199968</v>
      </c>
      <c r="BA32" s="40">
        <f t="shared" si="80"/>
        <v>2.7731494175590132E-2</v>
      </c>
      <c r="BB32" s="41">
        <v>6273</v>
      </c>
      <c r="BC32" s="41">
        <v>255101.05393031985</v>
      </c>
      <c r="BD32" s="41">
        <v>84</v>
      </c>
      <c r="BE32" s="41">
        <v>6436.575192729998</v>
      </c>
      <c r="BF32" s="40">
        <f t="shared" si="81"/>
        <v>2.5231472365802653E-2</v>
      </c>
      <c r="BG32" s="39">
        <v>84</v>
      </c>
      <c r="BH32" s="39">
        <v>6436.575192729998</v>
      </c>
      <c r="BI32" s="40">
        <f t="shared" si="82"/>
        <v>2.5231472365802653E-2</v>
      </c>
      <c r="BJ32" s="39">
        <v>6345</v>
      </c>
      <c r="BK32" s="39">
        <v>262576.17418390902</v>
      </c>
      <c r="BL32" s="39">
        <v>84</v>
      </c>
      <c r="BM32" s="39">
        <v>6391.081671189997</v>
      </c>
      <c r="BN32" s="40">
        <f t="shared" si="83"/>
        <v>2.4339914659254905E-2</v>
      </c>
      <c r="BO32" s="4">
        <v>84</v>
      </c>
      <c r="BP32" s="4">
        <v>6391.081671189997</v>
      </c>
      <c r="BQ32" s="40">
        <f t="shared" si="84"/>
        <v>2.4339914659254905E-2</v>
      </c>
      <c r="BR32" s="39">
        <v>6378</v>
      </c>
      <c r="BS32" s="39">
        <v>269390.69783731981</v>
      </c>
      <c r="BT32" s="39">
        <v>131</v>
      </c>
      <c r="BU32" s="39">
        <v>6242.4755326899949</v>
      </c>
      <c r="BV32" s="40">
        <f t="shared" si="85"/>
        <v>2.3172572708726986E-2</v>
      </c>
      <c r="BW32" s="4">
        <v>131</v>
      </c>
      <c r="BX32" s="4">
        <v>6242.4755326899949</v>
      </c>
      <c r="BY32" s="40">
        <f t="shared" si="86"/>
        <v>2.3172572708726986E-2</v>
      </c>
      <c r="BZ32" s="39">
        <v>6559</v>
      </c>
      <c r="CA32" s="39">
        <v>272531.36720121047</v>
      </c>
      <c r="CB32" s="39">
        <v>116</v>
      </c>
      <c r="CC32" s="39">
        <v>5923.8976787099991</v>
      </c>
      <c r="CD32" s="40">
        <f t="shared" si="87"/>
        <v>2.1736571975351275E-2</v>
      </c>
      <c r="CE32" s="4">
        <v>116</v>
      </c>
      <c r="CF32" s="4">
        <v>5923.8976787099991</v>
      </c>
      <c r="CG32" s="40">
        <f t="shared" si="88"/>
        <v>2.1736571975351275E-2</v>
      </c>
      <c r="CH32" s="39">
        <v>6665</v>
      </c>
      <c r="CI32" s="39">
        <v>280342.6796247203</v>
      </c>
      <c r="CJ32" s="39">
        <v>124</v>
      </c>
      <c r="CK32" s="39">
        <v>5911.1558387099976</v>
      </c>
      <c r="CL32" s="40">
        <f t="shared" si="89"/>
        <v>2.1085465283498556E-2</v>
      </c>
      <c r="CM32" s="4">
        <v>124</v>
      </c>
      <c r="CN32" s="4">
        <v>5911.1558387099976</v>
      </c>
      <c r="CO32" s="40">
        <f t="shared" si="90"/>
        <v>2.1085465283498556E-2</v>
      </c>
      <c r="CP32" s="39">
        <v>6881</v>
      </c>
      <c r="CQ32" s="39">
        <v>287334.53682876891</v>
      </c>
      <c r="CR32" s="39">
        <v>101</v>
      </c>
      <c r="CS32" s="39">
        <v>5746.3539814899968</v>
      </c>
      <c r="CT32" s="40">
        <f t="shared" si="91"/>
        <v>1.9998828003451662E-2</v>
      </c>
      <c r="CU32" s="4">
        <v>101</v>
      </c>
      <c r="CV32" s="4">
        <v>5746.3539814899968</v>
      </c>
      <c r="CW32" s="40">
        <f t="shared" si="92"/>
        <v>1.9998828003451662E-2</v>
      </c>
      <c r="CX32" s="42">
        <v>0</v>
      </c>
      <c r="CY32" s="42">
        <v>0</v>
      </c>
    </row>
    <row r="33" spans="1:103" s="29" customFormat="1" ht="35.1" customHeight="1" x14ac:dyDescent="0.25">
      <c r="A33" s="38">
        <f t="shared" si="93"/>
        <v>27</v>
      </c>
      <c r="B33" s="45" t="s">
        <v>2058</v>
      </c>
      <c r="C33" s="45" t="s">
        <v>2078</v>
      </c>
      <c r="D33" s="64" t="s">
        <v>18</v>
      </c>
      <c r="E33" s="45" t="s">
        <v>2079</v>
      </c>
      <c r="F33" s="39">
        <v>6151</v>
      </c>
      <c r="G33" s="39">
        <v>185490.35586293953</v>
      </c>
      <c r="H33" s="39">
        <v>1410</v>
      </c>
      <c r="I33" s="39">
        <v>29248.447459030005</v>
      </c>
      <c r="J33" s="40">
        <f t="shared" si="70"/>
        <v>0.15768176907613429</v>
      </c>
      <c r="K33" s="39">
        <v>1410</v>
      </c>
      <c r="L33" s="39">
        <v>29248.447459030005</v>
      </c>
      <c r="M33" s="40">
        <f t="shared" si="71"/>
        <v>0.15768176907613429</v>
      </c>
      <c r="N33" s="39">
        <v>6237</v>
      </c>
      <c r="O33" s="39">
        <v>197405.53641545007</v>
      </c>
      <c r="P33" s="39">
        <v>1437</v>
      </c>
      <c r="Q33" s="39">
        <v>29156.633283930019</v>
      </c>
      <c r="R33" s="40">
        <f t="shared" si="72"/>
        <v>0.14769916697051694</v>
      </c>
      <c r="S33" s="39">
        <v>1437</v>
      </c>
      <c r="T33" s="39">
        <v>29156.633283930019</v>
      </c>
      <c r="U33" s="40">
        <f t="shared" si="73"/>
        <v>0.14769916697051694</v>
      </c>
      <c r="V33" s="39">
        <v>6216</v>
      </c>
      <c r="W33" s="39">
        <v>198353.00105369961</v>
      </c>
      <c r="X33" s="39">
        <v>1398</v>
      </c>
      <c r="Y33" s="39">
        <v>28520.729858560018</v>
      </c>
      <c r="Z33" s="40">
        <f t="shared" si="13"/>
        <v>0.14378774057892207</v>
      </c>
      <c r="AA33" s="39">
        <v>1398</v>
      </c>
      <c r="AB33" s="39">
        <v>28520.729858560018</v>
      </c>
      <c r="AC33" s="40">
        <f t="shared" si="74"/>
        <v>0.14378774057892207</v>
      </c>
      <c r="AD33" s="39">
        <v>6188</v>
      </c>
      <c r="AE33" s="39">
        <v>200538.43749925031</v>
      </c>
      <c r="AF33" s="39">
        <v>1366</v>
      </c>
      <c r="AG33" s="39">
        <v>28029.585694900008</v>
      </c>
      <c r="AH33" s="40">
        <f t="shared" si="75"/>
        <v>0.13977163702098155</v>
      </c>
      <c r="AI33" s="39">
        <v>1366</v>
      </c>
      <c r="AJ33" s="39">
        <v>28029.585694900008</v>
      </c>
      <c r="AK33" s="40">
        <f t="shared" si="76"/>
        <v>0.13977163702098155</v>
      </c>
      <c r="AL33" s="39">
        <v>6274</v>
      </c>
      <c r="AM33" s="39">
        <v>217010.19710030005</v>
      </c>
      <c r="AN33" s="39">
        <v>1399</v>
      </c>
      <c r="AO33" s="39">
        <v>29935.142900900006</v>
      </c>
      <c r="AP33" s="40">
        <f t="shared" si="77"/>
        <v>0.13794348514906085</v>
      </c>
      <c r="AQ33" s="39">
        <v>1399</v>
      </c>
      <c r="AR33" s="39">
        <v>29935.142900900006</v>
      </c>
      <c r="AS33" s="40">
        <f t="shared" si="78"/>
        <v>0.13794348514906085</v>
      </c>
      <c r="AT33" s="39">
        <v>6363</v>
      </c>
      <c r="AU33" s="39">
        <v>224169.67153405055</v>
      </c>
      <c r="AV33" s="39">
        <v>1541</v>
      </c>
      <c r="AW33" s="39">
        <v>30224.138451759994</v>
      </c>
      <c r="AX33" s="40">
        <f t="shared" si="79"/>
        <v>0.13482706311218848</v>
      </c>
      <c r="AY33" s="39">
        <v>1541</v>
      </c>
      <c r="AZ33" s="39">
        <v>30224.138451759994</v>
      </c>
      <c r="BA33" s="40">
        <f t="shared" si="80"/>
        <v>0.13482706311218848</v>
      </c>
      <c r="BB33" s="41">
        <v>6551</v>
      </c>
      <c r="BC33" s="41">
        <v>233099.57282238975</v>
      </c>
      <c r="BD33" s="41">
        <v>1654</v>
      </c>
      <c r="BE33" s="41">
        <v>32532.435720299996</v>
      </c>
      <c r="BF33" s="40">
        <f t="shared" si="81"/>
        <v>0.13956454456949216</v>
      </c>
      <c r="BG33" s="39">
        <v>1654</v>
      </c>
      <c r="BH33" s="39">
        <v>32532.435720299996</v>
      </c>
      <c r="BI33" s="40">
        <f t="shared" si="82"/>
        <v>0.13956454456949216</v>
      </c>
      <c r="BJ33" s="39">
        <v>6831</v>
      </c>
      <c r="BK33" s="39">
        <v>243599.71119129896</v>
      </c>
      <c r="BL33" s="39">
        <v>1575</v>
      </c>
      <c r="BM33" s="39">
        <v>31698.477839249965</v>
      </c>
      <c r="BN33" s="40">
        <f t="shared" si="83"/>
        <v>0.13012526855730602</v>
      </c>
      <c r="BO33" s="4">
        <v>1575</v>
      </c>
      <c r="BP33" s="4">
        <v>31698.477839249965</v>
      </c>
      <c r="BQ33" s="40">
        <f t="shared" si="84"/>
        <v>0.13012526855730602</v>
      </c>
      <c r="BR33" s="39">
        <v>6955</v>
      </c>
      <c r="BS33" s="39">
        <v>242080.10464077009</v>
      </c>
      <c r="BT33" s="39">
        <v>1739</v>
      </c>
      <c r="BU33" s="39">
        <v>30583.113813049964</v>
      </c>
      <c r="BV33" s="40">
        <f t="shared" si="85"/>
        <v>0.12633468520031071</v>
      </c>
      <c r="BW33" s="4">
        <v>1739</v>
      </c>
      <c r="BX33" s="4">
        <v>30583.113813049964</v>
      </c>
      <c r="BY33" s="40">
        <f t="shared" si="86"/>
        <v>0.12633468520031071</v>
      </c>
      <c r="BZ33" s="39">
        <v>7002</v>
      </c>
      <c r="CA33" s="39">
        <v>253512.50505698999</v>
      </c>
      <c r="CB33" s="39">
        <v>1485</v>
      </c>
      <c r="CC33" s="39">
        <v>23156.184176969989</v>
      </c>
      <c r="CD33" s="40">
        <f t="shared" si="87"/>
        <v>9.1341388353858299E-2</v>
      </c>
      <c r="CE33" s="4">
        <v>1485</v>
      </c>
      <c r="CF33" s="4">
        <v>23156.184176969989</v>
      </c>
      <c r="CG33" s="40">
        <f t="shared" si="88"/>
        <v>9.1341388353858299E-2</v>
      </c>
      <c r="CH33" s="39">
        <v>7323</v>
      </c>
      <c r="CI33" s="39">
        <v>264653.0704136109</v>
      </c>
      <c r="CJ33" s="39">
        <v>1535</v>
      </c>
      <c r="CK33" s="39">
        <v>23501.456771429977</v>
      </c>
      <c r="CL33" s="40">
        <f t="shared" si="89"/>
        <v>8.8800997980869503E-2</v>
      </c>
      <c r="CM33" s="4">
        <v>1535</v>
      </c>
      <c r="CN33" s="4">
        <v>23501.456771429977</v>
      </c>
      <c r="CO33" s="40">
        <f t="shared" si="90"/>
        <v>8.8800997980869503E-2</v>
      </c>
      <c r="CP33" s="39">
        <v>7696</v>
      </c>
      <c r="CQ33" s="39">
        <v>275719.57289698924</v>
      </c>
      <c r="CR33" s="39">
        <v>1460</v>
      </c>
      <c r="CS33" s="39">
        <v>22754.704294850017</v>
      </c>
      <c r="CT33" s="40">
        <f t="shared" si="91"/>
        <v>8.2528432986334749E-2</v>
      </c>
      <c r="CU33" s="4">
        <v>1460</v>
      </c>
      <c r="CV33" s="4">
        <v>22754.704294850017</v>
      </c>
      <c r="CW33" s="40">
        <f t="shared" si="92"/>
        <v>8.2528432986334749E-2</v>
      </c>
      <c r="CX33" s="42">
        <v>0</v>
      </c>
      <c r="CY33" s="42">
        <v>0</v>
      </c>
    </row>
    <row r="34" spans="1:103" s="29" customFormat="1" ht="35.1" customHeight="1" x14ac:dyDescent="0.25">
      <c r="A34" s="38">
        <f t="shared" si="93"/>
        <v>28</v>
      </c>
      <c r="B34" s="45" t="s">
        <v>2080</v>
      </c>
      <c r="C34" s="45" t="s">
        <v>2081</v>
      </c>
      <c r="D34" s="64">
        <v>11786</v>
      </c>
      <c r="E34" s="45" t="s">
        <v>2035</v>
      </c>
      <c r="F34" s="39">
        <v>1946</v>
      </c>
      <c r="G34" s="39">
        <v>482063.77880885999</v>
      </c>
      <c r="H34" s="39">
        <v>187</v>
      </c>
      <c r="I34" s="39">
        <v>26439.444919620008</v>
      </c>
      <c r="J34" s="40">
        <f t="shared" si="70"/>
        <v>5.4846362829727019E-2</v>
      </c>
      <c r="K34" s="39">
        <v>187</v>
      </c>
      <c r="L34" s="39">
        <v>26439.444919620008</v>
      </c>
      <c r="M34" s="40">
        <f t="shared" si="71"/>
        <v>5.4846362829727019E-2</v>
      </c>
      <c r="N34" s="39">
        <v>1662</v>
      </c>
      <c r="O34" s="39">
        <v>385844.46791751997</v>
      </c>
      <c r="P34" s="39">
        <v>232</v>
      </c>
      <c r="Q34" s="39">
        <v>79128.094060789939</v>
      </c>
      <c r="R34" s="40">
        <f t="shared" si="72"/>
        <v>0.20507769487498459</v>
      </c>
      <c r="S34" s="39">
        <v>232</v>
      </c>
      <c r="T34" s="39">
        <v>79128.094060789939</v>
      </c>
      <c r="U34" s="40">
        <f t="shared" si="73"/>
        <v>0.20507769487498459</v>
      </c>
      <c r="V34" s="39">
        <v>1725</v>
      </c>
      <c r="W34" s="39">
        <v>386088.82138523005</v>
      </c>
      <c r="X34" s="39">
        <v>225</v>
      </c>
      <c r="Y34" s="39">
        <v>27642.488728780016</v>
      </c>
      <c r="Z34" s="40">
        <f t="shared" si="13"/>
        <v>7.1596190300467183E-2</v>
      </c>
      <c r="AA34" s="39">
        <v>225</v>
      </c>
      <c r="AB34" s="39">
        <v>27642.488728780016</v>
      </c>
      <c r="AC34" s="40">
        <f t="shared" si="74"/>
        <v>7.1596190300467183E-2</v>
      </c>
      <c r="AD34" s="39">
        <v>1833</v>
      </c>
      <c r="AE34" s="39">
        <v>418217.44020729035</v>
      </c>
      <c r="AF34" s="39">
        <v>237</v>
      </c>
      <c r="AG34" s="39">
        <v>55990.877523190007</v>
      </c>
      <c r="AH34" s="40">
        <f t="shared" si="75"/>
        <v>0.13387982456073091</v>
      </c>
      <c r="AI34" s="39">
        <v>237</v>
      </c>
      <c r="AJ34" s="39">
        <v>55990.877523190007</v>
      </c>
      <c r="AK34" s="40">
        <f t="shared" si="76"/>
        <v>0.13387982456073091</v>
      </c>
      <c r="AL34" s="39">
        <v>1992</v>
      </c>
      <c r="AM34" s="39">
        <v>449653.97555919015</v>
      </c>
      <c r="AN34" s="39">
        <v>255</v>
      </c>
      <c r="AO34" s="39">
        <v>59358.794059149994</v>
      </c>
      <c r="AP34" s="40">
        <f t="shared" si="77"/>
        <v>0.13200993938801794</v>
      </c>
      <c r="AQ34" s="39">
        <v>255</v>
      </c>
      <c r="AR34" s="39">
        <v>59358.794059149994</v>
      </c>
      <c r="AS34" s="40">
        <f t="shared" si="78"/>
        <v>0.13200993938801794</v>
      </c>
      <c r="AT34" s="39">
        <v>2002</v>
      </c>
      <c r="AU34" s="39">
        <v>425241.263734921</v>
      </c>
      <c r="AV34" s="39">
        <v>226</v>
      </c>
      <c r="AW34" s="39">
        <v>78516.383424099957</v>
      </c>
      <c r="AX34" s="40">
        <f t="shared" si="79"/>
        <v>0.18463961548436195</v>
      </c>
      <c r="AY34" s="39">
        <v>226</v>
      </c>
      <c r="AZ34" s="39">
        <v>78516.383424099957</v>
      </c>
      <c r="BA34" s="40">
        <f t="shared" si="80"/>
        <v>0.18463961548436195</v>
      </c>
      <c r="BB34" s="41">
        <v>2010</v>
      </c>
      <c r="BC34" s="41">
        <v>423590.43378555996</v>
      </c>
      <c r="BD34" s="41">
        <v>267</v>
      </c>
      <c r="BE34" s="41">
        <v>60735.698589829997</v>
      </c>
      <c r="BF34" s="40">
        <f t="shared" si="81"/>
        <v>0.14338307418098367</v>
      </c>
      <c r="BG34" s="39">
        <v>267</v>
      </c>
      <c r="BH34" s="39">
        <v>60735.698589829997</v>
      </c>
      <c r="BI34" s="40">
        <f t="shared" si="82"/>
        <v>0.14338307418098367</v>
      </c>
      <c r="BJ34" s="39">
        <v>2019</v>
      </c>
      <c r="BK34" s="39">
        <v>415237.74398263969</v>
      </c>
      <c r="BL34" s="39">
        <v>270</v>
      </c>
      <c r="BM34" s="39">
        <v>93606.632447879965</v>
      </c>
      <c r="BN34" s="40">
        <f t="shared" si="83"/>
        <v>0.22542900736835109</v>
      </c>
      <c r="BO34" s="4">
        <v>270</v>
      </c>
      <c r="BP34" s="4">
        <v>93606.632447879965</v>
      </c>
      <c r="BQ34" s="40">
        <f t="shared" si="84"/>
        <v>0.22542900736835109</v>
      </c>
      <c r="BR34" s="39">
        <v>2008</v>
      </c>
      <c r="BS34" s="39">
        <v>411274.21197994961</v>
      </c>
      <c r="BT34" s="39">
        <v>275</v>
      </c>
      <c r="BU34" s="39">
        <v>56041.665159590011</v>
      </c>
      <c r="BV34" s="40">
        <f t="shared" si="85"/>
        <v>0.13626350383068062</v>
      </c>
      <c r="BW34" s="4">
        <v>275</v>
      </c>
      <c r="BX34" s="4">
        <v>56041.665159590011</v>
      </c>
      <c r="BY34" s="40">
        <f t="shared" si="86"/>
        <v>0.13626350383068062</v>
      </c>
      <c r="BZ34" s="39">
        <v>2034</v>
      </c>
      <c r="CA34" s="39">
        <v>401820.71042284981</v>
      </c>
      <c r="CB34" s="39">
        <v>264</v>
      </c>
      <c r="CC34" s="39">
        <v>59164.583492020007</v>
      </c>
      <c r="CD34" s="40">
        <f t="shared" si="87"/>
        <v>0.1472412495357919</v>
      </c>
      <c r="CE34" s="4">
        <v>264</v>
      </c>
      <c r="CF34" s="4">
        <v>59164.583492020007</v>
      </c>
      <c r="CG34" s="40">
        <f t="shared" si="88"/>
        <v>0.1472412495357919</v>
      </c>
      <c r="CH34" s="39">
        <v>2036</v>
      </c>
      <c r="CI34" s="39">
        <v>387490.70814900001</v>
      </c>
      <c r="CJ34" s="39">
        <v>264</v>
      </c>
      <c r="CK34" s="39">
        <v>48252.911371760005</v>
      </c>
      <c r="CL34" s="40">
        <f t="shared" si="89"/>
        <v>0.12452662827002689</v>
      </c>
      <c r="CM34" s="4">
        <v>264</v>
      </c>
      <c r="CN34" s="4">
        <v>48252.911371760005</v>
      </c>
      <c r="CO34" s="40">
        <f t="shared" si="90"/>
        <v>0.12452662827002689</v>
      </c>
      <c r="CP34" s="39">
        <v>2020</v>
      </c>
      <c r="CQ34" s="39">
        <v>379053.6452052801</v>
      </c>
      <c r="CR34" s="39">
        <v>250</v>
      </c>
      <c r="CS34" s="39">
        <v>45254.826314759994</v>
      </c>
      <c r="CT34" s="40">
        <f t="shared" si="91"/>
        <v>0.11938897537907019</v>
      </c>
      <c r="CU34" s="4">
        <v>250</v>
      </c>
      <c r="CV34" s="4">
        <v>45254.826314759994</v>
      </c>
      <c r="CW34" s="40">
        <f t="shared" si="92"/>
        <v>0.11938897537907019</v>
      </c>
      <c r="CX34" s="42">
        <v>0</v>
      </c>
      <c r="CY34" s="42">
        <v>0</v>
      </c>
    </row>
    <row r="35" spans="1:103" s="29" customFormat="1" ht="35.1" customHeight="1" x14ac:dyDescent="0.25">
      <c r="A35" s="38">
        <f t="shared" si="93"/>
        <v>29</v>
      </c>
      <c r="B35" s="45" t="s">
        <v>2080</v>
      </c>
      <c r="C35" s="45" t="s">
        <v>2082</v>
      </c>
      <c r="D35" s="64">
        <v>11412</v>
      </c>
      <c r="E35" s="45" t="s">
        <v>2062</v>
      </c>
      <c r="F35" s="39">
        <v>4002</v>
      </c>
      <c r="G35" s="39">
        <v>216185.51339723004</v>
      </c>
      <c r="H35" s="39">
        <v>347</v>
      </c>
      <c r="I35" s="39">
        <v>8451.3603890199956</v>
      </c>
      <c r="J35" s="40">
        <f t="shared" si="70"/>
        <v>3.9093093039453783E-2</v>
      </c>
      <c r="K35" s="39">
        <v>347</v>
      </c>
      <c r="L35" s="39">
        <v>8451.3603890199956</v>
      </c>
      <c r="M35" s="40">
        <f t="shared" si="71"/>
        <v>3.9093093039453783E-2</v>
      </c>
      <c r="N35" s="39">
        <v>4019</v>
      </c>
      <c r="O35" s="39">
        <v>224853.41429633039</v>
      </c>
      <c r="P35" s="39">
        <v>350</v>
      </c>
      <c r="Q35" s="39">
        <v>8329.0865943499939</v>
      </c>
      <c r="R35" s="40">
        <f t="shared" si="72"/>
        <v>3.7042295401275231E-2</v>
      </c>
      <c r="S35" s="39">
        <v>350</v>
      </c>
      <c r="T35" s="39">
        <v>8329.0865943499939</v>
      </c>
      <c r="U35" s="40">
        <f t="shared" si="73"/>
        <v>3.7042295401275231E-2</v>
      </c>
      <c r="V35" s="39">
        <v>4203</v>
      </c>
      <c r="W35" s="39">
        <v>227823.25080412012</v>
      </c>
      <c r="X35" s="39">
        <v>345</v>
      </c>
      <c r="Y35" s="39">
        <v>8430.5175874199904</v>
      </c>
      <c r="Z35" s="40">
        <f t="shared" si="13"/>
        <v>3.7004640912039546E-2</v>
      </c>
      <c r="AA35" s="39">
        <v>345</v>
      </c>
      <c r="AB35" s="39">
        <v>8430.5175874199904</v>
      </c>
      <c r="AC35" s="40">
        <f t="shared" si="74"/>
        <v>3.7004640912039546E-2</v>
      </c>
      <c r="AD35" s="39">
        <v>4367</v>
      </c>
      <c r="AE35" s="39">
        <v>235152.06460180003</v>
      </c>
      <c r="AF35" s="39">
        <v>359</v>
      </c>
      <c r="AG35" s="39">
        <v>8398.0676898999918</v>
      </c>
      <c r="AH35" s="40">
        <f t="shared" si="75"/>
        <v>3.5713348739340421E-2</v>
      </c>
      <c r="AI35" s="39">
        <v>359</v>
      </c>
      <c r="AJ35" s="39">
        <v>8398.0676898999918</v>
      </c>
      <c r="AK35" s="40">
        <f t="shared" si="76"/>
        <v>3.5713348739340421E-2</v>
      </c>
      <c r="AL35" s="39">
        <v>4522</v>
      </c>
      <c r="AM35" s="39">
        <v>246371.82807178973</v>
      </c>
      <c r="AN35" s="39">
        <v>385</v>
      </c>
      <c r="AO35" s="39">
        <v>8513.4732513099898</v>
      </c>
      <c r="AP35" s="40">
        <f t="shared" si="77"/>
        <v>3.4555384509422353E-2</v>
      </c>
      <c r="AQ35" s="39">
        <v>385</v>
      </c>
      <c r="AR35" s="39">
        <v>8513.4732513099898</v>
      </c>
      <c r="AS35" s="40">
        <f t="shared" si="78"/>
        <v>3.4555384509422353E-2</v>
      </c>
      <c r="AT35" s="39">
        <v>4636</v>
      </c>
      <c r="AU35" s="39">
        <v>246066.12493435017</v>
      </c>
      <c r="AV35" s="39">
        <v>293</v>
      </c>
      <c r="AW35" s="39">
        <v>7361.593350319994</v>
      </c>
      <c r="AX35" s="40">
        <f t="shared" si="79"/>
        <v>2.9917134478726192E-2</v>
      </c>
      <c r="AY35" s="39">
        <v>293</v>
      </c>
      <c r="AZ35" s="39">
        <v>7361.593350319994</v>
      </c>
      <c r="BA35" s="40">
        <f t="shared" si="80"/>
        <v>2.9917134478726192E-2</v>
      </c>
      <c r="BB35" s="41">
        <v>4652</v>
      </c>
      <c r="BC35" s="41">
        <v>250331.50083552033</v>
      </c>
      <c r="BD35" s="41">
        <v>358</v>
      </c>
      <c r="BE35" s="41">
        <v>7937.6127636099955</v>
      </c>
      <c r="BF35" s="40">
        <f t="shared" si="81"/>
        <v>3.1708405602638816E-2</v>
      </c>
      <c r="BG35" s="39">
        <v>358</v>
      </c>
      <c r="BH35" s="39">
        <v>7937.6127636099955</v>
      </c>
      <c r="BI35" s="40">
        <f t="shared" si="82"/>
        <v>3.1708405602638816E-2</v>
      </c>
      <c r="BJ35" s="39">
        <v>4690</v>
      </c>
      <c r="BK35" s="39">
        <v>248012.74112486053</v>
      </c>
      <c r="BL35" s="39">
        <v>369</v>
      </c>
      <c r="BM35" s="39">
        <v>18614.490706110013</v>
      </c>
      <c r="BN35" s="40">
        <f t="shared" si="83"/>
        <v>7.505457430003025E-2</v>
      </c>
      <c r="BO35" s="4">
        <v>369</v>
      </c>
      <c r="BP35" s="4">
        <v>18614.490706110013</v>
      </c>
      <c r="BQ35" s="40">
        <f t="shared" si="84"/>
        <v>7.505457430003025E-2</v>
      </c>
      <c r="BR35" s="39">
        <v>4753</v>
      </c>
      <c r="BS35" s="39">
        <v>247474.67270116042</v>
      </c>
      <c r="BT35" s="39">
        <v>367</v>
      </c>
      <c r="BU35" s="39">
        <v>31123.038123579972</v>
      </c>
      <c r="BV35" s="40">
        <f t="shared" si="85"/>
        <v>0.12576251857968024</v>
      </c>
      <c r="BW35" s="4">
        <v>367</v>
      </c>
      <c r="BX35" s="4">
        <v>31123.038123579972</v>
      </c>
      <c r="BY35" s="40">
        <f t="shared" si="86"/>
        <v>0.12576251857968024</v>
      </c>
      <c r="BZ35" s="39">
        <v>4905</v>
      </c>
      <c r="CA35" s="39">
        <v>244342.43859054064</v>
      </c>
      <c r="CB35" s="39">
        <v>323</v>
      </c>
      <c r="CC35" s="39">
        <v>7762.7608753499999</v>
      </c>
      <c r="CD35" s="40">
        <f t="shared" si="87"/>
        <v>3.1770006553624219E-2</v>
      </c>
      <c r="CE35" s="4">
        <v>323</v>
      </c>
      <c r="CF35" s="4">
        <v>7762.7608753499999</v>
      </c>
      <c r="CG35" s="40">
        <f t="shared" si="88"/>
        <v>3.1770006553624219E-2</v>
      </c>
      <c r="CH35" s="39">
        <v>4898</v>
      </c>
      <c r="CI35" s="39">
        <v>244420.87766879011</v>
      </c>
      <c r="CJ35" s="39">
        <v>339</v>
      </c>
      <c r="CK35" s="39">
        <v>7597.8562194299975</v>
      </c>
      <c r="CL35" s="40">
        <f t="shared" si="89"/>
        <v>3.1085135983046842E-2</v>
      </c>
      <c r="CM35" s="4">
        <v>339</v>
      </c>
      <c r="CN35" s="4">
        <v>7597.8562194299975</v>
      </c>
      <c r="CO35" s="40">
        <f t="shared" si="90"/>
        <v>3.1085135983046842E-2</v>
      </c>
      <c r="CP35" s="39">
        <v>4823</v>
      </c>
      <c r="CQ35" s="39">
        <v>242146.91792044032</v>
      </c>
      <c r="CR35" s="39">
        <v>320</v>
      </c>
      <c r="CS35" s="39">
        <v>8979.1863470599965</v>
      </c>
      <c r="CT35" s="40">
        <f t="shared" si="91"/>
        <v>3.7081563639848575E-2</v>
      </c>
      <c r="CU35" s="4">
        <v>320</v>
      </c>
      <c r="CV35" s="4">
        <v>8979.1863470599965</v>
      </c>
      <c r="CW35" s="40">
        <f t="shared" si="92"/>
        <v>3.7081563639848575E-2</v>
      </c>
      <c r="CX35" s="42">
        <v>0</v>
      </c>
      <c r="CY35" s="42">
        <v>0</v>
      </c>
    </row>
    <row r="36" spans="1:103" s="29" customFormat="1" ht="35.1" customHeight="1" x14ac:dyDescent="0.25">
      <c r="A36" s="38">
        <f t="shared" si="93"/>
        <v>30</v>
      </c>
      <c r="B36" s="45" t="s">
        <v>2080</v>
      </c>
      <c r="C36" s="45" t="s">
        <v>2083</v>
      </c>
      <c r="D36" s="64">
        <v>11413</v>
      </c>
      <c r="E36" s="45" t="s">
        <v>2043</v>
      </c>
      <c r="F36" s="39">
        <v>2479</v>
      </c>
      <c r="G36" s="39">
        <v>84426.879321030035</v>
      </c>
      <c r="H36" s="39">
        <v>162</v>
      </c>
      <c r="I36" s="39">
        <v>4695.0973902599999</v>
      </c>
      <c r="J36" s="40">
        <f t="shared" si="70"/>
        <v>5.5611405135644873E-2</v>
      </c>
      <c r="K36" s="39">
        <v>162</v>
      </c>
      <c r="L36" s="39">
        <v>4695.0973902599999</v>
      </c>
      <c r="M36" s="40">
        <f t="shared" si="71"/>
        <v>5.5611405135644873E-2</v>
      </c>
      <c r="N36" s="39">
        <v>2471</v>
      </c>
      <c r="O36" s="39">
        <v>84512.17169783017</v>
      </c>
      <c r="P36" s="39">
        <v>176</v>
      </c>
      <c r="Q36" s="39">
        <v>4606.2028135899991</v>
      </c>
      <c r="R36" s="40">
        <f t="shared" si="72"/>
        <v>5.4503425022129237E-2</v>
      </c>
      <c r="S36" s="39">
        <v>176</v>
      </c>
      <c r="T36" s="39">
        <v>4606.2028135899991</v>
      </c>
      <c r="U36" s="40">
        <f t="shared" si="73"/>
        <v>5.4503425022129237E-2</v>
      </c>
      <c r="V36" s="39">
        <v>2535</v>
      </c>
      <c r="W36" s="39">
        <v>87112.166672780033</v>
      </c>
      <c r="X36" s="39">
        <v>182</v>
      </c>
      <c r="Y36" s="39">
        <v>4559.0196041100016</v>
      </c>
      <c r="Z36" s="40">
        <f t="shared" si="13"/>
        <v>5.2335050065223092E-2</v>
      </c>
      <c r="AA36" s="39">
        <v>182</v>
      </c>
      <c r="AB36" s="39">
        <v>4559.0196041100016</v>
      </c>
      <c r="AC36" s="40">
        <f t="shared" si="74"/>
        <v>5.2335050065223092E-2</v>
      </c>
      <c r="AD36" s="39">
        <v>2629</v>
      </c>
      <c r="AE36" s="39">
        <v>88414.576004019909</v>
      </c>
      <c r="AF36" s="39">
        <v>181</v>
      </c>
      <c r="AG36" s="39">
        <v>4534.6264007900018</v>
      </c>
      <c r="AH36" s="40">
        <f t="shared" si="75"/>
        <v>5.1288221984843625E-2</v>
      </c>
      <c r="AI36" s="39">
        <v>181</v>
      </c>
      <c r="AJ36" s="39">
        <v>4534.6264007900018</v>
      </c>
      <c r="AK36" s="40">
        <f t="shared" si="76"/>
        <v>5.1288221984843625E-2</v>
      </c>
      <c r="AL36" s="39">
        <v>2745</v>
      </c>
      <c r="AM36" s="39">
        <v>94631.58887565005</v>
      </c>
      <c r="AN36" s="39">
        <v>225</v>
      </c>
      <c r="AO36" s="39">
        <v>5594.3436800199997</v>
      </c>
      <c r="AP36" s="40">
        <f t="shared" si="77"/>
        <v>5.9117084965900832E-2</v>
      </c>
      <c r="AQ36" s="39">
        <v>225</v>
      </c>
      <c r="AR36" s="39">
        <v>5594.3436800199997</v>
      </c>
      <c r="AS36" s="40">
        <f t="shared" si="78"/>
        <v>5.9117084965900832E-2</v>
      </c>
      <c r="AT36" s="39">
        <v>2750</v>
      </c>
      <c r="AU36" s="39">
        <v>96081.754244879936</v>
      </c>
      <c r="AV36" s="39">
        <v>149</v>
      </c>
      <c r="AW36" s="39">
        <v>4278.3319079000021</v>
      </c>
      <c r="AX36" s="40">
        <f t="shared" si="79"/>
        <v>4.4528036998533346E-2</v>
      </c>
      <c r="AY36" s="39">
        <v>149</v>
      </c>
      <c r="AZ36" s="39">
        <v>4278.3319079000021</v>
      </c>
      <c r="BA36" s="40">
        <f t="shared" si="80"/>
        <v>4.4528036998533346E-2</v>
      </c>
      <c r="BB36" s="41">
        <v>2737</v>
      </c>
      <c r="BC36" s="41">
        <v>95611.66016855996</v>
      </c>
      <c r="BD36" s="41">
        <v>187</v>
      </c>
      <c r="BE36" s="41">
        <v>5296.5323613</v>
      </c>
      <c r="BF36" s="40">
        <f t="shared" si="81"/>
        <v>5.5396301580397218E-2</v>
      </c>
      <c r="BG36" s="39">
        <v>187</v>
      </c>
      <c r="BH36" s="39">
        <v>5296.5323613</v>
      </c>
      <c r="BI36" s="40">
        <f t="shared" si="82"/>
        <v>5.5396301580397218E-2</v>
      </c>
      <c r="BJ36" s="39">
        <v>2764</v>
      </c>
      <c r="BK36" s="39">
        <v>94918.447388559958</v>
      </c>
      <c r="BL36" s="39">
        <v>182</v>
      </c>
      <c r="BM36" s="39">
        <v>4175.7640801100024</v>
      </c>
      <c r="BN36" s="40">
        <f t="shared" si="83"/>
        <v>4.3993177248422694E-2</v>
      </c>
      <c r="BO36" s="4">
        <v>182</v>
      </c>
      <c r="BP36" s="4">
        <v>4175.7640801100024</v>
      </c>
      <c r="BQ36" s="40">
        <f t="shared" si="84"/>
        <v>4.3993177248422694E-2</v>
      </c>
      <c r="BR36" s="39">
        <v>2780</v>
      </c>
      <c r="BS36" s="39">
        <v>94634.983088599925</v>
      </c>
      <c r="BT36" s="39">
        <v>184</v>
      </c>
      <c r="BU36" s="39">
        <v>3841.3219075600014</v>
      </c>
      <c r="BV36" s="40">
        <f t="shared" si="85"/>
        <v>4.0590929296871622E-2</v>
      </c>
      <c r="BW36" s="4">
        <v>184</v>
      </c>
      <c r="BX36" s="4">
        <v>3841.3219075600014</v>
      </c>
      <c r="BY36" s="40">
        <f t="shared" si="86"/>
        <v>4.0590929296871622E-2</v>
      </c>
      <c r="BZ36" s="39">
        <v>2885</v>
      </c>
      <c r="CA36" s="39">
        <v>96416.872101479952</v>
      </c>
      <c r="CB36" s="39">
        <v>161</v>
      </c>
      <c r="CC36" s="39">
        <v>3609.1338641900029</v>
      </c>
      <c r="CD36" s="40">
        <f t="shared" si="87"/>
        <v>3.7432596448382448E-2</v>
      </c>
      <c r="CE36" s="4">
        <v>161</v>
      </c>
      <c r="CF36" s="4">
        <v>3609.1338641900029</v>
      </c>
      <c r="CG36" s="40">
        <f t="shared" si="88"/>
        <v>3.7432596448382448E-2</v>
      </c>
      <c r="CH36" s="39">
        <v>2955</v>
      </c>
      <c r="CI36" s="39">
        <v>98548.157926069965</v>
      </c>
      <c r="CJ36" s="39">
        <v>167</v>
      </c>
      <c r="CK36" s="39">
        <v>3339.1535934400026</v>
      </c>
      <c r="CL36" s="40">
        <f t="shared" si="89"/>
        <v>3.3883470413977788E-2</v>
      </c>
      <c r="CM36" s="4">
        <v>167</v>
      </c>
      <c r="CN36" s="4">
        <v>3339.1535934400026</v>
      </c>
      <c r="CO36" s="40">
        <f t="shared" si="90"/>
        <v>3.3883470413977788E-2</v>
      </c>
      <c r="CP36" s="39">
        <v>2989</v>
      </c>
      <c r="CQ36" s="39">
        <v>97937.030442569958</v>
      </c>
      <c r="CR36" s="39">
        <v>175</v>
      </c>
      <c r="CS36" s="39">
        <v>3392.1991074800026</v>
      </c>
      <c r="CT36" s="40">
        <f t="shared" si="91"/>
        <v>3.4636532189621372E-2</v>
      </c>
      <c r="CU36" s="4">
        <v>175</v>
      </c>
      <c r="CV36" s="4">
        <v>3392.1991074800026</v>
      </c>
      <c r="CW36" s="40">
        <f t="shared" si="92"/>
        <v>3.4636532189621372E-2</v>
      </c>
      <c r="CX36" s="42">
        <v>0</v>
      </c>
      <c r="CY36" s="42">
        <v>0</v>
      </c>
    </row>
    <row r="37" spans="1:103" s="29" customFormat="1" ht="35.1" customHeight="1" x14ac:dyDescent="0.25">
      <c r="A37" s="38">
        <f t="shared" si="93"/>
        <v>31</v>
      </c>
      <c r="B37" s="45" t="s">
        <v>2080</v>
      </c>
      <c r="C37" s="45" t="s">
        <v>2084</v>
      </c>
      <c r="D37" s="64">
        <v>11787</v>
      </c>
      <c r="E37" s="45" t="s">
        <v>2068</v>
      </c>
      <c r="F37" s="39">
        <v>3740</v>
      </c>
      <c r="G37" s="39">
        <v>75976.461686639901</v>
      </c>
      <c r="H37" s="39">
        <v>455</v>
      </c>
      <c r="I37" s="39">
        <v>10417.640194070002</v>
      </c>
      <c r="J37" s="40">
        <f t="shared" si="70"/>
        <v>0.13711668012439035</v>
      </c>
      <c r="K37" s="39">
        <v>455</v>
      </c>
      <c r="L37" s="39">
        <v>10417.640194070002</v>
      </c>
      <c r="M37" s="40">
        <f t="shared" si="71"/>
        <v>0.13711668012439035</v>
      </c>
      <c r="N37" s="39">
        <v>3721</v>
      </c>
      <c r="O37" s="39">
        <v>73643.530017829937</v>
      </c>
      <c r="P37" s="39">
        <v>466</v>
      </c>
      <c r="Q37" s="39">
        <v>10376.278353190002</v>
      </c>
      <c r="R37" s="40">
        <f t="shared" si="72"/>
        <v>0.14089870964465973</v>
      </c>
      <c r="S37" s="39">
        <v>466</v>
      </c>
      <c r="T37" s="39">
        <v>10376.278353190002</v>
      </c>
      <c r="U37" s="40">
        <f t="shared" si="73"/>
        <v>0.14089870964465973</v>
      </c>
      <c r="V37" s="39">
        <v>3801</v>
      </c>
      <c r="W37" s="39">
        <v>74113.537093749983</v>
      </c>
      <c r="X37" s="39">
        <v>464</v>
      </c>
      <c r="Y37" s="39">
        <v>13147.32770846001</v>
      </c>
      <c r="Z37" s="40">
        <f t="shared" si="13"/>
        <v>0.17739441705270775</v>
      </c>
      <c r="AA37" s="39">
        <v>464</v>
      </c>
      <c r="AB37" s="39">
        <v>13147.32770846001</v>
      </c>
      <c r="AC37" s="40">
        <f t="shared" si="74"/>
        <v>0.17739441705270775</v>
      </c>
      <c r="AD37" s="39">
        <v>3892</v>
      </c>
      <c r="AE37" s="39">
        <v>75974.988287249973</v>
      </c>
      <c r="AF37" s="39">
        <v>478</v>
      </c>
      <c r="AG37" s="39">
        <v>10175.266630050002</v>
      </c>
      <c r="AH37" s="40">
        <f t="shared" si="75"/>
        <v>0.13392916352390677</v>
      </c>
      <c r="AI37" s="39">
        <v>478</v>
      </c>
      <c r="AJ37" s="39">
        <v>10175.266630050002</v>
      </c>
      <c r="AK37" s="40">
        <f t="shared" si="76"/>
        <v>0.13392916352390677</v>
      </c>
      <c r="AL37" s="39">
        <v>4056</v>
      </c>
      <c r="AM37" s="39">
        <v>82620.664180459891</v>
      </c>
      <c r="AN37" s="39">
        <v>492</v>
      </c>
      <c r="AO37" s="39">
        <v>10126.355089659997</v>
      </c>
      <c r="AP37" s="40">
        <f t="shared" si="77"/>
        <v>0.12256443578742035</v>
      </c>
      <c r="AQ37" s="39">
        <v>492</v>
      </c>
      <c r="AR37" s="39">
        <v>10126.355089659997</v>
      </c>
      <c r="AS37" s="40">
        <f t="shared" si="78"/>
        <v>0.12256443578742035</v>
      </c>
      <c r="AT37" s="39">
        <v>4146</v>
      </c>
      <c r="AU37" s="39">
        <v>86041.385442679806</v>
      </c>
      <c r="AV37" s="39">
        <v>413</v>
      </c>
      <c r="AW37" s="39">
        <v>9284.1812605099967</v>
      </c>
      <c r="AX37" s="40">
        <f t="shared" si="79"/>
        <v>0.10790366999256487</v>
      </c>
      <c r="AY37" s="39">
        <v>413</v>
      </c>
      <c r="AZ37" s="39">
        <v>9284.1812605099967</v>
      </c>
      <c r="BA37" s="40">
        <f t="shared" si="80"/>
        <v>0.10790366999256487</v>
      </c>
      <c r="BB37" s="41">
        <v>4105</v>
      </c>
      <c r="BC37" s="41">
        <v>86802.836487310138</v>
      </c>
      <c r="BD37" s="41">
        <v>399</v>
      </c>
      <c r="BE37" s="41">
        <v>9570.7026212899891</v>
      </c>
      <c r="BF37" s="40">
        <f t="shared" si="81"/>
        <v>0.11025794788041457</v>
      </c>
      <c r="BG37" s="39">
        <v>399</v>
      </c>
      <c r="BH37" s="39">
        <v>9570.7026212899891</v>
      </c>
      <c r="BI37" s="40">
        <f t="shared" si="82"/>
        <v>0.11025794788041457</v>
      </c>
      <c r="BJ37" s="39">
        <v>4113</v>
      </c>
      <c r="BK37" s="39">
        <v>86782.092262049569</v>
      </c>
      <c r="BL37" s="39">
        <v>378</v>
      </c>
      <c r="BM37" s="39">
        <v>9528.0317197299919</v>
      </c>
      <c r="BN37" s="40">
        <f t="shared" si="83"/>
        <v>0.10979260203774401</v>
      </c>
      <c r="BO37" s="4">
        <v>378</v>
      </c>
      <c r="BP37" s="4">
        <v>9528.0317197299919</v>
      </c>
      <c r="BQ37" s="40">
        <f t="shared" si="84"/>
        <v>0.10979260203774401</v>
      </c>
      <c r="BR37" s="39">
        <v>4134</v>
      </c>
      <c r="BS37" s="39">
        <v>87007.59864556005</v>
      </c>
      <c r="BT37" s="39">
        <v>378</v>
      </c>
      <c r="BU37" s="39">
        <v>9400.8321351599952</v>
      </c>
      <c r="BV37" s="40">
        <f t="shared" si="85"/>
        <v>0.10804610495522179</v>
      </c>
      <c r="BW37" s="4">
        <v>378</v>
      </c>
      <c r="BX37" s="4">
        <v>9400.8321351599952</v>
      </c>
      <c r="BY37" s="40">
        <f t="shared" si="86"/>
        <v>0.10804610495522179</v>
      </c>
      <c r="BZ37" s="39">
        <v>4235</v>
      </c>
      <c r="CA37" s="39">
        <v>87603.106332919939</v>
      </c>
      <c r="CB37" s="39">
        <v>348</v>
      </c>
      <c r="CC37" s="39">
        <v>9034.4870790599944</v>
      </c>
      <c r="CD37" s="40">
        <f t="shared" si="87"/>
        <v>0.1031297571198679</v>
      </c>
      <c r="CE37" s="4">
        <v>348</v>
      </c>
      <c r="CF37" s="4">
        <v>9034.4870790599944</v>
      </c>
      <c r="CG37" s="40">
        <f t="shared" si="88"/>
        <v>0.1031297571198679</v>
      </c>
      <c r="CH37" s="39">
        <v>4211</v>
      </c>
      <c r="CI37" s="39">
        <v>88659.827157420121</v>
      </c>
      <c r="CJ37" s="39">
        <v>344</v>
      </c>
      <c r="CK37" s="39">
        <v>8905.2916874300063</v>
      </c>
      <c r="CL37" s="40">
        <f t="shared" si="89"/>
        <v>0.10044336846741421</v>
      </c>
      <c r="CM37" s="4">
        <v>344</v>
      </c>
      <c r="CN37" s="4">
        <v>8905.2916874300063</v>
      </c>
      <c r="CO37" s="40">
        <f t="shared" si="90"/>
        <v>0.10044336846741421</v>
      </c>
      <c r="CP37" s="39">
        <v>4143</v>
      </c>
      <c r="CQ37" s="39">
        <v>90573.786068950008</v>
      </c>
      <c r="CR37" s="39">
        <v>321</v>
      </c>
      <c r="CS37" s="39">
        <v>8699.0240126499957</v>
      </c>
      <c r="CT37" s="40">
        <f t="shared" si="91"/>
        <v>9.6043506517744501E-2</v>
      </c>
      <c r="CU37" s="4">
        <v>321</v>
      </c>
      <c r="CV37" s="4">
        <v>8699.0240126499957</v>
      </c>
      <c r="CW37" s="40">
        <f t="shared" si="92"/>
        <v>9.6043506517744501E-2</v>
      </c>
      <c r="CX37" s="42">
        <v>0</v>
      </c>
      <c r="CY37" s="42">
        <v>0</v>
      </c>
    </row>
    <row r="38" spans="1:103" s="29" customFormat="1" ht="35.1" customHeight="1" x14ac:dyDescent="0.25">
      <c r="A38" s="38">
        <f t="shared" si="93"/>
        <v>32</v>
      </c>
      <c r="B38" s="45" t="s">
        <v>2080</v>
      </c>
      <c r="C38" s="45" t="s">
        <v>2085</v>
      </c>
      <c r="D38" s="64">
        <v>11785</v>
      </c>
      <c r="E38" s="45" t="s">
        <v>2077</v>
      </c>
      <c r="F38" s="39">
        <v>2950</v>
      </c>
      <c r="G38" s="39">
        <v>87731.938128840105</v>
      </c>
      <c r="H38" s="39">
        <v>32</v>
      </c>
      <c r="I38" s="39">
        <v>5135.7793239600023</v>
      </c>
      <c r="J38" s="40">
        <f t="shared" si="70"/>
        <v>5.8539449070619795E-2</v>
      </c>
      <c r="K38" s="39">
        <v>32</v>
      </c>
      <c r="L38" s="39">
        <v>5135.7793239600023</v>
      </c>
      <c r="M38" s="40">
        <f t="shared" si="71"/>
        <v>5.8539449070619795E-2</v>
      </c>
      <c r="N38" s="39">
        <v>2956</v>
      </c>
      <c r="O38" s="39">
        <v>88116.412139650085</v>
      </c>
      <c r="P38" s="39">
        <v>31</v>
      </c>
      <c r="Q38" s="39">
        <v>5134.3859765900024</v>
      </c>
      <c r="R38" s="40">
        <f t="shared" si="72"/>
        <v>5.8268214194341472E-2</v>
      </c>
      <c r="S38" s="39">
        <v>31</v>
      </c>
      <c r="T38" s="39">
        <v>5134.3859765900024</v>
      </c>
      <c r="U38" s="40">
        <f t="shared" si="73"/>
        <v>5.8268214194341472E-2</v>
      </c>
      <c r="V38" s="39">
        <v>3041</v>
      </c>
      <c r="W38" s="39">
        <v>90824.891265620085</v>
      </c>
      <c r="X38" s="39">
        <v>30</v>
      </c>
      <c r="Y38" s="39">
        <v>5134.9915811100018</v>
      </c>
      <c r="Z38" s="40">
        <f t="shared" si="13"/>
        <v>5.6537271991799767E-2</v>
      </c>
      <c r="AA38" s="39">
        <v>30</v>
      </c>
      <c r="AB38" s="39">
        <v>5134.9915811100018</v>
      </c>
      <c r="AC38" s="40">
        <f t="shared" si="74"/>
        <v>5.6537271991799767E-2</v>
      </c>
      <c r="AD38" s="39">
        <v>3153</v>
      </c>
      <c r="AE38" s="39">
        <v>93668.677079639965</v>
      </c>
      <c r="AF38" s="39">
        <v>30</v>
      </c>
      <c r="AG38" s="39">
        <v>5131.3431031100017</v>
      </c>
      <c r="AH38" s="40">
        <f t="shared" si="75"/>
        <v>5.4781846643859156E-2</v>
      </c>
      <c r="AI38" s="39">
        <v>30</v>
      </c>
      <c r="AJ38" s="39">
        <v>5131.3431031100017</v>
      </c>
      <c r="AK38" s="40">
        <f t="shared" si="76"/>
        <v>5.4781846643859156E-2</v>
      </c>
      <c r="AL38" s="39">
        <v>3337</v>
      </c>
      <c r="AM38" s="39">
        <v>98725.540449080159</v>
      </c>
      <c r="AN38" s="39">
        <v>34</v>
      </c>
      <c r="AO38" s="39">
        <v>5126.3000448500015</v>
      </c>
      <c r="AP38" s="40">
        <f t="shared" si="77"/>
        <v>5.1924760518216685E-2</v>
      </c>
      <c r="AQ38" s="39">
        <v>34</v>
      </c>
      <c r="AR38" s="39">
        <v>5126.3000448500015</v>
      </c>
      <c r="AS38" s="40">
        <f t="shared" si="78"/>
        <v>5.1924760518216685E-2</v>
      </c>
      <c r="AT38" s="39">
        <v>3366</v>
      </c>
      <c r="AU38" s="39">
        <v>97027.715951810198</v>
      </c>
      <c r="AV38" s="39">
        <v>28</v>
      </c>
      <c r="AW38" s="39">
        <v>929.42002748000004</v>
      </c>
      <c r="AX38" s="40">
        <f t="shared" si="79"/>
        <v>9.5789127710849756E-3</v>
      </c>
      <c r="AY38" s="39">
        <v>28</v>
      </c>
      <c r="AZ38" s="39">
        <v>929.42002748000004</v>
      </c>
      <c r="BA38" s="40">
        <f t="shared" si="80"/>
        <v>9.5789127710849756E-3</v>
      </c>
      <c r="BB38" s="41">
        <v>3368</v>
      </c>
      <c r="BC38" s="41">
        <v>96511.481766470053</v>
      </c>
      <c r="BD38" s="41">
        <v>35</v>
      </c>
      <c r="BE38" s="41">
        <v>998.21238001999996</v>
      </c>
      <c r="BF38" s="40">
        <f t="shared" si="81"/>
        <v>1.0342939117185932E-2</v>
      </c>
      <c r="BG38" s="39">
        <v>35</v>
      </c>
      <c r="BH38" s="39">
        <v>998.21238001999996</v>
      </c>
      <c r="BI38" s="40">
        <f t="shared" si="82"/>
        <v>1.0342939117185932E-2</v>
      </c>
      <c r="BJ38" s="39">
        <v>3445</v>
      </c>
      <c r="BK38" s="39">
        <v>100967.51965560988</v>
      </c>
      <c r="BL38" s="39">
        <v>36</v>
      </c>
      <c r="BM38" s="39">
        <v>998.91681669000002</v>
      </c>
      <c r="BN38" s="40">
        <f t="shared" si="83"/>
        <v>9.8934471213832469E-3</v>
      </c>
      <c r="BO38" s="4">
        <v>36</v>
      </c>
      <c r="BP38" s="4">
        <v>998.91681669000002</v>
      </c>
      <c r="BQ38" s="40">
        <f t="shared" si="84"/>
        <v>9.8934471213832469E-3</v>
      </c>
      <c r="BR38" s="39">
        <v>3485</v>
      </c>
      <c r="BS38" s="39">
        <v>104901.79930895002</v>
      </c>
      <c r="BT38" s="39">
        <v>34</v>
      </c>
      <c r="BU38" s="39">
        <v>991.0057395</v>
      </c>
      <c r="BV38" s="40">
        <f t="shared" si="85"/>
        <v>9.4469851425651313E-3</v>
      </c>
      <c r="BW38" s="4">
        <v>34</v>
      </c>
      <c r="BX38" s="4">
        <v>991.0057395</v>
      </c>
      <c r="BY38" s="40">
        <f t="shared" si="86"/>
        <v>9.4469851425651313E-3</v>
      </c>
      <c r="BZ38" s="39">
        <v>3615</v>
      </c>
      <c r="CA38" s="39">
        <v>107157.14606152011</v>
      </c>
      <c r="CB38" s="39">
        <v>33</v>
      </c>
      <c r="CC38" s="39">
        <v>986.48617578000005</v>
      </c>
      <c r="CD38" s="40">
        <f t="shared" si="87"/>
        <v>9.2059765684096087E-3</v>
      </c>
      <c r="CE38" s="4">
        <v>33</v>
      </c>
      <c r="CF38" s="4">
        <v>986.48617578000005</v>
      </c>
      <c r="CG38" s="40">
        <f t="shared" si="88"/>
        <v>9.2059765684096087E-3</v>
      </c>
      <c r="CH38" s="39">
        <v>3665</v>
      </c>
      <c r="CI38" s="39">
        <v>115057.42345191004</v>
      </c>
      <c r="CJ38" s="39">
        <v>34</v>
      </c>
      <c r="CK38" s="39">
        <v>986.23711564000007</v>
      </c>
      <c r="CL38" s="40">
        <f t="shared" si="89"/>
        <v>8.5716947768451675E-3</v>
      </c>
      <c r="CM38" s="4">
        <v>34</v>
      </c>
      <c r="CN38" s="4">
        <v>986.23711564000007</v>
      </c>
      <c r="CO38" s="40">
        <f t="shared" si="90"/>
        <v>8.5716947768451675E-3</v>
      </c>
      <c r="CP38" s="39">
        <v>3688</v>
      </c>
      <c r="CQ38" s="39">
        <v>120892.16312988989</v>
      </c>
      <c r="CR38" s="39">
        <v>35</v>
      </c>
      <c r="CS38" s="39">
        <v>813.4680595100001</v>
      </c>
      <c r="CT38" s="40">
        <f t="shared" si="91"/>
        <v>6.7288733897166476E-3</v>
      </c>
      <c r="CU38" s="4">
        <v>35</v>
      </c>
      <c r="CV38" s="4">
        <v>813.4680595100001</v>
      </c>
      <c r="CW38" s="40">
        <f t="shared" si="92"/>
        <v>6.7288733897166476E-3</v>
      </c>
      <c r="CX38" s="42">
        <v>0</v>
      </c>
      <c r="CY38" s="42">
        <v>0</v>
      </c>
    </row>
    <row r="39" spans="1:103" s="29" customFormat="1" ht="35.1" customHeight="1" x14ac:dyDescent="0.25">
      <c r="A39" s="38">
        <f t="shared" si="93"/>
        <v>33</v>
      </c>
      <c r="B39" s="45" t="s">
        <v>2080</v>
      </c>
      <c r="C39" s="45" t="s">
        <v>2086</v>
      </c>
      <c r="D39" s="64">
        <v>11943</v>
      </c>
      <c r="E39" s="45" t="s">
        <v>2087</v>
      </c>
      <c r="F39" s="39">
        <v>2066</v>
      </c>
      <c r="G39" s="39">
        <v>79001.689963809884</v>
      </c>
      <c r="H39" s="39">
        <v>425</v>
      </c>
      <c r="I39" s="39">
        <v>40326.84205054005</v>
      </c>
      <c r="J39" s="40">
        <f t="shared" si="70"/>
        <v>0.51045543543452665</v>
      </c>
      <c r="K39" s="39">
        <v>425</v>
      </c>
      <c r="L39" s="39">
        <v>40326.84205054005</v>
      </c>
      <c r="M39" s="40">
        <f t="shared" si="71"/>
        <v>0.51045543543452665</v>
      </c>
      <c r="N39" s="39">
        <v>2060</v>
      </c>
      <c r="O39" s="39">
        <v>78254.210855599973</v>
      </c>
      <c r="P39" s="39">
        <v>477</v>
      </c>
      <c r="Q39" s="39">
        <v>42215.789326140031</v>
      </c>
      <c r="R39" s="40">
        <f t="shared" si="72"/>
        <v>0.5394698747143396</v>
      </c>
      <c r="S39" s="39">
        <v>477</v>
      </c>
      <c r="T39" s="39">
        <v>42215.789326140031</v>
      </c>
      <c r="U39" s="40">
        <f t="shared" si="73"/>
        <v>0.5394698747143396</v>
      </c>
      <c r="V39" s="39">
        <v>2120</v>
      </c>
      <c r="W39" s="39">
        <v>78219.372383939946</v>
      </c>
      <c r="X39" s="39">
        <v>524</v>
      </c>
      <c r="Y39" s="39">
        <v>35101.873525380026</v>
      </c>
      <c r="Z39" s="40">
        <f t="shared" si="13"/>
        <v>0.44876189178663323</v>
      </c>
      <c r="AA39" s="39">
        <v>524</v>
      </c>
      <c r="AB39" s="39">
        <v>35101.873525380026</v>
      </c>
      <c r="AC39" s="40">
        <f t="shared" si="74"/>
        <v>0.44876189178663323</v>
      </c>
      <c r="AD39" s="39">
        <v>2199</v>
      </c>
      <c r="AE39" s="39">
        <v>79393.315768249988</v>
      </c>
      <c r="AF39" s="39">
        <v>544</v>
      </c>
      <c r="AG39" s="39">
        <v>35112.590602150063</v>
      </c>
      <c r="AH39" s="40">
        <f t="shared" si="75"/>
        <v>0.44226129444755935</v>
      </c>
      <c r="AI39" s="39">
        <v>544</v>
      </c>
      <c r="AJ39" s="39">
        <v>35112.590602150063</v>
      </c>
      <c r="AK39" s="40">
        <f t="shared" si="76"/>
        <v>0.44226129444755935</v>
      </c>
      <c r="AL39" s="39">
        <v>2375</v>
      </c>
      <c r="AM39" s="39">
        <v>84770.884381579934</v>
      </c>
      <c r="AN39" s="39">
        <v>534</v>
      </c>
      <c r="AO39" s="39">
        <v>37701.640546910006</v>
      </c>
      <c r="AP39" s="40">
        <f t="shared" si="77"/>
        <v>0.44474751941012292</v>
      </c>
      <c r="AQ39" s="39">
        <v>534</v>
      </c>
      <c r="AR39" s="39">
        <v>37701.640546910006</v>
      </c>
      <c r="AS39" s="40">
        <f t="shared" si="78"/>
        <v>0.44474751941012292</v>
      </c>
      <c r="AT39" s="39">
        <v>2423</v>
      </c>
      <c r="AU39" s="39">
        <v>85120.806678709603</v>
      </c>
      <c r="AV39" s="39">
        <v>453</v>
      </c>
      <c r="AW39" s="39">
        <v>28739.248471319974</v>
      </c>
      <c r="AX39" s="40">
        <f t="shared" si="79"/>
        <v>0.33762894869872312</v>
      </c>
      <c r="AY39" s="39">
        <v>453</v>
      </c>
      <c r="AZ39" s="39">
        <v>28739.248471319974</v>
      </c>
      <c r="BA39" s="40">
        <f t="shared" si="80"/>
        <v>0.33762894869872312</v>
      </c>
      <c r="BB39" s="41">
        <v>2409</v>
      </c>
      <c r="BC39" s="41">
        <v>84728.857278539974</v>
      </c>
      <c r="BD39" s="41">
        <v>470</v>
      </c>
      <c r="BE39" s="41">
        <v>28023.484422569982</v>
      </c>
      <c r="BF39" s="40">
        <f t="shared" si="81"/>
        <v>0.33074309417917452</v>
      </c>
      <c r="BG39" s="39">
        <v>470</v>
      </c>
      <c r="BH39" s="39">
        <v>28023.484422569982</v>
      </c>
      <c r="BI39" s="40">
        <f t="shared" si="82"/>
        <v>0.33074309417917452</v>
      </c>
      <c r="BJ39" s="39">
        <v>2386</v>
      </c>
      <c r="BK39" s="39">
        <v>82881.946090309924</v>
      </c>
      <c r="BL39" s="39">
        <v>452</v>
      </c>
      <c r="BM39" s="39">
        <v>26771.112745959985</v>
      </c>
      <c r="BN39" s="40">
        <f t="shared" si="83"/>
        <v>0.32300294586217382</v>
      </c>
      <c r="BO39" s="4">
        <v>452</v>
      </c>
      <c r="BP39" s="4">
        <v>26771.112745959985</v>
      </c>
      <c r="BQ39" s="40">
        <f t="shared" si="84"/>
        <v>0.32300294586217382</v>
      </c>
      <c r="BR39" s="39">
        <v>2356</v>
      </c>
      <c r="BS39" s="39">
        <v>83874.629995599898</v>
      </c>
      <c r="BT39" s="39">
        <v>466</v>
      </c>
      <c r="BU39" s="39">
        <v>26719.811770759981</v>
      </c>
      <c r="BV39" s="40">
        <f t="shared" si="85"/>
        <v>0.31856846071525696</v>
      </c>
      <c r="BW39" s="4">
        <v>466</v>
      </c>
      <c r="BX39" s="4">
        <v>26719.811770759981</v>
      </c>
      <c r="BY39" s="40">
        <f t="shared" si="86"/>
        <v>0.31856846071525696</v>
      </c>
      <c r="BZ39" s="39">
        <v>2363</v>
      </c>
      <c r="CA39" s="39">
        <v>84533.436430940055</v>
      </c>
      <c r="CB39" s="39">
        <v>422</v>
      </c>
      <c r="CC39" s="39">
        <v>39365.193020779981</v>
      </c>
      <c r="CD39" s="40">
        <f t="shared" si="87"/>
        <v>0.4656760056470618</v>
      </c>
      <c r="CE39" s="4">
        <v>422</v>
      </c>
      <c r="CF39" s="4">
        <v>39365.193020779981</v>
      </c>
      <c r="CG39" s="40">
        <f t="shared" si="88"/>
        <v>0.4656760056470618</v>
      </c>
      <c r="CH39" s="39">
        <v>2314</v>
      </c>
      <c r="CI39" s="39">
        <v>87894.972939839965</v>
      </c>
      <c r="CJ39" s="39">
        <v>421</v>
      </c>
      <c r="CK39" s="39">
        <v>37575.846356389993</v>
      </c>
      <c r="CL39" s="40">
        <f t="shared" si="89"/>
        <v>0.42750848085599752</v>
      </c>
      <c r="CM39" s="4">
        <v>421</v>
      </c>
      <c r="CN39" s="4">
        <v>37575.846356389993</v>
      </c>
      <c r="CO39" s="40">
        <f t="shared" si="90"/>
        <v>0.42750848085599752</v>
      </c>
      <c r="CP39" s="39">
        <v>2257</v>
      </c>
      <c r="CQ39" s="39">
        <v>87583.860766959828</v>
      </c>
      <c r="CR39" s="39">
        <v>405</v>
      </c>
      <c r="CS39" s="39">
        <v>34994.602005999986</v>
      </c>
      <c r="CT39" s="40">
        <f t="shared" si="91"/>
        <v>0.39955537126996993</v>
      </c>
      <c r="CU39" s="4">
        <v>405</v>
      </c>
      <c r="CV39" s="4">
        <v>34994.602005999986</v>
      </c>
      <c r="CW39" s="40">
        <f t="shared" si="92"/>
        <v>0.39955537126996993</v>
      </c>
      <c r="CX39" s="42"/>
      <c r="CY39" s="42"/>
    </row>
    <row r="40" spans="1:103" s="29" customFormat="1" ht="35.1" customHeight="1" x14ac:dyDescent="0.25">
      <c r="A40" s="38">
        <f t="shared" si="93"/>
        <v>34</v>
      </c>
      <c r="B40" s="45" t="s">
        <v>2080</v>
      </c>
      <c r="C40" s="45" t="s">
        <v>2088</v>
      </c>
      <c r="D40" s="64">
        <v>11247</v>
      </c>
      <c r="E40" s="45" t="s">
        <v>2049</v>
      </c>
      <c r="F40" s="39">
        <v>1446</v>
      </c>
      <c r="G40" s="39">
        <v>27971.272026870003</v>
      </c>
      <c r="H40" s="39">
        <v>83</v>
      </c>
      <c r="I40" s="39">
        <v>3367.3845774800006</v>
      </c>
      <c r="J40" s="40">
        <f t="shared" si="70"/>
        <v>0.12038725211514138</v>
      </c>
      <c r="K40" s="39">
        <v>83</v>
      </c>
      <c r="L40" s="39">
        <v>3367.3845774800006</v>
      </c>
      <c r="M40" s="40">
        <f t="shared" si="71"/>
        <v>0.12038725211514138</v>
      </c>
      <c r="N40" s="39">
        <v>1457</v>
      </c>
      <c r="O40" s="39">
        <v>27710.65208200999</v>
      </c>
      <c r="P40" s="39">
        <v>101</v>
      </c>
      <c r="Q40" s="39">
        <v>3558.5726089099999</v>
      </c>
      <c r="R40" s="40">
        <f t="shared" si="72"/>
        <v>0.12841894150950919</v>
      </c>
      <c r="S40" s="39">
        <v>101</v>
      </c>
      <c r="T40" s="39">
        <v>3558.5726089099999</v>
      </c>
      <c r="U40" s="40">
        <f t="shared" si="73"/>
        <v>0.12841894150950919</v>
      </c>
      <c r="V40" s="39">
        <v>1500</v>
      </c>
      <c r="W40" s="39">
        <v>27918.590574280002</v>
      </c>
      <c r="X40" s="39">
        <v>114</v>
      </c>
      <c r="Y40" s="39">
        <v>4232.983595929999</v>
      </c>
      <c r="Z40" s="40">
        <f t="shared" si="13"/>
        <v>0.15161881416140091</v>
      </c>
      <c r="AA40" s="39">
        <v>114</v>
      </c>
      <c r="AB40" s="39">
        <v>4232.983595929999</v>
      </c>
      <c r="AC40" s="40">
        <f t="shared" si="74"/>
        <v>0.15161881416140091</v>
      </c>
      <c r="AD40" s="39">
        <v>1531</v>
      </c>
      <c r="AE40" s="39">
        <v>27995.107549410004</v>
      </c>
      <c r="AF40" s="39">
        <v>123</v>
      </c>
      <c r="AG40" s="39">
        <v>4349.6569636599979</v>
      </c>
      <c r="AH40" s="40">
        <f t="shared" si="75"/>
        <v>0.15537203977455935</v>
      </c>
      <c r="AI40" s="39">
        <v>123</v>
      </c>
      <c r="AJ40" s="39">
        <v>4349.6569636599979</v>
      </c>
      <c r="AK40" s="40">
        <f t="shared" si="76"/>
        <v>0.15537203977455935</v>
      </c>
      <c r="AL40" s="39">
        <v>1589</v>
      </c>
      <c r="AM40" s="39">
        <v>28938.223436710014</v>
      </c>
      <c r="AN40" s="39">
        <v>133</v>
      </c>
      <c r="AO40" s="39">
        <v>4552.0554713199972</v>
      </c>
      <c r="AP40" s="40">
        <f t="shared" si="77"/>
        <v>0.15730252001390727</v>
      </c>
      <c r="AQ40" s="39">
        <v>133</v>
      </c>
      <c r="AR40" s="39">
        <v>4552.0554713199972</v>
      </c>
      <c r="AS40" s="40">
        <f t="shared" si="78"/>
        <v>0.15730252001390727</v>
      </c>
      <c r="AT40" s="39">
        <v>1593</v>
      </c>
      <c r="AU40" s="39">
        <v>29308.764754089967</v>
      </c>
      <c r="AV40" s="39">
        <v>105</v>
      </c>
      <c r="AW40" s="39">
        <v>4593.60827324</v>
      </c>
      <c r="AX40" s="40">
        <f t="shared" si="79"/>
        <v>0.15673155493866295</v>
      </c>
      <c r="AY40" s="39">
        <v>105</v>
      </c>
      <c r="AZ40" s="39">
        <v>4593.60827324</v>
      </c>
      <c r="BA40" s="40">
        <f t="shared" si="80"/>
        <v>0.15673155493866295</v>
      </c>
      <c r="BB40" s="41">
        <v>1573</v>
      </c>
      <c r="BC40" s="41">
        <v>28561.478307949976</v>
      </c>
      <c r="BD40" s="41">
        <v>165</v>
      </c>
      <c r="BE40" s="41">
        <v>5893.3793425500007</v>
      </c>
      <c r="BF40" s="40">
        <f t="shared" si="81"/>
        <v>0.20634013684472352</v>
      </c>
      <c r="BG40" s="39">
        <v>165</v>
      </c>
      <c r="BH40" s="39">
        <v>5893.3793425500007</v>
      </c>
      <c r="BI40" s="40">
        <f t="shared" si="82"/>
        <v>0.20634013684472352</v>
      </c>
      <c r="BJ40" s="39">
        <v>1552</v>
      </c>
      <c r="BK40" s="39">
        <v>28101.22376780997</v>
      </c>
      <c r="BL40" s="39">
        <v>154</v>
      </c>
      <c r="BM40" s="39">
        <v>5645.2265123100024</v>
      </c>
      <c r="BN40" s="40">
        <f t="shared" si="83"/>
        <v>0.20088899184442727</v>
      </c>
      <c r="BO40" s="4">
        <v>154</v>
      </c>
      <c r="BP40" s="4">
        <v>5645.2265123100024</v>
      </c>
      <c r="BQ40" s="40">
        <f t="shared" si="84"/>
        <v>0.20088899184442727</v>
      </c>
      <c r="BR40" s="39">
        <v>1521</v>
      </c>
      <c r="BS40" s="39">
        <v>28153.593441569988</v>
      </c>
      <c r="BT40" s="39">
        <v>179</v>
      </c>
      <c r="BU40" s="39">
        <v>6082.8017649699987</v>
      </c>
      <c r="BV40" s="40">
        <f t="shared" si="85"/>
        <v>0.2160577397551135</v>
      </c>
      <c r="BW40" s="4">
        <v>179</v>
      </c>
      <c r="BX40" s="4">
        <v>6082.8017649699987</v>
      </c>
      <c r="BY40" s="40">
        <f t="shared" si="86"/>
        <v>0.2160577397551135</v>
      </c>
      <c r="BZ40" s="39">
        <v>1556</v>
      </c>
      <c r="CA40" s="39">
        <v>28890.892711469998</v>
      </c>
      <c r="CB40" s="39">
        <v>164</v>
      </c>
      <c r="CC40" s="39">
        <v>5819.2457174299998</v>
      </c>
      <c r="CD40" s="40">
        <f t="shared" si="87"/>
        <v>0.2014214574657188</v>
      </c>
      <c r="CE40" s="4">
        <v>164</v>
      </c>
      <c r="CF40" s="4">
        <v>5819.2457174299998</v>
      </c>
      <c r="CG40" s="40">
        <f t="shared" si="88"/>
        <v>0.2014214574657188</v>
      </c>
      <c r="CH40" s="39">
        <v>1540</v>
      </c>
      <c r="CI40" s="39">
        <v>29001.389130299991</v>
      </c>
      <c r="CJ40" s="39">
        <v>173</v>
      </c>
      <c r="CK40" s="39">
        <v>5933.5574679500005</v>
      </c>
      <c r="CL40" s="40">
        <f t="shared" si="89"/>
        <v>0.20459562958488614</v>
      </c>
      <c r="CM40" s="4">
        <v>173</v>
      </c>
      <c r="CN40" s="4">
        <v>5933.5574679500005</v>
      </c>
      <c r="CO40" s="40">
        <f t="shared" si="90"/>
        <v>0.20459562958488614</v>
      </c>
      <c r="CP40" s="39">
        <v>1461</v>
      </c>
      <c r="CQ40" s="39">
        <v>28199.927208779965</v>
      </c>
      <c r="CR40" s="39">
        <v>146</v>
      </c>
      <c r="CS40" s="39">
        <v>5093.549779429999</v>
      </c>
      <c r="CT40" s="40">
        <f t="shared" si="91"/>
        <v>0.18062279883630825</v>
      </c>
      <c r="CU40" s="4">
        <v>146</v>
      </c>
      <c r="CV40" s="4">
        <v>5093.549779429999</v>
      </c>
      <c r="CW40" s="40">
        <f t="shared" si="92"/>
        <v>0.18062279883630825</v>
      </c>
      <c r="CX40" s="42"/>
      <c r="CY40" s="42"/>
    </row>
    <row r="41" spans="1:103" s="29" customFormat="1" ht="35.1" customHeight="1" x14ac:dyDescent="0.25">
      <c r="A41" s="38">
        <f t="shared" si="93"/>
        <v>35</v>
      </c>
      <c r="B41" s="45" t="s">
        <v>2080</v>
      </c>
      <c r="C41" s="45" t="s">
        <v>2092</v>
      </c>
      <c r="D41" s="64">
        <v>10443</v>
      </c>
      <c r="E41" s="45" t="s">
        <v>2047</v>
      </c>
      <c r="F41" s="39">
        <v>1440</v>
      </c>
      <c r="G41" s="39">
        <v>22942.295712469986</v>
      </c>
      <c r="H41" s="39">
        <v>196</v>
      </c>
      <c r="I41" s="39">
        <v>4105.0984897400003</v>
      </c>
      <c r="J41" s="40">
        <f t="shared" si="70"/>
        <v>0.17893146096572748</v>
      </c>
      <c r="K41" s="39">
        <v>196</v>
      </c>
      <c r="L41" s="39">
        <v>4105.0984897400003</v>
      </c>
      <c r="M41" s="40">
        <f t="shared" si="71"/>
        <v>0.17893146096572748</v>
      </c>
      <c r="N41" s="39">
        <v>1453</v>
      </c>
      <c r="O41" s="39">
        <v>22741.233559699984</v>
      </c>
      <c r="P41" s="39">
        <v>261</v>
      </c>
      <c r="Q41" s="39">
        <v>7730.4610909899975</v>
      </c>
      <c r="R41" s="40">
        <f t="shared" si="72"/>
        <v>0.33993147604311325</v>
      </c>
      <c r="S41" s="39">
        <v>261</v>
      </c>
      <c r="T41" s="39">
        <v>7730.4610909899975</v>
      </c>
      <c r="U41" s="40">
        <f t="shared" si="73"/>
        <v>0.33993147604311325</v>
      </c>
      <c r="V41" s="39">
        <v>1527</v>
      </c>
      <c r="W41" s="39">
        <v>23464.68277402001</v>
      </c>
      <c r="X41" s="39">
        <v>280</v>
      </c>
      <c r="Y41" s="39">
        <v>7969.8989278500112</v>
      </c>
      <c r="Z41" s="40">
        <f t="shared" si="13"/>
        <v>0.33965508950644102</v>
      </c>
      <c r="AA41" s="39">
        <v>280</v>
      </c>
      <c r="AB41" s="39">
        <v>7969.8989278500112</v>
      </c>
      <c r="AC41" s="40">
        <f t="shared" si="74"/>
        <v>0.33965508950644102</v>
      </c>
      <c r="AD41" s="39">
        <v>1570</v>
      </c>
      <c r="AE41" s="39">
        <v>24340.680361750019</v>
      </c>
      <c r="AF41" s="39">
        <v>307</v>
      </c>
      <c r="AG41" s="39">
        <v>8221.6512025099983</v>
      </c>
      <c r="AH41" s="40">
        <f t="shared" si="75"/>
        <v>0.33777409178051782</v>
      </c>
      <c r="AI41" s="39">
        <v>307</v>
      </c>
      <c r="AJ41" s="39">
        <v>8221.6512025099983</v>
      </c>
      <c r="AK41" s="40">
        <f t="shared" si="76"/>
        <v>0.33777409178051782</v>
      </c>
      <c r="AL41" s="39">
        <v>1632</v>
      </c>
      <c r="AM41" s="39">
        <v>25264.934200560019</v>
      </c>
      <c r="AN41" s="39">
        <v>318</v>
      </c>
      <c r="AO41" s="39">
        <v>8218.2680674500007</v>
      </c>
      <c r="AP41" s="40">
        <f t="shared" si="77"/>
        <v>0.32528357296366261</v>
      </c>
      <c r="AQ41" s="39">
        <v>318</v>
      </c>
      <c r="AR41" s="39">
        <v>8218.2680674500007</v>
      </c>
      <c r="AS41" s="40">
        <f t="shared" si="78"/>
        <v>0.32528357296366261</v>
      </c>
      <c r="AT41" s="39">
        <v>1622</v>
      </c>
      <c r="AU41" s="39">
        <v>25172.417665570021</v>
      </c>
      <c r="AV41" s="39">
        <v>246</v>
      </c>
      <c r="AW41" s="39">
        <v>7349.364211140004</v>
      </c>
      <c r="AX41" s="40">
        <f t="shared" si="79"/>
        <v>0.29196099908957951</v>
      </c>
      <c r="AY41" s="39">
        <v>246</v>
      </c>
      <c r="AZ41" s="39">
        <v>7349.364211140004</v>
      </c>
      <c r="BA41" s="40">
        <f t="shared" si="80"/>
        <v>0.29196099908957951</v>
      </c>
      <c r="BB41" s="41">
        <v>1583</v>
      </c>
      <c r="BC41" s="41">
        <v>24177.943138479994</v>
      </c>
      <c r="BD41" s="41">
        <v>246</v>
      </c>
      <c r="BE41" s="41">
        <v>7296.0976391700069</v>
      </c>
      <c r="BF41" s="40">
        <f t="shared" si="81"/>
        <v>0.30176668037398213</v>
      </c>
      <c r="BG41" s="39">
        <v>246</v>
      </c>
      <c r="BH41" s="39">
        <v>7296.0976391700069</v>
      </c>
      <c r="BI41" s="40">
        <f t="shared" si="82"/>
        <v>0.30176668037398213</v>
      </c>
      <c r="BJ41" s="39">
        <v>1560</v>
      </c>
      <c r="BK41" s="39">
        <v>23657.013264340043</v>
      </c>
      <c r="BL41" s="39">
        <v>252</v>
      </c>
      <c r="BM41" s="39">
        <v>7355.4278897700078</v>
      </c>
      <c r="BN41" s="40">
        <f t="shared" si="83"/>
        <v>0.31091954878587252</v>
      </c>
      <c r="BO41" s="4">
        <v>252</v>
      </c>
      <c r="BP41" s="4">
        <v>7355.4278897700078</v>
      </c>
      <c r="BQ41" s="40">
        <f t="shared" si="84"/>
        <v>0.31091954878587252</v>
      </c>
      <c r="BR41" s="39">
        <v>1542</v>
      </c>
      <c r="BS41" s="39">
        <v>23590.539397730008</v>
      </c>
      <c r="BT41" s="39">
        <v>264</v>
      </c>
      <c r="BU41" s="39">
        <v>7478.0249685200051</v>
      </c>
      <c r="BV41" s="40">
        <f t="shared" si="85"/>
        <v>0.31699253851056819</v>
      </c>
      <c r="BW41" s="4">
        <v>264</v>
      </c>
      <c r="BX41" s="4">
        <v>7478.0249685200051</v>
      </c>
      <c r="BY41" s="40">
        <f t="shared" si="86"/>
        <v>0.31699253851056819</v>
      </c>
      <c r="BZ41" s="39">
        <v>1522</v>
      </c>
      <c r="CA41" s="39">
        <v>23451.328551970015</v>
      </c>
      <c r="CB41" s="39">
        <v>252</v>
      </c>
      <c r="CC41" s="39">
        <v>7501.4852102500072</v>
      </c>
      <c r="CD41" s="40">
        <f t="shared" si="87"/>
        <v>0.31987463710749342</v>
      </c>
      <c r="CE41" s="4">
        <v>252</v>
      </c>
      <c r="CF41" s="4">
        <v>7501.4852102500072</v>
      </c>
      <c r="CG41" s="40">
        <f t="shared" si="88"/>
        <v>0.31987463710749342</v>
      </c>
      <c r="CH41" s="39">
        <v>1485</v>
      </c>
      <c r="CI41" s="39">
        <v>20586.856818589957</v>
      </c>
      <c r="CJ41" s="39">
        <v>290</v>
      </c>
      <c r="CK41" s="39">
        <v>5705.6493509500042</v>
      </c>
      <c r="CL41" s="40">
        <f t="shared" si="89"/>
        <v>0.27715009635651594</v>
      </c>
      <c r="CM41" s="4">
        <v>290</v>
      </c>
      <c r="CN41" s="4">
        <v>5705.6493509500042</v>
      </c>
      <c r="CO41" s="40">
        <f t="shared" si="90"/>
        <v>0.27715009635651594</v>
      </c>
      <c r="CP41" s="39">
        <v>1432</v>
      </c>
      <c r="CQ41" s="39">
        <v>20070.4108117</v>
      </c>
      <c r="CR41" s="39">
        <v>279</v>
      </c>
      <c r="CS41" s="39">
        <v>5405.5844088800031</v>
      </c>
      <c r="CT41" s="40">
        <f t="shared" si="91"/>
        <v>0.2693310296234111</v>
      </c>
      <c r="CU41" s="4">
        <v>279</v>
      </c>
      <c r="CV41" s="4">
        <v>5405.5844088800031</v>
      </c>
      <c r="CW41" s="40">
        <f t="shared" si="92"/>
        <v>0.2693310296234111</v>
      </c>
      <c r="CX41" s="42"/>
      <c r="CY41" s="42"/>
    </row>
    <row r="42" spans="1:103" s="29" customFormat="1" ht="35.1" customHeight="1" x14ac:dyDescent="0.25">
      <c r="A42" s="38">
        <f t="shared" si="93"/>
        <v>36</v>
      </c>
      <c r="B42" s="45" t="s">
        <v>2080</v>
      </c>
      <c r="C42" s="45" t="s">
        <v>2093</v>
      </c>
      <c r="D42" s="64">
        <v>10447</v>
      </c>
      <c r="E42" s="45" t="s">
        <v>2075</v>
      </c>
      <c r="F42" s="39">
        <v>1779</v>
      </c>
      <c r="G42" s="39">
        <v>30474.867714890017</v>
      </c>
      <c r="H42" s="39">
        <v>21</v>
      </c>
      <c r="I42" s="39">
        <v>383.22029314999997</v>
      </c>
      <c r="J42" s="40">
        <f t="shared" si="70"/>
        <v>1.2574961661367888E-2</v>
      </c>
      <c r="K42" s="39">
        <v>21</v>
      </c>
      <c r="L42" s="39">
        <v>383.22029314999997</v>
      </c>
      <c r="M42" s="40">
        <f t="shared" si="71"/>
        <v>1.2574961661367888E-2</v>
      </c>
      <c r="N42" s="39">
        <v>1800</v>
      </c>
      <c r="O42" s="39">
        <v>29978.908584869976</v>
      </c>
      <c r="P42" s="39">
        <v>22</v>
      </c>
      <c r="Q42" s="39">
        <v>394.61545705999998</v>
      </c>
      <c r="R42" s="40">
        <f t="shared" si="72"/>
        <v>1.3163102850887575E-2</v>
      </c>
      <c r="S42" s="39">
        <v>22</v>
      </c>
      <c r="T42" s="39">
        <v>394.61545705999998</v>
      </c>
      <c r="U42" s="40">
        <f t="shared" si="73"/>
        <v>1.3163102850887575E-2</v>
      </c>
      <c r="V42" s="39">
        <v>1905</v>
      </c>
      <c r="W42" s="39">
        <v>31048.643737449966</v>
      </c>
      <c r="X42" s="39">
        <v>19</v>
      </c>
      <c r="Y42" s="39">
        <v>380.00405105999994</v>
      </c>
      <c r="Z42" s="40">
        <f t="shared" si="13"/>
        <v>1.2238990349251558E-2</v>
      </c>
      <c r="AA42" s="39">
        <v>19</v>
      </c>
      <c r="AB42" s="39">
        <v>380.00405105999994</v>
      </c>
      <c r="AC42" s="40">
        <f t="shared" si="74"/>
        <v>1.2238990349251558E-2</v>
      </c>
      <c r="AD42" s="39">
        <v>2021</v>
      </c>
      <c r="AE42" s="39">
        <v>33486.16986439997</v>
      </c>
      <c r="AF42" s="39">
        <v>19</v>
      </c>
      <c r="AG42" s="39">
        <v>379.99505105999992</v>
      </c>
      <c r="AH42" s="40">
        <f t="shared" si="75"/>
        <v>1.1347820685338596E-2</v>
      </c>
      <c r="AI42" s="39">
        <v>19</v>
      </c>
      <c r="AJ42" s="39">
        <v>379.99505105999992</v>
      </c>
      <c r="AK42" s="40">
        <f t="shared" si="76"/>
        <v>1.1347820685338596E-2</v>
      </c>
      <c r="AL42" s="39">
        <v>2152</v>
      </c>
      <c r="AM42" s="39">
        <v>36224.668468599979</v>
      </c>
      <c r="AN42" s="39">
        <v>37</v>
      </c>
      <c r="AO42" s="39">
        <v>796.91574233000017</v>
      </c>
      <c r="AP42" s="40">
        <f t="shared" si="77"/>
        <v>2.1999255645935786E-2</v>
      </c>
      <c r="AQ42" s="39">
        <v>37</v>
      </c>
      <c r="AR42" s="39">
        <v>796.91574233000017</v>
      </c>
      <c r="AS42" s="40">
        <f t="shared" si="78"/>
        <v>2.1999255645935786E-2</v>
      </c>
      <c r="AT42" s="39">
        <v>2231</v>
      </c>
      <c r="AU42" s="39">
        <v>37084.753027979998</v>
      </c>
      <c r="AV42" s="39">
        <v>18</v>
      </c>
      <c r="AW42" s="39">
        <v>333.23066765999999</v>
      </c>
      <c r="AX42" s="40">
        <f t="shared" si="79"/>
        <v>8.9856515266147647E-3</v>
      </c>
      <c r="AY42" s="39">
        <v>18</v>
      </c>
      <c r="AZ42" s="39">
        <v>333.23066765999999</v>
      </c>
      <c r="BA42" s="40">
        <f t="shared" si="80"/>
        <v>8.9856515266147647E-3</v>
      </c>
      <c r="BB42" s="41">
        <v>2244</v>
      </c>
      <c r="BC42" s="41">
        <v>36783.089172599946</v>
      </c>
      <c r="BD42" s="41">
        <v>49</v>
      </c>
      <c r="BE42" s="41">
        <v>886.16950629000007</v>
      </c>
      <c r="BF42" s="40">
        <f t="shared" si="81"/>
        <v>2.4091764074837839E-2</v>
      </c>
      <c r="BG42" s="39">
        <v>49</v>
      </c>
      <c r="BH42" s="39">
        <v>886.16950629000007</v>
      </c>
      <c r="BI42" s="40">
        <f t="shared" si="82"/>
        <v>2.4091764074837839E-2</v>
      </c>
      <c r="BJ42" s="39">
        <v>2252</v>
      </c>
      <c r="BK42" s="39">
        <v>36875.604525589995</v>
      </c>
      <c r="BL42" s="39">
        <v>46</v>
      </c>
      <c r="BM42" s="39">
        <v>865.5261384600002</v>
      </c>
      <c r="BN42" s="40">
        <f t="shared" si="83"/>
        <v>2.3471510490339607E-2</v>
      </c>
      <c r="BO42" s="4">
        <v>46</v>
      </c>
      <c r="BP42" s="4">
        <v>865.5261384600002</v>
      </c>
      <c r="BQ42" s="40">
        <f t="shared" si="84"/>
        <v>2.3471510490339607E-2</v>
      </c>
      <c r="BR42" s="39">
        <v>2269</v>
      </c>
      <c r="BS42" s="39">
        <v>36881.570962430014</v>
      </c>
      <c r="BT42" s="39">
        <v>52</v>
      </c>
      <c r="BU42" s="39">
        <v>927.50986540999997</v>
      </c>
      <c r="BV42" s="40">
        <f t="shared" si="85"/>
        <v>2.5148328588140194E-2</v>
      </c>
      <c r="BW42" s="4">
        <v>52</v>
      </c>
      <c r="BX42" s="4">
        <v>927.50986540999997</v>
      </c>
      <c r="BY42" s="40">
        <f t="shared" si="86"/>
        <v>2.5148328588140194E-2</v>
      </c>
      <c r="BZ42" s="39">
        <v>2395</v>
      </c>
      <c r="CA42" s="39">
        <v>38265.380217459999</v>
      </c>
      <c r="CB42" s="39">
        <v>43</v>
      </c>
      <c r="CC42" s="39">
        <v>817.41309832000002</v>
      </c>
      <c r="CD42" s="40">
        <f t="shared" si="87"/>
        <v>2.1361687605733627E-2</v>
      </c>
      <c r="CE42" s="4">
        <v>43</v>
      </c>
      <c r="CF42" s="4">
        <v>817.41309832000002</v>
      </c>
      <c r="CG42" s="40">
        <f t="shared" si="88"/>
        <v>2.1361687605733627E-2</v>
      </c>
      <c r="CH42" s="39">
        <v>2376</v>
      </c>
      <c r="CI42" s="39">
        <v>38068.703376990008</v>
      </c>
      <c r="CJ42" s="39">
        <v>47</v>
      </c>
      <c r="CK42" s="39">
        <v>852.40401373999998</v>
      </c>
      <c r="CL42" s="40">
        <f t="shared" si="89"/>
        <v>2.2391201646631897E-2</v>
      </c>
      <c r="CM42" s="4">
        <v>47</v>
      </c>
      <c r="CN42" s="4">
        <v>852.40401373999998</v>
      </c>
      <c r="CO42" s="40">
        <f t="shared" si="90"/>
        <v>2.2391201646631897E-2</v>
      </c>
      <c r="CP42" s="39">
        <v>2328</v>
      </c>
      <c r="CQ42" s="39">
        <v>38264.333268449955</v>
      </c>
      <c r="CR42" s="39">
        <v>42</v>
      </c>
      <c r="CS42" s="39">
        <v>773.76229043000023</v>
      </c>
      <c r="CT42" s="40">
        <f t="shared" si="91"/>
        <v>2.0221501966375292E-2</v>
      </c>
      <c r="CU42" s="4">
        <v>42</v>
      </c>
      <c r="CV42" s="4">
        <v>773.76229043000023</v>
      </c>
      <c r="CW42" s="40">
        <f t="shared" si="92"/>
        <v>2.0221501966375292E-2</v>
      </c>
      <c r="CX42" s="42"/>
      <c r="CY42" s="42"/>
    </row>
    <row r="43" spans="1:103" s="29" customFormat="1" ht="35.1" customHeight="1" x14ac:dyDescent="0.25">
      <c r="A43" s="38">
        <f t="shared" si="93"/>
        <v>37</v>
      </c>
      <c r="B43" s="45" t="s">
        <v>2080</v>
      </c>
      <c r="C43" s="45" t="s">
        <v>2094</v>
      </c>
      <c r="D43" s="64">
        <v>11599</v>
      </c>
      <c r="E43" s="45" t="s">
        <v>2077</v>
      </c>
      <c r="F43" s="39">
        <v>373</v>
      </c>
      <c r="G43" s="39">
        <v>14419.147604629999</v>
      </c>
      <c r="H43" s="39">
        <v>6</v>
      </c>
      <c r="I43" s="39">
        <v>2213.8767254299996</v>
      </c>
      <c r="J43" s="40">
        <f t="shared" si="70"/>
        <v>0.15353728154631846</v>
      </c>
      <c r="K43" s="39">
        <v>6</v>
      </c>
      <c r="L43" s="39">
        <v>2213.8767254299996</v>
      </c>
      <c r="M43" s="40">
        <f t="shared" si="71"/>
        <v>0.15353728154631846</v>
      </c>
      <c r="N43" s="39">
        <v>372</v>
      </c>
      <c r="O43" s="39">
        <v>14015.792949560004</v>
      </c>
      <c r="P43" s="39">
        <v>5</v>
      </c>
      <c r="Q43" s="39">
        <v>1902.5330528899999</v>
      </c>
      <c r="R43" s="40">
        <f t="shared" si="72"/>
        <v>0.13574209177724234</v>
      </c>
      <c r="S43" s="39">
        <v>5</v>
      </c>
      <c r="T43" s="39">
        <v>1902.5330528899999</v>
      </c>
      <c r="U43" s="40">
        <f t="shared" si="73"/>
        <v>0.13574209177724234</v>
      </c>
      <c r="V43" s="39">
        <v>408</v>
      </c>
      <c r="W43" s="39">
        <v>14840.786004059999</v>
      </c>
      <c r="X43" s="39">
        <v>5</v>
      </c>
      <c r="Y43" s="39">
        <v>1902.5330528899999</v>
      </c>
      <c r="Z43" s="40">
        <f t="shared" si="13"/>
        <v>0.1281962459649727</v>
      </c>
      <c r="AA43" s="39">
        <v>5</v>
      </c>
      <c r="AB43" s="39">
        <v>1902.5330528899999</v>
      </c>
      <c r="AC43" s="40">
        <f t="shared" si="74"/>
        <v>0.1281962459649727</v>
      </c>
      <c r="AD43" s="39">
        <v>458</v>
      </c>
      <c r="AE43" s="39">
        <v>17144.410831400008</v>
      </c>
      <c r="AF43" s="39">
        <v>5</v>
      </c>
      <c r="AG43" s="39">
        <v>1902.5330528899999</v>
      </c>
      <c r="AH43" s="40">
        <f t="shared" si="75"/>
        <v>0.11097103724354927</v>
      </c>
      <c r="AI43" s="39">
        <v>5</v>
      </c>
      <c r="AJ43" s="39">
        <v>1902.5330528899999</v>
      </c>
      <c r="AK43" s="40">
        <f t="shared" si="76"/>
        <v>0.11097103724354927</v>
      </c>
      <c r="AL43" s="39">
        <v>510</v>
      </c>
      <c r="AM43" s="39">
        <v>18630.081845660006</v>
      </c>
      <c r="AN43" s="39">
        <v>6</v>
      </c>
      <c r="AO43" s="39">
        <v>2201.1767254299998</v>
      </c>
      <c r="AP43" s="40">
        <f t="shared" si="77"/>
        <v>0.11815174746227847</v>
      </c>
      <c r="AQ43" s="39">
        <v>6</v>
      </c>
      <c r="AR43" s="39">
        <v>2201.1767254299998</v>
      </c>
      <c r="AS43" s="40">
        <f t="shared" si="78"/>
        <v>0.11815174746227847</v>
      </c>
      <c r="AT43" s="39">
        <v>535</v>
      </c>
      <c r="AU43" s="39">
        <v>19210.865029769975</v>
      </c>
      <c r="AV43" s="39">
        <v>6</v>
      </c>
      <c r="AW43" s="39">
        <v>2201.1767254299998</v>
      </c>
      <c r="AX43" s="40">
        <f t="shared" si="79"/>
        <v>0.11457978191085944</v>
      </c>
      <c r="AY43" s="39">
        <v>6</v>
      </c>
      <c r="AZ43" s="39">
        <v>2201.1767254299998</v>
      </c>
      <c r="BA43" s="40">
        <f t="shared" si="80"/>
        <v>0.11457978191085944</v>
      </c>
      <c r="BB43" s="41">
        <v>558</v>
      </c>
      <c r="BC43" s="41">
        <v>19756.078180719996</v>
      </c>
      <c r="BD43" s="41">
        <v>6</v>
      </c>
      <c r="BE43" s="41">
        <v>2201.1767254299998</v>
      </c>
      <c r="BF43" s="40">
        <f t="shared" si="81"/>
        <v>0.11141769663465563</v>
      </c>
      <c r="BG43" s="39">
        <v>6</v>
      </c>
      <c r="BH43" s="39">
        <v>2201.1767254299998</v>
      </c>
      <c r="BI43" s="40">
        <f t="shared" si="82"/>
        <v>0.11141769663465563</v>
      </c>
      <c r="BJ43" s="39">
        <v>587</v>
      </c>
      <c r="BK43" s="39">
        <v>20321.24262434</v>
      </c>
      <c r="BL43" s="39">
        <v>6</v>
      </c>
      <c r="BM43" s="39">
        <v>2201.1767254299998</v>
      </c>
      <c r="BN43" s="40">
        <f t="shared" si="83"/>
        <v>0.10831900224415977</v>
      </c>
      <c r="BO43" s="4">
        <v>6</v>
      </c>
      <c r="BP43" s="4">
        <v>2201.1767254299998</v>
      </c>
      <c r="BQ43" s="40">
        <f t="shared" si="84"/>
        <v>0.10831900224415977</v>
      </c>
      <c r="BR43" s="39">
        <v>613</v>
      </c>
      <c r="BS43" s="39">
        <v>21087.275227539973</v>
      </c>
      <c r="BT43" s="39">
        <v>6</v>
      </c>
      <c r="BU43" s="39">
        <v>2201.1767254299998</v>
      </c>
      <c r="BV43" s="40">
        <f t="shared" si="85"/>
        <v>0.10438412273176309</v>
      </c>
      <c r="BW43" s="4">
        <v>6</v>
      </c>
      <c r="BX43" s="4">
        <v>2201.1767254299998</v>
      </c>
      <c r="BY43" s="40">
        <f t="shared" si="86"/>
        <v>0.10438412273176309</v>
      </c>
      <c r="BZ43" s="39">
        <v>614</v>
      </c>
      <c r="CA43" s="39">
        <v>21030.815803440018</v>
      </c>
      <c r="CB43" s="39">
        <v>6</v>
      </c>
      <c r="CC43" s="39">
        <v>2201.1767254299998</v>
      </c>
      <c r="CD43" s="40">
        <f t="shared" si="87"/>
        <v>0.10466435282410455</v>
      </c>
      <c r="CE43" s="4">
        <v>6</v>
      </c>
      <c r="CF43" s="4">
        <v>2201.1767254299998</v>
      </c>
      <c r="CG43" s="40">
        <f t="shared" si="88"/>
        <v>0.10466435282410455</v>
      </c>
      <c r="CH43" s="39">
        <v>613</v>
      </c>
      <c r="CI43" s="39">
        <v>21316.592315919985</v>
      </c>
      <c r="CJ43" s="39">
        <v>6</v>
      </c>
      <c r="CK43" s="39">
        <v>2201.1767254299998</v>
      </c>
      <c r="CL43" s="40">
        <f t="shared" si="89"/>
        <v>0.10326119169554522</v>
      </c>
      <c r="CM43" s="4">
        <v>6</v>
      </c>
      <c r="CN43" s="4">
        <v>2201.1767254299998</v>
      </c>
      <c r="CO43" s="40">
        <f t="shared" si="90"/>
        <v>0.10326119169554522</v>
      </c>
      <c r="CP43" s="39">
        <v>616</v>
      </c>
      <c r="CQ43" s="39">
        <v>20905.232698210002</v>
      </c>
      <c r="CR43" s="39">
        <v>6</v>
      </c>
      <c r="CS43" s="39">
        <v>1963.0967254299999</v>
      </c>
      <c r="CT43" s="40">
        <f t="shared" si="91"/>
        <v>9.3904562258141658E-2</v>
      </c>
      <c r="CU43" s="4">
        <v>6</v>
      </c>
      <c r="CV43" s="4">
        <v>1963.0967254299999</v>
      </c>
      <c r="CW43" s="40">
        <f t="shared" si="92"/>
        <v>9.3904562258141658E-2</v>
      </c>
      <c r="CX43" s="42"/>
      <c r="CY43" s="42"/>
    </row>
    <row r="44" spans="1:103" s="29" customFormat="1" ht="35.1" customHeight="1" x14ac:dyDescent="0.25">
      <c r="A44" s="38">
        <f t="shared" si="93"/>
        <v>38</v>
      </c>
      <c r="B44" s="45" t="s">
        <v>2080</v>
      </c>
      <c r="C44" s="45" t="s">
        <v>2095</v>
      </c>
      <c r="D44" s="64">
        <v>11978</v>
      </c>
      <c r="E44" s="45" t="s">
        <v>2060</v>
      </c>
      <c r="F44" s="39">
        <v>1934</v>
      </c>
      <c r="G44" s="39">
        <v>28628.134886189975</v>
      </c>
      <c r="H44" s="39">
        <v>35</v>
      </c>
      <c r="I44" s="39">
        <v>2201.7593278999998</v>
      </c>
      <c r="J44" s="40">
        <f t="shared" si="70"/>
        <v>7.6908933699418688E-2</v>
      </c>
      <c r="K44" s="39">
        <v>35</v>
      </c>
      <c r="L44" s="39">
        <v>2201.7593278999998</v>
      </c>
      <c r="M44" s="40">
        <f t="shared" si="71"/>
        <v>7.6908933699418688E-2</v>
      </c>
      <c r="N44" s="39">
        <v>1960</v>
      </c>
      <c r="O44" s="39">
        <v>28478.573572320009</v>
      </c>
      <c r="P44" s="39">
        <v>45</v>
      </c>
      <c r="Q44" s="39">
        <v>2706.6930008600011</v>
      </c>
      <c r="R44" s="40">
        <f t="shared" si="72"/>
        <v>9.5043138097716889E-2</v>
      </c>
      <c r="S44" s="39">
        <v>45</v>
      </c>
      <c r="T44" s="39">
        <v>2706.6930008600011</v>
      </c>
      <c r="U44" s="40">
        <f t="shared" si="73"/>
        <v>9.5043138097716889E-2</v>
      </c>
      <c r="V44" s="39">
        <v>2054</v>
      </c>
      <c r="W44" s="39">
        <v>29481.956323769995</v>
      </c>
      <c r="X44" s="39">
        <v>53</v>
      </c>
      <c r="Y44" s="39">
        <v>3299.5620101600007</v>
      </c>
      <c r="Z44" s="40">
        <f t="shared" si="13"/>
        <v>0.11191801432456876</v>
      </c>
      <c r="AA44" s="39">
        <v>53</v>
      </c>
      <c r="AB44" s="39">
        <v>3299.5620101600007</v>
      </c>
      <c r="AC44" s="40">
        <f t="shared" si="74"/>
        <v>0.11191801432456876</v>
      </c>
      <c r="AD44" s="39">
        <v>2170</v>
      </c>
      <c r="AE44" s="39">
        <v>31356.098869169982</v>
      </c>
      <c r="AF44" s="39">
        <v>57</v>
      </c>
      <c r="AG44" s="39">
        <v>3070.5358987499999</v>
      </c>
      <c r="AH44" s="40">
        <f t="shared" si="75"/>
        <v>9.7924678435333659E-2</v>
      </c>
      <c r="AI44" s="39">
        <v>57</v>
      </c>
      <c r="AJ44" s="39">
        <v>3070.5358987499999</v>
      </c>
      <c r="AK44" s="40">
        <f t="shared" si="76"/>
        <v>9.7924678435333659E-2</v>
      </c>
      <c r="AL44" s="39">
        <v>2395</v>
      </c>
      <c r="AM44" s="39">
        <v>35728.759844650027</v>
      </c>
      <c r="AN44" s="39">
        <v>86</v>
      </c>
      <c r="AO44" s="39">
        <v>3630.5002586899996</v>
      </c>
      <c r="AP44" s="40">
        <f t="shared" si="77"/>
        <v>0.10161282603917822</v>
      </c>
      <c r="AQ44" s="39">
        <v>86</v>
      </c>
      <c r="AR44" s="39">
        <v>3630.5002586899996</v>
      </c>
      <c r="AS44" s="40">
        <f t="shared" si="78"/>
        <v>0.10161282603917822</v>
      </c>
      <c r="AT44" s="39">
        <v>2455</v>
      </c>
      <c r="AU44" s="39">
        <v>37935.676963770049</v>
      </c>
      <c r="AV44" s="39">
        <v>47</v>
      </c>
      <c r="AW44" s="39">
        <v>3324.5886576000003</v>
      </c>
      <c r="AX44" s="40">
        <f t="shared" si="79"/>
        <v>8.763752023655999E-2</v>
      </c>
      <c r="AY44" s="39">
        <v>47</v>
      </c>
      <c r="AZ44" s="39">
        <v>3324.5886576000003</v>
      </c>
      <c r="BA44" s="40">
        <f t="shared" si="80"/>
        <v>8.763752023655999E-2</v>
      </c>
      <c r="BB44" s="41">
        <v>2433</v>
      </c>
      <c r="BC44" s="41">
        <v>38355.26071614994</v>
      </c>
      <c r="BD44" s="41">
        <v>78</v>
      </c>
      <c r="BE44" s="41">
        <v>3881.2096414500002</v>
      </c>
      <c r="BF44" s="40">
        <f t="shared" si="81"/>
        <v>0.10119106398919016</v>
      </c>
      <c r="BG44" s="39">
        <v>78</v>
      </c>
      <c r="BH44" s="39">
        <v>3881.2096414500002</v>
      </c>
      <c r="BI44" s="40">
        <f t="shared" si="82"/>
        <v>0.10119106398919016</v>
      </c>
      <c r="BJ44" s="39">
        <v>2480</v>
      </c>
      <c r="BK44" s="39">
        <v>40079.502314710116</v>
      </c>
      <c r="BL44" s="39">
        <v>78</v>
      </c>
      <c r="BM44" s="39">
        <v>3731.2578801499994</v>
      </c>
      <c r="BN44" s="40">
        <f t="shared" si="83"/>
        <v>9.3096412496632738E-2</v>
      </c>
      <c r="BO44" s="4">
        <v>78</v>
      </c>
      <c r="BP44" s="4">
        <v>3731.2578801499994</v>
      </c>
      <c r="BQ44" s="40">
        <f t="shared" si="84"/>
        <v>9.3096412496632738E-2</v>
      </c>
      <c r="BR44" s="39">
        <v>2517</v>
      </c>
      <c r="BS44" s="39">
        <v>42890.560088739992</v>
      </c>
      <c r="BT44" s="39">
        <v>77</v>
      </c>
      <c r="BU44" s="39">
        <v>3943.0892638799983</v>
      </c>
      <c r="BV44" s="40">
        <f t="shared" si="85"/>
        <v>9.1933732171410196E-2</v>
      </c>
      <c r="BW44" s="4">
        <v>77</v>
      </c>
      <c r="BX44" s="4">
        <v>3943.0892638799983</v>
      </c>
      <c r="BY44" s="40">
        <f t="shared" si="86"/>
        <v>9.1933732171410196E-2</v>
      </c>
      <c r="BZ44" s="39">
        <v>2566</v>
      </c>
      <c r="CA44" s="39">
        <v>83532.424896840021</v>
      </c>
      <c r="CB44" s="39">
        <v>64</v>
      </c>
      <c r="CC44" s="39">
        <v>3844.1822595299991</v>
      </c>
      <c r="CD44" s="40">
        <f t="shared" si="87"/>
        <v>4.602024021543067E-2</v>
      </c>
      <c r="CE44" s="4">
        <v>64</v>
      </c>
      <c r="CF44" s="4">
        <v>3844.1822595299991</v>
      </c>
      <c r="CG44" s="40">
        <f t="shared" si="88"/>
        <v>4.602024021543067E-2</v>
      </c>
      <c r="CH44" s="39">
        <v>2526</v>
      </c>
      <c r="CI44" s="39">
        <v>86338.538830390025</v>
      </c>
      <c r="CJ44" s="39">
        <v>66</v>
      </c>
      <c r="CK44" s="39">
        <v>3849.7228580400006</v>
      </c>
      <c r="CL44" s="40">
        <f t="shared" si="89"/>
        <v>4.4588695965803733E-2</v>
      </c>
      <c r="CM44" s="4">
        <v>66</v>
      </c>
      <c r="CN44" s="4">
        <v>3849.7228580400006</v>
      </c>
      <c r="CO44" s="40">
        <f t="shared" si="90"/>
        <v>4.4588695965803733E-2</v>
      </c>
      <c r="CP44" s="39">
        <v>2383</v>
      </c>
      <c r="CQ44" s="39">
        <v>88766.819928229888</v>
      </c>
      <c r="CR44" s="39">
        <v>65</v>
      </c>
      <c r="CS44" s="39">
        <v>3837.5326707299996</v>
      </c>
      <c r="CT44" s="40">
        <f t="shared" si="91"/>
        <v>4.3231611471862316E-2</v>
      </c>
      <c r="CU44" s="4">
        <v>65</v>
      </c>
      <c r="CV44" s="4">
        <v>3837.5326707299996</v>
      </c>
      <c r="CW44" s="40">
        <f t="shared" si="92"/>
        <v>4.3231611471862316E-2</v>
      </c>
      <c r="CX44" s="42"/>
      <c r="CY44" s="42"/>
    </row>
    <row r="45" spans="1:103" s="29" customFormat="1" ht="35.1" customHeight="1" x14ac:dyDescent="0.25">
      <c r="A45" s="38">
        <f t="shared" si="93"/>
        <v>39</v>
      </c>
      <c r="B45" s="45" t="s">
        <v>2096</v>
      </c>
      <c r="C45" s="45" t="s">
        <v>2097</v>
      </c>
      <c r="D45" s="64">
        <v>11385</v>
      </c>
      <c r="E45" s="45" t="s">
        <v>2043</v>
      </c>
      <c r="F45" s="39">
        <v>3948</v>
      </c>
      <c r="G45" s="39">
        <v>119710.87915970989</v>
      </c>
      <c r="H45" s="39">
        <v>300</v>
      </c>
      <c r="I45" s="39">
        <v>4649.8175725399988</v>
      </c>
      <c r="J45" s="40">
        <f t="shared" si="70"/>
        <v>3.8842063521532882E-2</v>
      </c>
      <c r="K45" s="39">
        <v>300</v>
      </c>
      <c r="L45" s="39">
        <v>4649.8175725399988</v>
      </c>
      <c r="M45" s="40">
        <f t="shared" si="71"/>
        <v>3.8842063521532882E-2</v>
      </c>
      <c r="N45" s="39">
        <v>3975</v>
      </c>
      <c r="O45" s="39">
        <v>116620.81008844996</v>
      </c>
      <c r="P45" s="39">
        <v>295</v>
      </c>
      <c r="Q45" s="39">
        <v>4544.5707997599957</v>
      </c>
      <c r="R45" s="40">
        <f t="shared" si="72"/>
        <v>3.8968780926090366E-2</v>
      </c>
      <c r="S45" s="39">
        <v>295</v>
      </c>
      <c r="T45" s="39">
        <v>4544.5707997599957</v>
      </c>
      <c r="U45" s="40">
        <f t="shared" si="73"/>
        <v>3.8968780926090366E-2</v>
      </c>
      <c r="V45" s="39">
        <v>4042</v>
      </c>
      <c r="W45" s="39">
        <v>115530.07101103022</v>
      </c>
      <c r="X45" s="39">
        <v>302</v>
      </c>
      <c r="Y45" s="39">
        <v>4642.2602898399955</v>
      </c>
      <c r="Z45" s="40">
        <f t="shared" si="13"/>
        <v>4.0182268124779187E-2</v>
      </c>
      <c r="AA45" s="39">
        <v>302</v>
      </c>
      <c r="AB45" s="39">
        <v>4642.2602898399955</v>
      </c>
      <c r="AC45" s="40">
        <f t="shared" si="74"/>
        <v>4.0182268124779187E-2</v>
      </c>
      <c r="AD45" s="39">
        <v>4123</v>
      </c>
      <c r="AE45" s="39">
        <v>114298.74464185022</v>
      </c>
      <c r="AF45" s="39">
        <v>313</v>
      </c>
      <c r="AG45" s="39">
        <v>4557.2011448099965</v>
      </c>
      <c r="AH45" s="40">
        <f t="shared" si="75"/>
        <v>3.9870964104547026E-2</v>
      </c>
      <c r="AI45" s="39">
        <v>313</v>
      </c>
      <c r="AJ45" s="39">
        <v>4557.2011448099965</v>
      </c>
      <c r="AK45" s="40">
        <f t="shared" si="76"/>
        <v>3.9870964104547026E-2</v>
      </c>
      <c r="AL45" s="39">
        <v>4252</v>
      </c>
      <c r="AM45" s="39">
        <v>115194.19668912992</v>
      </c>
      <c r="AN45" s="39">
        <v>327</v>
      </c>
      <c r="AO45" s="39">
        <v>4599.9314158399948</v>
      </c>
      <c r="AP45" s="40">
        <f t="shared" si="77"/>
        <v>3.9931971818455834E-2</v>
      </c>
      <c r="AQ45" s="39">
        <v>327</v>
      </c>
      <c r="AR45" s="39">
        <v>4599.9314158399948</v>
      </c>
      <c r="AS45" s="40">
        <f t="shared" si="78"/>
        <v>3.9931971818455834E-2</v>
      </c>
      <c r="AT45" s="39">
        <v>4282</v>
      </c>
      <c r="AU45" s="39">
        <v>113849.94822667002</v>
      </c>
      <c r="AV45" s="39">
        <v>353</v>
      </c>
      <c r="AW45" s="39">
        <v>4664.5986935499932</v>
      </c>
      <c r="AX45" s="40">
        <f t="shared" si="79"/>
        <v>4.0971460823706229E-2</v>
      </c>
      <c r="AY45" s="39">
        <v>353</v>
      </c>
      <c r="AZ45" s="39">
        <v>4664.5986935499932</v>
      </c>
      <c r="BA45" s="40">
        <f t="shared" si="80"/>
        <v>4.0971460823706229E-2</v>
      </c>
      <c r="BB45" s="41">
        <v>4300</v>
      </c>
      <c r="BC45" s="41">
        <v>111497.55977638012</v>
      </c>
      <c r="BD45" s="41">
        <v>360</v>
      </c>
      <c r="BE45" s="41">
        <v>4648.2349964200012</v>
      </c>
      <c r="BF45" s="40">
        <f t="shared" si="81"/>
        <v>4.1689118629524423E-2</v>
      </c>
      <c r="BG45" s="39">
        <v>360</v>
      </c>
      <c r="BH45" s="39">
        <v>4648.2349964200012</v>
      </c>
      <c r="BI45" s="40">
        <f t="shared" si="82"/>
        <v>4.1689118629524423E-2</v>
      </c>
      <c r="BJ45" s="39">
        <v>4414</v>
      </c>
      <c r="BK45" s="39">
        <v>110431.83057070001</v>
      </c>
      <c r="BL45" s="39">
        <v>399</v>
      </c>
      <c r="BM45" s="39">
        <v>5373.1764810599971</v>
      </c>
      <c r="BN45" s="40">
        <f t="shared" si="83"/>
        <v>4.8656048290533535E-2</v>
      </c>
      <c r="BO45" s="4">
        <v>399</v>
      </c>
      <c r="BP45" s="4">
        <v>5373.1764810599971</v>
      </c>
      <c r="BQ45" s="40">
        <f t="shared" si="84"/>
        <v>4.8656048290533535E-2</v>
      </c>
      <c r="BR45" s="39">
        <v>4425</v>
      </c>
      <c r="BS45" s="39">
        <v>108312.1738737399</v>
      </c>
      <c r="BT45" s="39">
        <v>274</v>
      </c>
      <c r="BU45" s="39">
        <v>3220.5094021399996</v>
      </c>
      <c r="BV45" s="40">
        <f t="shared" si="85"/>
        <v>2.9733586603978287E-2</v>
      </c>
      <c r="BW45" s="4">
        <v>274</v>
      </c>
      <c r="BX45" s="4">
        <v>3220.5094021399996</v>
      </c>
      <c r="BY45" s="40">
        <f t="shared" si="86"/>
        <v>2.9733586603978287E-2</v>
      </c>
      <c r="BZ45" s="39">
        <v>4573</v>
      </c>
      <c r="CA45" s="39">
        <v>108800.61657722997</v>
      </c>
      <c r="CB45" s="39">
        <v>274</v>
      </c>
      <c r="CC45" s="39">
        <v>3214.8584389799989</v>
      </c>
      <c r="CD45" s="40">
        <f t="shared" si="87"/>
        <v>2.9548163789108631E-2</v>
      </c>
      <c r="CE45" s="4">
        <v>274</v>
      </c>
      <c r="CF45" s="4">
        <v>3214.8584389799989</v>
      </c>
      <c r="CG45" s="40">
        <f t="shared" si="88"/>
        <v>2.9548163789108631E-2</v>
      </c>
      <c r="CH45" s="39">
        <v>4697</v>
      </c>
      <c r="CI45" s="39">
        <v>108365.95907133995</v>
      </c>
      <c r="CJ45" s="39">
        <v>277</v>
      </c>
      <c r="CK45" s="39">
        <v>2945.4513555200006</v>
      </c>
      <c r="CL45" s="40">
        <f t="shared" si="89"/>
        <v>2.7180596017066006E-2</v>
      </c>
      <c r="CM45" s="4">
        <v>277</v>
      </c>
      <c r="CN45" s="4">
        <v>2945.4513555200006</v>
      </c>
      <c r="CO45" s="40">
        <f t="shared" si="90"/>
        <v>2.7180596017066006E-2</v>
      </c>
      <c r="CP45" s="39">
        <v>4707</v>
      </c>
      <c r="CQ45" s="39">
        <v>109436.08821555987</v>
      </c>
      <c r="CR45" s="39">
        <v>280</v>
      </c>
      <c r="CS45" s="39">
        <v>2913.9846055900016</v>
      </c>
      <c r="CT45" s="40">
        <f t="shared" si="91"/>
        <v>2.6627273078787594E-2</v>
      </c>
      <c r="CU45" s="4">
        <v>280</v>
      </c>
      <c r="CV45" s="4">
        <v>2913.9846055900016</v>
      </c>
      <c r="CW45" s="40">
        <f t="shared" si="92"/>
        <v>2.6627273078787594E-2</v>
      </c>
      <c r="CX45" s="42">
        <v>0</v>
      </c>
      <c r="CY45" s="42">
        <v>0</v>
      </c>
    </row>
    <row r="46" spans="1:103" s="29" customFormat="1" ht="35.1" customHeight="1" x14ac:dyDescent="0.25">
      <c r="A46" s="38">
        <f t="shared" si="93"/>
        <v>40</v>
      </c>
      <c r="B46" s="45" t="s">
        <v>2096</v>
      </c>
      <c r="C46" s="45" t="s">
        <v>2098</v>
      </c>
      <c r="D46" s="64">
        <v>11488</v>
      </c>
      <c r="E46" s="45" t="s">
        <v>2075</v>
      </c>
      <c r="F46" s="39">
        <v>2816</v>
      </c>
      <c r="G46" s="39">
        <v>66966.015217179985</v>
      </c>
      <c r="H46" s="39">
        <v>107</v>
      </c>
      <c r="I46" s="39">
        <v>1116.6346729900004</v>
      </c>
      <c r="J46" s="40">
        <f t="shared" si="70"/>
        <v>1.6674647123150463E-2</v>
      </c>
      <c r="K46" s="39">
        <v>107</v>
      </c>
      <c r="L46" s="39">
        <v>1116.6346729900004</v>
      </c>
      <c r="M46" s="40">
        <f t="shared" si="71"/>
        <v>1.6674647123150463E-2</v>
      </c>
      <c r="N46" s="39">
        <v>2838</v>
      </c>
      <c r="O46" s="39">
        <v>67226.021583059992</v>
      </c>
      <c r="P46" s="39">
        <v>132</v>
      </c>
      <c r="Q46" s="39">
        <v>1367.6173230300003</v>
      </c>
      <c r="R46" s="40">
        <f t="shared" si="72"/>
        <v>2.0343570701120004E-2</v>
      </c>
      <c r="S46" s="39">
        <v>132</v>
      </c>
      <c r="T46" s="39">
        <v>1367.6173230300003</v>
      </c>
      <c r="U46" s="40">
        <f t="shared" si="73"/>
        <v>2.0343570701120004E-2</v>
      </c>
      <c r="V46" s="39">
        <v>2855</v>
      </c>
      <c r="W46" s="39">
        <v>67862.41705397988</v>
      </c>
      <c r="X46" s="39">
        <v>126</v>
      </c>
      <c r="Y46" s="39">
        <v>1337.1355683700001</v>
      </c>
      <c r="Z46" s="40">
        <f t="shared" si="13"/>
        <v>1.970362428008423E-2</v>
      </c>
      <c r="AA46" s="39">
        <v>126</v>
      </c>
      <c r="AB46" s="39">
        <v>1337.1355683700001</v>
      </c>
      <c r="AC46" s="40">
        <f t="shared" si="74"/>
        <v>1.970362428008423E-2</v>
      </c>
      <c r="AD46" s="39">
        <v>2917</v>
      </c>
      <c r="AE46" s="39">
        <v>69165.98247875004</v>
      </c>
      <c r="AF46" s="39">
        <v>117</v>
      </c>
      <c r="AG46" s="39">
        <v>1330.5346498300005</v>
      </c>
      <c r="AH46" s="40">
        <f t="shared" si="75"/>
        <v>1.9236835828057276E-2</v>
      </c>
      <c r="AI46" s="39">
        <v>117</v>
      </c>
      <c r="AJ46" s="39">
        <v>1330.5346498300005</v>
      </c>
      <c r="AK46" s="40">
        <f t="shared" si="76"/>
        <v>1.9236835828057276E-2</v>
      </c>
      <c r="AL46" s="39">
        <v>2954</v>
      </c>
      <c r="AM46" s="39">
        <v>69163.55950618982</v>
      </c>
      <c r="AN46" s="39">
        <v>125</v>
      </c>
      <c r="AO46" s="39">
        <v>1514.4284309200011</v>
      </c>
      <c r="AP46" s="40">
        <f t="shared" si="77"/>
        <v>2.189633445318075E-2</v>
      </c>
      <c r="AQ46" s="39">
        <v>125</v>
      </c>
      <c r="AR46" s="39">
        <v>1514.4284309200011</v>
      </c>
      <c r="AS46" s="40">
        <f t="shared" si="78"/>
        <v>2.189633445318075E-2</v>
      </c>
      <c r="AT46" s="39">
        <v>2974</v>
      </c>
      <c r="AU46" s="39">
        <v>68823.628747159863</v>
      </c>
      <c r="AV46" s="39">
        <v>119</v>
      </c>
      <c r="AW46" s="39">
        <v>1439.7456805900003</v>
      </c>
      <c r="AX46" s="40">
        <f t="shared" si="79"/>
        <v>2.0919351490158302E-2</v>
      </c>
      <c r="AY46" s="39">
        <v>119</v>
      </c>
      <c r="AZ46" s="39">
        <v>1439.7456805900003</v>
      </c>
      <c r="BA46" s="40">
        <f t="shared" si="80"/>
        <v>2.0919351490158302E-2</v>
      </c>
      <c r="BB46" s="41">
        <v>2996</v>
      </c>
      <c r="BC46" s="41">
        <v>68912.772654050117</v>
      </c>
      <c r="BD46" s="41">
        <v>122</v>
      </c>
      <c r="BE46" s="41">
        <v>1293.6416198099998</v>
      </c>
      <c r="BF46" s="40">
        <f t="shared" si="81"/>
        <v>1.8772160370098972E-2</v>
      </c>
      <c r="BG46" s="39">
        <v>122</v>
      </c>
      <c r="BH46" s="39">
        <v>1293.6416198099998</v>
      </c>
      <c r="BI46" s="40">
        <f t="shared" si="82"/>
        <v>1.8772160370098972E-2</v>
      </c>
      <c r="BJ46" s="39">
        <v>3031</v>
      </c>
      <c r="BK46" s="39">
        <v>68899.433707889955</v>
      </c>
      <c r="BL46" s="39">
        <v>139</v>
      </c>
      <c r="BM46" s="39">
        <v>1459.4116381000006</v>
      </c>
      <c r="BN46" s="40">
        <f t="shared" si="83"/>
        <v>2.11817653580058E-2</v>
      </c>
      <c r="BO46" s="4">
        <v>139</v>
      </c>
      <c r="BP46" s="4">
        <v>1459.4116381000006</v>
      </c>
      <c r="BQ46" s="40">
        <f t="shared" si="84"/>
        <v>2.11817653580058E-2</v>
      </c>
      <c r="BR46" s="39">
        <v>3032</v>
      </c>
      <c r="BS46" s="39">
        <v>69256.825083079995</v>
      </c>
      <c r="BT46" s="39">
        <v>113</v>
      </c>
      <c r="BU46" s="39">
        <v>995.41995449000058</v>
      </c>
      <c r="BV46" s="40">
        <f t="shared" si="85"/>
        <v>1.4372878821630963E-2</v>
      </c>
      <c r="BW46" s="4">
        <v>113</v>
      </c>
      <c r="BX46" s="4">
        <v>995.41995449000058</v>
      </c>
      <c r="BY46" s="40">
        <f t="shared" si="86"/>
        <v>1.4372878821630963E-2</v>
      </c>
      <c r="BZ46" s="39">
        <v>3122</v>
      </c>
      <c r="CA46" s="39">
        <v>71510.451965870103</v>
      </c>
      <c r="CB46" s="39">
        <v>106</v>
      </c>
      <c r="CC46" s="39">
        <v>918.5100139500006</v>
      </c>
      <c r="CD46" s="40">
        <f t="shared" si="87"/>
        <v>1.2844416287403402E-2</v>
      </c>
      <c r="CE46" s="4">
        <v>106</v>
      </c>
      <c r="CF46" s="4">
        <v>918.5100139500006</v>
      </c>
      <c r="CG46" s="40">
        <f t="shared" si="88"/>
        <v>1.2844416287403402E-2</v>
      </c>
      <c r="CH46" s="39">
        <v>3152</v>
      </c>
      <c r="CI46" s="39">
        <v>72563.47780690041</v>
      </c>
      <c r="CJ46" s="39">
        <v>109</v>
      </c>
      <c r="CK46" s="39">
        <v>906.30270687999996</v>
      </c>
      <c r="CL46" s="40">
        <f t="shared" si="89"/>
        <v>1.2489791480113088E-2</v>
      </c>
      <c r="CM46" s="4">
        <v>109</v>
      </c>
      <c r="CN46" s="4">
        <v>906.30270687999996</v>
      </c>
      <c r="CO46" s="40">
        <f t="shared" si="90"/>
        <v>1.2489791480113088E-2</v>
      </c>
      <c r="CP46" s="39">
        <v>3152</v>
      </c>
      <c r="CQ46" s="39">
        <v>72868.520766420363</v>
      </c>
      <c r="CR46" s="39">
        <v>107</v>
      </c>
      <c r="CS46" s="39">
        <v>886.06537437000031</v>
      </c>
      <c r="CT46" s="40">
        <f t="shared" si="91"/>
        <v>1.2159782647575322E-2</v>
      </c>
      <c r="CU46" s="4">
        <v>107</v>
      </c>
      <c r="CV46" s="4">
        <v>886.06537437000031</v>
      </c>
      <c r="CW46" s="40">
        <f t="shared" si="92"/>
        <v>1.2159782647575322E-2</v>
      </c>
      <c r="CX46" s="42">
        <v>0</v>
      </c>
      <c r="CY46" s="42">
        <v>0</v>
      </c>
    </row>
    <row r="47" spans="1:103" s="29" customFormat="1" ht="35.1" customHeight="1" x14ac:dyDescent="0.25">
      <c r="A47" s="38">
        <f t="shared" si="93"/>
        <v>41</v>
      </c>
      <c r="B47" s="45" t="s">
        <v>2096</v>
      </c>
      <c r="C47" s="45" t="s">
        <v>2099</v>
      </c>
      <c r="D47" s="64">
        <v>11633</v>
      </c>
      <c r="E47" s="45" t="s">
        <v>2100</v>
      </c>
      <c r="F47" s="39">
        <v>3167</v>
      </c>
      <c r="G47" s="39">
        <v>84855.35771426998</v>
      </c>
      <c r="H47" s="39">
        <v>274</v>
      </c>
      <c r="I47" s="39">
        <v>4541.26142936</v>
      </c>
      <c r="J47" s="40">
        <f t="shared" si="70"/>
        <v>5.3517674684156143E-2</v>
      </c>
      <c r="K47" s="39">
        <v>274</v>
      </c>
      <c r="L47" s="39">
        <v>4541.26142936</v>
      </c>
      <c r="M47" s="40">
        <f t="shared" si="71"/>
        <v>5.3517674684156143E-2</v>
      </c>
      <c r="N47" s="39">
        <v>3162</v>
      </c>
      <c r="O47" s="39">
        <v>84420.073596829709</v>
      </c>
      <c r="P47" s="39">
        <v>287</v>
      </c>
      <c r="Q47" s="39">
        <v>4716.5295037899987</v>
      </c>
      <c r="R47" s="40">
        <f t="shared" si="72"/>
        <v>5.5869762993989172E-2</v>
      </c>
      <c r="S47" s="39">
        <v>287</v>
      </c>
      <c r="T47" s="39">
        <v>4716.5295037899987</v>
      </c>
      <c r="U47" s="40">
        <f t="shared" si="73"/>
        <v>5.5869762993989172E-2</v>
      </c>
      <c r="V47" s="39">
        <v>3209</v>
      </c>
      <c r="W47" s="39">
        <v>85365.013429200058</v>
      </c>
      <c r="X47" s="39">
        <v>310</v>
      </c>
      <c r="Y47" s="39">
        <v>5110.7990263299998</v>
      </c>
      <c r="Z47" s="40">
        <f t="shared" si="13"/>
        <v>5.9869949303865438E-2</v>
      </c>
      <c r="AA47" s="39">
        <v>310</v>
      </c>
      <c r="AB47" s="39">
        <v>5110.7990263299998</v>
      </c>
      <c r="AC47" s="40">
        <f t="shared" si="74"/>
        <v>5.9869949303865438E-2</v>
      </c>
      <c r="AD47" s="39">
        <v>3234</v>
      </c>
      <c r="AE47" s="39">
        <v>85374.55688049001</v>
      </c>
      <c r="AF47" s="39">
        <v>320</v>
      </c>
      <c r="AG47" s="39">
        <v>5094.7029972299997</v>
      </c>
      <c r="AH47" s="40">
        <f t="shared" si="75"/>
        <v>5.9674722579956992E-2</v>
      </c>
      <c r="AI47" s="39">
        <v>320</v>
      </c>
      <c r="AJ47" s="39">
        <v>5094.7029972299997</v>
      </c>
      <c r="AK47" s="40">
        <f t="shared" si="76"/>
        <v>5.9674722579956992E-2</v>
      </c>
      <c r="AL47" s="39">
        <v>3338</v>
      </c>
      <c r="AM47" s="39">
        <v>86545.911495759938</v>
      </c>
      <c r="AN47" s="39">
        <v>346</v>
      </c>
      <c r="AO47" s="39">
        <v>5776.9532449300013</v>
      </c>
      <c r="AP47" s="40">
        <f t="shared" si="77"/>
        <v>6.6750157749658992E-2</v>
      </c>
      <c r="AQ47" s="39">
        <v>346</v>
      </c>
      <c r="AR47" s="39">
        <v>5776.9532449300013</v>
      </c>
      <c r="AS47" s="40">
        <f t="shared" si="78"/>
        <v>6.6750157749658992E-2</v>
      </c>
      <c r="AT47" s="39">
        <v>3374</v>
      </c>
      <c r="AU47" s="39">
        <v>85966.771695129471</v>
      </c>
      <c r="AV47" s="39">
        <v>344</v>
      </c>
      <c r="AW47" s="39">
        <v>5760.8124818100068</v>
      </c>
      <c r="AX47" s="40">
        <f t="shared" si="79"/>
        <v>6.7012083485465945E-2</v>
      </c>
      <c r="AY47" s="39">
        <v>344</v>
      </c>
      <c r="AZ47" s="39">
        <v>5760.8124818100068</v>
      </c>
      <c r="BA47" s="40">
        <f t="shared" si="80"/>
        <v>6.7012083485465945E-2</v>
      </c>
      <c r="BB47" s="41">
        <v>3399</v>
      </c>
      <c r="BC47" s="41">
        <v>86556.00650531963</v>
      </c>
      <c r="BD47" s="41">
        <v>345</v>
      </c>
      <c r="BE47" s="41">
        <v>5798.8477609900037</v>
      </c>
      <c r="BF47" s="40">
        <f t="shared" si="81"/>
        <v>6.6995324704977155E-2</v>
      </c>
      <c r="BG47" s="39">
        <v>345</v>
      </c>
      <c r="BH47" s="39">
        <v>5798.8477609900037</v>
      </c>
      <c r="BI47" s="40">
        <f t="shared" si="82"/>
        <v>6.6995324704977155E-2</v>
      </c>
      <c r="BJ47" s="39">
        <v>3465</v>
      </c>
      <c r="BK47" s="39">
        <v>88116.686877459797</v>
      </c>
      <c r="BL47" s="39">
        <v>397</v>
      </c>
      <c r="BM47" s="39">
        <v>6431.4840740600075</v>
      </c>
      <c r="BN47" s="40">
        <f t="shared" si="83"/>
        <v>7.2988264788075893E-2</v>
      </c>
      <c r="BO47" s="4">
        <v>397</v>
      </c>
      <c r="BP47" s="4">
        <v>6431.4840740600075</v>
      </c>
      <c r="BQ47" s="40">
        <f t="shared" si="84"/>
        <v>7.2988264788075893E-2</v>
      </c>
      <c r="BR47" s="39">
        <v>3431</v>
      </c>
      <c r="BS47" s="39">
        <v>86529.229979469761</v>
      </c>
      <c r="BT47" s="39">
        <v>298</v>
      </c>
      <c r="BU47" s="39">
        <v>4568.1702769800086</v>
      </c>
      <c r="BV47" s="40">
        <f t="shared" si="85"/>
        <v>5.2793377198246991E-2</v>
      </c>
      <c r="BW47" s="4">
        <v>298</v>
      </c>
      <c r="BX47" s="4">
        <v>4568.1702769800086</v>
      </c>
      <c r="BY47" s="40">
        <f t="shared" si="86"/>
        <v>5.2793377198246991E-2</v>
      </c>
      <c r="BZ47" s="39">
        <v>3567</v>
      </c>
      <c r="CA47" s="39">
        <v>93128.629836479959</v>
      </c>
      <c r="CB47" s="39">
        <v>314</v>
      </c>
      <c r="CC47" s="39">
        <v>4502.7162540500058</v>
      </c>
      <c r="CD47" s="40">
        <f t="shared" si="87"/>
        <v>4.8349430910302305E-2</v>
      </c>
      <c r="CE47" s="4">
        <v>314</v>
      </c>
      <c r="CF47" s="4">
        <v>4502.7162540500058</v>
      </c>
      <c r="CG47" s="40">
        <f t="shared" si="88"/>
        <v>4.8349430910302305E-2</v>
      </c>
      <c r="CH47" s="39">
        <v>3632</v>
      </c>
      <c r="CI47" s="39">
        <v>95469.181496679885</v>
      </c>
      <c r="CJ47" s="39">
        <v>319</v>
      </c>
      <c r="CK47" s="39">
        <v>4428.7703125500047</v>
      </c>
      <c r="CL47" s="40">
        <f t="shared" si="89"/>
        <v>4.6389528464785501E-2</v>
      </c>
      <c r="CM47" s="4">
        <v>319</v>
      </c>
      <c r="CN47" s="4">
        <v>4428.7703125500047</v>
      </c>
      <c r="CO47" s="40">
        <f t="shared" si="90"/>
        <v>4.6389528464785501E-2</v>
      </c>
      <c r="CP47" s="39">
        <v>3643</v>
      </c>
      <c r="CQ47" s="39">
        <v>95824.996689900028</v>
      </c>
      <c r="CR47" s="39">
        <v>321</v>
      </c>
      <c r="CS47" s="39">
        <v>4280.5382675500023</v>
      </c>
      <c r="CT47" s="40">
        <f t="shared" si="91"/>
        <v>4.4670372193200102E-2</v>
      </c>
      <c r="CU47" s="4">
        <v>321</v>
      </c>
      <c r="CV47" s="4">
        <v>4280.5382675500023</v>
      </c>
      <c r="CW47" s="40">
        <f t="shared" si="92"/>
        <v>4.4670372193200102E-2</v>
      </c>
      <c r="CX47" s="42">
        <v>0</v>
      </c>
      <c r="CY47" s="42">
        <v>0</v>
      </c>
    </row>
    <row r="48" spans="1:103" s="29" customFormat="1" ht="35.1" customHeight="1" x14ac:dyDescent="0.25">
      <c r="A48" s="38">
        <f t="shared" si="93"/>
        <v>42</v>
      </c>
      <c r="B48" s="45" t="s">
        <v>2096</v>
      </c>
      <c r="C48" s="45" t="s">
        <v>2101</v>
      </c>
      <c r="D48" s="64">
        <v>11386</v>
      </c>
      <c r="E48" s="45" t="s">
        <v>2070</v>
      </c>
      <c r="F48" s="39">
        <v>4566</v>
      </c>
      <c r="G48" s="39">
        <v>263600.76763170923</v>
      </c>
      <c r="H48" s="39">
        <v>424</v>
      </c>
      <c r="I48" s="39">
        <v>151528.71153022</v>
      </c>
      <c r="J48" s="40">
        <f t="shared" si="70"/>
        <v>0.57484169295716503</v>
      </c>
      <c r="K48" s="39">
        <v>416</v>
      </c>
      <c r="L48" s="39">
        <v>8530.972993170004</v>
      </c>
      <c r="M48" s="40">
        <f t="shared" si="71"/>
        <v>7.0735976179123916E-2</v>
      </c>
      <c r="N48" s="39">
        <v>4578</v>
      </c>
      <c r="O48" s="39">
        <v>263244.92272032064</v>
      </c>
      <c r="P48" s="39">
        <v>423</v>
      </c>
      <c r="Q48" s="39">
        <v>151495.05893004997</v>
      </c>
      <c r="R48" s="40">
        <f t="shared" si="72"/>
        <v>0.57549090544474779</v>
      </c>
      <c r="S48" s="39">
        <v>415</v>
      </c>
      <c r="T48" s="39">
        <v>8446.2603593100048</v>
      </c>
      <c r="U48" s="40">
        <f t="shared" si="73"/>
        <v>7.0270654890659145E-2</v>
      </c>
      <c r="V48" s="39">
        <v>4640</v>
      </c>
      <c r="W48" s="39">
        <v>263729.62290381099</v>
      </c>
      <c r="X48" s="39">
        <v>478</v>
      </c>
      <c r="Y48" s="39">
        <v>152349.24043727</v>
      </c>
      <c r="Z48" s="40">
        <f t="shared" si="13"/>
        <v>0.5776720823387963</v>
      </c>
      <c r="AA48" s="39">
        <v>470</v>
      </c>
      <c r="AB48" s="39">
        <v>9283.7200911499986</v>
      </c>
      <c r="AC48" s="40">
        <f t="shared" si="74"/>
        <v>7.6938541739962285E-2</v>
      </c>
      <c r="AD48" s="39">
        <v>4705</v>
      </c>
      <c r="AE48" s="39">
        <v>264751.33402903011</v>
      </c>
      <c r="AF48" s="39">
        <v>484</v>
      </c>
      <c r="AG48" s="39">
        <v>151287.68912233997</v>
      </c>
      <c r="AH48" s="40">
        <f t="shared" si="75"/>
        <v>0.57143315132739314</v>
      </c>
      <c r="AI48" s="39">
        <v>478</v>
      </c>
      <c r="AJ48" s="39">
        <v>9159.4902143600011</v>
      </c>
      <c r="AK48" s="40">
        <f t="shared" si="76"/>
        <v>7.4696265148644317E-2</v>
      </c>
      <c r="AL48" s="39">
        <v>4828</v>
      </c>
      <c r="AM48" s="39">
        <v>268788.76725041954</v>
      </c>
      <c r="AN48" s="39">
        <v>527</v>
      </c>
      <c r="AO48" s="39">
        <v>153927.57939076002</v>
      </c>
      <c r="AP48" s="40">
        <f t="shared" si="77"/>
        <v>0.57267117582838556</v>
      </c>
      <c r="AQ48" s="39">
        <v>519</v>
      </c>
      <c r="AR48" s="39">
        <v>9610.178085810001</v>
      </c>
      <c r="AS48" s="40">
        <f t="shared" si="78"/>
        <v>7.7207942668679211E-2</v>
      </c>
      <c r="AT48" s="39">
        <v>4827</v>
      </c>
      <c r="AU48" s="39">
        <v>267582.74586593977</v>
      </c>
      <c r="AV48" s="39">
        <v>530</v>
      </c>
      <c r="AW48" s="39">
        <v>153115.76680305999</v>
      </c>
      <c r="AX48" s="40">
        <f t="shared" si="79"/>
        <v>0.57221838541028991</v>
      </c>
      <c r="AY48" s="39">
        <v>522</v>
      </c>
      <c r="AZ48" s="39">
        <v>9126.620324939995</v>
      </c>
      <c r="BA48" s="40">
        <f t="shared" si="80"/>
        <v>7.3843794259134024E-2</v>
      </c>
      <c r="BB48" s="41">
        <v>4826</v>
      </c>
      <c r="BC48" s="41">
        <v>269871.22195192933</v>
      </c>
      <c r="BD48" s="41">
        <v>546</v>
      </c>
      <c r="BE48" s="41">
        <v>153446.02222140998</v>
      </c>
      <c r="BF48" s="40">
        <f t="shared" si="81"/>
        <v>0.5685897929818633</v>
      </c>
      <c r="BG48" s="39">
        <v>538</v>
      </c>
      <c r="BH48" s="39">
        <v>9027.0561847999998</v>
      </c>
      <c r="BI48" s="40">
        <f t="shared" si="82"/>
        <v>7.1956108871356533E-2</v>
      </c>
      <c r="BJ48" s="39">
        <v>4907</v>
      </c>
      <c r="BK48" s="39">
        <v>270398.66053061973</v>
      </c>
      <c r="BL48" s="39">
        <v>570</v>
      </c>
      <c r="BM48" s="39">
        <v>152981.91211276999</v>
      </c>
      <c r="BN48" s="40">
        <f t="shared" si="83"/>
        <v>0.56576431189623599</v>
      </c>
      <c r="BO48" s="4">
        <v>562</v>
      </c>
      <c r="BP48" s="4">
        <v>8842.886695889998</v>
      </c>
      <c r="BQ48" s="40">
        <f t="shared" si="84"/>
        <v>7.0037321808541358E-2</v>
      </c>
      <c r="BR48" s="39">
        <v>4813</v>
      </c>
      <c r="BS48" s="39">
        <v>269380.38539354946</v>
      </c>
      <c r="BT48" s="39">
        <v>474</v>
      </c>
      <c r="BU48" s="39">
        <v>151058.74126449999</v>
      </c>
      <c r="BV48" s="40">
        <f t="shared" si="85"/>
        <v>0.56076369867765885</v>
      </c>
      <c r="BW48" s="4">
        <v>466</v>
      </c>
      <c r="BX48" s="4">
        <v>6924.919548939999</v>
      </c>
      <c r="BY48" s="40">
        <f t="shared" si="86"/>
        <v>5.5290295762078202E-2</v>
      </c>
      <c r="BZ48" s="39">
        <v>4952</v>
      </c>
      <c r="CA48" s="39">
        <v>270352.76399882021</v>
      </c>
      <c r="CB48" s="39">
        <v>482</v>
      </c>
      <c r="CC48" s="39">
        <v>151073.50560745999</v>
      </c>
      <c r="CD48" s="40">
        <f t="shared" si="87"/>
        <v>0.55880140958395841</v>
      </c>
      <c r="CE48" s="4">
        <v>474</v>
      </c>
      <c r="CF48" s="4">
        <v>7350.7557280499996</v>
      </c>
      <c r="CG48" s="40">
        <f t="shared" si="88"/>
        <v>5.8049079273720577E-2</v>
      </c>
      <c r="CH48" s="39">
        <v>5124</v>
      </c>
      <c r="CI48" s="39">
        <v>274384.63331016951</v>
      </c>
      <c r="CJ48" s="39">
        <v>500</v>
      </c>
      <c r="CK48" s="39">
        <v>151394.67020203001</v>
      </c>
      <c r="CL48" s="40">
        <f t="shared" si="89"/>
        <v>0.55176074685964882</v>
      </c>
      <c r="CM48" s="4">
        <v>492</v>
      </c>
      <c r="CN48" s="4">
        <v>7848.085151829996</v>
      </c>
      <c r="CO48" s="40">
        <f t="shared" si="90"/>
        <v>5.9983202563800048E-2</v>
      </c>
      <c r="CP48" s="39">
        <v>5122</v>
      </c>
      <c r="CQ48" s="39">
        <v>266933.39151681011</v>
      </c>
      <c r="CR48" s="39">
        <v>498</v>
      </c>
      <c r="CS48" s="39">
        <v>142054.51914316</v>
      </c>
      <c r="CT48" s="40">
        <f t="shared" si="91"/>
        <v>0.5321721585147362</v>
      </c>
      <c r="CU48" s="4">
        <v>490</v>
      </c>
      <c r="CV48" s="4">
        <v>7096.001704669995</v>
      </c>
      <c r="CW48" s="40">
        <f t="shared" si="92"/>
        <v>5.3767823263531918E-2</v>
      </c>
      <c r="CX48" s="42">
        <v>0</v>
      </c>
      <c r="CY48" s="42">
        <v>0</v>
      </c>
    </row>
    <row r="49" spans="1:103" s="29" customFormat="1" ht="35.1" customHeight="1" x14ac:dyDescent="0.25">
      <c r="A49" s="38">
        <f t="shared" si="93"/>
        <v>43</v>
      </c>
      <c r="B49" s="45" t="s">
        <v>2096</v>
      </c>
      <c r="C49" s="45" t="s">
        <v>2102</v>
      </c>
      <c r="D49" s="64">
        <v>11387</v>
      </c>
      <c r="E49" s="45" t="s">
        <v>2068</v>
      </c>
      <c r="F49" s="39">
        <v>2665</v>
      </c>
      <c r="G49" s="39">
        <v>72372.972073479948</v>
      </c>
      <c r="H49" s="39">
        <v>242</v>
      </c>
      <c r="I49" s="39">
        <v>26214.921126519985</v>
      </c>
      <c r="J49" s="40">
        <f t="shared" si="70"/>
        <v>0.36221976762131719</v>
      </c>
      <c r="K49" s="39">
        <v>242</v>
      </c>
      <c r="L49" s="39">
        <v>26214.921126519985</v>
      </c>
      <c r="M49" s="40">
        <f t="shared" si="71"/>
        <v>0.36221976762131719</v>
      </c>
      <c r="N49" s="39">
        <v>2695</v>
      </c>
      <c r="O49" s="39">
        <v>72935.098423589807</v>
      </c>
      <c r="P49" s="39">
        <v>240</v>
      </c>
      <c r="Q49" s="39">
        <v>26197.390476349996</v>
      </c>
      <c r="R49" s="40">
        <f t="shared" si="72"/>
        <v>0.35918770307543491</v>
      </c>
      <c r="S49" s="39">
        <v>240</v>
      </c>
      <c r="T49" s="39">
        <v>26197.390476349996</v>
      </c>
      <c r="U49" s="40">
        <f t="shared" si="73"/>
        <v>0.35918770307543491</v>
      </c>
      <c r="V49" s="39">
        <v>2736</v>
      </c>
      <c r="W49" s="39">
        <v>73596.819878779832</v>
      </c>
      <c r="X49" s="39">
        <v>255</v>
      </c>
      <c r="Y49" s="39">
        <v>25999.873005279987</v>
      </c>
      <c r="Z49" s="40">
        <f t="shared" si="13"/>
        <v>0.35327440843373353</v>
      </c>
      <c r="AA49" s="39">
        <v>255</v>
      </c>
      <c r="AB49" s="39">
        <v>25999.873005279987</v>
      </c>
      <c r="AC49" s="40">
        <f t="shared" si="74"/>
        <v>0.35327440843373353</v>
      </c>
      <c r="AD49" s="39">
        <v>2792</v>
      </c>
      <c r="AE49" s="39">
        <v>74491.376900399904</v>
      </c>
      <c r="AF49" s="39">
        <v>258</v>
      </c>
      <c r="AG49" s="39">
        <v>26037.051715879992</v>
      </c>
      <c r="AH49" s="40">
        <f t="shared" si="75"/>
        <v>0.34953108398967203</v>
      </c>
      <c r="AI49" s="39">
        <v>258</v>
      </c>
      <c r="AJ49" s="39">
        <v>26037.051715879992</v>
      </c>
      <c r="AK49" s="40">
        <f t="shared" si="76"/>
        <v>0.34953108398967203</v>
      </c>
      <c r="AL49" s="39">
        <v>2854</v>
      </c>
      <c r="AM49" s="39">
        <v>76159.867878770005</v>
      </c>
      <c r="AN49" s="39">
        <v>264</v>
      </c>
      <c r="AO49" s="39">
        <v>26163.048146839996</v>
      </c>
      <c r="AP49" s="40">
        <f t="shared" si="77"/>
        <v>0.34352801384169801</v>
      </c>
      <c r="AQ49" s="39">
        <v>264</v>
      </c>
      <c r="AR49" s="39">
        <v>26163.048146839996</v>
      </c>
      <c r="AS49" s="40">
        <f t="shared" si="78"/>
        <v>0.34352801384169801</v>
      </c>
      <c r="AT49" s="39">
        <v>2861</v>
      </c>
      <c r="AU49" s="39">
        <v>76449.092595169845</v>
      </c>
      <c r="AV49" s="39">
        <v>274</v>
      </c>
      <c r="AW49" s="39">
        <v>25902.958191779995</v>
      </c>
      <c r="AX49" s="40">
        <f t="shared" si="79"/>
        <v>0.33882623471997336</v>
      </c>
      <c r="AY49" s="39">
        <v>274</v>
      </c>
      <c r="AZ49" s="39">
        <v>25902.958191779995</v>
      </c>
      <c r="BA49" s="40">
        <f t="shared" si="80"/>
        <v>0.33882623471997336</v>
      </c>
      <c r="BB49" s="41">
        <v>2898</v>
      </c>
      <c r="BC49" s="41">
        <v>77980.465669929967</v>
      </c>
      <c r="BD49" s="41">
        <v>290</v>
      </c>
      <c r="BE49" s="41">
        <v>25852.617140269984</v>
      </c>
      <c r="BF49" s="40">
        <f t="shared" si="81"/>
        <v>0.33152683711452891</v>
      </c>
      <c r="BG49" s="39">
        <v>290</v>
      </c>
      <c r="BH49" s="39">
        <v>25852.617140269984</v>
      </c>
      <c r="BI49" s="40">
        <f t="shared" si="82"/>
        <v>0.33152683711452891</v>
      </c>
      <c r="BJ49" s="39">
        <v>2963</v>
      </c>
      <c r="BK49" s="39">
        <v>79720.359941830102</v>
      </c>
      <c r="BL49" s="39">
        <v>337</v>
      </c>
      <c r="BM49" s="39">
        <v>26100.669919529992</v>
      </c>
      <c r="BN49" s="40">
        <f t="shared" si="83"/>
        <v>0.32740281075718902</v>
      </c>
      <c r="BO49" s="4">
        <v>337</v>
      </c>
      <c r="BP49" s="4">
        <v>26100.669919529992</v>
      </c>
      <c r="BQ49" s="40">
        <f t="shared" si="84"/>
        <v>0.32740281075718902</v>
      </c>
      <c r="BR49" s="39">
        <v>2893</v>
      </c>
      <c r="BS49" s="39">
        <v>79291.096537419959</v>
      </c>
      <c r="BT49" s="39">
        <v>230</v>
      </c>
      <c r="BU49" s="39">
        <v>24006.521502939988</v>
      </c>
      <c r="BV49" s="40">
        <f t="shared" si="85"/>
        <v>0.30276440295677531</v>
      </c>
      <c r="BW49" s="4">
        <v>230</v>
      </c>
      <c r="BX49" s="4">
        <v>24006.521502939988</v>
      </c>
      <c r="BY49" s="40">
        <f t="shared" si="86"/>
        <v>0.30276440295677531</v>
      </c>
      <c r="BZ49" s="39">
        <v>2977</v>
      </c>
      <c r="CA49" s="39">
        <v>82170.906603169962</v>
      </c>
      <c r="CB49" s="39">
        <v>241</v>
      </c>
      <c r="CC49" s="39">
        <v>23211.601396959984</v>
      </c>
      <c r="CD49" s="40">
        <f t="shared" si="87"/>
        <v>0.28247955823411269</v>
      </c>
      <c r="CE49" s="4">
        <v>241</v>
      </c>
      <c r="CF49" s="4">
        <v>23211.601396959984</v>
      </c>
      <c r="CG49" s="40">
        <f t="shared" si="88"/>
        <v>0.28247955823411269</v>
      </c>
      <c r="CH49" s="39">
        <v>3120</v>
      </c>
      <c r="CI49" s="39">
        <v>84740.059567550095</v>
      </c>
      <c r="CJ49" s="39">
        <v>259</v>
      </c>
      <c r="CK49" s="39">
        <v>23165.530953649988</v>
      </c>
      <c r="CL49" s="40">
        <f t="shared" si="89"/>
        <v>0.27337166237396499</v>
      </c>
      <c r="CM49" s="4">
        <v>259</v>
      </c>
      <c r="CN49" s="4">
        <v>23165.530953649988</v>
      </c>
      <c r="CO49" s="40">
        <f t="shared" si="90"/>
        <v>0.27337166237396499</v>
      </c>
      <c r="CP49" s="39">
        <v>3109</v>
      </c>
      <c r="CQ49" s="39">
        <v>88954.629553700172</v>
      </c>
      <c r="CR49" s="39">
        <v>268</v>
      </c>
      <c r="CS49" s="39">
        <v>22939.00495043999</v>
      </c>
      <c r="CT49" s="40">
        <f t="shared" si="91"/>
        <v>0.25787308727526276</v>
      </c>
      <c r="CU49" s="4">
        <v>268</v>
      </c>
      <c r="CV49" s="4">
        <v>22939.00495043999</v>
      </c>
      <c r="CW49" s="40">
        <f t="shared" si="92"/>
        <v>0.25787308727526276</v>
      </c>
      <c r="CX49" s="42">
        <v>0</v>
      </c>
      <c r="CY49" s="42">
        <v>0</v>
      </c>
    </row>
    <row r="50" spans="1:103" s="29" customFormat="1" ht="35.1" customHeight="1" x14ac:dyDescent="0.25">
      <c r="A50" s="38">
        <f t="shared" si="93"/>
        <v>44</v>
      </c>
      <c r="B50" s="45" t="s">
        <v>2096</v>
      </c>
      <c r="C50" s="45" t="s">
        <v>2103</v>
      </c>
      <c r="D50" s="64">
        <v>11799</v>
      </c>
      <c r="E50" s="45" t="s">
        <v>2035</v>
      </c>
      <c r="F50" s="39">
        <v>4647</v>
      </c>
      <c r="G50" s="39">
        <v>266139.57940825971</v>
      </c>
      <c r="H50" s="39">
        <v>340</v>
      </c>
      <c r="I50" s="39">
        <v>50822.513318109974</v>
      </c>
      <c r="J50" s="40">
        <f t="shared" si="70"/>
        <v>0.1909618758363931</v>
      </c>
      <c r="K50" s="39">
        <v>340</v>
      </c>
      <c r="L50" s="39">
        <v>50822.513318109974</v>
      </c>
      <c r="M50" s="40">
        <f t="shared" si="71"/>
        <v>0.1909618758363931</v>
      </c>
      <c r="N50" s="39">
        <v>4688</v>
      </c>
      <c r="O50" s="39">
        <v>262481.39814380941</v>
      </c>
      <c r="P50" s="39">
        <v>393</v>
      </c>
      <c r="Q50" s="39">
        <v>51723.321748059912</v>
      </c>
      <c r="R50" s="40">
        <f t="shared" si="72"/>
        <v>0.19705518986805123</v>
      </c>
      <c r="S50" s="39">
        <v>393</v>
      </c>
      <c r="T50" s="39">
        <v>51723.321748059912</v>
      </c>
      <c r="U50" s="40">
        <f t="shared" si="73"/>
        <v>0.19705518986805123</v>
      </c>
      <c r="V50" s="39">
        <v>4772</v>
      </c>
      <c r="W50" s="39">
        <v>257907.35468715016</v>
      </c>
      <c r="X50" s="39">
        <v>399</v>
      </c>
      <c r="Y50" s="39">
        <v>51298.844706079915</v>
      </c>
      <c r="Z50" s="40">
        <f t="shared" si="13"/>
        <v>0.1989041559838689</v>
      </c>
      <c r="AA50" s="39">
        <v>399</v>
      </c>
      <c r="AB50" s="39">
        <v>51298.844706079915</v>
      </c>
      <c r="AC50" s="40">
        <f t="shared" si="74"/>
        <v>0.1989041559838689</v>
      </c>
      <c r="AD50" s="39">
        <v>4882</v>
      </c>
      <c r="AE50" s="39">
        <v>253918.80782312949</v>
      </c>
      <c r="AF50" s="39">
        <v>434</v>
      </c>
      <c r="AG50" s="39">
        <v>50929.590394499879</v>
      </c>
      <c r="AH50" s="40">
        <f t="shared" si="75"/>
        <v>0.20057431283300431</v>
      </c>
      <c r="AI50" s="39">
        <v>434</v>
      </c>
      <c r="AJ50" s="39">
        <v>50929.590394499879</v>
      </c>
      <c r="AK50" s="40">
        <f t="shared" si="76"/>
        <v>0.20057431283300431</v>
      </c>
      <c r="AL50" s="39">
        <v>5124</v>
      </c>
      <c r="AM50" s="39">
        <v>254650.76918746019</v>
      </c>
      <c r="AN50" s="39">
        <v>468</v>
      </c>
      <c r="AO50" s="39">
        <v>54880.790318379906</v>
      </c>
      <c r="AP50" s="40">
        <f t="shared" si="77"/>
        <v>0.21551393892700016</v>
      </c>
      <c r="AQ50" s="39">
        <v>468</v>
      </c>
      <c r="AR50" s="39">
        <v>54880.790318379906</v>
      </c>
      <c r="AS50" s="40">
        <f t="shared" si="78"/>
        <v>0.21551393892700016</v>
      </c>
      <c r="AT50" s="39">
        <v>5197</v>
      </c>
      <c r="AU50" s="39">
        <v>249407.96733414053</v>
      </c>
      <c r="AV50" s="39">
        <v>540</v>
      </c>
      <c r="AW50" s="39">
        <v>56429.914494329882</v>
      </c>
      <c r="AX50" s="40">
        <f t="shared" si="79"/>
        <v>0.22625546047103123</v>
      </c>
      <c r="AY50" s="39">
        <v>540</v>
      </c>
      <c r="AZ50" s="39">
        <v>56429.914494329882</v>
      </c>
      <c r="BA50" s="40">
        <f t="shared" si="80"/>
        <v>0.22625546047103123</v>
      </c>
      <c r="BB50" s="41">
        <v>5233</v>
      </c>
      <c r="BC50" s="41">
        <v>245002.41040328989</v>
      </c>
      <c r="BD50" s="41">
        <v>488</v>
      </c>
      <c r="BE50" s="41">
        <v>54900.998246989904</v>
      </c>
      <c r="BF50" s="40">
        <f t="shared" si="81"/>
        <v>0.22408350251174791</v>
      </c>
      <c r="BG50" s="39">
        <v>488</v>
      </c>
      <c r="BH50" s="39">
        <v>54900.998246989904</v>
      </c>
      <c r="BI50" s="40">
        <f t="shared" si="82"/>
        <v>0.22408350251174791</v>
      </c>
      <c r="BJ50" s="39">
        <v>5360</v>
      </c>
      <c r="BK50" s="39">
        <v>245922.65263660959</v>
      </c>
      <c r="BL50" s="39">
        <v>521</v>
      </c>
      <c r="BM50" s="39">
        <v>56099.207216509887</v>
      </c>
      <c r="BN50" s="40">
        <f t="shared" si="83"/>
        <v>0.22811728246688001</v>
      </c>
      <c r="BO50" s="4">
        <v>521</v>
      </c>
      <c r="BP50" s="4">
        <v>56099.207216509887</v>
      </c>
      <c r="BQ50" s="40">
        <f t="shared" si="84"/>
        <v>0.22811728246688001</v>
      </c>
      <c r="BR50" s="39">
        <v>5246</v>
      </c>
      <c r="BS50" s="39">
        <v>241170.62670325962</v>
      </c>
      <c r="BT50" s="39">
        <v>378</v>
      </c>
      <c r="BU50" s="39">
        <v>53510.671876959961</v>
      </c>
      <c r="BV50" s="40">
        <f t="shared" si="85"/>
        <v>0.22187889382897524</v>
      </c>
      <c r="BW50" s="4">
        <v>378</v>
      </c>
      <c r="BX50" s="4">
        <v>53510.671876959961</v>
      </c>
      <c r="BY50" s="40">
        <f t="shared" si="86"/>
        <v>0.22187889382897524</v>
      </c>
      <c r="BZ50" s="39">
        <v>5403</v>
      </c>
      <c r="CA50" s="39">
        <v>242683.51602535028</v>
      </c>
      <c r="CB50" s="39">
        <v>388</v>
      </c>
      <c r="CC50" s="39">
        <v>50773.739700199971</v>
      </c>
      <c r="CD50" s="40">
        <f t="shared" si="87"/>
        <v>0.20921791694700945</v>
      </c>
      <c r="CE50" s="4">
        <v>388</v>
      </c>
      <c r="CF50" s="4">
        <v>50773.739700199971</v>
      </c>
      <c r="CG50" s="40">
        <f t="shared" si="88"/>
        <v>0.20921791694700945</v>
      </c>
      <c r="CH50" s="39">
        <v>5617</v>
      </c>
      <c r="CI50" s="39">
        <v>243972.19356654884</v>
      </c>
      <c r="CJ50" s="39">
        <v>413</v>
      </c>
      <c r="CK50" s="39">
        <v>50649.262815639966</v>
      </c>
      <c r="CL50" s="40">
        <f t="shared" si="89"/>
        <v>0.20760260452314314</v>
      </c>
      <c r="CM50" s="4">
        <v>413</v>
      </c>
      <c r="CN50" s="4">
        <v>50649.262815639966</v>
      </c>
      <c r="CO50" s="40">
        <f t="shared" si="90"/>
        <v>0.20760260452314314</v>
      </c>
      <c r="CP50" s="39">
        <v>5610</v>
      </c>
      <c r="CQ50" s="39">
        <v>240254.47646806913</v>
      </c>
      <c r="CR50" s="39">
        <v>398</v>
      </c>
      <c r="CS50" s="39">
        <v>46897.047364449965</v>
      </c>
      <c r="CT50" s="40">
        <f t="shared" si="91"/>
        <v>0.19519739258919819</v>
      </c>
      <c r="CU50" s="4">
        <v>398</v>
      </c>
      <c r="CV50" s="4">
        <v>46897.047364449965</v>
      </c>
      <c r="CW50" s="40">
        <f t="shared" si="92"/>
        <v>0.19519739258919819</v>
      </c>
      <c r="CX50" s="42">
        <v>0</v>
      </c>
      <c r="CY50" s="42">
        <v>0</v>
      </c>
    </row>
    <row r="51" spans="1:103" s="29" customFormat="1" ht="35.1" customHeight="1" x14ac:dyDescent="0.25">
      <c r="A51" s="38">
        <f t="shared" si="93"/>
        <v>45</v>
      </c>
      <c r="B51" s="45" t="s">
        <v>2096</v>
      </c>
      <c r="C51" s="45" t="s">
        <v>2104</v>
      </c>
      <c r="D51" s="64">
        <v>11490</v>
      </c>
      <c r="E51" s="45" t="s">
        <v>2054</v>
      </c>
      <c r="F51" s="39">
        <v>3485</v>
      </c>
      <c r="G51" s="39">
        <v>154513.73482432985</v>
      </c>
      <c r="H51" s="39">
        <v>284</v>
      </c>
      <c r="I51" s="39">
        <v>5123.2168810699977</v>
      </c>
      <c r="J51" s="40">
        <f t="shared" si="70"/>
        <v>3.3157032201018885E-2</v>
      </c>
      <c r="K51" s="39">
        <v>284</v>
      </c>
      <c r="L51" s="39">
        <v>5123.2168810699977</v>
      </c>
      <c r="M51" s="40">
        <f t="shared" si="71"/>
        <v>3.3157032201018885E-2</v>
      </c>
      <c r="N51" s="39">
        <v>3503</v>
      </c>
      <c r="O51" s="39">
        <v>155429.51863424963</v>
      </c>
      <c r="P51" s="39">
        <v>284</v>
      </c>
      <c r="Q51" s="39">
        <v>5046.7722777499957</v>
      </c>
      <c r="R51" s="40">
        <f t="shared" si="72"/>
        <v>3.2469844351933258E-2</v>
      </c>
      <c r="S51" s="39">
        <v>284</v>
      </c>
      <c r="T51" s="39">
        <v>5046.7722777499957</v>
      </c>
      <c r="U51" s="40">
        <f t="shared" si="73"/>
        <v>3.2469844351933258E-2</v>
      </c>
      <c r="V51" s="39">
        <v>3551</v>
      </c>
      <c r="W51" s="39">
        <v>155001.33417450933</v>
      </c>
      <c r="X51" s="39">
        <v>278</v>
      </c>
      <c r="Y51" s="39">
        <v>4853.3100894499958</v>
      </c>
      <c r="Z51" s="40">
        <f t="shared" si="13"/>
        <v>3.1311408481077087E-2</v>
      </c>
      <c r="AA51" s="39">
        <v>278</v>
      </c>
      <c r="AB51" s="39">
        <v>4853.3100894499958</v>
      </c>
      <c r="AC51" s="40">
        <f t="shared" si="74"/>
        <v>3.1311408481077087E-2</v>
      </c>
      <c r="AD51" s="39">
        <v>3602</v>
      </c>
      <c r="AE51" s="39">
        <v>155617.47986641928</v>
      </c>
      <c r="AF51" s="39">
        <v>321</v>
      </c>
      <c r="AG51" s="39">
        <v>5408.6885164399964</v>
      </c>
      <c r="AH51" s="40">
        <f t="shared" si="75"/>
        <v>3.4756304504370387E-2</v>
      </c>
      <c r="AI51" s="39">
        <v>321</v>
      </c>
      <c r="AJ51" s="39">
        <v>5408.6885164399964</v>
      </c>
      <c r="AK51" s="40">
        <f t="shared" si="76"/>
        <v>3.4756304504370387E-2</v>
      </c>
      <c r="AL51" s="39">
        <v>3735</v>
      </c>
      <c r="AM51" s="39">
        <v>157551.69397451906</v>
      </c>
      <c r="AN51" s="39">
        <v>347</v>
      </c>
      <c r="AO51" s="39">
        <v>5729.5684430100009</v>
      </c>
      <c r="AP51" s="40">
        <f t="shared" si="77"/>
        <v>3.636627635331327E-2</v>
      </c>
      <c r="AQ51" s="39">
        <v>347</v>
      </c>
      <c r="AR51" s="39">
        <v>5729.5684430100009</v>
      </c>
      <c r="AS51" s="40">
        <f t="shared" si="78"/>
        <v>3.636627635331327E-2</v>
      </c>
      <c r="AT51" s="39">
        <v>3767</v>
      </c>
      <c r="AU51" s="39">
        <v>157903.50726322964</v>
      </c>
      <c r="AV51" s="39">
        <v>364</v>
      </c>
      <c r="AW51" s="39">
        <v>5700.6753057800006</v>
      </c>
      <c r="AX51" s="40">
        <f t="shared" si="79"/>
        <v>3.6102271599811983E-2</v>
      </c>
      <c r="AY51" s="39">
        <v>364</v>
      </c>
      <c r="AZ51" s="39">
        <v>5700.6753057800006</v>
      </c>
      <c r="BA51" s="40">
        <f t="shared" si="80"/>
        <v>3.6102271599811983E-2</v>
      </c>
      <c r="BB51" s="41">
        <v>3773</v>
      </c>
      <c r="BC51" s="41">
        <v>154990.80874918986</v>
      </c>
      <c r="BD51" s="41">
        <v>362</v>
      </c>
      <c r="BE51" s="41">
        <v>5645.5854957599968</v>
      </c>
      <c r="BF51" s="40">
        <f t="shared" si="81"/>
        <v>3.6425292191976551E-2</v>
      </c>
      <c r="BG51" s="39">
        <v>362</v>
      </c>
      <c r="BH51" s="39">
        <v>5645.5854957599968</v>
      </c>
      <c r="BI51" s="40">
        <f t="shared" si="82"/>
        <v>3.6425292191976551E-2</v>
      </c>
      <c r="BJ51" s="39">
        <v>3815</v>
      </c>
      <c r="BK51" s="39">
        <v>156094.43088181003</v>
      </c>
      <c r="BL51" s="39">
        <v>362</v>
      </c>
      <c r="BM51" s="39">
        <v>5620.597021100004</v>
      </c>
      <c r="BN51" s="40">
        <f t="shared" si="83"/>
        <v>3.6007671698138607E-2</v>
      </c>
      <c r="BO51" s="4">
        <v>362</v>
      </c>
      <c r="BP51" s="4">
        <v>5620.597021100004</v>
      </c>
      <c r="BQ51" s="40">
        <f t="shared" si="84"/>
        <v>3.6007671698138607E-2</v>
      </c>
      <c r="BR51" s="39">
        <v>3735</v>
      </c>
      <c r="BS51" s="39">
        <v>156493.05196580946</v>
      </c>
      <c r="BT51" s="39">
        <v>249</v>
      </c>
      <c r="BU51" s="39">
        <v>2459.2063997099995</v>
      </c>
      <c r="BV51" s="40">
        <f t="shared" si="85"/>
        <v>1.5714476577830983E-2</v>
      </c>
      <c r="BW51" s="4">
        <v>249</v>
      </c>
      <c r="BX51" s="4">
        <v>2459.2063997099995</v>
      </c>
      <c r="BY51" s="40">
        <f t="shared" si="86"/>
        <v>1.5714476577830983E-2</v>
      </c>
      <c r="BZ51" s="39">
        <v>3899</v>
      </c>
      <c r="CA51" s="39">
        <v>157666.1304655899</v>
      </c>
      <c r="CB51" s="39">
        <v>246</v>
      </c>
      <c r="CC51" s="39">
        <v>4326.0819821399964</v>
      </c>
      <c r="CD51" s="40">
        <f t="shared" si="87"/>
        <v>2.7438245420021577E-2</v>
      </c>
      <c r="CE51" s="4">
        <v>246</v>
      </c>
      <c r="CF51" s="4">
        <v>4326.0819821399964</v>
      </c>
      <c r="CG51" s="40">
        <f t="shared" si="88"/>
        <v>2.7438245420021577E-2</v>
      </c>
      <c r="CH51" s="39">
        <v>3939</v>
      </c>
      <c r="CI51" s="39">
        <v>160274.60526989985</v>
      </c>
      <c r="CJ51" s="39">
        <v>262</v>
      </c>
      <c r="CK51" s="39">
        <v>4429.5570503599993</v>
      </c>
      <c r="CL51" s="40">
        <f t="shared" si="89"/>
        <v>2.7637298141528387E-2</v>
      </c>
      <c r="CM51" s="4">
        <v>262</v>
      </c>
      <c r="CN51" s="4">
        <v>4429.5570503599993</v>
      </c>
      <c r="CO51" s="40">
        <f t="shared" si="90"/>
        <v>2.7637298141528387E-2</v>
      </c>
      <c r="CP51" s="39">
        <v>3958</v>
      </c>
      <c r="CQ51" s="39">
        <v>161989.07907502967</v>
      </c>
      <c r="CR51" s="39">
        <v>290</v>
      </c>
      <c r="CS51" s="39">
        <v>4447.6504222900003</v>
      </c>
      <c r="CT51" s="40">
        <f t="shared" si="91"/>
        <v>2.7456483163472701E-2</v>
      </c>
      <c r="CU51" s="4">
        <v>290</v>
      </c>
      <c r="CV51" s="4">
        <v>4447.6504222900003</v>
      </c>
      <c r="CW51" s="40">
        <f t="shared" si="92"/>
        <v>2.7456483163472701E-2</v>
      </c>
      <c r="CX51" s="42">
        <v>0</v>
      </c>
      <c r="CY51" s="42">
        <v>0</v>
      </c>
    </row>
    <row r="52" spans="1:103" s="29" customFormat="1" ht="35.1" customHeight="1" x14ac:dyDescent="0.25">
      <c r="A52" s="38">
        <f t="shared" si="93"/>
        <v>46</v>
      </c>
      <c r="B52" s="45" t="s">
        <v>2096</v>
      </c>
      <c r="C52" s="45" t="s">
        <v>2105</v>
      </c>
      <c r="D52" s="64">
        <v>11349</v>
      </c>
      <c r="E52" s="45" t="s">
        <v>2079</v>
      </c>
      <c r="F52" s="39">
        <v>4621</v>
      </c>
      <c r="G52" s="39">
        <v>127862.90411140014</v>
      </c>
      <c r="H52" s="39">
        <v>118</v>
      </c>
      <c r="I52" s="39">
        <v>1305.0015769500008</v>
      </c>
      <c r="J52" s="40">
        <f t="shared" si="70"/>
        <v>1.0206256349480552E-2</v>
      </c>
      <c r="K52" s="39">
        <v>118</v>
      </c>
      <c r="L52" s="39">
        <v>1305.0015769500008</v>
      </c>
      <c r="M52" s="40">
        <f t="shared" si="71"/>
        <v>1.0206256349480552E-2</v>
      </c>
      <c r="N52" s="39">
        <v>4693</v>
      </c>
      <c r="O52" s="39">
        <v>125541.58778893019</v>
      </c>
      <c r="P52" s="39">
        <v>127</v>
      </c>
      <c r="Q52" s="39">
        <v>3882.0707088899999</v>
      </c>
      <c r="R52" s="40">
        <f t="shared" si="72"/>
        <v>3.0922587305625165E-2</v>
      </c>
      <c r="S52" s="39">
        <v>127</v>
      </c>
      <c r="T52" s="39">
        <v>3882.0707088899999</v>
      </c>
      <c r="U52" s="40">
        <f t="shared" si="73"/>
        <v>3.0922587305625165E-2</v>
      </c>
      <c r="V52" s="39">
        <v>4756</v>
      </c>
      <c r="W52" s="39">
        <v>123175.34646037</v>
      </c>
      <c r="X52" s="39">
        <v>155</v>
      </c>
      <c r="Y52" s="39">
        <v>1969.6152950300002</v>
      </c>
      <c r="Z52" s="40">
        <f t="shared" si="13"/>
        <v>1.5990336959707252E-2</v>
      </c>
      <c r="AA52" s="39">
        <v>155</v>
      </c>
      <c r="AB52" s="39">
        <v>1969.6152950300002</v>
      </c>
      <c r="AC52" s="40">
        <f t="shared" si="74"/>
        <v>1.5990336959707252E-2</v>
      </c>
      <c r="AD52" s="39">
        <v>4779</v>
      </c>
      <c r="AE52" s="39">
        <v>123434.95415852028</v>
      </c>
      <c r="AF52" s="39">
        <v>162</v>
      </c>
      <c r="AG52" s="39">
        <v>2009.0842910600011</v>
      </c>
      <c r="AH52" s="40">
        <f t="shared" si="75"/>
        <v>1.6276461596768221E-2</v>
      </c>
      <c r="AI52" s="39">
        <v>162</v>
      </c>
      <c r="AJ52" s="39">
        <v>2009.0842910600011</v>
      </c>
      <c r="AK52" s="40">
        <f t="shared" si="76"/>
        <v>1.6276461596768221E-2</v>
      </c>
      <c r="AL52" s="39">
        <v>4991</v>
      </c>
      <c r="AM52" s="39">
        <v>131969.69790844058</v>
      </c>
      <c r="AN52" s="39">
        <v>176</v>
      </c>
      <c r="AO52" s="39">
        <v>2169.9651410499996</v>
      </c>
      <c r="AP52" s="40">
        <f t="shared" si="77"/>
        <v>1.644290451096965E-2</v>
      </c>
      <c r="AQ52" s="39">
        <v>176</v>
      </c>
      <c r="AR52" s="39">
        <v>2169.9651410499996</v>
      </c>
      <c r="AS52" s="40">
        <f t="shared" si="78"/>
        <v>1.644290451096965E-2</v>
      </c>
      <c r="AT52" s="39">
        <v>5004</v>
      </c>
      <c r="AU52" s="39">
        <v>133948.98600042053</v>
      </c>
      <c r="AV52" s="39">
        <v>192</v>
      </c>
      <c r="AW52" s="39">
        <v>2704.2312974099996</v>
      </c>
      <c r="AX52" s="40">
        <f t="shared" si="79"/>
        <v>2.0188516375939641E-2</v>
      </c>
      <c r="AY52" s="39">
        <v>192</v>
      </c>
      <c r="AZ52" s="39">
        <v>2704.2312974099996</v>
      </c>
      <c r="BA52" s="40">
        <f t="shared" si="80"/>
        <v>2.0188516375939641E-2</v>
      </c>
      <c r="BB52" s="41">
        <v>4969</v>
      </c>
      <c r="BC52" s="41">
        <v>134827.20024731028</v>
      </c>
      <c r="BD52" s="41">
        <v>186</v>
      </c>
      <c r="BE52" s="41">
        <v>2803.1575286499988</v>
      </c>
      <c r="BF52" s="40">
        <f t="shared" si="81"/>
        <v>2.0790741953465135E-2</v>
      </c>
      <c r="BG52" s="39">
        <v>186</v>
      </c>
      <c r="BH52" s="39">
        <v>2803.1575286499988</v>
      </c>
      <c r="BI52" s="40">
        <f t="shared" si="82"/>
        <v>2.0790741953465135E-2</v>
      </c>
      <c r="BJ52" s="39">
        <v>5007</v>
      </c>
      <c r="BK52" s="39">
        <v>142471.01495574994</v>
      </c>
      <c r="BL52" s="39">
        <v>247</v>
      </c>
      <c r="BM52" s="39">
        <v>3238.8481265899991</v>
      </c>
      <c r="BN52" s="40">
        <f t="shared" si="83"/>
        <v>2.2733382839982944E-2</v>
      </c>
      <c r="BO52" s="4">
        <v>247</v>
      </c>
      <c r="BP52" s="4">
        <v>3238.8481265899991</v>
      </c>
      <c r="BQ52" s="40">
        <f t="shared" si="84"/>
        <v>2.2733382839982944E-2</v>
      </c>
      <c r="BR52" s="39">
        <v>4972</v>
      </c>
      <c r="BS52" s="39">
        <v>146315.71538444949</v>
      </c>
      <c r="BT52" s="39">
        <v>217</v>
      </c>
      <c r="BU52" s="39">
        <v>2620.6408076200019</v>
      </c>
      <c r="BV52" s="40">
        <f t="shared" si="85"/>
        <v>1.7910863510007653E-2</v>
      </c>
      <c r="BW52" s="4">
        <v>217</v>
      </c>
      <c r="BX52" s="4">
        <v>2620.6408076200019</v>
      </c>
      <c r="BY52" s="40">
        <f t="shared" si="86"/>
        <v>1.7910863510007653E-2</v>
      </c>
      <c r="BZ52" s="39">
        <v>5205</v>
      </c>
      <c r="CA52" s="39">
        <v>147118.64484423981</v>
      </c>
      <c r="CB52" s="39">
        <v>221</v>
      </c>
      <c r="CC52" s="39">
        <v>2617.0833777500011</v>
      </c>
      <c r="CD52" s="40">
        <f t="shared" si="87"/>
        <v>1.7788930699577939E-2</v>
      </c>
      <c r="CE52" s="4">
        <v>221</v>
      </c>
      <c r="CF52" s="4">
        <v>2617.0833777500011</v>
      </c>
      <c r="CG52" s="40">
        <f t="shared" si="88"/>
        <v>1.7788930699577939E-2</v>
      </c>
      <c r="CH52" s="39">
        <v>8514</v>
      </c>
      <c r="CI52" s="39">
        <v>163430.33386171065</v>
      </c>
      <c r="CJ52" s="39">
        <v>224</v>
      </c>
      <c r="CK52" s="39">
        <v>2692.1574402300007</v>
      </c>
      <c r="CL52" s="40">
        <f t="shared" si="89"/>
        <v>1.6472813685297953E-2</v>
      </c>
      <c r="CM52" s="4">
        <v>224</v>
      </c>
      <c r="CN52" s="4">
        <v>2692.1574402300007</v>
      </c>
      <c r="CO52" s="40">
        <f t="shared" si="90"/>
        <v>1.6472813685297953E-2</v>
      </c>
      <c r="CP52" s="39">
        <v>5320</v>
      </c>
      <c r="CQ52" s="39">
        <v>155044.88709702014</v>
      </c>
      <c r="CR52" s="39">
        <v>225</v>
      </c>
      <c r="CS52" s="39">
        <v>2651.3062672200017</v>
      </c>
      <c r="CT52" s="40">
        <f t="shared" si="91"/>
        <v>1.7100249591338882E-2</v>
      </c>
      <c r="CU52" s="4">
        <v>225</v>
      </c>
      <c r="CV52" s="4">
        <v>2651.3062672200017</v>
      </c>
      <c r="CW52" s="40">
        <f t="shared" si="92"/>
        <v>1.7100249591338882E-2</v>
      </c>
      <c r="CX52" s="42">
        <v>0</v>
      </c>
      <c r="CY52" s="42">
        <v>0</v>
      </c>
    </row>
    <row r="53" spans="1:103" s="29" customFormat="1" ht="35.1" customHeight="1" x14ac:dyDescent="0.25">
      <c r="A53" s="38">
        <f t="shared" si="93"/>
        <v>47</v>
      </c>
      <c r="B53" s="45" t="s">
        <v>2096</v>
      </c>
      <c r="C53" s="45" t="s">
        <v>2106</v>
      </c>
      <c r="D53" s="64">
        <v>11579</v>
      </c>
      <c r="E53" s="45" t="s">
        <v>2107</v>
      </c>
      <c r="F53" s="39">
        <v>3767</v>
      </c>
      <c r="G53" s="39">
        <v>263656.76376092958</v>
      </c>
      <c r="H53" s="39">
        <v>238</v>
      </c>
      <c r="I53" s="39">
        <v>10292.646738060008</v>
      </c>
      <c r="J53" s="40">
        <f t="shared" si="70"/>
        <v>3.9038053077951197E-2</v>
      </c>
      <c r="K53" s="39">
        <v>238</v>
      </c>
      <c r="L53" s="39">
        <v>10292.646738060008</v>
      </c>
      <c r="M53" s="40">
        <f t="shared" si="71"/>
        <v>3.9038053077951197E-2</v>
      </c>
      <c r="N53" s="39">
        <v>3796</v>
      </c>
      <c r="O53" s="39">
        <v>262595.60512735957</v>
      </c>
      <c r="P53" s="39">
        <v>294</v>
      </c>
      <c r="Q53" s="39">
        <v>10517.675409290003</v>
      </c>
      <c r="R53" s="40">
        <f t="shared" si="72"/>
        <v>4.0052747281086071E-2</v>
      </c>
      <c r="S53" s="39">
        <v>294</v>
      </c>
      <c r="T53" s="39">
        <v>10517.675409290003</v>
      </c>
      <c r="U53" s="40">
        <f t="shared" si="73"/>
        <v>4.0052747281086071E-2</v>
      </c>
      <c r="V53" s="39">
        <v>3883</v>
      </c>
      <c r="W53" s="39">
        <v>261759.15241318036</v>
      </c>
      <c r="X53" s="39">
        <v>317</v>
      </c>
      <c r="Y53" s="39">
        <v>10364.696324320008</v>
      </c>
      <c r="Z53" s="40">
        <f t="shared" si="13"/>
        <v>3.9596309159649137E-2</v>
      </c>
      <c r="AA53" s="39">
        <v>317</v>
      </c>
      <c r="AB53" s="39">
        <v>10364.696324320008</v>
      </c>
      <c r="AC53" s="40">
        <f t="shared" si="74"/>
        <v>3.9596309159649137E-2</v>
      </c>
      <c r="AD53" s="39">
        <v>3933</v>
      </c>
      <c r="AE53" s="39">
        <v>259526.58155452026</v>
      </c>
      <c r="AF53" s="39">
        <v>321</v>
      </c>
      <c r="AG53" s="39">
        <v>8590.5927497800076</v>
      </c>
      <c r="AH53" s="40">
        <f t="shared" si="75"/>
        <v>3.3101012999608027E-2</v>
      </c>
      <c r="AI53" s="39">
        <v>321</v>
      </c>
      <c r="AJ53" s="39">
        <v>8590.5927497800076</v>
      </c>
      <c r="AK53" s="40">
        <f t="shared" si="76"/>
        <v>3.3101012999608027E-2</v>
      </c>
      <c r="AL53" s="39">
        <v>4141</v>
      </c>
      <c r="AM53" s="39">
        <v>266540.79649313004</v>
      </c>
      <c r="AN53" s="39">
        <v>351</v>
      </c>
      <c r="AO53" s="39">
        <v>9260.3179387799973</v>
      </c>
      <c r="AP53" s="40">
        <f t="shared" si="77"/>
        <v>3.474259123037729E-2</v>
      </c>
      <c r="AQ53" s="39">
        <v>351</v>
      </c>
      <c r="AR53" s="39">
        <v>9260.3179387799973</v>
      </c>
      <c r="AS53" s="40">
        <f t="shared" si="78"/>
        <v>3.474259123037729E-2</v>
      </c>
      <c r="AT53" s="39">
        <v>4149</v>
      </c>
      <c r="AU53" s="39">
        <v>262747.61048929964</v>
      </c>
      <c r="AV53" s="39">
        <v>357</v>
      </c>
      <c r="AW53" s="39">
        <v>9038.1425191099988</v>
      </c>
      <c r="AX53" s="40">
        <f t="shared" si="79"/>
        <v>3.4398571702626675E-2</v>
      </c>
      <c r="AY53" s="39">
        <v>357</v>
      </c>
      <c r="AZ53" s="39">
        <v>9038.1425191099988</v>
      </c>
      <c r="BA53" s="40">
        <f t="shared" si="80"/>
        <v>3.4398571702626675E-2</v>
      </c>
      <c r="BB53" s="41">
        <v>4172</v>
      </c>
      <c r="BC53" s="41">
        <v>269117.87639541971</v>
      </c>
      <c r="BD53" s="41">
        <v>362</v>
      </c>
      <c r="BE53" s="41">
        <v>8715.5428580200041</v>
      </c>
      <c r="BF53" s="40">
        <f t="shared" si="81"/>
        <v>3.2385596136371486E-2</v>
      </c>
      <c r="BG53" s="39">
        <v>362</v>
      </c>
      <c r="BH53" s="39">
        <v>8715.5428580200041</v>
      </c>
      <c r="BI53" s="40">
        <f t="shared" si="82"/>
        <v>3.2385596136371486E-2</v>
      </c>
      <c r="BJ53" s="39">
        <v>4152</v>
      </c>
      <c r="BK53" s="39">
        <v>275561.06305748998</v>
      </c>
      <c r="BL53" s="39">
        <v>380</v>
      </c>
      <c r="BM53" s="39">
        <v>8676.8656573000026</v>
      </c>
      <c r="BN53" s="40">
        <f t="shared" si="83"/>
        <v>3.1487996021737505E-2</v>
      </c>
      <c r="BO53" s="4">
        <v>380</v>
      </c>
      <c r="BP53" s="4">
        <v>8676.8656573000026</v>
      </c>
      <c r="BQ53" s="40">
        <f t="shared" si="84"/>
        <v>3.1487996021737505E-2</v>
      </c>
      <c r="BR53" s="39">
        <v>4053</v>
      </c>
      <c r="BS53" s="39">
        <v>277195.13458623039</v>
      </c>
      <c r="BT53" s="39">
        <v>283</v>
      </c>
      <c r="BU53" s="39">
        <v>6888.4463801800057</v>
      </c>
      <c r="BV53" s="40">
        <f t="shared" si="85"/>
        <v>2.4850531343064159E-2</v>
      </c>
      <c r="BW53" s="4">
        <v>283</v>
      </c>
      <c r="BX53" s="4">
        <v>6888.4463801800057</v>
      </c>
      <c r="BY53" s="40">
        <f t="shared" si="86"/>
        <v>2.4850531343064159E-2</v>
      </c>
      <c r="BZ53" s="39">
        <v>4288</v>
      </c>
      <c r="CA53" s="39">
        <v>281294.69768660009</v>
      </c>
      <c r="CB53" s="39">
        <v>282</v>
      </c>
      <c r="CC53" s="39">
        <v>36704.458307189998</v>
      </c>
      <c r="CD53" s="40">
        <f t="shared" si="87"/>
        <v>0.13048400346345551</v>
      </c>
      <c r="CE53" s="4">
        <v>277</v>
      </c>
      <c r="CF53" s="4">
        <v>6751.2935155700006</v>
      </c>
      <c r="CG53" s="40">
        <f t="shared" si="88"/>
        <v>2.6861034218291904E-2</v>
      </c>
      <c r="CH53" s="39">
        <v>4368</v>
      </c>
      <c r="CI53" s="39">
        <v>295517.46195390949</v>
      </c>
      <c r="CJ53" s="39">
        <v>293</v>
      </c>
      <c r="CK53" s="39">
        <v>6654.9768433700028</v>
      </c>
      <c r="CL53" s="40">
        <f t="shared" si="89"/>
        <v>2.2519741471006372E-2</v>
      </c>
      <c r="CM53" s="4">
        <v>293</v>
      </c>
      <c r="CN53" s="4">
        <v>6654.9768433700028</v>
      </c>
      <c r="CO53" s="40">
        <f t="shared" si="90"/>
        <v>2.2519741471006372E-2</v>
      </c>
      <c r="CP53" s="39">
        <v>4377</v>
      </c>
      <c r="CQ53" s="39">
        <v>307904.30674012966</v>
      </c>
      <c r="CR53" s="39">
        <v>315</v>
      </c>
      <c r="CS53" s="39">
        <v>6672.8710592599964</v>
      </c>
      <c r="CT53" s="40">
        <f t="shared" si="91"/>
        <v>2.1671899071200328E-2</v>
      </c>
      <c r="CU53" s="4">
        <v>315</v>
      </c>
      <c r="CV53" s="4">
        <v>6672.8710592599964</v>
      </c>
      <c r="CW53" s="40">
        <f t="shared" si="92"/>
        <v>2.1671899071200328E-2</v>
      </c>
      <c r="CX53" s="42">
        <v>0</v>
      </c>
      <c r="CY53" s="42">
        <v>0</v>
      </c>
    </row>
    <row r="54" spans="1:103" s="29" customFormat="1" ht="35.1" customHeight="1" x14ac:dyDescent="0.25">
      <c r="A54" s="38">
        <f t="shared" si="93"/>
        <v>48</v>
      </c>
      <c r="B54" s="45" t="s">
        <v>2096</v>
      </c>
      <c r="C54" s="45" t="s">
        <v>2108</v>
      </c>
      <c r="D54" s="64">
        <v>11388</v>
      </c>
      <c r="E54" s="45" t="s">
        <v>2062</v>
      </c>
      <c r="F54" s="39">
        <v>4600</v>
      </c>
      <c r="G54" s="39">
        <v>74742.395263640123</v>
      </c>
      <c r="H54" s="39">
        <v>263</v>
      </c>
      <c r="I54" s="39">
        <v>3602.1265589700033</v>
      </c>
      <c r="J54" s="40">
        <f t="shared" si="70"/>
        <v>4.8193887100676409E-2</v>
      </c>
      <c r="K54" s="39">
        <v>263</v>
      </c>
      <c r="L54" s="39">
        <v>3602.1265589700033</v>
      </c>
      <c r="M54" s="40">
        <f t="shared" si="71"/>
        <v>4.8193887100676409E-2</v>
      </c>
      <c r="N54" s="39">
        <v>4642</v>
      </c>
      <c r="O54" s="39">
        <v>73702.840706430114</v>
      </c>
      <c r="P54" s="39">
        <v>274</v>
      </c>
      <c r="Q54" s="39">
        <v>3540.5084086799998</v>
      </c>
      <c r="R54" s="40">
        <f t="shared" si="72"/>
        <v>4.8037611233770428E-2</v>
      </c>
      <c r="S54" s="39">
        <v>274</v>
      </c>
      <c r="T54" s="39">
        <v>3540.5084086799998</v>
      </c>
      <c r="U54" s="40">
        <f t="shared" si="73"/>
        <v>4.8037611233770428E-2</v>
      </c>
      <c r="V54" s="39">
        <v>4700</v>
      </c>
      <c r="W54" s="39">
        <v>73679.286527110016</v>
      </c>
      <c r="X54" s="39">
        <v>309</v>
      </c>
      <c r="Y54" s="39">
        <v>4551.4713913899996</v>
      </c>
      <c r="Z54" s="40">
        <f t="shared" si="13"/>
        <v>6.177409698063923E-2</v>
      </c>
      <c r="AA54" s="39">
        <v>309</v>
      </c>
      <c r="AB54" s="39">
        <v>4551.4713913899996</v>
      </c>
      <c r="AC54" s="40">
        <f t="shared" si="74"/>
        <v>6.177409698063923E-2</v>
      </c>
      <c r="AD54" s="39">
        <v>4719</v>
      </c>
      <c r="AE54" s="39">
        <v>72883.155387020175</v>
      </c>
      <c r="AF54" s="39">
        <v>302</v>
      </c>
      <c r="AG54" s="39">
        <v>4478.1703909899989</v>
      </c>
      <c r="AH54" s="40">
        <f t="shared" si="75"/>
        <v>6.1443146461075425E-2</v>
      </c>
      <c r="AI54" s="39">
        <v>302</v>
      </c>
      <c r="AJ54" s="39">
        <v>4478.1703909899989</v>
      </c>
      <c r="AK54" s="40">
        <f t="shared" si="76"/>
        <v>6.1443146461075425E-2</v>
      </c>
      <c r="AL54" s="39">
        <v>4760</v>
      </c>
      <c r="AM54" s="39">
        <v>74233.037414840146</v>
      </c>
      <c r="AN54" s="39">
        <v>384</v>
      </c>
      <c r="AO54" s="39">
        <v>5289.1355233500035</v>
      </c>
      <c r="AP54" s="40">
        <f t="shared" si="77"/>
        <v>7.1250425788082286E-2</v>
      </c>
      <c r="AQ54" s="39">
        <v>384</v>
      </c>
      <c r="AR54" s="39">
        <v>5289.1355233500035</v>
      </c>
      <c r="AS54" s="40">
        <f t="shared" si="78"/>
        <v>7.1250425788082286E-2</v>
      </c>
      <c r="AT54" s="39">
        <v>4723</v>
      </c>
      <c r="AU54" s="39">
        <v>74795.386186140226</v>
      </c>
      <c r="AV54" s="39">
        <v>413</v>
      </c>
      <c r="AW54" s="39">
        <v>5275.2467234200012</v>
      </c>
      <c r="AX54" s="40">
        <f t="shared" si="79"/>
        <v>7.052903918821557E-2</v>
      </c>
      <c r="AY54" s="39">
        <v>413</v>
      </c>
      <c r="AZ54" s="39">
        <v>5275.2467234200012</v>
      </c>
      <c r="BA54" s="40">
        <f t="shared" si="80"/>
        <v>7.052903918821557E-2</v>
      </c>
      <c r="BB54" s="41">
        <v>4634</v>
      </c>
      <c r="BC54" s="41">
        <v>74101.413744740261</v>
      </c>
      <c r="BD54" s="41">
        <v>404</v>
      </c>
      <c r="BE54" s="41">
        <v>5101.8464690899982</v>
      </c>
      <c r="BF54" s="40">
        <f t="shared" si="81"/>
        <v>6.8849515970970651E-2</v>
      </c>
      <c r="BG54" s="39">
        <v>404</v>
      </c>
      <c r="BH54" s="39">
        <v>5101.8464690899982</v>
      </c>
      <c r="BI54" s="40">
        <f t="shared" si="82"/>
        <v>6.8849515970970651E-2</v>
      </c>
      <c r="BJ54" s="39">
        <v>4565</v>
      </c>
      <c r="BK54" s="39">
        <v>72546.668810320101</v>
      </c>
      <c r="BL54" s="39">
        <v>429</v>
      </c>
      <c r="BM54" s="39">
        <v>6611.1102025699993</v>
      </c>
      <c r="BN54" s="40">
        <f t="shared" si="83"/>
        <v>9.1129066447631815E-2</v>
      </c>
      <c r="BO54" s="4">
        <v>429</v>
      </c>
      <c r="BP54" s="4">
        <v>6611.1102025699993</v>
      </c>
      <c r="BQ54" s="40">
        <f t="shared" si="84"/>
        <v>9.1129066447631815E-2</v>
      </c>
      <c r="BR54" s="39">
        <v>4462</v>
      </c>
      <c r="BS54" s="39">
        <v>70597.609666280303</v>
      </c>
      <c r="BT54" s="39">
        <v>359</v>
      </c>
      <c r="BU54" s="39">
        <v>4240.1652336699972</v>
      </c>
      <c r="BV54" s="40">
        <f t="shared" si="85"/>
        <v>6.006103115549586E-2</v>
      </c>
      <c r="BW54" s="4">
        <v>359</v>
      </c>
      <c r="BX54" s="4">
        <v>4240.1652336699972</v>
      </c>
      <c r="BY54" s="40">
        <f t="shared" si="86"/>
        <v>6.006103115549586E-2</v>
      </c>
      <c r="BZ54" s="39">
        <v>4500</v>
      </c>
      <c r="CA54" s="39">
        <v>72770.186670309937</v>
      </c>
      <c r="CB54" s="39">
        <v>381</v>
      </c>
      <c r="CC54" s="39">
        <v>4138.8543777799969</v>
      </c>
      <c r="CD54" s="40">
        <f t="shared" si="87"/>
        <v>5.6875687244439067E-2</v>
      </c>
      <c r="CE54" s="4">
        <v>381</v>
      </c>
      <c r="CF54" s="4">
        <v>4138.8543777799969</v>
      </c>
      <c r="CG54" s="40">
        <f t="shared" si="88"/>
        <v>5.6875687244439067E-2</v>
      </c>
      <c r="CH54" s="39">
        <v>4580</v>
      </c>
      <c r="CI54" s="39">
        <v>73753.44576190025</v>
      </c>
      <c r="CJ54" s="39">
        <v>409</v>
      </c>
      <c r="CK54" s="39">
        <v>4245.754696689999</v>
      </c>
      <c r="CL54" s="40">
        <f t="shared" si="89"/>
        <v>5.7566865559022899E-2</v>
      </c>
      <c r="CM54" s="4">
        <v>409</v>
      </c>
      <c r="CN54" s="4">
        <v>4245.754696689999</v>
      </c>
      <c r="CO54" s="40">
        <f t="shared" si="90"/>
        <v>5.7566865559022899E-2</v>
      </c>
      <c r="CP54" s="39">
        <v>4507</v>
      </c>
      <c r="CQ54" s="39">
        <v>73008.541276390199</v>
      </c>
      <c r="CR54" s="39">
        <v>405</v>
      </c>
      <c r="CS54" s="39">
        <v>5494.1949693900033</v>
      </c>
      <c r="CT54" s="40">
        <f t="shared" si="91"/>
        <v>7.5254139766886954E-2</v>
      </c>
      <c r="CU54" s="4">
        <v>405</v>
      </c>
      <c r="CV54" s="4">
        <v>5494.1949693900033</v>
      </c>
      <c r="CW54" s="40">
        <f t="shared" si="92"/>
        <v>7.5254139766886954E-2</v>
      </c>
      <c r="CX54" s="42">
        <v>0</v>
      </c>
      <c r="CY54" s="42">
        <v>0</v>
      </c>
    </row>
    <row r="55" spans="1:103" s="29" customFormat="1" ht="35.1" customHeight="1" x14ac:dyDescent="0.25">
      <c r="A55" s="38">
        <f t="shared" si="93"/>
        <v>49</v>
      </c>
      <c r="B55" s="45" t="s">
        <v>2096</v>
      </c>
      <c r="C55" s="45" t="s">
        <v>2109</v>
      </c>
      <c r="D55" s="64">
        <v>11800</v>
      </c>
      <c r="E55" s="45" t="s">
        <v>2073</v>
      </c>
      <c r="F55" s="39">
        <v>4290</v>
      </c>
      <c r="G55" s="39">
        <v>103224.58062414966</v>
      </c>
      <c r="H55" s="39">
        <v>306</v>
      </c>
      <c r="I55" s="39">
        <v>3767.4457398300019</v>
      </c>
      <c r="J55" s="40">
        <f t="shared" si="70"/>
        <v>3.6497564020604972E-2</v>
      </c>
      <c r="K55" s="39">
        <v>306</v>
      </c>
      <c r="L55" s="39">
        <v>3767.4457398300019</v>
      </c>
      <c r="M55" s="40">
        <f t="shared" si="71"/>
        <v>3.6497564020604972E-2</v>
      </c>
      <c r="N55" s="39">
        <v>4286</v>
      </c>
      <c r="O55" s="39">
        <v>103131.05540796954</v>
      </c>
      <c r="P55" s="39">
        <v>397</v>
      </c>
      <c r="Q55" s="39">
        <v>4947.4809518400007</v>
      </c>
      <c r="R55" s="40">
        <f t="shared" si="72"/>
        <v>4.7972755948909644E-2</v>
      </c>
      <c r="S55" s="39">
        <v>397</v>
      </c>
      <c r="T55" s="39">
        <v>4947.4809518400007</v>
      </c>
      <c r="U55" s="40">
        <f t="shared" si="73"/>
        <v>4.7972755948909644E-2</v>
      </c>
      <c r="V55" s="39">
        <v>4371</v>
      </c>
      <c r="W55" s="39">
        <v>105749.61878492009</v>
      </c>
      <c r="X55" s="39">
        <v>393</v>
      </c>
      <c r="Y55" s="39">
        <v>4920.2587905300015</v>
      </c>
      <c r="Z55" s="40">
        <f t="shared" si="13"/>
        <v>4.652743761220661E-2</v>
      </c>
      <c r="AA55" s="39">
        <v>393</v>
      </c>
      <c r="AB55" s="39">
        <v>4920.2587905300015</v>
      </c>
      <c r="AC55" s="40">
        <f t="shared" si="74"/>
        <v>4.652743761220661E-2</v>
      </c>
      <c r="AD55" s="39">
        <v>4451</v>
      </c>
      <c r="AE55" s="39">
        <v>107986.56550711974</v>
      </c>
      <c r="AF55" s="39">
        <v>410</v>
      </c>
      <c r="AG55" s="39">
        <v>4816.5426492100023</v>
      </c>
      <c r="AH55" s="40">
        <f t="shared" si="75"/>
        <v>4.4603165464063579E-2</v>
      </c>
      <c r="AI55" s="39">
        <v>410</v>
      </c>
      <c r="AJ55" s="39">
        <v>4816.5426492100023</v>
      </c>
      <c r="AK55" s="40">
        <f t="shared" si="76"/>
        <v>4.4603165464063579E-2</v>
      </c>
      <c r="AL55" s="39">
        <v>4618</v>
      </c>
      <c r="AM55" s="39">
        <v>112242.84420949972</v>
      </c>
      <c r="AN55" s="39">
        <v>425</v>
      </c>
      <c r="AO55" s="39">
        <v>4791.633406040004</v>
      </c>
      <c r="AP55" s="40">
        <f t="shared" si="77"/>
        <v>4.2689878715978423E-2</v>
      </c>
      <c r="AQ55" s="39">
        <v>425</v>
      </c>
      <c r="AR55" s="39">
        <v>4791.633406040004</v>
      </c>
      <c r="AS55" s="40">
        <f t="shared" si="78"/>
        <v>4.2689878715978423E-2</v>
      </c>
      <c r="AT55" s="39">
        <v>4677</v>
      </c>
      <c r="AU55" s="39">
        <v>115452.54848255996</v>
      </c>
      <c r="AV55" s="39">
        <v>454</v>
      </c>
      <c r="AW55" s="39">
        <v>4837.4713119200023</v>
      </c>
      <c r="AX55" s="40">
        <f t="shared" si="79"/>
        <v>4.1900082549072022E-2</v>
      </c>
      <c r="AY55" s="39">
        <v>454</v>
      </c>
      <c r="AZ55" s="39">
        <v>4837.4713119200023</v>
      </c>
      <c r="BA55" s="40">
        <f t="shared" si="80"/>
        <v>4.1900082549072022E-2</v>
      </c>
      <c r="BB55" s="41">
        <v>4746</v>
      </c>
      <c r="BC55" s="41">
        <v>117591.82771471997</v>
      </c>
      <c r="BD55" s="41">
        <v>447</v>
      </c>
      <c r="BE55" s="41">
        <v>4680.0282091000036</v>
      </c>
      <c r="BF55" s="40">
        <f t="shared" si="81"/>
        <v>3.9798923956296028E-2</v>
      </c>
      <c r="BG55" s="39">
        <v>447</v>
      </c>
      <c r="BH55" s="39">
        <v>4680.0282091000036</v>
      </c>
      <c r="BI55" s="40">
        <f t="shared" si="82"/>
        <v>3.9798923956296028E-2</v>
      </c>
      <c r="BJ55" s="39">
        <v>4820</v>
      </c>
      <c r="BK55" s="39">
        <v>120976.23536944011</v>
      </c>
      <c r="BL55" s="39">
        <v>459</v>
      </c>
      <c r="BM55" s="39">
        <v>5306.811535040003</v>
      </c>
      <c r="BN55" s="40">
        <f t="shared" si="83"/>
        <v>4.3866562046950261E-2</v>
      </c>
      <c r="BO55" s="4">
        <v>459</v>
      </c>
      <c r="BP55" s="4">
        <v>5306.811535040003</v>
      </c>
      <c r="BQ55" s="40">
        <f t="shared" si="84"/>
        <v>4.3866562046950261E-2</v>
      </c>
      <c r="BR55" s="39">
        <v>4736</v>
      </c>
      <c r="BS55" s="39">
        <v>121603.33230387974</v>
      </c>
      <c r="BT55" s="39">
        <v>351</v>
      </c>
      <c r="BU55" s="39">
        <v>3194.9451810099981</v>
      </c>
      <c r="BV55" s="40">
        <f t="shared" si="85"/>
        <v>2.6273500244434204E-2</v>
      </c>
      <c r="BW55" s="4">
        <v>351</v>
      </c>
      <c r="BX55" s="4">
        <v>3194.9451810099981</v>
      </c>
      <c r="BY55" s="40">
        <f t="shared" si="86"/>
        <v>2.6273500244434204E-2</v>
      </c>
      <c r="BZ55" s="39">
        <v>4891</v>
      </c>
      <c r="CA55" s="39">
        <v>125077.45491756976</v>
      </c>
      <c r="CB55" s="39">
        <v>354</v>
      </c>
      <c r="CC55" s="39">
        <v>3175.6947820599999</v>
      </c>
      <c r="CD55" s="40">
        <f t="shared" si="87"/>
        <v>2.5389825721612972E-2</v>
      </c>
      <c r="CE55" s="4">
        <v>354</v>
      </c>
      <c r="CF55" s="4">
        <v>3175.6947820599999</v>
      </c>
      <c r="CG55" s="40">
        <f t="shared" si="88"/>
        <v>2.5389825721612972E-2</v>
      </c>
      <c r="CH55" s="39">
        <v>5040</v>
      </c>
      <c r="CI55" s="39">
        <v>129144.76509985978</v>
      </c>
      <c r="CJ55" s="39">
        <v>354</v>
      </c>
      <c r="CK55" s="39">
        <v>3172.868401899997</v>
      </c>
      <c r="CL55" s="40">
        <f t="shared" si="89"/>
        <v>2.4568308281381835E-2</v>
      </c>
      <c r="CM55" s="4">
        <v>354</v>
      </c>
      <c r="CN55" s="4">
        <v>3172.868401899997</v>
      </c>
      <c r="CO55" s="40">
        <f t="shared" si="90"/>
        <v>2.4568308281381835E-2</v>
      </c>
      <c r="CP55" s="39">
        <v>5025</v>
      </c>
      <c r="CQ55" s="39">
        <v>139731.70958534974</v>
      </c>
      <c r="CR55" s="39">
        <v>373</v>
      </c>
      <c r="CS55" s="39">
        <v>3107.1224530599984</v>
      </c>
      <c r="CT55" s="40">
        <f t="shared" si="91"/>
        <v>2.2236344651334363E-2</v>
      </c>
      <c r="CU55" s="4">
        <v>373</v>
      </c>
      <c r="CV55" s="4">
        <v>3107.1224530599984</v>
      </c>
      <c r="CW55" s="40">
        <f t="shared" si="92"/>
        <v>2.2236344651334363E-2</v>
      </c>
      <c r="CX55" s="42">
        <v>0</v>
      </c>
      <c r="CY55" s="42">
        <v>0</v>
      </c>
    </row>
    <row r="56" spans="1:103" s="29" customFormat="1" ht="35.1" customHeight="1" x14ac:dyDescent="0.25">
      <c r="A56" s="38">
        <f t="shared" si="93"/>
        <v>50</v>
      </c>
      <c r="B56" s="45" t="s">
        <v>2096</v>
      </c>
      <c r="C56" s="45" t="s">
        <v>2110</v>
      </c>
      <c r="D56" s="64">
        <v>11580</v>
      </c>
      <c r="E56" s="45" t="s">
        <v>2047</v>
      </c>
      <c r="F56" s="39">
        <v>3197</v>
      </c>
      <c r="G56" s="39">
        <v>85012.512925379953</v>
      </c>
      <c r="H56" s="39">
        <v>264</v>
      </c>
      <c r="I56" s="39">
        <v>5209.432001359999</v>
      </c>
      <c r="J56" s="40">
        <f t="shared" si="70"/>
        <v>6.1278414460381819E-2</v>
      </c>
      <c r="K56" s="39">
        <v>264</v>
      </c>
      <c r="L56" s="39">
        <v>5209.432001359999</v>
      </c>
      <c r="M56" s="40">
        <f t="shared" si="71"/>
        <v>6.1278414460381819E-2</v>
      </c>
      <c r="N56" s="39">
        <v>3208</v>
      </c>
      <c r="O56" s="39">
        <v>84467.942751119786</v>
      </c>
      <c r="P56" s="39">
        <v>271</v>
      </c>
      <c r="Q56" s="39">
        <v>5651.2765435699985</v>
      </c>
      <c r="R56" s="40">
        <f t="shared" si="72"/>
        <v>6.690439425310947E-2</v>
      </c>
      <c r="S56" s="39">
        <v>271</v>
      </c>
      <c r="T56" s="39">
        <v>5651.2765435699985</v>
      </c>
      <c r="U56" s="40">
        <f t="shared" si="73"/>
        <v>6.690439425310947E-2</v>
      </c>
      <c r="V56" s="39">
        <v>3232</v>
      </c>
      <c r="W56" s="39">
        <v>84474.57302005995</v>
      </c>
      <c r="X56" s="39">
        <v>263</v>
      </c>
      <c r="Y56" s="39">
        <v>5291.0683102499997</v>
      </c>
      <c r="Z56" s="40">
        <f t="shared" si="13"/>
        <v>6.2635040593736341E-2</v>
      </c>
      <c r="AA56" s="39">
        <v>263</v>
      </c>
      <c r="AB56" s="39">
        <v>5291.0683102499997</v>
      </c>
      <c r="AC56" s="40">
        <f t="shared" si="74"/>
        <v>6.2635040593736341E-2</v>
      </c>
      <c r="AD56" s="39">
        <v>3221</v>
      </c>
      <c r="AE56" s="39">
        <v>84106.961811920046</v>
      </c>
      <c r="AF56" s="39">
        <v>266</v>
      </c>
      <c r="AG56" s="39">
        <v>5256.7079559200001</v>
      </c>
      <c r="AH56" s="40">
        <f t="shared" si="75"/>
        <v>6.2500271590775661E-2</v>
      </c>
      <c r="AI56" s="39">
        <v>266</v>
      </c>
      <c r="AJ56" s="39">
        <v>5256.7079559200001</v>
      </c>
      <c r="AK56" s="40">
        <f t="shared" si="76"/>
        <v>6.2500271590775661E-2</v>
      </c>
      <c r="AL56" s="39">
        <v>3291</v>
      </c>
      <c r="AM56" s="39">
        <v>89238.586485890133</v>
      </c>
      <c r="AN56" s="39">
        <v>343</v>
      </c>
      <c r="AO56" s="39">
        <v>8404.2655841599972</v>
      </c>
      <c r="AP56" s="40">
        <f t="shared" si="77"/>
        <v>9.4177484372063969E-2</v>
      </c>
      <c r="AQ56" s="39">
        <v>343</v>
      </c>
      <c r="AR56" s="39">
        <v>8404.2655841599972</v>
      </c>
      <c r="AS56" s="40">
        <f t="shared" si="78"/>
        <v>9.4177484372063969E-2</v>
      </c>
      <c r="AT56" s="39">
        <v>3306</v>
      </c>
      <c r="AU56" s="39">
        <v>90343.161413389957</v>
      </c>
      <c r="AV56" s="39">
        <v>310</v>
      </c>
      <c r="AW56" s="39">
        <v>5600.854540450001</v>
      </c>
      <c r="AX56" s="40">
        <f t="shared" si="79"/>
        <v>6.1995334819220593E-2</v>
      </c>
      <c r="AY56" s="39">
        <v>310</v>
      </c>
      <c r="AZ56" s="39">
        <v>5600.854540450001</v>
      </c>
      <c r="BA56" s="40">
        <f t="shared" si="80"/>
        <v>6.1995334819220593E-2</v>
      </c>
      <c r="BB56" s="41">
        <v>3296</v>
      </c>
      <c r="BC56" s="41">
        <v>93491.135299079877</v>
      </c>
      <c r="BD56" s="41">
        <v>304</v>
      </c>
      <c r="BE56" s="41">
        <v>7032.1548256800033</v>
      </c>
      <c r="BF56" s="40">
        <f t="shared" si="81"/>
        <v>7.5217343368267048E-2</v>
      </c>
      <c r="BG56" s="39">
        <v>304</v>
      </c>
      <c r="BH56" s="39">
        <v>7032.1548256800033</v>
      </c>
      <c r="BI56" s="40">
        <f t="shared" si="82"/>
        <v>7.5217343368267048E-2</v>
      </c>
      <c r="BJ56" s="39">
        <v>3326</v>
      </c>
      <c r="BK56" s="39">
        <v>98492.73250022986</v>
      </c>
      <c r="BL56" s="39">
        <v>294</v>
      </c>
      <c r="BM56" s="39">
        <v>4920.8312542800031</v>
      </c>
      <c r="BN56" s="40">
        <f t="shared" si="83"/>
        <v>4.9961363943969356E-2</v>
      </c>
      <c r="BO56" s="4">
        <v>294</v>
      </c>
      <c r="BP56" s="4">
        <v>4920.8312542800031</v>
      </c>
      <c r="BQ56" s="40">
        <f t="shared" si="84"/>
        <v>4.9961363943969356E-2</v>
      </c>
      <c r="BR56" s="39">
        <v>3231</v>
      </c>
      <c r="BS56" s="39">
        <v>96434.265003369699</v>
      </c>
      <c r="BT56" s="39">
        <v>194</v>
      </c>
      <c r="BU56" s="39">
        <v>3091.8212072399965</v>
      </c>
      <c r="BV56" s="40">
        <f t="shared" si="85"/>
        <v>3.206143798712998E-2</v>
      </c>
      <c r="BW56" s="4">
        <v>194</v>
      </c>
      <c r="BX56" s="4">
        <v>3091.8212072399965</v>
      </c>
      <c r="BY56" s="40">
        <f t="shared" si="86"/>
        <v>3.206143798712998E-2</v>
      </c>
      <c r="BZ56" s="39">
        <v>3256</v>
      </c>
      <c r="CA56" s="39">
        <v>99373.330392489806</v>
      </c>
      <c r="CB56" s="39">
        <v>193</v>
      </c>
      <c r="CC56" s="39">
        <v>1941.6818860499993</v>
      </c>
      <c r="CD56" s="40">
        <f t="shared" si="87"/>
        <v>1.9539265498912401E-2</v>
      </c>
      <c r="CE56" s="4">
        <v>193</v>
      </c>
      <c r="CF56" s="4">
        <v>1941.6818860499993</v>
      </c>
      <c r="CG56" s="40">
        <f t="shared" si="88"/>
        <v>1.9539265498912401E-2</v>
      </c>
      <c r="CH56" s="39">
        <v>3267</v>
      </c>
      <c r="CI56" s="39">
        <v>105009.97572822012</v>
      </c>
      <c r="CJ56" s="39">
        <v>202</v>
      </c>
      <c r="CK56" s="39">
        <v>1874.2073007100005</v>
      </c>
      <c r="CL56" s="40">
        <f t="shared" si="89"/>
        <v>1.7847897666034129E-2</v>
      </c>
      <c r="CM56" s="4">
        <v>202</v>
      </c>
      <c r="CN56" s="4">
        <v>1874.2073007100005</v>
      </c>
      <c r="CO56" s="40">
        <f t="shared" si="90"/>
        <v>1.7847897666034129E-2</v>
      </c>
      <c r="CP56" s="39">
        <v>3262</v>
      </c>
      <c r="CQ56" s="39">
        <v>107476.40310984039</v>
      </c>
      <c r="CR56" s="39">
        <v>201</v>
      </c>
      <c r="CS56" s="39">
        <v>1855.6615128700007</v>
      </c>
      <c r="CT56" s="40">
        <f t="shared" si="91"/>
        <v>1.726575749816937E-2</v>
      </c>
      <c r="CU56" s="4">
        <v>201</v>
      </c>
      <c r="CV56" s="4">
        <v>1855.6615128700007</v>
      </c>
      <c r="CW56" s="40">
        <f t="shared" si="92"/>
        <v>1.726575749816937E-2</v>
      </c>
      <c r="CX56" s="42">
        <v>0</v>
      </c>
      <c r="CY56" s="42">
        <v>0</v>
      </c>
    </row>
    <row r="57" spans="1:103" s="29" customFormat="1" ht="35.1" customHeight="1" x14ac:dyDescent="0.25">
      <c r="A57" s="38">
        <f t="shared" si="93"/>
        <v>51</v>
      </c>
      <c r="B57" s="45" t="s">
        <v>2096</v>
      </c>
      <c r="C57" s="45" t="s">
        <v>2111</v>
      </c>
      <c r="D57" s="64">
        <v>11801</v>
      </c>
      <c r="E57" s="45" t="s">
        <v>2064</v>
      </c>
      <c r="F57" s="39">
        <v>5650</v>
      </c>
      <c r="G57" s="39">
        <v>115253.3788628099</v>
      </c>
      <c r="H57" s="39">
        <v>386</v>
      </c>
      <c r="I57" s="39">
        <v>5932.0798414800011</v>
      </c>
      <c r="J57" s="40">
        <f t="shared" si="70"/>
        <v>5.146989962473171E-2</v>
      </c>
      <c r="K57" s="39">
        <v>386</v>
      </c>
      <c r="L57" s="39">
        <v>5932.0798414800011</v>
      </c>
      <c r="M57" s="40">
        <f t="shared" si="71"/>
        <v>5.146989962473171E-2</v>
      </c>
      <c r="N57" s="39">
        <v>5644</v>
      </c>
      <c r="O57" s="39">
        <v>113916.12413560976</v>
      </c>
      <c r="P57" s="39">
        <v>387</v>
      </c>
      <c r="Q57" s="39">
        <v>5791.5429443100029</v>
      </c>
      <c r="R57" s="40">
        <f t="shared" si="72"/>
        <v>5.0840414280734714E-2</v>
      </c>
      <c r="S57" s="39">
        <v>387</v>
      </c>
      <c r="T57" s="39">
        <v>5791.5429443100029</v>
      </c>
      <c r="U57" s="40">
        <f t="shared" si="73"/>
        <v>5.0840414280734714E-2</v>
      </c>
      <c r="V57" s="39">
        <v>5708</v>
      </c>
      <c r="W57" s="39">
        <v>114377.39356235969</v>
      </c>
      <c r="X57" s="39">
        <v>415</v>
      </c>
      <c r="Y57" s="39">
        <v>6374.2391439000066</v>
      </c>
      <c r="Z57" s="40">
        <f t="shared" si="13"/>
        <v>5.5729886347031576E-2</v>
      </c>
      <c r="AA57" s="39">
        <v>415</v>
      </c>
      <c r="AB57" s="39">
        <v>6374.2391439000066</v>
      </c>
      <c r="AC57" s="40">
        <f t="shared" si="74"/>
        <v>5.5729886347031576E-2</v>
      </c>
      <c r="AD57" s="39">
        <v>5817</v>
      </c>
      <c r="AE57" s="39">
        <v>116327.98731539988</v>
      </c>
      <c r="AF57" s="39">
        <v>461</v>
      </c>
      <c r="AG57" s="39">
        <v>6925.9645435300017</v>
      </c>
      <c r="AH57" s="40">
        <f t="shared" si="75"/>
        <v>5.9538247874534662E-2</v>
      </c>
      <c r="AI57" s="39">
        <v>461</v>
      </c>
      <c r="AJ57" s="39">
        <v>6925.9645435300017</v>
      </c>
      <c r="AK57" s="40">
        <f t="shared" si="76"/>
        <v>5.9538247874534662E-2</v>
      </c>
      <c r="AL57" s="39">
        <v>6130</v>
      </c>
      <c r="AM57" s="39">
        <v>122605.87645401037</v>
      </c>
      <c r="AN57" s="39">
        <v>554</v>
      </c>
      <c r="AO57" s="39">
        <v>8925.0532569699953</v>
      </c>
      <c r="AP57" s="40">
        <f t="shared" si="77"/>
        <v>7.2794661357996115E-2</v>
      </c>
      <c r="AQ57" s="39">
        <v>554</v>
      </c>
      <c r="AR57" s="39">
        <v>8925.0532569699953</v>
      </c>
      <c r="AS57" s="40">
        <f t="shared" si="78"/>
        <v>7.2794661357996115E-2</v>
      </c>
      <c r="AT57" s="39">
        <v>6374</v>
      </c>
      <c r="AU57" s="39">
        <v>127100.47664763012</v>
      </c>
      <c r="AV57" s="39">
        <v>596</v>
      </c>
      <c r="AW57" s="39">
        <v>8982.1028918499978</v>
      </c>
      <c r="AX57" s="40">
        <f t="shared" si="79"/>
        <v>7.0669309264289659E-2</v>
      </c>
      <c r="AY57" s="39">
        <v>596</v>
      </c>
      <c r="AZ57" s="39">
        <v>8982.1028918499978</v>
      </c>
      <c r="BA57" s="40">
        <f t="shared" si="80"/>
        <v>7.0669309264289659E-2</v>
      </c>
      <c r="BB57" s="41">
        <v>6587</v>
      </c>
      <c r="BC57" s="41">
        <v>130654.01328871989</v>
      </c>
      <c r="BD57" s="41">
        <v>617</v>
      </c>
      <c r="BE57" s="41">
        <v>9524.2978598999962</v>
      </c>
      <c r="BF57" s="40">
        <f t="shared" si="81"/>
        <v>7.2897093783511696E-2</v>
      </c>
      <c r="BG57" s="39">
        <v>617</v>
      </c>
      <c r="BH57" s="39">
        <v>9524.2978598999962</v>
      </c>
      <c r="BI57" s="40">
        <f t="shared" si="82"/>
        <v>7.2897093783511696E-2</v>
      </c>
      <c r="BJ57" s="39">
        <v>6765</v>
      </c>
      <c r="BK57" s="39">
        <v>134013.29824317977</v>
      </c>
      <c r="BL57" s="39">
        <v>715</v>
      </c>
      <c r="BM57" s="39">
        <v>11064.309827490006</v>
      </c>
      <c r="BN57" s="40">
        <f t="shared" si="83"/>
        <v>8.256128289158865E-2</v>
      </c>
      <c r="BO57" s="4">
        <v>715</v>
      </c>
      <c r="BP57" s="4">
        <v>11064.309827490006</v>
      </c>
      <c r="BQ57" s="40">
        <f t="shared" si="84"/>
        <v>8.256128289158865E-2</v>
      </c>
      <c r="BR57" s="39">
        <v>6703</v>
      </c>
      <c r="BS57" s="39">
        <v>132081.81783013014</v>
      </c>
      <c r="BT57" s="39">
        <v>533</v>
      </c>
      <c r="BU57" s="39">
        <v>8081.0290846899879</v>
      </c>
      <c r="BV57" s="40">
        <f t="shared" si="85"/>
        <v>6.1181994747247989E-2</v>
      </c>
      <c r="BW57" s="4">
        <v>533</v>
      </c>
      <c r="BX57" s="4">
        <v>8081.0290846899879</v>
      </c>
      <c r="BY57" s="40">
        <f t="shared" si="86"/>
        <v>6.1181994747247989E-2</v>
      </c>
      <c r="BZ57" s="39">
        <v>6890</v>
      </c>
      <c r="CA57" s="39">
        <v>135163.01939132955</v>
      </c>
      <c r="CB57" s="39">
        <v>550</v>
      </c>
      <c r="CC57" s="39">
        <v>7901.8117102699935</v>
      </c>
      <c r="CD57" s="40">
        <f t="shared" si="87"/>
        <v>5.8461343538000893E-2</v>
      </c>
      <c r="CE57" s="4">
        <v>550</v>
      </c>
      <c r="CF57" s="4">
        <v>7901.8117102699935</v>
      </c>
      <c r="CG57" s="40">
        <f t="shared" si="88"/>
        <v>5.8461343538000893E-2</v>
      </c>
      <c r="CH57" s="39">
        <v>7123</v>
      </c>
      <c r="CI57" s="39">
        <v>136781.05845972983</v>
      </c>
      <c r="CJ57" s="39">
        <v>555</v>
      </c>
      <c r="CK57" s="39">
        <v>8120.0355647099905</v>
      </c>
      <c r="CL57" s="40">
        <f t="shared" si="89"/>
        <v>5.9365204920538303E-2</v>
      </c>
      <c r="CM57" s="4">
        <v>555</v>
      </c>
      <c r="CN57" s="4">
        <v>8120.0355647099905</v>
      </c>
      <c r="CO57" s="40">
        <f t="shared" si="90"/>
        <v>5.9365204920538303E-2</v>
      </c>
      <c r="CP57" s="39">
        <v>7217</v>
      </c>
      <c r="CQ57" s="39">
        <v>141285.01251537044</v>
      </c>
      <c r="CR57" s="39">
        <v>576</v>
      </c>
      <c r="CS57" s="39">
        <v>7825.719123859988</v>
      </c>
      <c r="CT57" s="40">
        <f t="shared" si="91"/>
        <v>5.5389591468582883E-2</v>
      </c>
      <c r="CU57" s="4">
        <v>576</v>
      </c>
      <c r="CV57" s="4">
        <v>7825.719123859988</v>
      </c>
      <c r="CW57" s="40">
        <f t="shared" si="92"/>
        <v>5.5389591468582883E-2</v>
      </c>
      <c r="CX57" s="42">
        <v>0</v>
      </c>
      <c r="CY57" s="42">
        <v>0</v>
      </c>
    </row>
    <row r="58" spans="1:103" s="29" customFormat="1" ht="35.1" customHeight="1" x14ac:dyDescent="0.25">
      <c r="A58" s="38">
        <f t="shared" si="93"/>
        <v>52</v>
      </c>
      <c r="B58" s="45" t="s">
        <v>2096</v>
      </c>
      <c r="C58" s="45" t="s">
        <v>2112</v>
      </c>
      <c r="D58" s="64">
        <v>11634</v>
      </c>
      <c r="E58" s="45" t="s">
        <v>2041</v>
      </c>
      <c r="F58" s="39">
        <v>3091</v>
      </c>
      <c r="G58" s="39">
        <v>67014.052935980042</v>
      </c>
      <c r="H58" s="39">
        <v>235</v>
      </c>
      <c r="I58" s="39">
        <v>3518.3498685200011</v>
      </c>
      <c r="J58" s="40">
        <f t="shared" si="70"/>
        <v>5.2501672625011292E-2</v>
      </c>
      <c r="K58" s="39">
        <v>235</v>
      </c>
      <c r="L58" s="39">
        <v>3518.3498685200011</v>
      </c>
      <c r="M58" s="40">
        <f t="shared" si="71"/>
        <v>5.2501672625011292E-2</v>
      </c>
      <c r="N58" s="39">
        <v>3102</v>
      </c>
      <c r="O58" s="39">
        <v>65732.265052830073</v>
      </c>
      <c r="P58" s="39">
        <v>236</v>
      </c>
      <c r="Q58" s="39">
        <v>3484.616640960001</v>
      </c>
      <c r="R58" s="40">
        <f t="shared" si="72"/>
        <v>5.3012270886441518E-2</v>
      </c>
      <c r="S58" s="39">
        <v>236</v>
      </c>
      <c r="T58" s="39">
        <v>3484.616640960001</v>
      </c>
      <c r="U58" s="40">
        <f t="shared" si="73"/>
        <v>5.3012270886441518E-2</v>
      </c>
      <c r="V58" s="39">
        <v>3142</v>
      </c>
      <c r="W58" s="39">
        <v>65363.077774669997</v>
      </c>
      <c r="X58" s="39">
        <v>276</v>
      </c>
      <c r="Y58" s="39">
        <v>3853.3906044500022</v>
      </c>
      <c r="Z58" s="40">
        <f t="shared" si="13"/>
        <v>5.8953628495494403E-2</v>
      </c>
      <c r="AA58" s="39">
        <v>276</v>
      </c>
      <c r="AB58" s="39">
        <v>3853.3906044500022</v>
      </c>
      <c r="AC58" s="40">
        <f t="shared" si="74"/>
        <v>5.8953628495494403E-2</v>
      </c>
      <c r="AD58" s="39">
        <v>3162</v>
      </c>
      <c r="AE58" s="39">
        <v>64389.347362040004</v>
      </c>
      <c r="AF58" s="39">
        <v>270</v>
      </c>
      <c r="AG58" s="39">
        <v>3711.2227497500021</v>
      </c>
      <c r="AH58" s="40">
        <f t="shared" si="75"/>
        <v>5.763721643089538E-2</v>
      </c>
      <c r="AI58" s="39">
        <v>270</v>
      </c>
      <c r="AJ58" s="39">
        <v>3711.2227497500021</v>
      </c>
      <c r="AK58" s="40">
        <f t="shared" si="76"/>
        <v>5.763721643089538E-2</v>
      </c>
      <c r="AL58" s="39">
        <v>3278</v>
      </c>
      <c r="AM58" s="39">
        <v>65390.423740030106</v>
      </c>
      <c r="AN58" s="39">
        <v>274</v>
      </c>
      <c r="AO58" s="39">
        <v>3605.4550929600005</v>
      </c>
      <c r="AP58" s="40">
        <f t="shared" si="77"/>
        <v>5.5137356309144792E-2</v>
      </c>
      <c r="AQ58" s="39">
        <v>274</v>
      </c>
      <c r="AR58" s="39">
        <v>3605.4550929600005</v>
      </c>
      <c r="AS58" s="40">
        <f t="shared" si="78"/>
        <v>5.5137356309144792E-2</v>
      </c>
      <c r="AT58" s="39">
        <v>3285</v>
      </c>
      <c r="AU58" s="39">
        <v>65042.005381719995</v>
      </c>
      <c r="AV58" s="39">
        <v>271</v>
      </c>
      <c r="AW58" s="39">
        <v>3554.9884332800007</v>
      </c>
      <c r="AX58" s="40">
        <f t="shared" si="79"/>
        <v>5.4656808510383466E-2</v>
      </c>
      <c r="AY58" s="39">
        <v>271</v>
      </c>
      <c r="AZ58" s="39">
        <v>3554.9884332800007</v>
      </c>
      <c r="BA58" s="40">
        <f t="shared" si="80"/>
        <v>5.4656808510383466E-2</v>
      </c>
      <c r="BB58" s="41">
        <v>3284</v>
      </c>
      <c r="BC58" s="41">
        <v>64024.966375000004</v>
      </c>
      <c r="BD58" s="41">
        <v>265</v>
      </c>
      <c r="BE58" s="41">
        <v>3393.2458048900016</v>
      </c>
      <c r="BF58" s="40">
        <f t="shared" si="81"/>
        <v>5.2998790893781261E-2</v>
      </c>
      <c r="BG58" s="39">
        <v>265</v>
      </c>
      <c r="BH58" s="39">
        <v>3393.2458048900016</v>
      </c>
      <c r="BI58" s="40">
        <f t="shared" si="82"/>
        <v>5.2998790893781261E-2</v>
      </c>
      <c r="BJ58" s="39">
        <v>3319</v>
      </c>
      <c r="BK58" s="39">
        <v>63708.41477969</v>
      </c>
      <c r="BL58" s="39">
        <v>270</v>
      </c>
      <c r="BM58" s="39">
        <v>3307.8791201000017</v>
      </c>
      <c r="BN58" s="40">
        <f t="shared" si="83"/>
        <v>5.1922169646489789E-2</v>
      </c>
      <c r="BO58" s="4">
        <v>270</v>
      </c>
      <c r="BP58" s="4">
        <v>3307.8791201000017</v>
      </c>
      <c r="BQ58" s="40">
        <f t="shared" si="84"/>
        <v>5.1922169646489789E-2</v>
      </c>
      <c r="BR58" s="39">
        <v>3283</v>
      </c>
      <c r="BS58" s="39">
        <v>63015.852045039988</v>
      </c>
      <c r="BT58" s="39">
        <v>168</v>
      </c>
      <c r="BU58" s="39">
        <v>1369.9266564299999</v>
      </c>
      <c r="BV58" s="40">
        <f t="shared" si="85"/>
        <v>2.1739397500344163E-2</v>
      </c>
      <c r="BW58" s="4">
        <v>168</v>
      </c>
      <c r="BX58" s="4">
        <v>1369.9266564299999</v>
      </c>
      <c r="BY58" s="40">
        <f t="shared" si="86"/>
        <v>2.1739397500344163E-2</v>
      </c>
      <c r="BZ58" s="39">
        <v>3524</v>
      </c>
      <c r="CA58" s="39">
        <v>66930.055444319994</v>
      </c>
      <c r="CB58" s="39">
        <v>163</v>
      </c>
      <c r="CC58" s="39">
        <v>1333.0486071099999</v>
      </c>
      <c r="CD58" s="40">
        <f t="shared" si="87"/>
        <v>1.9917040233426681E-2</v>
      </c>
      <c r="CE58" s="4">
        <v>163</v>
      </c>
      <c r="CF58" s="4">
        <v>1333.0486071099999</v>
      </c>
      <c r="CG58" s="40">
        <f t="shared" si="88"/>
        <v>1.9917040233426681E-2</v>
      </c>
      <c r="CH58" s="39">
        <v>3686</v>
      </c>
      <c r="CI58" s="39">
        <v>69810.101422840205</v>
      </c>
      <c r="CJ58" s="39">
        <v>176</v>
      </c>
      <c r="CK58" s="39">
        <v>1366.7422281200002</v>
      </c>
      <c r="CL58" s="40">
        <f t="shared" si="89"/>
        <v>1.9578000894764989E-2</v>
      </c>
      <c r="CM58" s="4">
        <v>176</v>
      </c>
      <c r="CN58" s="4">
        <v>1366.7422281200002</v>
      </c>
      <c r="CO58" s="40">
        <f t="shared" si="90"/>
        <v>1.9578000894764989E-2</v>
      </c>
      <c r="CP58" s="39">
        <v>3713</v>
      </c>
      <c r="CQ58" s="39">
        <v>70367.736331010237</v>
      </c>
      <c r="CR58" s="39">
        <v>176</v>
      </c>
      <c r="CS58" s="39">
        <v>1331.9379095800005</v>
      </c>
      <c r="CT58" s="40">
        <f t="shared" si="91"/>
        <v>1.8928247219926995E-2</v>
      </c>
      <c r="CU58" s="4">
        <v>176</v>
      </c>
      <c r="CV58" s="4">
        <v>1331.9379095800005</v>
      </c>
      <c r="CW58" s="40">
        <f t="shared" si="92"/>
        <v>1.8928247219926995E-2</v>
      </c>
      <c r="CX58" s="42">
        <v>0</v>
      </c>
      <c r="CY58" s="42">
        <v>0</v>
      </c>
    </row>
    <row r="59" spans="1:103" s="29" customFormat="1" ht="35.1" customHeight="1" x14ac:dyDescent="0.25">
      <c r="A59" s="38">
        <f t="shared" si="93"/>
        <v>53</v>
      </c>
      <c r="B59" s="45" t="s">
        <v>2096</v>
      </c>
      <c r="C59" s="45" t="s">
        <v>2113</v>
      </c>
      <c r="D59" s="64">
        <v>11581</v>
      </c>
      <c r="E59" s="45" t="s">
        <v>2037</v>
      </c>
      <c r="F59" s="39">
        <v>5423</v>
      </c>
      <c r="G59" s="39">
        <v>80731.951034119949</v>
      </c>
      <c r="H59" s="39">
        <v>353</v>
      </c>
      <c r="I59" s="39">
        <v>4264.0202018099981</v>
      </c>
      <c r="J59" s="40">
        <f t="shared" si="70"/>
        <v>5.2817009216188572E-2</v>
      </c>
      <c r="K59" s="39">
        <v>353</v>
      </c>
      <c r="L59" s="39">
        <v>4264.0202018099981</v>
      </c>
      <c r="M59" s="40">
        <f t="shared" si="71"/>
        <v>5.2817009216188572E-2</v>
      </c>
      <c r="N59" s="39">
        <v>5403</v>
      </c>
      <c r="O59" s="39">
        <v>81129.022441660316</v>
      </c>
      <c r="P59" s="39">
        <v>377</v>
      </c>
      <c r="Q59" s="39">
        <v>4729.5000173599919</v>
      </c>
      <c r="R59" s="40">
        <f t="shared" si="72"/>
        <v>5.8296031124508665E-2</v>
      </c>
      <c r="S59" s="39">
        <v>377</v>
      </c>
      <c r="T59" s="39">
        <v>4729.5000173599919</v>
      </c>
      <c r="U59" s="40">
        <f t="shared" si="73"/>
        <v>5.8296031124508665E-2</v>
      </c>
      <c r="V59" s="39">
        <v>5421</v>
      </c>
      <c r="W59" s="39">
        <v>82032.336281770258</v>
      </c>
      <c r="X59" s="39">
        <v>370</v>
      </c>
      <c r="Y59" s="39">
        <v>4647.6465891199969</v>
      </c>
      <c r="Z59" s="40">
        <f t="shared" si="13"/>
        <v>5.66562748274771E-2</v>
      </c>
      <c r="AA59" s="39">
        <v>370</v>
      </c>
      <c r="AB59" s="39">
        <v>4647.6465891199969</v>
      </c>
      <c r="AC59" s="40">
        <f t="shared" si="74"/>
        <v>5.66562748274771E-2</v>
      </c>
      <c r="AD59" s="39">
        <v>5476</v>
      </c>
      <c r="AE59" s="39">
        <v>85642.224699660306</v>
      </c>
      <c r="AF59" s="39">
        <v>385</v>
      </c>
      <c r="AG59" s="39">
        <v>4851.9750414599939</v>
      </c>
      <c r="AH59" s="40">
        <f t="shared" si="75"/>
        <v>5.6654005176482052E-2</v>
      </c>
      <c r="AI59" s="39">
        <v>385</v>
      </c>
      <c r="AJ59" s="39">
        <v>4851.9750414599939</v>
      </c>
      <c r="AK59" s="40">
        <f t="shared" si="76"/>
        <v>5.6654005176482052E-2</v>
      </c>
      <c r="AL59" s="39">
        <v>5618</v>
      </c>
      <c r="AM59" s="39">
        <v>90319.56050921003</v>
      </c>
      <c r="AN59" s="39">
        <v>440</v>
      </c>
      <c r="AO59" s="39">
        <v>5829.0948478299924</v>
      </c>
      <c r="AP59" s="40">
        <f t="shared" si="77"/>
        <v>6.4538565234001449E-2</v>
      </c>
      <c r="AQ59" s="39">
        <v>440</v>
      </c>
      <c r="AR59" s="39">
        <v>5829.0948478299924</v>
      </c>
      <c r="AS59" s="40">
        <f t="shared" si="78"/>
        <v>6.4538565234001449E-2</v>
      </c>
      <c r="AT59" s="39">
        <v>5680</v>
      </c>
      <c r="AU59" s="39">
        <v>92099.733010270022</v>
      </c>
      <c r="AV59" s="39">
        <v>447</v>
      </c>
      <c r="AW59" s="39">
        <v>5742.3941472799952</v>
      </c>
      <c r="AX59" s="40">
        <f t="shared" si="79"/>
        <v>6.2349737177193144E-2</v>
      </c>
      <c r="AY59" s="39">
        <v>447</v>
      </c>
      <c r="AZ59" s="39">
        <v>5742.3941472799952</v>
      </c>
      <c r="BA59" s="40">
        <f t="shared" si="80"/>
        <v>6.2349737177193144E-2</v>
      </c>
      <c r="BB59" s="41">
        <v>5681</v>
      </c>
      <c r="BC59" s="41">
        <v>91568.602892719849</v>
      </c>
      <c r="BD59" s="41">
        <v>456</v>
      </c>
      <c r="BE59" s="41">
        <v>5947.0005096399964</v>
      </c>
      <c r="BF59" s="40">
        <f t="shared" si="81"/>
        <v>6.4945847394956943E-2</v>
      </c>
      <c r="BG59" s="39">
        <v>456</v>
      </c>
      <c r="BH59" s="39">
        <v>5947.0005096399964</v>
      </c>
      <c r="BI59" s="40">
        <f t="shared" si="82"/>
        <v>6.4945847394956943E-2</v>
      </c>
      <c r="BJ59" s="39">
        <v>5766</v>
      </c>
      <c r="BK59" s="39">
        <v>94804.776544299777</v>
      </c>
      <c r="BL59" s="39">
        <v>463</v>
      </c>
      <c r="BM59" s="39">
        <v>5730.717625099991</v>
      </c>
      <c r="BN59" s="40">
        <f t="shared" si="83"/>
        <v>6.0447562179761875E-2</v>
      </c>
      <c r="BO59" s="4">
        <v>463</v>
      </c>
      <c r="BP59" s="4">
        <v>5730.717625099991</v>
      </c>
      <c r="BQ59" s="40">
        <f t="shared" si="84"/>
        <v>6.0447562179761875E-2</v>
      </c>
      <c r="BR59" s="39">
        <v>5688</v>
      </c>
      <c r="BS59" s="39">
        <v>91927.462703219979</v>
      </c>
      <c r="BT59" s="39">
        <v>362</v>
      </c>
      <c r="BU59" s="39">
        <v>3572.2533686399984</v>
      </c>
      <c r="BV59" s="40">
        <f t="shared" si="85"/>
        <v>3.8859479676630643E-2</v>
      </c>
      <c r="BW59" s="4">
        <v>362</v>
      </c>
      <c r="BX59" s="4">
        <v>3572.2533686399984</v>
      </c>
      <c r="BY59" s="40">
        <f t="shared" si="86"/>
        <v>3.8859479676630643E-2</v>
      </c>
      <c r="BZ59" s="39">
        <v>5873</v>
      </c>
      <c r="CA59" s="39">
        <v>94657.893919399721</v>
      </c>
      <c r="CB59" s="39">
        <v>350</v>
      </c>
      <c r="CC59" s="39">
        <v>3480.5667397299972</v>
      </c>
      <c r="CD59" s="40">
        <f t="shared" si="87"/>
        <v>3.6769957534589413E-2</v>
      </c>
      <c r="CE59" s="4">
        <v>350</v>
      </c>
      <c r="CF59" s="4">
        <v>3480.5667397299972</v>
      </c>
      <c r="CG59" s="40">
        <f t="shared" si="88"/>
        <v>3.6769957534589413E-2</v>
      </c>
      <c r="CH59" s="39">
        <v>6040</v>
      </c>
      <c r="CI59" s="39">
        <v>95547.119526290131</v>
      </c>
      <c r="CJ59" s="39">
        <v>343</v>
      </c>
      <c r="CK59" s="39">
        <v>3465.3592935699967</v>
      </c>
      <c r="CL59" s="40">
        <f t="shared" si="89"/>
        <v>3.6268589893141578E-2</v>
      </c>
      <c r="CM59" s="4">
        <v>343</v>
      </c>
      <c r="CN59" s="4">
        <v>3465.3592935699967</v>
      </c>
      <c r="CO59" s="40">
        <f t="shared" si="90"/>
        <v>3.6268589893141578E-2</v>
      </c>
      <c r="CP59" s="39">
        <v>6115</v>
      </c>
      <c r="CQ59" s="39">
        <v>96626.169613239763</v>
      </c>
      <c r="CR59" s="39">
        <v>340</v>
      </c>
      <c r="CS59" s="39">
        <v>3354.0285456499983</v>
      </c>
      <c r="CT59" s="40">
        <f t="shared" si="91"/>
        <v>3.4711388840880097E-2</v>
      </c>
      <c r="CU59" s="4">
        <v>340</v>
      </c>
      <c r="CV59" s="4">
        <v>3354.0285456499983</v>
      </c>
      <c r="CW59" s="40">
        <f t="shared" si="92"/>
        <v>3.4711388840880097E-2</v>
      </c>
      <c r="CX59" s="42">
        <v>0</v>
      </c>
      <c r="CY59" s="42">
        <v>0</v>
      </c>
    </row>
    <row r="60" spans="1:103" s="29" customFormat="1" ht="35.1" customHeight="1" x14ac:dyDescent="0.25">
      <c r="A60" s="38">
        <f t="shared" si="93"/>
        <v>54</v>
      </c>
      <c r="B60" s="45" t="s">
        <v>2096</v>
      </c>
      <c r="C60" s="45" t="s">
        <v>2114</v>
      </c>
      <c r="D60" s="64">
        <v>11582</v>
      </c>
      <c r="E60" s="45" t="s">
        <v>2049</v>
      </c>
      <c r="F60" s="39">
        <v>3385</v>
      </c>
      <c r="G60" s="39">
        <v>77523.324917489866</v>
      </c>
      <c r="H60" s="39">
        <v>367</v>
      </c>
      <c r="I60" s="39">
        <v>2502.3937760899958</v>
      </c>
      <c r="J60" s="40">
        <f t="shared" si="70"/>
        <v>3.2279236974850599E-2</v>
      </c>
      <c r="K60" s="39">
        <v>367</v>
      </c>
      <c r="L60" s="39">
        <v>2502.3937760899958</v>
      </c>
      <c r="M60" s="40">
        <f t="shared" si="71"/>
        <v>3.2279236974850599E-2</v>
      </c>
      <c r="N60" s="39">
        <v>3399</v>
      </c>
      <c r="O60" s="39">
        <v>77452.15120018016</v>
      </c>
      <c r="P60" s="39">
        <v>401</v>
      </c>
      <c r="Q60" s="39">
        <v>2600.4657009999964</v>
      </c>
      <c r="R60" s="40">
        <f t="shared" si="72"/>
        <v>3.3575125554342868E-2</v>
      </c>
      <c r="S60" s="39">
        <v>401</v>
      </c>
      <c r="T60" s="39">
        <v>2600.4657009999964</v>
      </c>
      <c r="U60" s="40">
        <f t="shared" si="73"/>
        <v>3.3575125554342868E-2</v>
      </c>
      <c r="V60" s="39">
        <v>3405</v>
      </c>
      <c r="W60" s="39">
        <v>79505.199325790221</v>
      </c>
      <c r="X60" s="39">
        <v>417</v>
      </c>
      <c r="Y60" s="39">
        <v>2858.2729677699972</v>
      </c>
      <c r="Z60" s="40">
        <f t="shared" si="13"/>
        <v>3.5950767899563252E-2</v>
      </c>
      <c r="AA60" s="39">
        <v>417</v>
      </c>
      <c r="AB60" s="39">
        <v>2858.2729677699972</v>
      </c>
      <c r="AC60" s="40">
        <f t="shared" si="74"/>
        <v>3.5950767899563252E-2</v>
      </c>
      <c r="AD60" s="39">
        <v>3429</v>
      </c>
      <c r="AE60" s="39">
        <v>81246.655384769867</v>
      </c>
      <c r="AF60" s="39">
        <v>429</v>
      </c>
      <c r="AG60" s="39">
        <v>2731.0964972099969</v>
      </c>
      <c r="AH60" s="40">
        <f t="shared" si="75"/>
        <v>3.3614879089803811E-2</v>
      </c>
      <c r="AI60" s="39">
        <v>429</v>
      </c>
      <c r="AJ60" s="39">
        <v>2731.0964972099969</v>
      </c>
      <c r="AK60" s="40">
        <f t="shared" si="76"/>
        <v>3.3614879089803811E-2</v>
      </c>
      <c r="AL60" s="39">
        <v>3498</v>
      </c>
      <c r="AM60" s="39">
        <v>83202.607996849561</v>
      </c>
      <c r="AN60" s="39">
        <v>463</v>
      </c>
      <c r="AO60" s="39">
        <v>2808.7805896299978</v>
      </c>
      <c r="AP60" s="40">
        <f t="shared" si="77"/>
        <v>3.375832389456291E-2</v>
      </c>
      <c r="AQ60" s="39">
        <v>463</v>
      </c>
      <c r="AR60" s="39">
        <v>2808.7805896299978</v>
      </c>
      <c r="AS60" s="40">
        <f t="shared" si="78"/>
        <v>3.375832389456291E-2</v>
      </c>
      <c r="AT60" s="39">
        <v>3457</v>
      </c>
      <c r="AU60" s="39">
        <v>84404.714091239846</v>
      </c>
      <c r="AV60" s="39">
        <v>487</v>
      </c>
      <c r="AW60" s="39">
        <v>2973.726128299998</v>
      </c>
      <c r="AX60" s="40">
        <f t="shared" si="79"/>
        <v>3.5231754059204062E-2</v>
      </c>
      <c r="AY60" s="39">
        <v>487</v>
      </c>
      <c r="AZ60" s="39">
        <v>2973.726128299998</v>
      </c>
      <c r="BA60" s="40">
        <f t="shared" si="80"/>
        <v>3.5231754059204062E-2</v>
      </c>
      <c r="BB60" s="41">
        <v>3455</v>
      </c>
      <c r="BC60" s="41">
        <v>85735.81524716939</v>
      </c>
      <c r="BD60" s="41">
        <v>517</v>
      </c>
      <c r="BE60" s="41">
        <v>4741.4914632400014</v>
      </c>
      <c r="BF60" s="40">
        <f t="shared" si="81"/>
        <v>5.5303509386021077E-2</v>
      </c>
      <c r="BG60" s="39">
        <v>517</v>
      </c>
      <c r="BH60" s="39">
        <v>4741.4914632400014</v>
      </c>
      <c r="BI60" s="40">
        <f t="shared" si="82"/>
        <v>5.5303509386021077E-2</v>
      </c>
      <c r="BJ60" s="39">
        <v>3486</v>
      </c>
      <c r="BK60" s="39">
        <v>88486.059173749964</v>
      </c>
      <c r="BL60" s="39">
        <v>572</v>
      </c>
      <c r="BM60" s="39">
        <v>3437.6573160899979</v>
      </c>
      <c r="BN60" s="40">
        <f t="shared" si="83"/>
        <v>3.8849705232548139E-2</v>
      </c>
      <c r="BO60" s="4">
        <v>572</v>
      </c>
      <c r="BP60" s="4">
        <v>3437.6573160899979</v>
      </c>
      <c r="BQ60" s="40">
        <f t="shared" si="84"/>
        <v>3.8849705232548139E-2</v>
      </c>
      <c r="BR60" s="39">
        <v>3459</v>
      </c>
      <c r="BS60" s="39">
        <v>89600.372944689458</v>
      </c>
      <c r="BT60" s="39">
        <v>548</v>
      </c>
      <c r="BU60" s="39">
        <v>2898.1234910499948</v>
      </c>
      <c r="BV60" s="40">
        <f t="shared" si="85"/>
        <v>3.2344993617816904E-2</v>
      </c>
      <c r="BW60" s="4">
        <v>548</v>
      </c>
      <c r="BX60" s="4">
        <v>2898.1234910499948</v>
      </c>
      <c r="BY60" s="40">
        <f t="shared" si="86"/>
        <v>3.2344993617816904E-2</v>
      </c>
      <c r="BZ60" s="39">
        <v>3534</v>
      </c>
      <c r="CA60" s="39">
        <v>92413.12796826975</v>
      </c>
      <c r="CB60" s="39">
        <v>549</v>
      </c>
      <c r="CC60" s="39">
        <v>2830.8019363499952</v>
      </c>
      <c r="CD60" s="40">
        <f t="shared" si="87"/>
        <v>3.0632032467529477E-2</v>
      </c>
      <c r="CE60" s="4">
        <v>549</v>
      </c>
      <c r="CF60" s="4">
        <v>2830.8019363499952</v>
      </c>
      <c r="CG60" s="40">
        <f t="shared" si="88"/>
        <v>3.0632032467529477E-2</v>
      </c>
      <c r="CH60" s="39">
        <v>3611</v>
      </c>
      <c r="CI60" s="39">
        <v>94269.137401039989</v>
      </c>
      <c r="CJ60" s="39">
        <v>572</v>
      </c>
      <c r="CK60" s="39">
        <v>2917.7513235699953</v>
      </c>
      <c r="CL60" s="40">
        <f t="shared" si="89"/>
        <v>3.0951289085814911E-2</v>
      </c>
      <c r="CM60" s="4">
        <v>572</v>
      </c>
      <c r="CN60" s="4">
        <v>2917.7513235699953</v>
      </c>
      <c r="CO60" s="40">
        <f t="shared" si="90"/>
        <v>3.0951289085814911E-2</v>
      </c>
      <c r="CP60" s="39">
        <v>3683</v>
      </c>
      <c r="CQ60" s="39">
        <v>97715.201359910046</v>
      </c>
      <c r="CR60" s="39">
        <v>574</v>
      </c>
      <c r="CS60" s="39">
        <v>2877.5347287999957</v>
      </c>
      <c r="CT60" s="40">
        <f t="shared" si="91"/>
        <v>2.9448178878548285E-2</v>
      </c>
      <c r="CU60" s="4">
        <v>574</v>
      </c>
      <c r="CV60" s="4">
        <v>2877.5347287999957</v>
      </c>
      <c r="CW60" s="40">
        <f t="shared" si="92"/>
        <v>2.9448178878548285E-2</v>
      </c>
      <c r="CX60" s="42">
        <v>0</v>
      </c>
      <c r="CY60" s="42">
        <v>0</v>
      </c>
    </row>
    <row r="61" spans="1:103" s="29" customFormat="1" ht="35.1" customHeight="1" x14ac:dyDescent="0.25">
      <c r="A61" s="38">
        <f t="shared" si="93"/>
        <v>55</v>
      </c>
      <c r="B61" s="45" t="s">
        <v>2096</v>
      </c>
      <c r="C61" s="45" t="s">
        <v>2115</v>
      </c>
      <c r="D61" s="64">
        <v>11782</v>
      </c>
      <c r="E61" s="45" t="s">
        <v>2087</v>
      </c>
      <c r="F61" s="39">
        <v>2817</v>
      </c>
      <c r="G61" s="39">
        <v>116849.48139752005</v>
      </c>
      <c r="H61" s="39">
        <v>113</v>
      </c>
      <c r="I61" s="39">
        <v>3280.4437214599998</v>
      </c>
      <c r="J61" s="40">
        <f t="shared" si="70"/>
        <v>2.8074097396290389E-2</v>
      </c>
      <c r="K61" s="39">
        <v>113</v>
      </c>
      <c r="L61" s="39">
        <v>3280.4437214599998</v>
      </c>
      <c r="M61" s="40">
        <f t="shared" si="71"/>
        <v>2.8074097396290389E-2</v>
      </c>
      <c r="N61" s="39">
        <v>2840</v>
      </c>
      <c r="O61" s="39">
        <v>113489.50116909003</v>
      </c>
      <c r="P61" s="39">
        <v>108</v>
      </c>
      <c r="Q61" s="39">
        <v>3212.6632349199999</v>
      </c>
      <c r="R61" s="40">
        <f t="shared" si="72"/>
        <v>2.8308021463002077E-2</v>
      </c>
      <c r="S61" s="39">
        <v>108</v>
      </c>
      <c r="T61" s="39">
        <v>3212.6632349199999</v>
      </c>
      <c r="U61" s="40">
        <f t="shared" si="73"/>
        <v>2.8308021463002077E-2</v>
      </c>
      <c r="V61" s="39">
        <v>2940</v>
      </c>
      <c r="W61" s="39">
        <v>111199.12170807997</v>
      </c>
      <c r="X61" s="39">
        <v>132</v>
      </c>
      <c r="Y61" s="39">
        <v>3160.70923253</v>
      </c>
      <c r="Z61" s="40">
        <f t="shared" si="13"/>
        <v>2.842386867791543E-2</v>
      </c>
      <c r="AA61" s="39">
        <v>132</v>
      </c>
      <c r="AB61" s="39">
        <v>3160.70923253</v>
      </c>
      <c r="AC61" s="40">
        <f t="shared" si="74"/>
        <v>2.842386867791543E-2</v>
      </c>
      <c r="AD61" s="39">
        <v>3027</v>
      </c>
      <c r="AE61" s="39">
        <v>108756.35542792996</v>
      </c>
      <c r="AF61" s="39">
        <v>134</v>
      </c>
      <c r="AG61" s="39">
        <v>3121.5126636399996</v>
      </c>
      <c r="AH61" s="40">
        <f t="shared" si="75"/>
        <v>2.8701887364261169E-2</v>
      </c>
      <c r="AI61" s="39">
        <v>134</v>
      </c>
      <c r="AJ61" s="39">
        <v>3121.5126636399996</v>
      </c>
      <c r="AK61" s="40">
        <f t="shared" si="76"/>
        <v>2.8701887364261169E-2</v>
      </c>
      <c r="AL61" s="39">
        <v>3162</v>
      </c>
      <c r="AM61" s="39">
        <v>116795.54421346974</v>
      </c>
      <c r="AN61" s="39">
        <v>142</v>
      </c>
      <c r="AO61" s="39">
        <v>3112.8222744800005</v>
      </c>
      <c r="AP61" s="40">
        <f t="shared" si="77"/>
        <v>2.6651892376909757E-2</v>
      </c>
      <c r="AQ61" s="39">
        <v>142</v>
      </c>
      <c r="AR61" s="39">
        <v>3112.8222744800005</v>
      </c>
      <c r="AS61" s="40">
        <f t="shared" si="78"/>
        <v>2.6651892376909757E-2</v>
      </c>
      <c r="AT61" s="39">
        <v>3166</v>
      </c>
      <c r="AU61" s="39">
        <v>117516.78499790985</v>
      </c>
      <c r="AV61" s="39">
        <v>175</v>
      </c>
      <c r="AW61" s="39">
        <v>3501.9245019800001</v>
      </c>
      <c r="AX61" s="40">
        <f t="shared" si="79"/>
        <v>2.9799355913644889E-2</v>
      </c>
      <c r="AY61" s="39">
        <v>175</v>
      </c>
      <c r="AZ61" s="39">
        <v>3501.9245019800001</v>
      </c>
      <c r="BA61" s="40">
        <f t="shared" si="80"/>
        <v>2.9799355913644889E-2</v>
      </c>
      <c r="BB61" s="41">
        <v>3194</v>
      </c>
      <c r="BC61" s="41">
        <v>113818.31217160961</v>
      </c>
      <c r="BD61" s="41">
        <v>190</v>
      </c>
      <c r="BE61" s="41">
        <v>2081.0842021099998</v>
      </c>
      <c r="BF61" s="40">
        <f t="shared" si="81"/>
        <v>1.8284265180213217E-2</v>
      </c>
      <c r="BG61" s="39">
        <v>190</v>
      </c>
      <c r="BH61" s="39">
        <v>2081.0842021099998</v>
      </c>
      <c r="BI61" s="40">
        <f t="shared" si="82"/>
        <v>1.8284265180213217E-2</v>
      </c>
      <c r="BJ61" s="39">
        <v>3255</v>
      </c>
      <c r="BK61" s="39">
        <v>118594.89907709991</v>
      </c>
      <c r="BL61" s="39">
        <v>198</v>
      </c>
      <c r="BM61" s="39">
        <v>2002.5280560699991</v>
      </c>
      <c r="BN61" s="40">
        <f t="shared" si="83"/>
        <v>1.6885448460714426E-2</v>
      </c>
      <c r="BO61" s="4">
        <v>198</v>
      </c>
      <c r="BP61" s="4">
        <v>2002.5280560699991</v>
      </c>
      <c r="BQ61" s="40">
        <f t="shared" si="84"/>
        <v>1.6885448460714426E-2</v>
      </c>
      <c r="BR61" s="39">
        <v>3253</v>
      </c>
      <c r="BS61" s="39">
        <v>126370.57716472993</v>
      </c>
      <c r="BT61" s="39">
        <v>163</v>
      </c>
      <c r="BU61" s="39">
        <v>24657.935651029991</v>
      </c>
      <c r="BV61" s="40">
        <f t="shared" si="85"/>
        <v>0.19512402494519926</v>
      </c>
      <c r="BW61" s="4">
        <v>163</v>
      </c>
      <c r="BX61" s="4">
        <v>24657.935651029991</v>
      </c>
      <c r="BY61" s="40">
        <f t="shared" si="86"/>
        <v>0.19512402494519926</v>
      </c>
      <c r="BZ61" s="39">
        <v>3354</v>
      </c>
      <c r="CA61" s="39">
        <v>131909.00088525994</v>
      </c>
      <c r="CB61" s="39">
        <v>164</v>
      </c>
      <c r="CC61" s="39">
        <v>1484.4784074699999</v>
      </c>
      <c r="CD61" s="40">
        <f t="shared" si="87"/>
        <v>1.1253806772149403E-2</v>
      </c>
      <c r="CE61" s="4">
        <v>164</v>
      </c>
      <c r="CF61" s="4">
        <v>1484.4784074699999</v>
      </c>
      <c r="CG61" s="40">
        <f t="shared" si="88"/>
        <v>1.1253806772149403E-2</v>
      </c>
      <c r="CH61" s="39">
        <v>3414</v>
      </c>
      <c r="CI61" s="39">
        <v>134325.09288809999</v>
      </c>
      <c r="CJ61" s="39">
        <v>162</v>
      </c>
      <c r="CK61" s="39">
        <v>1460.2179338400001</v>
      </c>
      <c r="CL61" s="40">
        <f t="shared" si="89"/>
        <v>1.0870775537497228E-2</v>
      </c>
      <c r="CM61" s="4">
        <v>162</v>
      </c>
      <c r="CN61" s="4">
        <v>1460.2179338400001</v>
      </c>
      <c r="CO61" s="40">
        <f t="shared" si="90"/>
        <v>1.0870775537497228E-2</v>
      </c>
      <c r="CP61" s="39">
        <v>3387</v>
      </c>
      <c r="CQ61" s="39">
        <v>133532.83843422041</v>
      </c>
      <c r="CR61" s="39">
        <v>156</v>
      </c>
      <c r="CS61" s="39">
        <v>1417.0578757300004</v>
      </c>
      <c r="CT61" s="40">
        <f t="shared" si="91"/>
        <v>1.0612055374139727E-2</v>
      </c>
      <c r="CU61" s="4">
        <v>156</v>
      </c>
      <c r="CV61" s="4">
        <v>1417.0578757300004</v>
      </c>
      <c r="CW61" s="40">
        <f t="shared" si="92"/>
        <v>1.0612055374139727E-2</v>
      </c>
      <c r="CX61" s="42">
        <v>0</v>
      </c>
      <c r="CY61" s="42">
        <v>0</v>
      </c>
    </row>
    <row r="62" spans="1:103" s="29" customFormat="1" ht="35.1" customHeight="1" x14ac:dyDescent="0.25">
      <c r="A62" s="38">
        <f t="shared" si="93"/>
        <v>56</v>
      </c>
      <c r="B62" s="45" t="s">
        <v>2096</v>
      </c>
      <c r="C62" s="45" t="s">
        <v>2116</v>
      </c>
      <c r="D62" s="64">
        <v>11489</v>
      </c>
      <c r="E62" s="45" t="s">
        <v>2066</v>
      </c>
      <c r="F62" s="39">
        <v>5433</v>
      </c>
      <c r="G62" s="39">
        <v>92166.780366000166</v>
      </c>
      <c r="H62" s="39">
        <v>405</v>
      </c>
      <c r="I62" s="39">
        <v>5708.8555761400012</v>
      </c>
      <c r="J62" s="40">
        <f t="shared" si="70"/>
        <v>6.1940490418237147E-2</v>
      </c>
      <c r="K62" s="39">
        <v>405</v>
      </c>
      <c r="L62" s="39">
        <v>5708.8555761400012</v>
      </c>
      <c r="M62" s="40">
        <f t="shared" si="71"/>
        <v>6.1940490418237147E-2</v>
      </c>
      <c r="N62" s="39">
        <v>5475</v>
      </c>
      <c r="O62" s="39">
        <v>91781.135711820243</v>
      </c>
      <c r="P62" s="39">
        <v>443</v>
      </c>
      <c r="Q62" s="39">
        <v>6131.6708990200032</v>
      </c>
      <c r="R62" s="40">
        <f t="shared" si="72"/>
        <v>6.6807529144905994E-2</v>
      </c>
      <c r="S62" s="39">
        <v>443</v>
      </c>
      <c r="T62" s="39">
        <v>6131.6708990200032</v>
      </c>
      <c r="U62" s="40">
        <f t="shared" si="73"/>
        <v>6.6807529144905994E-2</v>
      </c>
      <c r="V62" s="39">
        <v>5647</v>
      </c>
      <c r="W62" s="39">
        <v>93638.747515900395</v>
      </c>
      <c r="X62" s="39">
        <v>454</v>
      </c>
      <c r="Y62" s="39">
        <v>6067.4933111900027</v>
      </c>
      <c r="Z62" s="40">
        <f t="shared" si="13"/>
        <v>6.4796822599103091E-2</v>
      </c>
      <c r="AA62" s="39">
        <v>454</v>
      </c>
      <c r="AB62" s="39">
        <v>6067.4933111900027</v>
      </c>
      <c r="AC62" s="40">
        <f t="shared" si="74"/>
        <v>6.4796822599103091E-2</v>
      </c>
      <c r="AD62" s="39">
        <v>5791</v>
      </c>
      <c r="AE62" s="39">
        <v>95117.934079260012</v>
      </c>
      <c r="AF62" s="39">
        <v>473</v>
      </c>
      <c r="AG62" s="39">
        <v>6082.0624722600032</v>
      </c>
      <c r="AH62" s="40">
        <f t="shared" si="75"/>
        <v>6.3942331497569463E-2</v>
      </c>
      <c r="AI62" s="39">
        <v>473</v>
      </c>
      <c r="AJ62" s="39">
        <v>6082.0624722600032</v>
      </c>
      <c r="AK62" s="40">
        <f t="shared" si="76"/>
        <v>6.3942331497569463E-2</v>
      </c>
      <c r="AL62" s="39">
        <v>5991</v>
      </c>
      <c r="AM62" s="39">
        <v>101352.52222790987</v>
      </c>
      <c r="AN62" s="39">
        <v>487</v>
      </c>
      <c r="AO62" s="39">
        <v>6192.2198714499973</v>
      </c>
      <c r="AP62" s="40">
        <f t="shared" si="77"/>
        <v>6.1095863579257031E-2</v>
      </c>
      <c r="AQ62" s="39">
        <v>487</v>
      </c>
      <c r="AR62" s="39">
        <v>6192.2198714499973</v>
      </c>
      <c r="AS62" s="40">
        <f t="shared" si="78"/>
        <v>6.1095863579257031E-2</v>
      </c>
      <c r="AT62" s="39">
        <v>6007</v>
      </c>
      <c r="AU62" s="39">
        <v>102598.25140975045</v>
      </c>
      <c r="AV62" s="39">
        <v>493</v>
      </c>
      <c r="AW62" s="39">
        <v>6137.3829591500007</v>
      </c>
      <c r="AX62" s="40">
        <f t="shared" si="79"/>
        <v>5.9819566852449622E-2</v>
      </c>
      <c r="AY62" s="39">
        <v>493</v>
      </c>
      <c r="AZ62" s="39">
        <v>6137.3829591500007</v>
      </c>
      <c r="BA62" s="40">
        <f t="shared" si="80"/>
        <v>5.9819566852449622E-2</v>
      </c>
      <c r="BB62" s="41">
        <v>5992</v>
      </c>
      <c r="BC62" s="41">
        <v>102674.16804047966</v>
      </c>
      <c r="BD62" s="41">
        <v>488</v>
      </c>
      <c r="BE62" s="41">
        <v>6085.5198915599985</v>
      </c>
      <c r="BF62" s="40">
        <f t="shared" si="81"/>
        <v>5.9270213800619843E-2</v>
      </c>
      <c r="BG62" s="39">
        <v>488</v>
      </c>
      <c r="BH62" s="39">
        <v>6085.5198915599985</v>
      </c>
      <c r="BI62" s="40">
        <f t="shared" si="82"/>
        <v>5.9270213800619843E-2</v>
      </c>
      <c r="BJ62" s="39">
        <v>5962</v>
      </c>
      <c r="BK62" s="39">
        <v>102601.93299722002</v>
      </c>
      <c r="BL62" s="39">
        <v>497</v>
      </c>
      <c r="BM62" s="39">
        <v>6084.555269959993</v>
      </c>
      <c r="BN62" s="40">
        <f t="shared" si="83"/>
        <v>5.9302540334448213E-2</v>
      </c>
      <c r="BO62" s="4">
        <v>497</v>
      </c>
      <c r="BP62" s="4">
        <v>6084.555269959993</v>
      </c>
      <c r="BQ62" s="40">
        <f t="shared" si="84"/>
        <v>5.9302540334448213E-2</v>
      </c>
      <c r="BR62" s="39">
        <v>5789</v>
      </c>
      <c r="BS62" s="39">
        <v>102004.82244660027</v>
      </c>
      <c r="BT62" s="39">
        <v>308</v>
      </c>
      <c r="BU62" s="39">
        <v>3212.3383061300015</v>
      </c>
      <c r="BV62" s="40">
        <f t="shared" si="85"/>
        <v>3.1492023897317867E-2</v>
      </c>
      <c r="BW62" s="4">
        <v>308</v>
      </c>
      <c r="BX62" s="4">
        <v>3212.3383061300015</v>
      </c>
      <c r="BY62" s="40">
        <f t="shared" si="86"/>
        <v>3.1492023897317867E-2</v>
      </c>
      <c r="BZ62" s="39">
        <v>5906</v>
      </c>
      <c r="CA62" s="39">
        <v>103576.32400808038</v>
      </c>
      <c r="CB62" s="39">
        <v>302</v>
      </c>
      <c r="CC62" s="39">
        <v>3143.0727923100017</v>
      </c>
      <c r="CD62" s="40">
        <f t="shared" si="87"/>
        <v>3.0345475400969036E-2</v>
      </c>
      <c r="CE62" s="4">
        <v>302</v>
      </c>
      <c r="CF62" s="4">
        <v>3143.0727923100017</v>
      </c>
      <c r="CG62" s="40">
        <f t="shared" si="88"/>
        <v>3.0345475400969036E-2</v>
      </c>
      <c r="CH62" s="39">
        <v>6023</v>
      </c>
      <c r="CI62" s="39">
        <v>106032.90058895022</v>
      </c>
      <c r="CJ62" s="39">
        <v>298</v>
      </c>
      <c r="CK62" s="39">
        <v>3119.1336911500011</v>
      </c>
      <c r="CL62" s="40">
        <f t="shared" si="89"/>
        <v>2.9416659110757637E-2</v>
      </c>
      <c r="CM62" s="4">
        <v>298</v>
      </c>
      <c r="CN62" s="4">
        <v>3119.1336911500011</v>
      </c>
      <c r="CO62" s="40">
        <f t="shared" si="90"/>
        <v>2.9416659110757637E-2</v>
      </c>
      <c r="CP62" s="39">
        <v>6081</v>
      </c>
      <c r="CQ62" s="39">
        <v>107704.93031629015</v>
      </c>
      <c r="CR62" s="39">
        <v>312</v>
      </c>
      <c r="CS62" s="39">
        <v>3601.6024484300037</v>
      </c>
      <c r="CT62" s="40">
        <f t="shared" si="91"/>
        <v>3.3439531856651404E-2</v>
      </c>
      <c r="CU62" s="4">
        <v>312</v>
      </c>
      <c r="CV62" s="4">
        <v>3601.6024484300037</v>
      </c>
      <c r="CW62" s="40">
        <f t="shared" si="92"/>
        <v>3.3439531856651404E-2</v>
      </c>
      <c r="CX62" s="42">
        <v>0</v>
      </c>
      <c r="CY62" s="42">
        <v>0</v>
      </c>
    </row>
    <row r="63" spans="1:103" s="29" customFormat="1" ht="35.1" customHeight="1" x14ac:dyDescent="0.25">
      <c r="A63" s="38">
        <f t="shared" si="93"/>
        <v>57</v>
      </c>
      <c r="B63" s="45" t="s">
        <v>2096</v>
      </c>
      <c r="C63" s="45" t="s">
        <v>2117</v>
      </c>
      <c r="D63" s="64">
        <v>11487</v>
      </c>
      <c r="E63" s="45" t="s">
        <v>2077</v>
      </c>
      <c r="F63" s="39">
        <v>4540</v>
      </c>
      <c r="G63" s="39">
        <v>116947.42947398977</v>
      </c>
      <c r="H63" s="39">
        <v>170</v>
      </c>
      <c r="I63" s="39">
        <v>1496.5568567699988</v>
      </c>
      <c r="J63" s="40">
        <f t="shared" si="70"/>
        <v>1.2796834128815524E-2</v>
      </c>
      <c r="K63" s="39">
        <v>170</v>
      </c>
      <c r="L63" s="39">
        <v>1496.5568567699988</v>
      </c>
      <c r="M63" s="40">
        <f t="shared" si="71"/>
        <v>1.2796834128815524E-2</v>
      </c>
      <c r="N63" s="39">
        <v>4590</v>
      </c>
      <c r="O63" s="39">
        <v>115612.23012603975</v>
      </c>
      <c r="P63" s="39">
        <v>192</v>
      </c>
      <c r="Q63" s="39">
        <v>1470.0919619699989</v>
      </c>
      <c r="R63" s="40">
        <f t="shared" si="72"/>
        <v>1.2715713211027187E-2</v>
      </c>
      <c r="S63" s="39">
        <v>192</v>
      </c>
      <c r="T63" s="39">
        <v>1470.0919619699989</v>
      </c>
      <c r="U63" s="40">
        <f t="shared" si="73"/>
        <v>1.2715713211027187E-2</v>
      </c>
      <c r="V63" s="39">
        <v>4624</v>
      </c>
      <c r="W63" s="39">
        <v>115466.84143566979</v>
      </c>
      <c r="X63" s="39">
        <v>203</v>
      </c>
      <c r="Y63" s="39">
        <v>1433.257203349998</v>
      </c>
      <c r="Z63" s="40">
        <f t="shared" si="13"/>
        <v>1.2412716807088818E-2</v>
      </c>
      <c r="AA63" s="39">
        <v>203</v>
      </c>
      <c r="AB63" s="39">
        <v>1433.257203349998</v>
      </c>
      <c r="AC63" s="40">
        <f t="shared" si="74"/>
        <v>1.2412716807088818E-2</v>
      </c>
      <c r="AD63" s="39">
        <v>4684</v>
      </c>
      <c r="AE63" s="39">
        <v>115175.15805611989</v>
      </c>
      <c r="AF63" s="39">
        <v>216</v>
      </c>
      <c r="AG63" s="39">
        <v>1419.7603916199985</v>
      </c>
      <c r="AH63" s="40">
        <f t="shared" si="75"/>
        <v>1.2326967165334476E-2</v>
      </c>
      <c r="AI63" s="39">
        <v>216</v>
      </c>
      <c r="AJ63" s="39">
        <v>1419.7603916199985</v>
      </c>
      <c r="AK63" s="40">
        <f t="shared" si="76"/>
        <v>1.2326967165334476E-2</v>
      </c>
      <c r="AL63" s="39">
        <v>4784</v>
      </c>
      <c r="AM63" s="39">
        <v>119886.39495371979</v>
      </c>
      <c r="AN63" s="39">
        <v>228</v>
      </c>
      <c r="AO63" s="39">
        <v>1429.0262065499985</v>
      </c>
      <c r="AP63" s="40">
        <f t="shared" si="77"/>
        <v>1.1919836334236683E-2</v>
      </c>
      <c r="AQ63" s="39">
        <v>228</v>
      </c>
      <c r="AR63" s="39">
        <v>1429.0262065499985</v>
      </c>
      <c r="AS63" s="40">
        <f t="shared" si="78"/>
        <v>1.1919836334236683E-2</v>
      </c>
      <c r="AT63" s="39">
        <v>4801</v>
      </c>
      <c r="AU63" s="39">
        <v>119608.97401087996</v>
      </c>
      <c r="AV63" s="39">
        <v>245</v>
      </c>
      <c r="AW63" s="39">
        <v>1565.721134969998</v>
      </c>
      <c r="AX63" s="40">
        <f t="shared" si="79"/>
        <v>1.3090331623675459E-2</v>
      </c>
      <c r="AY63" s="39">
        <v>245</v>
      </c>
      <c r="AZ63" s="39">
        <v>1565.721134969998</v>
      </c>
      <c r="BA63" s="40">
        <f t="shared" si="80"/>
        <v>1.3090331623675459E-2</v>
      </c>
      <c r="BB63" s="41">
        <v>4796</v>
      </c>
      <c r="BC63" s="41">
        <v>120110.84180286976</v>
      </c>
      <c r="BD63" s="41">
        <v>244</v>
      </c>
      <c r="BE63" s="41">
        <v>1534.1869539199988</v>
      </c>
      <c r="BF63" s="40">
        <f t="shared" si="81"/>
        <v>1.2773093010520747E-2</v>
      </c>
      <c r="BG63" s="39">
        <v>244</v>
      </c>
      <c r="BH63" s="39">
        <v>1534.1869539199988</v>
      </c>
      <c r="BI63" s="40">
        <f t="shared" si="82"/>
        <v>1.2773093010520747E-2</v>
      </c>
      <c r="BJ63" s="39">
        <v>4893</v>
      </c>
      <c r="BK63" s="39">
        <v>124948.65680200991</v>
      </c>
      <c r="BL63" s="39">
        <v>278</v>
      </c>
      <c r="BM63" s="39">
        <v>1718.0038508699984</v>
      </c>
      <c r="BN63" s="40">
        <f t="shared" si="83"/>
        <v>1.3749678426654066E-2</v>
      </c>
      <c r="BO63" s="4">
        <v>278</v>
      </c>
      <c r="BP63" s="4">
        <v>1718.0038508699984</v>
      </c>
      <c r="BQ63" s="40">
        <f t="shared" si="84"/>
        <v>1.3749678426654066E-2</v>
      </c>
      <c r="BR63" s="39">
        <v>4929</v>
      </c>
      <c r="BS63" s="39">
        <v>133848.39835853942</v>
      </c>
      <c r="BT63" s="39">
        <v>261</v>
      </c>
      <c r="BU63" s="39">
        <v>1250.3260270199999</v>
      </c>
      <c r="BV63" s="40">
        <f t="shared" si="85"/>
        <v>9.3413596453410987E-3</v>
      </c>
      <c r="BW63" s="4">
        <v>261</v>
      </c>
      <c r="BX63" s="4">
        <v>1250.3260270199999</v>
      </c>
      <c r="BY63" s="40">
        <f t="shared" si="86"/>
        <v>9.3413596453410987E-3</v>
      </c>
      <c r="BZ63" s="39">
        <v>5042</v>
      </c>
      <c r="CA63" s="39">
        <v>139069.26743890982</v>
      </c>
      <c r="CB63" s="39">
        <v>262</v>
      </c>
      <c r="CC63" s="39">
        <v>1234.8882114299995</v>
      </c>
      <c r="CD63" s="40">
        <f t="shared" si="87"/>
        <v>8.879662877151917E-3</v>
      </c>
      <c r="CE63" s="4">
        <v>262</v>
      </c>
      <c r="CF63" s="4">
        <v>1234.8882114299995</v>
      </c>
      <c r="CG63" s="40">
        <f t="shared" si="88"/>
        <v>8.879662877151917E-3</v>
      </c>
      <c r="CH63" s="39">
        <v>5293</v>
      </c>
      <c r="CI63" s="39">
        <v>146838.95328845995</v>
      </c>
      <c r="CJ63" s="39">
        <v>266</v>
      </c>
      <c r="CK63" s="39">
        <v>1252.1048456800002</v>
      </c>
      <c r="CL63" s="40">
        <f t="shared" si="89"/>
        <v>8.5270619112919194E-3</v>
      </c>
      <c r="CM63" s="4">
        <v>266</v>
      </c>
      <c r="CN63" s="4">
        <v>1252.1048456800002</v>
      </c>
      <c r="CO63" s="40">
        <f t="shared" si="90"/>
        <v>8.5270619112919194E-3</v>
      </c>
      <c r="CP63" s="39">
        <v>5446</v>
      </c>
      <c r="CQ63" s="39">
        <v>151046.54853053053</v>
      </c>
      <c r="CR63" s="39">
        <v>257</v>
      </c>
      <c r="CS63" s="39">
        <v>1165.6189171500014</v>
      </c>
      <c r="CT63" s="40">
        <f t="shared" si="91"/>
        <v>7.7169516846947268E-3</v>
      </c>
      <c r="CU63" s="4">
        <v>257</v>
      </c>
      <c r="CV63" s="4">
        <v>1165.6189171500014</v>
      </c>
      <c r="CW63" s="40">
        <f t="shared" si="92"/>
        <v>7.7169516846947268E-3</v>
      </c>
      <c r="CX63" s="42">
        <v>0</v>
      </c>
      <c r="CY63" s="42">
        <v>0</v>
      </c>
    </row>
    <row r="64" spans="1:103" s="29" customFormat="1" ht="35.1" customHeight="1" x14ac:dyDescent="0.25">
      <c r="A64" s="38">
        <f t="shared" si="93"/>
        <v>58</v>
      </c>
      <c r="B64" s="45" t="s">
        <v>2118</v>
      </c>
      <c r="C64" s="45" t="s">
        <v>2119</v>
      </c>
      <c r="D64" s="64">
        <v>12129</v>
      </c>
      <c r="E64" s="45" t="s">
        <v>2043</v>
      </c>
      <c r="F64" s="39">
        <v>2430</v>
      </c>
      <c r="G64" s="39">
        <v>157346.37597591011</v>
      </c>
      <c r="H64" s="39">
        <v>335</v>
      </c>
      <c r="I64" s="39">
        <v>12063.87787759001</v>
      </c>
      <c r="J64" s="40">
        <f t="shared" si="70"/>
        <v>7.667083402948538E-2</v>
      </c>
      <c r="K64" s="39">
        <v>335</v>
      </c>
      <c r="L64" s="39">
        <v>12063.87787759001</v>
      </c>
      <c r="M64" s="40">
        <f t="shared" si="71"/>
        <v>7.667083402948538E-2</v>
      </c>
      <c r="N64" s="39">
        <v>2415</v>
      </c>
      <c r="O64" s="39">
        <v>154443.68899520999</v>
      </c>
      <c r="P64" s="39">
        <v>380</v>
      </c>
      <c r="Q64" s="39">
        <v>14458.50413316001</v>
      </c>
      <c r="R64" s="40">
        <f t="shared" si="72"/>
        <v>9.3616671728220857E-2</v>
      </c>
      <c r="S64" s="39">
        <v>380</v>
      </c>
      <c r="T64" s="39">
        <v>14458.50413316001</v>
      </c>
      <c r="U64" s="40">
        <f t="shared" si="73"/>
        <v>9.3616671728220857E-2</v>
      </c>
      <c r="V64" s="39">
        <v>2505</v>
      </c>
      <c r="W64" s="39">
        <v>158217.86577282011</v>
      </c>
      <c r="X64" s="39">
        <v>397</v>
      </c>
      <c r="Y64" s="39">
        <v>18159.452689709982</v>
      </c>
      <c r="Z64" s="40">
        <f t="shared" ref="Z64:Z100" si="94">+IFERROR(Y64/W64,"")</f>
        <v>0.11477498195927223</v>
      </c>
      <c r="AA64" s="39">
        <v>397</v>
      </c>
      <c r="AB64" s="39">
        <v>18159.452689709982</v>
      </c>
      <c r="AC64" s="40">
        <f t="shared" si="74"/>
        <v>0.11477498195927223</v>
      </c>
      <c r="AD64" s="39">
        <v>2505</v>
      </c>
      <c r="AE64" s="39">
        <v>162273.91806180007</v>
      </c>
      <c r="AF64" s="39">
        <v>355</v>
      </c>
      <c r="AG64" s="39">
        <v>21160.43408794998</v>
      </c>
      <c r="AH64" s="40">
        <f t="shared" si="75"/>
        <v>0.13039947725851594</v>
      </c>
      <c r="AI64" s="39">
        <v>355</v>
      </c>
      <c r="AJ64" s="39">
        <v>21160.43408794998</v>
      </c>
      <c r="AK64" s="40">
        <f t="shared" si="76"/>
        <v>0.13039947725851594</v>
      </c>
      <c r="AL64" s="39">
        <v>2569</v>
      </c>
      <c r="AM64" s="39">
        <v>168258.70451709014</v>
      </c>
      <c r="AN64" s="39">
        <v>342</v>
      </c>
      <c r="AO64" s="39">
        <v>20442.260015449971</v>
      </c>
      <c r="AP64" s="40">
        <f t="shared" si="77"/>
        <v>0.12149303106855691</v>
      </c>
      <c r="AQ64" s="39">
        <v>342</v>
      </c>
      <c r="AR64" s="39">
        <v>20442.260015449971</v>
      </c>
      <c r="AS64" s="40">
        <f t="shared" si="78"/>
        <v>0.12149303106855691</v>
      </c>
      <c r="AT64" s="39">
        <v>2625</v>
      </c>
      <c r="AU64" s="39">
        <v>174761.13846354024</v>
      </c>
      <c r="AV64" s="39">
        <v>339</v>
      </c>
      <c r="AW64" s="39">
        <v>17942.37221877</v>
      </c>
      <c r="AX64" s="40">
        <f t="shared" si="79"/>
        <v>0.10266797513746599</v>
      </c>
      <c r="AY64" s="39">
        <v>339</v>
      </c>
      <c r="AZ64" s="39">
        <v>17942.37221877</v>
      </c>
      <c r="BA64" s="40">
        <f t="shared" si="80"/>
        <v>0.10266797513746599</v>
      </c>
      <c r="BB64" s="41">
        <v>2629</v>
      </c>
      <c r="BC64" s="41">
        <v>177655.9059706899</v>
      </c>
      <c r="BD64" s="41">
        <v>313</v>
      </c>
      <c r="BE64" s="41">
        <v>16270.304045090006</v>
      </c>
      <c r="BF64" s="40">
        <f t="shared" si="81"/>
        <v>9.1583243214972659E-2</v>
      </c>
      <c r="BG64" s="39">
        <v>313</v>
      </c>
      <c r="BH64" s="39">
        <v>16270.304045090006</v>
      </c>
      <c r="BI64" s="40">
        <f t="shared" si="82"/>
        <v>9.1583243214972659E-2</v>
      </c>
      <c r="BJ64" s="39">
        <v>2660</v>
      </c>
      <c r="BK64" s="39">
        <v>179056.45800984034</v>
      </c>
      <c r="BL64" s="39">
        <v>328</v>
      </c>
      <c r="BM64" s="39">
        <v>16635.508522420008</v>
      </c>
      <c r="BN64" s="40">
        <f t="shared" si="83"/>
        <v>9.290649835989595E-2</v>
      </c>
      <c r="BO64" s="4">
        <v>328</v>
      </c>
      <c r="BP64" s="4">
        <v>16635.508522420008</v>
      </c>
      <c r="BQ64" s="40">
        <f t="shared" si="84"/>
        <v>9.290649835989595E-2</v>
      </c>
      <c r="BR64" s="39">
        <v>2709</v>
      </c>
      <c r="BS64" s="39">
        <v>179707.37805252033</v>
      </c>
      <c r="BT64" s="39">
        <v>327</v>
      </c>
      <c r="BU64" s="39">
        <v>17347.585397250001</v>
      </c>
      <c r="BV64" s="40">
        <f t="shared" si="85"/>
        <v>9.6532404986622675E-2</v>
      </c>
      <c r="BW64" s="4">
        <v>327</v>
      </c>
      <c r="BX64" s="4">
        <v>17347.585397250001</v>
      </c>
      <c r="BY64" s="40">
        <f t="shared" si="86"/>
        <v>9.6532404986622675E-2</v>
      </c>
      <c r="BZ64" s="39">
        <v>2801</v>
      </c>
      <c r="CA64" s="39">
        <v>184372.89111156008</v>
      </c>
      <c r="CB64" s="39">
        <v>330</v>
      </c>
      <c r="CC64" s="39">
        <v>17754.588094729999</v>
      </c>
      <c r="CD64" s="40">
        <f t="shared" si="87"/>
        <v>9.6297172473078368E-2</v>
      </c>
      <c r="CE64" s="4">
        <v>330</v>
      </c>
      <c r="CF64" s="4">
        <v>17754.588094729999</v>
      </c>
      <c r="CG64" s="40">
        <f t="shared" si="88"/>
        <v>9.6297172473078368E-2</v>
      </c>
      <c r="CH64" s="39">
        <v>2907</v>
      </c>
      <c r="CI64" s="39">
        <v>186792.90955677963</v>
      </c>
      <c r="CJ64" s="39">
        <v>346</v>
      </c>
      <c r="CK64" s="39">
        <v>17725.699870920005</v>
      </c>
      <c r="CL64" s="40">
        <f t="shared" si="89"/>
        <v>9.489492889735146E-2</v>
      </c>
      <c r="CM64" s="4">
        <v>346</v>
      </c>
      <c r="CN64" s="4">
        <v>17725.699870920005</v>
      </c>
      <c r="CO64" s="40">
        <f t="shared" si="90"/>
        <v>9.489492889735146E-2</v>
      </c>
      <c r="CP64" s="39">
        <v>2991</v>
      </c>
      <c r="CQ64" s="39">
        <v>188421.30843202956</v>
      </c>
      <c r="CR64" s="39">
        <v>351</v>
      </c>
      <c r="CS64" s="39">
        <v>17712.444775460011</v>
      </c>
      <c r="CT64" s="40">
        <f t="shared" si="91"/>
        <v>9.4004467556542501E-2</v>
      </c>
      <c r="CU64" s="4">
        <v>351</v>
      </c>
      <c r="CV64" s="4">
        <v>17712.444775460011</v>
      </c>
      <c r="CW64" s="40">
        <f t="shared" si="92"/>
        <v>9.4004467556542501E-2</v>
      </c>
      <c r="CX64" s="42">
        <v>0</v>
      </c>
      <c r="CY64" s="42">
        <v>0</v>
      </c>
    </row>
    <row r="65" spans="1:103" s="29" customFormat="1" ht="35.1" customHeight="1" x14ac:dyDescent="0.25">
      <c r="A65" s="38">
        <f t="shared" si="93"/>
        <v>59</v>
      </c>
      <c r="B65" s="45" t="s">
        <v>2118</v>
      </c>
      <c r="C65" s="45" t="s">
        <v>2120</v>
      </c>
      <c r="D65" s="64">
        <v>10820</v>
      </c>
      <c r="E65" s="45" t="s">
        <v>2039</v>
      </c>
      <c r="F65" s="39">
        <v>4305</v>
      </c>
      <c r="G65" s="39">
        <v>308327.37510223006</v>
      </c>
      <c r="H65" s="39">
        <v>836</v>
      </c>
      <c r="I65" s="39">
        <v>11797.70209721</v>
      </c>
      <c r="J65" s="40">
        <f t="shared" ref="J65:J100" si="95">+IFERROR(I65/G65,"")</f>
        <v>3.8263557017272028E-2</v>
      </c>
      <c r="K65" s="39">
        <v>836</v>
      </c>
      <c r="L65" s="39">
        <v>11797.70209721</v>
      </c>
      <c r="M65" s="40">
        <f t="shared" ref="M65:M100" si="96">+IFERROR(L65/(G65-(I65-L65)),"")</f>
        <v>3.8263557017272028E-2</v>
      </c>
      <c r="N65" s="39">
        <v>4338</v>
      </c>
      <c r="O65" s="39">
        <v>311581.98046490987</v>
      </c>
      <c r="P65" s="39">
        <v>944</v>
      </c>
      <c r="Q65" s="39">
        <v>24158.328691840008</v>
      </c>
      <c r="R65" s="40">
        <f t="shared" ref="R65:R100" si="97">+IFERROR(Q65/O65,"")</f>
        <v>7.7534421778157683E-2</v>
      </c>
      <c r="S65" s="39">
        <v>944</v>
      </c>
      <c r="T65" s="39">
        <v>24158.328691840008</v>
      </c>
      <c r="U65" s="40">
        <f t="shared" ref="U65:U100" si="98">+IFERROR(T65/(O65-(Q65-T65)),"")</f>
        <v>7.7534421778157683E-2</v>
      </c>
      <c r="V65" s="39">
        <v>4621</v>
      </c>
      <c r="W65" s="39">
        <v>317765.0996335111</v>
      </c>
      <c r="X65" s="39">
        <v>950</v>
      </c>
      <c r="Y65" s="39">
        <v>19960.659857440005</v>
      </c>
      <c r="Z65" s="40">
        <f t="shared" si="94"/>
        <v>6.2815771399884021E-2</v>
      </c>
      <c r="AA65" s="39">
        <v>950</v>
      </c>
      <c r="AB65" s="39">
        <v>19960.659857440005</v>
      </c>
      <c r="AC65" s="40">
        <f t="shared" ref="AC65:AC100" si="99">+IFERROR(AB65/(W65-(Y65-AB65)),"")</f>
        <v>6.2815771399884021E-2</v>
      </c>
      <c r="AD65" s="39">
        <v>4773</v>
      </c>
      <c r="AE65" s="39">
        <v>326429.72465849872</v>
      </c>
      <c r="AF65" s="39">
        <v>862</v>
      </c>
      <c r="AG65" s="39">
        <v>23469.519578340027</v>
      </c>
      <c r="AH65" s="40">
        <f t="shared" ref="AH65:AH100" si="100">+IFERROR(AG65/AE65,"")</f>
        <v>7.1897617788616391E-2</v>
      </c>
      <c r="AI65" s="39">
        <v>862</v>
      </c>
      <c r="AJ65" s="39">
        <v>23469.519578340027</v>
      </c>
      <c r="AK65" s="40">
        <f t="shared" ref="AK65:AK100" si="101">+IFERROR(AJ65/(AE65-(AG65-AJ65)),"")</f>
        <v>7.1897617788616391E-2</v>
      </c>
      <c r="AL65" s="39">
        <v>5120</v>
      </c>
      <c r="AM65" s="39">
        <v>341628.34323472914</v>
      </c>
      <c r="AN65" s="39">
        <v>837</v>
      </c>
      <c r="AO65" s="39">
        <v>21712.782629150013</v>
      </c>
      <c r="AP65" s="40">
        <f t="shared" ref="AP65:AP100" si="102">+IFERROR(AO65/AM65,"")</f>
        <v>6.3556736609033035E-2</v>
      </c>
      <c r="AQ65" s="39">
        <v>837</v>
      </c>
      <c r="AR65" s="39">
        <v>21712.782629150013</v>
      </c>
      <c r="AS65" s="40">
        <f t="shared" ref="AS65:AS100" si="103">+IFERROR(AR65/(AM65-(AO65-AR65)),"")</f>
        <v>6.3556736609033035E-2</v>
      </c>
      <c r="AT65" s="39">
        <v>5334</v>
      </c>
      <c r="AU65" s="39">
        <v>351091.62343647273</v>
      </c>
      <c r="AV65" s="39">
        <v>825</v>
      </c>
      <c r="AW65" s="39">
        <v>21684.250051430012</v>
      </c>
      <c r="AX65" s="40">
        <f t="shared" ref="AX65:AX100" si="104">+IFERROR(AW65/AU65,"")</f>
        <v>6.1762368008627833E-2</v>
      </c>
      <c r="AY65" s="39">
        <v>825</v>
      </c>
      <c r="AZ65" s="39">
        <v>21684.250051430012</v>
      </c>
      <c r="BA65" s="40">
        <f t="shared" ref="BA65:BA100" si="105">+IFERROR(AZ65/(AU65-(AW65-AZ65)),"")</f>
        <v>6.1762368008627833E-2</v>
      </c>
      <c r="BB65" s="41">
        <v>5428</v>
      </c>
      <c r="BC65" s="41">
        <v>354602.776702011</v>
      </c>
      <c r="BD65" s="41">
        <v>832</v>
      </c>
      <c r="BE65" s="41">
        <v>21409.261062360023</v>
      </c>
      <c r="BF65" s="40">
        <f t="shared" ref="BF65:BF100" si="106">+IFERROR(BE65/BC65,"")</f>
        <v>6.0375333948248261E-2</v>
      </c>
      <c r="BG65" s="39">
        <v>832</v>
      </c>
      <c r="BH65" s="39">
        <v>21409.261062360023</v>
      </c>
      <c r="BI65" s="40">
        <f t="shared" ref="BI65:BI100" si="107">+IFERROR(BH65/(BC65-(BE65-BH65)),"")</f>
        <v>6.0375333948248261E-2</v>
      </c>
      <c r="BJ65" s="39">
        <v>5585</v>
      </c>
      <c r="BK65" s="39">
        <v>358669.75839461986</v>
      </c>
      <c r="BL65" s="39">
        <v>845</v>
      </c>
      <c r="BM65" s="39">
        <v>21418.176429690004</v>
      </c>
      <c r="BN65" s="40">
        <f t="shared" ref="BN65:BN100" si="108">+IFERROR(BM65/BK65,"")</f>
        <v>5.9715590535305313E-2</v>
      </c>
      <c r="BO65" s="4">
        <v>845</v>
      </c>
      <c r="BP65" s="4">
        <v>21418.176429690004</v>
      </c>
      <c r="BQ65" s="40">
        <f t="shared" ref="BQ65:BQ100" si="109">+IFERROR(BP65/(BK65-(BM65-BP65)),"")</f>
        <v>5.9715590535305313E-2</v>
      </c>
      <c r="BR65" s="39">
        <v>5661</v>
      </c>
      <c r="BS65" s="39">
        <v>360026.65720422007</v>
      </c>
      <c r="BT65" s="39">
        <v>982</v>
      </c>
      <c r="BU65" s="39">
        <v>28799.001434370002</v>
      </c>
      <c r="BV65" s="40">
        <f t="shared" ref="BV65:BV100" si="110">+IFERROR(BU65/BS65,"")</f>
        <v>7.9991303027414917E-2</v>
      </c>
      <c r="BW65" s="4">
        <v>982</v>
      </c>
      <c r="BX65" s="4">
        <v>28799.001434370002</v>
      </c>
      <c r="BY65" s="40">
        <f t="shared" ref="BY65:BY100" si="111">+IFERROR(BX65/(BS65-(BU65-BX65)),"")</f>
        <v>7.9991303027414917E-2</v>
      </c>
      <c r="BZ65" s="39">
        <v>5769</v>
      </c>
      <c r="CA65" s="39">
        <v>363233.62271930114</v>
      </c>
      <c r="CB65" s="39">
        <v>1077</v>
      </c>
      <c r="CC65" s="39">
        <v>36395.033348969977</v>
      </c>
      <c r="CD65" s="40">
        <f t="shared" ref="CD65:CD100" si="112">+IFERROR(CC65/CA65,"")</f>
        <v>0.10019731399451215</v>
      </c>
      <c r="CE65" s="4">
        <v>1077</v>
      </c>
      <c r="CF65" s="4">
        <v>36395.033348969977</v>
      </c>
      <c r="CG65" s="40">
        <f t="shared" ref="CG65:CG100" si="113">+IFERROR(CF65/(CA65-(CC65-CF65)),"")</f>
        <v>0.10019731399451215</v>
      </c>
      <c r="CH65" s="39">
        <v>6162</v>
      </c>
      <c r="CI65" s="39">
        <v>379139.15175629128</v>
      </c>
      <c r="CJ65" s="39">
        <v>1239</v>
      </c>
      <c r="CK65" s="39">
        <v>44124.41505625999</v>
      </c>
      <c r="CL65" s="40">
        <f t="shared" ref="CL65:CL100" si="114">+IFERROR(CK65/CI65,"")</f>
        <v>0.11638052902703896</v>
      </c>
      <c r="CM65" s="4">
        <v>1239</v>
      </c>
      <c r="CN65" s="4">
        <v>44124.41505625999</v>
      </c>
      <c r="CO65" s="40">
        <f t="shared" ref="CO65:CO100" si="115">+IFERROR(CN65/(CI65-(CK65-CN65)),"")</f>
        <v>0.11638052902703896</v>
      </c>
      <c r="CP65" s="39">
        <v>6440</v>
      </c>
      <c r="CQ65" s="39">
        <v>386001.27212810941</v>
      </c>
      <c r="CR65" s="39">
        <v>1368</v>
      </c>
      <c r="CS65" s="39">
        <v>52562.353774589988</v>
      </c>
      <c r="CT65" s="40">
        <f t="shared" ref="CT65:CT100" si="116">+IFERROR(CS65/CQ65,"")</f>
        <v>0.13617145219445065</v>
      </c>
      <c r="CU65" s="4">
        <v>1368</v>
      </c>
      <c r="CV65" s="4">
        <v>52562.353774589988</v>
      </c>
      <c r="CW65" s="40">
        <f t="shared" ref="CW65:CW100" si="117">+IFERROR(CV65/(CQ65-(CS65-CV65)),"")</f>
        <v>0.13617145219445065</v>
      </c>
      <c r="CX65" s="42">
        <v>0</v>
      </c>
      <c r="CY65" s="42">
        <v>0</v>
      </c>
    </row>
    <row r="66" spans="1:103" s="29" customFormat="1" ht="35.1" customHeight="1" x14ac:dyDescent="0.25">
      <c r="A66" s="38">
        <f t="shared" si="93"/>
        <v>60</v>
      </c>
      <c r="B66" s="45" t="s">
        <v>2118</v>
      </c>
      <c r="C66" s="45" t="s">
        <v>2121</v>
      </c>
      <c r="D66" s="64">
        <v>10819</v>
      </c>
      <c r="E66" s="45" t="s">
        <v>2100</v>
      </c>
      <c r="F66" s="39">
        <v>3739</v>
      </c>
      <c r="G66" s="39">
        <v>203952.85188596018</v>
      </c>
      <c r="H66" s="39">
        <v>433</v>
      </c>
      <c r="I66" s="39">
        <v>5266.1086183599991</v>
      </c>
      <c r="J66" s="40">
        <f t="shared" si="95"/>
        <v>2.5820225457325464E-2</v>
      </c>
      <c r="K66" s="39">
        <v>433</v>
      </c>
      <c r="L66" s="39">
        <v>5266.1086183599991</v>
      </c>
      <c r="M66" s="40">
        <f t="shared" si="96"/>
        <v>2.5820225457325464E-2</v>
      </c>
      <c r="N66" s="39">
        <v>3822</v>
      </c>
      <c r="O66" s="39">
        <v>209794.94829529992</v>
      </c>
      <c r="P66" s="39">
        <v>445</v>
      </c>
      <c r="Q66" s="39">
        <v>8515.1255997499975</v>
      </c>
      <c r="R66" s="40">
        <f t="shared" si="97"/>
        <v>4.0587848606175252E-2</v>
      </c>
      <c r="S66" s="39">
        <v>445</v>
      </c>
      <c r="T66" s="39">
        <v>8515.1255997499975</v>
      </c>
      <c r="U66" s="40">
        <f t="shared" si="98"/>
        <v>4.0587848606175252E-2</v>
      </c>
      <c r="V66" s="39">
        <v>4097</v>
      </c>
      <c r="W66" s="39">
        <v>218631.67681814972</v>
      </c>
      <c r="X66" s="39">
        <v>447</v>
      </c>
      <c r="Y66" s="39">
        <v>9122.9991267799942</v>
      </c>
      <c r="Z66" s="40">
        <f t="shared" si="94"/>
        <v>4.1727709632708852E-2</v>
      </c>
      <c r="AA66" s="39">
        <v>447</v>
      </c>
      <c r="AB66" s="39">
        <v>9122.9991267799942</v>
      </c>
      <c r="AC66" s="40">
        <f t="shared" si="99"/>
        <v>4.1727709632708852E-2</v>
      </c>
      <c r="AD66" s="39">
        <v>4111</v>
      </c>
      <c r="AE66" s="39">
        <v>224776.48634847085</v>
      </c>
      <c r="AF66" s="39">
        <v>323</v>
      </c>
      <c r="AG66" s="39">
        <v>8190.9975901499993</v>
      </c>
      <c r="AH66" s="40">
        <f t="shared" si="100"/>
        <v>3.6440633641062883E-2</v>
      </c>
      <c r="AI66" s="39">
        <v>323</v>
      </c>
      <c r="AJ66" s="39">
        <v>8190.9975901499993</v>
      </c>
      <c r="AK66" s="40">
        <f t="shared" si="101"/>
        <v>3.6440633641062883E-2</v>
      </c>
      <c r="AL66" s="39">
        <v>4137</v>
      </c>
      <c r="AM66" s="39">
        <v>229048.67299788998</v>
      </c>
      <c r="AN66" s="39">
        <v>327</v>
      </c>
      <c r="AO66" s="39">
        <v>8154.6042557199971</v>
      </c>
      <c r="AP66" s="40">
        <f t="shared" si="102"/>
        <v>3.5602058501317396E-2</v>
      </c>
      <c r="AQ66" s="39">
        <v>327</v>
      </c>
      <c r="AR66" s="39">
        <v>8154.6042557199971</v>
      </c>
      <c r="AS66" s="40">
        <f t="shared" si="103"/>
        <v>3.5602058501317396E-2</v>
      </c>
      <c r="AT66" s="39">
        <v>4182</v>
      </c>
      <c r="AU66" s="39">
        <v>238954.74021686998</v>
      </c>
      <c r="AV66" s="39">
        <v>316</v>
      </c>
      <c r="AW66" s="39">
        <v>8123.1274114899961</v>
      </c>
      <c r="AX66" s="40">
        <f t="shared" si="104"/>
        <v>3.3994418374448762E-2</v>
      </c>
      <c r="AY66" s="39">
        <v>316</v>
      </c>
      <c r="AZ66" s="39">
        <v>8123.1274114899961</v>
      </c>
      <c r="BA66" s="40">
        <f t="shared" si="105"/>
        <v>3.3994418374448762E-2</v>
      </c>
      <c r="BB66" s="41">
        <v>4234</v>
      </c>
      <c r="BC66" s="41">
        <v>259311.36759101012</v>
      </c>
      <c r="BD66" s="41">
        <v>327</v>
      </c>
      <c r="BE66" s="41">
        <v>7990.2491841099954</v>
      </c>
      <c r="BF66" s="40">
        <f t="shared" si="106"/>
        <v>3.081333941638972E-2</v>
      </c>
      <c r="BG66" s="39">
        <v>327</v>
      </c>
      <c r="BH66" s="39">
        <v>7990.2491841099954</v>
      </c>
      <c r="BI66" s="40">
        <f t="shared" si="107"/>
        <v>3.081333941638972E-2</v>
      </c>
      <c r="BJ66" s="39">
        <v>4258</v>
      </c>
      <c r="BK66" s="39">
        <v>258896.28434902994</v>
      </c>
      <c r="BL66" s="39">
        <v>341</v>
      </c>
      <c r="BM66" s="39">
        <v>10464.815140460001</v>
      </c>
      <c r="BN66" s="40">
        <f t="shared" si="108"/>
        <v>4.0420878062320524E-2</v>
      </c>
      <c r="BO66" s="4">
        <v>341</v>
      </c>
      <c r="BP66" s="4">
        <v>10464.815140460001</v>
      </c>
      <c r="BQ66" s="40">
        <f t="shared" si="109"/>
        <v>4.0420878062320524E-2</v>
      </c>
      <c r="BR66" s="39">
        <v>4364</v>
      </c>
      <c r="BS66" s="39">
        <v>261161.33069899047</v>
      </c>
      <c r="BT66" s="39">
        <v>336</v>
      </c>
      <c r="BU66" s="39">
        <v>9979.1981256399995</v>
      </c>
      <c r="BV66" s="40">
        <f t="shared" si="110"/>
        <v>3.8210856480670304E-2</v>
      </c>
      <c r="BW66" s="4">
        <v>336</v>
      </c>
      <c r="BX66" s="4">
        <v>9979.1981256399995</v>
      </c>
      <c r="BY66" s="40">
        <f t="shared" si="111"/>
        <v>3.8210856480670304E-2</v>
      </c>
      <c r="BZ66" s="39">
        <v>4555</v>
      </c>
      <c r="CA66" s="39">
        <v>265036.91475930094</v>
      </c>
      <c r="CB66" s="39">
        <v>369</v>
      </c>
      <c r="CC66" s="39">
        <v>10920.250543769998</v>
      </c>
      <c r="CD66" s="40">
        <f t="shared" si="112"/>
        <v>4.1202753034185684E-2</v>
      </c>
      <c r="CE66" s="4">
        <v>369</v>
      </c>
      <c r="CF66" s="4">
        <v>10920.250543769998</v>
      </c>
      <c r="CG66" s="40">
        <f t="shared" si="113"/>
        <v>4.1202753034185684E-2</v>
      </c>
      <c r="CH66" s="39">
        <v>4820</v>
      </c>
      <c r="CI66" s="39">
        <v>271343.2658431204</v>
      </c>
      <c r="CJ66" s="39">
        <v>391</v>
      </c>
      <c r="CK66" s="39">
        <v>13171.801520989993</v>
      </c>
      <c r="CL66" s="40">
        <f t="shared" si="114"/>
        <v>4.8542946072615605E-2</v>
      </c>
      <c r="CM66" s="4">
        <v>391</v>
      </c>
      <c r="CN66" s="4">
        <v>13171.801520989993</v>
      </c>
      <c r="CO66" s="40">
        <f t="shared" si="115"/>
        <v>4.8542946072615605E-2</v>
      </c>
      <c r="CP66" s="39">
        <v>5014</v>
      </c>
      <c r="CQ66" s="39">
        <v>277745.41809794976</v>
      </c>
      <c r="CR66" s="39">
        <v>393</v>
      </c>
      <c r="CS66" s="39">
        <v>13748.719431539997</v>
      </c>
      <c r="CT66" s="40">
        <f t="shared" si="116"/>
        <v>4.9501156583225327E-2</v>
      </c>
      <c r="CU66" s="4">
        <v>393</v>
      </c>
      <c r="CV66" s="4">
        <v>13748.719431539997</v>
      </c>
      <c r="CW66" s="40">
        <f t="shared" si="117"/>
        <v>4.9501156583225327E-2</v>
      </c>
      <c r="CX66" s="42">
        <v>0</v>
      </c>
      <c r="CY66" s="42">
        <v>0</v>
      </c>
    </row>
    <row r="67" spans="1:103" s="29" customFormat="1" ht="35.1" customHeight="1" x14ac:dyDescent="0.25">
      <c r="A67" s="38">
        <f t="shared" si="93"/>
        <v>61</v>
      </c>
      <c r="B67" s="45" t="s">
        <v>2118</v>
      </c>
      <c r="C67" s="45" t="s">
        <v>2122</v>
      </c>
      <c r="D67" s="64">
        <v>10818</v>
      </c>
      <c r="E67" s="45" t="s">
        <v>2035</v>
      </c>
      <c r="F67" s="39">
        <v>7346</v>
      </c>
      <c r="G67" s="39">
        <v>826654.9647299645</v>
      </c>
      <c r="H67" s="39">
        <v>1230</v>
      </c>
      <c r="I67" s="39">
        <v>51545.695614019933</v>
      </c>
      <c r="J67" s="40">
        <f t="shared" si="95"/>
        <v>6.235454671328064E-2</v>
      </c>
      <c r="K67" s="39">
        <v>1230</v>
      </c>
      <c r="L67" s="39">
        <v>51545.695614019933</v>
      </c>
      <c r="M67" s="40">
        <f t="shared" si="96"/>
        <v>6.235454671328064E-2</v>
      </c>
      <c r="N67" s="39">
        <v>7386</v>
      </c>
      <c r="O67" s="39">
        <v>827979.89433571987</v>
      </c>
      <c r="P67" s="39">
        <v>1337</v>
      </c>
      <c r="Q67" s="39">
        <v>53449.508021249967</v>
      </c>
      <c r="R67" s="40">
        <f t="shared" si="97"/>
        <v>6.4554113435486241E-2</v>
      </c>
      <c r="S67" s="39">
        <v>1337</v>
      </c>
      <c r="T67" s="39">
        <v>53449.508021249967</v>
      </c>
      <c r="U67" s="40">
        <f t="shared" si="98"/>
        <v>6.4554113435486241E-2</v>
      </c>
      <c r="V67" s="39">
        <v>7529</v>
      </c>
      <c r="W67" s="39">
        <v>833652.24066098419</v>
      </c>
      <c r="X67" s="39">
        <v>1334</v>
      </c>
      <c r="Y67" s="39">
        <v>58537.850662089906</v>
      </c>
      <c r="Z67" s="40">
        <f t="shared" si="94"/>
        <v>7.0218548942754061E-2</v>
      </c>
      <c r="AA67" s="39">
        <v>1334</v>
      </c>
      <c r="AB67" s="39">
        <v>58537.850662089906</v>
      </c>
      <c r="AC67" s="40">
        <f t="shared" si="99"/>
        <v>7.0218548942754061E-2</v>
      </c>
      <c r="AD67" s="39">
        <v>7400</v>
      </c>
      <c r="AE67" s="39">
        <v>837183.09893890633</v>
      </c>
      <c r="AF67" s="39">
        <v>1143</v>
      </c>
      <c r="AG67" s="39">
        <v>63709.351431929957</v>
      </c>
      <c r="AH67" s="40">
        <f t="shared" si="100"/>
        <v>7.6099662681531469E-2</v>
      </c>
      <c r="AI67" s="39">
        <v>1143</v>
      </c>
      <c r="AJ67" s="39">
        <v>63709.351431929957</v>
      </c>
      <c r="AK67" s="40">
        <f t="shared" si="101"/>
        <v>7.6099662681531469E-2</v>
      </c>
      <c r="AL67" s="39">
        <v>7491</v>
      </c>
      <c r="AM67" s="39">
        <v>840672.9130408963</v>
      </c>
      <c r="AN67" s="39">
        <v>1120</v>
      </c>
      <c r="AO67" s="39">
        <v>59503.659550199976</v>
      </c>
      <c r="AP67" s="40">
        <f t="shared" si="102"/>
        <v>7.078098821450346E-2</v>
      </c>
      <c r="AQ67" s="39">
        <v>1120</v>
      </c>
      <c r="AR67" s="39">
        <v>59503.659550199976</v>
      </c>
      <c r="AS67" s="40">
        <f t="shared" si="103"/>
        <v>7.078098821450346E-2</v>
      </c>
      <c r="AT67" s="39">
        <v>7545</v>
      </c>
      <c r="AU67" s="39">
        <v>837484.10945671762</v>
      </c>
      <c r="AV67" s="39">
        <v>1129</v>
      </c>
      <c r="AW67" s="39">
        <v>63048.881830509956</v>
      </c>
      <c r="AX67" s="40">
        <f t="shared" si="104"/>
        <v>7.5283675377924783E-2</v>
      </c>
      <c r="AY67" s="39">
        <v>1129</v>
      </c>
      <c r="AZ67" s="39">
        <v>63048.881830509956</v>
      </c>
      <c r="BA67" s="40">
        <f t="shared" si="105"/>
        <v>7.5283675377924783E-2</v>
      </c>
      <c r="BB67" s="41">
        <v>7573</v>
      </c>
      <c r="BC67" s="41">
        <v>827306.12680149137</v>
      </c>
      <c r="BD67" s="41">
        <v>1087</v>
      </c>
      <c r="BE67" s="41">
        <v>56066.487420929996</v>
      </c>
      <c r="BF67" s="40">
        <f t="shared" si="106"/>
        <v>6.776994102254838E-2</v>
      </c>
      <c r="BG67" s="39">
        <v>1087</v>
      </c>
      <c r="BH67" s="39">
        <v>56066.487420929996</v>
      </c>
      <c r="BI67" s="40">
        <f t="shared" si="107"/>
        <v>6.776994102254838E-2</v>
      </c>
      <c r="BJ67" s="39">
        <v>7645</v>
      </c>
      <c r="BK67" s="39">
        <v>764578.81707694253</v>
      </c>
      <c r="BL67" s="39">
        <v>1177</v>
      </c>
      <c r="BM67" s="39">
        <v>66151.30673965998</v>
      </c>
      <c r="BN67" s="40">
        <f t="shared" si="108"/>
        <v>8.6519931316646606E-2</v>
      </c>
      <c r="BO67" s="4">
        <v>1177</v>
      </c>
      <c r="BP67" s="4">
        <v>66151.30673965998</v>
      </c>
      <c r="BQ67" s="40">
        <f t="shared" si="109"/>
        <v>8.6519931316646606E-2</v>
      </c>
      <c r="BR67" s="39">
        <v>7722</v>
      </c>
      <c r="BS67" s="39">
        <v>755932.39863150124</v>
      </c>
      <c r="BT67" s="39">
        <v>1193</v>
      </c>
      <c r="BU67" s="39">
        <v>63405.727352629983</v>
      </c>
      <c r="BV67" s="40">
        <f t="shared" si="110"/>
        <v>8.3877510035839514E-2</v>
      </c>
      <c r="BW67" s="4">
        <v>1193</v>
      </c>
      <c r="BX67" s="4">
        <v>63405.727352629983</v>
      </c>
      <c r="BY67" s="40">
        <f t="shared" si="111"/>
        <v>8.3877510035839514E-2</v>
      </c>
      <c r="BZ67" s="39">
        <v>7863</v>
      </c>
      <c r="CA67" s="39">
        <v>753518.82471571816</v>
      </c>
      <c r="CB67" s="39">
        <v>1216</v>
      </c>
      <c r="CC67" s="39">
        <v>64814.584216899973</v>
      </c>
      <c r="CD67" s="40">
        <f t="shared" si="112"/>
        <v>8.6015879220207578E-2</v>
      </c>
      <c r="CE67" s="4">
        <v>1216</v>
      </c>
      <c r="CF67" s="4">
        <v>64814.584216899973</v>
      </c>
      <c r="CG67" s="40">
        <f t="shared" si="113"/>
        <v>8.6015879220207578E-2</v>
      </c>
      <c r="CH67" s="39">
        <v>8075</v>
      </c>
      <c r="CI67" s="39">
        <v>759302.77750928258</v>
      </c>
      <c r="CJ67" s="39">
        <v>1285</v>
      </c>
      <c r="CK67" s="39">
        <v>70172.233015469843</v>
      </c>
      <c r="CL67" s="40">
        <f t="shared" si="114"/>
        <v>9.2416668414744441E-2</v>
      </c>
      <c r="CM67" s="4">
        <v>1285</v>
      </c>
      <c r="CN67" s="4">
        <v>70172.233015469843</v>
      </c>
      <c r="CO67" s="40">
        <f t="shared" si="115"/>
        <v>9.2416668414744441E-2</v>
      </c>
      <c r="CP67" s="39">
        <v>8347</v>
      </c>
      <c r="CQ67" s="39">
        <v>766736.78248115024</v>
      </c>
      <c r="CR67" s="39">
        <v>1290</v>
      </c>
      <c r="CS67" s="39">
        <v>70595.772548479959</v>
      </c>
      <c r="CT67" s="40">
        <f t="shared" si="116"/>
        <v>9.2073021878555192E-2</v>
      </c>
      <c r="CU67" s="4">
        <v>1290</v>
      </c>
      <c r="CV67" s="4">
        <v>70595.772548479959</v>
      </c>
      <c r="CW67" s="40">
        <f t="shared" si="117"/>
        <v>9.2073021878555192E-2</v>
      </c>
      <c r="CX67" s="42">
        <v>0</v>
      </c>
      <c r="CY67" s="42">
        <v>0</v>
      </c>
    </row>
    <row r="68" spans="1:103" s="29" customFormat="1" ht="35.1" customHeight="1" x14ac:dyDescent="0.25">
      <c r="A68" s="38">
        <f t="shared" si="93"/>
        <v>62</v>
      </c>
      <c r="B68" s="45" t="s">
        <v>2123</v>
      </c>
      <c r="C68" s="45" t="s">
        <v>2124</v>
      </c>
      <c r="D68" s="64">
        <v>11291</v>
      </c>
      <c r="E68" s="45" t="s">
        <v>2107</v>
      </c>
      <c r="F68" s="39">
        <v>3535</v>
      </c>
      <c r="G68" s="39">
        <v>1127758.7276031759</v>
      </c>
      <c r="H68" s="39">
        <v>41</v>
      </c>
      <c r="I68" s="39">
        <v>1564.5325956300005</v>
      </c>
      <c r="J68" s="40">
        <f t="shared" si="95"/>
        <v>1.387293715700254E-3</v>
      </c>
      <c r="K68" s="39">
        <v>41</v>
      </c>
      <c r="L68" s="39">
        <v>1564.5325956300005</v>
      </c>
      <c r="M68" s="40">
        <f t="shared" si="96"/>
        <v>1.387293715700254E-3</v>
      </c>
      <c r="N68" s="39">
        <v>3461</v>
      </c>
      <c r="O68" s="39">
        <v>1098370.2217834999</v>
      </c>
      <c r="P68" s="39">
        <v>58</v>
      </c>
      <c r="Q68" s="39">
        <v>3157.8422634700009</v>
      </c>
      <c r="R68" s="40">
        <f t="shared" si="97"/>
        <v>2.8750253792773016E-3</v>
      </c>
      <c r="S68" s="39">
        <v>58</v>
      </c>
      <c r="T68" s="39">
        <v>3157.8422634700009</v>
      </c>
      <c r="U68" s="40">
        <f t="shared" si="98"/>
        <v>2.8750253792773016E-3</v>
      </c>
      <c r="V68" s="39">
        <v>3397</v>
      </c>
      <c r="W68" s="39">
        <v>1091686.6761607104</v>
      </c>
      <c r="X68" s="39">
        <v>39</v>
      </c>
      <c r="Y68" s="39">
        <v>1711.7268470100007</v>
      </c>
      <c r="Z68" s="40">
        <f t="shared" si="94"/>
        <v>1.5679653186112647E-3</v>
      </c>
      <c r="AA68" s="39">
        <v>39</v>
      </c>
      <c r="AB68" s="39">
        <v>1711.7268470100007</v>
      </c>
      <c r="AC68" s="40">
        <f t="shared" si="99"/>
        <v>1.5679653186112647E-3</v>
      </c>
      <c r="AD68" s="39">
        <v>3263</v>
      </c>
      <c r="AE68" s="39">
        <v>1111251.1685479691</v>
      </c>
      <c r="AF68" s="39">
        <v>37</v>
      </c>
      <c r="AG68" s="39">
        <v>1477.5203256800005</v>
      </c>
      <c r="AH68" s="40">
        <f t="shared" si="100"/>
        <v>1.3296006946931914E-3</v>
      </c>
      <c r="AI68" s="39">
        <v>37</v>
      </c>
      <c r="AJ68" s="39">
        <v>1477.5203256800005</v>
      </c>
      <c r="AK68" s="40">
        <f t="shared" si="101"/>
        <v>1.3296006946931914E-3</v>
      </c>
      <c r="AL68" s="39">
        <v>3130</v>
      </c>
      <c r="AM68" s="39">
        <v>1140899.0222903807</v>
      </c>
      <c r="AN68" s="39">
        <v>32</v>
      </c>
      <c r="AO68" s="39">
        <v>1136.9624607799999</v>
      </c>
      <c r="AP68" s="40">
        <f t="shared" si="102"/>
        <v>9.9654959691132181E-4</v>
      </c>
      <c r="AQ68" s="39">
        <v>32</v>
      </c>
      <c r="AR68" s="39">
        <v>1136.9624607799999</v>
      </c>
      <c r="AS68" s="40">
        <f t="shared" si="103"/>
        <v>9.9654959691132181E-4</v>
      </c>
      <c r="AT68" s="39">
        <v>3056</v>
      </c>
      <c r="AU68" s="39">
        <v>1152224.9718468012</v>
      </c>
      <c r="AV68" s="39">
        <v>29</v>
      </c>
      <c r="AW68" s="39">
        <v>1229.7862702500001</v>
      </c>
      <c r="AX68" s="40">
        <f t="shared" si="104"/>
        <v>1.0673143702821183E-3</v>
      </c>
      <c r="AY68" s="39">
        <v>29</v>
      </c>
      <c r="AZ68" s="39">
        <v>1229.7862702500001</v>
      </c>
      <c r="BA68" s="40">
        <f t="shared" si="105"/>
        <v>1.0673143702821183E-3</v>
      </c>
      <c r="BB68" s="41">
        <v>2998</v>
      </c>
      <c r="BC68" s="41">
        <v>1156209.4516191103</v>
      </c>
      <c r="BD68" s="41">
        <v>19</v>
      </c>
      <c r="BE68" s="41">
        <v>1018.6979910700001</v>
      </c>
      <c r="BF68" s="40">
        <f t="shared" si="106"/>
        <v>8.8106699840885701E-4</v>
      </c>
      <c r="BG68" s="39">
        <v>19</v>
      </c>
      <c r="BH68" s="39">
        <v>1018.6979910700001</v>
      </c>
      <c r="BI68" s="40">
        <f t="shared" si="107"/>
        <v>8.8106699840885701E-4</v>
      </c>
      <c r="BJ68" s="39">
        <v>3060</v>
      </c>
      <c r="BK68" s="39">
        <v>1169019.4572439799</v>
      </c>
      <c r="BL68" s="39">
        <v>19</v>
      </c>
      <c r="BM68" s="39">
        <v>869.62508131000016</v>
      </c>
      <c r="BN68" s="40">
        <f t="shared" si="108"/>
        <v>7.4389273499363606E-4</v>
      </c>
      <c r="BO68" s="4">
        <v>19</v>
      </c>
      <c r="BP68" s="4">
        <v>869.62508131000016</v>
      </c>
      <c r="BQ68" s="40">
        <f t="shared" si="109"/>
        <v>7.4389273499363606E-4</v>
      </c>
      <c r="BR68" s="39">
        <v>3242</v>
      </c>
      <c r="BS68" s="39">
        <v>1201922.5557262811</v>
      </c>
      <c r="BT68" s="39">
        <v>17</v>
      </c>
      <c r="BU68" s="39">
        <v>854.1203231400001</v>
      </c>
      <c r="BV68" s="40">
        <f t="shared" si="110"/>
        <v>7.1062841700635538E-4</v>
      </c>
      <c r="BW68" s="4">
        <v>17</v>
      </c>
      <c r="BX68" s="4">
        <v>854.1203231400001</v>
      </c>
      <c r="BY68" s="40">
        <f t="shared" si="111"/>
        <v>7.1062841700635538E-4</v>
      </c>
      <c r="BZ68" s="39">
        <v>3460</v>
      </c>
      <c r="CA68" s="39">
        <v>1190346.1759376901</v>
      </c>
      <c r="CB68" s="39">
        <v>13</v>
      </c>
      <c r="CC68" s="39">
        <v>643.94772478999994</v>
      </c>
      <c r="CD68" s="40">
        <f t="shared" si="112"/>
        <v>5.4097516991872792E-4</v>
      </c>
      <c r="CE68" s="4">
        <v>13</v>
      </c>
      <c r="CF68" s="4">
        <v>643.94772478999994</v>
      </c>
      <c r="CG68" s="40">
        <f t="shared" si="113"/>
        <v>5.4097516991872792E-4</v>
      </c>
      <c r="CH68" s="39">
        <v>3684</v>
      </c>
      <c r="CI68" s="39">
        <v>1241938.1910126912</v>
      </c>
      <c r="CJ68" s="39">
        <v>19</v>
      </c>
      <c r="CK68" s="39">
        <v>6686.1769311899998</v>
      </c>
      <c r="CL68" s="40">
        <f t="shared" si="114"/>
        <v>5.3836631964252679E-3</v>
      </c>
      <c r="CM68" s="4">
        <v>19</v>
      </c>
      <c r="CN68" s="4">
        <v>6686.1769311899998</v>
      </c>
      <c r="CO68" s="40">
        <f t="shared" si="115"/>
        <v>5.3836631964252679E-3</v>
      </c>
      <c r="CP68" s="39">
        <v>3679</v>
      </c>
      <c r="CQ68" s="39">
        <v>1240924.1100796226</v>
      </c>
      <c r="CR68" s="39">
        <v>16</v>
      </c>
      <c r="CS68" s="39">
        <v>893.79948249999984</v>
      </c>
      <c r="CT68" s="40">
        <f t="shared" si="116"/>
        <v>7.2026925356672301E-4</v>
      </c>
      <c r="CU68" s="4">
        <v>16</v>
      </c>
      <c r="CV68" s="4">
        <v>893.79948249999984</v>
      </c>
      <c r="CW68" s="40">
        <f t="shared" si="117"/>
        <v>7.2026925356672301E-4</v>
      </c>
      <c r="CX68" s="42">
        <v>0</v>
      </c>
      <c r="CY68" s="42">
        <v>0</v>
      </c>
    </row>
    <row r="69" spans="1:103" s="29" customFormat="1" ht="35.1" customHeight="1" x14ac:dyDescent="0.25">
      <c r="A69" s="38">
        <f t="shared" si="93"/>
        <v>63</v>
      </c>
      <c r="B69" s="45" t="s">
        <v>2125</v>
      </c>
      <c r="C69" s="45" t="s">
        <v>2126</v>
      </c>
      <c r="D69" s="64">
        <v>12008</v>
      </c>
      <c r="E69" s="45" t="s">
        <v>2035</v>
      </c>
      <c r="F69" s="39">
        <v>11965</v>
      </c>
      <c r="G69" s="39">
        <v>1138671.66610076</v>
      </c>
      <c r="H69" s="39">
        <v>482</v>
      </c>
      <c r="I69" s="39">
        <v>47806.770868880012</v>
      </c>
      <c r="J69" s="40">
        <f t="shared" si="95"/>
        <v>4.1984684691934393E-2</v>
      </c>
      <c r="K69" s="39">
        <v>482</v>
      </c>
      <c r="L69" s="39">
        <v>47806.770868880012</v>
      </c>
      <c r="M69" s="40">
        <f t="shared" si="96"/>
        <v>4.1984684691934393E-2</v>
      </c>
      <c r="N69" s="39">
        <v>11646</v>
      </c>
      <c r="O69" s="39">
        <v>1130934.5082339467</v>
      </c>
      <c r="P69" s="39">
        <v>617</v>
      </c>
      <c r="Q69" s="39">
        <v>50290.532911329981</v>
      </c>
      <c r="R69" s="40">
        <f t="shared" si="97"/>
        <v>4.4468121314878838E-2</v>
      </c>
      <c r="S69" s="39">
        <v>617</v>
      </c>
      <c r="T69" s="39">
        <v>50290.532911329981</v>
      </c>
      <c r="U69" s="40">
        <f t="shared" si="98"/>
        <v>4.4468121314878838E-2</v>
      </c>
      <c r="V69" s="39">
        <v>11358</v>
      </c>
      <c r="W69" s="39">
        <v>1120949.7688286498</v>
      </c>
      <c r="X69" s="39">
        <v>647</v>
      </c>
      <c r="Y69" s="39">
        <v>51396.581728009987</v>
      </c>
      <c r="Z69" s="40">
        <f t="shared" si="94"/>
        <v>4.5850923170016329E-2</v>
      </c>
      <c r="AA69" s="39">
        <v>647</v>
      </c>
      <c r="AB69" s="39">
        <v>51396.581728009987</v>
      </c>
      <c r="AC69" s="40">
        <f t="shared" si="99"/>
        <v>4.5850923170016329E-2</v>
      </c>
      <c r="AD69" s="39">
        <v>11038</v>
      </c>
      <c r="AE69" s="39">
        <v>1123778.4562196175</v>
      </c>
      <c r="AF69" s="39">
        <v>819</v>
      </c>
      <c r="AG69" s="39">
        <v>52427.825068989987</v>
      </c>
      <c r="AH69" s="40">
        <f t="shared" si="100"/>
        <v>4.6653167961020363E-2</v>
      </c>
      <c r="AI69" s="39">
        <v>819</v>
      </c>
      <c r="AJ69" s="39">
        <v>52427.825068989987</v>
      </c>
      <c r="AK69" s="40">
        <f t="shared" si="101"/>
        <v>4.6653167961020363E-2</v>
      </c>
      <c r="AL69" s="39">
        <v>10841</v>
      </c>
      <c r="AM69" s="39">
        <v>1161880.5810489508</v>
      </c>
      <c r="AN69" s="39">
        <v>959</v>
      </c>
      <c r="AO69" s="39">
        <v>52477.898732229922</v>
      </c>
      <c r="AP69" s="40">
        <f t="shared" si="102"/>
        <v>4.5166344621107836E-2</v>
      </c>
      <c r="AQ69" s="39">
        <v>959</v>
      </c>
      <c r="AR69" s="39">
        <v>52477.898732229922</v>
      </c>
      <c r="AS69" s="40">
        <f t="shared" si="103"/>
        <v>4.5166344621107836E-2</v>
      </c>
      <c r="AT69" s="39">
        <v>10609</v>
      </c>
      <c r="AU69" s="39">
        <v>1124174.00668685</v>
      </c>
      <c r="AV69" s="39">
        <v>990</v>
      </c>
      <c r="AW69" s="39">
        <v>32136.58677376997</v>
      </c>
      <c r="AX69" s="40">
        <f t="shared" si="104"/>
        <v>2.858684383610903E-2</v>
      </c>
      <c r="AY69" s="39">
        <v>990</v>
      </c>
      <c r="AZ69" s="39">
        <v>32136.58677376997</v>
      </c>
      <c r="BA69" s="40">
        <f t="shared" si="105"/>
        <v>2.858684383610903E-2</v>
      </c>
      <c r="BB69" s="41">
        <v>10364</v>
      </c>
      <c r="BC69" s="41">
        <v>1123453.0937636893</v>
      </c>
      <c r="BD69" s="41">
        <v>1088</v>
      </c>
      <c r="BE69" s="41">
        <v>62038.514405379967</v>
      </c>
      <c r="BF69" s="40">
        <f t="shared" si="106"/>
        <v>5.5221276927142758E-2</v>
      </c>
      <c r="BG69" s="39">
        <v>1088</v>
      </c>
      <c r="BH69" s="39">
        <v>62038.514405379967</v>
      </c>
      <c r="BI69" s="40">
        <f t="shared" si="107"/>
        <v>5.5221276927142758E-2</v>
      </c>
      <c r="BJ69" s="39">
        <v>10252</v>
      </c>
      <c r="BK69" s="39">
        <v>1101860.7361924381</v>
      </c>
      <c r="BL69" s="39">
        <v>1082</v>
      </c>
      <c r="BM69" s="39">
        <v>471354.47057536</v>
      </c>
      <c r="BN69" s="40">
        <f t="shared" si="108"/>
        <v>0.42778044002562476</v>
      </c>
      <c r="BO69" s="4">
        <v>1078</v>
      </c>
      <c r="BP69" s="4">
        <v>62640.95215219001</v>
      </c>
      <c r="BQ69" s="40">
        <f t="shared" si="109"/>
        <v>9.0371786175215754E-2</v>
      </c>
      <c r="BR69" s="39">
        <v>10227</v>
      </c>
      <c r="BS69" s="39">
        <v>1133391.4811611895</v>
      </c>
      <c r="BT69" s="39">
        <v>1011</v>
      </c>
      <c r="BU69" s="39">
        <v>469127.53423027007</v>
      </c>
      <c r="BV69" s="40">
        <f t="shared" si="110"/>
        <v>0.41391482292564657</v>
      </c>
      <c r="BW69" s="4">
        <v>1007</v>
      </c>
      <c r="BX69" s="4">
        <v>60546.052163750086</v>
      </c>
      <c r="BY69" s="40">
        <f t="shared" si="111"/>
        <v>8.3533687779384511E-2</v>
      </c>
      <c r="BZ69" s="39">
        <v>10075</v>
      </c>
      <c r="CA69" s="39">
        <v>1135724.9706748994</v>
      </c>
      <c r="CB69" s="39">
        <v>1005</v>
      </c>
      <c r="CC69" s="39">
        <v>457912.0244778301</v>
      </c>
      <c r="CD69" s="40">
        <f t="shared" si="112"/>
        <v>0.40318918426678418</v>
      </c>
      <c r="CE69" s="4">
        <v>1001</v>
      </c>
      <c r="CF69" s="4">
        <v>59760.892703650097</v>
      </c>
      <c r="CG69" s="40">
        <f t="shared" si="113"/>
        <v>8.1023606792667402E-2</v>
      </c>
      <c r="CH69" s="39">
        <v>10189</v>
      </c>
      <c r="CI69" s="39">
        <v>1167278.4430914726</v>
      </c>
      <c r="CJ69" s="39">
        <v>1031</v>
      </c>
      <c r="CK69" s="39">
        <v>452765.06959542015</v>
      </c>
      <c r="CL69" s="40">
        <f t="shared" si="114"/>
        <v>0.38788094843617332</v>
      </c>
      <c r="CM69" s="4">
        <v>1027</v>
      </c>
      <c r="CN69" s="4">
        <v>59083.864282460105</v>
      </c>
      <c r="CO69" s="40">
        <f t="shared" si="115"/>
        <v>7.6375485067820673E-2</v>
      </c>
      <c r="CP69" s="39">
        <v>10132</v>
      </c>
      <c r="CQ69" s="39">
        <v>1135696.2810732336</v>
      </c>
      <c r="CR69" s="39">
        <v>1026</v>
      </c>
      <c r="CS69" s="39">
        <v>417406.15494581999</v>
      </c>
      <c r="CT69" s="40">
        <f t="shared" si="116"/>
        <v>0.36753325858509545</v>
      </c>
      <c r="CU69" s="4">
        <v>1022</v>
      </c>
      <c r="CV69" s="4">
        <v>28662.483112090027</v>
      </c>
      <c r="CW69" s="40">
        <f t="shared" si="117"/>
        <v>3.8372559058696132E-2</v>
      </c>
      <c r="CX69" s="42">
        <v>0</v>
      </c>
      <c r="CY69" s="42">
        <v>0</v>
      </c>
    </row>
    <row r="70" spans="1:103" s="29" customFormat="1" ht="35.1" customHeight="1" x14ac:dyDescent="0.25">
      <c r="A70" s="38">
        <f t="shared" si="93"/>
        <v>64</v>
      </c>
      <c r="B70" s="45" t="s">
        <v>2127</v>
      </c>
      <c r="C70" s="45" t="s">
        <v>2128</v>
      </c>
      <c r="D70" s="64">
        <v>10502</v>
      </c>
      <c r="E70" s="45" t="s">
        <v>2087</v>
      </c>
      <c r="F70" s="39">
        <v>1160</v>
      </c>
      <c r="G70" s="39">
        <v>68934.702900330041</v>
      </c>
      <c r="H70" s="39">
        <v>9</v>
      </c>
      <c r="I70" s="39">
        <v>2763.2979380300008</v>
      </c>
      <c r="J70" s="40">
        <f t="shared" si="95"/>
        <v>4.0085730724412405E-2</v>
      </c>
      <c r="K70" s="39">
        <v>9</v>
      </c>
      <c r="L70" s="39">
        <v>2763.2979380300008</v>
      </c>
      <c r="M70" s="40">
        <f t="shared" si="96"/>
        <v>4.0085730724412405E-2</v>
      </c>
      <c r="N70" s="39">
        <v>1205</v>
      </c>
      <c r="O70" s="39">
        <v>70280.534823059963</v>
      </c>
      <c r="P70" s="39">
        <v>26</v>
      </c>
      <c r="Q70" s="39">
        <v>5554.1812039900005</v>
      </c>
      <c r="R70" s="40">
        <f t="shared" si="97"/>
        <v>7.9028727057546544E-2</v>
      </c>
      <c r="S70" s="39">
        <v>26</v>
      </c>
      <c r="T70" s="39">
        <v>5554.1812039900005</v>
      </c>
      <c r="U70" s="40">
        <f t="shared" si="98"/>
        <v>7.9028727057546544E-2</v>
      </c>
      <c r="V70" s="39">
        <v>1239</v>
      </c>
      <c r="W70" s="39">
        <v>71720.865670269995</v>
      </c>
      <c r="X70" s="39">
        <v>25</v>
      </c>
      <c r="Y70" s="39">
        <v>5654.0029454199994</v>
      </c>
      <c r="Z70" s="40">
        <f t="shared" si="94"/>
        <v>7.8833445366007601E-2</v>
      </c>
      <c r="AA70" s="39">
        <v>25</v>
      </c>
      <c r="AB70" s="39">
        <v>5654.0029454199994</v>
      </c>
      <c r="AC70" s="40">
        <f t="shared" si="99"/>
        <v>7.8833445366007601E-2</v>
      </c>
      <c r="AD70" s="39">
        <v>1288</v>
      </c>
      <c r="AE70" s="39">
        <v>71819.832509450003</v>
      </c>
      <c r="AF70" s="39">
        <v>34</v>
      </c>
      <c r="AG70" s="39">
        <v>6915.4324776099984</v>
      </c>
      <c r="AH70" s="40">
        <f t="shared" si="100"/>
        <v>9.6288618839372411E-2</v>
      </c>
      <c r="AI70" s="39">
        <v>34</v>
      </c>
      <c r="AJ70" s="39">
        <v>6915.4324776099984</v>
      </c>
      <c r="AK70" s="40">
        <f t="shared" si="101"/>
        <v>9.6288618839372411E-2</v>
      </c>
      <c r="AL70" s="39">
        <v>1428</v>
      </c>
      <c r="AM70" s="39">
        <v>72921.169646760012</v>
      </c>
      <c r="AN70" s="39">
        <v>33</v>
      </c>
      <c r="AO70" s="39">
        <v>19089.536248279997</v>
      </c>
      <c r="AP70" s="40">
        <f t="shared" si="102"/>
        <v>0.26178318780063853</v>
      </c>
      <c r="AQ70" s="39">
        <v>31</v>
      </c>
      <c r="AR70" s="39">
        <v>6638.3819062299999</v>
      </c>
      <c r="AS70" s="40">
        <f t="shared" si="103"/>
        <v>0.10977972922247525</v>
      </c>
      <c r="AT70" s="39">
        <v>1525</v>
      </c>
      <c r="AU70" s="39">
        <v>72926.72034577014</v>
      </c>
      <c r="AV70" s="39">
        <v>84</v>
      </c>
      <c r="AW70" s="39">
        <v>6869.3160063800015</v>
      </c>
      <c r="AX70" s="40">
        <f t="shared" si="104"/>
        <v>9.4194774889234847E-2</v>
      </c>
      <c r="AY70" s="39">
        <v>84</v>
      </c>
      <c r="AZ70" s="39">
        <v>6869.3160063800015</v>
      </c>
      <c r="BA70" s="40">
        <f t="shared" si="105"/>
        <v>9.4194774889234847E-2</v>
      </c>
      <c r="BB70" s="41">
        <v>1656</v>
      </c>
      <c r="BC70" s="41">
        <v>75197.568203769988</v>
      </c>
      <c r="BD70" s="41">
        <v>82</v>
      </c>
      <c r="BE70" s="41">
        <v>6991.7269806299983</v>
      </c>
      <c r="BF70" s="40">
        <f t="shared" si="106"/>
        <v>9.2978099526886987E-2</v>
      </c>
      <c r="BG70" s="39">
        <v>82</v>
      </c>
      <c r="BH70" s="39">
        <v>6991.7269806299983</v>
      </c>
      <c r="BI70" s="40">
        <f t="shared" si="107"/>
        <v>9.2978099526886987E-2</v>
      </c>
      <c r="BJ70" s="39">
        <v>1705</v>
      </c>
      <c r="BK70" s="39">
        <v>77351.161445549995</v>
      </c>
      <c r="BL70" s="39">
        <v>64</v>
      </c>
      <c r="BM70" s="39">
        <v>6968.9862450299997</v>
      </c>
      <c r="BN70" s="40">
        <f t="shared" si="108"/>
        <v>9.0095431209985075E-2</v>
      </c>
      <c r="BO70" s="4">
        <v>64</v>
      </c>
      <c r="BP70" s="4">
        <v>6968.9862450299997</v>
      </c>
      <c r="BQ70" s="40">
        <f t="shared" si="109"/>
        <v>9.0095431209985075E-2</v>
      </c>
      <c r="BR70" s="39">
        <v>1680</v>
      </c>
      <c r="BS70" s="39">
        <v>76252.833527740106</v>
      </c>
      <c r="BT70" s="39">
        <v>89</v>
      </c>
      <c r="BU70" s="39">
        <v>7222.6505253500018</v>
      </c>
      <c r="BV70" s="40">
        <f t="shared" si="110"/>
        <v>9.4719765695296623E-2</v>
      </c>
      <c r="BW70" s="4">
        <v>89</v>
      </c>
      <c r="BX70" s="4">
        <v>7222.6505253500018</v>
      </c>
      <c r="BY70" s="40">
        <f t="shared" si="111"/>
        <v>9.4719765695296623E-2</v>
      </c>
      <c r="BZ70" s="39">
        <v>1703</v>
      </c>
      <c r="CA70" s="39">
        <v>75159.872431509997</v>
      </c>
      <c r="CB70" s="39">
        <v>90</v>
      </c>
      <c r="CC70" s="39">
        <v>6946.4081809799973</v>
      </c>
      <c r="CD70" s="40">
        <f t="shared" si="112"/>
        <v>9.2421766512575762E-2</v>
      </c>
      <c r="CE70" s="4">
        <v>90</v>
      </c>
      <c r="CF70" s="4">
        <v>6946.4081809799973</v>
      </c>
      <c r="CG70" s="40">
        <f t="shared" si="113"/>
        <v>9.2421766512575762E-2</v>
      </c>
      <c r="CH70" s="39">
        <v>1719</v>
      </c>
      <c r="CI70" s="39">
        <v>73584.094465950038</v>
      </c>
      <c r="CJ70" s="39">
        <v>160</v>
      </c>
      <c r="CK70" s="39">
        <v>20428.588176529996</v>
      </c>
      <c r="CL70" s="40">
        <f t="shared" si="114"/>
        <v>0.27762233570711436</v>
      </c>
      <c r="CM70" s="4">
        <v>158</v>
      </c>
      <c r="CN70" s="4">
        <v>7977.4338344799971</v>
      </c>
      <c r="CO70" s="40">
        <f t="shared" si="115"/>
        <v>0.13049321394181079</v>
      </c>
      <c r="CP70" s="39">
        <v>1725</v>
      </c>
      <c r="CQ70" s="39">
        <v>73742.580023610048</v>
      </c>
      <c r="CR70" s="39">
        <v>125</v>
      </c>
      <c r="CS70" s="39">
        <v>19596.377426519994</v>
      </c>
      <c r="CT70" s="40">
        <f t="shared" si="116"/>
        <v>0.26574032831839967</v>
      </c>
      <c r="CU70" s="4">
        <v>123</v>
      </c>
      <c r="CV70" s="4">
        <v>7145.2230844699961</v>
      </c>
      <c r="CW70" s="40">
        <f t="shared" si="117"/>
        <v>0.11657785742483856</v>
      </c>
      <c r="CX70" s="42"/>
      <c r="CY70" s="42"/>
    </row>
    <row r="71" spans="1:103" s="29" customFormat="1" ht="35.1" customHeight="1" x14ac:dyDescent="0.25">
      <c r="A71" s="38">
        <f t="shared" si="93"/>
        <v>65</v>
      </c>
      <c r="B71" s="45" t="s">
        <v>2127</v>
      </c>
      <c r="C71" s="45" t="s">
        <v>2129</v>
      </c>
      <c r="D71" s="64">
        <v>10507</v>
      </c>
      <c r="E71" s="45" t="s">
        <v>2130</v>
      </c>
      <c r="F71" s="39">
        <v>1398</v>
      </c>
      <c r="G71" s="39">
        <v>70204.330241980031</v>
      </c>
      <c r="H71" s="39">
        <v>4</v>
      </c>
      <c r="I71" s="39">
        <v>1301.5272060500001</v>
      </c>
      <c r="J71" s="40">
        <f t="shared" si="95"/>
        <v>1.8539130016110131E-2</v>
      </c>
      <c r="K71" s="39">
        <v>4</v>
      </c>
      <c r="L71" s="39">
        <v>1301.5272060500001</v>
      </c>
      <c r="M71" s="40">
        <f t="shared" si="96"/>
        <v>1.8539130016110131E-2</v>
      </c>
      <c r="N71" s="39">
        <v>1506</v>
      </c>
      <c r="O71" s="39">
        <v>75573.852449519982</v>
      </c>
      <c r="P71" s="39">
        <v>8</v>
      </c>
      <c r="Q71" s="39">
        <v>2313.1651312499998</v>
      </c>
      <c r="R71" s="40">
        <f t="shared" si="97"/>
        <v>3.0608008673305265E-2</v>
      </c>
      <c r="S71" s="39">
        <v>8</v>
      </c>
      <c r="T71" s="39">
        <v>2313.1651312499998</v>
      </c>
      <c r="U71" s="40">
        <f t="shared" si="98"/>
        <v>3.0608008673305265E-2</v>
      </c>
      <c r="V71" s="39">
        <v>1544</v>
      </c>
      <c r="W71" s="39">
        <v>78093.695302649969</v>
      </c>
      <c r="X71" s="39">
        <v>8</v>
      </c>
      <c r="Y71" s="39">
        <v>2319.1143251500002</v>
      </c>
      <c r="Z71" s="40">
        <f t="shared" si="94"/>
        <v>2.9696562778369451E-2</v>
      </c>
      <c r="AA71" s="39">
        <v>8</v>
      </c>
      <c r="AB71" s="39">
        <v>2319.1143251500002</v>
      </c>
      <c r="AC71" s="40">
        <f t="shared" si="99"/>
        <v>2.9696562778369451E-2</v>
      </c>
      <c r="AD71" s="39">
        <v>1637</v>
      </c>
      <c r="AE71" s="39">
        <v>82086.991796710077</v>
      </c>
      <c r="AF71" s="39">
        <v>10</v>
      </c>
      <c r="AG71" s="39">
        <v>2592.2516484700004</v>
      </c>
      <c r="AH71" s="40">
        <f t="shared" si="100"/>
        <v>3.1579323248801208E-2</v>
      </c>
      <c r="AI71" s="39">
        <v>10</v>
      </c>
      <c r="AJ71" s="39">
        <v>2592.2516484700004</v>
      </c>
      <c r="AK71" s="40">
        <f t="shared" si="101"/>
        <v>3.1579323248801208E-2</v>
      </c>
      <c r="AL71" s="39">
        <v>1717</v>
      </c>
      <c r="AM71" s="39">
        <v>87486.583899039979</v>
      </c>
      <c r="AN71" s="39">
        <v>6</v>
      </c>
      <c r="AO71" s="39">
        <v>1298.5267995199999</v>
      </c>
      <c r="AP71" s="40">
        <f t="shared" si="102"/>
        <v>1.4842582046848548E-2</v>
      </c>
      <c r="AQ71" s="39">
        <v>6</v>
      </c>
      <c r="AR71" s="39">
        <v>1298.5267995199999</v>
      </c>
      <c r="AS71" s="40">
        <f t="shared" si="103"/>
        <v>1.4842582046848548E-2</v>
      </c>
      <c r="AT71" s="39">
        <v>1778</v>
      </c>
      <c r="AU71" s="39">
        <v>90144.221087689963</v>
      </c>
      <c r="AV71" s="39">
        <v>9</v>
      </c>
      <c r="AW71" s="39">
        <v>1264.5499526299998</v>
      </c>
      <c r="AX71" s="40">
        <f t="shared" si="104"/>
        <v>1.4028075647798635E-2</v>
      </c>
      <c r="AY71" s="39">
        <v>9</v>
      </c>
      <c r="AZ71" s="39">
        <v>1264.5499526299998</v>
      </c>
      <c r="BA71" s="40">
        <f t="shared" si="105"/>
        <v>1.4028075647798635E-2</v>
      </c>
      <c r="BB71" s="41">
        <v>1853</v>
      </c>
      <c r="BC71" s="41">
        <v>95058.783079020053</v>
      </c>
      <c r="BD71" s="41">
        <v>184</v>
      </c>
      <c r="BE71" s="41">
        <v>1834.7511014800004</v>
      </c>
      <c r="BF71" s="40">
        <f t="shared" si="106"/>
        <v>1.9301226483772853E-2</v>
      </c>
      <c r="BG71" s="39">
        <v>184</v>
      </c>
      <c r="BH71" s="39">
        <v>1834.7511014800004</v>
      </c>
      <c r="BI71" s="40">
        <f t="shared" si="107"/>
        <v>1.9301226483772853E-2</v>
      </c>
      <c r="BJ71" s="39">
        <v>1880</v>
      </c>
      <c r="BK71" s="39">
        <v>101559.09110290994</v>
      </c>
      <c r="BL71" s="39">
        <v>181</v>
      </c>
      <c r="BM71" s="39">
        <v>1522.7981396500004</v>
      </c>
      <c r="BN71" s="40">
        <f t="shared" si="108"/>
        <v>1.4994208033104072E-2</v>
      </c>
      <c r="BO71" s="4">
        <v>181</v>
      </c>
      <c r="BP71" s="4">
        <v>1522.7981396500004</v>
      </c>
      <c r="BQ71" s="40">
        <f t="shared" si="109"/>
        <v>1.4994208033104072E-2</v>
      </c>
      <c r="BR71" s="39">
        <v>1869</v>
      </c>
      <c r="BS71" s="39">
        <v>100078.34908270999</v>
      </c>
      <c r="BT71" s="39">
        <v>125</v>
      </c>
      <c r="BU71" s="39">
        <v>1731.7474878900005</v>
      </c>
      <c r="BV71" s="40">
        <f t="shared" si="110"/>
        <v>1.7303917418329848E-2</v>
      </c>
      <c r="BW71" s="4">
        <v>125</v>
      </c>
      <c r="BX71" s="4">
        <v>1731.7474878900005</v>
      </c>
      <c r="BY71" s="40">
        <f t="shared" si="111"/>
        <v>1.7303917418329848E-2</v>
      </c>
      <c r="BZ71" s="39">
        <v>1885</v>
      </c>
      <c r="CA71" s="39">
        <v>98777.76886842995</v>
      </c>
      <c r="CB71" s="39">
        <v>164</v>
      </c>
      <c r="CC71" s="39">
        <v>1593.1685030900003</v>
      </c>
      <c r="CD71" s="40">
        <f t="shared" si="112"/>
        <v>1.6128816446664931E-2</v>
      </c>
      <c r="CE71" s="4">
        <v>164</v>
      </c>
      <c r="CF71" s="4">
        <v>1593.1685030900003</v>
      </c>
      <c r="CG71" s="40">
        <f t="shared" si="113"/>
        <v>1.6128816446664931E-2</v>
      </c>
      <c r="CH71" s="39">
        <v>1884</v>
      </c>
      <c r="CI71" s="39">
        <v>98123.887636219864</v>
      </c>
      <c r="CJ71" s="39">
        <v>219</v>
      </c>
      <c r="CK71" s="39">
        <v>1790.3947461500002</v>
      </c>
      <c r="CL71" s="40">
        <f t="shared" si="114"/>
        <v>1.8246267950446787E-2</v>
      </c>
      <c r="CM71" s="4">
        <v>219</v>
      </c>
      <c r="CN71" s="4">
        <v>1790.3947461500002</v>
      </c>
      <c r="CO71" s="40">
        <f t="shared" si="115"/>
        <v>1.8246267950446787E-2</v>
      </c>
      <c r="CP71" s="39">
        <v>1917</v>
      </c>
      <c r="CQ71" s="39">
        <v>100892.45683940976</v>
      </c>
      <c r="CR71" s="39">
        <v>202</v>
      </c>
      <c r="CS71" s="39">
        <v>2305.5626361100003</v>
      </c>
      <c r="CT71" s="40">
        <f t="shared" si="116"/>
        <v>2.2851684935968581E-2</v>
      </c>
      <c r="CU71" s="4">
        <v>202</v>
      </c>
      <c r="CV71" s="4">
        <v>2305.5626361100003</v>
      </c>
      <c r="CW71" s="40">
        <f t="shared" si="117"/>
        <v>2.2851684935968581E-2</v>
      </c>
      <c r="CX71" s="42"/>
      <c r="CY71" s="42"/>
    </row>
    <row r="72" spans="1:103" s="29" customFormat="1" ht="35.1" customHeight="1" x14ac:dyDescent="0.25">
      <c r="A72" s="38">
        <f t="shared" ref="A72:A100" si="118">+A71+1</f>
        <v>66</v>
      </c>
      <c r="B72" s="45" t="s">
        <v>2127</v>
      </c>
      <c r="C72" s="45" t="s">
        <v>2131</v>
      </c>
      <c r="D72" s="64">
        <v>10508</v>
      </c>
      <c r="E72" s="45" t="s">
        <v>2041</v>
      </c>
      <c r="F72" s="39">
        <v>1152</v>
      </c>
      <c r="G72" s="39">
        <v>36052.36584837993</v>
      </c>
      <c r="H72" s="39">
        <v>1</v>
      </c>
      <c r="I72" s="39">
        <v>324.68863750000003</v>
      </c>
      <c r="J72" s="40">
        <f t="shared" si="95"/>
        <v>9.0060285881235838E-3</v>
      </c>
      <c r="K72" s="39">
        <v>1</v>
      </c>
      <c r="L72" s="39">
        <v>324.68863750000003</v>
      </c>
      <c r="M72" s="40">
        <f t="shared" si="96"/>
        <v>9.0060285881235838E-3</v>
      </c>
      <c r="N72" s="39">
        <v>1205</v>
      </c>
      <c r="O72" s="39">
        <v>38920.531405480026</v>
      </c>
      <c r="P72" s="39">
        <v>5</v>
      </c>
      <c r="Q72" s="39">
        <v>711.69211976000008</v>
      </c>
      <c r="R72" s="40">
        <f t="shared" si="97"/>
        <v>1.8285776017431088E-2</v>
      </c>
      <c r="S72" s="39">
        <v>5</v>
      </c>
      <c r="T72" s="39">
        <v>711.69211976000008</v>
      </c>
      <c r="U72" s="40">
        <f t="shared" si="98"/>
        <v>1.8285776017431088E-2</v>
      </c>
      <c r="V72" s="39">
        <v>1214</v>
      </c>
      <c r="W72" s="39">
        <v>40229.258261350013</v>
      </c>
      <c r="X72" s="39">
        <v>7</v>
      </c>
      <c r="Y72" s="39">
        <v>899.07032420000019</v>
      </c>
      <c r="Z72" s="40">
        <f t="shared" si="94"/>
        <v>2.2348667687561517E-2</v>
      </c>
      <c r="AA72" s="39">
        <v>7</v>
      </c>
      <c r="AB72" s="39">
        <v>899.07032420000019</v>
      </c>
      <c r="AC72" s="40">
        <f t="shared" si="99"/>
        <v>2.2348667687561517E-2</v>
      </c>
      <c r="AD72" s="39">
        <v>1250</v>
      </c>
      <c r="AE72" s="39">
        <v>42332.309739960037</v>
      </c>
      <c r="AF72" s="39">
        <v>10</v>
      </c>
      <c r="AG72" s="39">
        <v>1405.90697458</v>
      </c>
      <c r="AH72" s="40">
        <f t="shared" si="100"/>
        <v>3.3211204000354343E-2</v>
      </c>
      <c r="AI72" s="39">
        <v>10</v>
      </c>
      <c r="AJ72" s="39">
        <v>1405.90697458</v>
      </c>
      <c r="AK72" s="40">
        <f t="shared" si="101"/>
        <v>3.3211204000354343E-2</v>
      </c>
      <c r="AL72" s="39">
        <v>1271</v>
      </c>
      <c r="AM72" s="39">
        <v>45515.575712090009</v>
      </c>
      <c r="AN72" s="39">
        <v>9</v>
      </c>
      <c r="AO72" s="39">
        <v>2059.33625312</v>
      </c>
      <c r="AP72" s="40">
        <f t="shared" si="102"/>
        <v>4.5244649131681573E-2</v>
      </c>
      <c r="AQ72" s="39">
        <v>9</v>
      </c>
      <c r="AR72" s="39">
        <v>2059.33625312</v>
      </c>
      <c r="AS72" s="40">
        <f t="shared" si="103"/>
        <v>4.5244649131681573E-2</v>
      </c>
      <c r="AT72" s="39">
        <v>1295</v>
      </c>
      <c r="AU72" s="39">
        <v>46474.738545639877</v>
      </c>
      <c r="AV72" s="39">
        <v>9</v>
      </c>
      <c r="AW72" s="39">
        <v>2154.7892096099995</v>
      </c>
      <c r="AX72" s="40">
        <f t="shared" si="104"/>
        <v>4.636474086871771E-2</v>
      </c>
      <c r="AY72" s="39">
        <v>9</v>
      </c>
      <c r="AZ72" s="39">
        <v>2154.7892096099995</v>
      </c>
      <c r="BA72" s="40">
        <f t="shared" si="105"/>
        <v>4.636474086871771E-2</v>
      </c>
      <c r="BB72" s="41">
        <v>1316</v>
      </c>
      <c r="BC72" s="41">
        <v>47544.502130100002</v>
      </c>
      <c r="BD72" s="41">
        <v>90</v>
      </c>
      <c r="BE72" s="41">
        <v>2377.7409362999997</v>
      </c>
      <c r="BF72" s="40">
        <f t="shared" si="106"/>
        <v>5.0010849409960971E-2</v>
      </c>
      <c r="BG72" s="39">
        <v>90</v>
      </c>
      <c r="BH72" s="39">
        <v>2377.7409362999997</v>
      </c>
      <c r="BI72" s="40">
        <f t="shared" si="107"/>
        <v>5.0010849409960971E-2</v>
      </c>
      <c r="BJ72" s="39">
        <v>1299</v>
      </c>
      <c r="BK72" s="39">
        <v>50472.326587210016</v>
      </c>
      <c r="BL72" s="39">
        <v>75</v>
      </c>
      <c r="BM72" s="39">
        <v>2440.7786469500006</v>
      </c>
      <c r="BN72" s="40">
        <f t="shared" si="108"/>
        <v>4.8358750467597987E-2</v>
      </c>
      <c r="BO72" s="4">
        <v>75</v>
      </c>
      <c r="BP72" s="4">
        <v>2440.7786469500006</v>
      </c>
      <c r="BQ72" s="40">
        <f t="shared" si="109"/>
        <v>4.8358750467597987E-2</v>
      </c>
      <c r="BR72" s="39">
        <v>1298</v>
      </c>
      <c r="BS72" s="39">
        <v>51495.346547359994</v>
      </c>
      <c r="BT72" s="39">
        <v>78</v>
      </c>
      <c r="BU72" s="39">
        <v>2697.7482699000002</v>
      </c>
      <c r="BV72" s="40">
        <f t="shared" si="110"/>
        <v>5.2388195259913353E-2</v>
      </c>
      <c r="BW72" s="4">
        <v>78</v>
      </c>
      <c r="BX72" s="4">
        <v>2697.7482699000002</v>
      </c>
      <c r="BY72" s="40">
        <f t="shared" si="111"/>
        <v>5.2388195259913353E-2</v>
      </c>
      <c r="BZ72" s="39">
        <v>1298</v>
      </c>
      <c r="CA72" s="39">
        <v>56518.995981319982</v>
      </c>
      <c r="CB72" s="39">
        <v>70</v>
      </c>
      <c r="CC72" s="39">
        <v>2346.9090684200009</v>
      </c>
      <c r="CD72" s="40">
        <f t="shared" si="112"/>
        <v>4.1524252645883428E-2</v>
      </c>
      <c r="CE72" s="4">
        <v>70</v>
      </c>
      <c r="CF72" s="4">
        <v>2346.9090684200009</v>
      </c>
      <c r="CG72" s="40">
        <f t="shared" si="113"/>
        <v>4.1524252645883428E-2</v>
      </c>
      <c r="CH72" s="39">
        <v>1322</v>
      </c>
      <c r="CI72" s="39">
        <v>56738.026548220012</v>
      </c>
      <c r="CJ72" s="39">
        <v>118</v>
      </c>
      <c r="CK72" s="39">
        <v>2593.6525813499993</v>
      </c>
      <c r="CL72" s="40">
        <f t="shared" si="114"/>
        <v>4.5712773939109934E-2</v>
      </c>
      <c r="CM72" s="4">
        <v>118</v>
      </c>
      <c r="CN72" s="4">
        <v>2593.6525813499993</v>
      </c>
      <c r="CO72" s="40">
        <f t="shared" si="115"/>
        <v>4.5712773939109934E-2</v>
      </c>
      <c r="CP72" s="39">
        <v>1317</v>
      </c>
      <c r="CQ72" s="39">
        <v>58012.276735480074</v>
      </c>
      <c r="CR72" s="39">
        <v>83</v>
      </c>
      <c r="CS72" s="39">
        <v>2621.3060691699998</v>
      </c>
      <c r="CT72" s="40">
        <f t="shared" si="116"/>
        <v>4.5185367937245938E-2</v>
      </c>
      <c r="CU72" s="4">
        <v>83</v>
      </c>
      <c r="CV72" s="4">
        <v>2621.3060691699998</v>
      </c>
      <c r="CW72" s="40">
        <f t="shared" si="117"/>
        <v>4.5185367937245938E-2</v>
      </c>
      <c r="CX72" s="42"/>
      <c r="CY72" s="42"/>
    </row>
    <row r="73" spans="1:103" s="29" customFormat="1" ht="35.1" customHeight="1" x14ac:dyDescent="0.25">
      <c r="A73" s="38">
        <f t="shared" si="118"/>
        <v>67</v>
      </c>
      <c r="B73" s="45" t="s">
        <v>2127</v>
      </c>
      <c r="C73" s="45" t="s">
        <v>2132</v>
      </c>
      <c r="D73" s="64">
        <v>10510</v>
      </c>
      <c r="E73" s="45" t="s">
        <v>2133</v>
      </c>
      <c r="F73" s="39">
        <v>1210</v>
      </c>
      <c r="G73" s="39">
        <v>93569.200581059966</v>
      </c>
      <c r="H73" s="39">
        <v>24</v>
      </c>
      <c r="I73" s="39">
        <v>7196.3531650900004</v>
      </c>
      <c r="J73" s="40">
        <f t="shared" si="95"/>
        <v>7.6909422335565705E-2</v>
      </c>
      <c r="K73" s="39">
        <v>24</v>
      </c>
      <c r="L73" s="39">
        <v>7196.3531650900004</v>
      </c>
      <c r="M73" s="40">
        <f t="shared" si="96"/>
        <v>7.6909422335565705E-2</v>
      </c>
      <c r="N73" s="39">
        <v>1249</v>
      </c>
      <c r="O73" s="39">
        <v>94027.849396659949</v>
      </c>
      <c r="P73" s="39">
        <v>91</v>
      </c>
      <c r="Q73" s="39">
        <v>20977.519750380008</v>
      </c>
      <c r="R73" s="40">
        <f t="shared" si="97"/>
        <v>0.22309900614535561</v>
      </c>
      <c r="S73" s="39">
        <v>91</v>
      </c>
      <c r="T73" s="39">
        <v>20977.519750380008</v>
      </c>
      <c r="U73" s="40">
        <f t="shared" si="98"/>
        <v>0.22309900614535561</v>
      </c>
      <c r="V73" s="39">
        <v>1275</v>
      </c>
      <c r="W73" s="39">
        <v>93951.86488405992</v>
      </c>
      <c r="X73" s="39">
        <v>90</v>
      </c>
      <c r="Y73" s="39">
        <v>21163.913278340002</v>
      </c>
      <c r="Z73" s="40">
        <f t="shared" si="94"/>
        <v>0.22526336549526776</v>
      </c>
      <c r="AA73" s="39">
        <v>90</v>
      </c>
      <c r="AB73" s="39">
        <v>21163.913278340002</v>
      </c>
      <c r="AC73" s="40">
        <f t="shared" si="99"/>
        <v>0.22526336549526776</v>
      </c>
      <c r="AD73" s="39">
        <v>1262</v>
      </c>
      <c r="AE73" s="39">
        <v>94528.123050939772</v>
      </c>
      <c r="AF73" s="39">
        <v>100</v>
      </c>
      <c r="AG73" s="39">
        <v>23337.382566110002</v>
      </c>
      <c r="AH73" s="40">
        <f t="shared" si="100"/>
        <v>0.24688295729233764</v>
      </c>
      <c r="AI73" s="39">
        <v>100</v>
      </c>
      <c r="AJ73" s="39">
        <v>23337.382566110002</v>
      </c>
      <c r="AK73" s="40">
        <f t="shared" si="101"/>
        <v>0.24688295729233764</v>
      </c>
      <c r="AL73" s="39">
        <v>1281</v>
      </c>
      <c r="AM73" s="39">
        <v>94839.798964770031</v>
      </c>
      <c r="AN73" s="39">
        <v>107</v>
      </c>
      <c r="AO73" s="39">
        <v>25567.89816515</v>
      </c>
      <c r="AP73" s="40">
        <f t="shared" si="102"/>
        <v>0.26959038762458426</v>
      </c>
      <c r="AQ73" s="39">
        <v>107</v>
      </c>
      <c r="AR73" s="39">
        <v>25567.89816515</v>
      </c>
      <c r="AS73" s="40">
        <f t="shared" si="103"/>
        <v>0.26959038762458426</v>
      </c>
      <c r="AT73" s="39">
        <v>1281</v>
      </c>
      <c r="AU73" s="39">
        <v>95785.549626330001</v>
      </c>
      <c r="AV73" s="39">
        <v>101</v>
      </c>
      <c r="AW73" s="39">
        <v>25468.997060550002</v>
      </c>
      <c r="AX73" s="40">
        <f t="shared" si="104"/>
        <v>0.26589602669617046</v>
      </c>
      <c r="AY73" s="39">
        <v>101</v>
      </c>
      <c r="AZ73" s="39">
        <v>25468.997060550002</v>
      </c>
      <c r="BA73" s="40">
        <f t="shared" si="105"/>
        <v>0.26589602669617046</v>
      </c>
      <c r="BB73" s="41">
        <v>1295</v>
      </c>
      <c r="BC73" s="41">
        <v>95108.454971400046</v>
      </c>
      <c r="BD73" s="41">
        <v>175</v>
      </c>
      <c r="BE73" s="41">
        <v>20183.119409710023</v>
      </c>
      <c r="BF73" s="40">
        <f t="shared" si="106"/>
        <v>0.21221162109908384</v>
      </c>
      <c r="BG73" s="39">
        <v>175</v>
      </c>
      <c r="BH73" s="39">
        <v>20183.119409710023</v>
      </c>
      <c r="BI73" s="40">
        <f t="shared" si="107"/>
        <v>0.21221162109908384</v>
      </c>
      <c r="BJ73" s="39">
        <v>1279</v>
      </c>
      <c r="BK73" s="39">
        <v>86909.56065316005</v>
      </c>
      <c r="BL73" s="39">
        <v>129</v>
      </c>
      <c r="BM73" s="39">
        <v>20538.412613940003</v>
      </c>
      <c r="BN73" s="40">
        <f t="shared" si="108"/>
        <v>0.236319369924156</v>
      </c>
      <c r="BO73" s="4">
        <v>129</v>
      </c>
      <c r="BP73" s="4">
        <v>20538.412613940003</v>
      </c>
      <c r="BQ73" s="40">
        <f t="shared" si="109"/>
        <v>0.236319369924156</v>
      </c>
      <c r="BR73" s="39">
        <v>1247</v>
      </c>
      <c r="BS73" s="39">
        <v>85309.728049949917</v>
      </c>
      <c r="BT73" s="39">
        <v>146</v>
      </c>
      <c r="BU73" s="39">
        <v>20601.293174320002</v>
      </c>
      <c r="BV73" s="40">
        <f t="shared" si="110"/>
        <v>0.24148820592016992</v>
      </c>
      <c r="BW73" s="4">
        <v>146</v>
      </c>
      <c r="BX73" s="4">
        <v>20601.293174320002</v>
      </c>
      <c r="BY73" s="40">
        <f t="shared" si="111"/>
        <v>0.24148820592016992</v>
      </c>
      <c r="BZ73" s="39">
        <v>1238</v>
      </c>
      <c r="CA73" s="39">
        <v>80056.154780390003</v>
      </c>
      <c r="CB73" s="39">
        <v>111</v>
      </c>
      <c r="CC73" s="39">
        <v>13213.427467120006</v>
      </c>
      <c r="CD73" s="40">
        <f t="shared" si="112"/>
        <v>0.16505198761253362</v>
      </c>
      <c r="CE73" s="4">
        <v>111</v>
      </c>
      <c r="CF73" s="4">
        <v>13213.427467120006</v>
      </c>
      <c r="CG73" s="40">
        <f t="shared" si="113"/>
        <v>0.16505198761253362</v>
      </c>
      <c r="CH73" s="39">
        <v>1213</v>
      </c>
      <c r="CI73" s="39">
        <v>78768.802707429946</v>
      </c>
      <c r="CJ73" s="39">
        <v>123</v>
      </c>
      <c r="CK73" s="39">
        <v>12349.061818390001</v>
      </c>
      <c r="CL73" s="40">
        <f t="shared" si="114"/>
        <v>0.1567760508466528</v>
      </c>
      <c r="CM73" s="4">
        <v>123</v>
      </c>
      <c r="CN73" s="4">
        <v>12349.061818390001</v>
      </c>
      <c r="CO73" s="40">
        <f t="shared" si="115"/>
        <v>0.1567760508466528</v>
      </c>
      <c r="CP73" s="39">
        <v>1214</v>
      </c>
      <c r="CQ73" s="39">
        <v>87338.940245289821</v>
      </c>
      <c r="CR73" s="39">
        <v>113</v>
      </c>
      <c r="CS73" s="39">
        <v>12317.452226300009</v>
      </c>
      <c r="CT73" s="40">
        <f t="shared" si="116"/>
        <v>0.14103047497149232</v>
      </c>
      <c r="CU73" s="4">
        <v>113</v>
      </c>
      <c r="CV73" s="4">
        <v>12317.452226300009</v>
      </c>
      <c r="CW73" s="40">
        <f t="shared" si="117"/>
        <v>0.14103047497149232</v>
      </c>
      <c r="CX73" s="42"/>
      <c r="CY73" s="42"/>
    </row>
    <row r="74" spans="1:103" s="29" customFormat="1" ht="35.1" customHeight="1" x14ac:dyDescent="0.25">
      <c r="A74" s="38">
        <f t="shared" si="118"/>
        <v>68</v>
      </c>
      <c r="B74" s="45" t="s">
        <v>2127</v>
      </c>
      <c r="C74" s="45" t="s">
        <v>2134</v>
      </c>
      <c r="D74" s="64">
        <v>10729</v>
      </c>
      <c r="E74" s="45" t="s">
        <v>2035</v>
      </c>
      <c r="F74" s="39">
        <v>4292</v>
      </c>
      <c r="G74" s="39">
        <v>153421.15014531041</v>
      </c>
      <c r="H74" s="39">
        <v>26</v>
      </c>
      <c r="I74" s="39">
        <v>7543.81673426</v>
      </c>
      <c r="J74" s="40">
        <f t="shared" si="95"/>
        <v>4.9170643859174523E-2</v>
      </c>
      <c r="K74" s="39">
        <v>26</v>
      </c>
      <c r="L74" s="39">
        <v>7543.81673426</v>
      </c>
      <c r="M74" s="40">
        <f t="shared" si="96"/>
        <v>4.9170643859174523E-2</v>
      </c>
      <c r="N74" s="39">
        <v>4496</v>
      </c>
      <c r="O74" s="39">
        <v>160831.09615982999</v>
      </c>
      <c r="P74" s="39">
        <v>66</v>
      </c>
      <c r="Q74" s="39">
        <v>18388.224557130001</v>
      </c>
      <c r="R74" s="40">
        <f t="shared" si="97"/>
        <v>0.11433252024133589</v>
      </c>
      <c r="S74" s="39">
        <v>66</v>
      </c>
      <c r="T74" s="39">
        <v>18388.224557130001</v>
      </c>
      <c r="U74" s="40">
        <f t="shared" si="98"/>
        <v>0.11433252024133589</v>
      </c>
      <c r="V74" s="39">
        <v>4596</v>
      </c>
      <c r="W74" s="39">
        <v>165666.40768409995</v>
      </c>
      <c r="X74" s="39">
        <v>65</v>
      </c>
      <c r="Y74" s="39">
        <v>17709.636945490001</v>
      </c>
      <c r="Z74" s="40">
        <f t="shared" si="94"/>
        <v>0.10689938408792882</v>
      </c>
      <c r="AA74" s="39">
        <v>65</v>
      </c>
      <c r="AB74" s="39">
        <v>17709.636945490001</v>
      </c>
      <c r="AC74" s="40">
        <f t="shared" si="99"/>
        <v>0.10689938408792882</v>
      </c>
      <c r="AD74" s="39">
        <v>4714</v>
      </c>
      <c r="AE74" s="39">
        <v>168298.30340367975</v>
      </c>
      <c r="AF74" s="39">
        <v>74</v>
      </c>
      <c r="AG74" s="39">
        <v>19634.111458599993</v>
      </c>
      <c r="AH74" s="40">
        <f t="shared" si="100"/>
        <v>0.11666256320781605</v>
      </c>
      <c r="AI74" s="39">
        <v>74</v>
      </c>
      <c r="AJ74" s="39">
        <v>19634.111458599993</v>
      </c>
      <c r="AK74" s="40">
        <f t="shared" si="101"/>
        <v>0.11666256320781605</v>
      </c>
      <c r="AL74" s="39">
        <v>4686</v>
      </c>
      <c r="AM74" s="39">
        <v>170521.86419394004</v>
      </c>
      <c r="AN74" s="39">
        <v>79</v>
      </c>
      <c r="AO74" s="39">
        <v>20877.073398970006</v>
      </c>
      <c r="AP74" s="40">
        <f t="shared" si="102"/>
        <v>0.12243047832989812</v>
      </c>
      <c r="AQ74" s="39">
        <v>79</v>
      </c>
      <c r="AR74" s="39">
        <v>20877.073398970006</v>
      </c>
      <c r="AS74" s="40">
        <f t="shared" si="103"/>
        <v>0.12243047832989812</v>
      </c>
      <c r="AT74" s="39">
        <v>4615</v>
      </c>
      <c r="AU74" s="39">
        <v>174092.20914341975</v>
      </c>
      <c r="AV74" s="39">
        <v>84</v>
      </c>
      <c r="AW74" s="39">
        <v>23779.750010090003</v>
      </c>
      <c r="AX74" s="40">
        <f t="shared" si="104"/>
        <v>0.13659284425818213</v>
      </c>
      <c r="AY74" s="39">
        <v>84</v>
      </c>
      <c r="AZ74" s="39">
        <v>23779.750010090003</v>
      </c>
      <c r="BA74" s="40">
        <f t="shared" si="105"/>
        <v>0.13659284425818213</v>
      </c>
      <c r="BB74" s="41">
        <v>4583</v>
      </c>
      <c r="BC74" s="41">
        <v>177637.94280951982</v>
      </c>
      <c r="BD74" s="41">
        <v>678</v>
      </c>
      <c r="BE74" s="41">
        <v>16808.279834160006</v>
      </c>
      <c r="BF74" s="40">
        <f t="shared" si="106"/>
        <v>9.4621000267850613E-2</v>
      </c>
      <c r="BG74" s="39">
        <v>678</v>
      </c>
      <c r="BH74" s="39">
        <v>16808.279834160006</v>
      </c>
      <c r="BI74" s="40">
        <f t="shared" si="107"/>
        <v>9.4621000267850613E-2</v>
      </c>
      <c r="BJ74" s="39">
        <v>4460</v>
      </c>
      <c r="BK74" s="39">
        <v>180400.78173567998</v>
      </c>
      <c r="BL74" s="39">
        <v>483</v>
      </c>
      <c r="BM74" s="39">
        <v>16919.421973160002</v>
      </c>
      <c r="BN74" s="40">
        <f t="shared" si="108"/>
        <v>9.3787963723738405E-2</v>
      </c>
      <c r="BO74" s="4">
        <v>483</v>
      </c>
      <c r="BP74" s="4">
        <v>16919.421973160002</v>
      </c>
      <c r="BQ74" s="40">
        <f t="shared" si="109"/>
        <v>9.3787963723738405E-2</v>
      </c>
      <c r="BR74" s="39">
        <v>4332</v>
      </c>
      <c r="BS74" s="39">
        <v>220254.26943420988</v>
      </c>
      <c r="BT74" s="39">
        <v>582</v>
      </c>
      <c r="BU74" s="39">
        <v>18435.19507197999</v>
      </c>
      <c r="BV74" s="40">
        <f t="shared" si="110"/>
        <v>8.3699603732251812E-2</v>
      </c>
      <c r="BW74" s="4">
        <v>582</v>
      </c>
      <c r="BX74" s="4">
        <v>18435.19507197999</v>
      </c>
      <c r="BY74" s="40">
        <f t="shared" si="111"/>
        <v>8.3699603732251812E-2</v>
      </c>
      <c r="BZ74" s="39">
        <v>4341</v>
      </c>
      <c r="CA74" s="39">
        <v>213452.39667370997</v>
      </c>
      <c r="CB74" s="39">
        <v>543</v>
      </c>
      <c r="CC74" s="39">
        <v>10756.985834360003</v>
      </c>
      <c r="CD74" s="40">
        <f t="shared" si="112"/>
        <v>5.0395245038187451E-2</v>
      </c>
      <c r="CE74" s="4">
        <v>543</v>
      </c>
      <c r="CF74" s="4">
        <v>10756.985834360003</v>
      </c>
      <c r="CG74" s="40">
        <f t="shared" si="113"/>
        <v>5.0395245038187451E-2</v>
      </c>
      <c r="CH74" s="39">
        <v>4332</v>
      </c>
      <c r="CI74" s="39">
        <v>214315.04457300052</v>
      </c>
      <c r="CJ74" s="39">
        <v>635</v>
      </c>
      <c r="CK74" s="39">
        <v>10397.439497830006</v>
      </c>
      <c r="CL74" s="40">
        <f t="shared" si="114"/>
        <v>4.8514743883453337E-2</v>
      </c>
      <c r="CM74" s="4">
        <v>635</v>
      </c>
      <c r="CN74" s="4">
        <v>10397.439497830006</v>
      </c>
      <c r="CO74" s="40">
        <f t="shared" si="115"/>
        <v>4.8514743883453337E-2</v>
      </c>
      <c r="CP74" s="39">
        <v>4335</v>
      </c>
      <c r="CQ74" s="39">
        <v>215721.39310964019</v>
      </c>
      <c r="CR74" s="39">
        <v>544</v>
      </c>
      <c r="CS74" s="39">
        <v>9007.5062422099872</v>
      </c>
      <c r="CT74" s="40">
        <f t="shared" si="116"/>
        <v>4.1755275693180466E-2</v>
      </c>
      <c r="CU74" s="4">
        <v>544</v>
      </c>
      <c r="CV74" s="4">
        <v>9007.5062422099872</v>
      </c>
      <c r="CW74" s="40">
        <f t="shared" si="117"/>
        <v>4.1755275693180466E-2</v>
      </c>
      <c r="CX74" s="42"/>
      <c r="CY74" s="42"/>
    </row>
    <row r="75" spans="1:103" s="29" customFormat="1" ht="35.1" customHeight="1" x14ac:dyDescent="0.25">
      <c r="A75" s="38">
        <f t="shared" si="118"/>
        <v>69</v>
      </c>
      <c r="B75" s="45" t="s">
        <v>2127</v>
      </c>
      <c r="C75" s="45" t="s">
        <v>2183</v>
      </c>
      <c r="D75" s="64">
        <v>12029</v>
      </c>
      <c r="E75" s="45" t="s">
        <v>2047</v>
      </c>
      <c r="F75" s="39">
        <v>99</v>
      </c>
      <c r="G75" s="39">
        <v>4005.1515608300006</v>
      </c>
      <c r="H75" s="39">
        <v>0</v>
      </c>
      <c r="I75" s="39">
        <v>0</v>
      </c>
      <c r="J75" s="40">
        <f t="shared" si="95"/>
        <v>0</v>
      </c>
      <c r="K75" s="39">
        <v>0</v>
      </c>
      <c r="L75" s="39">
        <v>0</v>
      </c>
      <c r="M75" s="40">
        <f t="shared" si="96"/>
        <v>0</v>
      </c>
      <c r="N75" s="39">
        <v>201</v>
      </c>
      <c r="O75" s="39">
        <v>6027.187534650001</v>
      </c>
      <c r="P75" s="39">
        <v>0</v>
      </c>
      <c r="Q75" s="39">
        <v>0</v>
      </c>
      <c r="R75" s="40">
        <f t="shared" si="97"/>
        <v>0</v>
      </c>
      <c r="S75" s="39">
        <v>0</v>
      </c>
      <c r="T75" s="39">
        <v>0</v>
      </c>
      <c r="U75" s="40">
        <f t="shared" si="98"/>
        <v>0</v>
      </c>
      <c r="V75" s="39">
        <v>304</v>
      </c>
      <c r="W75" s="39">
        <v>9684.2300574799992</v>
      </c>
      <c r="X75" s="39">
        <v>0</v>
      </c>
      <c r="Y75" s="39">
        <v>0</v>
      </c>
      <c r="Z75" s="40">
        <f t="shared" si="94"/>
        <v>0</v>
      </c>
      <c r="AA75" s="39">
        <v>0</v>
      </c>
      <c r="AB75" s="39">
        <v>0</v>
      </c>
      <c r="AC75" s="40">
        <f t="shared" si="99"/>
        <v>0</v>
      </c>
      <c r="AD75" s="39">
        <v>395</v>
      </c>
      <c r="AE75" s="39">
        <v>12339.432400049991</v>
      </c>
      <c r="AF75" s="39">
        <v>0</v>
      </c>
      <c r="AG75" s="39">
        <v>0</v>
      </c>
      <c r="AH75" s="40">
        <f t="shared" si="100"/>
        <v>0</v>
      </c>
      <c r="AI75" s="39">
        <v>0</v>
      </c>
      <c r="AJ75" s="39">
        <v>0</v>
      </c>
      <c r="AK75" s="40">
        <f t="shared" si="101"/>
        <v>0</v>
      </c>
      <c r="AL75" s="39">
        <v>494</v>
      </c>
      <c r="AM75" s="39">
        <v>15376.489431069998</v>
      </c>
      <c r="AN75" s="39">
        <v>0</v>
      </c>
      <c r="AO75" s="39">
        <v>0</v>
      </c>
      <c r="AP75" s="40">
        <f t="shared" si="102"/>
        <v>0</v>
      </c>
      <c r="AQ75" s="39">
        <v>0</v>
      </c>
      <c r="AR75" s="39">
        <v>0</v>
      </c>
      <c r="AS75" s="40">
        <f t="shared" si="103"/>
        <v>0</v>
      </c>
      <c r="AT75" s="39">
        <v>596</v>
      </c>
      <c r="AU75" s="39">
        <v>17905.035650559999</v>
      </c>
      <c r="AV75" s="39">
        <v>0</v>
      </c>
      <c r="AW75" s="39">
        <v>0</v>
      </c>
      <c r="AX75" s="40">
        <f t="shared" si="104"/>
        <v>0</v>
      </c>
      <c r="AY75" s="39">
        <v>0</v>
      </c>
      <c r="AZ75" s="39">
        <v>0</v>
      </c>
      <c r="BA75" s="40">
        <f t="shared" si="105"/>
        <v>0</v>
      </c>
      <c r="BB75" s="41">
        <v>714</v>
      </c>
      <c r="BC75" s="41">
        <v>20595.107555549999</v>
      </c>
      <c r="BD75" s="41">
        <v>4</v>
      </c>
      <c r="BE75" s="41">
        <v>41.860562409999993</v>
      </c>
      <c r="BF75" s="40">
        <f t="shared" si="106"/>
        <v>2.0325488612813456E-3</v>
      </c>
      <c r="BG75" s="39">
        <v>4</v>
      </c>
      <c r="BH75" s="39">
        <v>41.860562409999993</v>
      </c>
      <c r="BI75" s="40">
        <f t="shared" si="107"/>
        <v>2.0325488612813456E-3</v>
      </c>
      <c r="BJ75" s="39">
        <v>820</v>
      </c>
      <c r="BK75" s="39">
        <v>23100.001503310006</v>
      </c>
      <c r="BL75" s="39">
        <v>2</v>
      </c>
      <c r="BM75" s="39">
        <v>16.000003</v>
      </c>
      <c r="BN75" s="40">
        <f t="shared" si="108"/>
        <v>6.9264077743489989E-4</v>
      </c>
      <c r="BO75" s="4">
        <v>2</v>
      </c>
      <c r="BP75" s="4">
        <v>16.000003</v>
      </c>
      <c r="BQ75" s="40">
        <f t="shared" si="109"/>
        <v>6.9264077743489989E-4</v>
      </c>
      <c r="BR75" s="39">
        <v>824</v>
      </c>
      <c r="BS75" s="39">
        <v>23036.102921950001</v>
      </c>
      <c r="BT75" s="39">
        <v>7</v>
      </c>
      <c r="BU75" s="39">
        <v>148.99594361000001</v>
      </c>
      <c r="BV75" s="40">
        <f t="shared" si="110"/>
        <v>6.4679318422400734E-3</v>
      </c>
      <c r="BW75" s="4">
        <v>7</v>
      </c>
      <c r="BX75" s="4">
        <v>148.99594361000001</v>
      </c>
      <c r="BY75" s="40">
        <f t="shared" si="111"/>
        <v>6.4679318422400734E-3</v>
      </c>
      <c r="BZ75" s="39">
        <v>884</v>
      </c>
      <c r="CA75" s="39">
        <v>23757.82542859</v>
      </c>
      <c r="CB75" s="39">
        <v>13</v>
      </c>
      <c r="CC75" s="39">
        <v>297.25333012999999</v>
      </c>
      <c r="CD75" s="40">
        <f t="shared" si="112"/>
        <v>1.2511807152698723E-2</v>
      </c>
      <c r="CE75" s="4">
        <v>13</v>
      </c>
      <c r="CF75" s="4">
        <v>297.25333012999999</v>
      </c>
      <c r="CG75" s="40">
        <f t="shared" si="113"/>
        <v>1.2511807152698723E-2</v>
      </c>
      <c r="CH75" s="39">
        <v>919</v>
      </c>
      <c r="CI75" s="39">
        <v>23465.273019430009</v>
      </c>
      <c r="CJ75" s="39">
        <v>20</v>
      </c>
      <c r="CK75" s="39">
        <v>558.38475191000009</v>
      </c>
      <c r="CL75" s="40">
        <f t="shared" si="114"/>
        <v>2.3796217987646653E-2</v>
      </c>
      <c r="CM75" s="4">
        <v>20</v>
      </c>
      <c r="CN75" s="4">
        <v>558.38475191000009</v>
      </c>
      <c r="CO75" s="40">
        <f t="shared" si="115"/>
        <v>2.3796217987646653E-2</v>
      </c>
      <c r="CP75" s="39">
        <v>941</v>
      </c>
      <c r="CQ75" s="39">
        <v>23834.018367950011</v>
      </c>
      <c r="CR75" s="39">
        <v>11</v>
      </c>
      <c r="CS75" s="39">
        <v>425.40390127000001</v>
      </c>
      <c r="CT75" s="40">
        <f t="shared" si="116"/>
        <v>1.7848601721396989E-2</v>
      </c>
      <c r="CU75" s="4">
        <v>11</v>
      </c>
      <c r="CV75" s="4">
        <v>425.40390127000001</v>
      </c>
      <c r="CW75" s="40">
        <f t="shared" si="117"/>
        <v>1.7848601721396989E-2</v>
      </c>
      <c r="CX75" s="42"/>
      <c r="CY75" s="42"/>
    </row>
    <row r="76" spans="1:103" s="29" customFormat="1" ht="35.1" customHeight="1" x14ac:dyDescent="0.25">
      <c r="A76" s="38">
        <f t="shared" si="118"/>
        <v>70</v>
      </c>
      <c r="B76" s="45" t="s">
        <v>2135</v>
      </c>
      <c r="C76" s="45" t="s">
        <v>2136</v>
      </c>
      <c r="D76" s="64">
        <v>12097</v>
      </c>
      <c r="E76" s="45" t="s">
        <v>2054</v>
      </c>
      <c r="F76" s="39">
        <v>383</v>
      </c>
      <c r="G76" s="39">
        <v>12594.330874739999</v>
      </c>
      <c r="H76" s="39">
        <v>17</v>
      </c>
      <c r="I76" s="39">
        <v>845.06452180000008</v>
      </c>
      <c r="J76" s="40">
        <f t="shared" si="95"/>
        <v>6.7098802644205258E-2</v>
      </c>
      <c r="K76" s="39">
        <v>17</v>
      </c>
      <c r="L76" s="39">
        <v>845.06452180000008</v>
      </c>
      <c r="M76" s="40">
        <f t="shared" si="96"/>
        <v>6.7098802644205258E-2</v>
      </c>
      <c r="N76" s="39">
        <v>370</v>
      </c>
      <c r="O76" s="39">
        <v>11571.133588139995</v>
      </c>
      <c r="P76" s="39">
        <v>17</v>
      </c>
      <c r="Q76" s="39">
        <v>1381.3805360800002</v>
      </c>
      <c r="R76" s="40">
        <f t="shared" si="97"/>
        <v>0.11938160816809397</v>
      </c>
      <c r="S76" s="39">
        <v>17</v>
      </c>
      <c r="T76" s="39">
        <v>1381.3805360800002</v>
      </c>
      <c r="U76" s="40">
        <f t="shared" si="98"/>
        <v>0.11938160816809397</v>
      </c>
      <c r="V76" s="39">
        <v>356</v>
      </c>
      <c r="W76" s="39">
        <v>11108.703050670001</v>
      </c>
      <c r="X76" s="39">
        <v>20</v>
      </c>
      <c r="Y76" s="39">
        <v>1828.1451107</v>
      </c>
      <c r="Z76" s="40">
        <f t="shared" si="94"/>
        <v>0.16456872619254492</v>
      </c>
      <c r="AA76" s="39">
        <v>20</v>
      </c>
      <c r="AB76" s="39">
        <v>1828.1451107</v>
      </c>
      <c r="AC76" s="40">
        <f t="shared" si="99"/>
        <v>0.16456872619254492</v>
      </c>
      <c r="AD76" s="39">
        <v>339</v>
      </c>
      <c r="AE76" s="39">
        <v>12277.178836949992</v>
      </c>
      <c r="AF76" s="39">
        <v>19</v>
      </c>
      <c r="AG76" s="39">
        <v>1386.3389163400004</v>
      </c>
      <c r="AH76" s="40">
        <f t="shared" si="100"/>
        <v>0.11291999039450397</v>
      </c>
      <c r="AI76" s="39">
        <v>19</v>
      </c>
      <c r="AJ76" s="39">
        <v>1386.3389163400004</v>
      </c>
      <c r="AK76" s="40">
        <f t="shared" si="101"/>
        <v>0.11291999039450397</v>
      </c>
      <c r="AL76" s="39">
        <v>333</v>
      </c>
      <c r="AM76" s="39">
        <v>13407.66840596998</v>
      </c>
      <c r="AN76" s="39">
        <v>18</v>
      </c>
      <c r="AO76" s="39">
        <v>1383.2485117000003</v>
      </c>
      <c r="AP76" s="40">
        <f t="shared" si="102"/>
        <v>0.10316846075072134</v>
      </c>
      <c r="AQ76" s="39">
        <v>18</v>
      </c>
      <c r="AR76" s="39">
        <v>1383.2485117000003</v>
      </c>
      <c r="AS76" s="40">
        <f t="shared" si="103"/>
        <v>0.10316846075072134</v>
      </c>
      <c r="AT76" s="39">
        <v>343</v>
      </c>
      <c r="AU76" s="39">
        <v>17474.336620789993</v>
      </c>
      <c r="AV76" s="39">
        <v>20</v>
      </c>
      <c r="AW76" s="39">
        <v>1386.5803365500001</v>
      </c>
      <c r="AX76" s="40">
        <f t="shared" si="104"/>
        <v>7.9349526487908217E-2</v>
      </c>
      <c r="AY76" s="39">
        <v>20</v>
      </c>
      <c r="AZ76" s="39">
        <v>1386.5803365500001</v>
      </c>
      <c r="BA76" s="40">
        <f t="shared" si="105"/>
        <v>7.9349526487908217E-2</v>
      </c>
      <c r="BB76" s="41">
        <v>358</v>
      </c>
      <c r="BC76" s="41">
        <v>21283.717804759999</v>
      </c>
      <c r="BD76" s="41">
        <v>18</v>
      </c>
      <c r="BE76" s="41">
        <v>1350.8298308100002</v>
      </c>
      <c r="BF76" s="40">
        <f t="shared" si="106"/>
        <v>6.3467757052665566E-2</v>
      </c>
      <c r="BG76" s="39">
        <v>18</v>
      </c>
      <c r="BH76" s="39">
        <v>1350.8298308100002</v>
      </c>
      <c r="BI76" s="40">
        <f t="shared" si="107"/>
        <v>6.3467757052665566E-2</v>
      </c>
      <c r="BJ76" s="39">
        <v>374</v>
      </c>
      <c r="BK76" s="39">
        <v>27888.133799570012</v>
      </c>
      <c r="BL76" s="39">
        <v>20</v>
      </c>
      <c r="BM76" s="39">
        <v>1351.26001494</v>
      </c>
      <c r="BN76" s="40">
        <f t="shared" si="108"/>
        <v>4.8452866177830595E-2</v>
      </c>
      <c r="BO76" s="4">
        <v>20</v>
      </c>
      <c r="BP76" s="4">
        <v>1351.26001494</v>
      </c>
      <c r="BQ76" s="40">
        <f t="shared" si="109"/>
        <v>4.8452866177830595E-2</v>
      </c>
      <c r="BR76" s="39">
        <v>383</v>
      </c>
      <c r="BS76" s="39">
        <v>31976.451272909984</v>
      </c>
      <c r="BT76" s="39">
        <v>14</v>
      </c>
      <c r="BU76" s="39">
        <v>1185.5576055100003</v>
      </c>
      <c r="BV76" s="40">
        <f t="shared" si="110"/>
        <v>3.7075959286150949E-2</v>
      </c>
      <c r="BW76" s="4">
        <v>14</v>
      </c>
      <c r="BX76" s="4">
        <v>1185.5576055100003</v>
      </c>
      <c r="BY76" s="40">
        <f t="shared" si="111"/>
        <v>3.7075959286150949E-2</v>
      </c>
      <c r="BZ76" s="39">
        <v>426</v>
      </c>
      <c r="CA76" s="39">
        <v>45092.291762919995</v>
      </c>
      <c r="CB76" s="39">
        <v>15</v>
      </c>
      <c r="CC76" s="39">
        <v>1060.2802805199999</v>
      </c>
      <c r="CD76" s="40">
        <f t="shared" si="112"/>
        <v>2.3513559392691653E-2</v>
      </c>
      <c r="CE76" s="4">
        <v>15</v>
      </c>
      <c r="CF76" s="4">
        <v>1060.2802805199999</v>
      </c>
      <c r="CG76" s="40">
        <f t="shared" si="113"/>
        <v>2.3513559392691653E-2</v>
      </c>
      <c r="CH76" s="39">
        <v>430</v>
      </c>
      <c r="CI76" s="39">
        <v>50812.04140308997</v>
      </c>
      <c r="CJ76" s="39">
        <v>20</v>
      </c>
      <c r="CK76" s="39">
        <v>1691.4501682500002</v>
      </c>
      <c r="CL76" s="40">
        <f t="shared" si="114"/>
        <v>3.3288372628680493E-2</v>
      </c>
      <c r="CM76" s="4">
        <v>20</v>
      </c>
      <c r="CN76" s="4">
        <v>1691.4501682500002</v>
      </c>
      <c r="CO76" s="40">
        <f t="shared" si="115"/>
        <v>3.3288372628680493E-2</v>
      </c>
      <c r="CP76" s="39">
        <v>448</v>
      </c>
      <c r="CQ76" s="39">
        <v>55725.910437890074</v>
      </c>
      <c r="CR76" s="39">
        <v>17</v>
      </c>
      <c r="CS76" s="39">
        <v>1339.46368538</v>
      </c>
      <c r="CT76" s="40">
        <f t="shared" si="116"/>
        <v>2.4036640673155335E-2</v>
      </c>
      <c r="CU76" s="4">
        <v>17</v>
      </c>
      <c r="CV76" s="4">
        <v>1339.46368538</v>
      </c>
      <c r="CW76" s="40">
        <f t="shared" si="117"/>
        <v>2.4036640673155335E-2</v>
      </c>
      <c r="CX76" s="42">
        <v>0</v>
      </c>
      <c r="CY76" s="42">
        <v>0</v>
      </c>
    </row>
    <row r="77" spans="1:103" s="29" customFormat="1" ht="35.1" customHeight="1" x14ac:dyDescent="0.25">
      <c r="A77" s="38">
        <f t="shared" si="118"/>
        <v>71</v>
      </c>
      <c r="B77" s="45" t="s">
        <v>2135</v>
      </c>
      <c r="C77" s="45" t="s">
        <v>2137</v>
      </c>
      <c r="D77" s="64">
        <v>12091</v>
      </c>
      <c r="E77" s="45" t="s">
        <v>2107</v>
      </c>
      <c r="F77" s="39">
        <v>261</v>
      </c>
      <c r="G77" s="39">
        <v>18669.523240849998</v>
      </c>
      <c r="H77" s="39">
        <v>4</v>
      </c>
      <c r="I77" s="39">
        <v>438.99815511000003</v>
      </c>
      <c r="J77" s="40">
        <f t="shared" si="95"/>
        <v>2.3514159919705215E-2</v>
      </c>
      <c r="K77" s="39">
        <v>4</v>
      </c>
      <c r="L77" s="39">
        <v>438.99815511000003</v>
      </c>
      <c r="M77" s="40">
        <f t="shared" si="96"/>
        <v>2.3514159919705215E-2</v>
      </c>
      <c r="N77" s="39">
        <v>253</v>
      </c>
      <c r="O77" s="39">
        <v>17911.134217149996</v>
      </c>
      <c r="P77" s="39">
        <v>5</v>
      </c>
      <c r="Q77" s="39">
        <v>575.43364098000006</v>
      </c>
      <c r="R77" s="40">
        <f t="shared" si="97"/>
        <v>3.212714694689852E-2</v>
      </c>
      <c r="S77" s="39">
        <v>5</v>
      </c>
      <c r="T77" s="39">
        <v>575.43364098000006</v>
      </c>
      <c r="U77" s="40">
        <f t="shared" si="98"/>
        <v>3.212714694689852E-2</v>
      </c>
      <c r="V77" s="39">
        <v>241</v>
      </c>
      <c r="W77" s="39">
        <v>18095.959767329987</v>
      </c>
      <c r="X77" s="39">
        <v>5</v>
      </c>
      <c r="Y77" s="39">
        <v>575.43364098000006</v>
      </c>
      <c r="Z77" s="40">
        <f t="shared" si="94"/>
        <v>3.1799011955081502E-2</v>
      </c>
      <c r="AA77" s="39">
        <v>5</v>
      </c>
      <c r="AB77" s="39">
        <v>575.43364098000006</v>
      </c>
      <c r="AC77" s="40">
        <f t="shared" si="99"/>
        <v>3.1799011955081502E-2</v>
      </c>
      <c r="AD77" s="39">
        <v>235</v>
      </c>
      <c r="AE77" s="39">
        <v>18496.216902030006</v>
      </c>
      <c r="AF77" s="39">
        <v>5</v>
      </c>
      <c r="AG77" s="39">
        <v>575.43364098000006</v>
      </c>
      <c r="AH77" s="40">
        <f t="shared" si="100"/>
        <v>3.1110883053974393E-2</v>
      </c>
      <c r="AI77" s="39">
        <v>5</v>
      </c>
      <c r="AJ77" s="39">
        <v>575.43364098000006</v>
      </c>
      <c r="AK77" s="40">
        <f t="shared" si="101"/>
        <v>3.1110883053974393E-2</v>
      </c>
      <c r="AL77" s="39">
        <v>230</v>
      </c>
      <c r="AM77" s="39">
        <v>19965.105802069986</v>
      </c>
      <c r="AN77" s="39">
        <v>4</v>
      </c>
      <c r="AO77" s="39">
        <v>438.49815511000003</v>
      </c>
      <c r="AP77" s="40">
        <f t="shared" si="102"/>
        <v>2.1963227215381773E-2</v>
      </c>
      <c r="AQ77" s="39">
        <v>4</v>
      </c>
      <c r="AR77" s="39">
        <v>438.49815511000003</v>
      </c>
      <c r="AS77" s="40">
        <f t="shared" si="103"/>
        <v>2.1963227215381773E-2</v>
      </c>
      <c r="AT77" s="39">
        <v>266</v>
      </c>
      <c r="AU77" s="39">
        <v>22821.390744550015</v>
      </c>
      <c r="AV77" s="39">
        <v>4</v>
      </c>
      <c r="AW77" s="39">
        <v>438.49815511000003</v>
      </c>
      <c r="AX77" s="40">
        <f t="shared" si="104"/>
        <v>1.9214348503923579E-2</v>
      </c>
      <c r="AY77" s="39">
        <v>4</v>
      </c>
      <c r="AZ77" s="39">
        <v>438.49815511000003</v>
      </c>
      <c r="BA77" s="40">
        <f t="shared" si="105"/>
        <v>1.9214348503923579E-2</v>
      </c>
      <c r="BB77" s="41">
        <v>284</v>
      </c>
      <c r="BC77" s="41">
        <v>35036.037835339972</v>
      </c>
      <c r="BD77" s="41">
        <v>3</v>
      </c>
      <c r="BE77" s="41">
        <v>415.65241144999999</v>
      </c>
      <c r="BF77" s="40">
        <f t="shared" si="106"/>
        <v>1.1863567832739974E-2</v>
      </c>
      <c r="BG77" s="39">
        <v>3</v>
      </c>
      <c r="BH77" s="39">
        <v>415.65241144999999</v>
      </c>
      <c r="BI77" s="40">
        <f t="shared" si="107"/>
        <v>1.1863567832739974E-2</v>
      </c>
      <c r="BJ77" s="39">
        <v>308</v>
      </c>
      <c r="BK77" s="39">
        <v>39485.107445329995</v>
      </c>
      <c r="BL77" s="39">
        <v>3</v>
      </c>
      <c r="BM77" s="39">
        <v>415.65241144999999</v>
      </c>
      <c r="BN77" s="40">
        <f t="shared" si="108"/>
        <v>1.0526814749725602E-2</v>
      </c>
      <c r="BO77" s="4">
        <v>3</v>
      </c>
      <c r="BP77" s="4">
        <v>415.65241144999999</v>
      </c>
      <c r="BQ77" s="40">
        <f t="shared" si="109"/>
        <v>1.0526814749725602E-2</v>
      </c>
      <c r="BR77" s="39">
        <v>320</v>
      </c>
      <c r="BS77" s="39">
        <v>49989.470380329964</v>
      </c>
      <c r="BT77" s="39">
        <v>4</v>
      </c>
      <c r="BU77" s="39">
        <v>538.61969424999995</v>
      </c>
      <c r="BV77" s="40">
        <f t="shared" si="110"/>
        <v>1.0774662947058106E-2</v>
      </c>
      <c r="BW77" s="4">
        <v>4</v>
      </c>
      <c r="BX77" s="4">
        <v>538.61969424999995</v>
      </c>
      <c r="BY77" s="40">
        <f t="shared" si="111"/>
        <v>1.0774662947058106E-2</v>
      </c>
      <c r="BZ77" s="39">
        <v>332</v>
      </c>
      <c r="CA77" s="39">
        <v>55664.819782470011</v>
      </c>
      <c r="CB77" s="39">
        <v>4</v>
      </c>
      <c r="CC77" s="39">
        <v>538.11969424999995</v>
      </c>
      <c r="CD77" s="40">
        <f t="shared" si="112"/>
        <v>9.6671415869644985E-3</v>
      </c>
      <c r="CE77" s="4">
        <v>4</v>
      </c>
      <c r="CF77" s="4">
        <v>538.11969424999995</v>
      </c>
      <c r="CG77" s="40">
        <f t="shared" si="113"/>
        <v>9.6671415869644985E-3</v>
      </c>
      <c r="CH77" s="39">
        <v>331</v>
      </c>
      <c r="CI77" s="39">
        <v>57965.776403729986</v>
      </c>
      <c r="CJ77" s="39">
        <v>3</v>
      </c>
      <c r="CK77" s="39">
        <v>527.55602511999996</v>
      </c>
      <c r="CL77" s="40">
        <f t="shared" si="114"/>
        <v>9.1011637875008742E-3</v>
      </c>
      <c r="CM77" s="4">
        <v>3</v>
      </c>
      <c r="CN77" s="4">
        <v>527.55602511999996</v>
      </c>
      <c r="CO77" s="40">
        <f t="shared" si="115"/>
        <v>9.1011637875008742E-3</v>
      </c>
      <c r="CP77" s="39">
        <v>337</v>
      </c>
      <c r="CQ77" s="39">
        <v>59225.595946549947</v>
      </c>
      <c r="CR77" s="39">
        <v>3</v>
      </c>
      <c r="CS77" s="39">
        <v>527.55602511999996</v>
      </c>
      <c r="CT77" s="40">
        <f t="shared" si="116"/>
        <v>8.9075680318372805E-3</v>
      </c>
      <c r="CU77" s="4">
        <v>3</v>
      </c>
      <c r="CV77" s="4">
        <v>527.55602511999996</v>
      </c>
      <c r="CW77" s="40">
        <f t="shared" si="117"/>
        <v>8.9075680318372805E-3</v>
      </c>
      <c r="CX77" s="42">
        <v>0</v>
      </c>
      <c r="CY77" s="42">
        <v>0</v>
      </c>
    </row>
    <row r="78" spans="1:103" s="29" customFormat="1" ht="35.1" customHeight="1" x14ac:dyDescent="0.25">
      <c r="A78" s="38">
        <f t="shared" si="118"/>
        <v>72</v>
      </c>
      <c r="B78" s="45" t="s">
        <v>2135</v>
      </c>
      <c r="C78" s="45" t="s">
        <v>2138</v>
      </c>
      <c r="D78" s="64">
        <v>12090</v>
      </c>
      <c r="E78" s="45" t="s">
        <v>2043</v>
      </c>
      <c r="F78" s="39">
        <v>672</v>
      </c>
      <c r="G78" s="39">
        <v>21814.842544329993</v>
      </c>
      <c r="H78" s="39">
        <v>2</v>
      </c>
      <c r="I78" s="39">
        <v>170.21004306</v>
      </c>
      <c r="J78" s="40">
        <f t="shared" si="95"/>
        <v>7.8024878114116925E-3</v>
      </c>
      <c r="K78" s="39">
        <v>2</v>
      </c>
      <c r="L78" s="39">
        <v>170.21004306</v>
      </c>
      <c r="M78" s="40">
        <f t="shared" si="96"/>
        <v>7.8024878114116925E-3</v>
      </c>
      <c r="N78" s="39">
        <v>669</v>
      </c>
      <c r="O78" s="39">
        <v>21138.903777100011</v>
      </c>
      <c r="P78" s="39">
        <v>3</v>
      </c>
      <c r="Q78" s="39">
        <v>433.96595521999996</v>
      </c>
      <c r="R78" s="40">
        <f t="shared" si="97"/>
        <v>2.0529255433298282E-2</v>
      </c>
      <c r="S78" s="39">
        <v>3</v>
      </c>
      <c r="T78" s="39">
        <v>433.96595521999996</v>
      </c>
      <c r="U78" s="40">
        <f t="shared" si="98"/>
        <v>2.0529255433298282E-2</v>
      </c>
      <c r="V78" s="39">
        <v>676</v>
      </c>
      <c r="W78" s="39">
        <v>21449.265949000011</v>
      </c>
      <c r="X78" s="39">
        <v>3</v>
      </c>
      <c r="Y78" s="39">
        <v>427.69012486000003</v>
      </c>
      <c r="Z78" s="40">
        <f t="shared" si="94"/>
        <v>1.9939615923310394E-2</v>
      </c>
      <c r="AA78" s="39">
        <v>3</v>
      </c>
      <c r="AB78" s="39">
        <v>427.69012486000003</v>
      </c>
      <c r="AC78" s="40">
        <f t="shared" si="99"/>
        <v>1.9939615923310394E-2</v>
      </c>
      <c r="AD78" s="39">
        <v>685</v>
      </c>
      <c r="AE78" s="39">
        <v>23029.757554579966</v>
      </c>
      <c r="AF78" s="39">
        <v>5</v>
      </c>
      <c r="AG78" s="39">
        <v>487.88046370000001</v>
      </c>
      <c r="AH78" s="40">
        <f t="shared" si="100"/>
        <v>2.1184785056626635E-2</v>
      </c>
      <c r="AI78" s="39">
        <v>5</v>
      </c>
      <c r="AJ78" s="39">
        <v>487.88046370000001</v>
      </c>
      <c r="AK78" s="40">
        <f t="shared" si="101"/>
        <v>2.1184785056626635E-2</v>
      </c>
      <c r="AL78" s="39">
        <v>703</v>
      </c>
      <c r="AM78" s="39">
        <v>27419.547705310033</v>
      </c>
      <c r="AN78" s="39">
        <v>2</v>
      </c>
      <c r="AO78" s="39">
        <v>18.044656149999998</v>
      </c>
      <c r="AP78" s="40">
        <f t="shared" si="102"/>
        <v>6.5809459528413353E-4</v>
      </c>
      <c r="AQ78" s="39">
        <v>2</v>
      </c>
      <c r="AR78" s="39">
        <v>18.044656149999998</v>
      </c>
      <c r="AS78" s="40">
        <f t="shared" si="103"/>
        <v>6.5809459528413353E-4</v>
      </c>
      <c r="AT78" s="39">
        <v>748</v>
      </c>
      <c r="AU78" s="39">
        <v>37728.787591600005</v>
      </c>
      <c r="AV78" s="39">
        <v>3</v>
      </c>
      <c r="AW78" s="39">
        <v>21.087499309999998</v>
      </c>
      <c r="AX78" s="40">
        <f t="shared" si="104"/>
        <v>5.5892332237824022E-4</v>
      </c>
      <c r="AY78" s="39">
        <v>3</v>
      </c>
      <c r="AZ78" s="39">
        <v>21.087499309999998</v>
      </c>
      <c r="BA78" s="40">
        <f t="shared" si="105"/>
        <v>5.5892332237824022E-4</v>
      </c>
      <c r="BB78" s="41">
        <v>790</v>
      </c>
      <c r="BC78" s="41">
        <v>44499.834628549987</v>
      </c>
      <c r="BD78" s="41">
        <v>0</v>
      </c>
      <c r="BE78" s="41">
        <v>0</v>
      </c>
      <c r="BF78" s="40">
        <f t="shared" si="106"/>
        <v>0</v>
      </c>
      <c r="BG78" s="39">
        <v>0</v>
      </c>
      <c r="BH78" s="39">
        <v>0</v>
      </c>
      <c r="BI78" s="40">
        <f t="shared" si="107"/>
        <v>0</v>
      </c>
      <c r="BJ78" s="39">
        <v>829</v>
      </c>
      <c r="BK78" s="39">
        <v>52647.941028869987</v>
      </c>
      <c r="BL78" s="39">
        <v>3</v>
      </c>
      <c r="BM78" s="39">
        <v>294.06680780999994</v>
      </c>
      <c r="BN78" s="40">
        <f t="shared" si="108"/>
        <v>5.5855329204373954E-3</v>
      </c>
      <c r="BO78" s="4">
        <v>3</v>
      </c>
      <c r="BP78" s="4">
        <v>294.06680780999994</v>
      </c>
      <c r="BQ78" s="40">
        <f t="shared" si="109"/>
        <v>5.5855329204373954E-3</v>
      </c>
      <c r="BR78" s="39">
        <v>856</v>
      </c>
      <c r="BS78" s="39">
        <v>58851.687407470061</v>
      </c>
      <c r="BT78" s="39">
        <v>5</v>
      </c>
      <c r="BU78" s="39">
        <v>304.60536748999994</v>
      </c>
      <c r="BV78" s="40">
        <f t="shared" si="110"/>
        <v>5.175813658171104E-3</v>
      </c>
      <c r="BW78" s="4">
        <v>5</v>
      </c>
      <c r="BX78" s="4">
        <v>304.60536748999994</v>
      </c>
      <c r="BY78" s="40">
        <f t="shared" si="111"/>
        <v>5.175813658171104E-3</v>
      </c>
      <c r="BZ78" s="39">
        <v>900</v>
      </c>
      <c r="CA78" s="39">
        <v>65723.791747110052</v>
      </c>
      <c r="CB78" s="39">
        <v>7</v>
      </c>
      <c r="CC78" s="39">
        <v>637.32155917999989</v>
      </c>
      <c r="CD78" s="40">
        <f t="shared" si="112"/>
        <v>9.6969688181148435E-3</v>
      </c>
      <c r="CE78" s="4">
        <v>7</v>
      </c>
      <c r="CF78" s="4">
        <v>637.32155917999989</v>
      </c>
      <c r="CG78" s="40">
        <f t="shared" si="113"/>
        <v>9.6969688181148435E-3</v>
      </c>
      <c r="CH78" s="39">
        <v>941</v>
      </c>
      <c r="CI78" s="39">
        <v>72234.46391752988</v>
      </c>
      <c r="CJ78" s="39">
        <v>5</v>
      </c>
      <c r="CK78" s="39">
        <v>749.12352161000001</v>
      </c>
      <c r="CL78" s="40">
        <f t="shared" si="114"/>
        <v>1.0370721688545715E-2</v>
      </c>
      <c r="CM78" s="4">
        <v>5</v>
      </c>
      <c r="CN78" s="4">
        <v>749.12352161000001</v>
      </c>
      <c r="CO78" s="40">
        <f t="shared" si="115"/>
        <v>1.0370721688545715E-2</v>
      </c>
      <c r="CP78" s="39">
        <v>957</v>
      </c>
      <c r="CQ78" s="39">
        <v>81744.296334739862</v>
      </c>
      <c r="CR78" s="39">
        <v>4</v>
      </c>
      <c r="CS78" s="39">
        <v>452.86863115</v>
      </c>
      <c r="CT78" s="40">
        <f t="shared" si="116"/>
        <v>5.5400639733385161E-3</v>
      </c>
      <c r="CU78" s="4">
        <v>4</v>
      </c>
      <c r="CV78" s="4">
        <v>452.86863115</v>
      </c>
      <c r="CW78" s="40">
        <f t="shared" si="117"/>
        <v>5.5400639733385161E-3</v>
      </c>
      <c r="CX78" s="42">
        <v>0</v>
      </c>
      <c r="CY78" s="42">
        <v>0</v>
      </c>
    </row>
    <row r="79" spans="1:103" s="29" customFormat="1" ht="35.1" customHeight="1" x14ac:dyDescent="0.25">
      <c r="A79" s="38">
        <f t="shared" si="118"/>
        <v>73</v>
      </c>
      <c r="B79" s="45" t="s">
        <v>2139</v>
      </c>
      <c r="C79" s="45" t="s">
        <v>2140</v>
      </c>
      <c r="D79" s="64">
        <v>11443</v>
      </c>
      <c r="E79" s="45" t="s">
        <v>2073</v>
      </c>
      <c r="F79" s="39">
        <v>2703</v>
      </c>
      <c r="G79" s="39">
        <v>139387.88278369993</v>
      </c>
      <c r="H79" s="39">
        <v>78</v>
      </c>
      <c r="I79" s="39">
        <v>1420.7594544400001</v>
      </c>
      <c r="J79" s="40">
        <f t="shared" si="95"/>
        <v>1.0192847656956766E-2</v>
      </c>
      <c r="K79" s="39">
        <v>78</v>
      </c>
      <c r="L79" s="39">
        <v>1420.7594544400001</v>
      </c>
      <c r="M79" s="40">
        <f t="shared" si="96"/>
        <v>1.0192847656956766E-2</v>
      </c>
      <c r="N79" s="39">
        <v>2654</v>
      </c>
      <c r="O79" s="39">
        <v>133822.12583710963</v>
      </c>
      <c r="P79" s="39">
        <v>68</v>
      </c>
      <c r="Q79" s="39">
        <v>2254.4260498799995</v>
      </c>
      <c r="R79" s="40">
        <f t="shared" si="97"/>
        <v>1.684643728215857E-2</v>
      </c>
      <c r="S79" s="39">
        <v>68</v>
      </c>
      <c r="T79" s="39">
        <v>2254.4260498799995</v>
      </c>
      <c r="U79" s="40">
        <f t="shared" si="98"/>
        <v>1.684643728215857E-2</v>
      </c>
      <c r="V79" s="39">
        <v>2602</v>
      </c>
      <c r="W79" s="39">
        <v>148536.25895967981</v>
      </c>
      <c r="X79" s="39">
        <v>61</v>
      </c>
      <c r="Y79" s="39">
        <v>1805.3707620999996</v>
      </c>
      <c r="Z79" s="40">
        <f t="shared" si="94"/>
        <v>1.2154411150142591E-2</v>
      </c>
      <c r="AA79" s="39">
        <v>61</v>
      </c>
      <c r="AB79" s="39">
        <v>1805.3707620999996</v>
      </c>
      <c r="AC79" s="40">
        <f t="shared" si="99"/>
        <v>1.2154411150142591E-2</v>
      </c>
      <c r="AD79" s="39">
        <v>2601</v>
      </c>
      <c r="AE79" s="39">
        <v>153922.95035357989</v>
      </c>
      <c r="AF79" s="39">
        <v>68</v>
      </c>
      <c r="AG79" s="39">
        <v>1441.5405355999992</v>
      </c>
      <c r="AH79" s="40">
        <f t="shared" si="100"/>
        <v>9.3653385170216902E-3</v>
      </c>
      <c r="AI79" s="39">
        <v>68</v>
      </c>
      <c r="AJ79" s="39">
        <v>1441.5405355999992</v>
      </c>
      <c r="AK79" s="40">
        <f t="shared" si="101"/>
        <v>9.3653385170216902E-3</v>
      </c>
      <c r="AL79" s="39">
        <v>2610</v>
      </c>
      <c r="AM79" s="39">
        <v>154620.22147736078</v>
      </c>
      <c r="AN79" s="39">
        <v>61</v>
      </c>
      <c r="AO79" s="39">
        <v>1784.8254232999991</v>
      </c>
      <c r="AP79" s="40">
        <f t="shared" si="102"/>
        <v>1.1543285905597606E-2</v>
      </c>
      <c r="AQ79" s="39">
        <v>61</v>
      </c>
      <c r="AR79" s="39">
        <v>1784.8254232999991</v>
      </c>
      <c r="AS79" s="40">
        <f t="shared" si="103"/>
        <v>1.1543285905597606E-2</v>
      </c>
      <c r="AT79" s="39">
        <v>2621</v>
      </c>
      <c r="AU79" s="39">
        <v>151569.92449679988</v>
      </c>
      <c r="AV79" s="39">
        <v>56</v>
      </c>
      <c r="AW79" s="39">
        <v>1795.6912366899987</v>
      </c>
      <c r="AX79" s="40">
        <f t="shared" si="104"/>
        <v>1.1847279350778533E-2</v>
      </c>
      <c r="AY79" s="39">
        <v>56</v>
      </c>
      <c r="AZ79" s="39">
        <v>1795.6912366899987</v>
      </c>
      <c r="BA79" s="40">
        <f t="shared" si="105"/>
        <v>1.1847279350778533E-2</v>
      </c>
      <c r="BB79" s="41">
        <v>2609</v>
      </c>
      <c r="BC79" s="41">
        <v>146924.30891855014</v>
      </c>
      <c r="BD79" s="41">
        <v>49</v>
      </c>
      <c r="BE79" s="41">
        <v>1267.3660116099998</v>
      </c>
      <c r="BF79" s="40">
        <f t="shared" si="106"/>
        <v>8.6259790564173055E-3</v>
      </c>
      <c r="BG79" s="39">
        <v>49</v>
      </c>
      <c r="BH79" s="39">
        <v>1267.3660116099998</v>
      </c>
      <c r="BI79" s="40">
        <f t="shared" si="107"/>
        <v>8.6259790564173055E-3</v>
      </c>
      <c r="BJ79" s="39">
        <v>2603</v>
      </c>
      <c r="BK79" s="39">
        <v>144120.24386030014</v>
      </c>
      <c r="BL79" s="39">
        <v>51</v>
      </c>
      <c r="BM79" s="39">
        <v>1297.74211337</v>
      </c>
      <c r="BN79" s="40">
        <f t="shared" si="108"/>
        <v>9.0045789447035524E-3</v>
      </c>
      <c r="BO79" s="4">
        <v>51</v>
      </c>
      <c r="BP79" s="4">
        <v>1297.74211337</v>
      </c>
      <c r="BQ79" s="40">
        <f t="shared" si="109"/>
        <v>9.0045789447035524E-3</v>
      </c>
      <c r="BR79" s="39">
        <v>2653</v>
      </c>
      <c r="BS79" s="39">
        <v>157405.6009008805</v>
      </c>
      <c r="BT79" s="39">
        <v>52</v>
      </c>
      <c r="BU79" s="39">
        <v>1530.1908366799998</v>
      </c>
      <c r="BV79" s="40">
        <f t="shared" si="110"/>
        <v>9.7213239422374344E-3</v>
      </c>
      <c r="BW79" s="4">
        <v>52</v>
      </c>
      <c r="BX79" s="4">
        <v>1530.1908366799998</v>
      </c>
      <c r="BY79" s="40">
        <f t="shared" si="111"/>
        <v>9.7213239422374344E-3</v>
      </c>
      <c r="BZ79" s="39">
        <v>2698</v>
      </c>
      <c r="CA79" s="39">
        <v>153235.40290742012</v>
      </c>
      <c r="CB79" s="39">
        <v>49</v>
      </c>
      <c r="CC79" s="39">
        <v>1232.0177613400003</v>
      </c>
      <c r="CD79" s="40">
        <f t="shared" si="112"/>
        <v>8.0400334254633419E-3</v>
      </c>
      <c r="CE79" s="4">
        <v>49</v>
      </c>
      <c r="CF79" s="4">
        <v>1232.0177613400003</v>
      </c>
      <c r="CG79" s="40">
        <f t="shared" si="113"/>
        <v>8.0400334254633419E-3</v>
      </c>
      <c r="CH79" s="39">
        <v>2721</v>
      </c>
      <c r="CI79" s="39">
        <v>162757.15835002041</v>
      </c>
      <c r="CJ79" s="39">
        <v>54</v>
      </c>
      <c r="CK79" s="39">
        <v>1325.5893712200002</v>
      </c>
      <c r="CL79" s="40">
        <f t="shared" si="114"/>
        <v>8.14458414399955E-3</v>
      </c>
      <c r="CM79" s="4">
        <v>54</v>
      </c>
      <c r="CN79" s="4">
        <v>1325.5893712200002</v>
      </c>
      <c r="CO79" s="40">
        <f t="shared" si="115"/>
        <v>8.14458414399955E-3</v>
      </c>
      <c r="CP79" s="39">
        <v>2719</v>
      </c>
      <c r="CQ79" s="39">
        <v>156454.70605113992</v>
      </c>
      <c r="CR79" s="39">
        <v>58</v>
      </c>
      <c r="CS79" s="39">
        <v>1307.7760041100005</v>
      </c>
      <c r="CT79" s="40">
        <f t="shared" si="116"/>
        <v>8.3588153857291538E-3</v>
      </c>
      <c r="CU79" s="4">
        <v>58</v>
      </c>
      <c r="CV79" s="4">
        <v>1307.7760041100005</v>
      </c>
      <c r="CW79" s="40">
        <f t="shared" si="117"/>
        <v>8.3588153857291538E-3</v>
      </c>
      <c r="CX79" s="42">
        <v>0</v>
      </c>
      <c r="CY79" s="42">
        <v>0</v>
      </c>
    </row>
    <row r="80" spans="1:103" s="29" customFormat="1" ht="35.1" customHeight="1" x14ac:dyDescent="0.25">
      <c r="A80" s="38">
        <f t="shared" si="118"/>
        <v>74</v>
      </c>
      <c r="B80" s="45" t="s">
        <v>2139</v>
      </c>
      <c r="C80" s="45" t="s">
        <v>2141</v>
      </c>
      <c r="D80" s="64">
        <v>11444</v>
      </c>
      <c r="E80" s="45" t="s">
        <v>2039</v>
      </c>
      <c r="F80" s="39">
        <v>3317</v>
      </c>
      <c r="G80" s="39">
        <v>223794.54496203063</v>
      </c>
      <c r="H80" s="39">
        <v>139</v>
      </c>
      <c r="I80" s="39">
        <v>2551.0280855000033</v>
      </c>
      <c r="J80" s="40">
        <f t="shared" si="95"/>
        <v>1.139897349121184E-2</v>
      </c>
      <c r="K80" s="39">
        <v>139</v>
      </c>
      <c r="L80" s="39">
        <v>2551.0280855000033</v>
      </c>
      <c r="M80" s="40">
        <f t="shared" si="96"/>
        <v>1.139897349121184E-2</v>
      </c>
      <c r="N80" s="39">
        <v>3238</v>
      </c>
      <c r="O80" s="39">
        <v>219320.71004768074</v>
      </c>
      <c r="P80" s="39">
        <v>151</v>
      </c>
      <c r="Q80" s="39">
        <v>2724.6459323800013</v>
      </c>
      <c r="R80" s="40">
        <f t="shared" si="97"/>
        <v>1.2423112855086318E-2</v>
      </c>
      <c r="S80" s="39">
        <v>151</v>
      </c>
      <c r="T80" s="39">
        <v>2724.6459323800013</v>
      </c>
      <c r="U80" s="40">
        <f t="shared" si="98"/>
        <v>1.2423112855086318E-2</v>
      </c>
      <c r="V80" s="39">
        <v>3164</v>
      </c>
      <c r="W80" s="39">
        <v>216040.37348741043</v>
      </c>
      <c r="X80" s="39">
        <v>149</v>
      </c>
      <c r="Y80" s="39">
        <v>2575.5935208400024</v>
      </c>
      <c r="Z80" s="40">
        <f t="shared" si="94"/>
        <v>1.19218157201996E-2</v>
      </c>
      <c r="AA80" s="39">
        <v>149</v>
      </c>
      <c r="AB80" s="39">
        <v>2575.5935208400024</v>
      </c>
      <c r="AC80" s="40">
        <f t="shared" si="99"/>
        <v>1.19218157201996E-2</v>
      </c>
      <c r="AD80" s="39">
        <v>3169</v>
      </c>
      <c r="AE80" s="39">
        <v>215101.42014334112</v>
      </c>
      <c r="AF80" s="39">
        <v>142</v>
      </c>
      <c r="AG80" s="39">
        <v>2941.0104508800009</v>
      </c>
      <c r="AH80" s="40">
        <f t="shared" si="100"/>
        <v>1.3672668683080499E-2</v>
      </c>
      <c r="AI80" s="39">
        <v>142</v>
      </c>
      <c r="AJ80" s="39">
        <v>2941.0104508800009</v>
      </c>
      <c r="AK80" s="40">
        <f t="shared" si="101"/>
        <v>1.3672668683080499E-2</v>
      </c>
      <c r="AL80" s="39">
        <v>3189</v>
      </c>
      <c r="AM80" s="39">
        <v>223209.84115505029</v>
      </c>
      <c r="AN80" s="39">
        <v>114</v>
      </c>
      <c r="AO80" s="39">
        <v>2292.4143409600019</v>
      </c>
      <c r="AP80" s="40">
        <f t="shared" si="102"/>
        <v>1.0270220744288783E-2</v>
      </c>
      <c r="AQ80" s="39">
        <v>114</v>
      </c>
      <c r="AR80" s="39">
        <v>2292.4143409600019</v>
      </c>
      <c r="AS80" s="40">
        <f t="shared" si="103"/>
        <v>1.0270220744288783E-2</v>
      </c>
      <c r="AT80" s="39">
        <v>3242</v>
      </c>
      <c r="AU80" s="39">
        <v>223440.51173372995</v>
      </c>
      <c r="AV80" s="39">
        <v>116</v>
      </c>
      <c r="AW80" s="39">
        <v>2380.7431041400023</v>
      </c>
      <c r="AX80" s="40">
        <f t="shared" si="104"/>
        <v>1.0654930413769779E-2</v>
      </c>
      <c r="AY80" s="39">
        <v>116</v>
      </c>
      <c r="AZ80" s="39">
        <v>2380.7431041400023</v>
      </c>
      <c r="BA80" s="40">
        <f t="shared" si="105"/>
        <v>1.0654930413769779E-2</v>
      </c>
      <c r="BB80" s="41">
        <v>3256</v>
      </c>
      <c r="BC80" s="41">
        <v>221254.99071976013</v>
      </c>
      <c r="BD80" s="41">
        <v>113</v>
      </c>
      <c r="BE80" s="41">
        <v>2272.6815727400021</v>
      </c>
      <c r="BF80" s="40">
        <f t="shared" si="106"/>
        <v>1.0271775408757053E-2</v>
      </c>
      <c r="BG80" s="39">
        <v>113</v>
      </c>
      <c r="BH80" s="39">
        <v>2272.6815727400021</v>
      </c>
      <c r="BI80" s="40">
        <f t="shared" si="107"/>
        <v>1.0271775408757053E-2</v>
      </c>
      <c r="BJ80" s="39">
        <v>3310</v>
      </c>
      <c r="BK80" s="39">
        <v>218539.39304672991</v>
      </c>
      <c r="BL80" s="39">
        <v>105</v>
      </c>
      <c r="BM80" s="39">
        <v>2127.1654974200005</v>
      </c>
      <c r="BN80" s="40">
        <f t="shared" si="108"/>
        <v>9.7335563523101402E-3</v>
      </c>
      <c r="BO80" s="4">
        <v>105</v>
      </c>
      <c r="BP80" s="4">
        <v>2127.1654974200005</v>
      </c>
      <c r="BQ80" s="40">
        <f t="shared" si="109"/>
        <v>9.7335563523101402E-3</v>
      </c>
      <c r="BR80" s="39">
        <v>3448</v>
      </c>
      <c r="BS80" s="39">
        <v>225771.38735065036</v>
      </c>
      <c r="BT80" s="39">
        <v>101</v>
      </c>
      <c r="BU80" s="39">
        <v>1772.5401786700004</v>
      </c>
      <c r="BV80" s="40">
        <f t="shared" si="110"/>
        <v>7.8510399367703338E-3</v>
      </c>
      <c r="BW80" s="4">
        <v>101</v>
      </c>
      <c r="BX80" s="4">
        <v>1772.5401786700004</v>
      </c>
      <c r="BY80" s="40">
        <f t="shared" si="111"/>
        <v>7.8510399367703338E-3</v>
      </c>
      <c r="BZ80" s="39">
        <v>3494</v>
      </c>
      <c r="CA80" s="39">
        <v>229406.28880380004</v>
      </c>
      <c r="CB80" s="39">
        <v>96</v>
      </c>
      <c r="CC80" s="39">
        <v>1569.0716326500001</v>
      </c>
      <c r="CD80" s="40">
        <f t="shared" si="112"/>
        <v>6.8397062732310282E-3</v>
      </c>
      <c r="CE80" s="4">
        <v>96</v>
      </c>
      <c r="CF80" s="4">
        <v>1569.0716326500001</v>
      </c>
      <c r="CG80" s="40">
        <f t="shared" si="113"/>
        <v>6.8397062732310282E-3</v>
      </c>
      <c r="CH80" s="39">
        <v>3576</v>
      </c>
      <c r="CI80" s="39">
        <v>232574.44231429973</v>
      </c>
      <c r="CJ80" s="39">
        <v>90</v>
      </c>
      <c r="CK80" s="39">
        <v>1478.697242200001</v>
      </c>
      <c r="CL80" s="40">
        <f t="shared" si="114"/>
        <v>6.3579524365867269E-3</v>
      </c>
      <c r="CM80" s="4">
        <v>90</v>
      </c>
      <c r="CN80" s="4">
        <v>1478.697242200001</v>
      </c>
      <c r="CO80" s="40">
        <f t="shared" si="115"/>
        <v>6.3579524365867269E-3</v>
      </c>
      <c r="CP80" s="39">
        <v>3627</v>
      </c>
      <c r="CQ80" s="39">
        <v>231857.50665906994</v>
      </c>
      <c r="CR80" s="39">
        <v>86</v>
      </c>
      <c r="CS80" s="39">
        <v>2008.1962950500008</v>
      </c>
      <c r="CT80" s="40">
        <f t="shared" si="116"/>
        <v>8.6613382675718633E-3</v>
      </c>
      <c r="CU80" s="4">
        <v>86</v>
      </c>
      <c r="CV80" s="4">
        <v>2008.1962950500008</v>
      </c>
      <c r="CW80" s="40">
        <f t="shared" si="117"/>
        <v>8.6613382675718633E-3</v>
      </c>
      <c r="CX80" s="42">
        <v>0</v>
      </c>
      <c r="CY80" s="42">
        <v>0</v>
      </c>
    </row>
    <row r="81" spans="1:103" s="29" customFormat="1" ht="35.1" customHeight="1" x14ac:dyDescent="0.25">
      <c r="A81" s="38">
        <f t="shared" si="118"/>
        <v>75</v>
      </c>
      <c r="B81" s="45" t="s">
        <v>2139</v>
      </c>
      <c r="C81" s="45" t="s">
        <v>2142</v>
      </c>
      <c r="D81" s="64">
        <v>11445</v>
      </c>
      <c r="E81" s="45" t="s">
        <v>2049</v>
      </c>
      <c r="F81" s="39">
        <v>3703</v>
      </c>
      <c r="G81" s="39">
        <v>234258.64672690054</v>
      </c>
      <c r="H81" s="39">
        <v>161</v>
      </c>
      <c r="I81" s="39">
        <v>5034.5292476599998</v>
      </c>
      <c r="J81" s="40">
        <f t="shared" si="95"/>
        <v>2.1491327291450077E-2</v>
      </c>
      <c r="K81" s="39">
        <v>161</v>
      </c>
      <c r="L81" s="39">
        <v>5034.5292476599998</v>
      </c>
      <c r="M81" s="40">
        <f t="shared" si="96"/>
        <v>2.1491327291450077E-2</v>
      </c>
      <c r="N81" s="39">
        <v>3664</v>
      </c>
      <c r="O81" s="39">
        <v>234832.90880039855</v>
      </c>
      <c r="P81" s="39">
        <v>174</v>
      </c>
      <c r="Q81" s="39">
        <v>5301.4128447799931</v>
      </c>
      <c r="R81" s="40">
        <f t="shared" si="97"/>
        <v>2.257525519681761E-2</v>
      </c>
      <c r="S81" s="39">
        <v>174</v>
      </c>
      <c r="T81" s="39">
        <v>5301.4128447799931</v>
      </c>
      <c r="U81" s="40">
        <f t="shared" si="98"/>
        <v>2.257525519681761E-2</v>
      </c>
      <c r="V81" s="39">
        <v>3606</v>
      </c>
      <c r="W81" s="39">
        <v>234842.04827743958</v>
      </c>
      <c r="X81" s="39">
        <v>154</v>
      </c>
      <c r="Y81" s="39">
        <v>4089.2270714700012</v>
      </c>
      <c r="Z81" s="40">
        <f t="shared" si="94"/>
        <v>1.741266992629462E-2</v>
      </c>
      <c r="AA81" s="39">
        <v>154</v>
      </c>
      <c r="AB81" s="39">
        <v>4089.2270714700012</v>
      </c>
      <c r="AC81" s="40">
        <f t="shared" si="99"/>
        <v>1.741266992629462E-2</v>
      </c>
      <c r="AD81" s="39">
        <v>3610</v>
      </c>
      <c r="AE81" s="39">
        <v>235855.99238424032</v>
      </c>
      <c r="AF81" s="39">
        <v>135</v>
      </c>
      <c r="AG81" s="39">
        <v>3538.0948543500012</v>
      </c>
      <c r="AH81" s="40">
        <f t="shared" si="100"/>
        <v>1.5001081035015558E-2</v>
      </c>
      <c r="AI81" s="39">
        <v>135</v>
      </c>
      <c r="AJ81" s="39">
        <v>3538.0948543500012</v>
      </c>
      <c r="AK81" s="40">
        <f t="shared" si="101"/>
        <v>1.5001081035015558E-2</v>
      </c>
      <c r="AL81" s="39">
        <v>3627</v>
      </c>
      <c r="AM81" s="39">
        <v>240163.43969901983</v>
      </c>
      <c r="AN81" s="39">
        <v>123</v>
      </c>
      <c r="AO81" s="39">
        <v>3290.1854883199981</v>
      </c>
      <c r="AP81" s="40">
        <f t="shared" si="102"/>
        <v>1.3699776670601318E-2</v>
      </c>
      <c r="AQ81" s="39">
        <v>123</v>
      </c>
      <c r="AR81" s="39">
        <v>3290.1854883199981</v>
      </c>
      <c r="AS81" s="40">
        <f t="shared" si="103"/>
        <v>1.3699776670601318E-2</v>
      </c>
      <c r="AT81" s="39">
        <v>3701</v>
      </c>
      <c r="AU81" s="39">
        <v>247606.27378596101</v>
      </c>
      <c r="AV81" s="39">
        <v>124</v>
      </c>
      <c r="AW81" s="39">
        <v>3332.561165829999</v>
      </c>
      <c r="AX81" s="40">
        <f t="shared" si="104"/>
        <v>1.3459114403178549E-2</v>
      </c>
      <c r="AY81" s="39">
        <v>124</v>
      </c>
      <c r="AZ81" s="39">
        <v>3332.561165829999</v>
      </c>
      <c r="BA81" s="40">
        <f t="shared" si="105"/>
        <v>1.3459114403178549E-2</v>
      </c>
      <c r="BB81" s="41">
        <v>3764</v>
      </c>
      <c r="BC81" s="41">
        <v>255957.22161738985</v>
      </c>
      <c r="BD81" s="41">
        <v>115</v>
      </c>
      <c r="BE81" s="41">
        <v>3118.1818202799977</v>
      </c>
      <c r="BF81" s="40">
        <f t="shared" si="106"/>
        <v>1.2182433457342027E-2</v>
      </c>
      <c r="BG81" s="39">
        <v>115</v>
      </c>
      <c r="BH81" s="39">
        <v>3118.1818202799977</v>
      </c>
      <c r="BI81" s="40">
        <f t="shared" si="107"/>
        <v>1.2182433457342027E-2</v>
      </c>
      <c r="BJ81" s="39">
        <v>3916</v>
      </c>
      <c r="BK81" s="39">
        <v>271296.84385551047</v>
      </c>
      <c r="BL81" s="39">
        <v>120</v>
      </c>
      <c r="BM81" s="39">
        <v>3210.326183449999</v>
      </c>
      <c r="BN81" s="40">
        <f t="shared" si="108"/>
        <v>1.1833260342533809E-2</v>
      </c>
      <c r="BO81" s="4">
        <v>120</v>
      </c>
      <c r="BP81" s="4">
        <v>3210.326183449999</v>
      </c>
      <c r="BQ81" s="40">
        <f t="shared" si="109"/>
        <v>1.1833260342533809E-2</v>
      </c>
      <c r="BR81" s="39">
        <v>4135</v>
      </c>
      <c r="BS81" s="39">
        <v>293337.75287320884</v>
      </c>
      <c r="BT81" s="39">
        <v>120</v>
      </c>
      <c r="BU81" s="39">
        <v>3112.3814433499974</v>
      </c>
      <c r="BV81" s="40">
        <f t="shared" si="110"/>
        <v>1.0610231423894766E-2</v>
      </c>
      <c r="BW81" s="4">
        <v>120</v>
      </c>
      <c r="BX81" s="4">
        <v>3112.3814433499974</v>
      </c>
      <c r="BY81" s="40">
        <f t="shared" si="111"/>
        <v>1.0610231423894766E-2</v>
      </c>
      <c r="BZ81" s="39">
        <v>4344</v>
      </c>
      <c r="CA81" s="39">
        <v>290021.06658237998</v>
      </c>
      <c r="CB81" s="39">
        <v>125</v>
      </c>
      <c r="CC81" s="39">
        <v>3189.4237452899979</v>
      </c>
      <c r="CD81" s="40">
        <f t="shared" si="112"/>
        <v>1.0997214039911985E-2</v>
      </c>
      <c r="CE81" s="4">
        <v>125</v>
      </c>
      <c r="CF81" s="4">
        <v>3189.4237452899979</v>
      </c>
      <c r="CG81" s="40">
        <f t="shared" si="113"/>
        <v>1.0997214039911985E-2</v>
      </c>
      <c r="CH81" s="39">
        <v>4547</v>
      </c>
      <c r="CI81" s="39">
        <v>307595.24933193007</v>
      </c>
      <c r="CJ81" s="39">
        <v>118</v>
      </c>
      <c r="CK81" s="39">
        <v>3229.9382820999981</v>
      </c>
      <c r="CL81" s="40">
        <f t="shared" si="114"/>
        <v>1.0500611726335634E-2</v>
      </c>
      <c r="CM81" s="4">
        <v>118</v>
      </c>
      <c r="CN81" s="4">
        <v>3229.9382820999981</v>
      </c>
      <c r="CO81" s="40">
        <f t="shared" si="115"/>
        <v>1.0500611726335634E-2</v>
      </c>
      <c r="CP81" s="39">
        <v>4729</v>
      </c>
      <c r="CQ81" s="39">
        <v>316608.98144725995</v>
      </c>
      <c r="CR81" s="39">
        <v>131</v>
      </c>
      <c r="CS81" s="39">
        <v>4171.5567117700002</v>
      </c>
      <c r="CT81" s="40">
        <f t="shared" si="116"/>
        <v>1.3175737127548572E-2</v>
      </c>
      <c r="CU81" s="4">
        <v>131</v>
      </c>
      <c r="CV81" s="4">
        <v>4171.5567117700002</v>
      </c>
      <c r="CW81" s="40">
        <f t="shared" si="117"/>
        <v>1.3175737127548572E-2</v>
      </c>
      <c r="CX81" s="42">
        <v>0</v>
      </c>
      <c r="CY81" s="42">
        <v>0</v>
      </c>
    </row>
    <row r="82" spans="1:103" s="29" customFormat="1" ht="35.1" customHeight="1" x14ac:dyDescent="0.25">
      <c r="A82" s="38">
        <f t="shared" si="118"/>
        <v>76</v>
      </c>
      <c r="B82" s="45" t="s">
        <v>2139</v>
      </c>
      <c r="C82" s="45" t="s">
        <v>2143</v>
      </c>
      <c r="D82" s="64">
        <v>11446</v>
      </c>
      <c r="E82" s="45" t="s">
        <v>2037</v>
      </c>
      <c r="F82" s="39">
        <v>3746</v>
      </c>
      <c r="G82" s="39">
        <v>181358.84700628021</v>
      </c>
      <c r="H82" s="39">
        <v>97</v>
      </c>
      <c r="I82" s="39">
        <v>15645.597646439999</v>
      </c>
      <c r="J82" s="40">
        <f t="shared" si="95"/>
        <v>8.6268731328547829E-2</v>
      </c>
      <c r="K82" s="39">
        <v>97</v>
      </c>
      <c r="L82" s="39">
        <v>15645.597646439999</v>
      </c>
      <c r="M82" s="40">
        <f t="shared" si="96"/>
        <v>8.6268731328547829E-2</v>
      </c>
      <c r="N82" s="39">
        <v>3680</v>
      </c>
      <c r="O82" s="39">
        <v>182877.74224513947</v>
      </c>
      <c r="P82" s="39">
        <v>92</v>
      </c>
      <c r="Q82" s="39">
        <v>15951.140866720001</v>
      </c>
      <c r="R82" s="40">
        <f t="shared" si="97"/>
        <v>8.7222975693445559E-2</v>
      </c>
      <c r="S82" s="39">
        <v>92</v>
      </c>
      <c r="T82" s="39">
        <v>15951.140866720001</v>
      </c>
      <c r="U82" s="40">
        <f t="shared" si="98"/>
        <v>8.7222975693445559E-2</v>
      </c>
      <c r="V82" s="39">
        <v>3611</v>
      </c>
      <c r="W82" s="39">
        <v>168452.41760419932</v>
      </c>
      <c r="X82" s="39">
        <v>83</v>
      </c>
      <c r="Y82" s="39">
        <v>1505.09416863</v>
      </c>
      <c r="Z82" s="40">
        <f t="shared" si="94"/>
        <v>8.9348326965921782E-3</v>
      </c>
      <c r="AA82" s="39">
        <v>83</v>
      </c>
      <c r="AB82" s="39">
        <v>1505.09416863</v>
      </c>
      <c r="AC82" s="40">
        <f t="shared" si="99"/>
        <v>8.9348326965921782E-3</v>
      </c>
      <c r="AD82" s="39">
        <v>3589</v>
      </c>
      <c r="AE82" s="39">
        <v>174885.36728282968</v>
      </c>
      <c r="AF82" s="39">
        <v>81</v>
      </c>
      <c r="AG82" s="39">
        <v>1558.8257673400001</v>
      </c>
      <c r="AH82" s="40">
        <f t="shared" si="100"/>
        <v>8.9134144929290844E-3</v>
      </c>
      <c r="AI82" s="39">
        <v>81</v>
      </c>
      <c r="AJ82" s="39">
        <v>1558.8257673400001</v>
      </c>
      <c r="AK82" s="40">
        <f t="shared" si="101"/>
        <v>8.9134144929290844E-3</v>
      </c>
      <c r="AL82" s="39">
        <v>3590</v>
      </c>
      <c r="AM82" s="39">
        <v>185723.40992548029</v>
      </c>
      <c r="AN82" s="39">
        <v>68</v>
      </c>
      <c r="AO82" s="39">
        <v>1399.5244949399996</v>
      </c>
      <c r="AP82" s="40">
        <f t="shared" si="102"/>
        <v>7.535530903193869E-3</v>
      </c>
      <c r="AQ82" s="39">
        <v>68</v>
      </c>
      <c r="AR82" s="39">
        <v>1399.5244949399996</v>
      </c>
      <c r="AS82" s="40">
        <f t="shared" si="103"/>
        <v>7.535530903193869E-3</v>
      </c>
      <c r="AT82" s="39">
        <v>3586</v>
      </c>
      <c r="AU82" s="39">
        <v>187658.93533310044</v>
      </c>
      <c r="AV82" s="39">
        <v>60</v>
      </c>
      <c r="AW82" s="39">
        <v>1301.5254359899998</v>
      </c>
      <c r="AX82" s="40">
        <f t="shared" si="104"/>
        <v>6.935590003640124E-3</v>
      </c>
      <c r="AY82" s="39">
        <v>60</v>
      </c>
      <c r="AZ82" s="39">
        <v>1301.5254359899998</v>
      </c>
      <c r="BA82" s="40">
        <f t="shared" si="105"/>
        <v>6.935590003640124E-3</v>
      </c>
      <c r="BB82" s="41">
        <v>3582</v>
      </c>
      <c r="BC82" s="41">
        <v>197183.50356615995</v>
      </c>
      <c r="BD82" s="41">
        <v>69</v>
      </c>
      <c r="BE82" s="41">
        <v>1505.8822311500001</v>
      </c>
      <c r="BF82" s="40">
        <f t="shared" si="106"/>
        <v>7.6369584874768151E-3</v>
      </c>
      <c r="BG82" s="39">
        <v>69</v>
      </c>
      <c r="BH82" s="39">
        <v>1505.8822311500001</v>
      </c>
      <c r="BI82" s="40">
        <f t="shared" si="107"/>
        <v>7.6369584874768151E-3</v>
      </c>
      <c r="BJ82" s="39">
        <v>3570</v>
      </c>
      <c r="BK82" s="39">
        <v>196086.01865491006</v>
      </c>
      <c r="BL82" s="39">
        <v>77</v>
      </c>
      <c r="BM82" s="39">
        <v>1848.0803693799996</v>
      </c>
      <c r="BN82" s="40">
        <f t="shared" si="108"/>
        <v>9.4248451881335758E-3</v>
      </c>
      <c r="BO82" s="4">
        <v>77</v>
      </c>
      <c r="BP82" s="4">
        <v>1848.0803693799996</v>
      </c>
      <c r="BQ82" s="40">
        <f t="shared" si="109"/>
        <v>9.4248451881335758E-3</v>
      </c>
      <c r="BR82" s="39">
        <v>3605</v>
      </c>
      <c r="BS82" s="39">
        <v>198272.00859727064</v>
      </c>
      <c r="BT82" s="39">
        <v>77</v>
      </c>
      <c r="BU82" s="39">
        <v>1922.9463168499994</v>
      </c>
      <c r="BV82" s="40">
        <f t="shared" si="110"/>
        <v>9.6985264357505995E-3</v>
      </c>
      <c r="BW82" s="4">
        <v>77</v>
      </c>
      <c r="BX82" s="4">
        <v>1922.9463168499994</v>
      </c>
      <c r="BY82" s="40">
        <f t="shared" si="111"/>
        <v>9.6985264357505995E-3</v>
      </c>
      <c r="BZ82" s="39">
        <v>3720</v>
      </c>
      <c r="CA82" s="39">
        <v>222391.28292823993</v>
      </c>
      <c r="CB82" s="39">
        <v>75</v>
      </c>
      <c r="CC82" s="39">
        <v>1573.7168920400002</v>
      </c>
      <c r="CD82" s="40">
        <f t="shared" si="112"/>
        <v>7.0763425225969807E-3</v>
      </c>
      <c r="CE82" s="4">
        <v>75</v>
      </c>
      <c r="CF82" s="4">
        <v>1573.7168920400002</v>
      </c>
      <c r="CG82" s="40">
        <f t="shared" si="113"/>
        <v>7.0763425225969807E-3</v>
      </c>
      <c r="CH82" s="39">
        <v>3788</v>
      </c>
      <c r="CI82" s="39">
        <v>232810.88630420956</v>
      </c>
      <c r="CJ82" s="39">
        <v>76</v>
      </c>
      <c r="CK82" s="39">
        <v>1608.72087007</v>
      </c>
      <c r="CL82" s="40">
        <f t="shared" si="114"/>
        <v>6.9099898875343612E-3</v>
      </c>
      <c r="CM82" s="4">
        <v>76</v>
      </c>
      <c r="CN82" s="4">
        <v>1608.72087007</v>
      </c>
      <c r="CO82" s="40">
        <f t="shared" si="115"/>
        <v>6.9099898875343612E-3</v>
      </c>
      <c r="CP82" s="39">
        <v>3817</v>
      </c>
      <c r="CQ82" s="39">
        <v>227367.87621056996</v>
      </c>
      <c r="CR82" s="39">
        <v>76</v>
      </c>
      <c r="CS82" s="39">
        <v>1653.9582772100002</v>
      </c>
      <c r="CT82" s="40">
        <f t="shared" si="116"/>
        <v>7.2743709655722702E-3</v>
      </c>
      <c r="CU82" s="4">
        <v>76</v>
      </c>
      <c r="CV82" s="4">
        <v>1653.9582772100002</v>
      </c>
      <c r="CW82" s="40">
        <f t="shared" si="117"/>
        <v>7.2743709655722702E-3</v>
      </c>
      <c r="CX82" s="42">
        <v>0</v>
      </c>
      <c r="CY82" s="42">
        <v>0</v>
      </c>
    </row>
    <row r="83" spans="1:103" s="29" customFormat="1" ht="35.1" customHeight="1" x14ac:dyDescent="0.25">
      <c r="A83" s="38">
        <f t="shared" si="118"/>
        <v>77</v>
      </c>
      <c r="B83" s="45" t="s">
        <v>2139</v>
      </c>
      <c r="C83" s="45" t="s">
        <v>2144</v>
      </c>
      <c r="D83" s="64">
        <v>11447</v>
      </c>
      <c r="E83" s="45" t="s">
        <v>2047</v>
      </c>
      <c r="F83" s="39">
        <v>4069</v>
      </c>
      <c r="G83" s="39">
        <v>149924.34255394994</v>
      </c>
      <c r="H83" s="39">
        <v>203</v>
      </c>
      <c r="I83" s="39">
        <v>3880.0973149399988</v>
      </c>
      <c r="J83" s="40">
        <f t="shared" si="95"/>
        <v>2.5880369050434584E-2</v>
      </c>
      <c r="K83" s="39">
        <v>203</v>
      </c>
      <c r="L83" s="39">
        <v>3880.0973149399988</v>
      </c>
      <c r="M83" s="40">
        <f t="shared" si="96"/>
        <v>2.5880369050434584E-2</v>
      </c>
      <c r="N83" s="39">
        <v>3971</v>
      </c>
      <c r="O83" s="39">
        <v>151556.75511731938</v>
      </c>
      <c r="P83" s="39">
        <v>242</v>
      </c>
      <c r="Q83" s="39">
        <v>4143.6933577099971</v>
      </c>
      <c r="R83" s="40">
        <f t="shared" si="97"/>
        <v>2.7340868801937489E-2</v>
      </c>
      <c r="S83" s="39">
        <v>242</v>
      </c>
      <c r="T83" s="39">
        <v>4143.6933577099971</v>
      </c>
      <c r="U83" s="40">
        <f t="shared" si="98"/>
        <v>2.7340868801937489E-2</v>
      </c>
      <c r="V83" s="39">
        <v>3853</v>
      </c>
      <c r="W83" s="39">
        <v>152632.54303132984</v>
      </c>
      <c r="X83" s="39">
        <v>221</v>
      </c>
      <c r="Y83" s="39">
        <v>3959.9065897299988</v>
      </c>
      <c r="Z83" s="40">
        <f t="shared" si="94"/>
        <v>2.5944051714562443E-2</v>
      </c>
      <c r="AA83" s="39">
        <v>221</v>
      </c>
      <c r="AB83" s="39">
        <v>3959.9065897299988</v>
      </c>
      <c r="AC83" s="40">
        <f t="shared" si="99"/>
        <v>2.5944051714562443E-2</v>
      </c>
      <c r="AD83" s="39">
        <v>3831</v>
      </c>
      <c r="AE83" s="39">
        <v>154491.42378678004</v>
      </c>
      <c r="AF83" s="39">
        <v>200</v>
      </c>
      <c r="AG83" s="39">
        <v>3584.0780793299987</v>
      </c>
      <c r="AH83" s="40">
        <f t="shared" si="100"/>
        <v>2.3199204146610312E-2</v>
      </c>
      <c r="AI83" s="39">
        <v>200</v>
      </c>
      <c r="AJ83" s="39">
        <v>3584.0780793299987</v>
      </c>
      <c r="AK83" s="40">
        <f t="shared" si="101"/>
        <v>2.3199204146610312E-2</v>
      </c>
      <c r="AL83" s="39">
        <v>3836</v>
      </c>
      <c r="AM83" s="39">
        <v>157290.52169619928</v>
      </c>
      <c r="AN83" s="39">
        <v>164</v>
      </c>
      <c r="AO83" s="39">
        <v>2843.788125869999</v>
      </c>
      <c r="AP83" s="40">
        <f t="shared" si="102"/>
        <v>1.8079844196604983E-2</v>
      </c>
      <c r="AQ83" s="39">
        <v>164</v>
      </c>
      <c r="AR83" s="39">
        <v>2843.788125869999</v>
      </c>
      <c r="AS83" s="40">
        <f t="shared" si="103"/>
        <v>1.8079844196604983E-2</v>
      </c>
      <c r="AT83" s="39">
        <v>3874</v>
      </c>
      <c r="AU83" s="39">
        <v>157538.2227966405</v>
      </c>
      <c r="AV83" s="39">
        <v>172</v>
      </c>
      <c r="AW83" s="39">
        <v>3004.3226398399988</v>
      </c>
      <c r="AX83" s="40">
        <f t="shared" si="104"/>
        <v>1.9070436282108839E-2</v>
      </c>
      <c r="AY83" s="39">
        <v>172</v>
      </c>
      <c r="AZ83" s="39">
        <v>3004.3226398399988</v>
      </c>
      <c r="BA83" s="40">
        <f t="shared" si="105"/>
        <v>1.9070436282108839E-2</v>
      </c>
      <c r="BB83" s="41">
        <v>3841</v>
      </c>
      <c r="BC83" s="41">
        <v>196019.51620325024</v>
      </c>
      <c r="BD83" s="41">
        <v>158</v>
      </c>
      <c r="BE83" s="41">
        <v>2456.0069996099992</v>
      </c>
      <c r="BF83" s="40">
        <f t="shared" si="106"/>
        <v>1.2529400373906624E-2</v>
      </c>
      <c r="BG83" s="39">
        <v>158</v>
      </c>
      <c r="BH83" s="39">
        <v>2456.0069996099992</v>
      </c>
      <c r="BI83" s="40">
        <f t="shared" si="107"/>
        <v>1.2529400373906624E-2</v>
      </c>
      <c r="BJ83" s="39">
        <v>3816</v>
      </c>
      <c r="BK83" s="39">
        <v>158410.5534093391</v>
      </c>
      <c r="BL83" s="39">
        <v>157</v>
      </c>
      <c r="BM83" s="39">
        <v>2000.742475790001</v>
      </c>
      <c r="BN83" s="40">
        <f t="shared" si="108"/>
        <v>1.2630108491698806E-2</v>
      </c>
      <c r="BO83" s="4">
        <v>157</v>
      </c>
      <c r="BP83" s="4">
        <v>2000.742475790001</v>
      </c>
      <c r="BQ83" s="40">
        <f t="shared" si="109"/>
        <v>1.2630108491698806E-2</v>
      </c>
      <c r="BR83" s="39">
        <v>3795</v>
      </c>
      <c r="BS83" s="39">
        <v>223060.81672500033</v>
      </c>
      <c r="BT83" s="39">
        <v>148</v>
      </c>
      <c r="BU83" s="39">
        <v>1923.6266745700007</v>
      </c>
      <c r="BV83" s="40">
        <f t="shared" si="110"/>
        <v>8.6237767027524895E-3</v>
      </c>
      <c r="BW83" s="4">
        <v>148</v>
      </c>
      <c r="BX83" s="4">
        <v>1923.6266745700007</v>
      </c>
      <c r="BY83" s="40">
        <f t="shared" si="111"/>
        <v>8.6237767027524895E-3</v>
      </c>
      <c r="BZ83" s="39">
        <v>3800</v>
      </c>
      <c r="CA83" s="39">
        <v>235794.88831097976</v>
      </c>
      <c r="CB83" s="39">
        <v>141</v>
      </c>
      <c r="CC83" s="39">
        <v>1834.5627909400005</v>
      </c>
      <c r="CD83" s="40">
        <f t="shared" si="112"/>
        <v>7.780333170414086E-3</v>
      </c>
      <c r="CE83" s="4">
        <v>141</v>
      </c>
      <c r="CF83" s="4">
        <v>1834.5627909400005</v>
      </c>
      <c r="CG83" s="40">
        <f t="shared" si="113"/>
        <v>7.780333170414086E-3</v>
      </c>
      <c r="CH83" s="39">
        <v>3836</v>
      </c>
      <c r="CI83" s="39">
        <v>241008.69716654939</v>
      </c>
      <c r="CJ83" s="39">
        <v>122</v>
      </c>
      <c r="CK83" s="39">
        <v>1437.4813990599996</v>
      </c>
      <c r="CL83" s="40">
        <f t="shared" si="114"/>
        <v>5.964437864524972E-3</v>
      </c>
      <c r="CM83" s="4">
        <v>122</v>
      </c>
      <c r="CN83" s="4">
        <v>1437.4813990599996</v>
      </c>
      <c r="CO83" s="40">
        <f t="shared" si="115"/>
        <v>5.964437864524972E-3</v>
      </c>
      <c r="CP83" s="39">
        <v>3805</v>
      </c>
      <c r="CQ83" s="39">
        <v>242090.53287189081</v>
      </c>
      <c r="CR83" s="39">
        <v>108</v>
      </c>
      <c r="CS83" s="39">
        <v>1123.8523095900009</v>
      </c>
      <c r="CT83" s="40">
        <f t="shared" si="116"/>
        <v>4.6422811179680449E-3</v>
      </c>
      <c r="CU83" s="4">
        <v>108</v>
      </c>
      <c r="CV83" s="4">
        <v>1123.8523095900009</v>
      </c>
      <c r="CW83" s="40">
        <f t="shared" si="117"/>
        <v>4.6422811179680449E-3</v>
      </c>
      <c r="CX83" s="42">
        <v>0</v>
      </c>
      <c r="CY83" s="42">
        <v>0</v>
      </c>
    </row>
    <row r="84" spans="1:103" s="29" customFormat="1" ht="35.1" customHeight="1" x14ac:dyDescent="0.25">
      <c r="A84" s="38">
        <f t="shared" si="118"/>
        <v>78</v>
      </c>
      <c r="B84" s="45" t="s">
        <v>2139</v>
      </c>
      <c r="C84" s="45" t="s">
        <v>2145</v>
      </c>
      <c r="D84" s="64">
        <v>11448</v>
      </c>
      <c r="E84" s="45" t="s">
        <v>2035</v>
      </c>
      <c r="F84" s="39">
        <v>3394</v>
      </c>
      <c r="G84" s="39">
        <v>155252.51479305973</v>
      </c>
      <c r="H84" s="39">
        <v>182</v>
      </c>
      <c r="I84" s="39">
        <v>3984.8292894300007</v>
      </c>
      <c r="J84" s="40">
        <f t="shared" si="95"/>
        <v>2.5666761628573214E-2</v>
      </c>
      <c r="K84" s="39">
        <v>182</v>
      </c>
      <c r="L84" s="39">
        <v>3984.8292894300007</v>
      </c>
      <c r="M84" s="40">
        <f t="shared" si="96"/>
        <v>2.5666761628573214E-2</v>
      </c>
      <c r="N84" s="39">
        <v>3345</v>
      </c>
      <c r="O84" s="39">
        <v>153528.44340227012</v>
      </c>
      <c r="P84" s="39">
        <v>188</v>
      </c>
      <c r="Q84" s="39">
        <v>3984.6040131300024</v>
      </c>
      <c r="R84" s="40">
        <f t="shared" si="97"/>
        <v>2.5953523170228955E-2</v>
      </c>
      <c r="S84" s="39">
        <v>188</v>
      </c>
      <c r="T84" s="39">
        <v>3984.6040131300024</v>
      </c>
      <c r="U84" s="40">
        <f t="shared" si="98"/>
        <v>2.5953523170228955E-2</v>
      </c>
      <c r="V84" s="39">
        <v>3317</v>
      </c>
      <c r="W84" s="39">
        <v>150917.04448017047</v>
      </c>
      <c r="X84" s="39">
        <v>183</v>
      </c>
      <c r="Y84" s="39">
        <v>3769.3416759700017</v>
      </c>
      <c r="Z84" s="40">
        <f t="shared" si="94"/>
        <v>2.4976248964809728E-2</v>
      </c>
      <c r="AA84" s="39">
        <v>183</v>
      </c>
      <c r="AB84" s="39">
        <v>3769.3416759700017</v>
      </c>
      <c r="AC84" s="40">
        <f t="shared" si="99"/>
        <v>2.4976248964809728E-2</v>
      </c>
      <c r="AD84" s="39">
        <v>3336</v>
      </c>
      <c r="AE84" s="39">
        <v>148711.35302547913</v>
      </c>
      <c r="AF84" s="39">
        <v>179</v>
      </c>
      <c r="AG84" s="39">
        <v>2454.3576601999998</v>
      </c>
      <c r="AH84" s="40">
        <f t="shared" si="100"/>
        <v>1.6504171404986733E-2</v>
      </c>
      <c r="AI84" s="39">
        <v>179</v>
      </c>
      <c r="AJ84" s="39">
        <v>2454.3576601999998</v>
      </c>
      <c r="AK84" s="40">
        <f t="shared" si="101"/>
        <v>1.6504171404986733E-2</v>
      </c>
      <c r="AL84" s="39">
        <v>3356</v>
      </c>
      <c r="AM84" s="39">
        <v>154309.3986401993</v>
      </c>
      <c r="AN84" s="39">
        <v>170</v>
      </c>
      <c r="AO84" s="39">
        <v>2260.5891138500015</v>
      </c>
      <c r="AP84" s="40">
        <f t="shared" si="102"/>
        <v>1.4649717604829632E-2</v>
      </c>
      <c r="AQ84" s="39">
        <v>170</v>
      </c>
      <c r="AR84" s="39">
        <v>2260.5891138500015</v>
      </c>
      <c r="AS84" s="40">
        <f t="shared" si="103"/>
        <v>1.4649717604829632E-2</v>
      </c>
      <c r="AT84" s="39">
        <v>3388</v>
      </c>
      <c r="AU84" s="39">
        <v>158957.75543265967</v>
      </c>
      <c r="AV84" s="39">
        <v>177</v>
      </c>
      <c r="AW84" s="39">
        <v>2676.3719291800003</v>
      </c>
      <c r="AX84" s="40">
        <f t="shared" si="104"/>
        <v>1.6837001264237209E-2</v>
      </c>
      <c r="AY84" s="39">
        <v>177</v>
      </c>
      <c r="AZ84" s="39">
        <v>2676.3719291800003</v>
      </c>
      <c r="BA84" s="40">
        <f t="shared" si="105"/>
        <v>1.6837001264237209E-2</v>
      </c>
      <c r="BB84" s="41">
        <v>3400</v>
      </c>
      <c r="BC84" s="41">
        <v>158509.7807403701</v>
      </c>
      <c r="BD84" s="41">
        <v>176</v>
      </c>
      <c r="BE84" s="41">
        <v>3933.7729486699982</v>
      </c>
      <c r="BF84" s="40">
        <f t="shared" si="106"/>
        <v>2.4817225349098752E-2</v>
      </c>
      <c r="BG84" s="39">
        <v>176</v>
      </c>
      <c r="BH84" s="39">
        <v>3933.7729486699982</v>
      </c>
      <c r="BI84" s="40">
        <f t="shared" si="107"/>
        <v>2.4817225349098752E-2</v>
      </c>
      <c r="BJ84" s="39">
        <v>3446</v>
      </c>
      <c r="BK84" s="39">
        <v>158296.56498083964</v>
      </c>
      <c r="BL84" s="39">
        <v>179</v>
      </c>
      <c r="BM84" s="39">
        <v>3612.5216845099981</v>
      </c>
      <c r="BN84" s="40">
        <f t="shared" si="108"/>
        <v>2.2821226000370006E-2</v>
      </c>
      <c r="BO84" s="4">
        <v>179</v>
      </c>
      <c r="BP84" s="4">
        <v>3612.5216845099981</v>
      </c>
      <c r="BQ84" s="40">
        <f t="shared" si="109"/>
        <v>2.2821226000370006E-2</v>
      </c>
      <c r="BR84" s="39">
        <v>3586</v>
      </c>
      <c r="BS84" s="39">
        <v>161824.06310441066</v>
      </c>
      <c r="BT84" s="39">
        <v>170</v>
      </c>
      <c r="BU84" s="39">
        <v>3579.8168923299991</v>
      </c>
      <c r="BV84" s="40">
        <f t="shared" si="110"/>
        <v>2.2121659929032075E-2</v>
      </c>
      <c r="BW84" s="4">
        <v>170</v>
      </c>
      <c r="BX84" s="4">
        <v>3579.8168923299991</v>
      </c>
      <c r="BY84" s="40">
        <f t="shared" si="111"/>
        <v>2.2121659929032075E-2</v>
      </c>
      <c r="BZ84" s="39">
        <v>3695</v>
      </c>
      <c r="CA84" s="39">
        <v>159131.57848592009</v>
      </c>
      <c r="CB84" s="39">
        <v>141</v>
      </c>
      <c r="CC84" s="39">
        <v>2952.2591840500013</v>
      </c>
      <c r="CD84" s="40">
        <f t="shared" si="112"/>
        <v>1.8552315085036478E-2</v>
      </c>
      <c r="CE84" s="4">
        <v>141</v>
      </c>
      <c r="CF84" s="4">
        <v>2952.2591840500013</v>
      </c>
      <c r="CG84" s="40">
        <f t="shared" si="113"/>
        <v>1.8552315085036478E-2</v>
      </c>
      <c r="CH84" s="39">
        <v>3822</v>
      </c>
      <c r="CI84" s="39">
        <v>155377.53021301943</v>
      </c>
      <c r="CJ84" s="39">
        <v>139</v>
      </c>
      <c r="CK84" s="39">
        <v>3048.7864274800017</v>
      </c>
      <c r="CL84" s="40">
        <f t="shared" si="114"/>
        <v>1.9621797458745659E-2</v>
      </c>
      <c r="CM84" s="4">
        <v>139</v>
      </c>
      <c r="CN84" s="4">
        <v>3048.7864274800017</v>
      </c>
      <c r="CO84" s="40">
        <f t="shared" si="115"/>
        <v>1.9621797458745659E-2</v>
      </c>
      <c r="CP84" s="39">
        <v>3972</v>
      </c>
      <c r="CQ84" s="39">
        <v>166381.74931755985</v>
      </c>
      <c r="CR84" s="39">
        <v>137</v>
      </c>
      <c r="CS84" s="39">
        <v>3086.715784540002</v>
      </c>
      <c r="CT84" s="40">
        <f t="shared" si="116"/>
        <v>1.8552009443347232E-2</v>
      </c>
      <c r="CU84" s="4">
        <v>137</v>
      </c>
      <c r="CV84" s="4">
        <v>3086.715784540002</v>
      </c>
      <c r="CW84" s="40">
        <f t="shared" si="117"/>
        <v>1.8552009443347232E-2</v>
      </c>
      <c r="CX84" s="42">
        <v>0</v>
      </c>
      <c r="CY84" s="42">
        <v>0</v>
      </c>
    </row>
    <row r="85" spans="1:103" s="29" customFormat="1" ht="35.1" customHeight="1" x14ac:dyDescent="0.25">
      <c r="A85" s="38">
        <f t="shared" si="118"/>
        <v>79</v>
      </c>
      <c r="B85" s="45" t="s">
        <v>2146</v>
      </c>
      <c r="C85" s="45" t="s">
        <v>2147</v>
      </c>
      <c r="D85" s="64" t="s">
        <v>10</v>
      </c>
      <c r="E85" s="45" t="s">
        <v>2079</v>
      </c>
      <c r="F85" s="39">
        <v>5390</v>
      </c>
      <c r="G85" s="39">
        <v>559388.62956633046</v>
      </c>
      <c r="H85" s="39">
        <v>329</v>
      </c>
      <c r="I85" s="39">
        <v>10707.498776380002</v>
      </c>
      <c r="J85" s="40">
        <f t="shared" si="95"/>
        <v>1.9141430859402803E-2</v>
      </c>
      <c r="K85" s="39">
        <v>329</v>
      </c>
      <c r="L85" s="39">
        <v>10707.498776380002</v>
      </c>
      <c r="M85" s="40">
        <f t="shared" si="96"/>
        <v>1.9141430859402803E-2</v>
      </c>
      <c r="N85" s="39">
        <v>5285</v>
      </c>
      <c r="O85" s="39">
        <v>541748.8628634013</v>
      </c>
      <c r="P85" s="39">
        <v>361</v>
      </c>
      <c r="Q85" s="39">
        <v>11014.527744879993</v>
      </c>
      <c r="R85" s="40">
        <f t="shared" si="97"/>
        <v>2.033142753020829E-2</v>
      </c>
      <c r="S85" s="39">
        <v>361</v>
      </c>
      <c r="T85" s="39">
        <v>11014.527744879993</v>
      </c>
      <c r="U85" s="40">
        <f t="shared" si="98"/>
        <v>2.033142753020829E-2</v>
      </c>
      <c r="V85" s="39">
        <v>5202</v>
      </c>
      <c r="W85" s="39">
        <v>533468.11876250873</v>
      </c>
      <c r="X85" s="39">
        <v>442</v>
      </c>
      <c r="Y85" s="39">
        <v>11906.392323359996</v>
      </c>
      <c r="Z85" s="40">
        <f t="shared" si="94"/>
        <v>2.2318845127951362E-2</v>
      </c>
      <c r="AA85" s="39">
        <v>442</v>
      </c>
      <c r="AB85" s="39">
        <v>11906.392323359996</v>
      </c>
      <c r="AC85" s="40">
        <f t="shared" si="99"/>
        <v>2.2318845127951362E-2</v>
      </c>
      <c r="AD85" s="39">
        <v>5059</v>
      </c>
      <c r="AE85" s="39">
        <v>572169.03214219469</v>
      </c>
      <c r="AF85" s="39">
        <v>433</v>
      </c>
      <c r="AG85" s="39">
        <v>10319.532350493397</v>
      </c>
      <c r="AH85" s="40">
        <f t="shared" si="100"/>
        <v>1.8035810697159156E-2</v>
      </c>
      <c r="AI85" s="39">
        <v>433</v>
      </c>
      <c r="AJ85" s="39">
        <v>10319.532350493397</v>
      </c>
      <c r="AK85" s="40">
        <f t="shared" si="101"/>
        <v>1.8035810697159156E-2</v>
      </c>
      <c r="AL85" s="39">
        <v>4932</v>
      </c>
      <c r="AM85" s="39">
        <v>580997.44273058767</v>
      </c>
      <c r="AN85" s="39">
        <v>374</v>
      </c>
      <c r="AO85" s="39">
        <v>9456.3918835126969</v>
      </c>
      <c r="AP85" s="40">
        <f t="shared" si="102"/>
        <v>1.6276133400982433E-2</v>
      </c>
      <c r="AQ85" s="39">
        <v>374</v>
      </c>
      <c r="AR85" s="39">
        <v>9456.3918835126969</v>
      </c>
      <c r="AS85" s="40">
        <f t="shared" si="103"/>
        <v>1.6276133400982433E-2</v>
      </c>
      <c r="AT85" s="39">
        <v>4793</v>
      </c>
      <c r="AU85" s="39">
        <v>560031.73247532698</v>
      </c>
      <c r="AV85" s="39">
        <v>376</v>
      </c>
      <c r="AW85" s="39">
        <v>8190.8727996867938</v>
      </c>
      <c r="AX85" s="40">
        <f t="shared" si="104"/>
        <v>1.4625729801922706E-2</v>
      </c>
      <c r="AY85" s="39">
        <v>376</v>
      </c>
      <c r="AZ85" s="39">
        <v>8190.8727996867938</v>
      </c>
      <c r="BA85" s="40">
        <f t="shared" si="105"/>
        <v>1.4625729801922706E-2</v>
      </c>
      <c r="BB85" s="41">
        <v>4645</v>
      </c>
      <c r="BC85" s="41">
        <v>570265.02170866542</v>
      </c>
      <c r="BD85" s="41">
        <v>396</v>
      </c>
      <c r="BE85" s="41">
        <v>8128.0978925396921</v>
      </c>
      <c r="BF85" s="40">
        <f t="shared" si="106"/>
        <v>1.4253193836412678E-2</v>
      </c>
      <c r="BG85" s="39">
        <v>396</v>
      </c>
      <c r="BH85" s="39">
        <v>8128.0978925396921</v>
      </c>
      <c r="BI85" s="40">
        <f t="shared" si="107"/>
        <v>1.4253193836412678E-2</v>
      </c>
      <c r="BJ85" s="39">
        <v>4481</v>
      </c>
      <c r="BK85" s="39">
        <v>586992.81041417038</v>
      </c>
      <c r="BL85" s="39">
        <v>490</v>
      </c>
      <c r="BM85" s="39">
        <v>9903.4926328343081</v>
      </c>
      <c r="BN85" s="40">
        <f t="shared" si="108"/>
        <v>1.6871573990568302E-2</v>
      </c>
      <c r="BO85" s="4">
        <v>490</v>
      </c>
      <c r="BP85" s="4">
        <v>9903.4926328343081</v>
      </c>
      <c r="BQ85" s="40">
        <f t="shared" si="109"/>
        <v>1.6871573990568302E-2</v>
      </c>
      <c r="BR85" s="39">
        <v>4411</v>
      </c>
      <c r="BS85" s="39">
        <v>637927.2381265366</v>
      </c>
      <c r="BT85" s="39">
        <v>497</v>
      </c>
      <c r="BU85" s="39">
        <v>9990.5843435390034</v>
      </c>
      <c r="BV85" s="40">
        <f t="shared" si="110"/>
        <v>1.5661009197348794E-2</v>
      </c>
      <c r="BW85" s="4">
        <v>497</v>
      </c>
      <c r="BX85" s="4">
        <v>9990.5843435390034</v>
      </c>
      <c r="BY85" s="40">
        <f t="shared" si="111"/>
        <v>1.5661009197348794E-2</v>
      </c>
      <c r="BZ85" s="39">
        <v>4369</v>
      </c>
      <c r="CA85" s="39">
        <v>645579.69661539944</v>
      </c>
      <c r="CB85" s="39">
        <v>494</v>
      </c>
      <c r="CC85" s="39">
        <v>9063.9385160724014</v>
      </c>
      <c r="CD85" s="40">
        <f t="shared" si="112"/>
        <v>1.4039999342594247E-2</v>
      </c>
      <c r="CE85" s="4">
        <v>494</v>
      </c>
      <c r="CF85" s="4">
        <v>9063.9385160724014</v>
      </c>
      <c r="CG85" s="40">
        <f t="shared" si="113"/>
        <v>1.4039999342594247E-2</v>
      </c>
      <c r="CH85" s="39">
        <v>4426</v>
      </c>
      <c r="CI85" s="39">
        <v>645908.883725908</v>
      </c>
      <c r="CJ85" s="39">
        <v>473</v>
      </c>
      <c r="CK85" s="39">
        <v>8373.0428828903914</v>
      </c>
      <c r="CL85" s="40">
        <f t="shared" si="114"/>
        <v>1.2963195109797406E-2</v>
      </c>
      <c r="CM85" s="4">
        <v>473</v>
      </c>
      <c r="CN85" s="4">
        <v>8373.0428828903914</v>
      </c>
      <c r="CO85" s="40">
        <f t="shared" si="115"/>
        <v>1.2963195109797406E-2</v>
      </c>
      <c r="CP85" s="39">
        <v>4502</v>
      </c>
      <c r="CQ85" s="39">
        <v>664923.66210720828</v>
      </c>
      <c r="CR85" s="39">
        <v>467</v>
      </c>
      <c r="CS85" s="39">
        <v>7253.4210108749903</v>
      </c>
      <c r="CT85" s="40">
        <f t="shared" si="116"/>
        <v>1.090865226225848E-2</v>
      </c>
      <c r="CU85" s="4">
        <v>467</v>
      </c>
      <c r="CV85" s="4">
        <v>7253.4210108749903</v>
      </c>
      <c r="CW85" s="40">
        <f t="shared" si="117"/>
        <v>1.090865226225848E-2</v>
      </c>
      <c r="CX85" s="42">
        <v>0</v>
      </c>
      <c r="CY85" s="42">
        <v>0</v>
      </c>
    </row>
    <row r="86" spans="1:103" s="29" customFormat="1" ht="35.1" customHeight="1" x14ac:dyDescent="0.25">
      <c r="A86" s="38">
        <f t="shared" si="118"/>
        <v>80</v>
      </c>
      <c r="B86" s="45" t="s">
        <v>2148</v>
      </c>
      <c r="C86" s="45" t="s">
        <v>2149</v>
      </c>
      <c r="D86" s="64" t="s">
        <v>13</v>
      </c>
      <c r="E86" s="45" t="s">
        <v>2045</v>
      </c>
      <c r="F86" s="39">
        <v>10445</v>
      </c>
      <c r="G86" s="39">
        <v>505548.14019158087</v>
      </c>
      <c r="H86" s="39">
        <v>410</v>
      </c>
      <c r="I86" s="39">
        <v>35215.525019060005</v>
      </c>
      <c r="J86" s="40">
        <f t="shared" si="95"/>
        <v>6.9658104183144345E-2</v>
      </c>
      <c r="K86" s="39">
        <v>410</v>
      </c>
      <c r="L86" s="39">
        <v>35215.525019060005</v>
      </c>
      <c r="M86" s="40">
        <f t="shared" si="96"/>
        <v>6.9658104183144345E-2</v>
      </c>
      <c r="N86" s="39">
        <v>10313</v>
      </c>
      <c r="O86" s="39">
        <v>499463.81739940355</v>
      </c>
      <c r="P86" s="39">
        <v>411</v>
      </c>
      <c r="Q86" s="39">
        <v>54143.982953439991</v>
      </c>
      <c r="R86" s="40">
        <f t="shared" si="97"/>
        <v>0.10840421481450971</v>
      </c>
      <c r="S86" s="39">
        <v>411</v>
      </c>
      <c r="T86" s="39">
        <v>54143.982953439991</v>
      </c>
      <c r="U86" s="40">
        <f t="shared" si="98"/>
        <v>0.10840421481450971</v>
      </c>
      <c r="V86" s="39">
        <v>10224</v>
      </c>
      <c r="W86" s="39">
        <v>498710.81593259948</v>
      </c>
      <c r="X86" s="39">
        <v>428</v>
      </c>
      <c r="Y86" s="39">
        <v>38179.455734110015</v>
      </c>
      <c r="Z86" s="40">
        <f t="shared" si="94"/>
        <v>7.6556301797292378E-2</v>
      </c>
      <c r="AA86" s="39">
        <v>428</v>
      </c>
      <c r="AB86" s="39">
        <v>38179.455734110015</v>
      </c>
      <c r="AC86" s="40">
        <f t="shared" si="99"/>
        <v>7.6556301797292378E-2</v>
      </c>
      <c r="AD86" s="39">
        <v>10127</v>
      </c>
      <c r="AE86" s="39">
        <v>491183.85236659931</v>
      </c>
      <c r="AF86" s="39">
        <v>380</v>
      </c>
      <c r="AG86" s="39">
        <v>39763.205099999999</v>
      </c>
      <c r="AH86" s="40">
        <f t="shared" si="100"/>
        <v>8.0953811711062501E-2</v>
      </c>
      <c r="AI86" s="39">
        <v>380</v>
      </c>
      <c r="AJ86" s="39">
        <v>39763.205099999999</v>
      </c>
      <c r="AK86" s="40">
        <f t="shared" si="101"/>
        <v>8.0953811711062501E-2</v>
      </c>
      <c r="AL86" s="39">
        <v>10009</v>
      </c>
      <c r="AM86" s="39">
        <v>474766.49771110067</v>
      </c>
      <c r="AN86" s="39">
        <v>379</v>
      </c>
      <c r="AO86" s="39">
        <v>31179.219858879987</v>
      </c>
      <c r="AP86" s="40">
        <f t="shared" si="102"/>
        <v>6.5672746516863112E-2</v>
      </c>
      <c r="AQ86" s="39">
        <v>379</v>
      </c>
      <c r="AR86" s="39">
        <v>31179.219858879987</v>
      </c>
      <c r="AS86" s="40">
        <f t="shared" si="103"/>
        <v>6.5672746516863112E-2</v>
      </c>
      <c r="AT86" s="39">
        <v>9885</v>
      </c>
      <c r="AU86" s="39">
        <v>469450.27912047005</v>
      </c>
      <c r="AV86" s="39">
        <v>396</v>
      </c>
      <c r="AW86" s="39">
        <v>32090.308075990004</v>
      </c>
      <c r="AX86" s="40">
        <f t="shared" si="104"/>
        <v>6.8357203101704858E-2</v>
      </c>
      <c r="AY86" s="39">
        <v>396</v>
      </c>
      <c r="AZ86" s="39">
        <v>32090.308075990004</v>
      </c>
      <c r="BA86" s="40">
        <f t="shared" si="105"/>
        <v>6.8357203101704858E-2</v>
      </c>
      <c r="BB86" s="41">
        <v>9717</v>
      </c>
      <c r="BC86" s="41">
        <v>458558.68858774932</v>
      </c>
      <c r="BD86" s="41">
        <v>447</v>
      </c>
      <c r="BE86" s="41">
        <v>30693.72340183999</v>
      </c>
      <c r="BF86" s="40">
        <f t="shared" si="106"/>
        <v>6.6935212799847474E-2</v>
      </c>
      <c r="BG86" s="39">
        <v>447</v>
      </c>
      <c r="BH86" s="39">
        <v>30693.72340183999</v>
      </c>
      <c r="BI86" s="40">
        <f t="shared" si="107"/>
        <v>6.6935212799847474E-2</v>
      </c>
      <c r="BJ86" s="39">
        <v>9561</v>
      </c>
      <c r="BK86" s="39">
        <v>463624.28760200978</v>
      </c>
      <c r="BL86" s="39">
        <v>474</v>
      </c>
      <c r="BM86" s="39">
        <v>32358.940536769973</v>
      </c>
      <c r="BN86" s="40">
        <f t="shared" si="108"/>
        <v>6.9795611235423341E-2</v>
      </c>
      <c r="BO86" s="4">
        <v>474</v>
      </c>
      <c r="BP86" s="4">
        <v>32358.940536769973</v>
      </c>
      <c r="BQ86" s="40">
        <f t="shared" si="109"/>
        <v>6.9795611235423341E-2</v>
      </c>
      <c r="BR86" s="39">
        <v>9306</v>
      </c>
      <c r="BS86" s="39">
        <v>465009.61960768962</v>
      </c>
      <c r="BT86" s="39">
        <v>354</v>
      </c>
      <c r="BU86" s="39">
        <v>26783.862166639981</v>
      </c>
      <c r="BV86" s="40">
        <f t="shared" si="110"/>
        <v>5.7598512024840426E-2</v>
      </c>
      <c r="BW86" s="4">
        <v>354</v>
      </c>
      <c r="BX86" s="4">
        <v>26783.862166639981</v>
      </c>
      <c r="BY86" s="40">
        <f t="shared" si="111"/>
        <v>5.7598512024840426E-2</v>
      </c>
      <c r="BZ86" s="39">
        <v>9164</v>
      </c>
      <c r="CA86" s="39">
        <v>467809.94218084047</v>
      </c>
      <c r="CB86" s="39">
        <v>373</v>
      </c>
      <c r="CC86" s="39">
        <v>27055.698949289985</v>
      </c>
      <c r="CD86" s="40">
        <f t="shared" si="112"/>
        <v>5.7834809630512532E-2</v>
      </c>
      <c r="CE86" s="4">
        <v>373</v>
      </c>
      <c r="CF86" s="4">
        <v>27055.698949289985</v>
      </c>
      <c r="CG86" s="40">
        <f t="shared" si="113"/>
        <v>5.7834809630512532E-2</v>
      </c>
      <c r="CH86" s="39">
        <v>8902</v>
      </c>
      <c r="CI86" s="39">
        <v>472773.96647169179</v>
      </c>
      <c r="CJ86" s="39">
        <v>380</v>
      </c>
      <c r="CK86" s="39">
        <v>28838.509719939979</v>
      </c>
      <c r="CL86" s="40">
        <f t="shared" si="114"/>
        <v>6.0998514649953206E-2</v>
      </c>
      <c r="CM86" s="4">
        <v>380</v>
      </c>
      <c r="CN86" s="4">
        <v>28838.509719939979</v>
      </c>
      <c r="CO86" s="40">
        <f t="shared" si="115"/>
        <v>6.0998514649953206E-2</v>
      </c>
      <c r="CP86" s="39">
        <v>8609</v>
      </c>
      <c r="CQ86" s="39">
        <v>478469.73563985364</v>
      </c>
      <c r="CR86" s="39">
        <v>404</v>
      </c>
      <c r="CS86" s="39">
        <v>30231.248992489971</v>
      </c>
      <c r="CT86" s="40">
        <f t="shared" si="116"/>
        <v>6.3183199982464869E-2</v>
      </c>
      <c r="CU86" s="4">
        <v>404</v>
      </c>
      <c r="CV86" s="4">
        <v>30231.248992489971</v>
      </c>
      <c r="CW86" s="40">
        <f t="shared" si="117"/>
        <v>6.3183199982464869E-2</v>
      </c>
      <c r="CX86" s="42">
        <v>0</v>
      </c>
      <c r="CY86" s="42">
        <v>0</v>
      </c>
    </row>
    <row r="87" spans="1:103" s="29" customFormat="1" ht="35.1" customHeight="1" x14ac:dyDescent="0.25">
      <c r="A87" s="38">
        <f t="shared" si="118"/>
        <v>81</v>
      </c>
      <c r="B87" s="45" t="s">
        <v>2148</v>
      </c>
      <c r="C87" s="45" t="s">
        <v>2150</v>
      </c>
      <c r="D87" s="64" t="s">
        <v>7</v>
      </c>
      <c r="E87" s="45" t="s">
        <v>2049</v>
      </c>
      <c r="F87" s="39">
        <v>40250</v>
      </c>
      <c r="G87" s="39">
        <v>2637793.1357547469</v>
      </c>
      <c r="H87" s="39">
        <v>640</v>
      </c>
      <c r="I87" s="39">
        <v>16413.07701395002</v>
      </c>
      <c r="J87" s="40">
        <f t="shared" si="95"/>
        <v>6.2222760350211376E-3</v>
      </c>
      <c r="K87" s="39">
        <v>640</v>
      </c>
      <c r="L87" s="39">
        <v>16413.07701395002</v>
      </c>
      <c r="M87" s="40">
        <f t="shared" si="96"/>
        <v>6.2222760350211376E-3</v>
      </c>
      <c r="N87" s="39">
        <v>39894</v>
      </c>
      <c r="O87" s="39">
        <v>2637390.4127743519</v>
      </c>
      <c r="P87" s="39">
        <v>720</v>
      </c>
      <c r="Q87" s="39">
        <v>18086.014301579999</v>
      </c>
      <c r="R87" s="40">
        <f t="shared" si="97"/>
        <v>6.8575415357466042E-3</v>
      </c>
      <c r="S87" s="39">
        <v>720</v>
      </c>
      <c r="T87" s="39">
        <v>18086.014301579999</v>
      </c>
      <c r="U87" s="40">
        <f t="shared" si="98"/>
        <v>6.8575415357466042E-3</v>
      </c>
      <c r="V87" s="39">
        <v>39286</v>
      </c>
      <c r="W87" s="39">
        <v>2607427.0643403241</v>
      </c>
      <c r="X87" s="39">
        <v>1115</v>
      </c>
      <c r="Y87" s="39">
        <v>22088.331681840045</v>
      </c>
      <c r="Z87" s="40">
        <f t="shared" si="94"/>
        <v>8.4713133433047209E-3</v>
      </c>
      <c r="AA87" s="39">
        <v>1115</v>
      </c>
      <c r="AB87" s="39">
        <v>22088.331681840045</v>
      </c>
      <c r="AC87" s="40">
        <f t="shared" si="99"/>
        <v>8.4713133433047209E-3</v>
      </c>
      <c r="AD87" s="39">
        <v>38589</v>
      </c>
      <c r="AE87" s="39">
        <v>2670990.4373678607</v>
      </c>
      <c r="AF87" s="39">
        <v>1344</v>
      </c>
      <c r="AG87" s="39">
        <v>24840.70839</v>
      </c>
      <c r="AH87" s="40">
        <f t="shared" si="100"/>
        <v>9.300186194031973E-3</v>
      </c>
      <c r="AI87" s="39">
        <v>1344</v>
      </c>
      <c r="AJ87" s="39">
        <v>24840.70839</v>
      </c>
      <c r="AK87" s="40">
        <f t="shared" si="101"/>
        <v>9.300186194031973E-3</v>
      </c>
      <c r="AL87" s="39">
        <v>37779</v>
      </c>
      <c r="AM87" s="39">
        <v>2656611.5527238641</v>
      </c>
      <c r="AN87" s="39">
        <v>1954</v>
      </c>
      <c r="AO87" s="39">
        <v>33693.14119978997</v>
      </c>
      <c r="AP87" s="40">
        <f t="shared" si="102"/>
        <v>1.2682750387516716E-2</v>
      </c>
      <c r="AQ87" s="39">
        <v>1954</v>
      </c>
      <c r="AR87" s="39">
        <v>33693.14119978997</v>
      </c>
      <c r="AS87" s="40">
        <f t="shared" si="103"/>
        <v>1.2682750387516716E-2</v>
      </c>
      <c r="AT87" s="39">
        <v>37136</v>
      </c>
      <c r="AU87" s="39">
        <v>2589829.7162624062</v>
      </c>
      <c r="AV87" s="39">
        <v>2104</v>
      </c>
      <c r="AW87" s="39">
        <v>35162.075920079966</v>
      </c>
      <c r="AX87" s="40">
        <f t="shared" si="104"/>
        <v>1.3576983729580961E-2</v>
      </c>
      <c r="AY87" s="39">
        <v>2104</v>
      </c>
      <c r="AZ87" s="39">
        <v>35162.075920079966</v>
      </c>
      <c r="BA87" s="40">
        <f t="shared" si="105"/>
        <v>1.3576983729580961E-2</v>
      </c>
      <c r="BB87" s="41">
        <v>36427</v>
      </c>
      <c r="BC87" s="41">
        <v>2402921.9239004301</v>
      </c>
      <c r="BD87" s="41">
        <v>2187</v>
      </c>
      <c r="BE87" s="41">
        <v>37005.50044826993</v>
      </c>
      <c r="BF87" s="40">
        <f t="shared" si="106"/>
        <v>1.5400209253658351E-2</v>
      </c>
      <c r="BG87" s="39">
        <v>2187</v>
      </c>
      <c r="BH87" s="39">
        <v>37005.50044826993</v>
      </c>
      <c r="BI87" s="40">
        <f t="shared" si="107"/>
        <v>1.5400209253658351E-2</v>
      </c>
      <c r="BJ87" s="39">
        <v>35419</v>
      </c>
      <c r="BK87" s="39">
        <v>2262667.5012612492</v>
      </c>
      <c r="BL87" s="39">
        <v>2247</v>
      </c>
      <c r="BM87" s="39">
        <v>39413.603509659973</v>
      </c>
      <c r="BN87" s="40">
        <f t="shared" si="108"/>
        <v>1.7419087642214406E-2</v>
      </c>
      <c r="BO87" s="4">
        <v>2247</v>
      </c>
      <c r="BP87" s="4">
        <v>39413.603509659973</v>
      </c>
      <c r="BQ87" s="40">
        <f t="shared" si="109"/>
        <v>1.7419087642214406E-2</v>
      </c>
      <c r="BR87" s="39">
        <v>34411</v>
      </c>
      <c r="BS87" s="39">
        <v>2073815.1536864846</v>
      </c>
      <c r="BT87" s="39">
        <v>2141</v>
      </c>
      <c r="BU87" s="39">
        <v>36963.00850709997</v>
      </c>
      <c r="BV87" s="40">
        <f t="shared" si="110"/>
        <v>1.7823675577542802E-2</v>
      </c>
      <c r="BW87" s="4">
        <v>2141</v>
      </c>
      <c r="BX87" s="4">
        <v>36963.00850709997</v>
      </c>
      <c r="BY87" s="40">
        <f t="shared" si="111"/>
        <v>1.7823675577542802E-2</v>
      </c>
      <c r="BZ87" s="39">
        <v>33831</v>
      </c>
      <c r="CA87" s="39">
        <v>1878652.2442482819</v>
      </c>
      <c r="CB87" s="39">
        <v>2122</v>
      </c>
      <c r="CC87" s="39">
        <v>40140.545959099953</v>
      </c>
      <c r="CD87" s="40">
        <f t="shared" si="112"/>
        <v>2.1366671815922837E-2</v>
      </c>
      <c r="CE87" s="4">
        <v>2122</v>
      </c>
      <c r="CF87" s="4">
        <v>40140.545959099953</v>
      </c>
      <c r="CG87" s="40">
        <f t="shared" si="113"/>
        <v>2.1366671815922837E-2</v>
      </c>
      <c r="CH87" s="39">
        <v>32773</v>
      </c>
      <c r="CI87" s="39">
        <v>1626948.9377425455</v>
      </c>
      <c r="CJ87" s="39">
        <v>2156</v>
      </c>
      <c r="CK87" s="39">
        <v>41736.903363439895</v>
      </c>
      <c r="CL87" s="40">
        <f t="shared" si="114"/>
        <v>2.5653480816276546E-2</v>
      </c>
      <c r="CM87" s="4">
        <v>2156</v>
      </c>
      <c r="CN87" s="4">
        <v>41736.903363439895</v>
      </c>
      <c r="CO87" s="40">
        <f t="shared" si="115"/>
        <v>2.5653480816276546E-2</v>
      </c>
      <c r="CP87" s="39">
        <v>31653</v>
      </c>
      <c r="CQ87" s="39">
        <v>1351085.8574038353</v>
      </c>
      <c r="CR87" s="39">
        <v>2166</v>
      </c>
      <c r="CS87" s="39">
        <v>42927.059748069922</v>
      </c>
      <c r="CT87" s="40">
        <f t="shared" si="116"/>
        <v>3.1772266368442312E-2</v>
      </c>
      <c r="CU87" s="4">
        <v>2166</v>
      </c>
      <c r="CV87" s="4">
        <v>42927.059748069922</v>
      </c>
      <c r="CW87" s="40">
        <f t="shared" si="117"/>
        <v>3.1772266368442312E-2</v>
      </c>
      <c r="CX87" s="42">
        <v>0</v>
      </c>
      <c r="CY87" s="42">
        <v>0</v>
      </c>
    </row>
    <row r="88" spans="1:103" s="29" customFormat="1" ht="35.1" customHeight="1" x14ac:dyDescent="0.25">
      <c r="A88" s="38">
        <f t="shared" si="118"/>
        <v>82</v>
      </c>
      <c r="B88" s="45" t="s">
        <v>2148</v>
      </c>
      <c r="C88" s="45" t="s">
        <v>2151</v>
      </c>
      <c r="D88" s="64" t="s">
        <v>5</v>
      </c>
      <c r="E88" s="45" t="s">
        <v>2037</v>
      </c>
      <c r="F88" s="39">
        <v>11594</v>
      </c>
      <c r="G88" s="39">
        <v>232661.2500924292</v>
      </c>
      <c r="H88" s="39">
        <v>259</v>
      </c>
      <c r="I88" s="39">
        <v>2856.2275181300006</v>
      </c>
      <c r="J88" s="40">
        <f t="shared" si="95"/>
        <v>1.2276335302914897E-2</v>
      </c>
      <c r="K88" s="39">
        <v>259</v>
      </c>
      <c r="L88" s="39">
        <v>2856.2275181300006</v>
      </c>
      <c r="M88" s="40">
        <f t="shared" si="96"/>
        <v>1.2276335302914897E-2</v>
      </c>
      <c r="N88" s="39">
        <v>11439</v>
      </c>
      <c r="O88" s="39">
        <v>228290.77484233197</v>
      </c>
      <c r="P88" s="39">
        <v>252</v>
      </c>
      <c r="Q88" s="39">
        <v>2868.1363106499998</v>
      </c>
      <c r="R88" s="40">
        <f t="shared" si="97"/>
        <v>1.2563522606775792E-2</v>
      </c>
      <c r="S88" s="39">
        <v>252</v>
      </c>
      <c r="T88" s="39">
        <v>2868.1363106499998</v>
      </c>
      <c r="U88" s="40">
        <f t="shared" si="98"/>
        <v>1.2563522606775792E-2</v>
      </c>
      <c r="V88" s="39">
        <v>11332</v>
      </c>
      <c r="W88" s="39">
        <v>223997.19734401981</v>
      </c>
      <c r="X88" s="39">
        <v>237</v>
      </c>
      <c r="Y88" s="39">
        <v>3391.7811981400037</v>
      </c>
      <c r="Z88" s="40">
        <f t="shared" si="94"/>
        <v>1.5142069804252201E-2</v>
      </c>
      <c r="AA88" s="39">
        <v>237</v>
      </c>
      <c r="AB88" s="39">
        <v>3391.7811981400037</v>
      </c>
      <c r="AC88" s="40">
        <f t="shared" si="99"/>
        <v>1.5142069804252201E-2</v>
      </c>
      <c r="AD88" s="39">
        <v>11224</v>
      </c>
      <c r="AE88" s="39">
        <v>218039.68185846182</v>
      </c>
      <c r="AF88" s="39">
        <v>208</v>
      </c>
      <c r="AG88" s="39">
        <v>2730.3689899999999</v>
      </c>
      <c r="AH88" s="40">
        <f t="shared" si="100"/>
        <v>1.2522348990457574E-2</v>
      </c>
      <c r="AI88" s="39">
        <v>208</v>
      </c>
      <c r="AJ88" s="39">
        <v>2730.3689899999999</v>
      </c>
      <c r="AK88" s="40">
        <f t="shared" si="101"/>
        <v>1.2522348990457574E-2</v>
      </c>
      <c r="AL88" s="39">
        <v>11086</v>
      </c>
      <c r="AM88" s="39">
        <v>212303.40334168004</v>
      </c>
      <c r="AN88" s="39">
        <v>265</v>
      </c>
      <c r="AO88" s="39">
        <v>2849.3932033399992</v>
      </c>
      <c r="AP88" s="40">
        <f t="shared" si="102"/>
        <v>1.3421326076220267E-2</v>
      </c>
      <c r="AQ88" s="39">
        <v>265</v>
      </c>
      <c r="AR88" s="39">
        <v>2849.3932033399992</v>
      </c>
      <c r="AS88" s="40">
        <f t="shared" si="103"/>
        <v>1.3421326076220267E-2</v>
      </c>
      <c r="AT88" s="39">
        <v>10935</v>
      </c>
      <c r="AU88" s="39">
        <v>207329.11624330058</v>
      </c>
      <c r="AV88" s="39">
        <v>287</v>
      </c>
      <c r="AW88" s="39">
        <v>3419.1188912500011</v>
      </c>
      <c r="AX88" s="40">
        <f t="shared" si="104"/>
        <v>1.6491262554930622E-2</v>
      </c>
      <c r="AY88" s="39">
        <v>287</v>
      </c>
      <c r="AZ88" s="39">
        <v>3419.1188912500011</v>
      </c>
      <c r="BA88" s="40">
        <f t="shared" si="105"/>
        <v>1.6491262554930622E-2</v>
      </c>
      <c r="BB88" s="41">
        <v>10755</v>
      </c>
      <c r="BC88" s="41">
        <v>203213.92462810033</v>
      </c>
      <c r="BD88" s="41">
        <v>275</v>
      </c>
      <c r="BE88" s="41">
        <v>3351.6595782300046</v>
      </c>
      <c r="BF88" s="40">
        <f t="shared" si="106"/>
        <v>1.6493257459417911E-2</v>
      </c>
      <c r="BG88" s="39">
        <v>275</v>
      </c>
      <c r="BH88" s="39">
        <v>3351.6595782300046</v>
      </c>
      <c r="BI88" s="40">
        <f t="shared" si="107"/>
        <v>1.6493257459417911E-2</v>
      </c>
      <c r="BJ88" s="39">
        <v>10467</v>
      </c>
      <c r="BK88" s="39">
        <v>197744.36320375025</v>
      </c>
      <c r="BL88" s="39">
        <v>345</v>
      </c>
      <c r="BM88" s="39">
        <v>4650.8359227500114</v>
      </c>
      <c r="BN88" s="40">
        <f t="shared" si="108"/>
        <v>2.3519436141691281E-2</v>
      </c>
      <c r="BO88" s="4">
        <v>345</v>
      </c>
      <c r="BP88" s="4">
        <v>4650.8359227500114</v>
      </c>
      <c r="BQ88" s="40">
        <f t="shared" si="109"/>
        <v>2.3519436141691281E-2</v>
      </c>
      <c r="BR88" s="39">
        <v>10180</v>
      </c>
      <c r="BS88" s="39">
        <v>195090.18086803</v>
      </c>
      <c r="BT88" s="39">
        <v>294</v>
      </c>
      <c r="BU88" s="39">
        <v>3663.095658199999</v>
      </c>
      <c r="BV88" s="40">
        <f t="shared" si="110"/>
        <v>1.877642248267699E-2</v>
      </c>
      <c r="BW88" s="4">
        <v>294</v>
      </c>
      <c r="BX88" s="4">
        <v>3663.095658199999</v>
      </c>
      <c r="BY88" s="40">
        <f t="shared" si="111"/>
        <v>1.877642248267699E-2</v>
      </c>
      <c r="BZ88" s="39">
        <v>9964</v>
      </c>
      <c r="CA88" s="39">
        <v>209223.77115180969</v>
      </c>
      <c r="CB88" s="39">
        <v>383</v>
      </c>
      <c r="CC88" s="39">
        <v>3468.1255423700027</v>
      </c>
      <c r="CD88" s="40">
        <f t="shared" si="112"/>
        <v>1.6576154436359822E-2</v>
      </c>
      <c r="CE88" s="4">
        <v>383</v>
      </c>
      <c r="CF88" s="4">
        <v>3468.1255423700027</v>
      </c>
      <c r="CG88" s="40">
        <f t="shared" si="113"/>
        <v>1.6576154436359822E-2</v>
      </c>
      <c r="CH88" s="39">
        <v>9555</v>
      </c>
      <c r="CI88" s="39">
        <v>220549.68907069997</v>
      </c>
      <c r="CJ88" s="39">
        <v>351</v>
      </c>
      <c r="CK88" s="39">
        <v>3906.0925201000018</v>
      </c>
      <c r="CL88" s="40">
        <f t="shared" si="114"/>
        <v>1.7710714245658513E-2</v>
      </c>
      <c r="CM88" s="4">
        <v>351</v>
      </c>
      <c r="CN88" s="4">
        <v>3906.0925201000018</v>
      </c>
      <c r="CO88" s="40">
        <f t="shared" si="115"/>
        <v>1.7710714245658513E-2</v>
      </c>
      <c r="CP88" s="39">
        <v>9086</v>
      </c>
      <c r="CQ88" s="39">
        <v>225345.69604238955</v>
      </c>
      <c r="CR88" s="39">
        <v>350</v>
      </c>
      <c r="CS88" s="39">
        <v>3755.1797617900015</v>
      </c>
      <c r="CT88" s="40">
        <f t="shared" si="116"/>
        <v>1.666408468295582E-2</v>
      </c>
      <c r="CU88" s="4">
        <v>350</v>
      </c>
      <c r="CV88" s="4">
        <v>3755.1797617900015</v>
      </c>
      <c r="CW88" s="40">
        <f t="shared" si="117"/>
        <v>1.666408468295582E-2</v>
      </c>
      <c r="CX88" s="42">
        <v>0</v>
      </c>
      <c r="CY88" s="42">
        <v>0</v>
      </c>
    </row>
    <row r="89" spans="1:103" s="29" customFormat="1" ht="35.1" customHeight="1" x14ac:dyDescent="0.25">
      <c r="A89" s="38">
        <f t="shared" si="118"/>
        <v>83</v>
      </c>
      <c r="B89" s="45" t="s">
        <v>2148</v>
      </c>
      <c r="C89" s="45" t="s">
        <v>2152</v>
      </c>
      <c r="D89" s="64" t="s">
        <v>6</v>
      </c>
      <c r="E89" s="45" t="s">
        <v>2047</v>
      </c>
      <c r="F89" s="39">
        <v>14040</v>
      </c>
      <c r="G89" s="39">
        <v>482874.22392005095</v>
      </c>
      <c r="H89" s="39">
        <v>375</v>
      </c>
      <c r="I89" s="39">
        <v>7036.4798862399921</v>
      </c>
      <c r="J89" s="40">
        <f t="shared" si="95"/>
        <v>1.4572075993447552E-2</v>
      </c>
      <c r="K89" s="39">
        <v>375</v>
      </c>
      <c r="L89" s="39">
        <v>7036.4798862399921</v>
      </c>
      <c r="M89" s="40">
        <f t="shared" si="96"/>
        <v>1.4572075993447552E-2</v>
      </c>
      <c r="N89" s="39">
        <v>13935</v>
      </c>
      <c r="O89" s="39">
        <v>476617.70826266496</v>
      </c>
      <c r="P89" s="39">
        <v>422</v>
      </c>
      <c r="Q89" s="39">
        <v>6495.9785567899926</v>
      </c>
      <c r="R89" s="40">
        <f t="shared" si="97"/>
        <v>1.3629326909544968E-2</v>
      </c>
      <c r="S89" s="39">
        <v>422</v>
      </c>
      <c r="T89" s="39">
        <v>6495.9785567899926</v>
      </c>
      <c r="U89" s="40">
        <f t="shared" si="98"/>
        <v>1.3629326909544968E-2</v>
      </c>
      <c r="V89" s="39">
        <v>13918</v>
      </c>
      <c r="W89" s="39">
        <v>479541.09923524963</v>
      </c>
      <c r="X89" s="39">
        <v>445</v>
      </c>
      <c r="Y89" s="39">
        <v>6874.7299925299903</v>
      </c>
      <c r="Z89" s="40">
        <f t="shared" si="94"/>
        <v>1.433606004468334E-2</v>
      </c>
      <c r="AA89" s="39">
        <v>445</v>
      </c>
      <c r="AB89" s="39">
        <v>6874.7299925299903</v>
      </c>
      <c r="AC89" s="40">
        <f t="shared" si="99"/>
        <v>1.433606004468334E-2</v>
      </c>
      <c r="AD89" s="39">
        <v>13848</v>
      </c>
      <c r="AE89" s="39">
        <v>474579.87964568951</v>
      </c>
      <c r="AF89" s="39">
        <v>436</v>
      </c>
      <c r="AG89" s="39">
        <v>6197.5528299999996</v>
      </c>
      <c r="AH89" s="40">
        <f t="shared" si="100"/>
        <v>1.3059029882655268E-2</v>
      </c>
      <c r="AI89" s="39">
        <v>436</v>
      </c>
      <c r="AJ89" s="39">
        <v>6197.5528299999996</v>
      </c>
      <c r="AK89" s="40">
        <f t="shared" si="101"/>
        <v>1.3059029882655268E-2</v>
      </c>
      <c r="AL89" s="39">
        <v>13792</v>
      </c>
      <c r="AM89" s="39">
        <v>472554.69714288035</v>
      </c>
      <c r="AN89" s="39">
        <v>460</v>
      </c>
      <c r="AO89" s="39">
        <v>7851.4840827999933</v>
      </c>
      <c r="AP89" s="40">
        <f t="shared" si="102"/>
        <v>1.6614974161236706E-2</v>
      </c>
      <c r="AQ89" s="39">
        <v>460</v>
      </c>
      <c r="AR89" s="39">
        <v>7851.4840827999933</v>
      </c>
      <c r="AS89" s="40">
        <f t="shared" si="103"/>
        <v>1.6614974161236706E-2</v>
      </c>
      <c r="AT89" s="39">
        <v>13695</v>
      </c>
      <c r="AU89" s="39">
        <v>468870.9804682894</v>
      </c>
      <c r="AV89" s="39">
        <v>436</v>
      </c>
      <c r="AW89" s="39">
        <v>6806.7000783499952</v>
      </c>
      <c r="AX89" s="40">
        <f t="shared" si="104"/>
        <v>1.4517213395360357E-2</v>
      </c>
      <c r="AY89" s="39">
        <v>436</v>
      </c>
      <c r="AZ89" s="39">
        <v>6806.7000783499952</v>
      </c>
      <c r="BA89" s="40">
        <f t="shared" si="105"/>
        <v>1.4517213395360357E-2</v>
      </c>
      <c r="BB89" s="41">
        <v>13489</v>
      </c>
      <c r="BC89" s="41">
        <v>466874.9641888105</v>
      </c>
      <c r="BD89" s="41">
        <v>325</v>
      </c>
      <c r="BE89" s="41">
        <v>5069.6535284699994</v>
      </c>
      <c r="BF89" s="40">
        <f t="shared" si="106"/>
        <v>1.0858696476214911E-2</v>
      </c>
      <c r="BG89" s="39">
        <v>325</v>
      </c>
      <c r="BH89" s="39">
        <v>5069.6535284699994</v>
      </c>
      <c r="BI89" s="40">
        <f t="shared" si="107"/>
        <v>1.0858696476214911E-2</v>
      </c>
      <c r="BJ89" s="39">
        <v>13293</v>
      </c>
      <c r="BK89" s="39">
        <v>469003.89579446119</v>
      </c>
      <c r="BL89" s="39">
        <v>379</v>
      </c>
      <c r="BM89" s="39">
        <v>9278.3058648799961</v>
      </c>
      <c r="BN89" s="40">
        <f t="shared" si="108"/>
        <v>1.9783003825934467E-2</v>
      </c>
      <c r="BO89" s="4">
        <v>379</v>
      </c>
      <c r="BP89" s="4">
        <v>9278.3058648799961</v>
      </c>
      <c r="BQ89" s="40">
        <f t="shared" si="109"/>
        <v>1.9783003825934467E-2</v>
      </c>
      <c r="BR89" s="39">
        <v>13091</v>
      </c>
      <c r="BS89" s="39">
        <v>481589.38968347234</v>
      </c>
      <c r="BT89" s="39">
        <v>329</v>
      </c>
      <c r="BU89" s="39">
        <v>10289.092302260007</v>
      </c>
      <c r="BV89" s="40">
        <f t="shared" si="110"/>
        <v>2.1364865012957569E-2</v>
      </c>
      <c r="BW89" s="4">
        <v>329</v>
      </c>
      <c r="BX89" s="4">
        <v>10289.092302260007</v>
      </c>
      <c r="BY89" s="40">
        <f t="shared" si="111"/>
        <v>2.1364865012957569E-2</v>
      </c>
      <c r="BZ89" s="39">
        <v>12907</v>
      </c>
      <c r="CA89" s="39">
        <v>481205.0121098393</v>
      </c>
      <c r="CB89" s="39">
        <v>334</v>
      </c>
      <c r="CC89" s="39">
        <v>10355.251843470009</v>
      </c>
      <c r="CD89" s="40">
        <f t="shared" si="112"/>
        <v>2.1519418091818069E-2</v>
      </c>
      <c r="CE89" s="4">
        <v>334</v>
      </c>
      <c r="CF89" s="4">
        <v>10355.251843470009</v>
      </c>
      <c r="CG89" s="40">
        <f t="shared" si="113"/>
        <v>2.1519418091818069E-2</v>
      </c>
      <c r="CH89" s="39">
        <v>12557</v>
      </c>
      <c r="CI89" s="39">
        <v>478595.30397100316</v>
      </c>
      <c r="CJ89" s="39">
        <v>330</v>
      </c>
      <c r="CK89" s="39">
        <v>9695.2857677200082</v>
      </c>
      <c r="CL89" s="40">
        <f t="shared" si="114"/>
        <v>2.0257795442780651E-2</v>
      </c>
      <c r="CM89" s="4">
        <v>330</v>
      </c>
      <c r="CN89" s="4">
        <v>9695.2857677200082</v>
      </c>
      <c r="CO89" s="40">
        <f t="shared" si="115"/>
        <v>2.0257795442780651E-2</v>
      </c>
      <c r="CP89" s="39">
        <v>12146</v>
      </c>
      <c r="CQ89" s="39">
        <v>481290.1495517022</v>
      </c>
      <c r="CR89" s="39">
        <v>330</v>
      </c>
      <c r="CS89" s="39">
        <v>9835.0875860700053</v>
      </c>
      <c r="CT89" s="40">
        <f t="shared" si="116"/>
        <v>2.0434840802852291E-2</v>
      </c>
      <c r="CU89" s="4">
        <v>330</v>
      </c>
      <c r="CV89" s="4">
        <v>9835.0875860700053</v>
      </c>
      <c r="CW89" s="40">
        <f t="shared" si="117"/>
        <v>2.0434840802852291E-2</v>
      </c>
      <c r="CX89" s="42">
        <v>0</v>
      </c>
      <c r="CY89" s="42">
        <v>0</v>
      </c>
    </row>
    <row r="90" spans="1:103" s="29" customFormat="1" ht="35.1" customHeight="1" x14ac:dyDescent="0.25">
      <c r="A90" s="38">
        <f t="shared" si="118"/>
        <v>84</v>
      </c>
      <c r="B90" s="45" t="s">
        <v>2148</v>
      </c>
      <c r="C90" s="45" t="s">
        <v>2153</v>
      </c>
      <c r="D90" s="64" t="s">
        <v>4</v>
      </c>
      <c r="E90" s="45" t="s">
        <v>2060</v>
      </c>
      <c r="F90" s="39">
        <v>10666</v>
      </c>
      <c r="G90" s="39">
        <v>326088.00509902905</v>
      </c>
      <c r="H90" s="39">
        <v>81</v>
      </c>
      <c r="I90" s="39">
        <v>13920.134072539991</v>
      </c>
      <c r="J90" s="40">
        <f t="shared" si="95"/>
        <v>4.268827388579538E-2</v>
      </c>
      <c r="K90" s="39">
        <v>81</v>
      </c>
      <c r="L90" s="39">
        <v>13920.134072539991</v>
      </c>
      <c r="M90" s="40">
        <f t="shared" si="96"/>
        <v>4.268827388579538E-2</v>
      </c>
      <c r="N90" s="39">
        <v>10586</v>
      </c>
      <c r="O90" s="39">
        <v>323775.66015828215</v>
      </c>
      <c r="P90" s="39">
        <v>92</v>
      </c>
      <c r="Q90" s="39">
        <v>17687.950000019999</v>
      </c>
      <c r="R90" s="40">
        <f t="shared" si="97"/>
        <v>5.4630264644887148E-2</v>
      </c>
      <c r="S90" s="39">
        <v>92</v>
      </c>
      <c r="T90" s="39">
        <v>17687.950000019999</v>
      </c>
      <c r="U90" s="40">
        <f t="shared" si="98"/>
        <v>5.4630264644887148E-2</v>
      </c>
      <c r="V90" s="39">
        <v>10513</v>
      </c>
      <c r="W90" s="39">
        <v>318777.58518232871</v>
      </c>
      <c r="X90" s="39">
        <v>104</v>
      </c>
      <c r="Y90" s="39">
        <v>17837.582885439995</v>
      </c>
      <c r="Z90" s="40">
        <f t="shared" si="94"/>
        <v>5.595620179893631E-2</v>
      </c>
      <c r="AA90" s="39">
        <v>104</v>
      </c>
      <c r="AB90" s="39">
        <v>17837.582885439995</v>
      </c>
      <c r="AC90" s="40">
        <f t="shared" si="99"/>
        <v>5.595620179893631E-2</v>
      </c>
      <c r="AD90" s="39">
        <v>10448</v>
      </c>
      <c r="AE90" s="39">
        <v>315514.71230239322</v>
      </c>
      <c r="AF90" s="39">
        <v>79</v>
      </c>
      <c r="AG90" s="39">
        <v>21376.33538</v>
      </c>
      <c r="AH90" s="40">
        <f t="shared" si="100"/>
        <v>6.7750677057216449E-2</v>
      </c>
      <c r="AI90" s="39">
        <v>79</v>
      </c>
      <c r="AJ90" s="39">
        <v>21376.33538</v>
      </c>
      <c r="AK90" s="40">
        <f t="shared" si="101"/>
        <v>6.7750677057216449E-2</v>
      </c>
      <c r="AL90" s="39">
        <v>10314</v>
      </c>
      <c r="AM90" s="39">
        <v>309114.48031045008</v>
      </c>
      <c r="AN90" s="39">
        <v>101</v>
      </c>
      <c r="AO90" s="39">
        <v>14376.291559039995</v>
      </c>
      <c r="AP90" s="40">
        <f t="shared" si="102"/>
        <v>4.6507984823621291E-2</v>
      </c>
      <c r="AQ90" s="39">
        <v>101</v>
      </c>
      <c r="AR90" s="39">
        <v>14376.291559039995</v>
      </c>
      <c r="AS90" s="40">
        <f t="shared" si="103"/>
        <v>4.6507984823621291E-2</v>
      </c>
      <c r="AT90" s="39">
        <v>10234</v>
      </c>
      <c r="AU90" s="39">
        <v>302328.64675742039</v>
      </c>
      <c r="AV90" s="39">
        <v>128</v>
      </c>
      <c r="AW90" s="39">
        <v>14463.895029070001</v>
      </c>
      <c r="AX90" s="40">
        <f t="shared" si="104"/>
        <v>4.7841629247510259E-2</v>
      </c>
      <c r="AY90" s="39">
        <v>128</v>
      </c>
      <c r="AZ90" s="39">
        <v>14463.895029070001</v>
      </c>
      <c r="BA90" s="40">
        <f t="shared" si="105"/>
        <v>4.7841629247510259E-2</v>
      </c>
      <c r="BB90" s="41">
        <v>10030</v>
      </c>
      <c r="BC90" s="41">
        <v>296518.07606077957</v>
      </c>
      <c r="BD90" s="41">
        <v>185</v>
      </c>
      <c r="BE90" s="41">
        <v>14986.489771289998</v>
      </c>
      <c r="BF90" s="40">
        <f t="shared" si="106"/>
        <v>5.0541572272370008E-2</v>
      </c>
      <c r="BG90" s="39">
        <v>185</v>
      </c>
      <c r="BH90" s="39">
        <v>14986.489771289998</v>
      </c>
      <c r="BI90" s="40">
        <f t="shared" si="107"/>
        <v>5.0541572272370008E-2</v>
      </c>
      <c r="BJ90" s="39">
        <v>9797</v>
      </c>
      <c r="BK90" s="39">
        <v>295145.95888722059</v>
      </c>
      <c r="BL90" s="39">
        <v>234</v>
      </c>
      <c r="BM90" s="39">
        <v>15688.63005634</v>
      </c>
      <c r="BN90" s="40">
        <f t="shared" si="108"/>
        <v>5.3155496743002489E-2</v>
      </c>
      <c r="BO90" s="4">
        <v>234</v>
      </c>
      <c r="BP90" s="4">
        <v>15688.63005634</v>
      </c>
      <c r="BQ90" s="40">
        <f t="shared" si="109"/>
        <v>5.3155496743002489E-2</v>
      </c>
      <c r="BR90" s="39">
        <v>9610</v>
      </c>
      <c r="BS90" s="39">
        <v>291543.15506799007</v>
      </c>
      <c r="BT90" s="39">
        <v>183</v>
      </c>
      <c r="BU90" s="39">
        <v>14249.579389289998</v>
      </c>
      <c r="BV90" s="40">
        <f t="shared" si="110"/>
        <v>4.8876398370480995E-2</v>
      </c>
      <c r="BW90" s="4">
        <v>183</v>
      </c>
      <c r="BX90" s="4">
        <v>14249.579389289998</v>
      </c>
      <c r="BY90" s="40">
        <f t="shared" si="111"/>
        <v>4.8876398370480995E-2</v>
      </c>
      <c r="BZ90" s="39">
        <v>9454</v>
      </c>
      <c r="CA90" s="39">
        <v>279762.39409962983</v>
      </c>
      <c r="CB90" s="39">
        <v>229</v>
      </c>
      <c r="CC90" s="39">
        <v>8254.8383967700047</v>
      </c>
      <c r="CD90" s="40">
        <f t="shared" si="112"/>
        <v>2.9506604786311154E-2</v>
      </c>
      <c r="CE90" s="4">
        <v>229</v>
      </c>
      <c r="CF90" s="4">
        <v>8254.8383967700047</v>
      </c>
      <c r="CG90" s="40">
        <f t="shared" si="113"/>
        <v>2.9506604786311154E-2</v>
      </c>
      <c r="CH90" s="39">
        <v>9132</v>
      </c>
      <c r="CI90" s="39">
        <v>275933.8473721685</v>
      </c>
      <c r="CJ90" s="39">
        <v>251</v>
      </c>
      <c r="CK90" s="39">
        <v>7200.002946660009</v>
      </c>
      <c r="CL90" s="40">
        <f t="shared" si="114"/>
        <v>2.609322131093593E-2</v>
      </c>
      <c r="CM90" s="4">
        <v>251</v>
      </c>
      <c r="CN90" s="4">
        <v>7200.002946660009</v>
      </c>
      <c r="CO90" s="40">
        <f t="shared" si="115"/>
        <v>2.609322131093593E-2</v>
      </c>
      <c r="CP90" s="39">
        <v>8761</v>
      </c>
      <c r="CQ90" s="39">
        <v>276006.32094997162</v>
      </c>
      <c r="CR90" s="39">
        <v>266</v>
      </c>
      <c r="CS90" s="39">
        <v>8577.6609383500017</v>
      </c>
      <c r="CT90" s="40">
        <f t="shared" si="116"/>
        <v>3.107776991783015E-2</v>
      </c>
      <c r="CU90" s="4">
        <v>266</v>
      </c>
      <c r="CV90" s="4">
        <v>8577.6609383500017</v>
      </c>
      <c r="CW90" s="40">
        <f t="shared" si="117"/>
        <v>3.107776991783015E-2</v>
      </c>
      <c r="CX90" s="42">
        <v>0</v>
      </c>
      <c r="CY90" s="42">
        <v>0</v>
      </c>
    </row>
    <row r="91" spans="1:103" s="29" customFormat="1" ht="35.1" customHeight="1" x14ac:dyDescent="0.25">
      <c r="A91" s="38">
        <f t="shared" si="118"/>
        <v>85</v>
      </c>
      <c r="B91" s="45" t="s">
        <v>2148</v>
      </c>
      <c r="C91" s="45" t="s">
        <v>2154</v>
      </c>
      <c r="D91" s="64" t="s">
        <v>9</v>
      </c>
      <c r="E91" s="45" t="s">
        <v>2041</v>
      </c>
      <c r="F91" s="39">
        <v>15622</v>
      </c>
      <c r="G91" s="39">
        <v>835082.09084002976</v>
      </c>
      <c r="H91" s="39">
        <v>199</v>
      </c>
      <c r="I91" s="39">
        <v>3723.7496744200016</v>
      </c>
      <c r="J91" s="40">
        <f t="shared" si="95"/>
        <v>4.4591420595239796E-3</v>
      </c>
      <c r="K91" s="39">
        <v>199</v>
      </c>
      <c r="L91" s="39">
        <v>3723.7496744200016</v>
      </c>
      <c r="M91" s="40">
        <f t="shared" si="96"/>
        <v>4.4591420595239796E-3</v>
      </c>
      <c r="N91" s="39">
        <v>15433</v>
      </c>
      <c r="O91" s="39">
        <v>830154.77616048546</v>
      </c>
      <c r="P91" s="39">
        <v>210</v>
      </c>
      <c r="Q91" s="39">
        <v>3356.2265916799997</v>
      </c>
      <c r="R91" s="40">
        <f t="shared" si="97"/>
        <v>4.0428925882987077E-3</v>
      </c>
      <c r="S91" s="39">
        <v>210</v>
      </c>
      <c r="T91" s="39">
        <v>3356.2265916799997</v>
      </c>
      <c r="U91" s="40">
        <f t="shared" si="98"/>
        <v>4.0428925882987077E-3</v>
      </c>
      <c r="V91" s="39">
        <v>15244</v>
      </c>
      <c r="W91" s="39">
        <v>790381.66113575874</v>
      </c>
      <c r="X91" s="39">
        <v>347</v>
      </c>
      <c r="Y91" s="39">
        <v>4314.6678037800011</v>
      </c>
      <c r="Z91" s="40">
        <f t="shared" si="94"/>
        <v>5.4589675038511538E-3</v>
      </c>
      <c r="AA91" s="39">
        <v>347</v>
      </c>
      <c r="AB91" s="39">
        <v>4314.6678037800011</v>
      </c>
      <c r="AC91" s="40">
        <f t="shared" si="99"/>
        <v>5.4589675038511538E-3</v>
      </c>
      <c r="AD91" s="39">
        <v>15060</v>
      </c>
      <c r="AE91" s="39">
        <v>753998.66869120835</v>
      </c>
      <c r="AF91" s="39">
        <v>283</v>
      </c>
      <c r="AG91" s="39">
        <v>4116.3662800000002</v>
      </c>
      <c r="AH91" s="40">
        <f t="shared" si="100"/>
        <v>5.4593813635575679E-3</v>
      </c>
      <c r="AI91" s="39">
        <v>283</v>
      </c>
      <c r="AJ91" s="39">
        <v>4116.3662800000002</v>
      </c>
      <c r="AK91" s="40">
        <f t="shared" si="101"/>
        <v>5.4593813635575679E-3</v>
      </c>
      <c r="AL91" s="39">
        <v>14822</v>
      </c>
      <c r="AM91" s="39">
        <v>706717.66219365108</v>
      </c>
      <c r="AN91" s="39">
        <v>312</v>
      </c>
      <c r="AO91" s="39">
        <v>4958.8518808499957</v>
      </c>
      <c r="AP91" s="40">
        <f t="shared" si="102"/>
        <v>7.0167368754556429E-3</v>
      </c>
      <c r="AQ91" s="39">
        <v>312</v>
      </c>
      <c r="AR91" s="39">
        <v>4958.8518808499957</v>
      </c>
      <c r="AS91" s="40">
        <f t="shared" si="103"/>
        <v>7.0167368754556429E-3</v>
      </c>
      <c r="AT91" s="39">
        <v>14590</v>
      </c>
      <c r="AU91" s="39">
        <v>666040.37376912066</v>
      </c>
      <c r="AV91" s="39">
        <v>295</v>
      </c>
      <c r="AW91" s="39">
        <v>5475.756268459997</v>
      </c>
      <c r="AX91" s="40">
        <f t="shared" si="104"/>
        <v>8.2213578697530112E-3</v>
      </c>
      <c r="AY91" s="39">
        <v>295</v>
      </c>
      <c r="AZ91" s="39">
        <v>5475.756268459997</v>
      </c>
      <c r="BA91" s="40">
        <f t="shared" si="105"/>
        <v>8.2213578697530112E-3</v>
      </c>
      <c r="BB91" s="41">
        <v>14278</v>
      </c>
      <c r="BC91" s="41">
        <v>632123.24771100981</v>
      </c>
      <c r="BD91" s="41">
        <v>397</v>
      </c>
      <c r="BE91" s="41">
        <v>6098.7095408499936</v>
      </c>
      <c r="BF91" s="40">
        <f t="shared" si="106"/>
        <v>9.6479753955167995E-3</v>
      </c>
      <c r="BG91" s="39">
        <v>397</v>
      </c>
      <c r="BH91" s="39">
        <v>6098.7095408499936</v>
      </c>
      <c r="BI91" s="40">
        <f t="shared" si="107"/>
        <v>9.6479753955167995E-3</v>
      </c>
      <c r="BJ91" s="39">
        <v>13946</v>
      </c>
      <c r="BK91" s="39">
        <v>595333.92029828019</v>
      </c>
      <c r="BL91" s="39">
        <v>489</v>
      </c>
      <c r="BM91" s="39">
        <v>6826.700456589987</v>
      </c>
      <c r="BN91" s="40">
        <f t="shared" si="108"/>
        <v>1.1467010737721118E-2</v>
      </c>
      <c r="BO91" s="4">
        <v>489</v>
      </c>
      <c r="BP91" s="4">
        <v>6826.700456589987</v>
      </c>
      <c r="BQ91" s="40">
        <f t="shared" si="109"/>
        <v>1.1467010737721118E-2</v>
      </c>
      <c r="BR91" s="39">
        <v>13583</v>
      </c>
      <c r="BS91" s="39">
        <v>574722.21632956958</v>
      </c>
      <c r="BT91" s="39">
        <v>482</v>
      </c>
      <c r="BU91" s="39">
        <v>7113.4161346999981</v>
      </c>
      <c r="BV91" s="40">
        <f t="shared" si="110"/>
        <v>1.2377137915651532E-2</v>
      </c>
      <c r="BW91" s="4">
        <v>482</v>
      </c>
      <c r="BX91" s="4">
        <v>7113.4161346999981</v>
      </c>
      <c r="BY91" s="40">
        <f t="shared" si="111"/>
        <v>1.2377137915651532E-2</v>
      </c>
      <c r="BZ91" s="39">
        <v>13275</v>
      </c>
      <c r="CA91" s="39">
        <v>552375.28011137038</v>
      </c>
      <c r="CB91" s="39">
        <v>570</v>
      </c>
      <c r="CC91" s="39">
        <v>7936.782249299994</v>
      </c>
      <c r="CD91" s="40">
        <f t="shared" si="112"/>
        <v>1.4368460239024043E-2</v>
      </c>
      <c r="CE91" s="4">
        <v>570</v>
      </c>
      <c r="CF91" s="4">
        <v>7936.782249299994</v>
      </c>
      <c r="CG91" s="40">
        <f t="shared" si="113"/>
        <v>1.4368460239024043E-2</v>
      </c>
      <c r="CH91" s="39">
        <v>12734</v>
      </c>
      <c r="CI91" s="39">
        <v>518925.89221449906</v>
      </c>
      <c r="CJ91" s="39">
        <v>565</v>
      </c>
      <c r="CK91" s="39">
        <v>8399.0752502699961</v>
      </c>
      <c r="CL91" s="40">
        <f t="shared" si="114"/>
        <v>1.6185500427483433E-2</v>
      </c>
      <c r="CM91" s="4">
        <v>565</v>
      </c>
      <c r="CN91" s="4">
        <v>8399.0752502699961</v>
      </c>
      <c r="CO91" s="40">
        <f t="shared" si="115"/>
        <v>1.6185500427483433E-2</v>
      </c>
      <c r="CP91" s="39">
        <v>12180</v>
      </c>
      <c r="CQ91" s="39">
        <v>498614.21384269535</v>
      </c>
      <c r="CR91" s="39">
        <v>539</v>
      </c>
      <c r="CS91" s="39">
        <v>8783.8032716699963</v>
      </c>
      <c r="CT91" s="40">
        <f t="shared" si="116"/>
        <v>1.7616431757882342E-2</v>
      </c>
      <c r="CU91" s="4">
        <v>539</v>
      </c>
      <c r="CV91" s="4">
        <v>8783.8032716699963</v>
      </c>
      <c r="CW91" s="40">
        <f t="shared" si="117"/>
        <v>1.7616431757882342E-2</v>
      </c>
      <c r="CX91" s="42">
        <v>0</v>
      </c>
      <c r="CY91" s="42">
        <v>0</v>
      </c>
    </row>
    <row r="92" spans="1:103" s="29" customFormat="1" ht="35.1" customHeight="1" x14ac:dyDescent="0.25">
      <c r="A92" s="38">
        <f t="shared" si="118"/>
        <v>86</v>
      </c>
      <c r="B92" s="45" t="s">
        <v>2148</v>
      </c>
      <c r="C92" s="45" t="s">
        <v>2155</v>
      </c>
      <c r="D92" s="64" t="s">
        <v>8</v>
      </c>
      <c r="E92" s="45" t="s">
        <v>2073</v>
      </c>
      <c r="F92" s="39">
        <v>5024</v>
      </c>
      <c r="G92" s="39">
        <v>158291.17515259018</v>
      </c>
      <c r="H92" s="39">
        <v>18</v>
      </c>
      <c r="I92" s="39">
        <v>1191.90020387</v>
      </c>
      <c r="J92" s="40">
        <f t="shared" si="95"/>
        <v>7.529795661198593E-3</v>
      </c>
      <c r="K92" s="39">
        <v>18</v>
      </c>
      <c r="L92" s="39">
        <v>1191.90020387</v>
      </c>
      <c r="M92" s="40">
        <f t="shared" si="96"/>
        <v>7.529795661198593E-3</v>
      </c>
      <c r="N92" s="39">
        <v>4982</v>
      </c>
      <c r="O92" s="39">
        <v>156102.02739127094</v>
      </c>
      <c r="P92" s="39">
        <v>26</v>
      </c>
      <c r="Q92" s="39">
        <v>1970.8727316600005</v>
      </c>
      <c r="R92" s="40">
        <f t="shared" si="97"/>
        <v>1.2625542182869879E-2</v>
      </c>
      <c r="S92" s="39">
        <v>26</v>
      </c>
      <c r="T92" s="39">
        <v>1970.8727316600005</v>
      </c>
      <c r="U92" s="40">
        <f t="shared" si="98"/>
        <v>1.2625542182869879E-2</v>
      </c>
      <c r="V92" s="39">
        <v>4939</v>
      </c>
      <c r="W92" s="39">
        <v>153626.88968252979</v>
      </c>
      <c r="X92" s="39">
        <v>38</v>
      </c>
      <c r="Y92" s="39">
        <v>1766.8718856400005</v>
      </c>
      <c r="Z92" s="40">
        <f t="shared" si="94"/>
        <v>1.1501058761856366E-2</v>
      </c>
      <c r="AA92" s="39">
        <v>38</v>
      </c>
      <c r="AB92" s="39">
        <v>1766.8718856400005</v>
      </c>
      <c r="AC92" s="40">
        <f t="shared" si="99"/>
        <v>1.1501058761856366E-2</v>
      </c>
      <c r="AD92" s="39">
        <v>4899</v>
      </c>
      <c r="AE92" s="39">
        <v>151156.75730042937</v>
      </c>
      <c r="AF92" s="39">
        <v>48</v>
      </c>
      <c r="AG92" s="39">
        <v>3246.6419099999998</v>
      </c>
      <c r="AH92" s="40">
        <f t="shared" si="100"/>
        <v>2.1478642225350106E-2</v>
      </c>
      <c r="AI92" s="39">
        <v>48</v>
      </c>
      <c r="AJ92" s="39">
        <v>3246.6419099999998</v>
      </c>
      <c r="AK92" s="40">
        <f t="shared" si="101"/>
        <v>2.1478642225350106E-2</v>
      </c>
      <c r="AL92" s="39">
        <v>4863</v>
      </c>
      <c r="AM92" s="39">
        <v>148755.49203690016</v>
      </c>
      <c r="AN92" s="39">
        <v>64</v>
      </c>
      <c r="AO92" s="39">
        <v>3688.9680451300014</v>
      </c>
      <c r="AP92" s="40">
        <f t="shared" si="102"/>
        <v>2.4798869571920876E-2</v>
      </c>
      <c r="AQ92" s="39">
        <v>64</v>
      </c>
      <c r="AR92" s="39">
        <v>3688.9680451300014</v>
      </c>
      <c r="AS92" s="40">
        <f t="shared" si="103"/>
        <v>2.4798869571920876E-2</v>
      </c>
      <c r="AT92" s="39">
        <v>4833</v>
      </c>
      <c r="AU92" s="39">
        <v>146932.10235364034</v>
      </c>
      <c r="AV92" s="39">
        <v>60</v>
      </c>
      <c r="AW92" s="39">
        <v>2787.3032960900023</v>
      </c>
      <c r="AX92" s="40">
        <f t="shared" si="104"/>
        <v>1.8970008945910555E-2</v>
      </c>
      <c r="AY92" s="39">
        <v>60</v>
      </c>
      <c r="AZ92" s="39">
        <v>2787.3032960900023</v>
      </c>
      <c r="BA92" s="40">
        <f t="shared" si="105"/>
        <v>1.8970008945910555E-2</v>
      </c>
      <c r="BB92" s="41">
        <v>4773</v>
      </c>
      <c r="BC92" s="41">
        <v>144931.70068496984</v>
      </c>
      <c r="BD92" s="41">
        <v>75</v>
      </c>
      <c r="BE92" s="41">
        <v>2089.2560993800007</v>
      </c>
      <c r="BF92" s="40">
        <f t="shared" si="106"/>
        <v>1.4415452861629652E-2</v>
      </c>
      <c r="BG92" s="39">
        <v>75</v>
      </c>
      <c r="BH92" s="39">
        <v>2089.2560993800007</v>
      </c>
      <c r="BI92" s="40">
        <f t="shared" si="107"/>
        <v>1.4415452861629652E-2</v>
      </c>
      <c r="BJ92" s="39">
        <v>4699</v>
      </c>
      <c r="BK92" s="39">
        <v>145128.0236142803</v>
      </c>
      <c r="BL92" s="39">
        <v>75</v>
      </c>
      <c r="BM92" s="39">
        <v>2222.7769433200001</v>
      </c>
      <c r="BN92" s="40">
        <f t="shared" si="108"/>
        <v>1.531597335899559E-2</v>
      </c>
      <c r="BO92" s="4">
        <v>75</v>
      </c>
      <c r="BP92" s="4">
        <v>2222.7769433200001</v>
      </c>
      <c r="BQ92" s="40">
        <f t="shared" si="109"/>
        <v>1.531597335899559E-2</v>
      </c>
      <c r="BR92" s="39">
        <v>4625</v>
      </c>
      <c r="BS92" s="39">
        <v>144259.36300567008</v>
      </c>
      <c r="BT92" s="39">
        <v>79</v>
      </c>
      <c r="BU92" s="39">
        <v>2122.0150788500009</v>
      </c>
      <c r="BV92" s="40">
        <f t="shared" si="110"/>
        <v>1.4709721675164999E-2</v>
      </c>
      <c r="BW92" s="4">
        <v>79</v>
      </c>
      <c r="BX92" s="4">
        <v>2122.0150788500009</v>
      </c>
      <c r="BY92" s="40">
        <f t="shared" si="111"/>
        <v>1.4709721675164999E-2</v>
      </c>
      <c r="BZ92" s="39">
        <v>4512</v>
      </c>
      <c r="CA92" s="39">
        <v>143366.52627747014</v>
      </c>
      <c r="CB92" s="39">
        <v>96</v>
      </c>
      <c r="CC92" s="39">
        <v>2437.3587366499996</v>
      </c>
      <c r="CD92" s="40">
        <f t="shared" si="112"/>
        <v>1.7000891351254196E-2</v>
      </c>
      <c r="CE92" s="4">
        <v>96</v>
      </c>
      <c r="CF92" s="4">
        <v>2437.3587366499996</v>
      </c>
      <c r="CG92" s="40">
        <f t="shared" si="113"/>
        <v>1.7000891351254196E-2</v>
      </c>
      <c r="CH92" s="39">
        <v>4365</v>
      </c>
      <c r="CI92" s="39">
        <v>140751.72045804921</v>
      </c>
      <c r="CJ92" s="39">
        <v>120</v>
      </c>
      <c r="CK92" s="39">
        <v>2520.8385750999996</v>
      </c>
      <c r="CL92" s="40">
        <f t="shared" si="114"/>
        <v>1.7909824241553983E-2</v>
      </c>
      <c r="CM92" s="4">
        <v>120</v>
      </c>
      <c r="CN92" s="4">
        <v>2520.8385750999996</v>
      </c>
      <c r="CO92" s="40">
        <f t="shared" si="115"/>
        <v>1.7909824241553983E-2</v>
      </c>
      <c r="CP92" s="39">
        <v>4196</v>
      </c>
      <c r="CQ92" s="39">
        <v>139095.23858648996</v>
      </c>
      <c r="CR92" s="39">
        <v>99</v>
      </c>
      <c r="CS92" s="39">
        <v>2024.8917935600002</v>
      </c>
      <c r="CT92" s="40">
        <f t="shared" si="116"/>
        <v>1.4557592439089242E-2</v>
      </c>
      <c r="CU92" s="4">
        <v>99</v>
      </c>
      <c r="CV92" s="4">
        <v>2024.8917935600002</v>
      </c>
      <c r="CW92" s="40">
        <f t="shared" si="117"/>
        <v>1.4557592439089242E-2</v>
      </c>
      <c r="CX92" s="42">
        <v>0</v>
      </c>
      <c r="CY92" s="42">
        <v>0</v>
      </c>
    </row>
    <row r="93" spans="1:103" s="29" customFormat="1" ht="35.1" customHeight="1" x14ac:dyDescent="0.25">
      <c r="A93" s="38">
        <f t="shared" si="118"/>
        <v>87</v>
      </c>
      <c r="B93" s="45" t="s">
        <v>2148</v>
      </c>
      <c r="C93" s="45" t="s">
        <v>2156</v>
      </c>
      <c r="D93" s="64" t="s">
        <v>3</v>
      </c>
      <c r="E93" s="45" t="s">
        <v>2107</v>
      </c>
      <c r="F93" s="39">
        <v>4620</v>
      </c>
      <c r="G93" s="39">
        <v>360225.24495111016</v>
      </c>
      <c r="H93" s="39">
        <v>75</v>
      </c>
      <c r="I93" s="39">
        <v>148851.26341961999</v>
      </c>
      <c r="J93" s="40">
        <f t="shared" si="95"/>
        <v>0.41321718981639421</v>
      </c>
      <c r="K93" s="39">
        <v>72</v>
      </c>
      <c r="L93" s="39">
        <v>17215.238681929986</v>
      </c>
      <c r="M93" s="40">
        <f t="shared" si="96"/>
        <v>7.5310807158172816E-2</v>
      </c>
      <c r="N93" s="39">
        <v>4609</v>
      </c>
      <c r="O93" s="39">
        <v>357992.5207183602</v>
      </c>
      <c r="P93" s="39">
        <v>88</v>
      </c>
      <c r="Q93" s="39">
        <v>149936.26307743002</v>
      </c>
      <c r="R93" s="40">
        <f t="shared" si="97"/>
        <v>0.41882512734222133</v>
      </c>
      <c r="S93" s="39">
        <v>85</v>
      </c>
      <c r="T93" s="39">
        <v>18112.47862781999</v>
      </c>
      <c r="U93" s="40">
        <f t="shared" si="98"/>
        <v>8.0083918434674467E-2</v>
      </c>
      <c r="V93" s="39">
        <v>4590</v>
      </c>
      <c r="W93" s="39">
        <v>354361.04586051998</v>
      </c>
      <c r="X93" s="39">
        <v>81</v>
      </c>
      <c r="Y93" s="39">
        <v>149150.86663216003</v>
      </c>
      <c r="Z93" s="40">
        <f t="shared" si="94"/>
        <v>0.42090085345009193</v>
      </c>
      <c r="AA93" s="39">
        <v>78</v>
      </c>
      <c r="AB93" s="39">
        <v>17736.42199798</v>
      </c>
      <c r="AC93" s="40">
        <f t="shared" si="99"/>
        <v>7.9554574505370554E-2</v>
      </c>
      <c r="AD93" s="39">
        <v>4557</v>
      </c>
      <c r="AE93" s="39">
        <v>352583.53625057032</v>
      </c>
      <c r="AF93" s="39">
        <v>80</v>
      </c>
      <c r="AG93" s="39">
        <v>149608.56632000001</v>
      </c>
      <c r="AH93" s="40">
        <f t="shared" si="100"/>
        <v>0.4243209082050779</v>
      </c>
      <c r="AI93" s="39">
        <v>77</v>
      </c>
      <c r="AJ93" s="39">
        <v>18010.011279999999</v>
      </c>
      <c r="AK93" s="40">
        <f t="shared" si="101"/>
        <v>8.1498802232350676E-2</v>
      </c>
      <c r="AL93" s="39">
        <v>4517</v>
      </c>
      <c r="AM93" s="39">
        <v>352076.89241902012</v>
      </c>
      <c r="AN93" s="39">
        <v>84</v>
      </c>
      <c r="AO93" s="39">
        <v>149372.24951482998</v>
      </c>
      <c r="AP93" s="40">
        <f t="shared" si="102"/>
        <v>0.42426030430039235</v>
      </c>
      <c r="AQ93" s="39">
        <v>81</v>
      </c>
      <c r="AR93" s="39">
        <v>17671.051135009995</v>
      </c>
      <c r="AS93" s="40">
        <f t="shared" si="103"/>
        <v>8.0186026013679579E-2</v>
      </c>
      <c r="AT93" s="39">
        <v>4467</v>
      </c>
      <c r="AU93" s="39">
        <v>343044.40124749037</v>
      </c>
      <c r="AV93" s="39">
        <v>82</v>
      </c>
      <c r="AW93" s="39">
        <v>153759.69580345001</v>
      </c>
      <c r="AX93" s="40">
        <f t="shared" si="104"/>
        <v>0.44822097444033093</v>
      </c>
      <c r="AY93" s="39">
        <v>79</v>
      </c>
      <c r="AZ93" s="39">
        <v>22906.063164009993</v>
      </c>
      <c r="BA93" s="40">
        <f t="shared" si="105"/>
        <v>0.10795032844393473</v>
      </c>
      <c r="BB93" s="41">
        <v>4454</v>
      </c>
      <c r="BC93" s="41">
        <v>206710.02535626988</v>
      </c>
      <c r="BD93" s="41">
        <v>97</v>
      </c>
      <c r="BE93" s="41">
        <v>18419.63135494999</v>
      </c>
      <c r="BF93" s="40">
        <f t="shared" si="106"/>
        <v>8.9108553507278115E-2</v>
      </c>
      <c r="BG93" s="39">
        <v>97</v>
      </c>
      <c r="BH93" s="39">
        <v>18419.63135494999</v>
      </c>
      <c r="BI93" s="40">
        <f t="shared" si="107"/>
        <v>8.9108553507278115E-2</v>
      </c>
      <c r="BJ93" s="39">
        <v>4411</v>
      </c>
      <c r="BK93" s="39">
        <v>213082.35538640013</v>
      </c>
      <c r="BL93" s="39">
        <v>105</v>
      </c>
      <c r="BM93" s="39">
        <v>17720.829068319992</v>
      </c>
      <c r="BN93" s="40">
        <f t="shared" si="108"/>
        <v>8.3164225569899136E-2</v>
      </c>
      <c r="BO93" s="4">
        <v>105</v>
      </c>
      <c r="BP93" s="4">
        <v>17720.829068319992</v>
      </c>
      <c r="BQ93" s="40">
        <f t="shared" si="109"/>
        <v>8.3164225569899136E-2</v>
      </c>
      <c r="BR93" s="39">
        <v>4342</v>
      </c>
      <c r="BS93" s="39">
        <v>213232.52377924023</v>
      </c>
      <c r="BT93" s="39">
        <v>91</v>
      </c>
      <c r="BU93" s="39">
        <v>17013.830588350003</v>
      </c>
      <c r="BV93" s="40">
        <f t="shared" si="110"/>
        <v>7.9790035247926966E-2</v>
      </c>
      <c r="BW93" s="4">
        <v>91</v>
      </c>
      <c r="BX93" s="4">
        <v>17013.830588350003</v>
      </c>
      <c r="BY93" s="40">
        <f t="shared" si="111"/>
        <v>7.9790035247926966E-2</v>
      </c>
      <c r="BZ93" s="39">
        <v>4290</v>
      </c>
      <c r="CA93" s="39">
        <v>219104.34804203006</v>
      </c>
      <c r="CB93" s="39">
        <v>111</v>
      </c>
      <c r="CC93" s="39">
        <v>14432.821850459999</v>
      </c>
      <c r="CD93" s="40">
        <f t="shared" si="112"/>
        <v>6.587190979747877E-2</v>
      </c>
      <c r="CE93" s="4">
        <v>111</v>
      </c>
      <c r="CF93" s="4">
        <v>14432.821850459999</v>
      </c>
      <c r="CG93" s="40">
        <f t="shared" si="113"/>
        <v>6.587190979747877E-2</v>
      </c>
      <c r="CH93" s="39">
        <v>4196</v>
      </c>
      <c r="CI93" s="39">
        <v>224601.28149481089</v>
      </c>
      <c r="CJ93" s="39">
        <v>124</v>
      </c>
      <c r="CK93" s="39">
        <v>14563.139922709994</v>
      </c>
      <c r="CL93" s="40">
        <f t="shared" si="114"/>
        <v>6.4839968079373825E-2</v>
      </c>
      <c r="CM93" s="4">
        <v>124</v>
      </c>
      <c r="CN93" s="4">
        <v>14563.139922709994</v>
      </c>
      <c r="CO93" s="40">
        <f t="shared" si="115"/>
        <v>6.4839968079373825E-2</v>
      </c>
      <c r="CP93" s="39">
        <v>4122</v>
      </c>
      <c r="CQ93" s="39">
        <v>220851.43899553982</v>
      </c>
      <c r="CR93" s="39">
        <v>125</v>
      </c>
      <c r="CS93" s="39">
        <v>14047.312587649993</v>
      </c>
      <c r="CT93" s="40">
        <f t="shared" si="116"/>
        <v>6.3605257233273829E-2</v>
      </c>
      <c r="CU93" s="4">
        <v>125</v>
      </c>
      <c r="CV93" s="4">
        <v>14047.312587649993</v>
      </c>
      <c r="CW93" s="40">
        <f t="shared" si="117"/>
        <v>6.3605257233273829E-2</v>
      </c>
      <c r="CX93" s="42">
        <v>0</v>
      </c>
      <c r="CY93" s="42">
        <v>0</v>
      </c>
    </row>
    <row r="94" spans="1:103" s="29" customFormat="1" ht="35.1" customHeight="1" x14ac:dyDescent="0.25">
      <c r="A94" s="38">
        <f t="shared" si="118"/>
        <v>88</v>
      </c>
      <c r="B94" s="45" t="s">
        <v>2148</v>
      </c>
      <c r="C94" s="45" t="s">
        <v>2157</v>
      </c>
      <c r="D94" s="64" t="s">
        <v>2</v>
      </c>
      <c r="E94" s="45" t="s">
        <v>2035</v>
      </c>
      <c r="F94" s="39">
        <v>2961</v>
      </c>
      <c r="G94" s="39">
        <v>88204.572648290065</v>
      </c>
      <c r="H94" s="39">
        <v>23</v>
      </c>
      <c r="I94" s="39">
        <v>19974.186127069999</v>
      </c>
      <c r="J94" s="40">
        <f t="shared" si="95"/>
        <v>0.22645295507202051</v>
      </c>
      <c r="K94" s="39">
        <v>21</v>
      </c>
      <c r="L94" s="39">
        <v>6753.3985463799991</v>
      </c>
      <c r="M94" s="40">
        <f t="shared" si="96"/>
        <v>9.0064785877261508E-2</v>
      </c>
      <c r="N94" s="39">
        <v>2961</v>
      </c>
      <c r="O94" s="39">
        <v>87506.180214639782</v>
      </c>
      <c r="P94" s="39">
        <v>43</v>
      </c>
      <c r="Q94" s="39">
        <v>20668.95509856</v>
      </c>
      <c r="R94" s="40">
        <f t="shared" si="97"/>
        <v>0.23619994665362029</v>
      </c>
      <c r="S94" s="39">
        <v>41</v>
      </c>
      <c r="T94" s="39">
        <v>7598.1675178699988</v>
      </c>
      <c r="U94" s="40">
        <f t="shared" si="98"/>
        <v>0.10207734854352733</v>
      </c>
      <c r="V94" s="39">
        <v>2956</v>
      </c>
      <c r="W94" s="39">
        <v>85172.581910920097</v>
      </c>
      <c r="X94" s="39">
        <v>55</v>
      </c>
      <c r="Y94" s="39">
        <v>19155.793358959996</v>
      </c>
      <c r="Z94" s="40">
        <f t="shared" si="94"/>
        <v>0.22490563194379345</v>
      </c>
      <c r="AA94" s="39">
        <v>54</v>
      </c>
      <c r="AB94" s="39">
        <v>7779.2981858699959</v>
      </c>
      <c r="AC94" s="40">
        <f t="shared" si="99"/>
        <v>0.10541613423902724</v>
      </c>
      <c r="AD94" s="39">
        <v>2948</v>
      </c>
      <c r="AE94" s="39">
        <v>83873.996331049915</v>
      </c>
      <c r="AF94" s="39">
        <v>64</v>
      </c>
      <c r="AG94" s="39">
        <v>19641.532510000001</v>
      </c>
      <c r="AH94" s="40">
        <f t="shared" si="100"/>
        <v>0.23417904677481979</v>
      </c>
      <c r="AI94" s="39">
        <v>63</v>
      </c>
      <c r="AJ94" s="39">
        <v>8265.0373400000008</v>
      </c>
      <c r="AK94" s="40">
        <f t="shared" si="101"/>
        <v>0.1140044443964985</v>
      </c>
      <c r="AL94" s="39">
        <v>2941</v>
      </c>
      <c r="AM94" s="39">
        <v>82519.814330360066</v>
      </c>
      <c r="AN94" s="39">
        <v>78</v>
      </c>
      <c r="AO94" s="39">
        <v>12880.17049124</v>
      </c>
      <c r="AP94" s="40">
        <f t="shared" si="102"/>
        <v>0.15608579097955175</v>
      </c>
      <c r="AQ94" s="39">
        <v>77</v>
      </c>
      <c r="AR94" s="39">
        <v>1503.6753181500005</v>
      </c>
      <c r="AS94" s="40">
        <f t="shared" si="103"/>
        <v>2.1135861187836374E-2</v>
      </c>
      <c r="AT94" s="39">
        <v>2918</v>
      </c>
      <c r="AU94" s="39">
        <v>81922.843984519917</v>
      </c>
      <c r="AV94" s="39">
        <v>78</v>
      </c>
      <c r="AW94" s="39">
        <v>12825.217698959999</v>
      </c>
      <c r="AX94" s="40">
        <f t="shared" si="104"/>
        <v>0.15655239827102979</v>
      </c>
      <c r="AY94" s="39">
        <v>77</v>
      </c>
      <c r="AZ94" s="39">
        <v>1448.7225258700003</v>
      </c>
      <c r="BA94" s="40">
        <f t="shared" si="105"/>
        <v>2.0535754865817778E-2</v>
      </c>
      <c r="BB94" s="41">
        <v>2897</v>
      </c>
      <c r="BC94" s="41">
        <v>80687.266711100121</v>
      </c>
      <c r="BD94" s="41">
        <v>86</v>
      </c>
      <c r="BE94" s="41">
        <v>12537.72770548</v>
      </c>
      <c r="BF94" s="40">
        <f t="shared" si="106"/>
        <v>0.15538669503294983</v>
      </c>
      <c r="BG94" s="39">
        <v>85</v>
      </c>
      <c r="BH94" s="39">
        <v>1161.23253239</v>
      </c>
      <c r="BI94" s="40">
        <f t="shared" si="107"/>
        <v>1.6753998067287109E-2</v>
      </c>
      <c r="BJ94" s="39">
        <v>2847</v>
      </c>
      <c r="BK94" s="39">
        <v>80327.071540200122</v>
      </c>
      <c r="BL94" s="39">
        <v>100</v>
      </c>
      <c r="BM94" s="39">
        <v>12873.0223558</v>
      </c>
      <c r="BN94" s="40">
        <f t="shared" si="108"/>
        <v>0.16025758326515893</v>
      </c>
      <c r="BO94" s="4">
        <v>99</v>
      </c>
      <c r="BP94" s="4">
        <v>1708.0237362400012</v>
      </c>
      <c r="BQ94" s="40">
        <f t="shared" si="109"/>
        <v>2.4695959275250031E-2</v>
      </c>
      <c r="BR94" s="39">
        <v>2803</v>
      </c>
      <c r="BS94" s="39">
        <v>79985.883480040022</v>
      </c>
      <c r="BT94" s="39">
        <v>85</v>
      </c>
      <c r="BU94" s="39">
        <v>12429.51139806</v>
      </c>
      <c r="BV94" s="40">
        <f t="shared" si="110"/>
        <v>0.1553963131652063</v>
      </c>
      <c r="BW94" s="4">
        <v>84</v>
      </c>
      <c r="BX94" s="4">
        <v>1264.5127784999997</v>
      </c>
      <c r="BY94" s="40">
        <f t="shared" si="111"/>
        <v>1.8373968615247177E-2</v>
      </c>
      <c r="BZ94" s="39">
        <v>2734</v>
      </c>
      <c r="CA94" s="39">
        <v>79295.098531860014</v>
      </c>
      <c r="CB94" s="39">
        <v>80</v>
      </c>
      <c r="CC94" s="39">
        <v>17259.033224979998</v>
      </c>
      <c r="CD94" s="40">
        <f t="shared" si="112"/>
        <v>0.21765573843187147</v>
      </c>
      <c r="CE94" s="4">
        <v>79</v>
      </c>
      <c r="CF94" s="4">
        <v>6144.0346054199972</v>
      </c>
      <c r="CG94" s="40">
        <f t="shared" si="113"/>
        <v>9.0114778554491154E-2</v>
      </c>
      <c r="CH94" s="39">
        <v>2663</v>
      </c>
      <c r="CI94" s="39">
        <v>77999.366223929843</v>
      </c>
      <c r="CJ94" s="39">
        <v>80</v>
      </c>
      <c r="CK94" s="39">
        <v>17212.078016729996</v>
      </c>
      <c r="CL94" s="40">
        <f t="shared" si="114"/>
        <v>0.22066945989427042</v>
      </c>
      <c r="CM94" s="4">
        <v>79</v>
      </c>
      <c r="CN94" s="4">
        <v>6497.0793971699977</v>
      </c>
      <c r="CO94" s="40">
        <f t="shared" si="115"/>
        <v>9.6561499030096226E-2</v>
      </c>
      <c r="CP94" s="39">
        <v>2578</v>
      </c>
      <c r="CQ94" s="39">
        <v>76705.42388509</v>
      </c>
      <c r="CR94" s="39">
        <v>81</v>
      </c>
      <c r="CS94" s="39">
        <v>17417.635589229994</v>
      </c>
      <c r="CT94" s="40">
        <f t="shared" si="116"/>
        <v>0.22707175981874256</v>
      </c>
      <c r="CU94" s="4">
        <v>81</v>
      </c>
      <c r="CV94" s="4">
        <v>17417.635589229994</v>
      </c>
      <c r="CW94" s="40">
        <f t="shared" si="117"/>
        <v>0.22707175981874256</v>
      </c>
      <c r="CX94" s="42">
        <v>0</v>
      </c>
      <c r="CY94" s="42">
        <v>0</v>
      </c>
    </row>
    <row r="95" spans="1:103" s="29" customFormat="1" ht="35.1" customHeight="1" x14ac:dyDescent="0.25">
      <c r="A95" s="38">
        <f t="shared" si="118"/>
        <v>89</v>
      </c>
      <c r="B95" s="45" t="s">
        <v>2158</v>
      </c>
      <c r="C95" s="45" t="s">
        <v>2159</v>
      </c>
      <c r="D95" s="64">
        <v>11853</v>
      </c>
      <c r="E95" s="45" t="s">
        <v>2107</v>
      </c>
      <c r="F95" s="39">
        <v>353</v>
      </c>
      <c r="G95" s="39">
        <v>78550.835889349997</v>
      </c>
      <c r="H95" s="39">
        <v>0</v>
      </c>
      <c r="I95" s="39">
        <v>0</v>
      </c>
      <c r="J95" s="40">
        <f t="shared" si="95"/>
        <v>0</v>
      </c>
      <c r="K95" s="39">
        <v>0</v>
      </c>
      <c r="L95" s="39">
        <v>0</v>
      </c>
      <c r="M95" s="40">
        <f t="shared" si="96"/>
        <v>0</v>
      </c>
      <c r="N95" s="39">
        <v>360</v>
      </c>
      <c r="O95" s="39">
        <v>80032.36830416997</v>
      </c>
      <c r="P95" s="39">
        <v>0</v>
      </c>
      <c r="Q95" s="39">
        <v>0</v>
      </c>
      <c r="R95" s="40">
        <f t="shared" si="97"/>
        <v>0</v>
      </c>
      <c r="S95" s="39">
        <v>0</v>
      </c>
      <c r="T95" s="39">
        <v>0</v>
      </c>
      <c r="U95" s="40">
        <f t="shared" si="98"/>
        <v>0</v>
      </c>
      <c r="V95" s="39">
        <v>369</v>
      </c>
      <c r="W95" s="39">
        <v>83148.819679309992</v>
      </c>
      <c r="X95" s="39">
        <v>0</v>
      </c>
      <c r="Y95" s="39">
        <v>0</v>
      </c>
      <c r="Z95" s="40">
        <f t="shared" si="94"/>
        <v>0</v>
      </c>
      <c r="AA95" s="39">
        <v>0</v>
      </c>
      <c r="AB95" s="39">
        <v>0</v>
      </c>
      <c r="AC95" s="40">
        <f t="shared" si="99"/>
        <v>0</v>
      </c>
      <c r="AD95" s="39">
        <v>365</v>
      </c>
      <c r="AE95" s="39">
        <v>86581.669551279992</v>
      </c>
      <c r="AF95" s="39">
        <v>0</v>
      </c>
      <c r="AG95" s="39">
        <v>0</v>
      </c>
      <c r="AH95" s="40">
        <f t="shared" si="100"/>
        <v>0</v>
      </c>
      <c r="AI95" s="39">
        <v>0</v>
      </c>
      <c r="AJ95" s="39">
        <v>0</v>
      </c>
      <c r="AK95" s="40">
        <f t="shared" si="101"/>
        <v>0</v>
      </c>
      <c r="AL95" s="39">
        <v>377</v>
      </c>
      <c r="AM95" s="39">
        <v>90352.306881860073</v>
      </c>
      <c r="AN95" s="39">
        <v>0</v>
      </c>
      <c r="AO95" s="39">
        <v>0</v>
      </c>
      <c r="AP95" s="40">
        <f t="shared" si="102"/>
        <v>0</v>
      </c>
      <c r="AQ95" s="39">
        <v>0</v>
      </c>
      <c r="AR95" s="39">
        <v>0</v>
      </c>
      <c r="AS95" s="40">
        <f t="shared" si="103"/>
        <v>0</v>
      </c>
      <c r="AT95" s="39">
        <v>379</v>
      </c>
      <c r="AU95" s="39">
        <v>90443.525759100055</v>
      </c>
      <c r="AV95" s="39">
        <v>0</v>
      </c>
      <c r="AW95" s="39">
        <v>0</v>
      </c>
      <c r="AX95" s="40">
        <f t="shared" si="104"/>
        <v>0</v>
      </c>
      <c r="AY95" s="39">
        <v>0</v>
      </c>
      <c r="AZ95" s="39">
        <v>0</v>
      </c>
      <c r="BA95" s="40">
        <f t="shared" si="105"/>
        <v>0</v>
      </c>
      <c r="BB95" s="41">
        <v>382</v>
      </c>
      <c r="BC95" s="41">
        <v>92563.198139700049</v>
      </c>
      <c r="BD95" s="41">
        <v>0</v>
      </c>
      <c r="BE95" s="41">
        <v>0</v>
      </c>
      <c r="BF95" s="40">
        <f t="shared" si="106"/>
        <v>0</v>
      </c>
      <c r="BG95" s="39">
        <v>0</v>
      </c>
      <c r="BH95" s="39">
        <v>0</v>
      </c>
      <c r="BI95" s="40">
        <f t="shared" si="107"/>
        <v>0</v>
      </c>
      <c r="BJ95" s="39">
        <v>379</v>
      </c>
      <c r="BK95" s="39">
        <v>76198.242263870008</v>
      </c>
      <c r="BL95" s="39">
        <v>0</v>
      </c>
      <c r="BM95" s="39">
        <v>0</v>
      </c>
      <c r="BN95" s="40">
        <f t="shared" si="108"/>
        <v>0</v>
      </c>
      <c r="BO95" s="4">
        <v>0</v>
      </c>
      <c r="BP95" s="4">
        <v>0</v>
      </c>
      <c r="BQ95" s="40">
        <f t="shared" si="109"/>
        <v>0</v>
      </c>
      <c r="BR95" s="39">
        <v>408</v>
      </c>
      <c r="BS95" s="39">
        <v>81515.337075129995</v>
      </c>
      <c r="BT95" s="39">
        <v>0</v>
      </c>
      <c r="BU95" s="39">
        <v>0</v>
      </c>
      <c r="BV95" s="40">
        <f t="shared" si="110"/>
        <v>0</v>
      </c>
      <c r="BW95" s="4">
        <v>0</v>
      </c>
      <c r="BX95" s="4">
        <v>0</v>
      </c>
      <c r="BY95" s="40">
        <f t="shared" si="111"/>
        <v>0</v>
      </c>
      <c r="BZ95" s="39">
        <v>418</v>
      </c>
      <c r="CA95" s="39">
        <v>92995.818514669998</v>
      </c>
      <c r="CB95" s="39">
        <v>0</v>
      </c>
      <c r="CC95" s="39">
        <v>0</v>
      </c>
      <c r="CD95" s="40">
        <f t="shared" si="112"/>
        <v>0</v>
      </c>
      <c r="CE95" s="4">
        <v>0</v>
      </c>
      <c r="CF95" s="4">
        <v>0</v>
      </c>
      <c r="CG95" s="40">
        <f t="shared" si="113"/>
        <v>0</v>
      </c>
      <c r="CH95" s="39">
        <v>422</v>
      </c>
      <c r="CI95" s="39">
        <v>93289.300421449982</v>
      </c>
      <c r="CJ95" s="39">
        <v>0</v>
      </c>
      <c r="CK95" s="39">
        <v>0</v>
      </c>
      <c r="CL95" s="40">
        <f t="shared" si="114"/>
        <v>0</v>
      </c>
      <c r="CM95" s="4">
        <v>0</v>
      </c>
      <c r="CN95" s="4">
        <v>0</v>
      </c>
      <c r="CO95" s="40">
        <f t="shared" si="115"/>
        <v>0</v>
      </c>
      <c r="CP95" s="39">
        <v>420</v>
      </c>
      <c r="CQ95" s="39">
        <v>89658.161898059916</v>
      </c>
      <c r="CR95" s="39">
        <v>0</v>
      </c>
      <c r="CS95" s="39">
        <v>0</v>
      </c>
      <c r="CT95" s="40">
        <f t="shared" si="116"/>
        <v>0</v>
      </c>
      <c r="CU95" s="4">
        <v>0</v>
      </c>
      <c r="CV95" s="4">
        <v>0</v>
      </c>
      <c r="CW95" s="40">
        <f t="shared" si="117"/>
        <v>0</v>
      </c>
      <c r="CX95" s="42">
        <v>0</v>
      </c>
      <c r="CY95" s="42">
        <v>0</v>
      </c>
    </row>
    <row r="96" spans="1:103" s="29" customFormat="1" ht="35.1" customHeight="1" x14ac:dyDescent="0.25">
      <c r="A96" s="38">
        <f t="shared" si="118"/>
        <v>90</v>
      </c>
      <c r="B96" s="45" t="s">
        <v>2160</v>
      </c>
      <c r="C96" s="45" t="s">
        <v>2161</v>
      </c>
      <c r="D96" s="64" t="s">
        <v>19</v>
      </c>
      <c r="E96" s="45" t="s">
        <v>2054</v>
      </c>
      <c r="F96" s="39">
        <v>2002</v>
      </c>
      <c r="G96" s="39">
        <v>558456.04852221033</v>
      </c>
      <c r="H96" s="39">
        <v>32</v>
      </c>
      <c r="I96" s="39">
        <v>18214.813227459996</v>
      </c>
      <c r="J96" s="40">
        <f t="shared" si="95"/>
        <v>3.2616377377700789E-2</v>
      </c>
      <c r="K96" s="39">
        <v>32</v>
      </c>
      <c r="L96" s="39">
        <v>18214.813227459996</v>
      </c>
      <c r="M96" s="40">
        <f t="shared" si="96"/>
        <v>3.2616377377700789E-2</v>
      </c>
      <c r="N96" s="39">
        <v>1916</v>
      </c>
      <c r="O96" s="39">
        <v>550998.79194552079</v>
      </c>
      <c r="P96" s="39">
        <v>31</v>
      </c>
      <c r="Q96" s="39">
        <v>18000.070434819987</v>
      </c>
      <c r="R96" s="40">
        <f t="shared" si="97"/>
        <v>3.2668076042895788E-2</v>
      </c>
      <c r="S96" s="39">
        <v>31</v>
      </c>
      <c r="T96" s="39">
        <v>18000.070434819987</v>
      </c>
      <c r="U96" s="40">
        <f t="shared" si="98"/>
        <v>3.2668076042895788E-2</v>
      </c>
      <c r="V96" s="39">
        <v>1858</v>
      </c>
      <c r="W96" s="39">
        <v>543579.07243871095</v>
      </c>
      <c r="X96" s="39">
        <v>27</v>
      </c>
      <c r="Y96" s="39">
        <v>14953.567257130006</v>
      </c>
      <c r="Z96" s="40">
        <f t="shared" si="94"/>
        <v>2.7509460932780914E-2</v>
      </c>
      <c r="AA96" s="39">
        <v>27</v>
      </c>
      <c r="AB96" s="39">
        <v>14953.567257130006</v>
      </c>
      <c r="AC96" s="40">
        <f t="shared" si="99"/>
        <v>2.7509460932780914E-2</v>
      </c>
      <c r="AD96" s="39">
        <v>1792</v>
      </c>
      <c r="AE96" s="39">
        <v>540638.24158615049</v>
      </c>
      <c r="AF96" s="39">
        <v>27</v>
      </c>
      <c r="AG96" s="39">
        <v>6993.9768776600004</v>
      </c>
      <c r="AH96" s="40">
        <f t="shared" si="100"/>
        <v>1.2936518987522478E-2</v>
      </c>
      <c r="AI96" s="39">
        <v>27</v>
      </c>
      <c r="AJ96" s="39">
        <v>6993.9768776600004</v>
      </c>
      <c r="AK96" s="40">
        <f t="shared" si="101"/>
        <v>1.2936518987522478E-2</v>
      </c>
      <c r="AL96" s="39">
        <v>1710</v>
      </c>
      <c r="AM96" s="39">
        <v>536168.5014145897</v>
      </c>
      <c r="AN96" s="39">
        <v>40</v>
      </c>
      <c r="AO96" s="39">
        <v>25116.189352530004</v>
      </c>
      <c r="AP96" s="40">
        <f t="shared" si="102"/>
        <v>4.6843836007272335E-2</v>
      </c>
      <c r="AQ96" s="39">
        <v>40</v>
      </c>
      <c r="AR96" s="39">
        <v>25116.189352530004</v>
      </c>
      <c r="AS96" s="40">
        <f t="shared" si="103"/>
        <v>4.6843836007272335E-2</v>
      </c>
      <c r="AT96" s="39">
        <v>1690</v>
      </c>
      <c r="AU96" s="39">
        <v>536794.6702245801</v>
      </c>
      <c r="AV96" s="39">
        <v>58</v>
      </c>
      <c r="AW96" s="39">
        <v>27764.30720436</v>
      </c>
      <c r="AX96" s="40">
        <f t="shared" si="104"/>
        <v>5.1722397304623351E-2</v>
      </c>
      <c r="AY96" s="39">
        <v>58</v>
      </c>
      <c r="AZ96" s="39">
        <v>27764.30720436</v>
      </c>
      <c r="BA96" s="40">
        <f t="shared" si="105"/>
        <v>5.1722397304623351E-2</v>
      </c>
      <c r="BB96" s="41">
        <v>1661</v>
      </c>
      <c r="BC96" s="41">
        <v>531230.25884763023</v>
      </c>
      <c r="BD96" s="41">
        <v>63</v>
      </c>
      <c r="BE96" s="41">
        <v>12600.440839600004</v>
      </c>
      <c r="BF96" s="40">
        <f t="shared" si="106"/>
        <v>2.3719358281535912E-2</v>
      </c>
      <c r="BG96" s="39">
        <v>63</v>
      </c>
      <c r="BH96" s="39">
        <v>12600.440839600004</v>
      </c>
      <c r="BI96" s="40">
        <f t="shared" si="107"/>
        <v>2.3719358281535912E-2</v>
      </c>
      <c r="BJ96" s="39">
        <v>1654</v>
      </c>
      <c r="BK96" s="39">
        <v>528963.66574787989</v>
      </c>
      <c r="BL96" s="39">
        <v>71</v>
      </c>
      <c r="BM96" s="39">
        <v>31025.853310089988</v>
      </c>
      <c r="BN96" s="40">
        <f t="shared" si="108"/>
        <v>5.8654034897130058E-2</v>
      </c>
      <c r="BO96" s="4">
        <v>71</v>
      </c>
      <c r="BP96" s="4">
        <v>31025.853310089988</v>
      </c>
      <c r="BQ96" s="40">
        <f t="shared" si="109"/>
        <v>5.8654034897130058E-2</v>
      </c>
      <c r="BR96" s="39">
        <v>1609</v>
      </c>
      <c r="BS96" s="39">
        <v>520633.4123987903</v>
      </c>
      <c r="BT96" s="39">
        <v>81</v>
      </c>
      <c r="BU96" s="39">
        <v>18996.951223110002</v>
      </c>
      <c r="BV96" s="40">
        <f t="shared" si="110"/>
        <v>3.6488152259730268E-2</v>
      </c>
      <c r="BW96" s="4">
        <v>81</v>
      </c>
      <c r="BX96" s="4">
        <v>18996.951223110002</v>
      </c>
      <c r="BY96" s="40">
        <f t="shared" si="111"/>
        <v>3.6488152259730268E-2</v>
      </c>
      <c r="BZ96" s="39">
        <v>1589</v>
      </c>
      <c r="CA96" s="39">
        <v>508013.60466795048</v>
      </c>
      <c r="CB96" s="39">
        <v>74</v>
      </c>
      <c r="CC96" s="39">
        <v>19846.136479349992</v>
      </c>
      <c r="CD96" s="40">
        <f t="shared" si="112"/>
        <v>3.906615156954682E-2</v>
      </c>
      <c r="CE96" s="4">
        <v>74</v>
      </c>
      <c r="CF96" s="4">
        <v>19846.136479349992</v>
      </c>
      <c r="CG96" s="40">
        <f t="shared" si="113"/>
        <v>3.906615156954682E-2</v>
      </c>
      <c r="CH96" s="39">
        <v>1588</v>
      </c>
      <c r="CI96" s="39">
        <v>510625.16637426947</v>
      </c>
      <c r="CJ96" s="39">
        <v>43</v>
      </c>
      <c r="CK96" s="39">
        <v>22139.36863415</v>
      </c>
      <c r="CL96" s="40">
        <f t="shared" si="114"/>
        <v>4.3357378547070391E-2</v>
      </c>
      <c r="CM96" s="4">
        <v>43</v>
      </c>
      <c r="CN96" s="4">
        <v>22139.36863415</v>
      </c>
      <c r="CO96" s="40">
        <f t="shared" si="115"/>
        <v>4.3357378547070391E-2</v>
      </c>
      <c r="CP96" s="39">
        <v>1696</v>
      </c>
      <c r="CQ96" s="39">
        <v>523424.57653750031</v>
      </c>
      <c r="CR96" s="39">
        <v>54</v>
      </c>
      <c r="CS96" s="39">
        <v>25608.140864469995</v>
      </c>
      <c r="CT96" s="40">
        <f t="shared" si="116"/>
        <v>4.8924223302371665E-2</v>
      </c>
      <c r="CU96" s="4">
        <v>54</v>
      </c>
      <c r="CV96" s="4">
        <v>25608.140864469995</v>
      </c>
      <c r="CW96" s="40">
        <f t="shared" si="117"/>
        <v>4.8924223302371665E-2</v>
      </c>
      <c r="CX96" s="42">
        <v>0</v>
      </c>
      <c r="CY96" s="42">
        <v>0</v>
      </c>
    </row>
    <row r="97" spans="1:103" s="29" customFormat="1" ht="35.1" customHeight="1" x14ac:dyDescent="0.25">
      <c r="A97" s="38">
        <f t="shared" si="118"/>
        <v>91</v>
      </c>
      <c r="B97" s="45" t="s">
        <v>2160</v>
      </c>
      <c r="C97" s="45" t="s">
        <v>2162</v>
      </c>
      <c r="D97" s="64" t="s">
        <v>20</v>
      </c>
      <c r="E97" s="45" t="s">
        <v>2107</v>
      </c>
      <c r="F97" s="39">
        <v>864</v>
      </c>
      <c r="G97" s="39">
        <v>168811.79391012</v>
      </c>
      <c r="H97" s="39">
        <v>17</v>
      </c>
      <c r="I97" s="39">
        <v>14664.000116020001</v>
      </c>
      <c r="J97" s="40">
        <f t="shared" si="95"/>
        <v>8.6865969351806752E-2</v>
      </c>
      <c r="K97" s="39">
        <v>17</v>
      </c>
      <c r="L97" s="39">
        <v>14664.000116020001</v>
      </c>
      <c r="M97" s="40">
        <f t="shared" si="96"/>
        <v>8.6865969351806752E-2</v>
      </c>
      <c r="N97" s="39">
        <v>811</v>
      </c>
      <c r="O97" s="39">
        <v>162013.62703428001</v>
      </c>
      <c r="P97" s="39">
        <v>16</v>
      </c>
      <c r="Q97" s="39">
        <v>14789.957320420001</v>
      </c>
      <c r="R97" s="40">
        <f t="shared" si="97"/>
        <v>9.1288353894395782E-2</v>
      </c>
      <c r="S97" s="39">
        <v>16</v>
      </c>
      <c r="T97" s="39">
        <v>14789.957320420001</v>
      </c>
      <c r="U97" s="40">
        <f t="shared" si="98"/>
        <v>9.1288353894395782E-2</v>
      </c>
      <c r="V97" s="39">
        <v>813</v>
      </c>
      <c r="W97" s="39">
        <v>169387.39423621996</v>
      </c>
      <c r="X97" s="39">
        <v>13</v>
      </c>
      <c r="Y97" s="39">
        <v>14262.64604048</v>
      </c>
      <c r="Z97" s="40">
        <f t="shared" si="94"/>
        <v>8.4201342755116496E-2</v>
      </c>
      <c r="AA97" s="39">
        <v>13</v>
      </c>
      <c r="AB97" s="39">
        <v>14262.64604048</v>
      </c>
      <c r="AC97" s="40">
        <f t="shared" si="99"/>
        <v>8.4201342755116496E-2</v>
      </c>
      <c r="AD97" s="39">
        <v>845</v>
      </c>
      <c r="AE97" s="39">
        <v>178038.18752470004</v>
      </c>
      <c r="AF97" s="39">
        <v>16</v>
      </c>
      <c r="AG97" s="39">
        <v>14784.560700430002</v>
      </c>
      <c r="AH97" s="40">
        <f t="shared" si="100"/>
        <v>8.3041514328935043E-2</v>
      </c>
      <c r="AI97" s="39">
        <v>16</v>
      </c>
      <c r="AJ97" s="39">
        <v>14784.560700430002</v>
      </c>
      <c r="AK97" s="40">
        <f t="shared" si="101"/>
        <v>8.3041514328935043E-2</v>
      </c>
      <c r="AL97" s="39">
        <v>892</v>
      </c>
      <c r="AM97" s="39">
        <v>192146.12518597982</v>
      </c>
      <c r="AN97" s="39">
        <v>18</v>
      </c>
      <c r="AO97" s="39">
        <v>16341.520339480001</v>
      </c>
      <c r="AP97" s="40">
        <f t="shared" si="102"/>
        <v>8.5047358221056552E-2</v>
      </c>
      <c r="AQ97" s="39">
        <v>18</v>
      </c>
      <c r="AR97" s="39">
        <v>16341.520339480001</v>
      </c>
      <c r="AS97" s="40">
        <f t="shared" si="103"/>
        <v>8.5047358221056552E-2</v>
      </c>
      <c r="AT97" s="39">
        <v>912</v>
      </c>
      <c r="AU97" s="39">
        <v>197770.36481416968</v>
      </c>
      <c r="AV97" s="39">
        <v>32</v>
      </c>
      <c r="AW97" s="39">
        <v>17923.351735300002</v>
      </c>
      <c r="AX97" s="40">
        <f t="shared" si="104"/>
        <v>9.0627085368130175E-2</v>
      </c>
      <c r="AY97" s="39">
        <v>32</v>
      </c>
      <c r="AZ97" s="39">
        <v>17923.351735300002</v>
      </c>
      <c r="BA97" s="40">
        <f t="shared" si="105"/>
        <v>9.0627085368130175E-2</v>
      </c>
      <c r="BB97" s="41">
        <v>935</v>
      </c>
      <c r="BC97" s="41">
        <v>203527.44421535981</v>
      </c>
      <c r="BD97" s="41">
        <v>42</v>
      </c>
      <c r="BE97" s="41">
        <v>16681.845811250005</v>
      </c>
      <c r="BF97" s="40">
        <f t="shared" si="106"/>
        <v>8.1963618594838417E-2</v>
      </c>
      <c r="BG97" s="39">
        <v>42</v>
      </c>
      <c r="BH97" s="39">
        <v>16681.845811250005</v>
      </c>
      <c r="BI97" s="40">
        <f t="shared" si="107"/>
        <v>8.1963618594838417E-2</v>
      </c>
      <c r="BJ97" s="39">
        <v>1047</v>
      </c>
      <c r="BK97" s="39">
        <v>221484.59083758984</v>
      </c>
      <c r="BL97" s="39">
        <v>58</v>
      </c>
      <c r="BM97" s="39">
        <v>19826.657305680001</v>
      </c>
      <c r="BN97" s="40">
        <f t="shared" si="108"/>
        <v>8.9517095662056623E-2</v>
      </c>
      <c r="BO97" s="4">
        <v>58</v>
      </c>
      <c r="BP97" s="4">
        <v>19826.657305680001</v>
      </c>
      <c r="BQ97" s="40">
        <f t="shared" si="109"/>
        <v>8.9517095662056623E-2</v>
      </c>
      <c r="BR97" s="39">
        <v>1115</v>
      </c>
      <c r="BS97" s="39">
        <v>234281.99555228066</v>
      </c>
      <c r="BT97" s="39">
        <v>59</v>
      </c>
      <c r="BU97" s="39">
        <v>18743.463877480001</v>
      </c>
      <c r="BV97" s="40">
        <f t="shared" si="110"/>
        <v>8.0003859593629531E-2</v>
      </c>
      <c r="BW97" s="4">
        <v>59</v>
      </c>
      <c r="BX97" s="4">
        <v>18743.463877480001</v>
      </c>
      <c r="BY97" s="40">
        <f t="shared" si="111"/>
        <v>8.0003859593629531E-2</v>
      </c>
      <c r="BZ97" s="39">
        <v>1103</v>
      </c>
      <c r="CA97" s="39">
        <v>238667.08635264038</v>
      </c>
      <c r="CB97" s="39">
        <v>57</v>
      </c>
      <c r="CC97" s="39">
        <v>19236.187710210004</v>
      </c>
      <c r="CD97" s="40">
        <f t="shared" si="112"/>
        <v>8.0598410129278361E-2</v>
      </c>
      <c r="CE97" s="4">
        <v>57</v>
      </c>
      <c r="CF97" s="4">
        <v>19236.187710210004</v>
      </c>
      <c r="CG97" s="40">
        <f t="shared" si="113"/>
        <v>8.0598410129278361E-2</v>
      </c>
      <c r="CH97" s="39">
        <v>1101</v>
      </c>
      <c r="CI97" s="39">
        <v>240528.24091951025</v>
      </c>
      <c r="CJ97" s="39">
        <v>30</v>
      </c>
      <c r="CK97" s="39">
        <v>19840.408552820001</v>
      </c>
      <c r="CL97" s="40">
        <f t="shared" si="114"/>
        <v>8.2486815173854547E-2</v>
      </c>
      <c r="CM97" s="4">
        <v>30</v>
      </c>
      <c r="CN97" s="4">
        <v>19840.408552820001</v>
      </c>
      <c r="CO97" s="40">
        <f t="shared" si="115"/>
        <v>8.2486815173854547E-2</v>
      </c>
      <c r="CP97" s="39">
        <v>1226</v>
      </c>
      <c r="CQ97" s="39">
        <v>249638.47371381</v>
      </c>
      <c r="CR97" s="39">
        <v>34</v>
      </c>
      <c r="CS97" s="39">
        <v>21186.298452090003</v>
      </c>
      <c r="CT97" s="40">
        <f t="shared" si="116"/>
        <v>8.4867921746622887E-2</v>
      </c>
      <c r="CU97" s="4">
        <v>34</v>
      </c>
      <c r="CV97" s="4">
        <v>21186.298452090003</v>
      </c>
      <c r="CW97" s="40">
        <f t="shared" si="117"/>
        <v>8.4867921746622887E-2</v>
      </c>
      <c r="CX97" s="42">
        <v>0</v>
      </c>
      <c r="CY97" s="42">
        <v>0</v>
      </c>
    </row>
    <row r="98" spans="1:103" s="37" customFormat="1" ht="35.1" customHeight="1" x14ac:dyDescent="0.25">
      <c r="A98" s="38">
        <f t="shared" si="118"/>
        <v>92</v>
      </c>
      <c r="B98" s="45" t="s">
        <v>2163</v>
      </c>
      <c r="C98" s="45" t="s">
        <v>2163</v>
      </c>
      <c r="D98" s="64" t="s">
        <v>24</v>
      </c>
      <c r="E98" s="45" t="s">
        <v>2037</v>
      </c>
      <c r="F98" s="39">
        <v>39411</v>
      </c>
      <c r="G98" s="39">
        <v>366018.18521332339</v>
      </c>
      <c r="H98" s="39">
        <v>746</v>
      </c>
      <c r="I98" s="39">
        <v>6347.4283938900016</v>
      </c>
      <c r="J98" s="40">
        <f t="shared" si="95"/>
        <v>1.7341838876641012E-2</v>
      </c>
      <c r="K98" s="39">
        <v>746</v>
      </c>
      <c r="L98" s="39">
        <v>6347.4283938900016</v>
      </c>
      <c r="M98" s="40">
        <f t="shared" si="96"/>
        <v>1.7341838876641012E-2</v>
      </c>
      <c r="N98" s="39">
        <v>43188</v>
      </c>
      <c r="O98" s="39">
        <v>385245.94255768979</v>
      </c>
      <c r="P98" s="39">
        <v>780</v>
      </c>
      <c r="Q98" s="39">
        <v>6986.9532922642011</v>
      </c>
      <c r="R98" s="40">
        <f t="shared" si="97"/>
        <v>1.8136344917423546E-2</v>
      </c>
      <c r="S98" s="39">
        <v>780</v>
      </c>
      <c r="T98" s="39">
        <v>6986.9532922642011</v>
      </c>
      <c r="U98" s="40">
        <f t="shared" si="98"/>
        <v>1.8136344917423546E-2</v>
      </c>
      <c r="V98" s="39">
        <v>43677</v>
      </c>
      <c r="W98" s="39">
        <v>304983.60162261571</v>
      </c>
      <c r="X98" s="39">
        <v>854</v>
      </c>
      <c r="Y98" s="39">
        <v>8129.4304370172986</v>
      </c>
      <c r="Z98" s="40">
        <f t="shared" si="94"/>
        <v>2.6655303412268676E-2</v>
      </c>
      <c r="AA98" s="39">
        <v>854</v>
      </c>
      <c r="AB98" s="39">
        <v>8129.4304370172986</v>
      </c>
      <c r="AC98" s="40">
        <f t="shared" si="99"/>
        <v>2.6655303412268676E-2</v>
      </c>
      <c r="AD98" s="39">
        <v>47037</v>
      </c>
      <c r="AE98" s="39">
        <v>424876.38842311152</v>
      </c>
      <c r="AF98" s="39">
        <v>949</v>
      </c>
      <c r="AG98" s="39">
        <v>9167.1979076937823</v>
      </c>
      <c r="AH98" s="40">
        <f t="shared" si="100"/>
        <v>2.15761528705254E-2</v>
      </c>
      <c r="AI98" s="39">
        <v>949</v>
      </c>
      <c r="AJ98" s="39">
        <v>9167.1979076937823</v>
      </c>
      <c r="AK98" s="40">
        <f t="shared" si="101"/>
        <v>2.15761528705254E-2</v>
      </c>
      <c r="AL98" s="39">
        <v>51480</v>
      </c>
      <c r="AM98" s="39">
        <v>469582.75972831721</v>
      </c>
      <c r="AN98" s="39">
        <v>1225</v>
      </c>
      <c r="AO98" s="39">
        <v>11421.318528063166</v>
      </c>
      <c r="AP98" s="40">
        <f t="shared" si="102"/>
        <v>2.43222696988942E-2</v>
      </c>
      <c r="AQ98" s="39">
        <v>1225</v>
      </c>
      <c r="AR98" s="39">
        <v>11421.318528063166</v>
      </c>
      <c r="AS98" s="40">
        <f t="shared" si="103"/>
        <v>2.43222696988942E-2</v>
      </c>
      <c r="AT98" s="39">
        <v>53391</v>
      </c>
      <c r="AU98" s="39">
        <v>476427.67562999373</v>
      </c>
      <c r="AV98" s="39">
        <v>1529</v>
      </c>
      <c r="AW98" s="39">
        <v>13300.174597155163</v>
      </c>
      <c r="AX98" s="40">
        <f t="shared" si="104"/>
        <v>2.791646093936077E-2</v>
      </c>
      <c r="AY98" s="39">
        <v>1529</v>
      </c>
      <c r="AZ98" s="39">
        <v>13300.174597155163</v>
      </c>
      <c r="BA98" s="40">
        <f t="shared" si="105"/>
        <v>2.791646093936077E-2</v>
      </c>
      <c r="BB98" s="41">
        <v>55349</v>
      </c>
      <c r="BC98" s="41">
        <v>477894.36767451221</v>
      </c>
      <c r="BD98" s="41">
        <v>1873</v>
      </c>
      <c r="BE98" s="41">
        <v>17481.926332086729</v>
      </c>
      <c r="BF98" s="40">
        <f t="shared" si="106"/>
        <v>3.6581151640593196E-2</v>
      </c>
      <c r="BG98" s="39">
        <v>1873</v>
      </c>
      <c r="BH98" s="39">
        <v>17481.926332086729</v>
      </c>
      <c r="BI98" s="40">
        <f t="shared" si="107"/>
        <v>3.6581151640593196E-2</v>
      </c>
      <c r="BJ98" s="39">
        <v>57015</v>
      </c>
      <c r="BK98" s="39">
        <v>512712.59506770642</v>
      </c>
      <c r="BL98" s="39">
        <v>2006</v>
      </c>
      <c r="BM98" s="39">
        <v>22608.485264841249</v>
      </c>
      <c r="BN98" s="40">
        <f t="shared" si="108"/>
        <v>4.4095825775170745E-2</v>
      </c>
      <c r="BO98" s="4">
        <v>2006</v>
      </c>
      <c r="BP98" s="4">
        <v>22608.485264841249</v>
      </c>
      <c r="BQ98" s="40">
        <f t="shared" si="109"/>
        <v>4.4095825775170745E-2</v>
      </c>
      <c r="BR98" s="39">
        <v>58045</v>
      </c>
      <c r="BS98" s="39">
        <v>523148.87384560506</v>
      </c>
      <c r="BT98" s="39">
        <v>2384</v>
      </c>
      <c r="BU98" s="39">
        <v>23657.444477135206</v>
      </c>
      <c r="BV98" s="40">
        <f t="shared" si="110"/>
        <v>4.5221247067268155E-2</v>
      </c>
      <c r="BW98" s="4">
        <v>2384</v>
      </c>
      <c r="BX98" s="4">
        <v>23657.444477135206</v>
      </c>
      <c r="BY98" s="40">
        <f t="shared" si="111"/>
        <v>4.5221247067268155E-2</v>
      </c>
      <c r="BZ98" s="39">
        <v>59603</v>
      </c>
      <c r="CA98" s="39">
        <v>437418.97806274402</v>
      </c>
      <c r="CB98" s="39">
        <v>2689</v>
      </c>
      <c r="CC98" s="39">
        <v>25293.792309421216</v>
      </c>
      <c r="CD98" s="40">
        <f t="shared" si="112"/>
        <v>5.7825091223620929E-2</v>
      </c>
      <c r="CE98" s="4">
        <v>2689</v>
      </c>
      <c r="CF98" s="4">
        <v>25293.792309421216</v>
      </c>
      <c r="CG98" s="40">
        <f t="shared" si="113"/>
        <v>5.7825091223620929E-2</v>
      </c>
      <c r="CH98" s="39">
        <v>60617</v>
      </c>
      <c r="CI98" s="39">
        <v>541111.35422417137</v>
      </c>
      <c r="CJ98" s="39">
        <v>2765</v>
      </c>
      <c r="CK98" s="39">
        <v>24570.375694945546</v>
      </c>
      <c r="CL98" s="40">
        <f t="shared" si="114"/>
        <v>4.5407244743873074E-2</v>
      </c>
      <c r="CM98" s="4">
        <v>2765</v>
      </c>
      <c r="CN98" s="4">
        <v>24570.375694945546</v>
      </c>
      <c r="CO98" s="40">
        <f t="shared" si="115"/>
        <v>4.5407244743873074E-2</v>
      </c>
      <c r="CP98" s="39">
        <v>61893</v>
      </c>
      <c r="CQ98" s="39">
        <v>604473.22436584823</v>
      </c>
      <c r="CR98" s="39">
        <v>2948</v>
      </c>
      <c r="CS98" s="39">
        <v>23451.427710921958</v>
      </c>
      <c r="CT98" s="40">
        <f t="shared" si="116"/>
        <v>3.8796470655130852E-2</v>
      </c>
      <c r="CU98" s="4">
        <v>2948</v>
      </c>
      <c r="CV98" s="4">
        <v>23451.427710921958</v>
      </c>
      <c r="CW98" s="40">
        <f t="shared" si="117"/>
        <v>3.8796470655130852E-2</v>
      </c>
      <c r="CX98" s="43"/>
      <c r="CY98" s="43"/>
    </row>
    <row r="99" spans="1:103" s="37" customFormat="1" ht="35.1" customHeight="1" x14ac:dyDescent="0.25">
      <c r="A99" s="38">
        <f t="shared" si="118"/>
        <v>93</v>
      </c>
      <c r="B99" s="45" t="s">
        <v>2164</v>
      </c>
      <c r="C99" s="45" t="s">
        <v>2164</v>
      </c>
      <c r="D99" s="64" t="s">
        <v>25</v>
      </c>
      <c r="E99" s="45" t="s">
        <v>2039</v>
      </c>
      <c r="F99" s="39">
        <v>1234</v>
      </c>
      <c r="G99" s="39">
        <v>224347.21174927382</v>
      </c>
      <c r="H99" s="39">
        <v>23</v>
      </c>
      <c r="I99" s="39">
        <v>6123.9581158099982</v>
      </c>
      <c r="J99" s="40">
        <f t="shared" si="95"/>
        <v>2.7296787279237584E-2</v>
      </c>
      <c r="K99" s="39">
        <v>23</v>
      </c>
      <c r="L99" s="39">
        <v>6123.9581158099982</v>
      </c>
      <c r="M99" s="40">
        <f t="shared" si="96"/>
        <v>2.7296787279237584E-2</v>
      </c>
      <c r="N99" s="39">
        <v>1290</v>
      </c>
      <c r="O99" s="39">
        <v>340433.64099358011</v>
      </c>
      <c r="P99" s="39">
        <v>22</v>
      </c>
      <c r="Q99" s="39">
        <v>7671.8212570099977</v>
      </c>
      <c r="R99" s="40">
        <f t="shared" si="97"/>
        <v>2.2535438138896129E-2</v>
      </c>
      <c r="S99" s="39">
        <v>22</v>
      </c>
      <c r="T99" s="39">
        <v>7671.8212570099977</v>
      </c>
      <c r="U99" s="40">
        <f t="shared" si="98"/>
        <v>2.2535438138896129E-2</v>
      </c>
      <c r="V99" s="39">
        <v>1103</v>
      </c>
      <c r="W99" s="39">
        <v>281915.07554507145</v>
      </c>
      <c r="X99" s="39">
        <v>32</v>
      </c>
      <c r="Y99" s="39">
        <v>14541.561752893598</v>
      </c>
      <c r="Z99" s="40">
        <f t="shared" si="94"/>
        <v>5.1581355572340622E-2</v>
      </c>
      <c r="AA99" s="39">
        <v>32</v>
      </c>
      <c r="AB99" s="39">
        <v>14541.561752893598</v>
      </c>
      <c r="AC99" s="40">
        <f t="shared" si="99"/>
        <v>5.1581355572340622E-2</v>
      </c>
      <c r="AD99" s="39">
        <v>1408</v>
      </c>
      <c r="AE99" s="39">
        <v>352372.183725802</v>
      </c>
      <c r="AF99" s="39">
        <v>45</v>
      </c>
      <c r="AG99" s="39">
        <v>20030.9307980216</v>
      </c>
      <c r="AH99" s="40">
        <f t="shared" si="100"/>
        <v>5.6845947901519506E-2</v>
      </c>
      <c r="AI99" s="39">
        <v>45</v>
      </c>
      <c r="AJ99" s="39">
        <v>20030.9307980216</v>
      </c>
      <c r="AK99" s="40">
        <f t="shared" si="101"/>
        <v>5.6845947901519506E-2</v>
      </c>
      <c r="AL99" s="39">
        <v>1456</v>
      </c>
      <c r="AM99" s="39">
        <v>371889.57148768398</v>
      </c>
      <c r="AN99" s="39">
        <v>62</v>
      </c>
      <c r="AO99" s="39">
        <v>22686.068416703394</v>
      </c>
      <c r="AP99" s="40">
        <f t="shared" si="102"/>
        <v>6.100216342703952E-2</v>
      </c>
      <c r="AQ99" s="39">
        <v>62</v>
      </c>
      <c r="AR99" s="39">
        <v>22686.068416703394</v>
      </c>
      <c r="AS99" s="40">
        <f t="shared" si="103"/>
        <v>6.100216342703952E-2</v>
      </c>
      <c r="AT99" s="39">
        <v>1364</v>
      </c>
      <c r="AU99" s="39">
        <v>354986.55244984798</v>
      </c>
      <c r="AV99" s="39">
        <v>68</v>
      </c>
      <c r="AW99" s="39">
        <v>27192.634117187394</v>
      </c>
      <c r="AX99" s="40">
        <f t="shared" si="104"/>
        <v>7.6601871055465218E-2</v>
      </c>
      <c r="AY99" s="39">
        <v>68</v>
      </c>
      <c r="AZ99" s="39">
        <v>27192.634117187394</v>
      </c>
      <c r="BA99" s="40">
        <f t="shared" si="105"/>
        <v>7.6601871055465218E-2</v>
      </c>
      <c r="BB99" s="41">
        <v>1486</v>
      </c>
      <c r="BC99" s="41">
        <v>355890.98229041201</v>
      </c>
      <c r="BD99" s="41">
        <v>76</v>
      </c>
      <c r="BE99" s="41">
        <v>30937.343122725681</v>
      </c>
      <c r="BF99" s="40">
        <f t="shared" si="106"/>
        <v>8.692926952973587E-2</v>
      </c>
      <c r="BG99" s="39">
        <v>76</v>
      </c>
      <c r="BH99" s="39">
        <v>30937.343122725681</v>
      </c>
      <c r="BI99" s="40">
        <f t="shared" si="107"/>
        <v>8.692926952973587E-2</v>
      </c>
      <c r="BJ99" s="39">
        <v>1299</v>
      </c>
      <c r="BK99" s="39">
        <v>357694.01517763699</v>
      </c>
      <c r="BL99" s="39">
        <v>80</v>
      </c>
      <c r="BM99" s="39">
        <v>30240.744016246692</v>
      </c>
      <c r="BN99" s="40">
        <f t="shared" si="108"/>
        <v>8.4543611950646191E-2</v>
      </c>
      <c r="BO99" s="4">
        <v>80</v>
      </c>
      <c r="BP99" s="4">
        <v>30240.744016246692</v>
      </c>
      <c r="BQ99" s="40">
        <f t="shared" si="109"/>
        <v>8.4543611950646191E-2</v>
      </c>
      <c r="BR99" s="39">
        <v>1617</v>
      </c>
      <c r="BS99" s="39">
        <v>308423.90329103882</v>
      </c>
      <c r="BT99" s="39">
        <v>80</v>
      </c>
      <c r="BU99" s="39">
        <v>29612.000741417789</v>
      </c>
      <c r="BV99" s="40">
        <f t="shared" si="110"/>
        <v>9.6010719096162087E-2</v>
      </c>
      <c r="BW99" s="4">
        <v>80</v>
      </c>
      <c r="BX99" s="4">
        <v>29612.000741417789</v>
      </c>
      <c r="BY99" s="40">
        <f t="shared" si="111"/>
        <v>9.6010719096162087E-2</v>
      </c>
      <c r="BZ99" s="39">
        <v>1683</v>
      </c>
      <c r="CA99" s="39">
        <v>391257.16143549542</v>
      </c>
      <c r="CB99" s="39">
        <v>87</v>
      </c>
      <c r="CC99" s="39">
        <v>33541.581089653191</v>
      </c>
      <c r="CD99" s="40">
        <f t="shared" si="112"/>
        <v>8.5727711581281868E-2</v>
      </c>
      <c r="CE99" s="4">
        <v>87</v>
      </c>
      <c r="CF99" s="4">
        <v>33541.581089653191</v>
      </c>
      <c r="CG99" s="40">
        <f t="shared" si="113"/>
        <v>8.5727711581281868E-2</v>
      </c>
      <c r="CH99" s="39">
        <v>1744</v>
      </c>
      <c r="CI99" s="39">
        <v>430377.76217622001</v>
      </c>
      <c r="CJ99" s="39">
        <v>90</v>
      </c>
      <c r="CK99" s="39">
        <v>36049.963676972591</v>
      </c>
      <c r="CL99" s="40">
        <f t="shared" si="114"/>
        <v>8.3763537164849564E-2</v>
      </c>
      <c r="CM99" s="4">
        <v>90</v>
      </c>
      <c r="CN99" s="4">
        <v>36049.963676972591</v>
      </c>
      <c r="CO99" s="40">
        <f t="shared" si="115"/>
        <v>8.3763537164849564E-2</v>
      </c>
      <c r="CP99" s="39">
        <v>1844</v>
      </c>
      <c r="CQ99" s="39">
        <v>491453.41245207598</v>
      </c>
      <c r="CR99" s="39">
        <v>103</v>
      </c>
      <c r="CS99" s="39">
        <v>38592.866554594999</v>
      </c>
      <c r="CT99" s="40">
        <f t="shared" si="116"/>
        <v>7.8528026414626584E-2</v>
      </c>
      <c r="CU99" s="4">
        <v>103</v>
      </c>
      <c r="CV99" s="4">
        <v>38592.866554594999</v>
      </c>
      <c r="CW99" s="40">
        <f t="shared" si="117"/>
        <v>7.8528026414626584E-2</v>
      </c>
      <c r="CX99" s="43"/>
      <c r="CY99" s="43"/>
    </row>
    <row r="100" spans="1:103" s="37" customFormat="1" ht="35.1" customHeight="1" x14ac:dyDescent="0.25">
      <c r="A100" s="38">
        <f t="shared" si="118"/>
        <v>94</v>
      </c>
      <c r="B100" s="45" t="s">
        <v>2184</v>
      </c>
      <c r="C100" s="45" t="s">
        <v>2184</v>
      </c>
      <c r="D100" s="64" t="s">
        <v>43</v>
      </c>
      <c r="E100" s="45" t="s">
        <v>2047</v>
      </c>
      <c r="F100" s="39">
        <v>0</v>
      </c>
      <c r="G100" s="39">
        <v>0</v>
      </c>
      <c r="H100" s="39">
        <v>0</v>
      </c>
      <c r="I100" s="39">
        <v>0</v>
      </c>
      <c r="J100" s="40" t="str">
        <f t="shared" si="95"/>
        <v/>
      </c>
      <c r="K100" s="39">
        <v>0</v>
      </c>
      <c r="L100" s="39">
        <v>0</v>
      </c>
      <c r="M100" s="40" t="str">
        <f t="shared" si="96"/>
        <v/>
      </c>
      <c r="N100" s="39">
        <v>0</v>
      </c>
      <c r="O100" s="39">
        <v>0</v>
      </c>
      <c r="P100" s="39">
        <v>0</v>
      </c>
      <c r="Q100" s="39">
        <v>0</v>
      </c>
      <c r="R100" s="40" t="str">
        <f t="shared" si="97"/>
        <v/>
      </c>
      <c r="S100" s="39">
        <v>0</v>
      </c>
      <c r="T100" s="39">
        <v>0</v>
      </c>
      <c r="U100" s="40" t="str">
        <f t="shared" si="98"/>
        <v/>
      </c>
      <c r="V100" s="39">
        <v>0</v>
      </c>
      <c r="W100" s="39">
        <v>0</v>
      </c>
      <c r="X100" s="39">
        <v>0</v>
      </c>
      <c r="Y100" s="39">
        <v>0</v>
      </c>
      <c r="Z100" s="40" t="str">
        <f t="shared" si="94"/>
        <v/>
      </c>
      <c r="AA100" s="39">
        <v>0</v>
      </c>
      <c r="AB100" s="39">
        <v>0</v>
      </c>
      <c r="AC100" s="40" t="str">
        <f t="shared" si="99"/>
        <v/>
      </c>
      <c r="AD100" s="39">
        <v>0</v>
      </c>
      <c r="AE100" s="39">
        <v>0</v>
      </c>
      <c r="AF100" s="39">
        <v>0</v>
      </c>
      <c r="AG100" s="39">
        <v>0</v>
      </c>
      <c r="AH100" s="40" t="str">
        <f t="shared" si="100"/>
        <v/>
      </c>
      <c r="AI100" s="39">
        <v>0</v>
      </c>
      <c r="AJ100" s="39">
        <v>0</v>
      </c>
      <c r="AK100" s="40" t="str">
        <f t="shared" si="101"/>
        <v/>
      </c>
      <c r="AL100" s="39">
        <v>0</v>
      </c>
      <c r="AM100" s="39">
        <v>0</v>
      </c>
      <c r="AN100" s="39">
        <v>0</v>
      </c>
      <c r="AO100" s="39">
        <v>0</v>
      </c>
      <c r="AP100" s="40" t="str">
        <f t="shared" si="102"/>
        <v/>
      </c>
      <c r="AQ100" s="39">
        <v>0</v>
      </c>
      <c r="AR100" s="39">
        <v>0</v>
      </c>
      <c r="AS100" s="40" t="str">
        <f t="shared" si="103"/>
        <v/>
      </c>
      <c r="AT100" s="39">
        <v>0</v>
      </c>
      <c r="AU100" s="39">
        <v>0</v>
      </c>
      <c r="AV100" s="39">
        <v>0</v>
      </c>
      <c r="AW100" s="39">
        <v>0</v>
      </c>
      <c r="AX100" s="40" t="str">
        <f t="shared" si="104"/>
        <v/>
      </c>
      <c r="AY100" s="39">
        <v>0</v>
      </c>
      <c r="AZ100" s="39">
        <v>0</v>
      </c>
      <c r="BA100" s="40" t="str">
        <f t="shared" si="105"/>
        <v/>
      </c>
      <c r="BB100" s="41">
        <v>0</v>
      </c>
      <c r="BC100" s="41">
        <v>0</v>
      </c>
      <c r="BD100" s="41">
        <v>0</v>
      </c>
      <c r="BE100" s="41">
        <v>0</v>
      </c>
      <c r="BF100" s="40" t="str">
        <f t="shared" si="106"/>
        <v/>
      </c>
      <c r="BG100" s="39">
        <v>0</v>
      </c>
      <c r="BH100" s="39">
        <v>0</v>
      </c>
      <c r="BI100" s="40" t="str">
        <f t="shared" si="107"/>
        <v/>
      </c>
      <c r="BJ100" s="39">
        <v>0</v>
      </c>
      <c r="BK100" s="39">
        <v>0</v>
      </c>
      <c r="BL100" s="39">
        <v>0</v>
      </c>
      <c r="BM100" s="39">
        <v>0</v>
      </c>
      <c r="BN100" s="40" t="str">
        <f t="shared" si="108"/>
        <v/>
      </c>
      <c r="BO100" s="4">
        <v>0</v>
      </c>
      <c r="BP100" s="4">
        <v>0</v>
      </c>
      <c r="BQ100" s="40" t="str">
        <f t="shared" si="109"/>
        <v/>
      </c>
      <c r="BR100" s="39">
        <v>0</v>
      </c>
      <c r="BS100" s="39">
        <v>0</v>
      </c>
      <c r="BT100" s="39">
        <v>0</v>
      </c>
      <c r="BU100" s="39">
        <v>0</v>
      </c>
      <c r="BV100" s="40" t="str">
        <f t="shared" si="110"/>
        <v/>
      </c>
      <c r="BW100" s="4">
        <v>0</v>
      </c>
      <c r="BX100" s="4">
        <v>0</v>
      </c>
      <c r="BY100" s="40" t="str">
        <f t="shared" si="111"/>
        <v/>
      </c>
      <c r="BZ100" s="39">
        <v>0</v>
      </c>
      <c r="CA100" s="39">
        <v>0</v>
      </c>
      <c r="CB100" s="39">
        <v>0</v>
      </c>
      <c r="CC100" s="39">
        <v>0</v>
      </c>
      <c r="CD100" s="40" t="str">
        <f t="shared" si="112"/>
        <v/>
      </c>
      <c r="CE100" s="4">
        <v>0</v>
      </c>
      <c r="CF100" s="4">
        <v>0</v>
      </c>
      <c r="CG100" s="40" t="str">
        <f t="shared" si="113"/>
        <v/>
      </c>
      <c r="CH100" s="39">
        <v>914</v>
      </c>
      <c r="CI100" s="39">
        <v>132308.38363267999</v>
      </c>
      <c r="CJ100" s="39">
        <v>73</v>
      </c>
      <c r="CK100" s="39">
        <v>11087.484952339999</v>
      </c>
      <c r="CL100" s="40">
        <f t="shared" si="114"/>
        <v>8.3800320493080269E-2</v>
      </c>
      <c r="CM100" s="4">
        <v>73</v>
      </c>
      <c r="CN100" s="4">
        <v>11087.484952339999</v>
      </c>
      <c r="CO100" s="40">
        <f t="shared" si="115"/>
        <v>8.3800320493080269E-2</v>
      </c>
      <c r="CP100" s="39">
        <v>1004</v>
      </c>
      <c r="CQ100" s="39">
        <v>213435.28117875918</v>
      </c>
      <c r="CR100" s="39">
        <v>106</v>
      </c>
      <c r="CS100" s="39">
        <v>15821.518093769999</v>
      </c>
      <c r="CT100" s="40">
        <f t="shared" si="116"/>
        <v>7.4127941764787E-2</v>
      </c>
      <c r="CU100" s="4">
        <v>106</v>
      </c>
      <c r="CV100" s="4">
        <v>15821.518093769999</v>
      </c>
      <c r="CW100" s="40">
        <f t="shared" si="117"/>
        <v>7.4127941764787E-2</v>
      </c>
      <c r="CX100" s="43"/>
      <c r="CY100" s="43"/>
    </row>
  </sheetData>
  <autoFilter ref="A6:CZ100" xr:uid="{3E749A4E-14FB-4A82-B711-44BE806A57E5}"/>
  <mergeCells count="57">
    <mergeCell ref="CH3:CO3"/>
    <mergeCell ref="CH4:CI4"/>
    <mergeCell ref="CP3:CW3"/>
    <mergeCell ref="CV2:CW2"/>
    <mergeCell ref="A3:A5"/>
    <mergeCell ref="C3:C5"/>
    <mergeCell ref="D3:D5"/>
    <mergeCell ref="F3:M3"/>
    <mergeCell ref="N3:U3"/>
    <mergeCell ref="V3:AC3"/>
    <mergeCell ref="AD3:AK3"/>
    <mergeCell ref="AL3:AS3"/>
    <mergeCell ref="AT3:BA3"/>
    <mergeCell ref="AQ4:AS4"/>
    <mergeCell ref="CJ4:CL4"/>
    <mergeCell ref="CM4:CO4"/>
    <mergeCell ref="AL4:AM4"/>
    <mergeCell ref="AN4:AP4"/>
    <mergeCell ref="CX3:CY3"/>
    <mergeCell ref="F4:G4"/>
    <mergeCell ref="H4:J4"/>
    <mergeCell ref="K4:M4"/>
    <mergeCell ref="N4:O4"/>
    <mergeCell ref="P4:R4"/>
    <mergeCell ref="S4:U4"/>
    <mergeCell ref="V4:W4"/>
    <mergeCell ref="X4:Z4"/>
    <mergeCell ref="AA4:AC4"/>
    <mergeCell ref="BB3:BI3"/>
    <mergeCell ref="BJ3:BQ3"/>
    <mergeCell ref="BR3:BY3"/>
    <mergeCell ref="BZ3:CG3"/>
    <mergeCell ref="B3:B5"/>
    <mergeCell ref="E3:E5"/>
    <mergeCell ref="AD4:AE4"/>
    <mergeCell ref="AF4:AH4"/>
    <mergeCell ref="AI4:AK4"/>
    <mergeCell ref="BZ4:CA4"/>
    <mergeCell ref="CB4:CD4"/>
    <mergeCell ref="CE4:CG4"/>
    <mergeCell ref="AT4:AU4"/>
    <mergeCell ref="AV4:AX4"/>
    <mergeCell ref="AY4:BA4"/>
    <mergeCell ref="BB4:BC4"/>
    <mergeCell ref="BD4:BF4"/>
    <mergeCell ref="BG4:BI4"/>
    <mergeCell ref="BO4:BQ4"/>
    <mergeCell ref="BR4:BS4"/>
    <mergeCell ref="BT4:BV4"/>
    <mergeCell ref="BW4:BY4"/>
    <mergeCell ref="BJ4:BK4"/>
    <mergeCell ref="BL4:BN4"/>
    <mergeCell ref="CP4:CQ4"/>
    <mergeCell ref="CR4:CT4"/>
    <mergeCell ref="CU4:CW4"/>
    <mergeCell ref="CX4:CX5"/>
    <mergeCell ref="CY4:CY5"/>
  </mergeCells>
  <conditionalFormatting sqref="F6:I100">
    <cfRule type="cellIs" dxfId="27" priority="31" stopIfTrue="1" operator="equal">
      <formula>0</formula>
    </cfRule>
  </conditionalFormatting>
  <conditionalFormatting sqref="J6">
    <cfRule type="cellIs" dxfId="26" priority="349" stopIfTrue="1" operator="equal">
      <formula>0</formula>
    </cfRule>
  </conditionalFormatting>
  <conditionalFormatting sqref="K6:L100 S6:T100 AA6:AB100 AI6:AJ100 AQ6:AR100 AY6:AZ100 BB6:BE100 BG6:BH100 BJ6:BM100 BO6:BP100 BR6:BU100 BW6:BX100 BZ6:CC100 CE6:CF100 CH6:CK100 CM6:CN100 CP6:CS100 CU6:CV100 N7:O16 AD7:AE16 H7:I100 AN7:AO100 AV7:AW100">
    <cfRule type="cellIs" dxfId="25" priority="347" stopIfTrue="1" operator="equal">
      <formula>0</formula>
    </cfRule>
  </conditionalFormatting>
  <conditionalFormatting sqref="N17:Q100">
    <cfRule type="cellIs" dxfId="24" priority="28" stopIfTrue="1" operator="equal">
      <formula>0</formula>
    </cfRule>
  </conditionalFormatting>
  <conditionalFormatting sqref="N6:R6">
    <cfRule type="cellIs" dxfId="23" priority="2" stopIfTrue="1" operator="equal">
      <formula>0</formula>
    </cfRule>
  </conditionalFormatting>
  <conditionalFormatting sqref="P7:Q100">
    <cfRule type="cellIs" dxfId="22" priority="281" stopIfTrue="1" operator="equal">
      <formula>0</formula>
    </cfRule>
  </conditionalFormatting>
  <conditionalFormatting sqref="V6:Y100">
    <cfRule type="cellIs" dxfId="21" priority="1" stopIfTrue="1" operator="equal">
      <formula>0</formula>
    </cfRule>
  </conditionalFormatting>
  <conditionalFormatting sqref="X8:Y16">
    <cfRule type="cellIs" dxfId="20" priority="280" stopIfTrue="1" operator="equal">
      <formula>0</formula>
    </cfRule>
  </conditionalFormatting>
  <conditionalFormatting sqref="Z6">
    <cfRule type="cellIs" dxfId="19" priority="334" stopIfTrue="1" operator="equal">
      <formula>0</formula>
    </cfRule>
  </conditionalFormatting>
  <conditionalFormatting sqref="AD17:AG100">
    <cfRule type="cellIs" dxfId="18" priority="23" stopIfTrue="1" operator="equal">
      <formula>0</formula>
    </cfRule>
  </conditionalFormatting>
  <conditionalFormatting sqref="AD6:AH6">
    <cfRule type="cellIs" dxfId="17" priority="328" stopIfTrue="1" operator="equal">
      <formula>0</formula>
    </cfRule>
  </conditionalFormatting>
  <conditionalFormatting sqref="AF7:AG100">
    <cfRule type="cellIs" dxfId="16" priority="279" stopIfTrue="1" operator="equal">
      <formula>0</formula>
    </cfRule>
  </conditionalFormatting>
  <conditionalFormatting sqref="AL15:AM16">
    <cfRule type="cellIs" dxfId="15" priority="278" stopIfTrue="1" operator="equal">
      <formula>0</formula>
    </cfRule>
  </conditionalFormatting>
  <conditionalFormatting sqref="AL6:AO100">
    <cfRule type="cellIs" dxfId="14" priority="20" stopIfTrue="1" operator="equal">
      <formula>0</formula>
    </cfRule>
  </conditionalFormatting>
  <conditionalFormatting sqref="AP6">
    <cfRule type="cellIs" dxfId="13" priority="313" stopIfTrue="1" operator="equal">
      <formula>0</formula>
    </cfRule>
  </conditionalFormatting>
  <conditionalFormatting sqref="AT15:AU16">
    <cfRule type="cellIs" dxfId="12" priority="277" stopIfTrue="1" operator="equal">
      <formula>0</formula>
    </cfRule>
  </conditionalFormatting>
  <conditionalFormatting sqref="AT6:AW100">
    <cfRule type="cellIs" dxfId="11" priority="17" stopIfTrue="1" operator="equal">
      <formula>0</formula>
    </cfRule>
  </conditionalFormatting>
  <conditionalFormatting sqref="AX6">
    <cfRule type="cellIs" dxfId="10" priority="296" stopIfTrue="1" operator="equal">
      <formula>0</formula>
    </cfRule>
  </conditionalFormatting>
  <conditionalFormatting sqref="BF6">
    <cfRule type="cellIs" dxfId="9" priority="199" stopIfTrue="1" operator="equal">
      <formula>0</formula>
    </cfRule>
  </conditionalFormatting>
  <conditionalFormatting sqref="BN6">
    <cfRule type="cellIs" dxfId="8" priority="167" stopIfTrue="1" operator="equal">
      <formula>0</formula>
    </cfRule>
  </conditionalFormatting>
  <conditionalFormatting sqref="BV6">
    <cfRule type="cellIs" dxfId="7" priority="137" stopIfTrue="1" operator="equal">
      <formula>0</formula>
    </cfRule>
  </conditionalFormatting>
  <conditionalFormatting sqref="CD6">
    <cfRule type="cellIs" dxfId="6" priority="103" stopIfTrue="1" operator="equal">
      <formula>0</formula>
    </cfRule>
  </conditionalFormatting>
  <conditionalFormatting sqref="CL6">
    <cfRule type="cellIs" dxfId="5" priority="71" stopIfTrue="1" operator="equal">
      <formula>0</formula>
    </cfRule>
  </conditionalFormatting>
  <conditionalFormatting sqref="CT6">
    <cfRule type="cellIs" dxfId="4" priority="51" stopIfTrue="1" operator="equal">
      <formula>0</formula>
    </cfRule>
  </conditionalFormatting>
  <conditionalFormatting sqref="CX6:CY6">
    <cfRule type="cellIs" dxfId="3" priority="350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GD103"/>
  <sheetViews>
    <sheetView showZeros="0" view="pageBreakPreview" zoomScale="85" zoomScaleNormal="85" zoomScaleSheetLayoutView="85" workbookViewId="0">
      <pane xSplit="5" ySplit="7" topLeftCell="F8" activePane="bottomRight" state="frozen"/>
      <selection pane="topRight" activeCell="D1" sqref="D1"/>
      <selection pane="bottomLeft" activeCell="A8" sqref="A8"/>
      <selection pane="bottomRight" activeCell="F8" sqref="F8"/>
    </sheetView>
  </sheetViews>
  <sheetFormatPr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2.7109375" style="7" customWidth="1"/>
    <col min="8" max="8" width="14.85546875" style="7" customWidth="1"/>
    <col min="9" max="10" width="12.7109375" style="7" customWidth="1"/>
    <col min="11" max="11" width="10.7109375" style="7" customWidth="1"/>
    <col min="12" max="12" width="13.5703125" style="7" customWidth="1"/>
    <col min="13" max="13" width="10.7109375" style="7" customWidth="1"/>
    <col min="14" max="18" width="12.7109375" style="7" customWidth="1"/>
    <col min="19" max="19" width="10.7109375" style="7" customWidth="1"/>
    <col min="20" max="20" width="14.5703125" style="7" customWidth="1"/>
    <col min="21" max="21" width="10.7109375" style="7" customWidth="1"/>
    <col min="22" max="22" width="12.7109375" style="7" customWidth="1"/>
    <col min="23" max="23" width="10.7109375" style="7" customWidth="1"/>
    <col min="24" max="24" width="12.7109375" style="7" customWidth="1"/>
    <col min="25" max="25" width="10.7109375" style="7" customWidth="1"/>
    <col min="26" max="174" width="12.7109375" style="7" customWidth="1"/>
    <col min="175" max="175" width="10.7109375" style="7" customWidth="1"/>
    <col min="176" max="176" width="12.7109375" style="7" customWidth="1"/>
    <col min="177" max="177" width="10.7109375" style="7" customWidth="1"/>
    <col min="178" max="178" width="12.7109375" style="7" customWidth="1"/>
    <col min="179" max="183" width="8.140625" style="7" customWidth="1"/>
    <col min="184" max="185" width="9.85546875" style="7" customWidth="1"/>
    <col min="186" max="186" width="11.7109375" style="7" customWidth="1"/>
    <col min="187" max="16384" width="9.140625" style="7"/>
  </cols>
  <sheetData>
    <row r="1" spans="1:186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</row>
    <row r="2" spans="1:186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7" t="s">
        <v>2187</v>
      </c>
    </row>
    <row r="3" spans="1:186" ht="26.25" customHeight="1" x14ac:dyDescent="0.25">
      <c r="B3" s="79" t="s">
        <v>0</v>
      </c>
      <c r="C3" s="80" t="s">
        <v>2188</v>
      </c>
      <c r="D3" s="80" t="s">
        <v>2009</v>
      </c>
      <c r="E3" s="80" t="s">
        <v>2010</v>
      </c>
      <c r="F3" s="80" t="s">
        <v>2011</v>
      </c>
      <c r="G3" s="79" t="s">
        <v>2025</v>
      </c>
      <c r="H3" s="79"/>
      <c r="I3" s="79"/>
      <c r="J3" s="79"/>
      <c r="K3" s="79" t="s">
        <v>2192</v>
      </c>
      <c r="L3" s="79"/>
      <c r="M3" s="79"/>
      <c r="N3" s="79"/>
      <c r="O3" s="79" t="s">
        <v>2193</v>
      </c>
      <c r="P3" s="79"/>
      <c r="Q3" s="79"/>
      <c r="R3" s="79"/>
      <c r="S3" s="79" t="s">
        <v>2194</v>
      </c>
      <c r="T3" s="79"/>
      <c r="U3" s="79"/>
      <c r="V3" s="79"/>
      <c r="W3" s="81" t="s">
        <v>2192</v>
      </c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3"/>
      <c r="DC3" s="81" t="s">
        <v>2194</v>
      </c>
      <c r="DD3" s="82"/>
      <c r="DE3" s="82"/>
      <c r="DF3" s="82"/>
      <c r="DG3" s="82"/>
      <c r="DH3" s="82"/>
      <c r="DI3" s="82"/>
      <c r="DJ3" s="82"/>
      <c r="DK3" s="82"/>
      <c r="DL3" s="82"/>
      <c r="DM3" s="82"/>
      <c r="DN3" s="82"/>
      <c r="DO3" s="82"/>
      <c r="DP3" s="82"/>
      <c r="DQ3" s="82"/>
      <c r="DR3" s="82"/>
      <c r="DS3" s="82"/>
      <c r="DT3" s="82"/>
      <c r="DU3" s="82"/>
      <c r="DV3" s="82"/>
      <c r="DW3" s="82"/>
      <c r="DX3" s="82"/>
      <c r="DY3" s="82"/>
      <c r="DZ3" s="82"/>
      <c r="EA3" s="82"/>
      <c r="EB3" s="82"/>
      <c r="EC3" s="82"/>
      <c r="ED3" s="82"/>
      <c r="EE3" s="82"/>
      <c r="EF3" s="82"/>
      <c r="EG3" s="82"/>
      <c r="EH3" s="82"/>
      <c r="EI3" s="82"/>
      <c r="EJ3" s="82"/>
      <c r="EK3" s="82"/>
      <c r="EL3" s="82"/>
      <c r="EM3" s="82"/>
      <c r="EN3" s="82"/>
      <c r="EO3" s="82"/>
      <c r="EP3" s="82"/>
      <c r="EQ3" s="82"/>
      <c r="ER3" s="82"/>
      <c r="ES3" s="82"/>
      <c r="ET3" s="82"/>
      <c r="EU3" s="82"/>
      <c r="EV3" s="82"/>
      <c r="EW3" s="82"/>
      <c r="EX3" s="82"/>
      <c r="EY3" s="82"/>
      <c r="EZ3" s="82"/>
      <c r="FA3" s="82"/>
      <c r="FB3" s="82"/>
      <c r="FC3" s="82"/>
      <c r="FD3" s="82"/>
      <c r="FE3" s="82"/>
      <c r="FF3" s="82"/>
      <c r="FG3" s="82"/>
      <c r="FH3" s="82"/>
      <c r="FI3" s="82"/>
      <c r="FJ3" s="82"/>
      <c r="FK3" s="82"/>
      <c r="FL3" s="82"/>
      <c r="FM3" s="82"/>
      <c r="FN3" s="82"/>
      <c r="FO3" s="82"/>
      <c r="FP3" s="82"/>
      <c r="FQ3" s="82"/>
      <c r="FR3" s="82"/>
      <c r="FS3" s="82"/>
      <c r="FT3" s="82"/>
      <c r="FU3" s="82"/>
      <c r="FV3" s="83"/>
    </row>
    <row r="4" spans="1:186" ht="26.25" customHeight="1" x14ac:dyDescent="0.25">
      <c r="B4" s="79"/>
      <c r="C4" s="80"/>
      <c r="D4" s="80"/>
      <c r="E4" s="80"/>
      <c r="F4" s="80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 t="s">
        <v>2195</v>
      </c>
      <c r="X4" s="79"/>
      <c r="Y4" s="79"/>
      <c r="Z4" s="79"/>
      <c r="AA4" s="79" t="s">
        <v>2196</v>
      </c>
      <c r="AB4" s="79"/>
      <c r="AC4" s="79"/>
      <c r="AD4" s="79"/>
      <c r="AE4" s="79" t="s">
        <v>2197</v>
      </c>
      <c r="AF4" s="79"/>
      <c r="AG4" s="79"/>
      <c r="AH4" s="79"/>
      <c r="AI4" s="81" t="s">
        <v>2198</v>
      </c>
      <c r="AJ4" s="82"/>
      <c r="AK4" s="82"/>
      <c r="AL4" s="83"/>
      <c r="AM4" s="81" t="s">
        <v>2199</v>
      </c>
      <c r="AN4" s="82"/>
      <c r="AO4" s="82"/>
      <c r="AP4" s="83"/>
      <c r="AQ4" s="79" t="s">
        <v>2200</v>
      </c>
      <c r="AR4" s="79"/>
      <c r="AS4" s="79"/>
      <c r="AT4" s="79"/>
      <c r="AU4" s="79" t="s">
        <v>2201</v>
      </c>
      <c r="AV4" s="79"/>
      <c r="AW4" s="79"/>
      <c r="AX4" s="79"/>
      <c r="AY4" s="79" t="s">
        <v>2202</v>
      </c>
      <c r="AZ4" s="79"/>
      <c r="BA4" s="79"/>
      <c r="BB4" s="79"/>
      <c r="BC4" s="79" t="s">
        <v>2203</v>
      </c>
      <c r="BD4" s="79"/>
      <c r="BE4" s="79"/>
      <c r="BF4" s="79"/>
      <c r="BG4" s="79" t="s">
        <v>2204</v>
      </c>
      <c r="BH4" s="79"/>
      <c r="BI4" s="79"/>
      <c r="BJ4" s="79"/>
      <c r="BK4" s="79" t="s">
        <v>2205</v>
      </c>
      <c r="BL4" s="79"/>
      <c r="BM4" s="79"/>
      <c r="BN4" s="79"/>
      <c r="BO4" s="79" t="s">
        <v>2206</v>
      </c>
      <c r="BP4" s="79"/>
      <c r="BQ4" s="79"/>
      <c r="BR4" s="79"/>
      <c r="BS4" s="79" t="s">
        <v>2207</v>
      </c>
      <c r="BT4" s="79"/>
      <c r="BU4" s="79"/>
      <c r="BV4" s="79"/>
      <c r="BW4" s="79" t="s">
        <v>2208</v>
      </c>
      <c r="BX4" s="79"/>
      <c r="BY4" s="79"/>
      <c r="BZ4" s="79"/>
      <c r="CA4" s="79" t="s">
        <v>2209</v>
      </c>
      <c r="CB4" s="79"/>
      <c r="CC4" s="79"/>
      <c r="CD4" s="79"/>
      <c r="CE4" s="79" t="s">
        <v>2210</v>
      </c>
      <c r="CF4" s="79"/>
      <c r="CG4" s="79"/>
      <c r="CH4" s="79"/>
      <c r="CI4" s="79" t="s">
        <v>2211</v>
      </c>
      <c r="CJ4" s="79"/>
      <c r="CK4" s="79"/>
      <c r="CL4" s="79"/>
      <c r="CM4" s="79" t="s">
        <v>2212</v>
      </c>
      <c r="CN4" s="79"/>
      <c r="CO4" s="79"/>
      <c r="CP4" s="79"/>
      <c r="CQ4" s="79" t="s">
        <v>2213</v>
      </c>
      <c r="CR4" s="79"/>
      <c r="CS4" s="79"/>
      <c r="CT4" s="79"/>
      <c r="CU4" s="79" t="s">
        <v>2214</v>
      </c>
      <c r="CV4" s="79"/>
      <c r="CW4" s="79"/>
      <c r="CX4" s="79"/>
      <c r="CY4" s="79" t="s">
        <v>2215</v>
      </c>
      <c r="CZ4" s="79"/>
      <c r="DA4" s="79"/>
      <c r="DB4" s="79"/>
      <c r="DC4" s="79" t="s">
        <v>2216</v>
      </c>
      <c r="DD4" s="79"/>
      <c r="DE4" s="79"/>
      <c r="DF4" s="79"/>
      <c r="DG4" s="79" t="s">
        <v>2217</v>
      </c>
      <c r="DH4" s="79"/>
      <c r="DI4" s="79"/>
      <c r="DJ4" s="79"/>
      <c r="DK4" s="79" t="s">
        <v>2218</v>
      </c>
      <c r="DL4" s="79"/>
      <c r="DM4" s="79"/>
      <c r="DN4" s="79"/>
      <c r="DO4" s="79" t="s">
        <v>2219</v>
      </c>
      <c r="DP4" s="79"/>
      <c r="DQ4" s="79"/>
      <c r="DR4" s="79"/>
      <c r="DS4" s="79" t="s">
        <v>2220</v>
      </c>
      <c r="DT4" s="79"/>
      <c r="DU4" s="79"/>
      <c r="DV4" s="79"/>
      <c r="DW4" s="79" t="s">
        <v>2221</v>
      </c>
      <c r="DX4" s="79"/>
      <c r="DY4" s="79"/>
      <c r="DZ4" s="79"/>
      <c r="EA4" s="79" t="s">
        <v>2198</v>
      </c>
      <c r="EB4" s="79"/>
      <c r="EC4" s="79"/>
      <c r="ED4" s="79"/>
      <c r="EE4" s="79" t="s">
        <v>2222</v>
      </c>
      <c r="EF4" s="79"/>
      <c r="EG4" s="79"/>
      <c r="EH4" s="79"/>
      <c r="EI4" s="79" t="s">
        <v>2202</v>
      </c>
      <c r="EJ4" s="79"/>
      <c r="EK4" s="79"/>
      <c r="EL4" s="79"/>
      <c r="EM4" s="79" t="s">
        <v>2199</v>
      </c>
      <c r="EN4" s="79"/>
      <c r="EO4" s="79"/>
      <c r="EP4" s="79"/>
      <c r="EQ4" s="79" t="s">
        <v>2223</v>
      </c>
      <c r="ER4" s="79"/>
      <c r="ES4" s="79"/>
      <c r="ET4" s="79"/>
      <c r="EU4" s="79" t="s">
        <v>2224</v>
      </c>
      <c r="EV4" s="79"/>
      <c r="EW4" s="79"/>
      <c r="EX4" s="79"/>
      <c r="EY4" s="79" t="s">
        <v>2225</v>
      </c>
      <c r="EZ4" s="79"/>
      <c r="FA4" s="79"/>
      <c r="FB4" s="79"/>
      <c r="FC4" s="79" t="s">
        <v>2226</v>
      </c>
      <c r="FD4" s="79"/>
      <c r="FE4" s="79"/>
      <c r="FF4" s="79"/>
      <c r="FG4" s="79" t="s">
        <v>2227</v>
      </c>
      <c r="FH4" s="79"/>
      <c r="FI4" s="79"/>
      <c r="FJ4" s="79"/>
      <c r="FK4" s="79" t="s">
        <v>2200</v>
      </c>
      <c r="FL4" s="79"/>
      <c r="FM4" s="79"/>
      <c r="FN4" s="79"/>
      <c r="FO4" s="79" t="s">
        <v>2228</v>
      </c>
      <c r="FP4" s="79"/>
      <c r="FQ4" s="79"/>
      <c r="FR4" s="79"/>
      <c r="FS4" s="79" t="s">
        <v>2229</v>
      </c>
      <c r="FT4" s="79"/>
      <c r="FU4" s="79"/>
      <c r="FV4" s="79"/>
    </row>
    <row r="5" spans="1:186" ht="65.25" customHeight="1" x14ac:dyDescent="0.25">
      <c r="B5" s="79"/>
      <c r="C5" s="80"/>
      <c r="D5" s="80"/>
      <c r="E5" s="80"/>
      <c r="F5" s="80"/>
      <c r="G5" s="79" t="s">
        <v>2189</v>
      </c>
      <c r="H5" s="79"/>
      <c r="I5" s="79" t="s">
        <v>2190</v>
      </c>
      <c r="J5" s="79"/>
      <c r="K5" s="79" t="s">
        <v>2189</v>
      </c>
      <c r="L5" s="79"/>
      <c r="M5" s="79" t="s">
        <v>2190</v>
      </c>
      <c r="N5" s="79"/>
      <c r="O5" s="79" t="s">
        <v>2189</v>
      </c>
      <c r="P5" s="79"/>
      <c r="Q5" s="79" t="s">
        <v>2190</v>
      </c>
      <c r="R5" s="79"/>
      <c r="S5" s="79" t="s">
        <v>2189</v>
      </c>
      <c r="T5" s="79"/>
      <c r="U5" s="79" t="s">
        <v>2190</v>
      </c>
      <c r="V5" s="79"/>
      <c r="W5" s="79" t="s">
        <v>2189</v>
      </c>
      <c r="X5" s="79"/>
      <c r="Y5" s="79" t="s">
        <v>2190</v>
      </c>
      <c r="Z5" s="79"/>
      <c r="AA5" s="79" t="s">
        <v>2189</v>
      </c>
      <c r="AB5" s="79"/>
      <c r="AC5" s="79" t="s">
        <v>2190</v>
      </c>
      <c r="AD5" s="79"/>
      <c r="AE5" s="79" t="s">
        <v>2189</v>
      </c>
      <c r="AF5" s="79"/>
      <c r="AG5" s="79" t="s">
        <v>2190</v>
      </c>
      <c r="AH5" s="79"/>
      <c r="AI5" s="79" t="s">
        <v>2189</v>
      </c>
      <c r="AJ5" s="79"/>
      <c r="AK5" s="79" t="s">
        <v>2190</v>
      </c>
      <c r="AL5" s="79"/>
      <c r="AM5" s="79" t="s">
        <v>2189</v>
      </c>
      <c r="AN5" s="79"/>
      <c r="AO5" s="79" t="s">
        <v>2190</v>
      </c>
      <c r="AP5" s="79"/>
      <c r="AQ5" s="79" t="s">
        <v>2189</v>
      </c>
      <c r="AR5" s="79"/>
      <c r="AS5" s="79" t="s">
        <v>2190</v>
      </c>
      <c r="AT5" s="79"/>
      <c r="AU5" s="79" t="s">
        <v>2189</v>
      </c>
      <c r="AV5" s="79"/>
      <c r="AW5" s="79" t="s">
        <v>2190</v>
      </c>
      <c r="AX5" s="79"/>
      <c r="AY5" s="79" t="s">
        <v>2189</v>
      </c>
      <c r="AZ5" s="79"/>
      <c r="BA5" s="79" t="s">
        <v>2190</v>
      </c>
      <c r="BB5" s="79"/>
      <c r="BC5" s="79" t="s">
        <v>2189</v>
      </c>
      <c r="BD5" s="79"/>
      <c r="BE5" s="79" t="s">
        <v>2190</v>
      </c>
      <c r="BF5" s="79"/>
      <c r="BG5" s="79" t="s">
        <v>2189</v>
      </c>
      <c r="BH5" s="79"/>
      <c r="BI5" s="79" t="s">
        <v>2190</v>
      </c>
      <c r="BJ5" s="79"/>
      <c r="BK5" s="79" t="s">
        <v>2189</v>
      </c>
      <c r="BL5" s="79"/>
      <c r="BM5" s="79" t="s">
        <v>2190</v>
      </c>
      <c r="BN5" s="79"/>
      <c r="BO5" s="79" t="s">
        <v>2189</v>
      </c>
      <c r="BP5" s="79"/>
      <c r="BQ5" s="79" t="s">
        <v>2190</v>
      </c>
      <c r="BR5" s="79"/>
      <c r="BS5" s="79" t="s">
        <v>2189</v>
      </c>
      <c r="BT5" s="79"/>
      <c r="BU5" s="79" t="s">
        <v>2190</v>
      </c>
      <c r="BV5" s="79"/>
      <c r="BW5" s="79" t="s">
        <v>2189</v>
      </c>
      <c r="BX5" s="79"/>
      <c r="BY5" s="79" t="s">
        <v>2190</v>
      </c>
      <c r="BZ5" s="79"/>
      <c r="CA5" s="79" t="s">
        <v>2189</v>
      </c>
      <c r="CB5" s="79"/>
      <c r="CC5" s="79" t="s">
        <v>2190</v>
      </c>
      <c r="CD5" s="79"/>
      <c r="CE5" s="79" t="s">
        <v>2189</v>
      </c>
      <c r="CF5" s="79"/>
      <c r="CG5" s="79" t="s">
        <v>2190</v>
      </c>
      <c r="CH5" s="79"/>
      <c r="CI5" s="79" t="s">
        <v>2189</v>
      </c>
      <c r="CJ5" s="79"/>
      <c r="CK5" s="79" t="s">
        <v>2190</v>
      </c>
      <c r="CL5" s="79"/>
      <c r="CM5" s="79" t="s">
        <v>2189</v>
      </c>
      <c r="CN5" s="79"/>
      <c r="CO5" s="79" t="s">
        <v>2190</v>
      </c>
      <c r="CP5" s="79"/>
      <c r="CQ5" s="79" t="s">
        <v>2189</v>
      </c>
      <c r="CR5" s="79"/>
      <c r="CS5" s="79" t="s">
        <v>2190</v>
      </c>
      <c r="CT5" s="79"/>
      <c r="CU5" s="79" t="s">
        <v>2189</v>
      </c>
      <c r="CV5" s="79"/>
      <c r="CW5" s="79" t="s">
        <v>2190</v>
      </c>
      <c r="CX5" s="79"/>
      <c r="CY5" s="79" t="s">
        <v>2189</v>
      </c>
      <c r="CZ5" s="79"/>
      <c r="DA5" s="79" t="s">
        <v>2190</v>
      </c>
      <c r="DB5" s="79"/>
      <c r="DC5" s="79" t="s">
        <v>2189</v>
      </c>
      <c r="DD5" s="79"/>
      <c r="DE5" s="79" t="s">
        <v>2190</v>
      </c>
      <c r="DF5" s="79"/>
      <c r="DG5" s="79" t="s">
        <v>2189</v>
      </c>
      <c r="DH5" s="79"/>
      <c r="DI5" s="79" t="s">
        <v>2190</v>
      </c>
      <c r="DJ5" s="79"/>
      <c r="DK5" s="79" t="s">
        <v>2189</v>
      </c>
      <c r="DL5" s="79"/>
      <c r="DM5" s="79" t="s">
        <v>2190</v>
      </c>
      <c r="DN5" s="79"/>
      <c r="DO5" s="79" t="s">
        <v>2189</v>
      </c>
      <c r="DP5" s="79"/>
      <c r="DQ5" s="79" t="s">
        <v>2190</v>
      </c>
      <c r="DR5" s="79"/>
      <c r="DS5" s="79" t="s">
        <v>2189</v>
      </c>
      <c r="DT5" s="79"/>
      <c r="DU5" s="79" t="s">
        <v>2190</v>
      </c>
      <c r="DV5" s="79"/>
      <c r="DW5" s="79" t="s">
        <v>2189</v>
      </c>
      <c r="DX5" s="79"/>
      <c r="DY5" s="79" t="s">
        <v>2190</v>
      </c>
      <c r="DZ5" s="79"/>
      <c r="EA5" s="79" t="s">
        <v>2189</v>
      </c>
      <c r="EB5" s="79"/>
      <c r="EC5" s="79" t="s">
        <v>2190</v>
      </c>
      <c r="ED5" s="79"/>
      <c r="EE5" s="79" t="s">
        <v>2189</v>
      </c>
      <c r="EF5" s="79"/>
      <c r="EG5" s="79" t="s">
        <v>2190</v>
      </c>
      <c r="EH5" s="79"/>
      <c r="EI5" s="79" t="s">
        <v>2189</v>
      </c>
      <c r="EJ5" s="79"/>
      <c r="EK5" s="79" t="s">
        <v>2190</v>
      </c>
      <c r="EL5" s="79"/>
      <c r="EM5" s="79" t="s">
        <v>2189</v>
      </c>
      <c r="EN5" s="79"/>
      <c r="EO5" s="79" t="s">
        <v>2190</v>
      </c>
      <c r="EP5" s="79"/>
      <c r="EQ5" s="79" t="s">
        <v>2189</v>
      </c>
      <c r="ER5" s="79"/>
      <c r="ES5" s="79" t="s">
        <v>2190</v>
      </c>
      <c r="ET5" s="79"/>
      <c r="EU5" s="79" t="s">
        <v>2189</v>
      </c>
      <c r="EV5" s="79"/>
      <c r="EW5" s="79" t="s">
        <v>2190</v>
      </c>
      <c r="EX5" s="79"/>
      <c r="EY5" s="79" t="s">
        <v>2189</v>
      </c>
      <c r="EZ5" s="79"/>
      <c r="FA5" s="79" t="s">
        <v>2190</v>
      </c>
      <c r="FB5" s="79"/>
      <c r="FC5" s="79" t="s">
        <v>2189</v>
      </c>
      <c r="FD5" s="79"/>
      <c r="FE5" s="79" t="s">
        <v>2190</v>
      </c>
      <c r="FF5" s="79"/>
      <c r="FG5" s="79" t="s">
        <v>2189</v>
      </c>
      <c r="FH5" s="79"/>
      <c r="FI5" s="79" t="s">
        <v>2190</v>
      </c>
      <c r="FJ5" s="79"/>
      <c r="FK5" s="79" t="s">
        <v>2189</v>
      </c>
      <c r="FL5" s="79"/>
      <c r="FM5" s="79" t="s">
        <v>2190</v>
      </c>
      <c r="FN5" s="79"/>
      <c r="FO5" s="79" t="s">
        <v>2189</v>
      </c>
      <c r="FP5" s="79"/>
      <c r="FQ5" s="79" t="s">
        <v>2190</v>
      </c>
      <c r="FR5" s="79"/>
      <c r="FS5" s="79" t="s">
        <v>2189</v>
      </c>
      <c r="FT5" s="79"/>
      <c r="FU5" s="79" t="s">
        <v>2190</v>
      </c>
      <c r="FV5" s="79"/>
    </row>
    <row r="6" spans="1:186" ht="27" customHeight="1" x14ac:dyDescent="0.25">
      <c r="B6" s="79"/>
      <c r="C6" s="80"/>
      <c r="D6" s="80"/>
      <c r="E6" s="80"/>
      <c r="F6" s="80"/>
      <c r="G6" s="2" t="s">
        <v>2029</v>
      </c>
      <c r="H6" s="2" t="s">
        <v>2191</v>
      </c>
      <c r="I6" s="2" t="s">
        <v>2029</v>
      </c>
      <c r="J6" s="2" t="s">
        <v>2191</v>
      </c>
      <c r="K6" s="2" t="s">
        <v>2029</v>
      </c>
      <c r="L6" s="2" t="s">
        <v>2191</v>
      </c>
      <c r="M6" s="2" t="s">
        <v>2029</v>
      </c>
      <c r="N6" s="2" t="s">
        <v>2191</v>
      </c>
      <c r="O6" s="2" t="s">
        <v>2029</v>
      </c>
      <c r="P6" s="2" t="s">
        <v>2191</v>
      </c>
      <c r="Q6" s="2" t="s">
        <v>2029</v>
      </c>
      <c r="R6" s="2" t="s">
        <v>2191</v>
      </c>
      <c r="S6" s="2" t="s">
        <v>2029</v>
      </c>
      <c r="T6" s="2" t="s">
        <v>2191</v>
      </c>
      <c r="U6" s="2" t="s">
        <v>2029</v>
      </c>
      <c r="V6" s="2" t="s">
        <v>2191</v>
      </c>
      <c r="W6" s="2" t="s">
        <v>2029</v>
      </c>
      <c r="X6" s="2" t="s">
        <v>2191</v>
      </c>
      <c r="Y6" s="2" t="s">
        <v>2029</v>
      </c>
      <c r="Z6" s="2" t="s">
        <v>2191</v>
      </c>
      <c r="AA6" s="2" t="s">
        <v>2029</v>
      </c>
      <c r="AB6" s="2" t="s">
        <v>2191</v>
      </c>
      <c r="AC6" s="2" t="s">
        <v>2029</v>
      </c>
      <c r="AD6" s="2" t="s">
        <v>2191</v>
      </c>
      <c r="AE6" s="2" t="s">
        <v>2029</v>
      </c>
      <c r="AF6" s="2" t="s">
        <v>2191</v>
      </c>
      <c r="AG6" s="2" t="s">
        <v>2029</v>
      </c>
      <c r="AH6" s="2" t="s">
        <v>2191</v>
      </c>
      <c r="AI6" s="2" t="s">
        <v>2029</v>
      </c>
      <c r="AJ6" s="2" t="s">
        <v>2191</v>
      </c>
      <c r="AK6" s="2" t="s">
        <v>2029</v>
      </c>
      <c r="AL6" s="2" t="s">
        <v>2191</v>
      </c>
      <c r="AM6" s="2" t="s">
        <v>2029</v>
      </c>
      <c r="AN6" s="2" t="s">
        <v>2191</v>
      </c>
      <c r="AO6" s="2" t="s">
        <v>2029</v>
      </c>
      <c r="AP6" s="2" t="s">
        <v>2191</v>
      </c>
      <c r="AQ6" s="2" t="s">
        <v>2029</v>
      </c>
      <c r="AR6" s="2" t="s">
        <v>2191</v>
      </c>
      <c r="AS6" s="2" t="s">
        <v>2029</v>
      </c>
      <c r="AT6" s="2" t="s">
        <v>2191</v>
      </c>
      <c r="AU6" s="2" t="s">
        <v>2029</v>
      </c>
      <c r="AV6" s="2" t="s">
        <v>2191</v>
      </c>
      <c r="AW6" s="2" t="s">
        <v>2029</v>
      </c>
      <c r="AX6" s="2" t="s">
        <v>2191</v>
      </c>
      <c r="AY6" s="2" t="s">
        <v>2029</v>
      </c>
      <c r="AZ6" s="2" t="s">
        <v>2191</v>
      </c>
      <c r="BA6" s="2" t="s">
        <v>2029</v>
      </c>
      <c r="BB6" s="2" t="s">
        <v>2191</v>
      </c>
      <c r="BC6" s="2" t="s">
        <v>2029</v>
      </c>
      <c r="BD6" s="2" t="s">
        <v>2191</v>
      </c>
      <c r="BE6" s="2" t="s">
        <v>2029</v>
      </c>
      <c r="BF6" s="2" t="s">
        <v>2191</v>
      </c>
      <c r="BG6" s="2" t="s">
        <v>2029</v>
      </c>
      <c r="BH6" s="2" t="s">
        <v>2191</v>
      </c>
      <c r="BI6" s="2" t="s">
        <v>2029</v>
      </c>
      <c r="BJ6" s="2" t="s">
        <v>2191</v>
      </c>
      <c r="BK6" s="2" t="s">
        <v>2029</v>
      </c>
      <c r="BL6" s="2" t="s">
        <v>2191</v>
      </c>
      <c r="BM6" s="2" t="s">
        <v>2029</v>
      </c>
      <c r="BN6" s="2" t="s">
        <v>2191</v>
      </c>
      <c r="BO6" s="2" t="s">
        <v>2029</v>
      </c>
      <c r="BP6" s="2" t="s">
        <v>2191</v>
      </c>
      <c r="BQ6" s="2" t="s">
        <v>2029</v>
      </c>
      <c r="BR6" s="2" t="s">
        <v>2191</v>
      </c>
      <c r="BS6" s="2" t="s">
        <v>2029</v>
      </c>
      <c r="BT6" s="2" t="s">
        <v>2191</v>
      </c>
      <c r="BU6" s="2" t="s">
        <v>2029</v>
      </c>
      <c r="BV6" s="2" t="s">
        <v>2191</v>
      </c>
      <c r="BW6" s="2" t="s">
        <v>2029</v>
      </c>
      <c r="BX6" s="2" t="s">
        <v>2191</v>
      </c>
      <c r="BY6" s="2" t="s">
        <v>2029</v>
      </c>
      <c r="BZ6" s="2" t="s">
        <v>2191</v>
      </c>
      <c r="CA6" s="2" t="s">
        <v>2029</v>
      </c>
      <c r="CB6" s="2" t="s">
        <v>2191</v>
      </c>
      <c r="CC6" s="2" t="s">
        <v>2029</v>
      </c>
      <c r="CD6" s="2" t="s">
        <v>2191</v>
      </c>
      <c r="CE6" s="2" t="s">
        <v>2029</v>
      </c>
      <c r="CF6" s="2" t="s">
        <v>2191</v>
      </c>
      <c r="CG6" s="2" t="s">
        <v>2029</v>
      </c>
      <c r="CH6" s="2" t="s">
        <v>2191</v>
      </c>
      <c r="CI6" s="2" t="s">
        <v>2029</v>
      </c>
      <c r="CJ6" s="2" t="s">
        <v>2191</v>
      </c>
      <c r="CK6" s="2" t="s">
        <v>2029</v>
      </c>
      <c r="CL6" s="2" t="s">
        <v>2191</v>
      </c>
      <c r="CM6" s="2" t="s">
        <v>2029</v>
      </c>
      <c r="CN6" s="2" t="s">
        <v>2191</v>
      </c>
      <c r="CO6" s="2" t="s">
        <v>2029</v>
      </c>
      <c r="CP6" s="2" t="s">
        <v>2191</v>
      </c>
      <c r="CQ6" s="2" t="s">
        <v>2029</v>
      </c>
      <c r="CR6" s="2" t="s">
        <v>2191</v>
      </c>
      <c r="CS6" s="2" t="s">
        <v>2029</v>
      </c>
      <c r="CT6" s="2" t="s">
        <v>2191</v>
      </c>
      <c r="CU6" s="2" t="s">
        <v>2029</v>
      </c>
      <c r="CV6" s="2" t="s">
        <v>2191</v>
      </c>
      <c r="CW6" s="2" t="s">
        <v>2029</v>
      </c>
      <c r="CX6" s="2" t="s">
        <v>2191</v>
      </c>
      <c r="CY6" s="2" t="s">
        <v>2029</v>
      </c>
      <c r="CZ6" s="2" t="s">
        <v>2191</v>
      </c>
      <c r="DA6" s="2" t="s">
        <v>2029</v>
      </c>
      <c r="DB6" s="2" t="s">
        <v>2191</v>
      </c>
      <c r="DC6" s="2" t="s">
        <v>2029</v>
      </c>
      <c r="DD6" s="2" t="s">
        <v>2191</v>
      </c>
      <c r="DE6" s="2" t="s">
        <v>2029</v>
      </c>
      <c r="DF6" s="2" t="s">
        <v>2191</v>
      </c>
      <c r="DG6" s="2" t="s">
        <v>2029</v>
      </c>
      <c r="DH6" s="2" t="s">
        <v>2191</v>
      </c>
      <c r="DI6" s="2" t="s">
        <v>2029</v>
      </c>
      <c r="DJ6" s="2" t="s">
        <v>2191</v>
      </c>
      <c r="DK6" s="2" t="s">
        <v>2029</v>
      </c>
      <c r="DL6" s="2" t="s">
        <v>2191</v>
      </c>
      <c r="DM6" s="2" t="s">
        <v>2029</v>
      </c>
      <c r="DN6" s="2" t="s">
        <v>2191</v>
      </c>
      <c r="DO6" s="2" t="s">
        <v>2029</v>
      </c>
      <c r="DP6" s="2" t="s">
        <v>2191</v>
      </c>
      <c r="DQ6" s="2" t="s">
        <v>2029</v>
      </c>
      <c r="DR6" s="2" t="s">
        <v>2191</v>
      </c>
      <c r="DS6" s="2" t="s">
        <v>2029</v>
      </c>
      <c r="DT6" s="2" t="s">
        <v>2191</v>
      </c>
      <c r="DU6" s="2" t="s">
        <v>2029</v>
      </c>
      <c r="DV6" s="2" t="s">
        <v>2191</v>
      </c>
      <c r="DW6" s="2" t="s">
        <v>2029</v>
      </c>
      <c r="DX6" s="2" t="s">
        <v>2191</v>
      </c>
      <c r="DY6" s="2" t="s">
        <v>2029</v>
      </c>
      <c r="DZ6" s="2" t="s">
        <v>2191</v>
      </c>
      <c r="EA6" s="2" t="s">
        <v>2029</v>
      </c>
      <c r="EB6" s="2" t="s">
        <v>2191</v>
      </c>
      <c r="EC6" s="2" t="s">
        <v>2029</v>
      </c>
      <c r="ED6" s="2" t="s">
        <v>2191</v>
      </c>
      <c r="EE6" s="2" t="s">
        <v>2029</v>
      </c>
      <c r="EF6" s="2" t="s">
        <v>2191</v>
      </c>
      <c r="EG6" s="2" t="s">
        <v>2029</v>
      </c>
      <c r="EH6" s="2" t="s">
        <v>2191</v>
      </c>
      <c r="EI6" s="2" t="s">
        <v>2029</v>
      </c>
      <c r="EJ6" s="2" t="s">
        <v>2191</v>
      </c>
      <c r="EK6" s="2" t="s">
        <v>2029</v>
      </c>
      <c r="EL6" s="2" t="s">
        <v>2191</v>
      </c>
      <c r="EM6" s="2" t="s">
        <v>2029</v>
      </c>
      <c r="EN6" s="2" t="s">
        <v>2191</v>
      </c>
      <c r="EO6" s="2" t="s">
        <v>2029</v>
      </c>
      <c r="EP6" s="2" t="s">
        <v>2191</v>
      </c>
      <c r="EQ6" s="2" t="s">
        <v>2029</v>
      </c>
      <c r="ER6" s="2" t="s">
        <v>2191</v>
      </c>
      <c r="ES6" s="2" t="s">
        <v>2029</v>
      </c>
      <c r="ET6" s="2" t="s">
        <v>2191</v>
      </c>
      <c r="EU6" s="2" t="s">
        <v>2029</v>
      </c>
      <c r="EV6" s="2" t="s">
        <v>2191</v>
      </c>
      <c r="EW6" s="2" t="s">
        <v>2029</v>
      </c>
      <c r="EX6" s="2" t="s">
        <v>2191</v>
      </c>
      <c r="EY6" s="2" t="s">
        <v>2029</v>
      </c>
      <c r="EZ6" s="2" t="s">
        <v>2191</v>
      </c>
      <c r="FA6" s="2" t="s">
        <v>2029</v>
      </c>
      <c r="FB6" s="2" t="s">
        <v>2191</v>
      </c>
      <c r="FC6" s="2" t="s">
        <v>2029</v>
      </c>
      <c r="FD6" s="2" t="s">
        <v>2191</v>
      </c>
      <c r="FE6" s="2" t="s">
        <v>2029</v>
      </c>
      <c r="FF6" s="2" t="s">
        <v>2191</v>
      </c>
      <c r="FG6" s="2" t="s">
        <v>2029</v>
      </c>
      <c r="FH6" s="2" t="s">
        <v>2191</v>
      </c>
      <c r="FI6" s="2" t="s">
        <v>2029</v>
      </c>
      <c r="FJ6" s="2" t="s">
        <v>2191</v>
      </c>
      <c r="FK6" s="2" t="s">
        <v>2029</v>
      </c>
      <c r="FL6" s="2" t="s">
        <v>2191</v>
      </c>
      <c r="FM6" s="2" t="s">
        <v>2029</v>
      </c>
      <c r="FN6" s="2" t="s">
        <v>2191</v>
      </c>
      <c r="FO6" s="2" t="s">
        <v>2029</v>
      </c>
      <c r="FP6" s="2" t="s">
        <v>2191</v>
      </c>
      <c r="FQ6" s="2" t="s">
        <v>2029</v>
      </c>
      <c r="FR6" s="2" t="s">
        <v>2191</v>
      </c>
      <c r="FS6" s="2" t="s">
        <v>2029</v>
      </c>
      <c r="FT6" s="2" t="s">
        <v>2191</v>
      </c>
      <c r="FU6" s="2" t="s">
        <v>2029</v>
      </c>
      <c r="FV6" s="2" t="s">
        <v>2191</v>
      </c>
    </row>
    <row r="7" spans="1:186" ht="27" customHeight="1" x14ac:dyDescent="0.25">
      <c r="B7" s="2"/>
      <c r="C7" s="2"/>
      <c r="D7" s="3" t="s">
        <v>2025</v>
      </c>
      <c r="E7" s="3"/>
      <c r="F7" s="3"/>
      <c r="G7" s="6">
        <f>+SUM(G8:G102)</f>
        <v>504929</v>
      </c>
      <c r="H7" s="6">
        <f t="shared" ref="H7:J7" si="0">+SUM(H8:H102)</f>
        <v>29994262.715382215</v>
      </c>
      <c r="I7" s="6">
        <f t="shared" si="0"/>
        <v>30417</v>
      </c>
      <c r="J7" s="6">
        <f t="shared" si="0"/>
        <v>2215403.2142122416</v>
      </c>
      <c r="K7" s="6">
        <f t="shared" ref="K7:Z7" si="1">+SUM(K8:K102)</f>
        <v>13129</v>
      </c>
      <c r="L7" s="6">
        <f t="shared" si="1"/>
        <v>16265688.373504423</v>
      </c>
      <c r="M7" s="6">
        <f t="shared" si="1"/>
        <v>915</v>
      </c>
      <c r="N7" s="6">
        <f t="shared" si="1"/>
        <v>1571782.2545525148</v>
      </c>
      <c r="O7" s="6">
        <f t="shared" si="1"/>
        <v>9065</v>
      </c>
      <c r="P7" s="6">
        <f t="shared" si="1"/>
        <v>1129524.5717528828</v>
      </c>
      <c r="Q7" s="6">
        <f t="shared" si="1"/>
        <v>615</v>
      </c>
      <c r="R7" s="6">
        <f t="shared" si="1"/>
        <v>79822.354997027011</v>
      </c>
      <c r="S7" s="6">
        <f t="shared" si="1"/>
        <v>482735</v>
      </c>
      <c r="T7" s="6">
        <f t="shared" si="1"/>
        <v>12599049.77012492</v>
      </c>
      <c r="U7" s="6">
        <f t="shared" si="1"/>
        <v>28887</v>
      </c>
      <c r="V7" s="6">
        <f t="shared" si="1"/>
        <v>563798.60466269997</v>
      </c>
      <c r="W7" s="6">
        <f t="shared" si="1"/>
        <v>968</v>
      </c>
      <c r="X7" s="6">
        <f t="shared" si="1"/>
        <v>2155907.6416341523</v>
      </c>
      <c r="Y7" s="6">
        <f t="shared" si="1"/>
        <v>20</v>
      </c>
      <c r="Z7" s="6">
        <f t="shared" si="1"/>
        <v>451107.63945719996</v>
      </c>
      <c r="AA7" s="6">
        <f t="shared" ref="AA7:CL7" si="2">+SUM(AA8:AA102)</f>
        <v>1305</v>
      </c>
      <c r="AB7" s="6">
        <f t="shared" si="2"/>
        <v>247423.62974145997</v>
      </c>
      <c r="AC7" s="6">
        <f t="shared" si="2"/>
        <v>2</v>
      </c>
      <c r="AD7" s="6">
        <f t="shared" si="2"/>
        <v>321.20701088999999</v>
      </c>
      <c r="AE7" s="6">
        <f t="shared" si="2"/>
        <v>476</v>
      </c>
      <c r="AF7" s="6">
        <f t="shared" si="2"/>
        <v>1157469.8618719999</v>
      </c>
      <c r="AG7" s="6">
        <f t="shared" si="2"/>
        <v>34</v>
      </c>
      <c r="AH7" s="6">
        <f t="shared" si="2"/>
        <v>24625.72420375</v>
      </c>
      <c r="AI7" s="6">
        <f t="shared" si="2"/>
        <v>1454</v>
      </c>
      <c r="AJ7" s="6">
        <f t="shared" si="2"/>
        <v>757569.99928267591</v>
      </c>
      <c r="AK7" s="6">
        <f t="shared" si="2"/>
        <v>140</v>
      </c>
      <c r="AL7" s="6">
        <f t="shared" si="2"/>
        <v>85268.370268489976</v>
      </c>
      <c r="AM7" s="6">
        <f t="shared" si="2"/>
        <v>116</v>
      </c>
      <c r="AN7" s="6">
        <f t="shared" si="2"/>
        <v>298721.86900292995</v>
      </c>
      <c r="AO7" s="6">
        <f t="shared" si="2"/>
        <v>16</v>
      </c>
      <c r="AP7" s="6">
        <f t="shared" si="2"/>
        <v>22885.989906120001</v>
      </c>
      <c r="AQ7" s="6">
        <f t="shared" si="2"/>
        <v>50</v>
      </c>
      <c r="AR7" s="6">
        <f t="shared" si="2"/>
        <v>206951.81494340999</v>
      </c>
      <c r="AS7" s="6">
        <f t="shared" si="2"/>
        <v>8</v>
      </c>
      <c r="AT7" s="6">
        <f t="shared" si="2"/>
        <v>469.01752459000005</v>
      </c>
      <c r="AU7" s="6">
        <f t="shared" si="2"/>
        <v>156</v>
      </c>
      <c r="AV7" s="6">
        <f t="shared" si="2"/>
        <v>174397.69466460997</v>
      </c>
      <c r="AW7" s="6">
        <f t="shared" si="2"/>
        <v>12</v>
      </c>
      <c r="AX7" s="6">
        <f t="shared" si="2"/>
        <v>29846.256364389999</v>
      </c>
      <c r="AY7" s="6">
        <f t="shared" si="2"/>
        <v>99</v>
      </c>
      <c r="AZ7" s="6">
        <f t="shared" si="2"/>
        <v>55928.501068190002</v>
      </c>
      <c r="BA7" s="6">
        <f t="shared" si="2"/>
        <v>14</v>
      </c>
      <c r="BB7" s="6">
        <f t="shared" si="2"/>
        <v>21776.412235650001</v>
      </c>
      <c r="BC7" s="6">
        <f t="shared" si="2"/>
        <v>141</v>
      </c>
      <c r="BD7" s="6">
        <f t="shared" si="2"/>
        <v>66586.187401989984</v>
      </c>
      <c r="BE7" s="6">
        <f t="shared" si="2"/>
        <v>16</v>
      </c>
      <c r="BF7" s="6">
        <f t="shared" si="2"/>
        <v>18307.446408329997</v>
      </c>
      <c r="BG7" s="6">
        <f t="shared" si="2"/>
        <v>495</v>
      </c>
      <c r="BH7" s="6">
        <f t="shared" si="2"/>
        <v>3308851.4959326349</v>
      </c>
      <c r="BI7" s="6">
        <f t="shared" si="2"/>
        <v>65</v>
      </c>
      <c r="BJ7" s="6">
        <f t="shared" si="2"/>
        <v>172554.74874004</v>
      </c>
      <c r="BK7" s="6">
        <f t="shared" si="2"/>
        <v>1092</v>
      </c>
      <c r="BL7" s="6">
        <f t="shared" si="2"/>
        <v>2319312.918481227</v>
      </c>
      <c r="BM7" s="6">
        <f t="shared" si="2"/>
        <v>153</v>
      </c>
      <c r="BN7" s="6">
        <f t="shared" si="2"/>
        <v>458846.79918368999</v>
      </c>
      <c r="BO7" s="6">
        <f t="shared" si="2"/>
        <v>4321</v>
      </c>
      <c r="BP7" s="6">
        <f t="shared" si="2"/>
        <v>1365422.2572482533</v>
      </c>
      <c r="BQ7" s="6">
        <f t="shared" si="2"/>
        <v>215</v>
      </c>
      <c r="BR7" s="6">
        <f t="shared" si="2"/>
        <v>73736.226780427998</v>
      </c>
      <c r="BS7" s="6">
        <f t="shared" si="2"/>
        <v>3256</v>
      </c>
      <c r="BT7" s="6">
        <f t="shared" si="2"/>
        <v>890327.50303114508</v>
      </c>
      <c r="BU7" s="6">
        <f t="shared" si="2"/>
        <v>392</v>
      </c>
      <c r="BV7" s="6">
        <f t="shared" si="2"/>
        <v>122660.91781150998</v>
      </c>
      <c r="BW7" s="6">
        <f t="shared" si="2"/>
        <v>1069</v>
      </c>
      <c r="BX7" s="6">
        <f t="shared" si="2"/>
        <v>417412.48487758759</v>
      </c>
      <c r="BY7" s="6">
        <f t="shared" si="2"/>
        <v>32</v>
      </c>
      <c r="BZ7" s="6">
        <f t="shared" si="2"/>
        <v>15769.410344358997</v>
      </c>
      <c r="CA7" s="6">
        <f t="shared" si="2"/>
        <v>229</v>
      </c>
      <c r="CB7" s="6">
        <f t="shared" si="2"/>
        <v>357501.3359230691</v>
      </c>
      <c r="CC7" s="6">
        <f t="shared" si="2"/>
        <v>31</v>
      </c>
      <c r="CD7" s="6">
        <f t="shared" si="2"/>
        <v>18648.05543592</v>
      </c>
      <c r="CE7" s="6">
        <f t="shared" si="2"/>
        <v>590</v>
      </c>
      <c r="CF7" s="6">
        <f t="shared" si="2"/>
        <v>198591.5680786891</v>
      </c>
      <c r="CG7" s="6">
        <f t="shared" si="2"/>
        <v>101</v>
      </c>
      <c r="CH7" s="6">
        <f t="shared" si="2"/>
        <v>20469.64268221</v>
      </c>
      <c r="CI7" s="6">
        <f t="shared" si="2"/>
        <v>90</v>
      </c>
      <c r="CJ7" s="6">
        <f t="shared" si="2"/>
        <v>150984.05238710705</v>
      </c>
      <c r="CK7" s="6">
        <f t="shared" si="2"/>
        <v>3</v>
      </c>
      <c r="CL7" s="6">
        <f t="shared" si="2"/>
        <v>1378.5848000329997</v>
      </c>
      <c r="CM7" s="6">
        <f t="shared" ref="CM7:CX7" si="3">+SUM(CM8:CM102)</f>
        <v>377</v>
      </c>
      <c r="CN7" s="6">
        <f t="shared" si="3"/>
        <v>121403.51462106202</v>
      </c>
      <c r="CO7" s="6">
        <f t="shared" si="3"/>
        <v>15</v>
      </c>
      <c r="CP7" s="6">
        <f t="shared" si="3"/>
        <v>17585.4785605</v>
      </c>
      <c r="CQ7" s="6">
        <f t="shared" si="3"/>
        <v>655</v>
      </c>
      <c r="CR7" s="6">
        <f t="shared" si="3"/>
        <v>109285.72783132999</v>
      </c>
      <c r="CS7" s="6">
        <f t="shared" si="3"/>
        <v>53</v>
      </c>
      <c r="CT7" s="6">
        <f t="shared" si="3"/>
        <v>16644.042558249996</v>
      </c>
      <c r="CU7" s="6">
        <f t="shared" si="3"/>
        <v>60</v>
      </c>
      <c r="CV7" s="6">
        <f t="shared" si="3"/>
        <v>91438.564991404986</v>
      </c>
      <c r="CW7" s="6">
        <f t="shared" si="3"/>
        <v>1</v>
      </c>
      <c r="CX7" s="6">
        <f t="shared" si="3"/>
        <v>100</v>
      </c>
      <c r="CY7" s="6">
        <f t="shared" ref="CY7:ED7" si="4">+SUM(CY8:CY102)</f>
        <v>5195</v>
      </c>
      <c r="CZ7" s="6">
        <f t="shared" si="4"/>
        <v>2943724.3222423662</v>
      </c>
      <c r="DA7" s="6">
        <f t="shared" si="4"/>
        <v>207</v>
      </c>
      <c r="DB7" s="6">
        <f t="shared" si="4"/>
        <v>78602.639273192006</v>
      </c>
      <c r="DC7" s="6">
        <f t="shared" si="4"/>
        <v>30056</v>
      </c>
      <c r="DD7" s="6">
        <f t="shared" si="4"/>
        <v>4974736.9844555091</v>
      </c>
      <c r="DE7" s="6">
        <f t="shared" si="4"/>
        <v>513</v>
      </c>
      <c r="DF7" s="6">
        <f t="shared" si="4"/>
        <v>116090.84476682001</v>
      </c>
      <c r="DG7" s="6">
        <f t="shared" si="4"/>
        <v>283836</v>
      </c>
      <c r="DH7" s="6">
        <f t="shared" si="4"/>
        <v>3748310.4734840994</v>
      </c>
      <c r="DI7" s="6">
        <f t="shared" si="4"/>
        <v>18996</v>
      </c>
      <c r="DJ7" s="6">
        <f t="shared" si="4"/>
        <v>221119.56694365002</v>
      </c>
      <c r="DK7" s="6">
        <f t="shared" si="4"/>
        <v>16557</v>
      </c>
      <c r="DL7" s="6">
        <f t="shared" si="4"/>
        <v>1502755.0080288304</v>
      </c>
      <c r="DM7" s="6">
        <f t="shared" si="4"/>
        <v>437</v>
      </c>
      <c r="DN7" s="6">
        <f t="shared" si="4"/>
        <v>91265.744816980019</v>
      </c>
      <c r="DO7" s="6">
        <f t="shared" si="4"/>
        <v>56882</v>
      </c>
      <c r="DP7" s="6">
        <f t="shared" si="4"/>
        <v>706124.40318476001</v>
      </c>
      <c r="DQ7" s="6">
        <f t="shared" si="4"/>
        <v>311</v>
      </c>
      <c r="DR7" s="6">
        <f t="shared" si="4"/>
        <v>3344.7374045699999</v>
      </c>
      <c r="DS7" s="6">
        <f t="shared" si="4"/>
        <v>5814</v>
      </c>
      <c r="DT7" s="6">
        <f t="shared" si="4"/>
        <v>485135.92943368992</v>
      </c>
      <c r="DU7" s="6">
        <f t="shared" si="4"/>
        <v>96</v>
      </c>
      <c r="DV7" s="6">
        <f t="shared" si="4"/>
        <v>10719.92400877</v>
      </c>
      <c r="DW7" s="6">
        <f t="shared" ref="DW7:DZ7" si="5">+SUM(DW8:DW102)</f>
        <v>8660</v>
      </c>
      <c r="DX7" s="6">
        <f t="shared" si="5"/>
        <v>93955.326743630023</v>
      </c>
      <c r="DY7" s="6">
        <f t="shared" si="5"/>
        <v>696</v>
      </c>
      <c r="DZ7" s="6">
        <f t="shared" si="5"/>
        <v>7059.2836455999995</v>
      </c>
      <c r="EA7" s="6">
        <f t="shared" si="4"/>
        <v>16127</v>
      </c>
      <c r="EB7" s="6">
        <f t="shared" si="4"/>
        <v>237933.81615778999</v>
      </c>
      <c r="EC7" s="6">
        <f t="shared" si="4"/>
        <v>1697</v>
      </c>
      <c r="ED7" s="6">
        <f t="shared" si="4"/>
        <v>22424.734846749991</v>
      </c>
      <c r="EE7" s="6">
        <f>+SUM(EE8:EE102)</f>
        <v>15226</v>
      </c>
      <c r="EF7" s="6">
        <f t="shared" ref="EF7:FR7" si="6">+SUM(EF8:EF102)</f>
        <v>201270.97557615006</v>
      </c>
      <c r="EG7" s="6">
        <f t="shared" si="6"/>
        <v>1525</v>
      </c>
      <c r="EH7" s="6">
        <f t="shared" si="6"/>
        <v>28751.058858959997</v>
      </c>
      <c r="EI7" s="6">
        <f t="shared" si="6"/>
        <v>8019</v>
      </c>
      <c r="EJ7" s="6">
        <f t="shared" si="6"/>
        <v>118572.07674754996</v>
      </c>
      <c r="EK7" s="6">
        <f t="shared" si="6"/>
        <v>338</v>
      </c>
      <c r="EL7" s="6">
        <f t="shared" si="6"/>
        <v>4023.98556138</v>
      </c>
      <c r="EM7" s="6">
        <f t="shared" si="6"/>
        <v>5800</v>
      </c>
      <c r="EN7" s="6">
        <f t="shared" si="6"/>
        <v>115523.71609094</v>
      </c>
      <c r="EO7" s="6">
        <f t="shared" si="6"/>
        <v>253</v>
      </c>
      <c r="EP7" s="6">
        <f t="shared" si="6"/>
        <v>4038.5782095200002</v>
      </c>
      <c r="EQ7" s="6">
        <f t="shared" si="6"/>
        <v>10067</v>
      </c>
      <c r="ER7" s="6">
        <f t="shared" si="6"/>
        <v>99295.364863210008</v>
      </c>
      <c r="ES7" s="6">
        <f t="shared" si="6"/>
        <v>1130</v>
      </c>
      <c r="ET7" s="6">
        <f t="shared" si="6"/>
        <v>16150.14317433</v>
      </c>
      <c r="EU7" s="6">
        <f t="shared" si="6"/>
        <v>11320</v>
      </c>
      <c r="EV7" s="6">
        <f t="shared" si="6"/>
        <v>94754.371307159963</v>
      </c>
      <c r="EW7" s="6">
        <f t="shared" si="6"/>
        <v>1162</v>
      </c>
      <c r="EX7" s="6">
        <f t="shared" si="6"/>
        <v>13672.17736483</v>
      </c>
      <c r="EY7" s="6">
        <f t="shared" si="6"/>
        <v>9162</v>
      </c>
      <c r="EZ7" s="6">
        <f t="shared" si="6"/>
        <v>65402.598606389991</v>
      </c>
      <c r="FA7" s="6">
        <f t="shared" si="6"/>
        <v>975</v>
      </c>
      <c r="FB7" s="6">
        <f t="shared" si="6"/>
        <v>11106.829425550002</v>
      </c>
      <c r="FC7" s="6">
        <f t="shared" si="6"/>
        <v>542</v>
      </c>
      <c r="FD7" s="6">
        <f t="shared" si="6"/>
        <v>25766.073815899999</v>
      </c>
      <c r="FE7" s="6">
        <f t="shared" si="6"/>
        <v>93</v>
      </c>
      <c r="FF7" s="6">
        <f t="shared" si="6"/>
        <v>2549.4412730199997</v>
      </c>
      <c r="FG7" s="6">
        <f t="shared" si="6"/>
        <v>1181</v>
      </c>
      <c r="FH7" s="6">
        <f t="shared" si="6"/>
        <v>17432.117344840004</v>
      </c>
      <c r="FI7" s="6">
        <f t="shared" si="6"/>
        <v>102</v>
      </c>
      <c r="FJ7" s="6">
        <f t="shared" si="6"/>
        <v>1743.86665156</v>
      </c>
      <c r="FK7" s="6">
        <f t="shared" si="6"/>
        <v>1409</v>
      </c>
      <c r="FL7" s="6">
        <f t="shared" si="6"/>
        <v>12105.123432019998</v>
      </c>
      <c r="FM7" s="6">
        <f t="shared" si="6"/>
        <v>140</v>
      </c>
      <c r="FN7" s="6">
        <f t="shared" si="6"/>
        <v>1282.5041753199998</v>
      </c>
      <c r="FO7" s="6">
        <f t="shared" si="6"/>
        <v>270</v>
      </c>
      <c r="FP7" s="6">
        <f t="shared" si="6"/>
        <v>3497.0462687199988</v>
      </c>
      <c r="FQ7" s="6">
        <f t="shared" si="6"/>
        <v>73</v>
      </c>
      <c r="FR7" s="6">
        <f t="shared" si="6"/>
        <v>1154.7684466599999</v>
      </c>
      <c r="FS7" s="6">
        <f t="shared" ref="FS7:FV7" si="7">+SUM(FS8:FS102)</f>
        <v>1807</v>
      </c>
      <c r="FT7" s="6">
        <f t="shared" si="7"/>
        <v>96478.36458372997</v>
      </c>
      <c r="FU7" s="6">
        <f t="shared" si="7"/>
        <v>350</v>
      </c>
      <c r="FV7" s="6">
        <f t="shared" si="7"/>
        <v>7300.4150884299997</v>
      </c>
      <c r="FW7" s="18">
        <f>+G7-K7-O7-S7</f>
        <v>0</v>
      </c>
      <c r="FX7" s="18">
        <f t="shared" ref="FX7:FX70" si="8">+H7-L7-P7-T7</f>
        <v>0</v>
      </c>
      <c r="FY7" s="18">
        <f t="shared" ref="FY7:FY70" si="9">+I7-M7-Q7-U7</f>
        <v>0</v>
      </c>
      <c r="FZ7" s="18">
        <f t="shared" ref="FZ7:FZ70" si="10">+J7-N7-R7-V7</f>
        <v>0</v>
      </c>
      <c r="GA7" s="18">
        <f>+G7-W7-AA7-AE7-AI7-AM7-AQ7-AU7-AY7-BC7-BG7-BK7-BO7-BS7-BW7-CA7-CE7-CI7-CM7-CQ7-CU7-CY7-DC7-DG7-DK7-DO7-DS7-DW7-EA7-EE7-EI7-EM7-EQ7-EU7-EY7-FC7-FG7-FK7-FO7-FS7</f>
        <v>0</v>
      </c>
      <c r="GB7" s="18">
        <f t="shared" ref="GB7:GB70" si="11">+H7-X7-AB7-AF7-AJ7-AN7-AR7-AV7-AZ7-BD7-BH7-BL7-BP7-BT7-BX7-CB7-CF7-CJ7-CN7-CR7-CV7-CZ7-DD7-DH7-DL7-DP7-DT7-DX7-EB7-EF7-EJ7-EN7-ER7-EV7-EZ7-FD7-FH7-FL7-FP7-FT7</f>
        <v>1.0040821507573128E-9</v>
      </c>
      <c r="GC7" s="18">
        <f t="shared" ref="GC7:GC70" si="12">+I7-Y7-AC7-AG7-AK7-AO7-AS7-AW7-BA7-BE7-BI7-BM7-BQ7-BU7-BY7-CC7-CG7-CK7-CO7-CS7-CW7-DA7-DE7-DI7-DM7-DQ7-DU7-DY7-EC7-EG7-EK7-EO7-ES7-EW7-FA7-FE7-FI7-FM7-FQ7-FU7</f>
        <v>0</v>
      </c>
      <c r="GD7" s="18">
        <f t="shared" ref="GD7:GD70" si="13">+J7-Z7-AD7-AH7-AL7-AP7-AT7-AX7-BB7-BF7-BJ7-BN7-BR7-BV7-BZ7-CD7-CH7-CL7-CP7-CT7-CX7-DB7-DF7-DJ7-DN7-DR7-DV7-DZ7-ED7-EH7-EL7-EP7-ET7-EX7-FB7-FF7-FJ7-FN7-FR7-FV7</f>
        <v>-4.3655745685100555E-10</v>
      </c>
    </row>
    <row r="8" spans="1:186" s="11" customFormat="1" ht="27" customHeight="1" x14ac:dyDescent="0.25">
      <c r="A8" s="66" t="s">
        <v>26</v>
      </c>
      <c r="B8" s="1">
        <v>1</v>
      </c>
      <c r="C8" s="20" t="s">
        <v>2033</v>
      </c>
      <c r="D8" s="20" t="s">
        <v>2044</v>
      </c>
      <c r="E8" s="65">
        <v>10014</v>
      </c>
      <c r="F8" s="19" t="s">
        <v>2045</v>
      </c>
      <c r="G8" s="9">
        <v>1546</v>
      </c>
      <c r="H8" s="9">
        <v>128222.12917500005</v>
      </c>
      <c r="I8" s="9">
        <v>105</v>
      </c>
      <c r="J8" s="9">
        <v>9370.4055959900015</v>
      </c>
      <c r="K8" s="9">
        <v>21</v>
      </c>
      <c r="L8" s="9">
        <v>1246.33613552</v>
      </c>
      <c r="M8" s="9">
        <v>16</v>
      </c>
      <c r="N8" s="9">
        <v>926.52001069999994</v>
      </c>
      <c r="O8" s="9">
        <v>0</v>
      </c>
      <c r="P8" s="9">
        <v>0</v>
      </c>
      <c r="Q8" s="9">
        <v>0</v>
      </c>
      <c r="R8" s="9">
        <v>0</v>
      </c>
      <c r="S8" s="9">
        <v>1525</v>
      </c>
      <c r="T8" s="9">
        <v>126975.79303948004</v>
      </c>
      <c r="U8" s="9">
        <v>89</v>
      </c>
      <c r="V8" s="9">
        <v>8443.8855852900015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1</v>
      </c>
      <c r="BT8" s="10">
        <v>138.99222322999998</v>
      </c>
      <c r="BU8" s="10">
        <v>1</v>
      </c>
      <c r="BV8" s="10">
        <v>138.99222322999998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20</v>
      </c>
      <c r="CR8" s="10">
        <v>1107.3439122899999</v>
      </c>
      <c r="CS8" s="10">
        <v>15</v>
      </c>
      <c r="CT8" s="10">
        <v>787.52778747000002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277</v>
      </c>
      <c r="DD8" s="10">
        <v>79581.597480070006</v>
      </c>
      <c r="DE8" s="10">
        <v>16</v>
      </c>
      <c r="DF8" s="10">
        <v>7509.9609374199999</v>
      </c>
      <c r="DG8" s="10">
        <v>647</v>
      </c>
      <c r="DH8" s="10">
        <v>12252.998657389997</v>
      </c>
      <c r="DI8" s="10">
        <v>38</v>
      </c>
      <c r="DJ8" s="10">
        <v>634.40633229999992</v>
      </c>
      <c r="DK8" s="10">
        <v>453</v>
      </c>
      <c r="DL8" s="10">
        <v>33368.325557790013</v>
      </c>
      <c r="DM8" s="10">
        <v>1</v>
      </c>
      <c r="DN8" s="10">
        <v>30.311735840000001</v>
      </c>
      <c r="DO8" s="10">
        <v>114</v>
      </c>
      <c r="DP8" s="10">
        <v>1505.5571944999999</v>
      </c>
      <c r="DQ8" s="10">
        <v>1</v>
      </c>
      <c r="DR8" s="10">
        <v>5.1374300000000002</v>
      </c>
      <c r="DS8" s="10">
        <v>1</v>
      </c>
      <c r="DT8" s="10">
        <v>2.6659049500000003</v>
      </c>
      <c r="DU8" s="10">
        <v>1</v>
      </c>
      <c r="DV8" s="10">
        <v>2.6659049500000003</v>
      </c>
      <c r="DW8" s="10">
        <v>31</v>
      </c>
      <c r="DX8" s="10">
        <v>252.98101548</v>
      </c>
      <c r="DY8" s="10">
        <v>30</v>
      </c>
      <c r="DZ8" s="10">
        <v>249.73601547999999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2</v>
      </c>
      <c r="EV8" s="10">
        <v>11.667229300000001</v>
      </c>
      <c r="EW8" s="10">
        <v>2</v>
      </c>
      <c r="EX8" s="10">
        <v>11.667229300000001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8">
        <f t="shared" ref="FW8:FW71" si="14">+G8-K8-O8-S8</f>
        <v>0</v>
      </c>
      <c r="FX8" s="18">
        <f t="shared" si="8"/>
        <v>0</v>
      </c>
      <c r="FY8" s="18">
        <f t="shared" si="9"/>
        <v>0</v>
      </c>
      <c r="FZ8" s="18">
        <f t="shared" si="10"/>
        <v>0</v>
      </c>
      <c r="GA8" s="18">
        <f t="shared" ref="GA8:GA71" si="15">+G8-W8-AA8-AE8-AI8-AM8-AQ8-AU8-AY8-BC8-BG8-BK8-BO8-BS8-BW8-CA8-CE8-CI8-CM8-CQ8-CU8-CY8-DC8-DG8-DK8-DO8-DS8-DW8-EA8-EE8-EI8-EM8-EQ8-EU8-EY8-FC8-FG8-FK8-FO8-FS8</f>
        <v>0</v>
      </c>
      <c r="GB8" s="18">
        <f t="shared" si="11"/>
        <v>3.595523878630047E-11</v>
      </c>
      <c r="GC8" s="18">
        <f t="shared" si="12"/>
        <v>0</v>
      </c>
      <c r="GD8" s="18">
        <f t="shared" si="13"/>
        <v>1.6218137943724287E-12</v>
      </c>
    </row>
    <row r="9" spans="1:186" s="11" customFormat="1" ht="27" customHeight="1" x14ac:dyDescent="0.25">
      <c r="A9" s="66" t="s">
        <v>26</v>
      </c>
      <c r="B9" s="1">
        <f t="shared" ref="B9:B40" si="16">+B8+1</f>
        <v>2</v>
      </c>
      <c r="C9" s="20" t="s">
        <v>2033</v>
      </c>
      <c r="D9" s="20" t="s">
        <v>2046</v>
      </c>
      <c r="E9" s="65">
        <v>11141</v>
      </c>
      <c r="F9" s="19" t="s">
        <v>2047</v>
      </c>
      <c r="G9" s="9">
        <v>3065</v>
      </c>
      <c r="H9" s="9">
        <v>184253.43321603004</v>
      </c>
      <c r="I9" s="9">
        <v>12</v>
      </c>
      <c r="J9" s="9">
        <v>2168.2914355799999</v>
      </c>
      <c r="K9" s="9">
        <v>56</v>
      </c>
      <c r="L9" s="9">
        <v>10704.392468780001</v>
      </c>
      <c r="M9" s="9">
        <v>3</v>
      </c>
      <c r="N9" s="9">
        <v>1752.1393355599998</v>
      </c>
      <c r="O9" s="9">
        <v>1</v>
      </c>
      <c r="P9" s="9">
        <v>100</v>
      </c>
      <c r="Q9" s="9">
        <v>0</v>
      </c>
      <c r="R9" s="9">
        <v>0</v>
      </c>
      <c r="S9" s="9">
        <v>3008</v>
      </c>
      <c r="T9" s="9">
        <v>173449.04074724999</v>
      </c>
      <c r="U9" s="9">
        <v>9</v>
      </c>
      <c r="V9" s="9">
        <v>416.15210001999998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1</v>
      </c>
      <c r="AV9" s="10">
        <v>9.9999999900000009</v>
      </c>
      <c r="AW9" s="10">
        <v>1</v>
      </c>
      <c r="AX9" s="10">
        <v>9.9999999900000009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1</v>
      </c>
      <c r="BL9" s="10">
        <v>465.64826916999999</v>
      </c>
      <c r="BM9" s="10">
        <v>0</v>
      </c>
      <c r="BN9" s="10">
        <v>0</v>
      </c>
      <c r="BO9" s="10">
        <v>1</v>
      </c>
      <c r="BP9" s="10">
        <v>189.56433557</v>
      </c>
      <c r="BQ9" s="10">
        <v>1</v>
      </c>
      <c r="BR9" s="10">
        <v>189.56433557</v>
      </c>
      <c r="BS9" s="10">
        <v>4</v>
      </c>
      <c r="BT9" s="10">
        <v>5280.9942888099995</v>
      </c>
      <c r="BU9" s="10">
        <v>1</v>
      </c>
      <c r="BV9" s="10">
        <v>1552.575</v>
      </c>
      <c r="BW9" s="10">
        <v>0</v>
      </c>
      <c r="BX9" s="10">
        <v>0</v>
      </c>
      <c r="BY9" s="10">
        <v>0</v>
      </c>
      <c r="BZ9" s="10">
        <v>0</v>
      </c>
      <c r="CA9" s="10">
        <v>1</v>
      </c>
      <c r="CB9" s="10">
        <v>96.2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2</v>
      </c>
      <c r="CJ9" s="10">
        <v>661.32499800000005</v>
      </c>
      <c r="CK9" s="10">
        <v>0</v>
      </c>
      <c r="CL9" s="10">
        <v>0</v>
      </c>
      <c r="CM9" s="10">
        <v>3</v>
      </c>
      <c r="CN9" s="10">
        <v>684.83723525999994</v>
      </c>
      <c r="CO9" s="10">
        <v>0</v>
      </c>
      <c r="CP9" s="10">
        <v>0</v>
      </c>
      <c r="CQ9" s="10">
        <v>44</v>
      </c>
      <c r="CR9" s="10">
        <v>3415.8233419799999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898</v>
      </c>
      <c r="DD9" s="10">
        <v>126076.38137666992</v>
      </c>
      <c r="DE9" s="10">
        <v>1</v>
      </c>
      <c r="DF9" s="10">
        <v>319.94366829000001</v>
      </c>
      <c r="DG9" s="10">
        <v>1639</v>
      </c>
      <c r="DH9" s="10">
        <v>28847.09669597006</v>
      </c>
      <c r="DI9" s="10">
        <v>5</v>
      </c>
      <c r="DJ9" s="10">
        <v>30.579341439999997</v>
      </c>
      <c r="DK9" s="10">
        <v>192</v>
      </c>
      <c r="DL9" s="10">
        <v>15135.273830640001</v>
      </c>
      <c r="DM9" s="10">
        <v>1</v>
      </c>
      <c r="DN9" s="10">
        <v>41.887726039999997</v>
      </c>
      <c r="DO9" s="10">
        <v>274</v>
      </c>
      <c r="DP9" s="10">
        <v>3292.9528647599996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1</v>
      </c>
      <c r="DX9" s="10">
        <v>4.0389999999999997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4</v>
      </c>
      <c r="EV9" s="10">
        <v>93.296979210000003</v>
      </c>
      <c r="EW9" s="10">
        <v>2</v>
      </c>
      <c r="EX9" s="10">
        <v>23.74136425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8">
        <f t="shared" si="14"/>
        <v>0</v>
      </c>
      <c r="FX9" s="18">
        <f t="shared" si="8"/>
        <v>0</v>
      </c>
      <c r="FY9" s="18">
        <f t="shared" si="9"/>
        <v>0</v>
      </c>
      <c r="FZ9" s="18">
        <f t="shared" si="10"/>
        <v>0</v>
      </c>
      <c r="GA9" s="18">
        <f t="shared" si="15"/>
        <v>0</v>
      </c>
      <c r="GB9" s="18">
        <f t="shared" si="11"/>
        <v>7.503331289626658E-11</v>
      </c>
      <c r="GC9" s="18">
        <f t="shared" si="12"/>
        <v>0</v>
      </c>
      <c r="GD9" s="18">
        <f t="shared" si="13"/>
        <v>-1.8829382497642655E-13</v>
      </c>
    </row>
    <row r="10" spans="1:186" s="11" customFormat="1" ht="27" customHeight="1" x14ac:dyDescent="0.25">
      <c r="A10" s="66" t="s">
        <v>26</v>
      </c>
      <c r="B10" s="1">
        <f t="shared" si="16"/>
        <v>3</v>
      </c>
      <c r="C10" s="20" t="s">
        <v>2033</v>
      </c>
      <c r="D10" s="20" t="s">
        <v>2048</v>
      </c>
      <c r="E10" s="65">
        <v>11142</v>
      </c>
      <c r="F10" s="19" t="s">
        <v>2049</v>
      </c>
      <c r="G10" s="9">
        <v>3061</v>
      </c>
      <c r="H10" s="9">
        <v>121709.99542655011</v>
      </c>
      <c r="I10" s="9">
        <v>98</v>
      </c>
      <c r="J10" s="9">
        <v>2915.2621212099993</v>
      </c>
      <c r="K10" s="9">
        <v>22</v>
      </c>
      <c r="L10" s="9">
        <v>4903.2130923199993</v>
      </c>
      <c r="M10" s="9">
        <v>2</v>
      </c>
      <c r="N10" s="9">
        <v>751.28712978999999</v>
      </c>
      <c r="O10" s="9">
        <v>0</v>
      </c>
      <c r="P10" s="9">
        <v>0</v>
      </c>
      <c r="Q10" s="9">
        <v>0</v>
      </c>
      <c r="R10" s="9">
        <v>0</v>
      </c>
      <c r="S10" s="9">
        <v>3039</v>
      </c>
      <c r="T10" s="9">
        <v>116806.78233423013</v>
      </c>
      <c r="U10" s="9">
        <v>96</v>
      </c>
      <c r="V10" s="9">
        <v>2163.9749914199997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1</v>
      </c>
      <c r="BL10" s="10">
        <v>421.27660200000003</v>
      </c>
      <c r="BM10" s="10">
        <v>0</v>
      </c>
      <c r="BN10" s="10">
        <v>0</v>
      </c>
      <c r="BO10" s="10">
        <v>2</v>
      </c>
      <c r="BP10" s="10">
        <v>804.76312978999999</v>
      </c>
      <c r="BQ10" s="10">
        <v>1</v>
      </c>
      <c r="BR10" s="10">
        <v>704.76312978999999</v>
      </c>
      <c r="BS10" s="10">
        <v>3</v>
      </c>
      <c r="BT10" s="10">
        <v>1408.4300327200001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2</v>
      </c>
      <c r="CF10" s="10">
        <v>534.024</v>
      </c>
      <c r="CG10" s="10">
        <v>1</v>
      </c>
      <c r="CH10" s="10">
        <v>46.524000000000001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13</v>
      </c>
      <c r="CR10" s="10">
        <v>1634.7193278100001</v>
      </c>
      <c r="CS10" s="10">
        <v>0</v>
      </c>
      <c r="CT10" s="10">
        <v>0</v>
      </c>
      <c r="CU10" s="10">
        <v>1</v>
      </c>
      <c r="CV10" s="10">
        <v>100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278</v>
      </c>
      <c r="DD10" s="10">
        <v>48173.226658020008</v>
      </c>
      <c r="DE10" s="10">
        <v>3</v>
      </c>
      <c r="DF10" s="10">
        <v>708.41192818000002</v>
      </c>
      <c r="DG10" s="10">
        <v>2190</v>
      </c>
      <c r="DH10" s="10">
        <v>45882.57437478003</v>
      </c>
      <c r="DI10" s="10">
        <v>57</v>
      </c>
      <c r="DJ10" s="10">
        <v>1091.3238096399998</v>
      </c>
      <c r="DK10" s="10">
        <v>283</v>
      </c>
      <c r="DL10" s="10">
        <v>19813.904912499998</v>
      </c>
      <c r="DM10" s="10">
        <v>1</v>
      </c>
      <c r="DN10" s="10">
        <v>114.04858856999999</v>
      </c>
      <c r="DO10" s="10">
        <v>220</v>
      </c>
      <c r="DP10" s="10">
        <v>2386.1906204900001</v>
      </c>
      <c r="DQ10" s="10">
        <v>2</v>
      </c>
      <c r="DR10" s="10">
        <v>10.869756410000001</v>
      </c>
      <c r="DS10" s="10">
        <v>0</v>
      </c>
      <c r="DT10" s="10">
        <v>0</v>
      </c>
      <c r="DU10" s="10">
        <v>0</v>
      </c>
      <c r="DV10" s="10">
        <v>0</v>
      </c>
      <c r="DW10" s="10">
        <v>35</v>
      </c>
      <c r="DX10" s="10">
        <v>250.59071798000002</v>
      </c>
      <c r="DY10" s="10">
        <v>33</v>
      </c>
      <c r="DZ10" s="10">
        <v>239.32090862000004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33</v>
      </c>
      <c r="EV10" s="10">
        <v>300.29505046000003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8">
        <f t="shared" si="14"/>
        <v>0</v>
      </c>
      <c r="FX10" s="18">
        <f t="shared" si="8"/>
        <v>0</v>
      </c>
      <c r="FY10" s="18">
        <f t="shared" si="9"/>
        <v>0</v>
      </c>
      <c r="FZ10" s="18">
        <f t="shared" si="10"/>
        <v>0</v>
      </c>
      <c r="GA10" s="18">
        <f t="shared" si="15"/>
        <v>0</v>
      </c>
      <c r="GB10" s="18">
        <f t="shared" si="11"/>
        <v>7.58859641791787E-11</v>
      </c>
      <c r="GC10" s="18">
        <f t="shared" si="12"/>
        <v>0</v>
      </c>
      <c r="GD10" s="18">
        <f t="shared" si="13"/>
        <v>-5.6843418860808015E-14</v>
      </c>
    </row>
    <row r="11" spans="1:186" s="11" customFormat="1" ht="27" customHeight="1" x14ac:dyDescent="0.25">
      <c r="A11" s="66" t="s">
        <v>26</v>
      </c>
      <c r="B11" s="1">
        <f t="shared" si="16"/>
        <v>4</v>
      </c>
      <c r="C11" s="20" t="s">
        <v>2033</v>
      </c>
      <c r="D11" s="20" t="s">
        <v>2042</v>
      </c>
      <c r="E11" s="65">
        <v>11183</v>
      </c>
      <c r="F11" s="19" t="s">
        <v>2043</v>
      </c>
      <c r="G11" s="9">
        <v>1990</v>
      </c>
      <c r="H11" s="9">
        <v>157910.81008602996</v>
      </c>
      <c r="I11" s="9">
        <v>150</v>
      </c>
      <c r="J11" s="9">
        <v>9746.7988024799997</v>
      </c>
      <c r="K11" s="9">
        <v>17</v>
      </c>
      <c r="L11" s="9">
        <v>7186.5084705599993</v>
      </c>
      <c r="M11" s="9">
        <v>5</v>
      </c>
      <c r="N11" s="9">
        <v>1555.2759111100002</v>
      </c>
      <c r="O11" s="9">
        <v>2</v>
      </c>
      <c r="P11" s="9">
        <v>702.8125</v>
      </c>
      <c r="Q11" s="9">
        <v>0</v>
      </c>
      <c r="R11" s="9">
        <v>0</v>
      </c>
      <c r="S11" s="9">
        <v>1971</v>
      </c>
      <c r="T11" s="9">
        <v>150021.48911546991</v>
      </c>
      <c r="U11" s="9">
        <v>145</v>
      </c>
      <c r="V11" s="9">
        <v>8191.5228913700003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4</v>
      </c>
      <c r="BP11" s="10">
        <v>1505.27637043</v>
      </c>
      <c r="BQ11" s="10">
        <v>4</v>
      </c>
      <c r="BR11" s="10">
        <v>1505.27637043</v>
      </c>
      <c r="BS11" s="10">
        <v>2</v>
      </c>
      <c r="BT11" s="10">
        <v>444.90898267</v>
      </c>
      <c r="BU11" s="10">
        <v>1</v>
      </c>
      <c r="BV11" s="10">
        <v>49.999540680000003</v>
      </c>
      <c r="BW11" s="10">
        <v>1</v>
      </c>
      <c r="BX11" s="10">
        <v>838.54165899999998</v>
      </c>
      <c r="BY11" s="10">
        <v>0</v>
      </c>
      <c r="BZ11" s="10">
        <v>0</v>
      </c>
      <c r="CA11" s="10">
        <v>9</v>
      </c>
      <c r="CB11" s="10">
        <v>4170.9064584600001</v>
      </c>
      <c r="CC11" s="10">
        <v>0</v>
      </c>
      <c r="CD11" s="10">
        <v>0</v>
      </c>
      <c r="CE11" s="10">
        <v>1</v>
      </c>
      <c r="CF11" s="10">
        <v>226.875</v>
      </c>
      <c r="CG11" s="10">
        <v>0</v>
      </c>
      <c r="CH11" s="10">
        <v>0</v>
      </c>
      <c r="CI11" s="10">
        <v>2</v>
      </c>
      <c r="CJ11" s="10">
        <v>702.8125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445</v>
      </c>
      <c r="DD11" s="10">
        <v>121029.34882199996</v>
      </c>
      <c r="DE11" s="10">
        <v>12</v>
      </c>
      <c r="DF11" s="10">
        <v>5303.9794129700003</v>
      </c>
      <c r="DG11" s="10">
        <v>1165</v>
      </c>
      <c r="DH11" s="10">
        <v>19579.731968839984</v>
      </c>
      <c r="DI11" s="10">
        <v>94</v>
      </c>
      <c r="DJ11" s="10">
        <v>2142.3714447199995</v>
      </c>
      <c r="DK11" s="10">
        <v>63</v>
      </c>
      <c r="DL11" s="10">
        <v>6089.8888529899987</v>
      </c>
      <c r="DM11" s="10">
        <v>2</v>
      </c>
      <c r="DN11" s="10">
        <v>354.18734986999999</v>
      </c>
      <c r="DO11" s="10">
        <v>259</v>
      </c>
      <c r="DP11" s="10">
        <v>2829.2532162700004</v>
      </c>
      <c r="DQ11" s="10">
        <v>4</v>
      </c>
      <c r="DR11" s="10">
        <v>85.064946219999996</v>
      </c>
      <c r="DS11" s="10">
        <v>4</v>
      </c>
      <c r="DT11" s="10">
        <v>28.001485479999996</v>
      </c>
      <c r="DU11" s="10">
        <v>4</v>
      </c>
      <c r="DV11" s="10">
        <v>28.001485479999996</v>
      </c>
      <c r="DW11" s="10">
        <v>7</v>
      </c>
      <c r="DX11" s="10">
        <v>68.415652249999994</v>
      </c>
      <c r="DY11" s="10">
        <v>7</v>
      </c>
      <c r="DZ11" s="10">
        <v>68.415652249999994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28</v>
      </c>
      <c r="EV11" s="10">
        <v>396.84911764000003</v>
      </c>
      <c r="EW11" s="10">
        <v>22</v>
      </c>
      <c r="EX11" s="10">
        <v>209.50259985999998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8">
        <f t="shared" si="14"/>
        <v>0</v>
      </c>
      <c r="FX11" s="18">
        <f t="shared" si="8"/>
        <v>0</v>
      </c>
      <c r="FY11" s="18">
        <f t="shared" si="9"/>
        <v>0</v>
      </c>
      <c r="FZ11" s="18">
        <f t="shared" si="10"/>
        <v>0</v>
      </c>
      <c r="GA11" s="18">
        <f t="shared" si="15"/>
        <v>0</v>
      </c>
      <c r="GB11" s="18">
        <f t="shared" si="11"/>
        <v>3.3367086871294305E-11</v>
      </c>
      <c r="GC11" s="18">
        <f t="shared" si="12"/>
        <v>0</v>
      </c>
      <c r="GD11" s="18">
        <f t="shared" si="13"/>
        <v>4.5474735088646412E-13</v>
      </c>
    </row>
    <row r="12" spans="1:186" s="11" customFormat="1" ht="27" customHeight="1" x14ac:dyDescent="0.25">
      <c r="A12" s="66" t="s">
        <v>26</v>
      </c>
      <c r="B12" s="1">
        <f t="shared" si="16"/>
        <v>5</v>
      </c>
      <c r="C12" s="20" t="s">
        <v>2033</v>
      </c>
      <c r="D12" s="20" t="s">
        <v>2034</v>
      </c>
      <c r="E12" s="65">
        <v>11253</v>
      </c>
      <c r="F12" s="19" t="s">
        <v>2035</v>
      </c>
      <c r="G12" s="9">
        <v>13449</v>
      </c>
      <c r="H12" s="9">
        <v>851212.9901987795</v>
      </c>
      <c r="I12" s="9">
        <v>200</v>
      </c>
      <c r="J12" s="9">
        <v>88312.754302180008</v>
      </c>
      <c r="K12" s="9">
        <v>184</v>
      </c>
      <c r="L12" s="9">
        <v>477736.01505328005</v>
      </c>
      <c r="M12" s="9">
        <v>27</v>
      </c>
      <c r="N12" s="9">
        <v>83542.976543630008</v>
      </c>
      <c r="O12" s="9">
        <v>36</v>
      </c>
      <c r="P12" s="9">
        <v>3195.40370755</v>
      </c>
      <c r="Q12" s="9">
        <v>1</v>
      </c>
      <c r="R12" s="9">
        <v>17.744194760000003</v>
      </c>
      <c r="S12" s="9">
        <v>13229</v>
      </c>
      <c r="T12" s="9">
        <v>370281.57143794955</v>
      </c>
      <c r="U12" s="9">
        <v>172</v>
      </c>
      <c r="V12" s="9">
        <v>4752.0335637899998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3</v>
      </c>
      <c r="AJ12" s="10">
        <v>8479.1904051399997</v>
      </c>
      <c r="AK12" s="10">
        <v>1</v>
      </c>
      <c r="AL12" s="10">
        <v>8000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2</v>
      </c>
      <c r="AV12" s="10">
        <v>12235.39333395</v>
      </c>
      <c r="AW12" s="10">
        <v>1</v>
      </c>
      <c r="AX12" s="10">
        <v>12135.39333395</v>
      </c>
      <c r="AY12" s="10">
        <v>8</v>
      </c>
      <c r="AZ12" s="10">
        <v>15616.77597624</v>
      </c>
      <c r="BA12" s="10">
        <v>2</v>
      </c>
      <c r="BB12" s="10">
        <v>5368.3319812700001</v>
      </c>
      <c r="BC12" s="10">
        <v>2</v>
      </c>
      <c r="BD12" s="10">
        <v>5980.2831406900004</v>
      </c>
      <c r="BE12" s="10">
        <v>0</v>
      </c>
      <c r="BF12" s="10">
        <v>0</v>
      </c>
      <c r="BG12" s="10">
        <v>8</v>
      </c>
      <c r="BH12" s="10">
        <v>116902.48120217999</v>
      </c>
      <c r="BI12" s="10">
        <v>1</v>
      </c>
      <c r="BJ12" s="10">
        <v>9.9999999999999995E-7</v>
      </c>
      <c r="BK12" s="10">
        <v>14</v>
      </c>
      <c r="BL12" s="10">
        <v>104191.39154978</v>
      </c>
      <c r="BM12" s="10">
        <v>1</v>
      </c>
      <c r="BN12" s="10">
        <v>1187.1609919500002</v>
      </c>
      <c r="BO12" s="10">
        <v>83</v>
      </c>
      <c r="BP12" s="10">
        <v>40221.262597100009</v>
      </c>
      <c r="BQ12" s="10">
        <v>6</v>
      </c>
      <c r="BR12" s="10">
        <v>13897.69383192</v>
      </c>
      <c r="BS12" s="10">
        <v>50</v>
      </c>
      <c r="BT12" s="10">
        <v>111007.97846360001</v>
      </c>
      <c r="BU12" s="10">
        <v>6</v>
      </c>
      <c r="BV12" s="10">
        <v>41321.034738339993</v>
      </c>
      <c r="BW12" s="10">
        <v>6</v>
      </c>
      <c r="BX12" s="10">
        <v>7825.20449912</v>
      </c>
      <c r="BY12" s="10">
        <v>0</v>
      </c>
      <c r="BZ12" s="10">
        <v>0</v>
      </c>
      <c r="CA12" s="10">
        <v>20</v>
      </c>
      <c r="CB12" s="10">
        <v>7789.9312263600004</v>
      </c>
      <c r="CC12" s="10">
        <v>2</v>
      </c>
      <c r="CD12" s="10">
        <v>286.49743701</v>
      </c>
      <c r="CE12" s="10">
        <v>9</v>
      </c>
      <c r="CF12" s="10">
        <v>47537.482832499998</v>
      </c>
      <c r="CG12" s="10">
        <v>2</v>
      </c>
      <c r="CH12" s="10">
        <v>123.19999995000001</v>
      </c>
      <c r="CI12" s="10">
        <v>1</v>
      </c>
      <c r="CJ12" s="10">
        <v>9.9999999999999995E-7</v>
      </c>
      <c r="CK12" s="10">
        <v>1</v>
      </c>
      <c r="CL12" s="10">
        <v>9.9999999999999995E-7</v>
      </c>
      <c r="CM12" s="10">
        <v>3</v>
      </c>
      <c r="CN12" s="10">
        <v>1085.27648</v>
      </c>
      <c r="CO12" s="10">
        <v>1</v>
      </c>
      <c r="CP12" s="10">
        <v>100</v>
      </c>
      <c r="CQ12" s="10">
        <v>4</v>
      </c>
      <c r="CR12" s="10">
        <v>1141.408422</v>
      </c>
      <c r="CS12" s="10">
        <v>4</v>
      </c>
      <c r="CT12" s="10">
        <v>1141.408422</v>
      </c>
      <c r="CU12" s="10">
        <v>7</v>
      </c>
      <c r="CV12" s="10">
        <v>917.35863116999997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461</v>
      </c>
      <c r="DD12" s="10">
        <v>88205.873828959957</v>
      </c>
      <c r="DE12" s="10">
        <v>12</v>
      </c>
      <c r="DF12" s="10">
        <v>1244.5547349600001</v>
      </c>
      <c r="DG12" s="10">
        <v>11815</v>
      </c>
      <c r="DH12" s="10">
        <v>220857.66372092944</v>
      </c>
      <c r="DI12" s="10">
        <v>149</v>
      </c>
      <c r="DJ12" s="10">
        <v>3382.5299426199995</v>
      </c>
      <c r="DK12" s="10">
        <v>726</v>
      </c>
      <c r="DL12" s="10">
        <v>58336.010704260007</v>
      </c>
      <c r="DM12" s="10">
        <v>2</v>
      </c>
      <c r="DN12" s="10">
        <v>69.19460715000001</v>
      </c>
      <c r="DO12" s="10">
        <v>180</v>
      </c>
      <c r="DP12" s="10">
        <v>2200.7162168599998</v>
      </c>
      <c r="DQ12" s="10">
        <v>0</v>
      </c>
      <c r="DR12" s="10">
        <v>0</v>
      </c>
      <c r="DS12" s="10">
        <v>1</v>
      </c>
      <c r="DT12" s="10">
        <v>7.3096788699999999</v>
      </c>
      <c r="DU12" s="10">
        <v>1</v>
      </c>
      <c r="DV12" s="10">
        <v>7.3096788699999999</v>
      </c>
      <c r="DW12" s="10">
        <v>8</v>
      </c>
      <c r="DX12" s="10">
        <v>34.330590189999995</v>
      </c>
      <c r="DY12" s="10">
        <v>7</v>
      </c>
      <c r="DZ12" s="10">
        <v>31.694590189999996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38</v>
      </c>
      <c r="EV12" s="10">
        <v>639.66669788000002</v>
      </c>
      <c r="EW12" s="10">
        <v>1</v>
      </c>
      <c r="EX12" s="10">
        <v>16.75001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8">
        <f t="shared" si="14"/>
        <v>0</v>
      </c>
      <c r="FX12" s="18">
        <f t="shared" si="8"/>
        <v>0</v>
      </c>
      <c r="FY12" s="18">
        <f t="shared" si="9"/>
        <v>0</v>
      </c>
      <c r="FZ12" s="18">
        <f t="shared" si="10"/>
        <v>0</v>
      </c>
      <c r="GA12" s="18">
        <f t="shared" si="15"/>
        <v>0</v>
      </c>
      <c r="GB12" s="18">
        <f t="shared" si="11"/>
        <v>-7.617018127348274E-11</v>
      </c>
      <c r="GC12" s="18">
        <f t="shared" si="12"/>
        <v>0</v>
      </c>
      <c r="GD12" s="18">
        <f t="shared" si="13"/>
        <v>1.3820056210533949E-11</v>
      </c>
    </row>
    <row r="13" spans="1:186" s="11" customFormat="1" ht="27" customHeight="1" x14ac:dyDescent="0.25">
      <c r="A13" s="66" t="s">
        <v>26</v>
      </c>
      <c r="B13" s="1">
        <f t="shared" si="16"/>
        <v>6</v>
      </c>
      <c r="C13" s="20" t="s">
        <v>2033</v>
      </c>
      <c r="D13" s="20" t="s">
        <v>2036</v>
      </c>
      <c r="E13" s="65">
        <v>11254</v>
      </c>
      <c r="F13" s="19" t="s">
        <v>2037</v>
      </c>
      <c r="G13" s="9">
        <v>5828</v>
      </c>
      <c r="H13" s="9">
        <v>283554.70602312952</v>
      </c>
      <c r="I13" s="9">
        <v>19</v>
      </c>
      <c r="J13" s="9">
        <v>1079.9514652600001</v>
      </c>
      <c r="K13" s="9">
        <v>92</v>
      </c>
      <c r="L13" s="9">
        <v>106723.62191492</v>
      </c>
      <c r="M13" s="9">
        <v>2</v>
      </c>
      <c r="N13" s="9">
        <v>873.37876510000001</v>
      </c>
      <c r="O13" s="9">
        <v>16</v>
      </c>
      <c r="P13" s="9">
        <v>1535.1921853400002</v>
      </c>
      <c r="Q13" s="9">
        <v>0</v>
      </c>
      <c r="R13" s="9">
        <v>0</v>
      </c>
      <c r="S13" s="9">
        <v>5720</v>
      </c>
      <c r="T13" s="9">
        <v>175295.89192286957</v>
      </c>
      <c r="U13" s="9">
        <v>17</v>
      </c>
      <c r="V13" s="9">
        <v>206.57270016000004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2</v>
      </c>
      <c r="AJ13" s="10">
        <v>247.68333358000001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6</v>
      </c>
      <c r="BH13" s="10">
        <v>441.41808621000001</v>
      </c>
      <c r="BI13" s="10">
        <v>0</v>
      </c>
      <c r="BJ13" s="10">
        <v>0</v>
      </c>
      <c r="BK13" s="10">
        <v>1</v>
      </c>
      <c r="BL13" s="10">
        <v>98.484848</v>
      </c>
      <c r="BM13" s="10">
        <v>0</v>
      </c>
      <c r="BN13" s="10">
        <v>0</v>
      </c>
      <c r="BO13" s="10">
        <v>34</v>
      </c>
      <c r="BP13" s="10">
        <v>4108.8183787099997</v>
      </c>
      <c r="BQ13" s="10">
        <v>0</v>
      </c>
      <c r="BR13" s="10">
        <v>0</v>
      </c>
      <c r="BS13" s="10">
        <v>24</v>
      </c>
      <c r="BT13" s="10">
        <v>84389.872279079995</v>
      </c>
      <c r="BU13" s="10">
        <v>1</v>
      </c>
      <c r="BV13" s="10">
        <v>796.71209610000005</v>
      </c>
      <c r="BW13" s="10">
        <v>4</v>
      </c>
      <c r="BX13" s="10">
        <v>14788.054252</v>
      </c>
      <c r="BY13" s="10">
        <v>0</v>
      </c>
      <c r="BZ13" s="10">
        <v>0</v>
      </c>
      <c r="CA13" s="10">
        <v>4</v>
      </c>
      <c r="CB13" s="10">
        <v>434.14792499999999</v>
      </c>
      <c r="CC13" s="10">
        <v>0</v>
      </c>
      <c r="CD13" s="10">
        <v>0</v>
      </c>
      <c r="CE13" s="10">
        <v>1</v>
      </c>
      <c r="CF13" s="10">
        <v>70.000003000000007</v>
      </c>
      <c r="CG13" s="10">
        <v>0</v>
      </c>
      <c r="CH13" s="10">
        <v>0</v>
      </c>
      <c r="CI13" s="10">
        <v>1</v>
      </c>
      <c r="CJ13" s="10">
        <v>245</v>
      </c>
      <c r="CK13" s="10">
        <v>0</v>
      </c>
      <c r="CL13" s="10">
        <v>0</v>
      </c>
      <c r="CM13" s="10">
        <v>3</v>
      </c>
      <c r="CN13" s="10">
        <v>366.666673</v>
      </c>
      <c r="CO13" s="10">
        <v>1</v>
      </c>
      <c r="CP13" s="10">
        <v>76.666668999999999</v>
      </c>
      <c r="CQ13" s="10">
        <v>26</v>
      </c>
      <c r="CR13" s="10">
        <v>2949.2458916799997</v>
      </c>
      <c r="CS13" s="10">
        <v>0</v>
      </c>
      <c r="CT13" s="10">
        <v>0</v>
      </c>
      <c r="CU13" s="10">
        <v>2</v>
      </c>
      <c r="CV13" s="10">
        <v>119.42243000000001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279</v>
      </c>
      <c r="DD13" s="10">
        <v>48013.371349519985</v>
      </c>
      <c r="DE13" s="10">
        <v>0</v>
      </c>
      <c r="DF13" s="10">
        <v>0</v>
      </c>
      <c r="DG13" s="10">
        <v>4161</v>
      </c>
      <c r="DH13" s="10">
        <v>81260.869815269936</v>
      </c>
      <c r="DI13" s="10">
        <v>16</v>
      </c>
      <c r="DJ13" s="10">
        <v>199.6017918</v>
      </c>
      <c r="DK13" s="10">
        <v>501</v>
      </c>
      <c r="DL13" s="10">
        <v>37075.483284320006</v>
      </c>
      <c r="DM13" s="10">
        <v>0</v>
      </c>
      <c r="DN13" s="10">
        <v>0</v>
      </c>
      <c r="DO13" s="10">
        <v>719</v>
      </c>
      <c r="DP13" s="10">
        <v>8129.4711286599968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60</v>
      </c>
      <c r="EV13" s="10">
        <v>816.69634510000026</v>
      </c>
      <c r="EW13" s="10">
        <v>1</v>
      </c>
      <c r="EX13" s="10">
        <v>6.9709083600000001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8">
        <f t="shared" si="14"/>
        <v>0</v>
      </c>
      <c r="FX13" s="18">
        <f t="shared" si="8"/>
        <v>0</v>
      </c>
      <c r="FY13" s="18">
        <f t="shared" si="9"/>
        <v>0</v>
      </c>
      <c r="FZ13" s="18">
        <f t="shared" si="10"/>
        <v>0</v>
      </c>
      <c r="GA13" s="18">
        <f t="shared" si="15"/>
        <v>0</v>
      </c>
      <c r="GB13" s="18">
        <f t="shared" si="11"/>
        <v>-3.5663560993270949E-10</v>
      </c>
      <c r="GC13" s="18">
        <f t="shared" si="12"/>
        <v>0</v>
      </c>
      <c r="GD13" s="18">
        <f t="shared" si="13"/>
        <v>9.7699626167013776E-15</v>
      </c>
    </row>
    <row r="14" spans="1:186" s="11" customFormat="1" ht="27" customHeight="1" x14ac:dyDescent="0.25">
      <c r="A14" s="66" t="s">
        <v>26</v>
      </c>
      <c r="B14" s="1">
        <f t="shared" si="16"/>
        <v>7</v>
      </c>
      <c r="C14" s="20" t="s">
        <v>2033</v>
      </c>
      <c r="D14" s="20" t="s">
        <v>2038</v>
      </c>
      <c r="E14" s="65">
        <v>11255</v>
      </c>
      <c r="F14" s="19" t="s">
        <v>2039</v>
      </c>
      <c r="G14" s="9">
        <v>3025</v>
      </c>
      <c r="H14" s="9">
        <v>216847.11360840977</v>
      </c>
      <c r="I14" s="9">
        <v>26</v>
      </c>
      <c r="J14" s="9">
        <v>15161.629339430001</v>
      </c>
      <c r="K14" s="9">
        <v>101</v>
      </c>
      <c r="L14" s="9">
        <v>41356.790444809994</v>
      </c>
      <c r="M14" s="9">
        <v>2</v>
      </c>
      <c r="N14" s="9">
        <v>13736.261781069999</v>
      </c>
      <c r="O14" s="9">
        <v>19</v>
      </c>
      <c r="P14" s="9">
        <v>1375.9050321300001</v>
      </c>
      <c r="Q14" s="9">
        <v>0</v>
      </c>
      <c r="R14" s="9">
        <v>0</v>
      </c>
      <c r="S14" s="9">
        <v>2905</v>
      </c>
      <c r="T14" s="9">
        <v>174114.41813146978</v>
      </c>
      <c r="U14" s="9">
        <v>24</v>
      </c>
      <c r="V14" s="9">
        <v>1425.3675583600002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1</v>
      </c>
      <c r="AJ14" s="10">
        <v>2333.33329908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2</v>
      </c>
      <c r="AV14" s="10">
        <v>141.66666599999999</v>
      </c>
      <c r="AW14" s="10">
        <v>0</v>
      </c>
      <c r="AX14" s="10">
        <v>0</v>
      </c>
      <c r="AY14" s="10">
        <v>2</v>
      </c>
      <c r="AZ14" s="10">
        <v>390.55555099999998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3</v>
      </c>
      <c r="BH14" s="10">
        <v>238.99849288999999</v>
      </c>
      <c r="BI14" s="10">
        <v>0</v>
      </c>
      <c r="BJ14" s="10">
        <v>0</v>
      </c>
      <c r="BK14" s="10">
        <v>4</v>
      </c>
      <c r="BL14" s="10">
        <v>1241.9876334099999</v>
      </c>
      <c r="BM14" s="10">
        <v>0</v>
      </c>
      <c r="BN14" s="10">
        <v>0</v>
      </c>
      <c r="BO14" s="10">
        <v>46</v>
      </c>
      <c r="BP14" s="10">
        <v>3763.9865826499999</v>
      </c>
      <c r="BQ14" s="10">
        <v>0</v>
      </c>
      <c r="BR14" s="10">
        <v>0</v>
      </c>
      <c r="BS14" s="10">
        <v>41</v>
      </c>
      <c r="BT14" s="10">
        <v>14619.157205439999</v>
      </c>
      <c r="BU14" s="10">
        <v>0</v>
      </c>
      <c r="BV14" s="10">
        <v>0</v>
      </c>
      <c r="BW14" s="10">
        <v>12</v>
      </c>
      <c r="BX14" s="10">
        <v>3822.6484854</v>
      </c>
      <c r="BY14" s="10">
        <v>0</v>
      </c>
      <c r="BZ14" s="10">
        <v>0</v>
      </c>
      <c r="CA14" s="10">
        <v>1</v>
      </c>
      <c r="CB14" s="10">
        <v>545.45454400000006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6</v>
      </c>
      <c r="CN14" s="10">
        <v>15270.32368507</v>
      </c>
      <c r="CO14" s="10">
        <v>2</v>
      </c>
      <c r="CP14" s="10">
        <v>13736.261781069999</v>
      </c>
      <c r="CQ14" s="10">
        <v>0</v>
      </c>
      <c r="CR14" s="10">
        <v>0</v>
      </c>
      <c r="CS14" s="10">
        <v>0</v>
      </c>
      <c r="CT14" s="10">
        <v>0</v>
      </c>
      <c r="CU14" s="10">
        <v>2</v>
      </c>
      <c r="CV14" s="10">
        <v>364.58333199999998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1022</v>
      </c>
      <c r="DD14" s="10">
        <v>131178.35703939002</v>
      </c>
      <c r="DE14" s="10">
        <v>4</v>
      </c>
      <c r="DF14" s="10">
        <v>1130.3794080499999</v>
      </c>
      <c r="DG14" s="10">
        <v>1240</v>
      </c>
      <c r="DH14" s="10">
        <v>25831.633863290026</v>
      </c>
      <c r="DI14" s="10">
        <v>4</v>
      </c>
      <c r="DJ14" s="10">
        <v>125.74099547</v>
      </c>
      <c r="DK14" s="10">
        <v>144</v>
      </c>
      <c r="DL14" s="10">
        <v>12083.86444523</v>
      </c>
      <c r="DM14" s="10">
        <v>0</v>
      </c>
      <c r="DN14" s="10">
        <v>0</v>
      </c>
      <c r="DO14" s="10">
        <v>446</v>
      </c>
      <c r="DP14" s="10">
        <v>4311.1369457299998</v>
      </c>
      <c r="DQ14" s="10">
        <v>1</v>
      </c>
      <c r="DR14" s="10">
        <v>18.944955309999997</v>
      </c>
      <c r="DS14" s="10">
        <v>0</v>
      </c>
      <c r="DT14" s="10">
        <v>0</v>
      </c>
      <c r="DU14" s="10">
        <v>0</v>
      </c>
      <c r="DV14" s="10">
        <v>0</v>
      </c>
      <c r="DW14" s="10">
        <v>15</v>
      </c>
      <c r="DX14" s="10">
        <v>116.57521910000001</v>
      </c>
      <c r="DY14" s="10">
        <v>11</v>
      </c>
      <c r="DZ14" s="10">
        <v>100.54780298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38</v>
      </c>
      <c r="EV14" s="10">
        <v>592.85061873000006</v>
      </c>
      <c r="EW14" s="10">
        <v>4</v>
      </c>
      <c r="EX14" s="10">
        <v>49.754396549999996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8">
        <f t="shared" si="14"/>
        <v>0</v>
      </c>
      <c r="FX14" s="18">
        <f t="shared" si="8"/>
        <v>0</v>
      </c>
      <c r="FY14" s="18">
        <f t="shared" si="9"/>
        <v>0</v>
      </c>
      <c r="FZ14" s="18">
        <f t="shared" si="10"/>
        <v>0</v>
      </c>
      <c r="GA14" s="18">
        <f t="shared" si="15"/>
        <v>0</v>
      </c>
      <c r="GB14" s="18">
        <f t="shared" si="11"/>
        <v>-2.6284396881237626E-10</v>
      </c>
      <c r="GC14" s="18">
        <f t="shared" si="12"/>
        <v>0</v>
      </c>
      <c r="GD14" s="18">
        <f t="shared" si="13"/>
        <v>1.6484591469634324E-12</v>
      </c>
    </row>
    <row r="15" spans="1:186" s="11" customFormat="1" ht="27" customHeight="1" x14ac:dyDescent="0.25">
      <c r="A15" s="66" t="s">
        <v>26</v>
      </c>
      <c r="B15" s="1">
        <f t="shared" si="16"/>
        <v>8</v>
      </c>
      <c r="C15" s="20" t="s">
        <v>2033</v>
      </c>
      <c r="D15" s="20" t="s">
        <v>2040</v>
      </c>
      <c r="E15" s="65">
        <v>11256</v>
      </c>
      <c r="F15" s="19" t="s">
        <v>2041</v>
      </c>
      <c r="G15" s="9">
        <v>4887</v>
      </c>
      <c r="H15" s="9">
        <v>172085.3092976099</v>
      </c>
      <c r="I15" s="9">
        <v>30</v>
      </c>
      <c r="J15" s="9">
        <v>762.48946693000005</v>
      </c>
      <c r="K15" s="9">
        <v>123</v>
      </c>
      <c r="L15" s="9">
        <v>39513.702031410001</v>
      </c>
      <c r="M15" s="9">
        <v>4</v>
      </c>
      <c r="N15" s="9">
        <v>491.82058037999997</v>
      </c>
      <c r="O15" s="9">
        <v>41</v>
      </c>
      <c r="P15" s="9">
        <v>3457.9145145699995</v>
      </c>
      <c r="Q15" s="9">
        <v>0</v>
      </c>
      <c r="R15" s="9">
        <v>0</v>
      </c>
      <c r="S15" s="9">
        <v>4723</v>
      </c>
      <c r="T15" s="9">
        <v>129113.69275162987</v>
      </c>
      <c r="U15" s="9">
        <v>26</v>
      </c>
      <c r="V15" s="9">
        <v>270.66888654999997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1</v>
      </c>
      <c r="AJ15" s="10">
        <v>90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1</v>
      </c>
      <c r="AR15" s="10">
        <v>66.666664999999995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1</v>
      </c>
      <c r="AZ15" s="10">
        <v>81.700066469999996</v>
      </c>
      <c r="BA15" s="10">
        <v>1</v>
      </c>
      <c r="BB15" s="10">
        <v>81.700066469999996</v>
      </c>
      <c r="BC15" s="10">
        <v>1</v>
      </c>
      <c r="BD15" s="10">
        <v>50</v>
      </c>
      <c r="BE15" s="10">
        <v>0</v>
      </c>
      <c r="BF15" s="10">
        <v>0</v>
      </c>
      <c r="BG15" s="10">
        <v>5</v>
      </c>
      <c r="BH15" s="10">
        <v>16651.86922968</v>
      </c>
      <c r="BI15" s="10">
        <v>1</v>
      </c>
      <c r="BJ15" s="10">
        <v>284.63280941000005</v>
      </c>
      <c r="BK15" s="10">
        <v>4</v>
      </c>
      <c r="BL15" s="10">
        <v>300</v>
      </c>
      <c r="BM15" s="10">
        <v>0</v>
      </c>
      <c r="BN15" s="10">
        <v>0</v>
      </c>
      <c r="BO15" s="10">
        <v>69</v>
      </c>
      <c r="BP15" s="10">
        <v>12270.048233800002</v>
      </c>
      <c r="BQ15" s="10">
        <v>1</v>
      </c>
      <c r="BR15" s="10">
        <v>96.666667000000004</v>
      </c>
      <c r="BS15" s="10">
        <v>32</v>
      </c>
      <c r="BT15" s="10">
        <v>4031.0724346900001</v>
      </c>
      <c r="BU15" s="10">
        <v>1</v>
      </c>
      <c r="BV15" s="10">
        <v>28.821037499999999</v>
      </c>
      <c r="BW15" s="10">
        <v>5</v>
      </c>
      <c r="BX15" s="10">
        <v>2074.1949994699999</v>
      </c>
      <c r="BY15" s="10">
        <v>0</v>
      </c>
      <c r="BZ15" s="10">
        <v>0</v>
      </c>
      <c r="CA15" s="10">
        <v>2</v>
      </c>
      <c r="CB15" s="10">
        <v>179.999999</v>
      </c>
      <c r="CC15" s="10">
        <v>0</v>
      </c>
      <c r="CD15" s="10">
        <v>0</v>
      </c>
      <c r="CE15" s="10">
        <v>9</v>
      </c>
      <c r="CF15" s="10">
        <v>3802.8515118199998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9</v>
      </c>
      <c r="CN15" s="10">
        <v>976.31944199999998</v>
      </c>
      <c r="CO15" s="10">
        <v>0</v>
      </c>
      <c r="CP15" s="10">
        <v>0</v>
      </c>
      <c r="CQ15" s="10">
        <v>24</v>
      </c>
      <c r="CR15" s="10">
        <v>2296.8939640500002</v>
      </c>
      <c r="CS15" s="10">
        <v>0</v>
      </c>
      <c r="CT15" s="10">
        <v>0</v>
      </c>
      <c r="CU15" s="10">
        <v>1</v>
      </c>
      <c r="CV15" s="10">
        <v>100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415</v>
      </c>
      <c r="DD15" s="10">
        <v>59449.897299899974</v>
      </c>
      <c r="DE15" s="10">
        <v>0</v>
      </c>
      <c r="DF15" s="10">
        <v>0</v>
      </c>
      <c r="DG15" s="10">
        <v>3696</v>
      </c>
      <c r="DH15" s="10">
        <v>52141.994260089916</v>
      </c>
      <c r="DI15" s="10">
        <v>21</v>
      </c>
      <c r="DJ15" s="10">
        <v>236.65302056000002</v>
      </c>
      <c r="DK15" s="10">
        <v>208</v>
      </c>
      <c r="DL15" s="10">
        <v>12366.729924480003</v>
      </c>
      <c r="DM15" s="10">
        <v>0</v>
      </c>
      <c r="DN15" s="10">
        <v>0</v>
      </c>
      <c r="DO15" s="10">
        <v>373</v>
      </c>
      <c r="DP15" s="10">
        <v>4644.6974524100006</v>
      </c>
      <c r="DQ15" s="10">
        <v>2</v>
      </c>
      <c r="DR15" s="10">
        <v>19.865169939999998</v>
      </c>
      <c r="DS15" s="10">
        <v>0</v>
      </c>
      <c r="DT15" s="10">
        <v>0</v>
      </c>
      <c r="DU15" s="10">
        <v>0</v>
      </c>
      <c r="DV15" s="10">
        <v>0</v>
      </c>
      <c r="DW15" s="10">
        <v>4</v>
      </c>
      <c r="DX15" s="10">
        <v>17.045696049999997</v>
      </c>
      <c r="DY15" s="10">
        <v>3</v>
      </c>
      <c r="DZ15" s="10">
        <v>14.150696049999999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27</v>
      </c>
      <c r="EV15" s="10">
        <v>493.32811870000006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8">
        <f t="shared" si="14"/>
        <v>0</v>
      </c>
      <c r="FX15" s="18">
        <f t="shared" si="8"/>
        <v>0</v>
      </c>
      <c r="FY15" s="18">
        <f t="shared" si="9"/>
        <v>0</v>
      </c>
      <c r="FZ15" s="18">
        <f t="shared" si="10"/>
        <v>0</v>
      </c>
      <c r="GA15" s="18">
        <f t="shared" si="15"/>
        <v>0</v>
      </c>
      <c r="GB15" s="18">
        <f t="shared" si="11"/>
        <v>4.6156856114976108E-11</v>
      </c>
      <c r="GC15" s="18">
        <f t="shared" si="12"/>
        <v>0</v>
      </c>
      <c r="GD15" s="18">
        <f t="shared" si="13"/>
        <v>-4.4408920985006262E-14</v>
      </c>
    </row>
    <row r="16" spans="1:186" s="11" customFormat="1" ht="27" customHeight="1" x14ac:dyDescent="0.25">
      <c r="A16" s="66" t="s">
        <v>26</v>
      </c>
      <c r="B16" s="1">
        <f t="shared" si="16"/>
        <v>9</v>
      </c>
      <c r="C16" s="20" t="s">
        <v>2033</v>
      </c>
      <c r="D16" s="20" t="s">
        <v>2181</v>
      </c>
      <c r="E16" s="65">
        <v>12174</v>
      </c>
      <c r="F16" s="19" t="s">
        <v>2049</v>
      </c>
      <c r="G16" s="9">
        <v>1268</v>
      </c>
      <c r="H16" s="9">
        <v>61508.460487889955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1268</v>
      </c>
      <c r="T16" s="9">
        <v>61508.460487889955</v>
      </c>
      <c r="U16" s="9">
        <v>0</v>
      </c>
      <c r="V16" s="9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8</v>
      </c>
      <c r="DD16" s="10">
        <v>2031.2591202600001</v>
      </c>
      <c r="DE16" s="10">
        <v>0</v>
      </c>
      <c r="DF16" s="10">
        <v>0</v>
      </c>
      <c r="DG16" s="10">
        <v>1163</v>
      </c>
      <c r="DH16" s="10">
        <v>49316.846606260006</v>
      </c>
      <c r="DI16" s="10">
        <v>0</v>
      </c>
      <c r="DJ16" s="10">
        <v>0</v>
      </c>
      <c r="DK16" s="10">
        <v>89</v>
      </c>
      <c r="DL16" s="10">
        <v>10045.366858619998</v>
      </c>
      <c r="DM16" s="10">
        <v>0</v>
      </c>
      <c r="DN16" s="10">
        <v>0</v>
      </c>
      <c r="DO16" s="10">
        <v>8</v>
      </c>
      <c r="DP16" s="10">
        <v>114.98790275000002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8">
        <f t="shared" si="14"/>
        <v>0</v>
      </c>
      <c r="FX16" s="18">
        <f t="shared" si="8"/>
        <v>0</v>
      </c>
      <c r="FY16" s="18">
        <f t="shared" si="9"/>
        <v>0</v>
      </c>
      <c r="FZ16" s="18">
        <f t="shared" si="10"/>
        <v>0</v>
      </c>
      <c r="GA16" s="18">
        <f t="shared" si="15"/>
        <v>0</v>
      </c>
      <c r="GB16" s="18">
        <f t="shared" si="11"/>
        <v>-4.9936943469219841E-11</v>
      </c>
      <c r="GC16" s="18">
        <f t="shared" si="12"/>
        <v>0</v>
      </c>
      <c r="GD16" s="18">
        <f t="shared" si="13"/>
        <v>0</v>
      </c>
    </row>
    <row r="17" spans="1:186" s="11" customFormat="1" ht="27" customHeight="1" x14ac:dyDescent="0.25">
      <c r="A17" s="66" t="s">
        <v>26</v>
      </c>
      <c r="B17" s="1">
        <f t="shared" si="16"/>
        <v>10</v>
      </c>
      <c r="C17" s="20" t="s">
        <v>2033</v>
      </c>
      <c r="D17" s="20" t="s">
        <v>2182</v>
      </c>
      <c r="E17" s="65">
        <v>12190</v>
      </c>
      <c r="F17" s="19" t="s">
        <v>2049</v>
      </c>
      <c r="G17" s="9">
        <v>782</v>
      </c>
      <c r="H17" s="9">
        <v>34479.337470350009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782</v>
      </c>
      <c r="T17" s="9">
        <v>34479.337470350009</v>
      </c>
      <c r="U17" s="9">
        <v>0</v>
      </c>
      <c r="V17" s="9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1</v>
      </c>
      <c r="DD17" s="10">
        <v>215.625</v>
      </c>
      <c r="DE17" s="10">
        <v>0</v>
      </c>
      <c r="DF17" s="10">
        <v>0</v>
      </c>
      <c r="DG17" s="10">
        <v>743</v>
      </c>
      <c r="DH17" s="10">
        <v>29758.153332490001</v>
      </c>
      <c r="DI17" s="10">
        <v>0</v>
      </c>
      <c r="DJ17" s="10">
        <v>0</v>
      </c>
      <c r="DK17" s="10">
        <v>35</v>
      </c>
      <c r="DL17" s="10">
        <v>4463.1742923000002</v>
      </c>
      <c r="DM17" s="10">
        <v>0</v>
      </c>
      <c r="DN17" s="10">
        <v>0</v>
      </c>
      <c r="DO17" s="10">
        <v>3</v>
      </c>
      <c r="DP17" s="10">
        <v>42.384845560000002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8">
        <f t="shared" si="14"/>
        <v>0</v>
      </c>
      <c r="FX17" s="18">
        <f t="shared" si="8"/>
        <v>0</v>
      </c>
      <c r="FY17" s="18">
        <f t="shared" si="9"/>
        <v>0</v>
      </c>
      <c r="FZ17" s="18">
        <f t="shared" si="10"/>
        <v>0</v>
      </c>
      <c r="GA17" s="18">
        <f t="shared" si="15"/>
        <v>0</v>
      </c>
      <c r="GB17" s="18">
        <f t="shared" si="11"/>
        <v>7.3043793236138299E-12</v>
      </c>
      <c r="GC17" s="18">
        <f t="shared" si="12"/>
        <v>0</v>
      </c>
      <c r="GD17" s="18">
        <f t="shared" si="13"/>
        <v>0</v>
      </c>
    </row>
    <row r="18" spans="1:186" s="11" customFormat="1" ht="27" customHeight="1" x14ac:dyDescent="0.25">
      <c r="A18" s="66" t="s">
        <v>27</v>
      </c>
      <c r="B18" s="1">
        <f t="shared" si="16"/>
        <v>11</v>
      </c>
      <c r="C18" s="20" t="s">
        <v>2050</v>
      </c>
      <c r="D18" s="20" t="s">
        <v>2051</v>
      </c>
      <c r="E18" s="65">
        <v>11198</v>
      </c>
      <c r="F18" s="19" t="s">
        <v>2035</v>
      </c>
      <c r="G18" s="9">
        <v>4222</v>
      </c>
      <c r="H18" s="9">
        <v>1680206.3533397398</v>
      </c>
      <c r="I18" s="9">
        <v>309</v>
      </c>
      <c r="J18" s="9">
        <v>90384.884094739988</v>
      </c>
      <c r="K18" s="9">
        <v>99</v>
      </c>
      <c r="L18" s="9">
        <v>1546878.0974503902</v>
      </c>
      <c r="M18" s="9">
        <v>14</v>
      </c>
      <c r="N18" s="9">
        <v>75143.152219030002</v>
      </c>
      <c r="O18" s="9">
        <v>61</v>
      </c>
      <c r="P18" s="9">
        <v>16556.199203359996</v>
      </c>
      <c r="Q18" s="9">
        <v>21</v>
      </c>
      <c r="R18" s="9">
        <v>6060.5735508099997</v>
      </c>
      <c r="S18" s="9">
        <v>4062</v>
      </c>
      <c r="T18" s="9">
        <v>116772.05668599006</v>
      </c>
      <c r="U18" s="9">
        <v>274</v>
      </c>
      <c r="V18" s="9">
        <v>9181.1583248999978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4</v>
      </c>
      <c r="AJ18" s="10">
        <v>574.71980439999993</v>
      </c>
      <c r="AK18" s="10">
        <v>0</v>
      </c>
      <c r="AL18" s="10">
        <v>0</v>
      </c>
      <c r="AM18" s="10">
        <v>3</v>
      </c>
      <c r="AN18" s="10">
        <v>17549.182816429999</v>
      </c>
      <c r="AO18" s="10">
        <v>0</v>
      </c>
      <c r="AP18" s="10">
        <v>0</v>
      </c>
      <c r="AQ18" s="10">
        <v>1</v>
      </c>
      <c r="AR18" s="10">
        <v>1597.801346</v>
      </c>
      <c r="AS18" s="10">
        <v>0</v>
      </c>
      <c r="AT18" s="10">
        <v>0</v>
      </c>
      <c r="AU18" s="10">
        <v>1</v>
      </c>
      <c r="AV18" s="10">
        <v>100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2</v>
      </c>
      <c r="BD18" s="10">
        <v>499.77343541999994</v>
      </c>
      <c r="BE18" s="10">
        <v>1</v>
      </c>
      <c r="BF18" s="10">
        <v>314.64768194999999</v>
      </c>
      <c r="BG18" s="10">
        <v>1</v>
      </c>
      <c r="BH18" s="10">
        <v>200</v>
      </c>
      <c r="BI18" s="10">
        <v>1</v>
      </c>
      <c r="BJ18" s="10">
        <v>200</v>
      </c>
      <c r="BK18" s="10">
        <v>21</v>
      </c>
      <c r="BL18" s="10">
        <v>1439443.4178534199</v>
      </c>
      <c r="BM18" s="10">
        <v>2</v>
      </c>
      <c r="BN18" s="10">
        <v>56591.780946599996</v>
      </c>
      <c r="BO18" s="10">
        <v>71</v>
      </c>
      <c r="BP18" s="10">
        <v>34200.70126211</v>
      </c>
      <c r="BQ18" s="10">
        <v>14</v>
      </c>
      <c r="BR18" s="10">
        <v>7325.2612423199998</v>
      </c>
      <c r="BS18" s="10">
        <v>17</v>
      </c>
      <c r="BT18" s="10">
        <v>7493.9844575799998</v>
      </c>
      <c r="BU18" s="10">
        <v>6</v>
      </c>
      <c r="BV18" s="10">
        <v>1439.74130496</v>
      </c>
      <c r="BW18" s="10">
        <v>7</v>
      </c>
      <c r="BX18" s="10">
        <v>11328.050891069999</v>
      </c>
      <c r="BY18" s="10">
        <v>0</v>
      </c>
      <c r="BZ18" s="10">
        <v>0</v>
      </c>
      <c r="CA18" s="10">
        <v>3</v>
      </c>
      <c r="CB18" s="10">
        <v>11526.747245179999</v>
      </c>
      <c r="CC18" s="10">
        <v>2</v>
      </c>
      <c r="CD18" s="10">
        <v>11171.735438709999</v>
      </c>
      <c r="CE18" s="10">
        <v>7</v>
      </c>
      <c r="CF18" s="10">
        <v>2077.4359630399999</v>
      </c>
      <c r="CG18" s="10">
        <v>2</v>
      </c>
      <c r="CH18" s="10">
        <v>539.18837629999996</v>
      </c>
      <c r="CI18" s="10">
        <v>0</v>
      </c>
      <c r="CJ18" s="10">
        <v>0</v>
      </c>
      <c r="CK18" s="10">
        <v>0</v>
      </c>
      <c r="CL18" s="10">
        <v>0</v>
      </c>
      <c r="CM18" s="10">
        <v>4</v>
      </c>
      <c r="CN18" s="10">
        <v>1515.2306098600002</v>
      </c>
      <c r="CO18" s="10">
        <v>2</v>
      </c>
      <c r="CP18" s="10">
        <v>1320</v>
      </c>
      <c r="CQ18" s="10">
        <v>2</v>
      </c>
      <c r="CR18" s="10">
        <v>112.6082682</v>
      </c>
      <c r="CS18" s="10">
        <v>1</v>
      </c>
      <c r="CT18" s="10">
        <v>11.761900000000001</v>
      </c>
      <c r="CU18" s="10">
        <v>2</v>
      </c>
      <c r="CV18" s="10">
        <v>28523.008028559998</v>
      </c>
      <c r="CW18" s="10">
        <v>0</v>
      </c>
      <c r="CX18" s="10">
        <v>0</v>
      </c>
      <c r="CY18" s="10">
        <v>14</v>
      </c>
      <c r="CZ18" s="10">
        <v>6691.6346724799996</v>
      </c>
      <c r="DA18" s="10">
        <v>4</v>
      </c>
      <c r="DB18" s="10">
        <v>2289.6088789999999</v>
      </c>
      <c r="DC18" s="10">
        <v>290</v>
      </c>
      <c r="DD18" s="10">
        <v>46339.48528701999</v>
      </c>
      <c r="DE18" s="10">
        <v>0</v>
      </c>
      <c r="DF18" s="10">
        <v>0</v>
      </c>
      <c r="DG18" s="10">
        <v>3402</v>
      </c>
      <c r="DH18" s="10">
        <v>62536.258911009943</v>
      </c>
      <c r="DI18" s="10">
        <v>273</v>
      </c>
      <c r="DJ18" s="10">
        <v>9170.2683248999983</v>
      </c>
      <c r="DK18" s="10">
        <v>76</v>
      </c>
      <c r="DL18" s="10">
        <v>3181.9672656399998</v>
      </c>
      <c r="DM18" s="10">
        <v>0</v>
      </c>
      <c r="DN18" s="10">
        <v>0</v>
      </c>
      <c r="DO18" s="10">
        <v>288</v>
      </c>
      <c r="DP18" s="10">
        <v>4607.3033969300004</v>
      </c>
      <c r="DQ18" s="10">
        <v>1</v>
      </c>
      <c r="DR18" s="10">
        <v>10.89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6</v>
      </c>
      <c r="EV18" s="10">
        <v>107.04182538999999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8">
        <f t="shared" si="14"/>
        <v>0</v>
      </c>
      <c r="FX18" s="18">
        <f t="shared" si="8"/>
        <v>-4.3655745685100555E-10</v>
      </c>
      <c r="FY18" s="18">
        <f t="shared" si="9"/>
        <v>0</v>
      </c>
      <c r="FZ18" s="18">
        <f t="shared" si="10"/>
        <v>0</v>
      </c>
      <c r="GA18" s="18">
        <f t="shared" si="15"/>
        <v>0</v>
      </c>
      <c r="GB18" s="18">
        <f t="shared" si="11"/>
        <v>-5.8435034588910639E-11</v>
      </c>
      <c r="GC18" s="18">
        <f t="shared" si="12"/>
        <v>0</v>
      </c>
      <c r="GD18" s="18">
        <f t="shared" si="13"/>
        <v>-5.8264504332328215E-13</v>
      </c>
    </row>
    <row r="19" spans="1:186" s="11" customFormat="1" ht="27" customHeight="1" x14ac:dyDescent="0.25">
      <c r="A19" s="66" t="s">
        <v>27</v>
      </c>
      <c r="B19" s="1">
        <f t="shared" si="16"/>
        <v>12</v>
      </c>
      <c r="C19" s="20" t="s">
        <v>2050</v>
      </c>
      <c r="D19" s="20" t="s">
        <v>2055</v>
      </c>
      <c r="E19" s="65">
        <v>11199</v>
      </c>
      <c r="F19" s="19" t="s">
        <v>2037</v>
      </c>
      <c r="G19" s="9">
        <v>6756</v>
      </c>
      <c r="H19" s="9">
        <v>458067.70551814028</v>
      </c>
      <c r="I19" s="9">
        <v>377</v>
      </c>
      <c r="J19" s="9">
        <v>8651.2559452700043</v>
      </c>
      <c r="K19" s="9">
        <v>141</v>
      </c>
      <c r="L19" s="9">
        <v>294725.20529004</v>
      </c>
      <c r="M19" s="9">
        <v>3</v>
      </c>
      <c r="N19" s="9">
        <v>1010.2912206600001</v>
      </c>
      <c r="O19" s="9">
        <v>91</v>
      </c>
      <c r="P19" s="9">
        <v>14075.288486149999</v>
      </c>
      <c r="Q19" s="9">
        <v>7</v>
      </c>
      <c r="R19" s="9">
        <v>1854.2593174200001</v>
      </c>
      <c r="S19" s="9">
        <v>6524</v>
      </c>
      <c r="T19" s="9">
        <v>149267.21174195025</v>
      </c>
      <c r="U19" s="9">
        <v>367</v>
      </c>
      <c r="V19" s="9">
        <v>5786.7054071900047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1</v>
      </c>
      <c r="AJ19" s="10">
        <v>510.48990620999996</v>
      </c>
      <c r="AK19" s="10">
        <v>1</v>
      </c>
      <c r="AL19" s="10">
        <v>510.48990620999996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1</v>
      </c>
      <c r="BD19" s="10">
        <v>209.98493171000001</v>
      </c>
      <c r="BE19" s="10">
        <v>0</v>
      </c>
      <c r="BF19" s="10">
        <v>0</v>
      </c>
      <c r="BG19" s="10">
        <v>7</v>
      </c>
      <c r="BH19" s="10">
        <v>273300.44265608996</v>
      </c>
      <c r="BI19" s="10">
        <v>0</v>
      </c>
      <c r="BJ19" s="10">
        <v>0</v>
      </c>
      <c r="BK19" s="10">
        <v>9</v>
      </c>
      <c r="BL19" s="10">
        <v>1144.6409104500001</v>
      </c>
      <c r="BM19" s="10">
        <v>0</v>
      </c>
      <c r="BN19" s="10">
        <v>0</v>
      </c>
      <c r="BO19" s="10">
        <v>70</v>
      </c>
      <c r="BP19" s="10">
        <v>12159.018590140002</v>
      </c>
      <c r="BQ19" s="10">
        <v>5</v>
      </c>
      <c r="BR19" s="10">
        <v>1556.51806953</v>
      </c>
      <c r="BS19" s="10">
        <v>48</v>
      </c>
      <c r="BT19" s="10">
        <v>9861.5901215100002</v>
      </c>
      <c r="BU19" s="10">
        <v>4</v>
      </c>
      <c r="BV19" s="10">
        <v>797.54256234000002</v>
      </c>
      <c r="BW19" s="10">
        <v>15</v>
      </c>
      <c r="BX19" s="10">
        <v>3157.5512542299998</v>
      </c>
      <c r="BY19" s="10">
        <v>0</v>
      </c>
      <c r="BZ19" s="10">
        <v>0</v>
      </c>
      <c r="CA19" s="10">
        <v>3</v>
      </c>
      <c r="CB19" s="10">
        <v>299.50836314999998</v>
      </c>
      <c r="CC19" s="10">
        <v>0</v>
      </c>
      <c r="CD19" s="10">
        <v>0</v>
      </c>
      <c r="CE19" s="10">
        <v>6</v>
      </c>
      <c r="CF19" s="10">
        <v>551.43555333000006</v>
      </c>
      <c r="CG19" s="10">
        <v>0</v>
      </c>
      <c r="CH19" s="10">
        <v>0</v>
      </c>
      <c r="CI19" s="10">
        <v>2</v>
      </c>
      <c r="CJ19" s="10">
        <v>245.454545</v>
      </c>
      <c r="CK19" s="10">
        <v>0</v>
      </c>
      <c r="CL19" s="10">
        <v>0</v>
      </c>
      <c r="CM19" s="10">
        <v>10</v>
      </c>
      <c r="CN19" s="10">
        <v>1061.8190625700001</v>
      </c>
      <c r="CO19" s="10">
        <v>0</v>
      </c>
      <c r="CP19" s="10">
        <v>0</v>
      </c>
      <c r="CQ19" s="10">
        <v>32</v>
      </c>
      <c r="CR19" s="10">
        <v>2713.2166198</v>
      </c>
      <c r="CS19" s="10">
        <v>0</v>
      </c>
      <c r="CT19" s="10">
        <v>0</v>
      </c>
      <c r="CU19" s="10">
        <v>1</v>
      </c>
      <c r="CV19" s="10">
        <v>100</v>
      </c>
      <c r="CW19" s="10">
        <v>0</v>
      </c>
      <c r="CX19" s="10">
        <v>0</v>
      </c>
      <c r="CY19" s="10">
        <v>27</v>
      </c>
      <c r="CZ19" s="10">
        <v>3485.3412619999999</v>
      </c>
      <c r="DA19" s="10">
        <v>0</v>
      </c>
      <c r="DB19" s="10">
        <v>0</v>
      </c>
      <c r="DC19" s="10">
        <v>492</v>
      </c>
      <c r="DD19" s="10">
        <v>47231.305965479987</v>
      </c>
      <c r="DE19" s="10">
        <v>2</v>
      </c>
      <c r="DF19" s="10">
        <v>223.15378435</v>
      </c>
      <c r="DG19" s="10">
        <v>4963</v>
      </c>
      <c r="DH19" s="10">
        <v>84019.700112510152</v>
      </c>
      <c r="DI19" s="10">
        <v>364</v>
      </c>
      <c r="DJ19" s="10">
        <v>5556.9215628400043</v>
      </c>
      <c r="DK19" s="10">
        <v>69</v>
      </c>
      <c r="DL19" s="10">
        <v>3189.5639203799997</v>
      </c>
      <c r="DM19" s="10">
        <v>0</v>
      </c>
      <c r="DN19" s="10">
        <v>0</v>
      </c>
      <c r="DO19" s="10">
        <v>992</v>
      </c>
      <c r="DP19" s="10">
        <v>14172.813492270003</v>
      </c>
      <c r="DQ19" s="10">
        <v>1</v>
      </c>
      <c r="DR19" s="10">
        <v>6.6300600000000003</v>
      </c>
      <c r="DS19" s="10">
        <v>3</v>
      </c>
      <c r="DT19" s="10">
        <v>192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5</v>
      </c>
      <c r="EV19" s="10">
        <v>461.82825131000004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8">
        <f t="shared" si="14"/>
        <v>0</v>
      </c>
      <c r="FX19" s="18">
        <f t="shared" si="8"/>
        <v>0</v>
      </c>
      <c r="FY19" s="18">
        <f t="shared" si="9"/>
        <v>0</v>
      </c>
      <c r="FZ19" s="18">
        <f t="shared" si="10"/>
        <v>0</v>
      </c>
      <c r="GA19" s="18">
        <f t="shared" si="15"/>
        <v>0</v>
      </c>
      <c r="GB19" s="18">
        <f t="shared" si="11"/>
        <v>2.2032509150449187E-10</v>
      </c>
      <c r="GC19" s="18">
        <f t="shared" si="12"/>
        <v>0</v>
      </c>
      <c r="GD19" s="18">
        <f t="shared" si="13"/>
        <v>4.1211478674085811E-13</v>
      </c>
    </row>
    <row r="20" spans="1:186" s="11" customFormat="1" ht="27" customHeight="1" x14ac:dyDescent="0.25">
      <c r="A20" s="66" t="s">
        <v>27</v>
      </c>
      <c r="B20" s="1">
        <f t="shared" si="16"/>
        <v>13</v>
      </c>
      <c r="C20" s="20" t="s">
        <v>2050</v>
      </c>
      <c r="D20" s="20" t="s">
        <v>2056</v>
      </c>
      <c r="E20" s="65">
        <v>11200</v>
      </c>
      <c r="F20" s="19" t="s">
        <v>2049</v>
      </c>
      <c r="G20" s="9">
        <v>6943</v>
      </c>
      <c r="H20" s="9">
        <v>454559.70979484025</v>
      </c>
      <c r="I20" s="9">
        <v>647</v>
      </c>
      <c r="J20" s="9">
        <v>42485.512606189986</v>
      </c>
      <c r="K20" s="9">
        <v>233</v>
      </c>
      <c r="L20" s="9">
        <v>193031.19177337998</v>
      </c>
      <c r="M20" s="9">
        <v>17</v>
      </c>
      <c r="N20" s="9">
        <v>8139.2198742800001</v>
      </c>
      <c r="O20" s="9">
        <v>214</v>
      </c>
      <c r="P20" s="9">
        <v>44743.931926810001</v>
      </c>
      <c r="Q20" s="9">
        <v>43</v>
      </c>
      <c r="R20" s="9">
        <v>14664.624352570001</v>
      </c>
      <c r="S20" s="9">
        <v>6496</v>
      </c>
      <c r="T20" s="9">
        <v>216784.58609465012</v>
      </c>
      <c r="U20" s="9">
        <v>587</v>
      </c>
      <c r="V20" s="9">
        <v>19681.668379340001</v>
      </c>
      <c r="W20" s="10">
        <v>1</v>
      </c>
      <c r="X20" s="10">
        <v>331.63637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6</v>
      </c>
      <c r="AJ20" s="10">
        <v>1103.3593160999999</v>
      </c>
      <c r="AK20" s="10">
        <v>0</v>
      </c>
      <c r="AL20" s="10">
        <v>0</v>
      </c>
      <c r="AM20" s="10">
        <v>2</v>
      </c>
      <c r="AN20" s="10">
        <v>19445.397621150001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5</v>
      </c>
      <c r="AV20" s="10">
        <v>3182.9304053599994</v>
      </c>
      <c r="AW20" s="10">
        <v>1</v>
      </c>
      <c r="AX20" s="10">
        <v>325</v>
      </c>
      <c r="AY20" s="10">
        <v>25</v>
      </c>
      <c r="AZ20" s="10">
        <v>6527.0199870400011</v>
      </c>
      <c r="BA20" s="10">
        <v>8</v>
      </c>
      <c r="BB20" s="10">
        <v>2215.5729840500003</v>
      </c>
      <c r="BC20" s="10">
        <v>3</v>
      </c>
      <c r="BD20" s="10">
        <v>270.65496361999999</v>
      </c>
      <c r="BE20" s="10">
        <v>1</v>
      </c>
      <c r="BF20" s="10">
        <v>100</v>
      </c>
      <c r="BG20" s="10">
        <v>9</v>
      </c>
      <c r="BH20" s="10">
        <v>60880.695438530005</v>
      </c>
      <c r="BI20" s="10">
        <v>2</v>
      </c>
      <c r="BJ20" s="10">
        <v>663.63636399999996</v>
      </c>
      <c r="BK20" s="10">
        <v>17</v>
      </c>
      <c r="BL20" s="10">
        <v>19512.418016559997</v>
      </c>
      <c r="BM20" s="10">
        <v>1</v>
      </c>
      <c r="BN20" s="10">
        <v>159.96019559999999</v>
      </c>
      <c r="BO20" s="10">
        <v>124</v>
      </c>
      <c r="BP20" s="10">
        <v>31681.078819450002</v>
      </c>
      <c r="BQ20" s="10">
        <v>13</v>
      </c>
      <c r="BR20" s="10">
        <v>4072.8669648800001</v>
      </c>
      <c r="BS20" s="10">
        <v>126</v>
      </c>
      <c r="BT20" s="10">
        <v>43273.523318260013</v>
      </c>
      <c r="BU20" s="10">
        <v>17</v>
      </c>
      <c r="BV20" s="10">
        <v>7489.4888844299994</v>
      </c>
      <c r="BW20" s="10">
        <v>10</v>
      </c>
      <c r="BX20" s="10">
        <v>5619.2792292700005</v>
      </c>
      <c r="BY20" s="10">
        <v>2</v>
      </c>
      <c r="BZ20" s="10">
        <v>697.14783547000002</v>
      </c>
      <c r="CA20" s="10">
        <v>18</v>
      </c>
      <c r="CB20" s="10">
        <v>9747.7686517799993</v>
      </c>
      <c r="CC20" s="10">
        <v>4</v>
      </c>
      <c r="CD20" s="10">
        <v>1785.2775248099999</v>
      </c>
      <c r="CE20" s="10">
        <v>14</v>
      </c>
      <c r="CF20" s="10">
        <v>4462.6016307899999</v>
      </c>
      <c r="CG20" s="10">
        <v>6</v>
      </c>
      <c r="CH20" s="10">
        <v>3809.4541819999999</v>
      </c>
      <c r="CI20" s="10">
        <v>0</v>
      </c>
      <c r="CJ20" s="10">
        <v>0</v>
      </c>
      <c r="CK20" s="10">
        <v>0</v>
      </c>
      <c r="CL20" s="10">
        <v>0</v>
      </c>
      <c r="CM20" s="10">
        <v>5</v>
      </c>
      <c r="CN20" s="10">
        <v>1198.5287088</v>
      </c>
      <c r="CO20" s="10">
        <v>1</v>
      </c>
      <c r="CP20" s="10">
        <v>175.80916286000001</v>
      </c>
      <c r="CQ20" s="10">
        <v>36</v>
      </c>
      <c r="CR20" s="10">
        <v>4335.5623951399994</v>
      </c>
      <c r="CS20" s="10">
        <v>0</v>
      </c>
      <c r="CT20" s="10">
        <v>0</v>
      </c>
      <c r="CU20" s="10">
        <v>1</v>
      </c>
      <c r="CV20" s="10">
        <v>100</v>
      </c>
      <c r="CW20" s="10">
        <v>0</v>
      </c>
      <c r="CX20" s="10">
        <v>0</v>
      </c>
      <c r="CY20" s="10">
        <v>45</v>
      </c>
      <c r="CZ20" s="10">
        <v>26102.668828339996</v>
      </c>
      <c r="DA20" s="10">
        <v>4</v>
      </c>
      <c r="DB20" s="10">
        <v>1309.63012875</v>
      </c>
      <c r="DC20" s="10">
        <v>597</v>
      </c>
      <c r="DD20" s="10">
        <v>97561.14243069003</v>
      </c>
      <c r="DE20" s="10">
        <v>8</v>
      </c>
      <c r="DF20" s="10">
        <v>1801.8326755900002</v>
      </c>
      <c r="DG20" s="10">
        <v>4986</v>
      </c>
      <c r="DH20" s="10">
        <v>104525.40692973013</v>
      </c>
      <c r="DI20" s="10">
        <v>574</v>
      </c>
      <c r="DJ20" s="10">
        <v>17798.751119970002</v>
      </c>
      <c r="DK20" s="10">
        <v>72</v>
      </c>
      <c r="DL20" s="10">
        <v>2632.08951802</v>
      </c>
      <c r="DM20" s="10">
        <v>1</v>
      </c>
      <c r="DN20" s="10">
        <v>21.329230429999999</v>
      </c>
      <c r="DO20" s="10">
        <v>833</v>
      </c>
      <c r="DP20" s="10">
        <v>11708.55328416</v>
      </c>
      <c r="DQ20" s="10">
        <v>4</v>
      </c>
      <c r="DR20" s="10">
        <v>59.75535335</v>
      </c>
      <c r="DS20" s="10">
        <v>2</v>
      </c>
      <c r="DT20" s="10">
        <v>22.327200379999997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6</v>
      </c>
      <c r="EV20" s="10">
        <v>335.06673166999997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8">
        <f t="shared" si="14"/>
        <v>0</v>
      </c>
      <c r="FX20" s="18">
        <f t="shared" si="8"/>
        <v>0</v>
      </c>
      <c r="FY20" s="18">
        <f t="shared" si="9"/>
        <v>0</v>
      </c>
      <c r="FZ20" s="18">
        <f t="shared" si="10"/>
        <v>0</v>
      </c>
      <c r="GA20" s="18">
        <f t="shared" si="15"/>
        <v>0</v>
      </c>
      <c r="GB20" s="18">
        <f t="shared" si="11"/>
        <v>-1.3301360013429075E-11</v>
      </c>
      <c r="GC20" s="18">
        <f t="shared" si="12"/>
        <v>0</v>
      </c>
      <c r="GD20" s="18">
        <f t="shared" si="13"/>
        <v>-1.3862688774679555E-11</v>
      </c>
    </row>
    <row r="21" spans="1:186" s="11" customFormat="1" ht="27" customHeight="1" x14ac:dyDescent="0.25">
      <c r="A21" s="66" t="s">
        <v>27</v>
      </c>
      <c r="B21" s="1">
        <f t="shared" si="16"/>
        <v>14</v>
      </c>
      <c r="C21" s="20" t="s">
        <v>2050</v>
      </c>
      <c r="D21" s="20" t="s">
        <v>2052</v>
      </c>
      <c r="E21" s="65">
        <v>11201</v>
      </c>
      <c r="F21" s="19" t="s">
        <v>2047</v>
      </c>
      <c r="G21" s="9">
        <v>7531</v>
      </c>
      <c r="H21" s="9">
        <v>445139.33470766013</v>
      </c>
      <c r="I21" s="9">
        <v>228</v>
      </c>
      <c r="J21" s="9">
        <v>3952.3128732499995</v>
      </c>
      <c r="K21" s="9">
        <v>169</v>
      </c>
      <c r="L21" s="9">
        <v>203167.03098985</v>
      </c>
      <c r="M21" s="9">
        <v>2</v>
      </c>
      <c r="N21" s="9">
        <v>728.16251898000007</v>
      </c>
      <c r="O21" s="9">
        <v>52</v>
      </c>
      <c r="P21" s="9">
        <v>6578.208314460001</v>
      </c>
      <c r="Q21" s="9">
        <v>0</v>
      </c>
      <c r="R21" s="9">
        <v>0</v>
      </c>
      <c r="S21" s="9">
        <v>7310</v>
      </c>
      <c r="T21" s="9">
        <v>235394.09540334984</v>
      </c>
      <c r="U21" s="9">
        <v>226</v>
      </c>
      <c r="V21" s="9">
        <v>3224.1503542699993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3</v>
      </c>
      <c r="AJ21" s="10">
        <v>217.833338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1</v>
      </c>
      <c r="AR21" s="10">
        <v>155.50354949999999</v>
      </c>
      <c r="AS21" s="10">
        <v>0</v>
      </c>
      <c r="AT21" s="10">
        <v>0</v>
      </c>
      <c r="AU21" s="10">
        <v>1</v>
      </c>
      <c r="AV21" s="10">
        <v>13.405186460000001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1</v>
      </c>
      <c r="BD21" s="10">
        <v>85.60228524</v>
      </c>
      <c r="BE21" s="10">
        <v>0</v>
      </c>
      <c r="BF21" s="10">
        <v>0</v>
      </c>
      <c r="BG21" s="10">
        <v>5</v>
      </c>
      <c r="BH21" s="10">
        <v>49819.171840360003</v>
      </c>
      <c r="BI21" s="10">
        <v>0</v>
      </c>
      <c r="BJ21" s="10">
        <v>0</v>
      </c>
      <c r="BK21" s="10">
        <v>6</v>
      </c>
      <c r="BL21" s="10">
        <v>92015.555310779993</v>
      </c>
      <c r="BM21" s="10">
        <v>0</v>
      </c>
      <c r="BN21" s="10">
        <v>0</v>
      </c>
      <c r="BO21" s="10">
        <v>93</v>
      </c>
      <c r="BP21" s="10">
        <v>33785.938518790004</v>
      </c>
      <c r="BQ21" s="10">
        <v>0</v>
      </c>
      <c r="BR21" s="10">
        <v>0</v>
      </c>
      <c r="BS21" s="10">
        <v>35</v>
      </c>
      <c r="BT21" s="10">
        <v>13458.073693650002</v>
      </c>
      <c r="BU21" s="10">
        <v>1</v>
      </c>
      <c r="BV21" s="10">
        <v>96.162518980000002</v>
      </c>
      <c r="BW21" s="10">
        <v>6</v>
      </c>
      <c r="BX21" s="10">
        <v>2824.6634595</v>
      </c>
      <c r="BY21" s="10">
        <v>0</v>
      </c>
      <c r="BZ21" s="10">
        <v>0</v>
      </c>
      <c r="CA21" s="10">
        <v>6</v>
      </c>
      <c r="CB21" s="10">
        <v>1501.242432</v>
      </c>
      <c r="CC21" s="10">
        <v>0</v>
      </c>
      <c r="CD21" s="10">
        <v>0</v>
      </c>
      <c r="CE21" s="10">
        <v>6</v>
      </c>
      <c r="CF21" s="10">
        <v>411.27792299999999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1</v>
      </c>
      <c r="CN21" s="10">
        <v>600</v>
      </c>
      <c r="CO21" s="10">
        <v>0</v>
      </c>
      <c r="CP21" s="10">
        <v>0</v>
      </c>
      <c r="CQ21" s="10">
        <v>16</v>
      </c>
      <c r="CR21" s="10">
        <v>3436.5660380900003</v>
      </c>
      <c r="CS21" s="10">
        <v>0</v>
      </c>
      <c r="CT21" s="10">
        <v>0</v>
      </c>
      <c r="CU21" s="10">
        <v>1</v>
      </c>
      <c r="CV21" s="10">
        <v>100</v>
      </c>
      <c r="CW21" s="10">
        <v>0</v>
      </c>
      <c r="CX21" s="10">
        <v>0</v>
      </c>
      <c r="CY21" s="10">
        <v>40</v>
      </c>
      <c r="CZ21" s="10">
        <v>11320.405728940001</v>
      </c>
      <c r="DA21" s="10">
        <v>1</v>
      </c>
      <c r="DB21" s="10">
        <v>632</v>
      </c>
      <c r="DC21" s="10">
        <v>766</v>
      </c>
      <c r="DD21" s="10">
        <v>122919.20918762044</v>
      </c>
      <c r="DE21" s="10">
        <v>1</v>
      </c>
      <c r="DF21" s="10">
        <v>198.66420746</v>
      </c>
      <c r="DG21" s="10">
        <v>5000</v>
      </c>
      <c r="DH21" s="10">
        <v>84774.828230519983</v>
      </c>
      <c r="DI21" s="10">
        <v>224</v>
      </c>
      <c r="DJ21" s="10">
        <v>2978.319256589999</v>
      </c>
      <c r="DK21" s="10">
        <v>184</v>
      </c>
      <c r="DL21" s="10">
        <v>6684.1800286799971</v>
      </c>
      <c r="DM21" s="10">
        <v>1</v>
      </c>
      <c r="DN21" s="10">
        <v>47.166890219999999</v>
      </c>
      <c r="DO21" s="10">
        <v>1340</v>
      </c>
      <c r="DP21" s="10">
        <v>20074.277389529998</v>
      </c>
      <c r="DQ21" s="10">
        <v>0</v>
      </c>
      <c r="DR21" s="10">
        <v>0</v>
      </c>
      <c r="DS21" s="10">
        <v>16</v>
      </c>
      <c r="DT21" s="10">
        <v>629.52969862999998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4</v>
      </c>
      <c r="EV21" s="10">
        <v>312.07086837000003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8">
        <f t="shared" si="14"/>
        <v>0</v>
      </c>
      <c r="FX21" s="18">
        <f t="shared" si="8"/>
        <v>2.9103830456733704E-10</v>
      </c>
      <c r="FY21" s="18">
        <f t="shared" si="9"/>
        <v>0</v>
      </c>
      <c r="FZ21" s="18">
        <f t="shared" si="10"/>
        <v>0</v>
      </c>
      <c r="GA21" s="18">
        <f t="shared" si="15"/>
        <v>0</v>
      </c>
      <c r="GB21" s="18">
        <f t="shared" si="11"/>
        <v>-3.1155877877608873E-10</v>
      </c>
      <c r="GC21" s="18">
        <f t="shared" si="12"/>
        <v>0</v>
      </c>
      <c r="GD21" s="18">
        <f t="shared" si="13"/>
        <v>3.694822225952521E-13</v>
      </c>
    </row>
    <row r="22" spans="1:186" s="11" customFormat="1" ht="27" customHeight="1" x14ac:dyDescent="0.25">
      <c r="A22" s="66" t="s">
        <v>27</v>
      </c>
      <c r="B22" s="1">
        <f t="shared" si="16"/>
        <v>15</v>
      </c>
      <c r="C22" s="20" t="s">
        <v>2050</v>
      </c>
      <c r="D22" s="20" t="s">
        <v>2053</v>
      </c>
      <c r="E22" s="65">
        <v>11202</v>
      </c>
      <c r="F22" s="19" t="s">
        <v>2054</v>
      </c>
      <c r="G22" s="9">
        <v>5990</v>
      </c>
      <c r="H22" s="9">
        <v>319631.91950322001</v>
      </c>
      <c r="I22" s="9">
        <v>376</v>
      </c>
      <c r="J22" s="9">
        <v>25750.961610599999</v>
      </c>
      <c r="K22" s="9">
        <v>160</v>
      </c>
      <c r="L22" s="9">
        <v>156585.65449729</v>
      </c>
      <c r="M22" s="9">
        <v>13</v>
      </c>
      <c r="N22" s="9">
        <v>16885.398069359999</v>
      </c>
      <c r="O22" s="9">
        <v>124</v>
      </c>
      <c r="P22" s="9">
        <v>23420.052517789998</v>
      </c>
      <c r="Q22" s="9">
        <v>11</v>
      </c>
      <c r="R22" s="9">
        <v>3067.4083747399995</v>
      </c>
      <c r="S22" s="9">
        <v>5706</v>
      </c>
      <c r="T22" s="9">
        <v>139626.21248813989</v>
      </c>
      <c r="U22" s="9">
        <v>352</v>
      </c>
      <c r="V22" s="9">
        <v>5798.1551664999988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23</v>
      </c>
      <c r="AJ22" s="10">
        <v>2260.5897818799999</v>
      </c>
      <c r="AK22" s="10">
        <v>2</v>
      </c>
      <c r="AL22" s="10">
        <v>200</v>
      </c>
      <c r="AM22" s="10">
        <v>2</v>
      </c>
      <c r="AN22" s="10">
        <v>9926.1032025000004</v>
      </c>
      <c r="AO22" s="10">
        <v>0</v>
      </c>
      <c r="AP22" s="10">
        <v>0</v>
      </c>
      <c r="AQ22" s="10">
        <v>1</v>
      </c>
      <c r="AR22" s="10">
        <v>100</v>
      </c>
      <c r="AS22" s="10">
        <v>0</v>
      </c>
      <c r="AT22" s="10">
        <v>0</v>
      </c>
      <c r="AU22" s="10">
        <v>3</v>
      </c>
      <c r="AV22" s="10">
        <v>2240.2633139999998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4</v>
      </c>
      <c r="BD22" s="10">
        <v>1429.7915723899998</v>
      </c>
      <c r="BE22" s="10">
        <v>0</v>
      </c>
      <c r="BF22" s="10">
        <v>0</v>
      </c>
      <c r="BG22" s="10">
        <v>6</v>
      </c>
      <c r="BH22" s="10">
        <v>6634.45773844</v>
      </c>
      <c r="BI22" s="10">
        <v>1</v>
      </c>
      <c r="BJ22" s="10">
        <v>3412.86959024</v>
      </c>
      <c r="BK22" s="10">
        <v>21</v>
      </c>
      <c r="BL22" s="10">
        <v>55055.386657699994</v>
      </c>
      <c r="BM22" s="10">
        <v>2</v>
      </c>
      <c r="BN22" s="10">
        <v>164.880956</v>
      </c>
      <c r="BO22" s="10">
        <v>94</v>
      </c>
      <c r="BP22" s="10">
        <v>54366.824633090007</v>
      </c>
      <c r="BQ22" s="10">
        <v>7</v>
      </c>
      <c r="BR22" s="10">
        <v>9667.0790747799983</v>
      </c>
      <c r="BS22" s="10">
        <v>43</v>
      </c>
      <c r="BT22" s="10">
        <v>17648.38408077</v>
      </c>
      <c r="BU22" s="10">
        <v>8</v>
      </c>
      <c r="BV22" s="10">
        <v>4886.3747575799998</v>
      </c>
      <c r="BW22" s="10">
        <v>16</v>
      </c>
      <c r="BX22" s="10">
        <v>7335.3085167999998</v>
      </c>
      <c r="BY22" s="10">
        <v>1</v>
      </c>
      <c r="BZ22" s="10">
        <v>877.35101786999985</v>
      </c>
      <c r="CA22" s="10">
        <v>3</v>
      </c>
      <c r="CB22" s="10">
        <v>355.95148599999999</v>
      </c>
      <c r="CC22" s="10">
        <v>0</v>
      </c>
      <c r="CD22" s="10">
        <v>0</v>
      </c>
      <c r="CE22" s="10">
        <v>19</v>
      </c>
      <c r="CF22" s="10">
        <v>3082.9953377399997</v>
      </c>
      <c r="CG22" s="10">
        <v>2</v>
      </c>
      <c r="CH22" s="10">
        <v>188.90996354000004</v>
      </c>
      <c r="CI22" s="10">
        <v>1</v>
      </c>
      <c r="CJ22" s="10">
        <v>89.285715999999994</v>
      </c>
      <c r="CK22" s="10">
        <v>0</v>
      </c>
      <c r="CL22" s="10">
        <v>0</v>
      </c>
      <c r="CM22" s="10">
        <v>15</v>
      </c>
      <c r="CN22" s="10">
        <v>1776.9283439000001</v>
      </c>
      <c r="CO22" s="10">
        <v>0</v>
      </c>
      <c r="CP22" s="10">
        <v>0</v>
      </c>
      <c r="CQ22" s="10">
        <v>7</v>
      </c>
      <c r="CR22" s="10">
        <v>1608.93771726</v>
      </c>
      <c r="CS22" s="10">
        <v>0</v>
      </c>
      <c r="CT22" s="10">
        <v>0</v>
      </c>
      <c r="CU22" s="10">
        <v>4</v>
      </c>
      <c r="CV22" s="10">
        <v>771.36838634000003</v>
      </c>
      <c r="CW22" s="10">
        <v>0</v>
      </c>
      <c r="CX22" s="10">
        <v>0</v>
      </c>
      <c r="CY22" s="10">
        <v>22</v>
      </c>
      <c r="CZ22" s="10">
        <v>15323.13053027</v>
      </c>
      <c r="DA22" s="10">
        <v>1</v>
      </c>
      <c r="DB22" s="10">
        <v>555.34108408999987</v>
      </c>
      <c r="DC22" s="10">
        <v>319</v>
      </c>
      <c r="DD22" s="10">
        <v>47334.884052180001</v>
      </c>
      <c r="DE22" s="10">
        <v>1</v>
      </c>
      <c r="DF22" s="10">
        <v>91.651020510000009</v>
      </c>
      <c r="DG22" s="10">
        <v>4548</v>
      </c>
      <c r="DH22" s="10">
        <v>73086.42774258001</v>
      </c>
      <c r="DI22" s="10">
        <v>349</v>
      </c>
      <c r="DJ22" s="10">
        <v>5670.9057175799981</v>
      </c>
      <c r="DK22" s="10">
        <v>134</v>
      </c>
      <c r="DL22" s="10">
        <v>8682.1272410900001</v>
      </c>
      <c r="DM22" s="10">
        <v>1</v>
      </c>
      <c r="DN22" s="10">
        <v>24.57541471</v>
      </c>
      <c r="DO22" s="10">
        <v>696</v>
      </c>
      <c r="DP22" s="10">
        <v>10188.424670279999</v>
      </c>
      <c r="DQ22" s="10">
        <v>1</v>
      </c>
      <c r="DR22" s="10">
        <v>11.0230137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9</v>
      </c>
      <c r="EV22" s="10">
        <v>334.34878200999998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8">
        <f t="shared" si="14"/>
        <v>0</v>
      </c>
      <c r="FX22" s="18">
        <f t="shared" si="8"/>
        <v>0</v>
      </c>
      <c r="FY22" s="18">
        <f t="shared" si="9"/>
        <v>0</v>
      </c>
      <c r="FZ22" s="18">
        <f t="shared" si="10"/>
        <v>0</v>
      </c>
      <c r="GA22" s="18">
        <f t="shared" si="15"/>
        <v>0</v>
      </c>
      <c r="GB22" s="18">
        <f t="shared" si="11"/>
        <v>2.7227997634327039E-11</v>
      </c>
      <c r="GC22" s="18">
        <f t="shared" si="12"/>
        <v>0</v>
      </c>
      <c r="GD22" s="18">
        <f t="shared" si="13"/>
        <v>3.1796787425264483E-12</v>
      </c>
    </row>
    <row r="23" spans="1:186" s="11" customFormat="1" ht="27" customHeight="1" x14ac:dyDescent="0.25">
      <c r="A23" s="66" t="s">
        <v>27</v>
      </c>
      <c r="B23" s="1">
        <f t="shared" si="16"/>
        <v>16</v>
      </c>
      <c r="C23" s="20" t="s">
        <v>2050</v>
      </c>
      <c r="D23" s="20" t="s">
        <v>2057</v>
      </c>
      <c r="E23" s="65">
        <v>11203</v>
      </c>
      <c r="F23" s="19" t="s">
        <v>2041</v>
      </c>
      <c r="G23" s="9">
        <v>5823</v>
      </c>
      <c r="H23" s="9">
        <v>181716.84315937001</v>
      </c>
      <c r="I23" s="9">
        <v>328</v>
      </c>
      <c r="J23" s="9">
        <v>15119.465598819996</v>
      </c>
      <c r="K23" s="9">
        <v>122</v>
      </c>
      <c r="L23" s="9">
        <v>30131.266918860001</v>
      </c>
      <c r="M23" s="9">
        <v>11</v>
      </c>
      <c r="N23" s="9">
        <v>3042.3316948000002</v>
      </c>
      <c r="O23" s="9">
        <v>121</v>
      </c>
      <c r="P23" s="9">
        <v>20515.15420447</v>
      </c>
      <c r="Q23" s="9">
        <v>26</v>
      </c>
      <c r="R23" s="9">
        <v>6728.607565530001</v>
      </c>
      <c r="S23" s="9">
        <v>5580</v>
      </c>
      <c r="T23" s="9">
        <v>131070.42203604005</v>
      </c>
      <c r="U23" s="9">
        <v>291</v>
      </c>
      <c r="V23" s="9">
        <v>5348.526338489999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2</v>
      </c>
      <c r="AZ23" s="10">
        <v>113.33333501</v>
      </c>
      <c r="BA23" s="10">
        <v>1</v>
      </c>
      <c r="BB23" s="10">
        <v>1E-8</v>
      </c>
      <c r="BC23" s="10">
        <v>0</v>
      </c>
      <c r="BD23" s="10">
        <v>0</v>
      </c>
      <c r="BE23" s="10">
        <v>0</v>
      </c>
      <c r="BF23" s="10">
        <v>0</v>
      </c>
      <c r="BG23" s="10">
        <v>1</v>
      </c>
      <c r="BH23" s="10">
        <v>208.26285558000001</v>
      </c>
      <c r="BI23" s="10">
        <v>0</v>
      </c>
      <c r="BJ23" s="10">
        <v>0</v>
      </c>
      <c r="BK23" s="10">
        <v>4</v>
      </c>
      <c r="BL23" s="10">
        <v>469.36721134000004</v>
      </c>
      <c r="BM23" s="10">
        <v>1</v>
      </c>
      <c r="BN23" s="10">
        <v>272.42424199999999</v>
      </c>
      <c r="BO23" s="10">
        <v>70</v>
      </c>
      <c r="BP23" s="10">
        <v>13322.928579669999</v>
      </c>
      <c r="BQ23" s="10">
        <v>8</v>
      </c>
      <c r="BR23" s="10">
        <v>2126.6880391999998</v>
      </c>
      <c r="BS23" s="10">
        <v>91</v>
      </c>
      <c r="BT23" s="10">
        <v>19835.261931419998</v>
      </c>
      <c r="BU23" s="10">
        <v>20</v>
      </c>
      <c r="BV23" s="10">
        <v>5240.6125376299997</v>
      </c>
      <c r="BW23" s="10">
        <v>10</v>
      </c>
      <c r="BX23" s="10">
        <v>4784.4197057600004</v>
      </c>
      <c r="BY23" s="10">
        <v>0</v>
      </c>
      <c r="BZ23" s="10">
        <v>0</v>
      </c>
      <c r="CA23" s="10">
        <v>5</v>
      </c>
      <c r="CB23" s="10">
        <v>1492.2316872200001</v>
      </c>
      <c r="CC23" s="10">
        <v>3</v>
      </c>
      <c r="CD23" s="10">
        <v>1352.2316872200001</v>
      </c>
      <c r="CE23" s="10">
        <v>5</v>
      </c>
      <c r="CF23" s="10">
        <v>827.91619300000002</v>
      </c>
      <c r="CG23" s="10">
        <v>1</v>
      </c>
      <c r="CH23" s="10">
        <v>77.554287000000002</v>
      </c>
      <c r="CI23" s="10">
        <v>1</v>
      </c>
      <c r="CJ23" s="10">
        <v>79.989680919999998</v>
      </c>
      <c r="CK23" s="10">
        <v>0</v>
      </c>
      <c r="CL23" s="10">
        <v>0</v>
      </c>
      <c r="CM23" s="10">
        <v>1</v>
      </c>
      <c r="CN23" s="10">
        <v>187.41409188999998</v>
      </c>
      <c r="CO23" s="10">
        <v>1</v>
      </c>
      <c r="CP23" s="10">
        <v>187.41409188999998</v>
      </c>
      <c r="CQ23" s="10">
        <v>11</v>
      </c>
      <c r="CR23" s="10">
        <v>659.65819635000003</v>
      </c>
      <c r="CS23" s="10">
        <v>0</v>
      </c>
      <c r="CT23" s="10">
        <v>0</v>
      </c>
      <c r="CU23" s="10">
        <v>1</v>
      </c>
      <c r="CV23" s="10">
        <v>396.27958004999999</v>
      </c>
      <c r="CW23" s="10">
        <v>0</v>
      </c>
      <c r="CX23" s="10">
        <v>0</v>
      </c>
      <c r="CY23" s="10">
        <v>41</v>
      </c>
      <c r="CZ23" s="10">
        <v>8269.3580751200006</v>
      </c>
      <c r="DA23" s="10">
        <v>2</v>
      </c>
      <c r="DB23" s="10">
        <v>514.01437538000005</v>
      </c>
      <c r="DC23" s="10">
        <v>309</v>
      </c>
      <c r="DD23" s="10">
        <v>44244.650679649996</v>
      </c>
      <c r="DE23" s="10">
        <v>2</v>
      </c>
      <c r="DF23" s="10">
        <v>238.14210974000002</v>
      </c>
      <c r="DG23" s="10">
        <v>4036</v>
      </c>
      <c r="DH23" s="10">
        <v>65323.649681490017</v>
      </c>
      <c r="DI23" s="10">
        <v>279</v>
      </c>
      <c r="DJ23" s="10">
        <v>4969.1991497399995</v>
      </c>
      <c r="DK23" s="10">
        <v>130</v>
      </c>
      <c r="DL23" s="10">
        <v>5309.5250776099992</v>
      </c>
      <c r="DM23" s="10">
        <v>1</v>
      </c>
      <c r="DN23" s="10">
        <v>22.700513910000002</v>
      </c>
      <c r="DO23" s="10">
        <v>1088</v>
      </c>
      <c r="DP23" s="10">
        <v>15356.158713569999</v>
      </c>
      <c r="DQ23" s="10">
        <v>6</v>
      </c>
      <c r="DR23" s="10">
        <v>66</v>
      </c>
      <c r="DS23" s="10">
        <v>3</v>
      </c>
      <c r="DT23" s="10">
        <v>245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14</v>
      </c>
      <c r="EV23" s="10">
        <v>591.43788372000006</v>
      </c>
      <c r="EW23" s="10">
        <v>3</v>
      </c>
      <c r="EX23" s="10">
        <v>52.484565100000005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8">
        <f t="shared" si="14"/>
        <v>0</v>
      </c>
      <c r="FX23" s="18">
        <f t="shared" si="8"/>
        <v>0</v>
      </c>
      <c r="FY23" s="18">
        <f t="shared" si="9"/>
        <v>0</v>
      </c>
      <c r="FZ23" s="18">
        <f t="shared" si="10"/>
        <v>0</v>
      </c>
      <c r="GA23" s="18">
        <f t="shared" si="15"/>
        <v>0</v>
      </c>
      <c r="GB23" s="18">
        <f t="shared" si="11"/>
        <v>-1.2619238987099379E-11</v>
      </c>
      <c r="GC23" s="18">
        <f t="shared" si="12"/>
        <v>0</v>
      </c>
      <c r="GD23" s="18">
        <f t="shared" si="13"/>
        <v>-3.886668764607748E-12</v>
      </c>
    </row>
    <row r="24" spans="1:186" s="11" customFormat="1" ht="27" customHeight="1" x14ac:dyDescent="0.25">
      <c r="A24" s="66" t="s">
        <v>28</v>
      </c>
      <c r="B24" s="1">
        <f t="shared" si="16"/>
        <v>17</v>
      </c>
      <c r="C24" s="20" t="s">
        <v>2058</v>
      </c>
      <c r="D24" s="20" t="s">
        <v>2059</v>
      </c>
      <c r="E24" s="65" t="s">
        <v>11</v>
      </c>
      <c r="F24" s="19" t="s">
        <v>2060</v>
      </c>
      <c r="G24" s="9">
        <v>6687</v>
      </c>
      <c r="H24" s="9">
        <v>268939.13785673003</v>
      </c>
      <c r="I24" s="9">
        <v>811</v>
      </c>
      <c r="J24" s="9">
        <v>23779.578477609997</v>
      </c>
      <c r="K24" s="9">
        <v>235</v>
      </c>
      <c r="L24" s="9">
        <v>137873.52504218</v>
      </c>
      <c r="M24" s="9">
        <v>3</v>
      </c>
      <c r="N24" s="9">
        <v>9892.4262880200004</v>
      </c>
      <c r="O24" s="9">
        <v>39</v>
      </c>
      <c r="P24" s="9">
        <v>3448.1685246400002</v>
      </c>
      <c r="Q24" s="9">
        <v>1</v>
      </c>
      <c r="R24" s="9">
        <v>86.044158020000012</v>
      </c>
      <c r="S24" s="9">
        <v>6413</v>
      </c>
      <c r="T24" s="9">
        <v>127617.44428990995</v>
      </c>
      <c r="U24" s="9">
        <v>807</v>
      </c>
      <c r="V24" s="9">
        <v>13801.108031569996</v>
      </c>
      <c r="W24" s="10">
        <v>0</v>
      </c>
      <c r="X24" s="10">
        <v>0</v>
      </c>
      <c r="Y24" s="10">
        <v>0</v>
      </c>
      <c r="Z24" s="10">
        <v>0</v>
      </c>
      <c r="AA24" s="10">
        <v>108</v>
      </c>
      <c r="AB24" s="10">
        <v>13569.815857669999</v>
      </c>
      <c r="AC24" s="10">
        <v>0</v>
      </c>
      <c r="AD24" s="10">
        <v>0</v>
      </c>
      <c r="AE24" s="10">
        <v>21</v>
      </c>
      <c r="AF24" s="10">
        <v>7744.8376688599992</v>
      </c>
      <c r="AG24" s="10">
        <v>1</v>
      </c>
      <c r="AH24" s="10">
        <v>113.098</v>
      </c>
      <c r="AI24" s="10">
        <v>7</v>
      </c>
      <c r="AJ24" s="10">
        <v>700</v>
      </c>
      <c r="AK24" s="10">
        <v>0</v>
      </c>
      <c r="AL24" s="10">
        <v>0</v>
      </c>
      <c r="AM24" s="10">
        <v>2</v>
      </c>
      <c r="AN24" s="10">
        <v>20001.599361299999</v>
      </c>
      <c r="AO24" s="10">
        <v>1</v>
      </c>
      <c r="AP24" s="10">
        <v>4286.9538698000006</v>
      </c>
      <c r="AQ24" s="10">
        <v>0</v>
      </c>
      <c r="AR24" s="10">
        <v>0</v>
      </c>
      <c r="AS24" s="10">
        <v>0</v>
      </c>
      <c r="AT24" s="10">
        <v>0</v>
      </c>
      <c r="AU24" s="10">
        <v>6</v>
      </c>
      <c r="AV24" s="10">
        <v>218.57518115000002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7</v>
      </c>
      <c r="BL24" s="10">
        <v>699.99789365999993</v>
      </c>
      <c r="BM24" s="10">
        <v>0</v>
      </c>
      <c r="BN24" s="10">
        <v>0</v>
      </c>
      <c r="BO24" s="10">
        <v>1</v>
      </c>
      <c r="BP24" s="10">
        <v>86.044158020000012</v>
      </c>
      <c r="BQ24" s="10">
        <v>1</v>
      </c>
      <c r="BR24" s="10">
        <v>86.044158020000012</v>
      </c>
      <c r="BS24" s="10">
        <v>45</v>
      </c>
      <c r="BT24" s="10">
        <v>3929.6252304900004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1</v>
      </c>
      <c r="CF24" s="10">
        <v>5492.3744182199998</v>
      </c>
      <c r="CG24" s="10">
        <v>1</v>
      </c>
      <c r="CH24" s="10">
        <v>5492.3744182199998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13</v>
      </c>
      <c r="CR24" s="10">
        <v>1990.209779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63</v>
      </c>
      <c r="CZ24" s="10">
        <v>86888.614018449996</v>
      </c>
      <c r="DA24" s="10">
        <v>0</v>
      </c>
      <c r="DB24" s="10">
        <v>0</v>
      </c>
      <c r="DC24" s="10">
        <v>93</v>
      </c>
      <c r="DD24" s="10">
        <v>20722.572798060002</v>
      </c>
      <c r="DE24" s="10">
        <v>3</v>
      </c>
      <c r="DF24" s="10">
        <v>940.04919799000004</v>
      </c>
      <c r="DG24" s="10">
        <v>3124</v>
      </c>
      <c r="DH24" s="10">
        <v>62821.279290210063</v>
      </c>
      <c r="DI24" s="10">
        <v>242</v>
      </c>
      <c r="DJ24" s="10">
        <v>3654.6046491099996</v>
      </c>
      <c r="DK24" s="10">
        <v>6</v>
      </c>
      <c r="DL24" s="10">
        <v>459.96406890999998</v>
      </c>
      <c r="DM24" s="10">
        <v>0</v>
      </c>
      <c r="DN24" s="10">
        <v>0</v>
      </c>
      <c r="DO24" s="10">
        <v>359</v>
      </c>
      <c r="DP24" s="10">
        <v>4211.2654775300007</v>
      </c>
      <c r="DQ24" s="10">
        <v>1</v>
      </c>
      <c r="DR24" s="10">
        <v>12</v>
      </c>
      <c r="DS24" s="10">
        <v>0</v>
      </c>
      <c r="DT24" s="10">
        <v>0</v>
      </c>
      <c r="DU24" s="10">
        <v>0</v>
      </c>
      <c r="DV24" s="10">
        <v>0</v>
      </c>
      <c r="DW24" s="10">
        <v>77</v>
      </c>
      <c r="DX24" s="10">
        <v>1809.6236889799998</v>
      </c>
      <c r="DY24" s="10">
        <v>9</v>
      </c>
      <c r="DZ24" s="10">
        <v>262.46059729000001</v>
      </c>
      <c r="EA24" s="10">
        <v>354</v>
      </c>
      <c r="EB24" s="10">
        <v>4522.9459017499994</v>
      </c>
      <c r="EC24" s="10">
        <v>155</v>
      </c>
      <c r="ED24" s="10">
        <v>2515.5780317299996</v>
      </c>
      <c r="EE24" s="10">
        <v>752</v>
      </c>
      <c r="EF24" s="10">
        <v>17578.330603899998</v>
      </c>
      <c r="EG24" s="10">
        <v>87</v>
      </c>
      <c r="EH24" s="10">
        <v>2097.3034339000001</v>
      </c>
      <c r="EI24" s="10">
        <v>42</v>
      </c>
      <c r="EJ24" s="10">
        <v>1265.8888870799999</v>
      </c>
      <c r="EK24" s="10">
        <v>3</v>
      </c>
      <c r="EL24" s="10">
        <v>99</v>
      </c>
      <c r="EM24" s="10">
        <v>38</v>
      </c>
      <c r="EN24" s="10">
        <v>902.66844228000014</v>
      </c>
      <c r="EO24" s="10">
        <v>5</v>
      </c>
      <c r="EP24" s="10">
        <v>95.91369490999999</v>
      </c>
      <c r="EQ24" s="10">
        <v>67</v>
      </c>
      <c r="ER24" s="10">
        <v>584.20520570000008</v>
      </c>
      <c r="ES24" s="10">
        <v>22</v>
      </c>
      <c r="ET24" s="10">
        <v>325.15858362</v>
      </c>
      <c r="EU24" s="10">
        <v>1205</v>
      </c>
      <c r="EV24" s="10">
        <v>9391.9099045499988</v>
      </c>
      <c r="EW24" s="10">
        <v>151</v>
      </c>
      <c r="EX24" s="10">
        <v>1997.0212385999998</v>
      </c>
      <c r="EY24" s="10">
        <v>108</v>
      </c>
      <c r="EZ24" s="10">
        <v>970.83268419999979</v>
      </c>
      <c r="FA24" s="10">
        <v>54</v>
      </c>
      <c r="FB24" s="10">
        <v>765.57282644999987</v>
      </c>
      <c r="FC24" s="10">
        <v>10</v>
      </c>
      <c r="FD24" s="10">
        <v>145.22660276999997</v>
      </c>
      <c r="FE24" s="10">
        <v>5</v>
      </c>
      <c r="FF24" s="10">
        <v>113.52600961</v>
      </c>
      <c r="FG24" s="10">
        <v>15</v>
      </c>
      <c r="FH24" s="10">
        <v>137.92360293999999</v>
      </c>
      <c r="FI24" s="10">
        <v>2</v>
      </c>
      <c r="FJ24" s="10">
        <v>24.672426059999999</v>
      </c>
      <c r="FK24" s="10">
        <v>44</v>
      </c>
      <c r="FL24" s="10">
        <v>358.36891924999992</v>
      </c>
      <c r="FM24" s="10">
        <v>35</v>
      </c>
      <c r="FN24" s="10">
        <v>331.82852617999998</v>
      </c>
      <c r="FO24" s="10">
        <v>10</v>
      </c>
      <c r="FP24" s="10">
        <v>129.33124841</v>
      </c>
      <c r="FQ24" s="10">
        <v>3</v>
      </c>
      <c r="FR24" s="10">
        <v>39.20050621</v>
      </c>
      <c r="FS24" s="10">
        <v>109</v>
      </c>
      <c r="FT24" s="10">
        <v>1605.1069633899999</v>
      </c>
      <c r="FU24" s="10">
        <v>30</v>
      </c>
      <c r="FV24" s="10">
        <v>527.21830991000002</v>
      </c>
      <c r="FW24" s="18">
        <f t="shared" si="14"/>
        <v>0</v>
      </c>
      <c r="FX24" s="18">
        <f t="shared" si="8"/>
        <v>0</v>
      </c>
      <c r="FY24" s="18">
        <f t="shared" si="9"/>
        <v>0</v>
      </c>
      <c r="FZ24" s="18">
        <f t="shared" si="10"/>
        <v>0</v>
      </c>
      <c r="GA24" s="18">
        <f t="shared" si="15"/>
        <v>0</v>
      </c>
      <c r="GB24" s="18">
        <f t="shared" si="11"/>
        <v>-3.7971403799019754E-11</v>
      </c>
      <c r="GC24" s="18">
        <f t="shared" si="12"/>
        <v>0</v>
      </c>
      <c r="GD24" s="18">
        <f t="shared" si="13"/>
        <v>-1.1368683772161603E-12</v>
      </c>
    </row>
    <row r="25" spans="1:186" s="11" customFormat="1" ht="27" customHeight="1" x14ac:dyDescent="0.25">
      <c r="A25" s="66" t="s">
        <v>28</v>
      </c>
      <c r="B25" s="1">
        <f t="shared" si="16"/>
        <v>18</v>
      </c>
      <c r="C25" s="20" t="s">
        <v>2058</v>
      </c>
      <c r="D25" s="20" t="s">
        <v>2061</v>
      </c>
      <c r="E25" s="65" t="s">
        <v>21</v>
      </c>
      <c r="F25" s="19" t="s">
        <v>2062</v>
      </c>
      <c r="G25" s="9">
        <v>4415</v>
      </c>
      <c r="H25" s="9">
        <v>709524.65428023995</v>
      </c>
      <c r="I25" s="9">
        <v>187</v>
      </c>
      <c r="J25" s="9">
        <v>467282.87425629998</v>
      </c>
      <c r="K25" s="9">
        <v>447</v>
      </c>
      <c r="L25" s="9">
        <v>645660.21891952003</v>
      </c>
      <c r="M25" s="9">
        <v>38</v>
      </c>
      <c r="N25" s="9">
        <v>465211.55400617997</v>
      </c>
      <c r="O25" s="9">
        <v>62</v>
      </c>
      <c r="P25" s="9">
        <v>6083.8040805299997</v>
      </c>
      <c r="Q25" s="9">
        <v>0</v>
      </c>
      <c r="R25" s="9">
        <v>0</v>
      </c>
      <c r="S25" s="9">
        <v>3906</v>
      </c>
      <c r="T25" s="9">
        <v>57780.631280189991</v>
      </c>
      <c r="U25" s="9">
        <v>149</v>
      </c>
      <c r="V25" s="9">
        <v>2071.3202501200008</v>
      </c>
      <c r="W25" s="10">
        <v>90</v>
      </c>
      <c r="X25" s="10">
        <v>460976.98675943998</v>
      </c>
      <c r="Y25" s="10">
        <v>9</v>
      </c>
      <c r="Z25" s="10">
        <v>443881.18309025001</v>
      </c>
      <c r="AA25" s="10">
        <v>121</v>
      </c>
      <c r="AB25" s="10">
        <v>42077.89847611</v>
      </c>
      <c r="AC25" s="10">
        <v>0</v>
      </c>
      <c r="AD25" s="10">
        <v>0</v>
      </c>
      <c r="AE25" s="10">
        <v>85</v>
      </c>
      <c r="AF25" s="10">
        <v>43348.619513100006</v>
      </c>
      <c r="AG25" s="10">
        <v>13</v>
      </c>
      <c r="AH25" s="10">
        <v>15942.548739810001</v>
      </c>
      <c r="AI25" s="10">
        <v>38</v>
      </c>
      <c r="AJ25" s="10">
        <v>3739.43936446</v>
      </c>
      <c r="AK25" s="10">
        <v>1</v>
      </c>
      <c r="AL25" s="10">
        <v>100</v>
      </c>
      <c r="AM25" s="10">
        <v>3</v>
      </c>
      <c r="AN25" s="10">
        <v>590.20728065000003</v>
      </c>
      <c r="AO25" s="10">
        <v>0</v>
      </c>
      <c r="AP25" s="10">
        <v>0</v>
      </c>
      <c r="AQ25" s="10">
        <v>3</v>
      </c>
      <c r="AR25" s="10">
        <v>1089.94983551</v>
      </c>
      <c r="AS25" s="10">
        <v>0</v>
      </c>
      <c r="AT25" s="10">
        <v>0</v>
      </c>
      <c r="AU25" s="10">
        <v>3</v>
      </c>
      <c r="AV25" s="10">
        <v>171.89699999999999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3</v>
      </c>
      <c r="BD25" s="10">
        <v>249.51622843000001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5</v>
      </c>
      <c r="BL25" s="10">
        <v>500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37</v>
      </c>
      <c r="BT25" s="10">
        <v>5767.8106897199996</v>
      </c>
      <c r="BU25" s="10">
        <v>2</v>
      </c>
      <c r="BV25" s="10">
        <v>106.26769679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1</v>
      </c>
      <c r="CR25" s="10">
        <v>771.94299999999998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120</v>
      </c>
      <c r="CZ25" s="10">
        <v>92459.754852630009</v>
      </c>
      <c r="DA25" s="10">
        <v>13</v>
      </c>
      <c r="DB25" s="10">
        <v>5181.5544793299996</v>
      </c>
      <c r="DC25" s="10">
        <v>56</v>
      </c>
      <c r="DD25" s="10">
        <v>10163.685379269999</v>
      </c>
      <c r="DE25" s="10">
        <v>1</v>
      </c>
      <c r="DF25" s="10">
        <v>97.972270600000016</v>
      </c>
      <c r="DG25" s="10">
        <v>1991</v>
      </c>
      <c r="DH25" s="10">
        <v>29312.533590940006</v>
      </c>
      <c r="DI25" s="10">
        <v>31</v>
      </c>
      <c r="DJ25" s="10">
        <v>298.78599380000003</v>
      </c>
      <c r="DK25" s="10">
        <v>5</v>
      </c>
      <c r="DL25" s="10">
        <v>168.76765745</v>
      </c>
      <c r="DM25" s="10">
        <v>0</v>
      </c>
      <c r="DN25" s="10">
        <v>0</v>
      </c>
      <c r="DO25" s="10">
        <v>652</v>
      </c>
      <c r="DP25" s="10">
        <v>7573.6033762400029</v>
      </c>
      <c r="DQ25" s="10">
        <v>1</v>
      </c>
      <c r="DR25" s="10">
        <v>8.89</v>
      </c>
      <c r="DS25" s="10">
        <v>0</v>
      </c>
      <c r="DT25" s="10">
        <v>0</v>
      </c>
      <c r="DU25" s="10">
        <v>0</v>
      </c>
      <c r="DV25" s="10">
        <v>0</v>
      </c>
      <c r="DW25" s="10">
        <v>172</v>
      </c>
      <c r="DX25" s="10">
        <v>2325.7402838700004</v>
      </c>
      <c r="DY25" s="10">
        <v>2</v>
      </c>
      <c r="DZ25" s="10">
        <v>94.757110830000002</v>
      </c>
      <c r="EA25" s="10">
        <v>88</v>
      </c>
      <c r="EB25" s="10">
        <v>839.62469699000007</v>
      </c>
      <c r="EC25" s="10">
        <v>31</v>
      </c>
      <c r="ED25" s="10">
        <v>389.63091925999993</v>
      </c>
      <c r="EE25" s="10">
        <v>308</v>
      </c>
      <c r="EF25" s="10">
        <v>2846.33335966</v>
      </c>
      <c r="EG25" s="10">
        <v>39</v>
      </c>
      <c r="EH25" s="10">
        <v>685.88134058000003</v>
      </c>
      <c r="EI25" s="10">
        <v>0</v>
      </c>
      <c r="EJ25" s="10">
        <v>0</v>
      </c>
      <c r="EK25" s="10">
        <v>0</v>
      </c>
      <c r="EL25" s="10">
        <v>0</v>
      </c>
      <c r="EM25" s="10">
        <v>37</v>
      </c>
      <c r="EN25" s="10">
        <v>741.58237819999988</v>
      </c>
      <c r="EO25" s="10">
        <v>9</v>
      </c>
      <c r="EP25" s="10">
        <v>100.89315447999999</v>
      </c>
      <c r="EQ25" s="10">
        <v>47</v>
      </c>
      <c r="ER25" s="10">
        <v>219.35084769999995</v>
      </c>
      <c r="ES25" s="10">
        <v>6</v>
      </c>
      <c r="ET25" s="10">
        <v>79.918807009999995</v>
      </c>
      <c r="EU25" s="10">
        <v>438</v>
      </c>
      <c r="EV25" s="10">
        <v>3041.3022583099996</v>
      </c>
      <c r="EW25" s="10">
        <v>8</v>
      </c>
      <c r="EX25" s="10">
        <v>82.188234199999997</v>
      </c>
      <c r="EY25" s="10">
        <v>62</v>
      </c>
      <c r="EZ25" s="10">
        <v>209.27492244000001</v>
      </c>
      <c r="FA25" s="10">
        <v>5</v>
      </c>
      <c r="FB25" s="10">
        <v>44.2263989</v>
      </c>
      <c r="FC25" s="10">
        <v>1</v>
      </c>
      <c r="FD25" s="10">
        <v>5.5</v>
      </c>
      <c r="FE25" s="10">
        <v>0</v>
      </c>
      <c r="FF25" s="10">
        <v>0</v>
      </c>
      <c r="FG25" s="10">
        <v>7</v>
      </c>
      <c r="FH25" s="10">
        <v>65.538626059999999</v>
      </c>
      <c r="FI25" s="10">
        <v>1</v>
      </c>
      <c r="FJ25" s="10">
        <v>29.7</v>
      </c>
      <c r="FK25" s="10">
        <v>1</v>
      </c>
      <c r="FL25" s="10">
        <v>10.088012669999999</v>
      </c>
      <c r="FM25" s="10">
        <v>0</v>
      </c>
      <c r="FN25" s="10">
        <v>0</v>
      </c>
      <c r="FO25" s="10">
        <v>1</v>
      </c>
      <c r="FP25" s="10">
        <v>10.833333269999999</v>
      </c>
      <c r="FQ25" s="10">
        <v>0</v>
      </c>
      <c r="FR25" s="10">
        <v>0</v>
      </c>
      <c r="FS25" s="10">
        <v>40</v>
      </c>
      <c r="FT25" s="10">
        <v>246.87255712000001</v>
      </c>
      <c r="FU25" s="10">
        <v>15</v>
      </c>
      <c r="FV25" s="10">
        <v>158.47602046</v>
      </c>
      <c r="FW25" s="18">
        <f t="shared" si="14"/>
        <v>0</v>
      </c>
      <c r="FX25" s="18">
        <f t="shared" si="8"/>
        <v>-7.2759576141834259E-11</v>
      </c>
      <c r="FY25" s="18">
        <f t="shared" si="9"/>
        <v>0</v>
      </c>
      <c r="FZ25" s="18">
        <f t="shared" si="10"/>
        <v>1.3187673175707459E-11</v>
      </c>
      <c r="GA25" s="18">
        <f t="shared" si="15"/>
        <v>0</v>
      </c>
      <c r="GB25" s="18">
        <f t="shared" si="11"/>
        <v>-8.9784180090646259E-11</v>
      </c>
      <c r="GC25" s="18">
        <f t="shared" si="12"/>
        <v>0</v>
      </c>
      <c r="GD25" s="18">
        <f t="shared" si="13"/>
        <v>-2.5266899683629163E-11</v>
      </c>
    </row>
    <row r="26" spans="1:186" s="11" customFormat="1" ht="27" customHeight="1" x14ac:dyDescent="0.25">
      <c r="A26" s="66" t="s">
        <v>28</v>
      </c>
      <c r="B26" s="1">
        <f t="shared" si="16"/>
        <v>19</v>
      </c>
      <c r="C26" s="20" t="s">
        <v>2058</v>
      </c>
      <c r="D26" s="20" t="s">
        <v>2063</v>
      </c>
      <c r="E26" s="65" t="s">
        <v>14</v>
      </c>
      <c r="F26" s="19" t="s">
        <v>2064</v>
      </c>
      <c r="G26" s="9">
        <v>6852</v>
      </c>
      <c r="H26" s="9">
        <v>233729.72841591021</v>
      </c>
      <c r="I26" s="9">
        <v>159</v>
      </c>
      <c r="J26" s="9">
        <v>7146.4920657899993</v>
      </c>
      <c r="K26" s="9">
        <v>747</v>
      </c>
      <c r="L26" s="9">
        <v>136980.81571888004</v>
      </c>
      <c r="M26" s="9">
        <v>8</v>
      </c>
      <c r="N26" s="9">
        <v>4593.3812674700002</v>
      </c>
      <c r="O26" s="9">
        <v>42</v>
      </c>
      <c r="P26" s="9">
        <v>3202.7615802800001</v>
      </c>
      <c r="Q26" s="9">
        <v>0</v>
      </c>
      <c r="R26" s="9">
        <v>0</v>
      </c>
      <c r="S26" s="9">
        <v>6063</v>
      </c>
      <c r="T26" s="9">
        <v>93546.151116750072</v>
      </c>
      <c r="U26" s="9">
        <v>151</v>
      </c>
      <c r="V26" s="9">
        <v>2553.110798319999</v>
      </c>
      <c r="W26" s="10">
        <v>205</v>
      </c>
      <c r="X26" s="10">
        <v>38015.409725290003</v>
      </c>
      <c r="Y26" s="10">
        <v>0</v>
      </c>
      <c r="Z26" s="10">
        <v>0</v>
      </c>
      <c r="AA26" s="10">
        <v>278</v>
      </c>
      <c r="AB26" s="10">
        <v>28078.112988979999</v>
      </c>
      <c r="AC26" s="10">
        <v>0</v>
      </c>
      <c r="AD26" s="10">
        <v>0</v>
      </c>
      <c r="AE26" s="10">
        <v>85</v>
      </c>
      <c r="AF26" s="10">
        <v>30572.082339729994</v>
      </c>
      <c r="AG26" s="10">
        <v>3</v>
      </c>
      <c r="AH26" s="10">
        <v>1727.9992472000001</v>
      </c>
      <c r="AI26" s="10">
        <v>4</v>
      </c>
      <c r="AJ26" s="10">
        <v>383.33</v>
      </c>
      <c r="AK26" s="10">
        <v>0</v>
      </c>
      <c r="AL26" s="10">
        <v>0</v>
      </c>
      <c r="AM26" s="10">
        <v>1</v>
      </c>
      <c r="AN26" s="10">
        <v>100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16</v>
      </c>
      <c r="AV26" s="10">
        <v>1034.474772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7</v>
      </c>
      <c r="BL26" s="10">
        <v>673.40387585000008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44</v>
      </c>
      <c r="BT26" s="10">
        <v>4489.7155521300001</v>
      </c>
      <c r="BU26" s="10">
        <v>1</v>
      </c>
      <c r="BV26" s="10">
        <v>65.633292449999999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13</v>
      </c>
      <c r="CR26" s="10">
        <v>2792.0656287799998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136</v>
      </c>
      <c r="CZ26" s="10">
        <v>34044.982416399995</v>
      </c>
      <c r="DA26" s="10">
        <v>4</v>
      </c>
      <c r="DB26" s="10">
        <v>2799.7487278200001</v>
      </c>
      <c r="DC26" s="10">
        <v>31</v>
      </c>
      <c r="DD26" s="10">
        <v>4795.6103741699999</v>
      </c>
      <c r="DE26" s="10">
        <v>0</v>
      </c>
      <c r="DF26" s="10">
        <v>0</v>
      </c>
      <c r="DG26" s="10">
        <v>2707</v>
      </c>
      <c r="DH26" s="10">
        <v>39546.929663860035</v>
      </c>
      <c r="DI26" s="10">
        <v>25</v>
      </c>
      <c r="DJ26" s="10">
        <v>235.97121562000001</v>
      </c>
      <c r="DK26" s="10">
        <v>11</v>
      </c>
      <c r="DL26" s="10">
        <v>837.84467028000006</v>
      </c>
      <c r="DM26" s="10">
        <v>0</v>
      </c>
      <c r="DN26" s="10">
        <v>0</v>
      </c>
      <c r="DO26" s="10">
        <v>754</v>
      </c>
      <c r="DP26" s="10">
        <v>7888.9926868899993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224</v>
      </c>
      <c r="DX26" s="10">
        <v>4591.5752415899988</v>
      </c>
      <c r="DY26" s="10">
        <v>1</v>
      </c>
      <c r="DZ26" s="10">
        <v>34.794376619999994</v>
      </c>
      <c r="EA26" s="10">
        <v>232</v>
      </c>
      <c r="EB26" s="10">
        <v>2567.4524144299999</v>
      </c>
      <c r="EC26" s="10">
        <v>42</v>
      </c>
      <c r="ED26" s="10">
        <v>664.58618299</v>
      </c>
      <c r="EE26" s="10">
        <v>711</v>
      </c>
      <c r="EF26" s="10">
        <v>15555.906188849998</v>
      </c>
      <c r="EG26" s="10">
        <v>22</v>
      </c>
      <c r="EH26" s="10">
        <v>509.50710934000006</v>
      </c>
      <c r="EI26" s="10">
        <v>569</v>
      </c>
      <c r="EJ26" s="10">
        <v>10579.080933409999</v>
      </c>
      <c r="EK26" s="10">
        <v>0</v>
      </c>
      <c r="EL26" s="10">
        <v>0</v>
      </c>
      <c r="EM26" s="10">
        <v>82</v>
      </c>
      <c r="EN26" s="10">
        <v>1695.9278932899999</v>
      </c>
      <c r="EO26" s="10">
        <v>1</v>
      </c>
      <c r="EP26" s="10">
        <v>5.4581209699999995</v>
      </c>
      <c r="EQ26" s="10">
        <v>4</v>
      </c>
      <c r="ER26" s="10">
        <v>23.716726210000001</v>
      </c>
      <c r="ES26" s="10">
        <v>0</v>
      </c>
      <c r="ET26" s="10">
        <v>0</v>
      </c>
      <c r="EU26" s="10">
        <v>384</v>
      </c>
      <c r="EV26" s="10">
        <v>2695.5148338399999</v>
      </c>
      <c r="EW26" s="10">
        <v>16</v>
      </c>
      <c r="EX26" s="10">
        <v>286.37769704000004</v>
      </c>
      <c r="EY26" s="10">
        <v>96</v>
      </c>
      <c r="EZ26" s="10">
        <v>777.99717701999998</v>
      </c>
      <c r="FA26" s="10">
        <v>13</v>
      </c>
      <c r="FB26" s="10">
        <v>270.68023926000001</v>
      </c>
      <c r="FC26" s="10">
        <v>26</v>
      </c>
      <c r="FD26" s="10">
        <v>218.12180361999998</v>
      </c>
      <c r="FE26" s="10">
        <v>9</v>
      </c>
      <c r="FF26" s="10">
        <v>131.64817926999999</v>
      </c>
      <c r="FG26" s="10">
        <v>35</v>
      </c>
      <c r="FH26" s="10">
        <v>267.82690971</v>
      </c>
      <c r="FI26" s="10">
        <v>1</v>
      </c>
      <c r="FJ26" s="10">
        <v>12.237239220000001</v>
      </c>
      <c r="FK26" s="10">
        <v>16</v>
      </c>
      <c r="FL26" s="10">
        <v>100.77453767</v>
      </c>
      <c r="FM26" s="10">
        <v>0</v>
      </c>
      <c r="FN26" s="10">
        <v>0</v>
      </c>
      <c r="FO26" s="10">
        <v>2</v>
      </c>
      <c r="FP26" s="10">
        <v>25.844105840000001</v>
      </c>
      <c r="FQ26" s="10">
        <v>1</v>
      </c>
      <c r="FR26" s="10">
        <v>17.299105839999999</v>
      </c>
      <c r="FS26" s="10">
        <v>179</v>
      </c>
      <c r="FT26" s="10">
        <v>1377.0349560699992</v>
      </c>
      <c r="FU26" s="10">
        <v>20</v>
      </c>
      <c r="FV26" s="10">
        <v>384.55133214999995</v>
      </c>
      <c r="FW26" s="18">
        <f t="shared" si="14"/>
        <v>0</v>
      </c>
      <c r="FX26" s="18">
        <f t="shared" si="8"/>
        <v>0</v>
      </c>
      <c r="FY26" s="18">
        <f t="shared" si="9"/>
        <v>0</v>
      </c>
      <c r="FZ26" s="18">
        <f t="shared" si="10"/>
        <v>0</v>
      </c>
      <c r="GA26" s="18">
        <f t="shared" si="15"/>
        <v>0</v>
      </c>
      <c r="GB26" s="18">
        <f t="shared" si="11"/>
        <v>2.2168933355715126E-10</v>
      </c>
      <c r="GC26" s="18">
        <f t="shared" si="12"/>
        <v>0</v>
      </c>
      <c r="GD26" s="18">
        <f t="shared" si="13"/>
        <v>-1.4779288903810084E-12</v>
      </c>
    </row>
    <row r="27" spans="1:186" s="11" customFormat="1" ht="27" customHeight="1" x14ac:dyDescent="0.25">
      <c r="A27" s="66" t="s">
        <v>28</v>
      </c>
      <c r="B27" s="1">
        <f t="shared" si="16"/>
        <v>20</v>
      </c>
      <c r="C27" s="20" t="s">
        <v>2058</v>
      </c>
      <c r="D27" s="20" t="s">
        <v>2065</v>
      </c>
      <c r="E27" s="65" t="s">
        <v>22</v>
      </c>
      <c r="F27" s="19" t="s">
        <v>2066</v>
      </c>
      <c r="G27" s="9">
        <v>10085</v>
      </c>
      <c r="H27" s="9">
        <v>426576.2158954101</v>
      </c>
      <c r="I27" s="9">
        <v>486</v>
      </c>
      <c r="J27" s="9">
        <v>10379.82516056</v>
      </c>
      <c r="K27" s="9">
        <v>833</v>
      </c>
      <c r="L27" s="9">
        <v>285187.26338630979</v>
      </c>
      <c r="M27" s="9">
        <v>17</v>
      </c>
      <c r="N27" s="9">
        <v>4317.96755063</v>
      </c>
      <c r="O27" s="9">
        <v>46</v>
      </c>
      <c r="P27" s="9">
        <v>3427.9725666700001</v>
      </c>
      <c r="Q27" s="9">
        <v>0</v>
      </c>
      <c r="R27" s="9">
        <v>0</v>
      </c>
      <c r="S27" s="9">
        <v>9206</v>
      </c>
      <c r="T27" s="9">
        <v>137960.97994242969</v>
      </c>
      <c r="U27" s="9">
        <v>469</v>
      </c>
      <c r="V27" s="9">
        <v>6061.8576099299999</v>
      </c>
      <c r="W27" s="10">
        <v>169</v>
      </c>
      <c r="X27" s="10">
        <v>124173.02581475</v>
      </c>
      <c r="Y27" s="10">
        <v>0</v>
      </c>
      <c r="Z27" s="10">
        <v>0</v>
      </c>
      <c r="AA27" s="10">
        <v>193</v>
      </c>
      <c r="AB27" s="10">
        <v>30465.068368479999</v>
      </c>
      <c r="AC27" s="10">
        <v>0</v>
      </c>
      <c r="AD27" s="10">
        <v>0</v>
      </c>
      <c r="AE27" s="10">
        <v>97</v>
      </c>
      <c r="AF27" s="10">
        <v>33637.083823100002</v>
      </c>
      <c r="AG27" s="10">
        <v>3</v>
      </c>
      <c r="AH27" s="10">
        <v>1266.8504340900001</v>
      </c>
      <c r="AI27" s="10">
        <v>4</v>
      </c>
      <c r="AJ27" s="10">
        <v>303.27182147000002</v>
      </c>
      <c r="AK27" s="10">
        <v>0</v>
      </c>
      <c r="AL27" s="10">
        <v>0</v>
      </c>
      <c r="AM27" s="10">
        <v>2</v>
      </c>
      <c r="AN27" s="10">
        <v>830.32024887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23</v>
      </c>
      <c r="AV27" s="10">
        <v>1178.7519011500001</v>
      </c>
      <c r="AW27" s="10">
        <v>0</v>
      </c>
      <c r="AX27" s="10">
        <v>0</v>
      </c>
      <c r="AY27" s="10">
        <v>1</v>
      </c>
      <c r="AZ27" s="10">
        <v>209.27083338</v>
      </c>
      <c r="BA27" s="10">
        <v>0</v>
      </c>
      <c r="BB27" s="10">
        <v>0</v>
      </c>
      <c r="BC27" s="10">
        <v>2</v>
      </c>
      <c r="BD27" s="10">
        <v>221.01751390000001</v>
      </c>
      <c r="BE27" s="10">
        <v>1</v>
      </c>
      <c r="BF27" s="10">
        <v>127.68418056</v>
      </c>
      <c r="BG27" s="10">
        <v>0</v>
      </c>
      <c r="BH27" s="10">
        <v>0</v>
      </c>
      <c r="BI27" s="10">
        <v>0</v>
      </c>
      <c r="BJ27" s="10">
        <v>0</v>
      </c>
      <c r="BK27" s="10">
        <v>1</v>
      </c>
      <c r="BL27" s="10">
        <v>4.00161313</v>
      </c>
      <c r="BM27" s="10">
        <v>0</v>
      </c>
      <c r="BN27" s="10">
        <v>0</v>
      </c>
      <c r="BO27" s="10">
        <v>1</v>
      </c>
      <c r="BP27" s="10">
        <v>33.333333400000001</v>
      </c>
      <c r="BQ27" s="10">
        <v>0</v>
      </c>
      <c r="BR27" s="10">
        <v>0</v>
      </c>
      <c r="BS27" s="10">
        <v>50</v>
      </c>
      <c r="BT27" s="10">
        <v>4830.2848801299988</v>
      </c>
      <c r="BU27" s="10">
        <v>2</v>
      </c>
      <c r="BV27" s="10">
        <v>49.490237969999995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336</v>
      </c>
      <c r="CZ27" s="10">
        <v>92729.805801220005</v>
      </c>
      <c r="DA27" s="10">
        <v>11</v>
      </c>
      <c r="DB27" s="10">
        <v>2873.9426980100002</v>
      </c>
      <c r="DC27" s="10">
        <v>78</v>
      </c>
      <c r="DD27" s="10">
        <v>14106.469310689999</v>
      </c>
      <c r="DE27" s="10">
        <v>2</v>
      </c>
      <c r="DF27" s="10">
        <v>473.36556921000005</v>
      </c>
      <c r="DG27" s="10">
        <v>3459</v>
      </c>
      <c r="DH27" s="10">
        <v>50996.21337779006</v>
      </c>
      <c r="DI27" s="10">
        <v>126</v>
      </c>
      <c r="DJ27" s="10">
        <v>721.15505299999995</v>
      </c>
      <c r="DK27" s="10">
        <v>20</v>
      </c>
      <c r="DL27" s="10">
        <v>958.39262164000002</v>
      </c>
      <c r="DM27" s="10">
        <v>0</v>
      </c>
      <c r="DN27" s="10">
        <v>0</v>
      </c>
      <c r="DO27" s="10">
        <v>1891</v>
      </c>
      <c r="DP27" s="10">
        <v>20029.624391459998</v>
      </c>
      <c r="DQ27" s="10">
        <v>3</v>
      </c>
      <c r="DR27" s="10">
        <v>13.619153719999998</v>
      </c>
      <c r="DS27" s="10">
        <v>0</v>
      </c>
      <c r="DT27" s="10">
        <v>0</v>
      </c>
      <c r="DU27" s="10">
        <v>0</v>
      </c>
      <c r="DV27" s="10">
        <v>0</v>
      </c>
      <c r="DW27" s="10">
        <v>874</v>
      </c>
      <c r="DX27" s="10">
        <v>7583.0868764599982</v>
      </c>
      <c r="DY27" s="10">
        <v>42</v>
      </c>
      <c r="DZ27" s="10">
        <v>519.44779578999999</v>
      </c>
      <c r="EA27" s="10">
        <v>247</v>
      </c>
      <c r="EB27" s="10">
        <v>2533.5120749699995</v>
      </c>
      <c r="EC27" s="10">
        <v>98</v>
      </c>
      <c r="ED27" s="10">
        <v>1132.4927894300006</v>
      </c>
      <c r="EE27" s="10">
        <v>915</v>
      </c>
      <c r="EF27" s="10">
        <v>18199.271289510009</v>
      </c>
      <c r="EG27" s="10">
        <v>77</v>
      </c>
      <c r="EH27" s="10">
        <v>1651.0364033599997</v>
      </c>
      <c r="EI27" s="10">
        <v>32</v>
      </c>
      <c r="EJ27" s="10">
        <v>482.86740524999999</v>
      </c>
      <c r="EK27" s="10">
        <v>0</v>
      </c>
      <c r="EL27" s="10">
        <v>0</v>
      </c>
      <c r="EM27" s="10">
        <v>495</v>
      </c>
      <c r="EN27" s="10">
        <v>14944.057270600002</v>
      </c>
      <c r="EO27" s="10">
        <v>5</v>
      </c>
      <c r="EP27" s="10">
        <v>141.05309822000001</v>
      </c>
      <c r="EQ27" s="10">
        <v>15</v>
      </c>
      <c r="ER27" s="10">
        <v>121.70074275</v>
      </c>
      <c r="ES27" s="10">
        <v>2</v>
      </c>
      <c r="ET27" s="10">
        <v>29.437489100000001</v>
      </c>
      <c r="EU27" s="10">
        <v>940</v>
      </c>
      <c r="EV27" s="10">
        <v>6277.2271663799975</v>
      </c>
      <c r="EW27" s="10">
        <v>48</v>
      </c>
      <c r="EX27" s="10">
        <v>524.11159213000008</v>
      </c>
      <c r="EY27" s="10">
        <v>111</v>
      </c>
      <c r="EZ27" s="10">
        <v>709.45631239000011</v>
      </c>
      <c r="FA27" s="10">
        <v>26</v>
      </c>
      <c r="FB27" s="10">
        <v>334.53814584999998</v>
      </c>
      <c r="FC27" s="10">
        <v>13</v>
      </c>
      <c r="FD27" s="10">
        <v>99.771568970000004</v>
      </c>
      <c r="FE27" s="10">
        <v>3</v>
      </c>
      <c r="FF27" s="10">
        <v>23.971877759999998</v>
      </c>
      <c r="FG27" s="10">
        <v>53</v>
      </c>
      <c r="FH27" s="10">
        <v>432.27970202</v>
      </c>
      <c r="FI27" s="10">
        <v>18</v>
      </c>
      <c r="FJ27" s="10">
        <v>234.81115181000001</v>
      </c>
      <c r="FK27" s="10">
        <v>8</v>
      </c>
      <c r="FL27" s="10">
        <v>33.591999780000002</v>
      </c>
      <c r="FM27" s="10">
        <v>1</v>
      </c>
      <c r="FN27" s="10">
        <v>8.9331692</v>
      </c>
      <c r="FO27" s="10">
        <v>7</v>
      </c>
      <c r="FP27" s="10">
        <v>76.450836819999992</v>
      </c>
      <c r="FQ27" s="10">
        <v>5</v>
      </c>
      <c r="FR27" s="10">
        <v>65.44955453</v>
      </c>
      <c r="FS27" s="10">
        <v>48</v>
      </c>
      <c r="FT27" s="10">
        <v>377.00699494999986</v>
      </c>
      <c r="FU27" s="10">
        <v>13</v>
      </c>
      <c r="FV27" s="10">
        <v>188.43476681999999</v>
      </c>
      <c r="FW27" s="18">
        <f t="shared" si="14"/>
        <v>0</v>
      </c>
      <c r="FX27" s="18">
        <f t="shared" si="8"/>
        <v>6.1118043959140778E-10</v>
      </c>
      <c r="FY27" s="18">
        <f t="shared" si="9"/>
        <v>0</v>
      </c>
      <c r="FZ27" s="18">
        <f t="shared" si="10"/>
        <v>0</v>
      </c>
      <c r="GA27" s="18">
        <f t="shared" si="15"/>
        <v>0</v>
      </c>
      <c r="GB27" s="18">
        <f t="shared" si="11"/>
        <v>1.9213075574953109E-11</v>
      </c>
      <c r="GC27" s="18">
        <f t="shared" si="12"/>
        <v>0</v>
      </c>
      <c r="GD27" s="18">
        <f t="shared" si="13"/>
        <v>-3.979039320256561E-13</v>
      </c>
    </row>
    <row r="28" spans="1:186" s="11" customFormat="1" ht="27" customHeight="1" x14ac:dyDescent="0.25">
      <c r="A28" s="66" t="s">
        <v>28</v>
      </c>
      <c r="B28" s="1">
        <f t="shared" si="16"/>
        <v>21</v>
      </c>
      <c r="C28" s="20" t="s">
        <v>2058</v>
      </c>
      <c r="D28" s="20" t="s">
        <v>2067</v>
      </c>
      <c r="E28" s="65" t="s">
        <v>15</v>
      </c>
      <c r="F28" s="19" t="s">
        <v>2068</v>
      </c>
      <c r="G28" s="9">
        <v>4737</v>
      </c>
      <c r="H28" s="9">
        <v>349993.17702217994</v>
      </c>
      <c r="I28" s="9">
        <v>143</v>
      </c>
      <c r="J28" s="9">
        <v>3642.1679428400003</v>
      </c>
      <c r="K28" s="9">
        <v>452</v>
      </c>
      <c r="L28" s="9">
        <v>261741.96156047998</v>
      </c>
      <c r="M28" s="9">
        <v>8</v>
      </c>
      <c r="N28" s="9">
        <v>1734.8544136500002</v>
      </c>
      <c r="O28" s="9">
        <v>95</v>
      </c>
      <c r="P28" s="9">
        <v>8883.600020240001</v>
      </c>
      <c r="Q28" s="9">
        <v>0</v>
      </c>
      <c r="R28" s="9">
        <v>0</v>
      </c>
      <c r="S28" s="9">
        <v>4190</v>
      </c>
      <c r="T28" s="9">
        <v>79367.615441459988</v>
      </c>
      <c r="U28" s="9">
        <v>135</v>
      </c>
      <c r="V28" s="9">
        <v>1907.3135291900003</v>
      </c>
      <c r="W28" s="10">
        <v>151</v>
      </c>
      <c r="X28" s="10">
        <v>180939.96050197998</v>
      </c>
      <c r="Y28" s="10">
        <v>0</v>
      </c>
      <c r="Z28" s="10">
        <v>0</v>
      </c>
      <c r="AA28" s="10">
        <v>112</v>
      </c>
      <c r="AB28" s="10">
        <v>15274.86318016</v>
      </c>
      <c r="AC28" s="10">
        <v>0</v>
      </c>
      <c r="AD28" s="10">
        <v>0</v>
      </c>
      <c r="AE28" s="10">
        <v>73</v>
      </c>
      <c r="AF28" s="10">
        <v>35337.894418949996</v>
      </c>
      <c r="AG28" s="10">
        <v>5</v>
      </c>
      <c r="AH28" s="10">
        <v>1507.3603251700001</v>
      </c>
      <c r="AI28" s="10">
        <v>49</v>
      </c>
      <c r="AJ28" s="10">
        <v>4726.1140387999994</v>
      </c>
      <c r="AK28" s="10">
        <v>0</v>
      </c>
      <c r="AL28" s="10">
        <v>0</v>
      </c>
      <c r="AM28" s="10">
        <v>6</v>
      </c>
      <c r="AN28" s="10">
        <v>599.70742414999995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5</v>
      </c>
      <c r="AV28" s="10">
        <v>275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2</v>
      </c>
      <c r="BD28" s="10">
        <v>198.16634930000001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4</v>
      </c>
      <c r="BL28" s="10">
        <v>359.60152798000001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38</v>
      </c>
      <c r="BT28" s="10">
        <v>4908.4410165099989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107</v>
      </c>
      <c r="CZ28" s="10">
        <v>28005.813122890002</v>
      </c>
      <c r="DA28" s="10">
        <v>3</v>
      </c>
      <c r="DB28" s="10">
        <v>227.49408848000002</v>
      </c>
      <c r="DC28" s="10">
        <v>54</v>
      </c>
      <c r="DD28" s="10">
        <v>8669.5691484300005</v>
      </c>
      <c r="DE28" s="10">
        <v>0</v>
      </c>
      <c r="DF28" s="10">
        <v>0</v>
      </c>
      <c r="DG28" s="10">
        <v>2198</v>
      </c>
      <c r="DH28" s="10">
        <v>46308.283192560004</v>
      </c>
      <c r="DI28" s="10">
        <v>41</v>
      </c>
      <c r="DJ28" s="10">
        <v>326.03848066</v>
      </c>
      <c r="DK28" s="10">
        <v>7</v>
      </c>
      <c r="DL28" s="10">
        <v>690.05056405999994</v>
      </c>
      <c r="DM28" s="10">
        <v>0</v>
      </c>
      <c r="DN28" s="10">
        <v>0</v>
      </c>
      <c r="DO28" s="10">
        <v>734</v>
      </c>
      <c r="DP28" s="10">
        <v>8330.1646847600005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205</v>
      </c>
      <c r="DX28" s="10">
        <v>3460.6944638000014</v>
      </c>
      <c r="DY28" s="10">
        <v>14</v>
      </c>
      <c r="DZ28" s="10">
        <v>493.78945723999999</v>
      </c>
      <c r="EA28" s="10">
        <v>77</v>
      </c>
      <c r="EB28" s="10">
        <v>957.75591907</v>
      </c>
      <c r="EC28" s="10">
        <v>14</v>
      </c>
      <c r="ED28" s="10">
        <v>191.74393849000001</v>
      </c>
      <c r="EE28" s="10">
        <v>316</v>
      </c>
      <c r="EF28" s="10">
        <v>4803.6756934799996</v>
      </c>
      <c r="EG28" s="10">
        <v>13</v>
      </c>
      <c r="EH28" s="10">
        <v>313.69131980000003</v>
      </c>
      <c r="EI28" s="10">
        <v>3</v>
      </c>
      <c r="EJ28" s="10">
        <v>90.475680890000007</v>
      </c>
      <c r="EK28" s="10">
        <v>0</v>
      </c>
      <c r="EL28" s="10">
        <v>0</v>
      </c>
      <c r="EM28" s="10">
        <v>70</v>
      </c>
      <c r="EN28" s="10">
        <v>1826.0235428799997</v>
      </c>
      <c r="EO28" s="10">
        <v>2</v>
      </c>
      <c r="EP28" s="10">
        <v>8.7766479999999998</v>
      </c>
      <c r="EQ28" s="10">
        <v>4</v>
      </c>
      <c r="ER28" s="10">
        <v>39.874414340000001</v>
      </c>
      <c r="ES28" s="10">
        <v>1</v>
      </c>
      <c r="ET28" s="10">
        <v>4.1572023500000004</v>
      </c>
      <c r="EU28" s="10">
        <v>442</v>
      </c>
      <c r="EV28" s="10">
        <v>3549.2122132999989</v>
      </c>
      <c r="EW28" s="10">
        <v>27</v>
      </c>
      <c r="EX28" s="10">
        <v>339.17150434000001</v>
      </c>
      <c r="EY28" s="10">
        <v>23</v>
      </c>
      <c r="EZ28" s="10">
        <v>153.26998067000002</v>
      </c>
      <c r="FA28" s="10">
        <v>7</v>
      </c>
      <c r="FB28" s="10">
        <v>67.820907779999999</v>
      </c>
      <c r="FC28" s="10">
        <v>1</v>
      </c>
      <c r="FD28" s="10">
        <v>7.5312579099999999</v>
      </c>
      <c r="FE28" s="10">
        <v>0</v>
      </c>
      <c r="FF28" s="10">
        <v>0</v>
      </c>
      <c r="FG28" s="10">
        <v>2</v>
      </c>
      <c r="FH28" s="10">
        <v>13.050000070000001</v>
      </c>
      <c r="FI28" s="10">
        <v>0</v>
      </c>
      <c r="FJ28" s="10">
        <v>0</v>
      </c>
      <c r="FK28" s="10">
        <v>6</v>
      </c>
      <c r="FL28" s="10">
        <v>37.387438029999998</v>
      </c>
      <c r="FM28" s="10">
        <v>4</v>
      </c>
      <c r="FN28" s="10">
        <v>32.279878510000003</v>
      </c>
      <c r="FO28" s="10">
        <v>3</v>
      </c>
      <c r="FP28" s="10">
        <v>18.537463070000001</v>
      </c>
      <c r="FQ28" s="10">
        <v>2</v>
      </c>
      <c r="FR28" s="10">
        <v>9.2332962899999984</v>
      </c>
      <c r="FS28" s="10">
        <v>45</v>
      </c>
      <c r="FT28" s="10">
        <v>412.05978413999998</v>
      </c>
      <c r="FU28" s="10">
        <v>10</v>
      </c>
      <c r="FV28" s="10">
        <v>120.61089573000001</v>
      </c>
      <c r="FW28" s="18">
        <f t="shared" si="14"/>
        <v>0</v>
      </c>
      <c r="FX28" s="18">
        <f t="shared" si="8"/>
        <v>0</v>
      </c>
      <c r="FY28" s="18">
        <f t="shared" si="9"/>
        <v>0</v>
      </c>
      <c r="FZ28" s="18">
        <f t="shared" si="10"/>
        <v>0</v>
      </c>
      <c r="GA28" s="18">
        <f t="shared" si="15"/>
        <v>0</v>
      </c>
      <c r="GB28" s="18">
        <f t="shared" si="11"/>
        <v>-3.205968823749572E-11</v>
      </c>
      <c r="GC28" s="18">
        <f t="shared" si="12"/>
        <v>0</v>
      </c>
      <c r="GD28" s="18">
        <f t="shared" si="13"/>
        <v>-1.7053025658242404E-13</v>
      </c>
    </row>
    <row r="29" spans="1:186" s="11" customFormat="1" ht="27" customHeight="1" x14ac:dyDescent="0.25">
      <c r="A29" s="66" t="s">
        <v>28</v>
      </c>
      <c r="B29" s="1">
        <f t="shared" si="16"/>
        <v>22</v>
      </c>
      <c r="C29" s="20" t="s">
        <v>2058</v>
      </c>
      <c r="D29" s="20" t="s">
        <v>2069</v>
      </c>
      <c r="E29" s="65" t="s">
        <v>23</v>
      </c>
      <c r="F29" s="19" t="s">
        <v>2070</v>
      </c>
      <c r="G29" s="9">
        <v>5074</v>
      </c>
      <c r="H29" s="9">
        <v>1121668.4587969801</v>
      </c>
      <c r="I29" s="9">
        <v>86</v>
      </c>
      <c r="J29" s="9">
        <v>1130.4237744599995</v>
      </c>
      <c r="K29" s="9">
        <v>89</v>
      </c>
      <c r="L29" s="9">
        <v>1043905.2778656799</v>
      </c>
      <c r="M29" s="9">
        <v>1</v>
      </c>
      <c r="N29" s="9">
        <v>5.9323112300000007</v>
      </c>
      <c r="O29" s="9">
        <v>70</v>
      </c>
      <c r="P29" s="9">
        <v>5873.0496026199999</v>
      </c>
      <c r="Q29" s="9">
        <v>0</v>
      </c>
      <c r="R29" s="9">
        <v>0</v>
      </c>
      <c r="S29" s="9">
        <v>4915</v>
      </c>
      <c r="T29" s="9">
        <v>71890.131328680043</v>
      </c>
      <c r="U29" s="9">
        <v>85</v>
      </c>
      <c r="V29" s="9">
        <v>1124.4914632299995</v>
      </c>
      <c r="W29" s="10">
        <v>4</v>
      </c>
      <c r="X29" s="10">
        <v>193566.40537382002</v>
      </c>
      <c r="Y29" s="10">
        <v>0</v>
      </c>
      <c r="Z29" s="10">
        <v>0</v>
      </c>
      <c r="AA29" s="10">
        <v>1</v>
      </c>
      <c r="AB29" s="10">
        <v>24816.31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22</v>
      </c>
      <c r="AJ29" s="10">
        <v>2190.4244717500001</v>
      </c>
      <c r="AK29" s="10">
        <v>0</v>
      </c>
      <c r="AL29" s="10">
        <v>0</v>
      </c>
      <c r="AM29" s="10">
        <v>2</v>
      </c>
      <c r="AN29" s="10">
        <v>200</v>
      </c>
      <c r="AO29" s="10">
        <v>0</v>
      </c>
      <c r="AP29" s="10">
        <v>0</v>
      </c>
      <c r="AQ29" s="10">
        <v>1</v>
      </c>
      <c r="AR29" s="10">
        <v>5.9323112300000007</v>
      </c>
      <c r="AS29" s="10">
        <v>1</v>
      </c>
      <c r="AT29" s="10">
        <v>5.9323112300000007</v>
      </c>
      <c r="AU29" s="10">
        <v>1</v>
      </c>
      <c r="AV29" s="10">
        <v>1000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2</v>
      </c>
      <c r="BD29" s="10">
        <v>106.20846057999999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10</v>
      </c>
      <c r="BL29" s="10">
        <v>912.79286948000004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53</v>
      </c>
      <c r="BT29" s="10">
        <v>7213.0358828099997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1</v>
      </c>
      <c r="CF29" s="10">
        <v>100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2</v>
      </c>
      <c r="CR29" s="10">
        <v>2.5973007699999999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60</v>
      </c>
      <c r="CZ29" s="10">
        <v>819664.62079785997</v>
      </c>
      <c r="DA29" s="10">
        <v>0</v>
      </c>
      <c r="DB29" s="10">
        <v>0</v>
      </c>
      <c r="DC29" s="10">
        <v>53</v>
      </c>
      <c r="DD29" s="10">
        <v>8860.1123382900005</v>
      </c>
      <c r="DE29" s="10">
        <v>0</v>
      </c>
      <c r="DF29" s="10">
        <v>0</v>
      </c>
      <c r="DG29" s="10">
        <v>3065</v>
      </c>
      <c r="DH29" s="10">
        <v>43666.159224449999</v>
      </c>
      <c r="DI29" s="10">
        <v>22</v>
      </c>
      <c r="DJ29" s="10">
        <v>185.47559768000002</v>
      </c>
      <c r="DK29" s="10">
        <v>14</v>
      </c>
      <c r="DL29" s="10">
        <v>791.67205769000009</v>
      </c>
      <c r="DM29" s="10">
        <v>0</v>
      </c>
      <c r="DN29" s="10">
        <v>0</v>
      </c>
      <c r="DO29" s="10">
        <v>288</v>
      </c>
      <c r="DP29" s="10">
        <v>3228.0654735500002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215</v>
      </c>
      <c r="DX29" s="10">
        <v>3576.9422019299996</v>
      </c>
      <c r="DY29" s="10">
        <v>1</v>
      </c>
      <c r="DZ29" s="10">
        <v>38.758432920000004</v>
      </c>
      <c r="EA29" s="10">
        <v>50</v>
      </c>
      <c r="EB29" s="10">
        <v>401.53437322999997</v>
      </c>
      <c r="EC29" s="10">
        <v>8</v>
      </c>
      <c r="ED29" s="10">
        <v>84.844903799999997</v>
      </c>
      <c r="EE29" s="10">
        <v>322</v>
      </c>
      <c r="EF29" s="10">
        <v>2708.3363216899993</v>
      </c>
      <c r="EG29" s="10">
        <v>23</v>
      </c>
      <c r="EH29" s="10">
        <v>419.84522214000003</v>
      </c>
      <c r="EI29" s="10">
        <v>3</v>
      </c>
      <c r="EJ29" s="10">
        <v>68.585985090000008</v>
      </c>
      <c r="EK29" s="10">
        <v>0</v>
      </c>
      <c r="EL29" s="10">
        <v>0</v>
      </c>
      <c r="EM29" s="10">
        <v>182</v>
      </c>
      <c r="EN29" s="10">
        <v>3711.2347574300002</v>
      </c>
      <c r="EO29" s="10">
        <v>0</v>
      </c>
      <c r="EP29" s="10">
        <v>0</v>
      </c>
      <c r="EQ29" s="10">
        <v>7</v>
      </c>
      <c r="ER29" s="10">
        <v>13.98406855</v>
      </c>
      <c r="ES29" s="10">
        <v>0</v>
      </c>
      <c r="ET29" s="10">
        <v>0</v>
      </c>
      <c r="EU29" s="10">
        <v>478</v>
      </c>
      <c r="EV29" s="10">
        <v>3258.5492954799997</v>
      </c>
      <c r="EW29" s="10">
        <v>6</v>
      </c>
      <c r="EX29" s="10">
        <v>44.186875839999999</v>
      </c>
      <c r="EY29" s="10">
        <v>103</v>
      </c>
      <c r="EZ29" s="10">
        <v>553.10033218000012</v>
      </c>
      <c r="FA29" s="10">
        <v>3</v>
      </c>
      <c r="FB29" s="10">
        <v>49.195106799999998</v>
      </c>
      <c r="FC29" s="10">
        <v>1</v>
      </c>
      <c r="FD29" s="10">
        <v>4.9979897599999994</v>
      </c>
      <c r="FE29" s="10">
        <v>1</v>
      </c>
      <c r="FF29" s="10">
        <v>4.9979897599999994</v>
      </c>
      <c r="FG29" s="10">
        <v>10</v>
      </c>
      <c r="FH29" s="10">
        <v>52.097534859999996</v>
      </c>
      <c r="FI29" s="10">
        <v>0</v>
      </c>
      <c r="FJ29" s="10">
        <v>0</v>
      </c>
      <c r="FK29" s="10">
        <v>1</v>
      </c>
      <c r="FL29" s="10">
        <v>17</v>
      </c>
      <c r="FM29" s="10">
        <v>0</v>
      </c>
      <c r="FN29" s="10">
        <v>0</v>
      </c>
      <c r="FO29" s="10">
        <v>21</v>
      </c>
      <c r="FP29" s="10">
        <v>230.14663203999999</v>
      </c>
      <c r="FQ29" s="10">
        <v>12</v>
      </c>
      <c r="FR29" s="10">
        <v>182.43459965000002</v>
      </c>
      <c r="FS29" s="10">
        <v>102</v>
      </c>
      <c r="FT29" s="10">
        <v>747.61274245999994</v>
      </c>
      <c r="FU29" s="10">
        <v>9</v>
      </c>
      <c r="FV29" s="10">
        <v>114.75273464</v>
      </c>
      <c r="FW29" s="18">
        <f t="shared" si="14"/>
        <v>0</v>
      </c>
      <c r="FX29" s="18">
        <f t="shared" si="8"/>
        <v>1.1641532182693481E-10</v>
      </c>
      <c r="FY29" s="18">
        <f t="shared" si="9"/>
        <v>0</v>
      </c>
      <c r="FZ29" s="18">
        <f t="shared" si="10"/>
        <v>0</v>
      </c>
      <c r="GA29" s="18">
        <f t="shared" si="15"/>
        <v>0</v>
      </c>
      <c r="GB29" s="18">
        <f t="shared" si="11"/>
        <v>9.0722096501849592E-11</v>
      </c>
      <c r="GC29" s="18">
        <f t="shared" si="12"/>
        <v>0</v>
      </c>
      <c r="GD29" s="18">
        <f t="shared" si="13"/>
        <v>-5.6843418860808015E-13</v>
      </c>
    </row>
    <row r="30" spans="1:186" s="11" customFormat="1" ht="27" customHeight="1" x14ac:dyDescent="0.25">
      <c r="A30" s="66" t="s">
        <v>28</v>
      </c>
      <c r="B30" s="1">
        <f t="shared" si="16"/>
        <v>23</v>
      </c>
      <c r="C30" s="20" t="s">
        <v>2058</v>
      </c>
      <c r="D30" s="20" t="s">
        <v>2071</v>
      </c>
      <c r="E30" s="65" t="s">
        <v>16</v>
      </c>
      <c r="F30" s="19" t="s">
        <v>2035</v>
      </c>
      <c r="G30" s="9">
        <v>7407</v>
      </c>
      <c r="H30" s="9">
        <v>3505662.7165435702</v>
      </c>
      <c r="I30" s="9">
        <v>782</v>
      </c>
      <c r="J30" s="9">
        <v>43132.393528429995</v>
      </c>
      <c r="K30" s="9">
        <v>575</v>
      </c>
      <c r="L30" s="9">
        <v>3358356.7283379203</v>
      </c>
      <c r="M30" s="9">
        <v>26</v>
      </c>
      <c r="N30" s="9">
        <v>28780.01237018</v>
      </c>
      <c r="O30" s="9">
        <v>46</v>
      </c>
      <c r="P30" s="9">
        <v>4169.8705502000003</v>
      </c>
      <c r="Q30" s="9">
        <v>2</v>
      </c>
      <c r="R30" s="9">
        <v>254.74984506000001</v>
      </c>
      <c r="S30" s="9">
        <v>6786</v>
      </c>
      <c r="T30" s="9">
        <v>143136.11765545007</v>
      </c>
      <c r="U30" s="9">
        <v>754</v>
      </c>
      <c r="V30" s="9">
        <v>14097.631313189995</v>
      </c>
      <c r="W30" s="10">
        <v>133</v>
      </c>
      <c r="X30" s="10">
        <v>975950.39587070991</v>
      </c>
      <c r="Y30" s="10">
        <v>1</v>
      </c>
      <c r="Z30" s="10">
        <v>404</v>
      </c>
      <c r="AA30" s="10">
        <v>164</v>
      </c>
      <c r="AB30" s="10">
        <v>33264.191447789999</v>
      </c>
      <c r="AC30" s="10">
        <v>0</v>
      </c>
      <c r="AD30" s="10">
        <v>0</v>
      </c>
      <c r="AE30" s="10">
        <v>60</v>
      </c>
      <c r="AF30" s="10">
        <v>980809.28571527998</v>
      </c>
      <c r="AG30" s="10">
        <v>6</v>
      </c>
      <c r="AH30" s="10">
        <v>2367.2347058599998</v>
      </c>
      <c r="AI30" s="10">
        <v>8</v>
      </c>
      <c r="AJ30" s="10">
        <v>830.21718170000008</v>
      </c>
      <c r="AK30" s="10">
        <v>2</v>
      </c>
      <c r="AL30" s="10">
        <v>254.74984506000001</v>
      </c>
      <c r="AM30" s="10">
        <v>4</v>
      </c>
      <c r="AN30" s="10">
        <v>4764.7451306400008</v>
      </c>
      <c r="AO30" s="10">
        <v>1</v>
      </c>
      <c r="AP30" s="10">
        <v>47.28462287</v>
      </c>
      <c r="AQ30" s="10">
        <v>0</v>
      </c>
      <c r="AR30" s="10">
        <v>0</v>
      </c>
      <c r="AS30" s="10">
        <v>0</v>
      </c>
      <c r="AT30" s="10">
        <v>0</v>
      </c>
      <c r="AU30" s="10">
        <v>11</v>
      </c>
      <c r="AV30" s="10">
        <v>6909.2216874799997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1</v>
      </c>
      <c r="BD30" s="10">
        <v>100</v>
      </c>
      <c r="BE30" s="10">
        <v>0</v>
      </c>
      <c r="BF30" s="10">
        <v>0</v>
      </c>
      <c r="BG30" s="10">
        <v>1</v>
      </c>
      <c r="BH30" s="10">
        <v>964999.88678962004</v>
      </c>
      <c r="BI30" s="10">
        <v>0</v>
      </c>
      <c r="BJ30" s="10">
        <v>0</v>
      </c>
      <c r="BK30" s="10">
        <v>9</v>
      </c>
      <c r="BL30" s="10">
        <v>806.63744300999997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55</v>
      </c>
      <c r="BT30" s="10">
        <v>11402.937086420001</v>
      </c>
      <c r="BU30" s="10">
        <v>5</v>
      </c>
      <c r="BV30" s="10">
        <v>444.20948302999994</v>
      </c>
      <c r="BW30" s="10">
        <v>1</v>
      </c>
      <c r="BX30" s="10">
        <v>219.50317345999997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1</v>
      </c>
      <c r="CJ30" s="10">
        <v>119022.36132258001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19</v>
      </c>
      <c r="CR30" s="10">
        <v>5168.7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154</v>
      </c>
      <c r="CZ30" s="10">
        <v>258278.51603943002</v>
      </c>
      <c r="DA30" s="10">
        <v>13</v>
      </c>
      <c r="DB30" s="10">
        <v>25517.283558419997</v>
      </c>
      <c r="DC30" s="10">
        <v>104</v>
      </c>
      <c r="DD30" s="10">
        <v>29346.737715160001</v>
      </c>
      <c r="DE30" s="10">
        <v>0</v>
      </c>
      <c r="DF30" s="10">
        <v>0</v>
      </c>
      <c r="DG30" s="10">
        <v>3264</v>
      </c>
      <c r="DH30" s="10">
        <v>67972.782570509968</v>
      </c>
      <c r="DI30" s="10">
        <v>177</v>
      </c>
      <c r="DJ30" s="10">
        <v>3192.5621802600012</v>
      </c>
      <c r="DK30" s="10">
        <v>10</v>
      </c>
      <c r="DL30" s="10">
        <v>1460.5832610999998</v>
      </c>
      <c r="DM30" s="10">
        <v>1</v>
      </c>
      <c r="DN30" s="10">
        <v>373.74461000000002</v>
      </c>
      <c r="DO30" s="10">
        <v>358</v>
      </c>
      <c r="DP30" s="10">
        <v>4218.4149976100007</v>
      </c>
      <c r="DQ30" s="10">
        <v>1</v>
      </c>
      <c r="DR30" s="10">
        <v>4.6742972800000002</v>
      </c>
      <c r="DS30" s="10">
        <v>0</v>
      </c>
      <c r="DT30" s="10">
        <v>0</v>
      </c>
      <c r="DU30" s="10">
        <v>0</v>
      </c>
      <c r="DV30" s="10">
        <v>0</v>
      </c>
      <c r="DW30" s="10">
        <v>169</v>
      </c>
      <c r="DX30" s="10">
        <v>4109.0517507600007</v>
      </c>
      <c r="DY30" s="10">
        <v>12</v>
      </c>
      <c r="DZ30" s="10">
        <v>440.35655306000007</v>
      </c>
      <c r="EA30" s="10">
        <v>485</v>
      </c>
      <c r="EB30" s="10">
        <v>6426.203060709996</v>
      </c>
      <c r="EC30" s="10">
        <v>221</v>
      </c>
      <c r="ED30" s="10">
        <v>4030.1710702600021</v>
      </c>
      <c r="EE30" s="10">
        <v>632</v>
      </c>
      <c r="EF30" s="10">
        <v>8184.2573562800026</v>
      </c>
      <c r="EG30" s="10">
        <v>131</v>
      </c>
      <c r="EH30" s="10">
        <v>2858.3264693900005</v>
      </c>
      <c r="EI30" s="10">
        <v>6</v>
      </c>
      <c r="EJ30" s="10">
        <v>129.61813563999999</v>
      </c>
      <c r="EK30" s="10">
        <v>0</v>
      </c>
      <c r="EL30" s="10">
        <v>0</v>
      </c>
      <c r="EM30" s="10">
        <v>467</v>
      </c>
      <c r="EN30" s="10">
        <v>10954.706961009999</v>
      </c>
      <c r="EO30" s="10">
        <v>13</v>
      </c>
      <c r="EP30" s="10">
        <v>368.73345681000001</v>
      </c>
      <c r="EQ30" s="10">
        <v>18</v>
      </c>
      <c r="ER30" s="10">
        <v>260.01396577000003</v>
      </c>
      <c r="ES30" s="10">
        <v>9</v>
      </c>
      <c r="ET30" s="10">
        <v>216.86943958999998</v>
      </c>
      <c r="EU30" s="10">
        <v>914</v>
      </c>
      <c r="EV30" s="10">
        <v>7440.5024914800006</v>
      </c>
      <c r="EW30" s="10">
        <v>71</v>
      </c>
      <c r="EX30" s="10">
        <v>822.17858786999977</v>
      </c>
      <c r="EY30" s="10">
        <v>196</v>
      </c>
      <c r="EZ30" s="10">
        <v>719.23723675999997</v>
      </c>
      <c r="FA30" s="10">
        <v>25</v>
      </c>
      <c r="FB30" s="10">
        <v>228.27826303999998</v>
      </c>
      <c r="FC30" s="10">
        <v>46</v>
      </c>
      <c r="FD30" s="10">
        <v>766.17961668000009</v>
      </c>
      <c r="FE30" s="10">
        <v>33</v>
      </c>
      <c r="FF30" s="10">
        <v>659.89292730999989</v>
      </c>
      <c r="FG30" s="10">
        <v>5</v>
      </c>
      <c r="FH30" s="10">
        <v>78.783601269999991</v>
      </c>
      <c r="FI30" s="10">
        <v>3</v>
      </c>
      <c r="FJ30" s="10">
        <v>57.849045659999994</v>
      </c>
      <c r="FK30" s="10">
        <v>1</v>
      </c>
      <c r="FL30" s="10">
        <v>3.1879156200000001</v>
      </c>
      <c r="FM30" s="10">
        <v>1</v>
      </c>
      <c r="FN30" s="10">
        <v>3.1879156200000001</v>
      </c>
      <c r="FO30" s="10">
        <v>3</v>
      </c>
      <c r="FP30" s="10">
        <v>66.575842859999995</v>
      </c>
      <c r="FQ30" s="10">
        <v>3</v>
      </c>
      <c r="FR30" s="10">
        <v>66.575842859999995</v>
      </c>
      <c r="FS30" s="10">
        <v>108</v>
      </c>
      <c r="FT30" s="10">
        <v>999.2811762299998</v>
      </c>
      <c r="FU30" s="10">
        <v>53</v>
      </c>
      <c r="FV30" s="10">
        <v>774.23065417999999</v>
      </c>
      <c r="FW30" s="18">
        <f t="shared" si="14"/>
        <v>0</v>
      </c>
      <c r="FX30" s="18">
        <f t="shared" si="8"/>
        <v>0</v>
      </c>
      <c r="FY30" s="18">
        <f t="shared" si="9"/>
        <v>0</v>
      </c>
      <c r="FZ30" s="18">
        <f t="shared" si="10"/>
        <v>0</v>
      </c>
      <c r="GA30" s="18">
        <f t="shared" si="15"/>
        <v>0</v>
      </c>
      <c r="GB30" s="18">
        <f t="shared" si="11"/>
        <v>2.382876118645072E-10</v>
      </c>
      <c r="GC30" s="18">
        <f t="shared" si="12"/>
        <v>0</v>
      </c>
      <c r="GD30" s="18">
        <f t="shared" si="13"/>
        <v>-6.1390892369672656E-12</v>
      </c>
    </row>
    <row r="31" spans="1:186" s="11" customFormat="1" ht="27" customHeight="1" x14ac:dyDescent="0.25">
      <c r="A31" s="66" t="s">
        <v>28</v>
      </c>
      <c r="B31" s="1">
        <f t="shared" si="16"/>
        <v>24</v>
      </c>
      <c r="C31" s="20" t="s">
        <v>2058</v>
      </c>
      <c r="D31" s="20" t="s">
        <v>2072</v>
      </c>
      <c r="E31" s="65" t="s">
        <v>12</v>
      </c>
      <c r="F31" s="19" t="s">
        <v>2073</v>
      </c>
      <c r="G31" s="9">
        <v>5848</v>
      </c>
      <c r="H31" s="9">
        <v>182580.73983154001</v>
      </c>
      <c r="I31" s="9">
        <v>598</v>
      </c>
      <c r="J31" s="9">
        <v>19558.184871350004</v>
      </c>
      <c r="K31" s="9">
        <v>274</v>
      </c>
      <c r="L31" s="9">
        <v>78015.511117209971</v>
      </c>
      <c r="M31" s="9">
        <v>18</v>
      </c>
      <c r="N31" s="9">
        <v>10352.587885139999</v>
      </c>
      <c r="O31" s="9">
        <v>117</v>
      </c>
      <c r="P31" s="9">
        <v>10254.752947430001</v>
      </c>
      <c r="Q31" s="9">
        <v>2</v>
      </c>
      <c r="R31" s="9">
        <v>196.43351562999999</v>
      </c>
      <c r="S31" s="9">
        <v>5457</v>
      </c>
      <c r="T31" s="9">
        <v>94310.475766899996</v>
      </c>
      <c r="U31" s="9">
        <v>578</v>
      </c>
      <c r="V31" s="9">
        <v>9009.1634705800025</v>
      </c>
      <c r="W31" s="10">
        <v>41</v>
      </c>
      <c r="X31" s="10">
        <v>11033.014930219999</v>
      </c>
      <c r="Y31" s="10">
        <v>1</v>
      </c>
      <c r="Z31" s="10">
        <v>4647.5314702400001</v>
      </c>
      <c r="AA31" s="10">
        <v>80</v>
      </c>
      <c r="AB31" s="10">
        <v>13570.57677184</v>
      </c>
      <c r="AC31" s="10">
        <v>0</v>
      </c>
      <c r="AD31" s="10">
        <v>0</v>
      </c>
      <c r="AE31" s="10">
        <v>34</v>
      </c>
      <c r="AF31" s="10">
        <v>13598.468587430003</v>
      </c>
      <c r="AG31" s="10">
        <v>3</v>
      </c>
      <c r="AH31" s="10">
        <v>1700.6327516199999</v>
      </c>
      <c r="AI31" s="10">
        <v>35</v>
      </c>
      <c r="AJ31" s="10">
        <v>3370.2407667100001</v>
      </c>
      <c r="AK31" s="10">
        <v>1</v>
      </c>
      <c r="AL31" s="10">
        <v>96.433515630000002</v>
      </c>
      <c r="AM31" s="10">
        <v>4</v>
      </c>
      <c r="AN31" s="10">
        <v>1210</v>
      </c>
      <c r="AO31" s="10">
        <v>0</v>
      </c>
      <c r="AP31" s="10">
        <v>0</v>
      </c>
      <c r="AQ31" s="10">
        <v>1</v>
      </c>
      <c r="AR31" s="10">
        <v>1455.02497662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3</v>
      </c>
      <c r="BD31" s="10">
        <v>299.75268718000001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9</v>
      </c>
      <c r="BL31" s="10">
        <v>772.5555555599999</v>
      </c>
      <c r="BM31" s="10">
        <v>0</v>
      </c>
      <c r="BN31" s="10">
        <v>0</v>
      </c>
      <c r="BO31" s="10">
        <v>1</v>
      </c>
      <c r="BP31" s="10">
        <v>476.47250000000003</v>
      </c>
      <c r="BQ31" s="10">
        <v>1</v>
      </c>
      <c r="BR31" s="10">
        <v>476.47250000000003</v>
      </c>
      <c r="BS31" s="10">
        <v>71</v>
      </c>
      <c r="BT31" s="10">
        <v>7514.0248686000004</v>
      </c>
      <c r="BU31" s="10">
        <v>1</v>
      </c>
      <c r="BV31" s="10">
        <v>100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6</v>
      </c>
      <c r="CR31" s="10">
        <v>2539.2379999999998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106</v>
      </c>
      <c r="CZ31" s="10">
        <v>32430.894420479995</v>
      </c>
      <c r="DA31" s="10">
        <v>13</v>
      </c>
      <c r="DB31" s="10">
        <v>3527.9511632799999</v>
      </c>
      <c r="DC31" s="10">
        <v>68</v>
      </c>
      <c r="DD31" s="10">
        <v>11541.69864327</v>
      </c>
      <c r="DE31" s="10">
        <v>0</v>
      </c>
      <c r="DF31" s="10">
        <v>0</v>
      </c>
      <c r="DG31" s="10">
        <v>2979</v>
      </c>
      <c r="DH31" s="10">
        <v>52180.259204610011</v>
      </c>
      <c r="DI31" s="10">
        <v>214</v>
      </c>
      <c r="DJ31" s="10">
        <v>2467.6071949799993</v>
      </c>
      <c r="DK31" s="10">
        <v>11</v>
      </c>
      <c r="DL31" s="10">
        <v>961.30669754999997</v>
      </c>
      <c r="DM31" s="10">
        <v>1</v>
      </c>
      <c r="DN31" s="10">
        <v>253.72831693999998</v>
      </c>
      <c r="DO31" s="10">
        <v>411</v>
      </c>
      <c r="DP31" s="10">
        <v>4867.9215480700004</v>
      </c>
      <c r="DQ31" s="10">
        <v>2</v>
      </c>
      <c r="DR31" s="10">
        <v>7.4457320099999995</v>
      </c>
      <c r="DS31" s="10">
        <v>0</v>
      </c>
      <c r="DT31" s="10">
        <v>0</v>
      </c>
      <c r="DU31" s="10">
        <v>0</v>
      </c>
      <c r="DV31" s="10">
        <v>0</v>
      </c>
      <c r="DW31" s="10">
        <v>164</v>
      </c>
      <c r="DX31" s="10">
        <v>2902.1260381699994</v>
      </c>
      <c r="DY31" s="10">
        <v>12</v>
      </c>
      <c r="DZ31" s="10">
        <v>337.43609407000002</v>
      </c>
      <c r="EA31" s="10">
        <v>154</v>
      </c>
      <c r="EB31" s="10">
        <v>1254.5641853699997</v>
      </c>
      <c r="EC31" s="10">
        <v>65</v>
      </c>
      <c r="ED31" s="10">
        <v>814.07242251000014</v>
      </c>
      <c r="EE31" s="10">
        <v>375</v>
      </c>
      <c r="EF31" s="10">
        <v>4918.46976025</v>
      </c>
      <c r="EG31" s="10">
        <v>55</v>
      </c>
      <c r="EH31" s="10">
        <v>1170.0571309899997</v>
      </c>
      <c r="EI31" s="10">
        <v>5</v>
      </c>
      <c r="EJ31" s="10">
        <v>156.81822590000002</v>
      </c>
      <c r="EK31" s="10">
        <v>0</v>
      </c>
      <c r="EL31" s="10">
        <v>0</v>
      </c>
      <c r="EM31" s="10">
        <v>236</v>
      </c>
      <c r="EN31" s="10">
        <v>5771.9334922300013</v>
      </c>
      <c r="EO31" s="10">
        <v>14</v>
      </c>
      <c r="EP31" s="10">
        <v>249.85729065000001</v>
      </c>
      <c r="EQ31" s="10">
        <v>40</v>
      </c>
      <c r="ER31" s="10">
        <v>490.69012758000002</v>
      </c>
      <c r="ES31" s="10">
        <v>19</v>
      </c>
      <c r="ET31" s="10">
        <v>353.27427267000007</v>
      </c>
      <c r="EU31" s="10">
        <v>582</v>
      </c>
      <c r="EV31" s="10">
        <v>5505.0137552100014</v>
      </c>
      <c r="EW31" s="10">
        <v>87</v>
      </c>
      <c r="EX31" s="10">
        <v>1614.8642967500002</v>
      </c>
      <c r="EY31" s="10">
        <v>226</v>
      </c>
      <c r="EZ31" s="10">
        <v>1274.9020662</v>
      </c>
      <c r="FA31" s="10">
        <v>34</v>
      </c>
      <c r="FB31" s="10">
        <v>513.32837509000012</v>
      </c>
      <c r="FC31" s="10">
        <v>8</v>
      </c>
      <c r="FD31" s="10">
        <v>78.60318740999999</v>
      </c>
      <c r="FE31" s="10">
        <v>4</v>
      </c>
      <c r="FF31" s="10">
        <v>47.989872249999998</v>
      </c>
      <c r="FG31" s="10">
        <v>7</v>
      </c>
      <c r="FH31" s="10">
        <v>62.586917509999999</v>
      </c>
      <c r="FI31" s="10">
        <v>3</v>
      </c>
      <c r="FJ31" s="10">
        <v>43.590433709999999</v>
      </c>
      <c r="FK31" s="10">
        <v>1</v>
      </c>
      <c r="FL31" s="10">
        <v>3.6533276299999997</v>
      </c>
      <c r="FM31" s="10">
        <v>1</v>
      </c>
      <c r="FN31" s="10">
        <v>3.6533276299999997</v>
      </c>
      <c r="FO31" s="10">
        <v>31</v>
      </c>
      <c r="FP31" s="10">
        <v>459.27370363</v>
      </c>
      <c r="FQ31" s="10">
        <v>20</v>
      </c>
      <c r="FR31" s="10">
        <v>390.68217620999997</v>
      </c>
      <c r="FS31" s="10">
        <v>159</v>
      </c>
      <c r="FT31" s="10">
        <v>1880.6548863100002</v>
      </c>
      <c r="FU31" s="10">
        <v>47</v>
      </c>
      <c r="FV31" s="10">
        <v>741.57653411999991</v>
      </c>
      <c r="FW31" s="18">
        <f t="shared" si="14"/>
        <v>0</v>
      </c>
      <c r="FX31" s="18">
        <f t="shared" si="8"/>
        <v>0</v>
      </c>
      <c r="FY31" s="18">
        <f t="shared" si="9"/>
        <v>0</v>
      </c>
      <c r="FZ31" s="18">
        <f t="shared" si="10"/>
        <v>0</v>
      </c>
      <c r="GA31" s="18">
        <f t="shared" si="15"/>
        <v>0</v>
      </c>
      <c r="GB31" s="18">
        <f t="shared" si="11"/>
        <v>3.1832314562052488E-11</v>
      </c>
      <c r="GC31" s="18">
        <f t="shared" si="12"/>
        <v>0</v>
      </c>
      <c r="GD31" s="18">
        <f t="shared" si="13"/>
        <v>5.3432813729159534E-12</v>
      </c>
    </row>
    <row r="32" spans="1:186" s="11" customFormat="1" ht="27" customHeight="1" x14ac:dyDescent="0.25">
      <c r="A32" s="66" t="s">
        <v>28</v>
      </c>
      <c r="B32" s="1">
        <f t="shared" si="16"/>
        <v>25</v>
      </c>
      <c r="C32" s="20" t="s">
        <v>2058</v>
      </c>
      <c r="D32" s="20" t="s">
        <v>2074</v>
      </c>
      <c r="E32" s="65" t="s">
        <v>1</v>
      </c>
      <c r="F32" s="19" t="s">
        <v>2075</v>
      </c>
      <c r="G32" s="9">
        <v>7253</v>
      </c>
      <c r="H32" s="9">
        <v>288486.10829109984</v>
      </c>
      <c r="I32" s="9">
        <v>369</v>
      </c>
      <c r="J32" s="9">
        <v>5629.5927999300002</v>
      </c>
      <c r="K32" s="9">
        <v>339</v>
      </c>
      <c r="L32" s="9">
        <v>178732.60012723002</v>
      </c>
      <c r="M32" s="9">
        <v>8</v>
      </c>
      <c r="N32" s="9">
        <v>1392.60759717</v>
      </c>
      <c r="O32" s="9">
        <v>89</v>
      </c>
      <c r="P32" s="9">
        <v>7499.8283031400006</v>
      </c>
      <c r="Q32" s="9">
        <v>1</v>
      </c>
      <c r="R32" s="9">
        <v>133.23877468999999</v>
      </c>
      <c r="S32" s="9">
        <v>6825</v>
      </c>
      <c r="T32" s="9">
        <v>102253.67986072981</v>
      </c>
      <c r="U32" s="9">
        <v>360</v>
      </c>
      <c r="V32" s="9">
        <v>4103.7464280700005</v>
      </c>
      <c r="W32" s="10">
        <v>74</v>
      </c>
      <c r="X32" s="10">
        <v>93432.063000429989</v>
      </c>
      <c r="Y32" s="10">
        <v>0</v>
      </c>
      <c r="Z32" s="10">
        <v>0</v>
      </c>
      <c r="AA32" s="10">
        <v>128</v>
      </c>
      <c r="AB32" s="10">
        <v>17662.930990509998</v>
      </c>
      <c r="AC32" s="10">
        <v>0</v>
      </c>
      <c r="AD32" s="10">
        <v>0</v>
      </c>
      <c r="AE32" s="10">
        <v>7</v>
      </c>
      <c r="AF32" s="10">
        <v>2715.5876251700001</v>
      </c>
      <c r="AG32" s="10">
        <v>0</v>
      </c>
      <c r="AH32" s="10">
        <v>0</v>
      </c>
      <c r="AI32" s="10">
        <v>47</v>
      </c>
      <c r="AJ32" s="10">
        <v>4509.5282748199998</v>
      </c>
      <c r="AK32" s="10">
        <v>0</v>
      </c>
      <c r="AL32" s="10">
        <v>0</v>
      </c>
      <c r="AM32" s="10">
        <v>3</v>
      </c>
      <c r="AN32" s="10">
        <v>18752.055326439997</v>
      </c>
      <c r="AO32" s="10">
        <v>2</v>
      </c>
      <c r="AP32" s="10">
        <v>158.06719187000002</v>
      </c>
      <c r="AQ32" s="10">
        <v>0</v>
      </c>
      <c r="AR32" s="10">
        <v>0</v>
      </c>
      <c r="AS32" s="10">
        <v>0</v>
      </c>
      <c r="AT32" s="10">
        <v>0</v>
      </c>
      <c r="AU32" s="10">
        <v>8</v>
      </c>
      <c r="AV32" s="10">
        <v>495.48555155999998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2</v>
      </c>
      <c r="BD32" s="10">
        <v>200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8</v>
      </c>
      <c r="BL32" s="10">
        <v>585.39043270000002</v>
      </c>
      <c r="BM32" s="10">
        <v>2</v>
      </c>
      <c r="BN32" s="10">
        <v>24.373909780000002</v>
      </c>
      <c r="BO32" s="10">
        <v>0</v>
      </c>
      <c r="BP32" s="10">
        <v>0</v>
      </c>
      <c r="BQ32" s="10">
        <v>0</v>
      </c>
      <c r="BR32" s="10">
        <v>0</v>
      </c>
      <c r="BS32" s="10">
        <v>52</v>
      </c>
      <c r="BT32" s="10">
        <v>4236.0761443900001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6</v>
      </c>
      <c r="CR32" s="10">
        <v>1326.21055531</v>
      </c>
      <c r="CS32" s="10">
        <v>3</v>
      </c>
      <c r="CT32" s="10">
        <v>468.15355958999999</v>
      </c>
      <c r="CU32" s="10">
        <v>0</v>
      </c>
      <c r="CV32" s="10">
        <v>0</v>
      </c>
      <c r="CW32" s="10">
        <v>0</v>
      </c>
      <c r="CX32" s="10">
        <v>0</v>
      </c>
      <c r="CY32" s="10">
        <v>93</v>
      </c>
      <c r="CZ32" s="10">
        <v>42317.100529039992</v>
      </c>
      <c r="DA32" s="10">
        <v>2</v>
      </c>
      <c r="DB32" s="10">
        <v>875.25171062000004</v>
      </c>
      <c r="DC32" s="10">
        <v>84</v>
      </c>
      <c r="DD32" s="10">
        <v>17221.593455099999</v>
      </c>
      <c r="DE32" s="10">
        <v>0</v>
      </c>
      <c r="DF32" s="10">
        <v>0</v>
      </c>
      <c r="DG32" s="10">
        <v>3036</v>
      </c>
      <c r="DH32" s="10">
        <v>49740.009596980053</v>
      </c>
      <c r="DI32" s="10">
        <v>116</v>
      </c>
      <c r="DJ32" s="10">
        <v>841.36944352000023</v>
      </c>
      <c r="DK32" s="10">
        <v>19</v>
      </c>
      <c r="DL32" s="10">
        <v>2279.2709762599998</v>
      </c>
      <c r="DM32" s="10">
        <v>2</v>
      </c>
      <c r="DN32" s="10">
        <v>590.671019</v>
      </c>
      <c r="DO32" s="10">
        <v>432</v>
      </c>
      <c r="DP32" s="10">
        <v>5497.5945384400011</v>
      </c>
      <c r="DQ32" s="10">
        <v>4</v>
      </c>
      <c r="DR32" s="10">
        <v>55.009655879999997</v>
      </c>
      <c r="DS32" s="10">
        <v>0</v>
      </c>
      <c r="DT32" s="10">
        <v>0</v>
      </c>
      <c r="DU32" s="10">
        <v>0</v>
      </c>
      <c r="DV32" s="10">
        <v>0</v>
      </c>
      <c r="DW32" s="10">
        <v>446</v>
      </c>
      <c r="DX32" s="10">
        <v>7530.2625204000005</v>
      </c>
      <c r="DY32" s="10">
        <v>6</v>
      </c>
      <c r="DZ32" s="10">
        <v>104.12287313</v>
      </c>
      <c r="EA32" s="10">
        <v>151</v>
      </c>
      <c r="EB32" s="10">
        <v>1193.1822999799997</v>
      </c>
      <c r="EC32" s="10">
        <v>19</v>
      </c>
      <c r="ED32" s="10">
        <v>165.40322802</v>
      </c>
      <c r="EE32" s="10">
        <v>225</v>
      </c>
      <c r="EF32" s="10">
        <v>1521.730442439999</v>
      </c>
      <c r="EG32" s="10">
        <v>8</v>
      </c>
      <c r="EH32" s="10">
        <v>50.171999579999991</v>
      </c>
      <c r="EI32" s="10">
        <v>6</v>
      </c>
      <c r="EJ32" s="10">
        <v>194.82540087000001</v>
      </c>
      <c r="EK32" s="10">
        <v>0</v>
      </c>
      <c r="EL32" s="10">
        <v>0</v>
      </c>
      <c r="EM32" s="10">
        <v>4</v>
      </c>
      <c r="EN32" s="10">
        <v>90.299495930000006</v>
      </c>
      <c r="EO32" s="10">
        <v>0</v>
      </c>
      <c r="EP32" s="10">
        <v>0</v>
      </c>
      <c r="EQ32" s="10">
        <v>5</v>
      </c>
      <c r="ER32" s="10">
        <v>31.223705880000001</v>
      </c>
      <c r="ES32" s="10">
        <v>0</v>
      </c>
      <c r="ET32" s="10">
        <v>0</v>
      </c>
      <c r="EU32" s="10">
        <v>2193</v>
      </c>
      <c r="EV32" s="10">
        <v>16161.535007570006</v>
      </c>
      <c r="EW32" s="10">
        <v>182</v>
      </c>
      <c r="EX32" s="10">
        <v>2144.98274171</v>
      </c>
      <c r="EY32" s="10">
        <v>168</v>
      </c>
      <c r="EZ32" s="10">
        <v>538.23716494000007</v>
      </c>
      <c r="FA32" s="10">
        <v>4</v>
      </c>
      <c r="FB32" s="10">
        <v>10.380189339999999</v>
      </c>
      <c r="FC32" s="10">
        <v>3</v>
      </c>
      <c r="FD32" s="10">
        <v>21.189851999999998</v>
      </c>
      <c r="FE32" s="10">
        <v>1</v>
      </c>
      <c r="FF32" s="10">
        <v>7.1698519999999997</v>
      </c>
      <c r="FG32" s="10">
        <v>1</v>
      </c>
      <c r="FH32" s="10">
        <v>0.44548370000000004</v>
      </c>
      <c r="FI32" s="10">
        <v>1</v>
      </c>
      <c r="FJ32" s="10">
        <v>0.44548370000000004</v>
      </c>
      <c r="FK32" s="10">
        <v>0</v>
      </c>
      <c r="FL32" s="10">
        <v>0</v>
      </c>
      <c r="FM32" s="10">
        <v>0</v>
      </c>
      <c r="FN32" s="10">
        <v>0</v>
      </c>
      <c r="FO32" s="10">
        <v>1</v>
      </c>
      <c r="FP32" s="10">
        <v>5.3301338200000004</v>
      </c>
      <c r="FQ32" s="10">
        <v>1</v>
      </c>
      <c r="FR32" s="10">
        <v>5.3301338200000004</v>
      </c>
      <c r="FS32" s="10">
        <v>51</v>
      </c>
      <c r="FT32" s="10">
        <v>226.94978642000001</v>
      </c>
      <c r="FU32" s="10">
        <v>16</v>
      </c>
      <c r="FV32" s="10">
        <v>128.68980837000001</v>
      </c>
      <c r="FW32" s="18">
        <f t="shared" si="14"/>
        <v>0</v>
      </c>
      <c r="FX32" s="18">
        <f t="shared" si="8"/>
        <v>0</v>
      </c>
      <c r="FY32" s="18">
        <f t="shared" si="9"/>
        <v>0</v>
      </c>
      <c r="FZ32" s="18">
        <f t="shared" si="10"/>
        <v>0</v>
      </c>
      <c r="GA32" s="18">
        <f t="shared" si="15"/>
        <v>0</v>
      </c>
      <c r="GB32" s="18">
        <f t="shared" si="11"/>
        <v>-2.5278268367401324E-10</v>
      </c>
      <c r="GC32" s="18">
        <f t="shared" si="12"/>
        <v>0</v>
      </c>
      <c r="GD32" s="18">
        <f t="shared" si="13"/>
        <v>-4.2632564145606011E-13</v>
      </c>
    </row>
    <row r="33" spans="1:186" s="11" customFormat="1" ht="27" customHeight="1" x14ac:dyDescent="0.25">
      <c r="A33" s="66" t="s">
        <v>28</v>
      </c>
      <c r="B33" s="1">
        <f t="shared" si="16"/>
        <v>26</v>
      </c>
      <c r="C33" s="20" t="s">
        <v>2058</v>
      </c>
      <c r="D33" s="20" t="s">
        <v>2076</v>
      </c>
      <c r="E33" s="65" t="s">
        <v>17</v>
      </c>
      <c r="F33" s="19" t="s">
        <v>2077</v>
      </c>
      <c r="G33" s="9">
        <v>6881</v>
      </c>
      <c r="H33" s="9">
        <v>287334.53682876989</v>
      </c>
      <c r="I33" s="9">
        <v>101</v>
      </c>
      <c r="J33" s="9">
        <v>5746.3539814899996</v>
      </c>
      <c r="K33" s="9">
        <v>238</v>
      </c>
      <c r="L33" s="9">
        <v>148923.65559192002</v>
      </c>
      <c r="M33" s="9">
        <v>3</v>
      </c>
      <c r="N33" s="9">
        <v>4686.1001832700003</v>
      </c>
      <c r="O33" s="9">
        <v>53</v>
      </c>
      <c r="P33" s="9">
        <v>4871.8475066000001</v>
      </c>
      <c r="Q33" s="9">
        <v>0</v>
      </c>
      <c r="R33" s="9">
        <v>0</v>
      </c>
      <c r="S33" s="9">
        <v>6590</v>
      </c>
      <c r="T33" s="9">
        <v>133539.03373024997</v>
      </c>
      <c r="U33" s="9">
        <v>98</v>
      </c>
      <c r="V33" s="9">
        <v>1060.2537982199997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67</v>
      </c>
      <c r="AJ33" s="10">
        <v>86762.476162360006</v>
      </c>
      <c r="AK33" s="10">
        <v>1</v>
      </c>
      <c r="AL33" s="10">
        <v>125.42066973</v>
      </c>
      <c r="AM33" s="10">
        <v>4</v>
      </c>
      <c r="AN33" s="10">
        <v>17891.107587439998</v>
      </c>
      <c r="AO33" s="10">
        <v>0</v>
      </c>
      <c r="AP33" s="10">
        <v>0</v>
      </c>
      <c r="AQ33" s="10">
        <v>1</v>
      </c>
      <c r="AR33" s="10">
        <v>100.52246119</v>
      </c>
      <c r="AS33" s="10">
        <v>0</v>
      </c>
      <c r="AT33" s="10">
        <v>0</v>
      </c>
      <c r="AU33" s="10">
        <v>8</v>
      </c>
      <c r="AV33" s="10">
        <v>861.17435660000001</v>
      </c>
      <c r="AW33" s="10">
        <v>0</v>
      </c>
      <c r="AX33" s="10">
        <v>0</v>
      </c>
      <c r="AY33" s="10">
        <v>7</v>
      </c>
      <c r="AZ33" s="10">
        <v>804.81342102999997</v>
      </c>
      <c r="BA33" s="10">
        <v>0</v>
      </c>
      <c r="BB33" s="10">
        <v>0</v>
      </c>
      <c r="BC33" s="10">
        <v>8</v>
      </c>
      <c r="BD33" s="10">
        <v>7327.8990593400003</v>
      </c>
      <c r="BE33" s="10">
        <v>2</v>
      </c>
      <c r="BF33" s="10">
        <v>4560.6795135399998</v>
      </c>
      <c r="BG33" s="10">
        <v>1</v>
      </c>
      <c r="BH33" s="10">
        <v>1181.3118041099999</v>
      </c>
      <c r="BI33" s="10">
        <v>0</v>
      </c>
      <c r="BJ33" s="10">
        <v>0</v>
      </c>
      <c r="BK33" s="10">
        <v>25</v>
      </c>
      <c r="BL33" s="10">
        <v>2280.8965403800003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99</v>
      </c>
      <c r="BT33" s="10">
        <v>17348.035966939999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4</v>
      </c>
      <c r="CR33" s="10">
        <v>293.9399234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67</v>
      </c>
      <c r="CZ33" s="10">
        <v>18943.325815730001</v>
      </c>
      <c r="DA33" s="10">
        <v>0</v>
      </c>
      <c r="DB33" s="10">
        <v>0</v>
      </c>
      <c r="DC33" s="10">
        <v>240</v>
      </c>
      <c r="DD33" s="10">
        <v>47987.086755559991</v>
      </c>
      <c r="DE33" s="10">
        <v>0</v>
      </c>
      <c r="DF33" s="10">
        <v>0</v>
      </c>
      <c r="DG33" s="10">
        <v>2576</v>
      </c>
      <c r="DH33" s="10">
        <v>41679.314931409943</v>
      </c>
      <c r="DI33" s="10">
        <v>32</v>
      </c>
      <c r="DJ33" s="10">
        <v>333.24259692999999</v>
      </c>
      <c r="DK33" s="10">
        <v>9</v>
      </c>
      <c r="DL33" s="10">
        <v>752.35804232999999</v>
      </c>
      <c r="DM33" s="10">
        <v>0</v>
      </c>
      <c r="DN33" s="10">
        <v>0</v>
      </c>
      <c r="DO33" s="10">
        <v>931</v>
      </c>
      <c r="DP33" s="10">
        <v>10067.237424819996</v>
      </c>
      <c r="DQ33" s="10">
        <v>1</v>
      </c>
      <c r="DR33" s="10">
        <v>7.8664426400000007</v>
      </c>
      <c r="DS33" s="10">
        <v>0</v>
      </c>
      <c r="DT33" s="10">
        <v>0</v>
      </c>
      <c r="DU33" s="10">
        <v>0</v>
      </c>
      <c r="DV33" s="10">
        <v>0</v>
      </c>
      <c r="DW33" s="10">
        <v>593</v>
      </c>
      <c r="DX33" s="10">
        <v>8921.7478652600057</v>
      </c>
      <c r="DY33" s="10">
        <v>4</v>
      </c>
      <c r="DZ33" s="10">
        <v>40.317630530000002</v>
      </c>
      <c r="EA33" s="10">
        <v>111</v>
      </c>
      <c r="EB33" s="10">
        <v>888.26240458999996</v>
      </c>
      <c r="EC33" s="10">
        <v>18</v>
      </c>
      <c r="ED33" s="10">
        <v>209.67282139</v>
      </c>
      <c r="EE33" s="10">
        <v>722</v>
      </c>
      <c r="EF33" s="10">
        <v>10855.44156915</v>
      </c>
      <c r="EG33" s="10">
        <v>5</v>
      </c>
      <c r="EH33" s="10">
        <v>52.707972700000006</v>
      </c>
      <c r="EI33" s="10">
        <v>5</v>
      </c>
      <c r="EJ33" s="10">
        <v>78.34436851000001</v>
      </c>
      <c r="EK33" s="10">
        <v>0</v>
      </c>
      <c r="EL33" s="10">
        <v>0</v>
      </c>
      <c r="EM33" s="10">
        <v>83</v>
      </c>
      <c r="EN33" s="10">
        <v>1661.96921703</v>
      </c>
      <c r="EO33" s="10">
        <v>2</v>
      </c>
      <c r="EP33" s="10">
        <v>7.1502577999999994</v>
      </c>
      <c r="EQ33" s="10">
        <v>54</v>
      </c>
      <c r="ER33" s="10">
        <v>372.78082981000006</v>
      </c>
      <c r="ES33" s="10">
        <v>3</v>
      </c>
      <c r="ET33" s="10">
        <v>14.137424429999999</v>
      </c>
      <c r="EU33" s="10">
        <v>775</v>
      </c>
      <c r="EV33" s="10">
        <v>6678.9358947800029</v>
      </c>
      <c r="EW33" s="10">
        <v>23</v>
      </c>
      <c r="EX33" s="10">
        <v>314.52128197000002</v>
      </c>
      <c r="EY33" s="10">
        <v>202</v>
      </c>
      <c r="EZ33" s="10">
        <v>1177.0341642400001</v>
      </c>
      <c r="FA33" s="10">
        <v>3</v>
      </c>
      <c r="FB33" s="10">
        <v>35.47468722</v>
      </c>
      <c r="FC33" s="10">
        <v>5</v>
      </c>
      <c r="FD33" s="10">
        <v>47.052886350000001</v>
      </c>
      <c r="FE33" s="10">
        <v>0</v>
      </c>
      <c r="FF33" s="10">
        <v>0</v>
      </c>
      <c r="FG33" s="10">
        <v>33</v>
      </c>
      <c r="FH33" s="10">
        <v>227.16933773000005</v>
      </c>
      <c r="FI33" s="10">
        <v>0</v>
      </c>
      <c r="FJ33" s="10">
        <v>0</v>
      </c>
      <c r="FK33" s="10">
        <v>8</v>
      </c>
      <c r="FL33" s="10">
        <v>29.971952259999998</v>
      </c>
      <c r="FM33" s="10">
        <v>1</v>
      </c>
      <c r="FN33" s="10">
        <v>2.7218920400000002</v>
      </c>
      <c r="FO33" s="10">
        <v>4</v>
      </c>
      <c r="FP33" s="10">
        <v>50.242909059999995</v>
      </c>
      <c r="FQ33" s="10">
        <v>0</v>
      </c>
      <c r="FR33" s="10">
        <v>0</v>
      </c>
      <c r="FS33" s="10">
        <v>239</v>
      </c>
      <c r="FT33" s="10">
        <v>2064.0831773599998</v>
      </c>
      <c r="FU33" s="10">
        <v>6</v>
      </c>
      <c r="FV33" s="10">
        <v>42.440790569999997</v>
      </c>
      <c r="FW33" s="18">
        <f t="shared" si="14"/>
        <v>0</v>
      </c>
      <c r="FX33" s="18">
        <f t="shared" si="8"/>
        <v>0</v>
      </c>
      <c r="FY33" s="18">
        <f t="shared" si="9"/>
        <v>0</v>
      </c>
      <c r="FZ33" s="18">
        <f t="shared" si="10"/>
        <v>0</v>
      </c>
      <c r="GA33" s="18">
        <f t="shared" si="15"/>
        <v>0</v>
      </c>
      <c r="GB33" s="18">
        <f t="shared" si="11"/>
        <v>-4.5929482439532876E-11</v>
      </c>
      <c r="GC33" s="18">
        <f t="shared" si="12"/>
        <v>0</v>
      </c>
      <c r="GD33" s="18">
        <f t="shared" si="13"/>
        <v>1.8474111129762605E-13</v>
      </c>
    </row>
    <row r="34" spans="1:186" s="11" customFormat="1" ht="27" customHeight="1" x14ac:dyDescent="0.25">
      <c r="A34" s="66" t="s">
        <v>28</v>
      </c>
      <c r="B34" s="1">
        <f t="shared" si="16"/>
        <v>27</v>
      </c>
      <c r="C34" s="20" t="s">
        <v>2058</v>
      </c>
      <c r="D34" s="20" t="s">
        <v>2078</v>
      </c>
      <c r="E34" s="65" t="s">
        <v>18</v>
      </c>
      <c r="F34" s="19" t="s">
        <v>2079</v>
      </c>
      <c r="G34" s="9">
        <v>7696</v>
      </c>
      <c r="H34" s="9">
        <v>275719.57289698994</v>
      </c>
      <c r="I34" s="9">
        <v>1460</v>
      </c>
      <c r="J34" s="9">
        <v>22754.704294850002</v>
      </c>
      <c r="K34" s="9">
        <v>211</v>
      </c>
      <c r="L34" s="9">
        <v>148106.70668947999</v>
      </c>
      <c r="M34" s="9">
        <v>3</v>
      </c>
      <c r="N34" s="9">
        <v>592.80482158000007</v>
      </c>
      <c r="O34" s="9">
        <v>52</v>
      </c>
      <c r="P34" s="9">
        <v>4413.8709867099997</v>
      </c>
      <c r="Q34" s="9">
        <v>2</v>
      </c>
      <c r="R34" s="9">
        <v>10.30267179</v>
      </c>
      <c r="S34" s="9">
        <v>7433</v>
      </c>
      <c r="T34" s="9">
        <v>123198.9952208</v>
      </c>
      <c r="U34" s="9">
        <v>1455</v>
      </c>
      <c r="V34" s="9">
        <v>22151.596801480002</v>
      </c>
      <c r="W34" s="10">
        <v>2</v>
      </c>
      <c r="X34" s="10">
        <v>1146.5305944000002</v>
      </c>
      <c r="Y34" s="10">
        <v>0</v>
      </c>
      <c r="Z34" s="10">
        <v>0</v>
      </c>
      <c r="AA34" s="10">
        <v>65</v>
      </c>
      <c r="AB34" s="10">
        <v>21354.733848629996</v>
      </c>
      <c r="AC34" s="10">
        <v>0</v>
      </c>
      <c r="AD34" s="10">
        <v>0</v>
      </c>
      <c r="AE34" s="10">
        <v>7</v>
      </c>
      <c r="AF34" s="10">
        <v>3088.8724192799996</v>
      </c>
      <c r="AG34" s="10">
        <v>0</v>
      </c>
      <c r="AH34" s="10">
        <v>0</v>
      </c>
      <c r="AI34" s="10">
        <v>13</v>
      </c>
      <c r="AJ34" s="10">
        <v>1355.0489633600002</v>
      </c>
      <c r="AK34" s="10">
        <v>0</v>
      </c>
      <c r="AL34" s="10">
        <v>0</v>
      </c>
      <c r="AM34" s="10">
        <v>2</v>
      </c>
      <c r="AN34" s="10">
        <v>192.88976686000001</v>
      </c>
      <c r="AO34" s="10">
        <v>0</v>
      </c>
      <c r="AP34" s="10">
        <v>0</v>
      </c>
      <c r="AQ34" s="10">
        <v>1</v>
      </c>
      <c r="AR34" s="10">
        <v>100</v>
      </c>
      <c r="AS34" s="10">
        <v>0</v>
      </c>
      <c r="AT34" s="10">
        <v>0</v>
      </c>
      <c r="AU34" s="10">
        <v>9</v>
      </c>
      <c r="AV34" s="10">
        <v>829.37977604999992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1</v>
      </c>
      <c r="BD34" s="10">
        <v>24.499999969999998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12</v>
      </c>
      <c r="BL34" s="10">
        <v>1121.06497571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34</v>
      </c>
      <c r="BT34" s="10">
        <v>7694.7292785600002</v>
      </c>
      <c r="BU34" s="10">
        <v>4</v>
      </c>
      <c r="BV34" s="10">
        <v>203.13441256999999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56</v>
      </c>
      <c r="CR34" s="10">
        <v>9157.4637286100005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61</v>
      </c>
      <c r="CZ34" s="10">
        <v>106455.36432476001</v>
      </c>
      <c r="DA34" s="10">
        <v>1</v>
      </c>
      <c r="DB34" s="10">
        <v>399.97308079999999</v>
      </c>
      <c r="DC34" s="10">
        <v>44</v>
      </c>
      <c r="DD34" s="10">
        <v>10427.439254789999</v>
      </c>
      <c r="DE34" s="10">
        <v>0</v>
      </c>
      <c r="DF34" s="10">
        <v>0</v>
      </c>
      <c r="DG34" s="10">
        <v>2846</v>
      </c>
      <c r="DH34" s="10">
        <v>55957.380831340037</v>
      </c>
      <c r="DI34" s="10">
        <v>240</v>
      </c>
      <c r="DJ34" s="10">
        <v>2402.39364699</v>
      </c>
      <c r="DK34" s="10">
        <v>16</v>
      </c>
      <c r="DL34" s="10">
        <v>2554.35250675</v>
      </c>
      <c r="DM34" s="10">
        <v>0</v>
      </c>
      <c r="DN34" s="10">
        <v>0</v>
      </c>
      <c r="DO34" s="10">
        <v>456</v>
      </c>
      <c r="DP34" s="10">
        <v>5703.3326005400013</v>
      </c>
      <c r="DQ34" s="10">
        <v>4</v>
      </c>
      <c r="DR34" s="10">
        <v>44.791110530000005</v>
      </c>
      <c r="DS34" s="10">
        <v>0</v>
      </c>
      <c r="DT34" s="10">
        <v>0</v>
      </c>
      <c r="DU34" s="10">
        <v>0</v>
      </c>
      <c r="DV34" s="10">
        <v>0</v>
      </c>
      <c r="DW34" s="10">
        <v>173</v>
      </c>
      <c r="DX34" s="10">
        <v>2917.0767163599999</v>
      </c>
      <c r="DY34" s="10">
        <v>17</v>
      </c>
      <c r="DZ34" s="10">
        <v>319.31257475000001</v>
      </c>
      <c r="EA34" s="10">
        <v>179</v>
      </c>
      <c r="EB34" s="10">
        <v>2038.1118929300007</v>
      </c>
      <c r="EC34" s="10">
        <v>141</v>
      </c>
      <c r="ED34" s="10">
        <v>1762.6203043000007</v>
      </c>
      <c r="EE34" s="10">
        <v>632</v>
      </c>
      <c r="EF34" s="10">
        <v>10910.708464859998</v>
      </c>
      <c r="EG34" s="10">
        <v>253</v>
      </c>
      <c r="EH34" s="10">
        <v>5947.6473211700004</v>
      </c>
      <c r="EI34" s="10">
        <v>45</v>
      </c>
      <c r="EJ34" s="10">
        <v>505.71225138</v>
      </c>
      <c r="EK34" s="10">
        <v>6</v>
      </c>
      <c r="EL34" s="10">
        <v>42.094790359999998</v>
      </c>
      <c r="EM34" s="10">
        <v>408</v>
      </c>
      <c r="EN34" s="10">
        <v>10106.974934760003</v>
      </c>
      <c r="EO34" s="10">
        <v>86</v>
      </c>
      <c r="EP34" s="10">
        <v>1801.8085217000003</v>
      </c>
      <c r="EQ34" s="10">
        <v>52</v>
      </c>
      <c r="ER34" s="10">
        <v>778.17328345999999</v>
      </c>
      <c r="ES34" s="10">
        <v>28</v>
      </c>
      <c r="ET34" s="10">
        <v>614.27774804000001</v>
      </c>
      <c r="EU34" s="10">
        <v>1786</v>
      </c>
      <c r="EV34" s="10">
        <v>13619.12528500999</v>
      </c>
      <c r="EW34" s="10">
        <v>285</v>
      </c>
      <c r="EX34" s="10">
        <v>3393.4383570700006</v>
      </c>
      <c r="EY34" s="10">
        <v>530</v>
      </c>
      <c r="EZ34" s="10">
        <v>4857.4711204100004</v>
      </c>
      <c r="FA34" s="10">
        <v>237</v>
      </c>
      <c r="FB34" s="10">
        <v>3639.7375521699996</v>
      </c>
      <c r="FC34" s="10">
        <v>9</v>
      </c>
      <c r="FD34" s="10">
        <v>126.98397543999999</v>
      </c>
      <c r="FE34" s="10">
        <v>6</v>
      </c>
      <c r="FF34" s="10">
        <v>89.879390239999992</v>
      </c>
      <c r="FG34" s="10">
        <v>1</v>
      </c>
      <c r="FH34" s="10">
        <v>2.00000008</v>
      </c>
      <c r="FI34" s="10">
        <v>0</v>
      </c>
      <c r="FJ34" s="10">
        <v>0</v>
      </c>
      <c r="FK34" s="10">
        <v>32</v>
      </c>
      <c r="FL34" s="10">
        <v>366.42087945999998</v>
      </c>
      <c r="FM34" s="10">
        <v>27</v>
      </c>
      <c r="FN34" s="10">
        <v>332.63128895</v>
      </c>
      <c r="FO34" s="10">
        <v>10</v>
      </c>
      <c r="FP34" s="10">
        <v>174.49534464000001</v>
      </c>
      <c r="FQ34" s="10">
        <v>7</v>
      </c>
      <c r="FR34" s="10">
        <v>133.46486633000001</v>
      </c>
      <c r="FS34" s="10">
        <v>214</v>
      </c>
      <c r="FT34" s="10">
        <v>2153.2358785899992</v>
      </c>
      <c r="FU34" s="10">
        <v>118</v>
      </c>
      <c r="FV34" s="10">
        <v>1627.4993288799994</v>
      </c>
      <c r="FW34" s="18">
        <f t="shared" si="14"/>
        <v>0</v>
      </c>
      <c r="FX34" s="18">
        <f t="shared" si="8"/>
        <v>0</v>
      </c>
      <c r="FY34" s="18">
        <f t="shared" si="9"/>
        <v>0</v>
      </c>
      <c r="FZ34" s="18">
        <f t="shared" si="10"/>
        <v>0</v>
      </c>
      <c r="GA34" s="18">
        <f t="shared" si="15"/>
        <v>0</v>
      </c>
      <c r="GB34" s="18">
        <f t="shared" si="11"/>
        <v>-6.2755134422332048E-11</v>
      </c>
      <c r="GC34" s="18">
        <f t="shared" si="12"/>
        <v>0</v>
      </c>
      <c r="GD34" s="18">
        <f t="shared" si="13"/>
        <v>-3.865352482534945E-12</v>
      </c>
    </row>
    <row r="35" spans="1:186" s="11" customFormat="1" ht="27" customHeight="1" x14ac:dyDescent="0.25">
      <c r="A35" s="66" t="s">
        <v>29</v>
      </c>
      <c r="B35" s="1">
        <f t="shared" si="16"/>
        <v>28</v>
      </c>
      <c r="C35" s="20" t="s">
        <v>2080</v>
      </c>
      <c r="D35" s="20" t="s">
        <v>2092</v>
      </c>
      <c r="E35" s="65">
        <v>10443</v>
      </c>
      <c r="F35" s="19" t="s">
        <v>2047</v>
      </c>
      <c r="G35" s="9">
        <v>1432</v>
      </c>
      <c r="H35" s="9">
        <v>20070.410811699996</v>
      </c>
      <c r="I35" s="9">
        <v>279</v>
      </c>
      <c r="J35" s="9">
        <v>5405.5844088799995</v>
      </c>
      <c r="K35" s="9">
        <v>11</v>
      </c>
      <c r="L35" s="9">
        <v>1309.1274765999999</v>
      </c>
      <c r="M35" s="9">
        <v>1</v>
      </c>
      <c r="N35" s="9">
        <v>567.68949499999997</v>
      </c>
      <c r="O35" s="9">
        <v>25</v>
      </c>
      <c r="P35" s="9">
        <v>1511.28975001</v>
      </c>
      <c r="Q35" s="9">
        <v>6</v>
      </c>
      <c r="R35" s="9">
        <v>108.24833345</v>
      </c>
      <c r="S35" s="9">
        <v>1396</v>
      </c>
      <c r="T35" s="9">
        <v>17249.99358509</v>
      </c>
      <c r="U35" s="9">
        <v>272</v>
      </c>
      <c r="V35" s="9">
        <v>4729.6465804299987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2</v>
      </c>
      <c r="BH35" s="10">
        <v>199</v>
      </c>
      <c r="BI35" s="10">
        <v>0</v>
      </c>
      <c r="BJ35" s="10">
        <v>0</v>
      </c>
      <c r="BK35" s="10">
        <v>5</v>
      </c>
      <c r="BL35" s="10">
        <v>271.87355049000001</v>
      </c>
      <c r="BM35" s="10">
        <v>1</v>
      </c>
      <c r="BN35" s="10">
        <v>8.6130077600000003</v>
      </c>
      <c r="BO35" s="10">
        <v>9</v>
      </c>
      <c r="BP35" s="10">
        <v>1245.16304313</v>
      </c>
      <c r="BQ35" s="10">
        <v>1</v>
      </c>
      <c r="BR35" s="10">
        <v>567.68949499999997</v>
      </c>
      <c r="BS35" s="10">
        <v>5</v>
      </c>
      <c r="BT35" s="10">
        <v>107.77816844</v>
      </c>
      <c r="BU35" s="10">
        <v>2</v>
      </c>
      <c r="BV35" s="10">
        <v>5.0860173399999997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3</v>
      </c>
      <c r="CF35" s="10">
        <v>180.66210055000002</v>
      </c>
      <c r="CG35" s="10">
        <v>1</v>
      </c>
      <c r="CH35" s="10">
        <v>63.865672350000004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12</v>
      </c>
      <c r="CZ35" s="10">
        <v>815.94036400000005</v>
      </c>
      <c r="DA35" s="10">
        <v>2</v>
      </c>
      <c r="DB35" s="10">
        <v>30.683636</v>
      </c>
      <c r="DC35" s="10">
        <v>0</v>
      </c>
      <c r="DD35" s="10">
        <v>0</v>
      </c>
      <c r="DE35" s="10">
        <v>0</v>
      </c>
      <c r="DF35" s="10">
        <v>0</v>
      </c>
      <c r="DG35" s="10">
        <v>208</v>
      </c>
      <c r="DH35" s="10">
        <v>4704.9723452399994</v>
      </c>
      <c r="DI35" s="10">
        <v>21</v>
      </c>
      <c r="DJ35" s="10">
        <v>460.63053215000002</v>
      </c>
      <c r="DK35" s="10">
        <v>9</v>
      </c>
      <c r="DL35" s="10">
        <v>405.42422135999999</v>
      </c>
      <c r="DM35" s="10">
        <v>0</v>
      </c>
      <c r="DN35" s="10">
        <v>0</v>
      </c>
      <c r="DO35" s="10">
        <v>175</v>
      </c>
      <c r="DP35" s="10">
        <v>2129.3231530399999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35</v>
      </c>
      <c r="EB35" s="10">
        <v>532.25690015999987</v>
      </c>
      <c r="EC35" s="10">
        <v>16</v>
      </c>
      <c r="ED35" s="10">
        <v>263.79447556999997</v>
      </c>
      <c r="EE35" s="10">
        <v>747</v>
      </c>
      <c r="EF35" s="10">
        <v>7879.8060496199996</v>
      </c>
      <c r="EG35" s="10">
        <v>197</v>
      </c>
      <c r="EH35" s="10">
        <v>3539.8954673599997</v>
      </c>
      <c r="EI35" s="10">
        <v>4</v>
      </c>
      <c r="EJ35" s="10">
        <v>20.2852</v>
      </c>
      <c r="EK35" s="10">
        <v>0</v>
      </c>
      <c r="EL35" s="10">
        <v>0</v>
      </c>
      <c r="EM35" s="10">
        <v>5</v>
      </c>
      <c r="EN35" s="10">
        <v>27.246752000000001</v>
      </c>
      <c r="EO35" s="10">
        <v>0</v>
      </c>
      <c r="EP35" s="10">
        <v>0</v>
      </c>
      <c r="EQ35" s="10">
        <v>1</v>
      </c>
      <c r="ER35" s="10">
        <v>10</v>
      </c>
      <c r="ES35" s="10">
        <v>0</v>
      </c>
      <c r="ET35" s="10">
        <v>0</v>
      </c>
      <c r="EU35" s="10">
        <v>3</v>
      </c>
      <c r="EV35" s="10">
        <v>77.063696319999991</v>
      </c>
      <c r="EW35" s="10">
        <v>0</v>
      </c>
      <c r="EX35" s="10">
        <v>0</v>
      </c>
      <c r="EY35" s="10">
        <v>172</v>
      </c>
      <c r="EZ35" s="10">
        <v>1222.6450727699996</v>
      </c>
      <c r="FA35" s="10">
        <v>30</v>
      </c>
      <c r="FB35" s="10">
        <v>376.61916461999999</v>
      </c>
      <c r="FC35" s="10">
        <v>9</v>
      </c>
      <c r="FD35" s="10">
        <v>66.122607760000008</v>
      </c>
      <c r="FE35" s="10">
        <v>2</v>
      </c>
      <c r="FF35" s="10">
        <v>7.2253603100000001</v>
      </c>
      <c r="FG35" s="10">
        <v>2</v>
      </c>
      <c r="FH35" s="10">
        <v>1.9701165199999999</v>
      </c>
      <c r="FI35" s="10">
        <v>0</v>
      </c>
      <c r="FJ35" s="10">
        <v>0</v>
      </c>
      <c r="FK35" s="10">
        <v>19</v>
      </c>
      <c r="FL35" s="10">
        <v>93.253179419999981</v>
      </c>
      <c r="FM35" s="10">
        <v>3</v>
      </c>
      <c r="FN35" s="10">
        <v>10.999777969999998</v>
      </c>
      <c r="FO35" s="10">
        <v>7</v>
      </c>
      <c r="FP35" s="10">
        <v>79.62429087999999</v>
      </c>
      <c r="FQ35" s="10">
        <v>3</v>
      </c>
      <c r="FR35" s="10">
        <v>70.481802450000004</v>
      </c>
      <c r="FS35" s="10">
        <v>0</v>
      </c>
      <c r="FT35" s="10">
        <v>0</v>
      </c>
      <c r="FU35" s="10">
        <v>0</v>
      </c>
      <c r="FV35" s="10">
        <v>0</v>
      </c>
      <c r="FW35" s="18">
        <f t="shared" si="14"/>
        <v>0</v>
      </c>
      <c r="FX35" s="18">
        <f t="shared" si="8"/>
        <v>0</v>
      </c>
      <c r="FY35" s="18">
        <f t="shared" si="9"/>
        <v>0</v>
      </c>
      <c r="FZ35" s="18">
        <f t="shared" si="10"/>
        <v>0</v>
      </c>
      <c r="GA35" s="18">
        <f t="shared" si="15"/>
        <v>0</v>
      </c>
      <c r="GB35" s="18">
        <f t="shared" si="11"/>
        <v>2.9842794901924208E-12</v>
      </c>
      <c r="GC35" s="18">
        <f t="shared" si="12"/>
        <v>0</v>
      </c>
      <c r="GD35" s="18">
        <f t="shared" si="13"/>
        <v>4.9737991503207013E-13</v>
      </c>
    </row>
    <row r="36" spans="1:186" s="11" customFormat="1" ht="27" customHeight="1" x14ac:dyDescent="0.25">
      <c r="A36" s="66" t="s">
        <v>29</v>
      </c>
      <c r="B36" s="1">
        <f t="shared" si="16"/>
        <v>29</v>
      </c>
      <c r="C36" s="20" t="s">
        <v>2080</v>
      </c>
      <c r="D36" s="20" t="s">
        <v>2093</v>
      </c>
      <c r="E36" s="65">
        <v>10447</v>
      </c>
      <c r="F36" s="19" t="s">
        <v>2075</v>
      </c>
      <c r="G36" s="9">
        <v>2328</v>
      </c>
      <c r="H36" s="9">
        <v>38264.333268450027</v>
      </c>
      <c r="I36" s="9">
        <v>42</v>
      </c>
      <c r="J36" s="9">
        <v>773.76229042999978</v>
      </c>
      <c r="K36" s="9">
        <v>8</v>
      </c>
      <c r="L36" s="9">
        <v>694.57612525000002</v>
      </c>
      <c r="M36" s="9">
        <v>0</v>
      </c>
      <c r="N36" s="9">
        <v>0</v>
      </c>
      <c r="O36" s="9">
        <v>36</v>
      </c>
      <c r="P36" s="9">
        <v>2986.8089924399997</v>
      </c>
      <c r="Q36" s="9">
        <v>0</v>
      </c>
      <c r="R36" s="9">
        <v>0</v>
      </c>
      <c r="S36" s="9">
        <v>2284</v>
      </c>
      <c r="T36" s="9">
        <v>34582.948150760029</v>
      </c>
      <c r="U36" s="9">
        <v>42</v>
      </c>
      <c r="V36" s="9">
        <v>773.76229042999978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6</v>
      </c>
      <c r="AJ36" s="10">
        <v>546.78838045000009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8</v>
      </c>
      <c r="BH36" s="10">
        <v>585.70153095000001</v>
      </c>
      <c r="BI36" s="10">
        <v>0</v>
      </c>
      <c r="BJ36" s="10">
        <v>0</v>
      </c>
      <c r="BK36" s="10">
        <v>3</v>
      </c>
      <c r="BL36" s="10">
        <v>300</v>
      </c>
      <c r="BM36" s="10">
        <v>0</v>
      </c>
      <c r="BN36" s="10">
        <v>0</v>
      </c>
      <c r="BO36" s="10">
        <v>4</v>
      </c>
      <c r="BP36" s="10">
        <v>259.31730117000001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1</v>
      </c>
      <c r="CF36" s="10">
        <v>100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1</v>
      </c>
      <c r="CR36" s="10">
        <v>19.374602739999997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21</v>
      </c>
      <c r="CZ36" s="10">
        <v>1870.20330238</v>
      </c>
      <c r="DA36" s="10">
        <v>0</v>
      </c>
      <c r="DB36" s="10">
        <v>0</v>
      </c>
      <c r="DC36" s="10">
        <v>2</v>
      </c>
      <c r="DD36" s="10">
        <v>472.745</v>
      </c>
      <c r="DE36" s="10">
        <v>0</v>
      </c>
      <c r="DF36" s="10">
        <v>0</v>
      </c>
      <c r="DG36" s="10">
        <v>304</v>
      </c>
      <c r="DH36" s="10">
        <v>8213.346089069988</v>
      </c>
      <c r="DI36" s="10">
        <v>6</v>
      </c>
      <c r="DJ36" s="10">
        <v>52.848807950000001</v>
      </c>
      <c r="DK36" s="10">
        <v>11</v>
      </c>
      <c r="DL36" s="10">
        <v>1364.2341659799999</v>
      </c>
      <c r="DM36" s="10">
        <v>0</v>
      </c>
      <c r="DN36" s="10">
        <v>0</v>
      </c>
      <c r="DO36" s="10">
        <v>13</v>
      </c>
      <c r="DP36" s="10">
        <v>91.012609999999995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811</v>
      </c>
      <c r="EB36" s="10">
        <v>14553.271351439998</v>
      </c>
      <c r="EC36" s="10">
        <v>17</v>
      </c>
      <c r="ED36" s="10">
        <v>430.20050399000002</v>
      </c>
      <c r="EE36" s="10">
        <v>617</v>
      </c>
      <c r="EF36" s="10">
        <v>5985.7348181499992</v>
      </c>
      <c r="EG36" s="10">
        <v>15</v>
      </c>
      <c r="EH36" s="10">
        <v>269.06158191999998</v>
      </c>
      <c r="EI36" s="10">
        <v>28</v>
      </c>
      <c r="EJ36" s="10">
        <v>168.08222536000002</v>
      </c>
      <c r="EK36" s="10">
        <v>1</v>
      </c>
      <c r="EL36" s="10">
        <v>4.8910191300000001</v>
      </c>
      <c r="EM36" s="10">
        <v>47</v>
      </c>
      <c r="EN36" s="10">
        <v>438.67877553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344</v>
      </c>
      <c r="EZ36" s="10">
        <v>2442.12286434</v>
      </c>
      <c r="FA36" s="10">
        <v>3</v>
      </c>
      <c r="FB36" s="10">
        <v>16.760377440000003</v>
      </c>
      <c r="FC36" s="10">
        <v>12</v>
      </c>
      <c r="FD36" s="10">
        <v>98.141459429999998</v>
      </c>
      <c r="FE36" s="10">
        <v>0</v>
      </c>
      <c r="FF36" s="10">
        <v>0</v>
      </c>
      <c r="FG36" s="10">
        <v>9</v>
      </c>
      <c r="FH36" s="10">
        <v>142.04029837000002</v>
      </c>
      <c r="FI36" s="10">
        <v>0</v>
      </c>
      <c r="FJ36" s="10">
        <v>0</v>
      </c>
      <c r="FK36" s="10">
        <v>81</v>
      </c>
      <c r="FL36" s="10">
        <v>537.2418123299999</v>
      </c>
      <c r="FM36" s="10">
        <v>0</v>
      </c>
      <c r="FN36" s="10">
        <v>0</v>
      </c>
      <c r="FO36" s="10">
        <v>5</v>
      </c>
      <c r="FP36" s="10">
        <v>76.296680759999987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8">
        <f t="shared" si="14"/>
        <v>0</v>
      </c>
      <c r="FX36" s="18">
        <f t="shared" si="8"/>
        <v>0</v>
      </c>
      <c r="FY36" s="18">
        <f t="shared" si="9"/>
        <v>0</v>
      </c>
      <c r="FZ36" s="18">
        <f t="shared" si="10"/>
        <v>0</v>
      </c>
      <c r="GA36" s="18">
        <f t="shared" si="15"/>
        <v>0</v>
      </c>
      <c r="GB36" s="18">
        <f t="shared" si="11"/>
        <v>4.0103032006300054E-11</v>
      </c>
      <c r="GC36" s="18">
        <f t="shared" si="12"/>
        <v>0</v>
      </c>
      <c r="GD36" s="18">
        <f t="shared" si="13"/>
        <v>-2.5579538487363607E-13</v>
      </c>
    </row>
    <row r="37" spans="1:186" s="11" customFormat="1" ht="27" customHeight="1" x14ac:dyDescent="0.25">
      <c r="A37" s="66" t="s">
        <v>29</v>
      </c>
      <c r="B37" s="1">
        <f t="shared" si="16"/>
        <v>30</v>
      </c>
      <c r="C37" s="20" t="s">
        <v>2080</v>
      </c>
      <c r="D37" s="20" t="s">
        <v>2088</v>
      </c>
      <c r="E37" s="65">
        <v>11247</v>
      </c>
      <c r="F37" s="19" t="s">
        <v>2049</v>
      </c>
      <c r="G37" s="9">
        <v>1461</v>
      </c>
      <c r="H37" s="9">
        <v>28199.92720877998</v>
      </c>
      <c r="I37" s="9">
        <v>146</v>
      </c>
      <c r="J37" s="9">
        <v>5093.5497794299999</v>
      </c>
      <c r="K37" s="9">
        <v>10</v>
      </c>
      <c r="L37" s="9">
        <v>1034.7863441</v>
      </c>
      <c r="M37" s="9">
        <v>3</v>
      </c>
      <c r="N37" s="9">
        <v>252.19225834</v>
      </c>
      <c r="O37" s="9">
        <v>15</v>
      </c>
      <c r="P37" s="9">
        <v>1446.3022065499999</v>
      </c>
      <c r="Q37" s="9">
        <v>1</v>
      </c>
      <c r="R37" s="9">
        <v>100</v>
      </c>
      <c r="S37" s="9">
        <v>1436</v>
      </c>
      <c r="T37" s="9">
        <v>25718.838658129982</v>
      </c>
      <c r="U37" s="9">
        <v>142</v>
      </c>
      <c r="V37" s="9">
        <v>4741.3575210899999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2</v>
      </c>
      <c r="AJ37" s="10">
        <v>283.33333499999998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2</v>
      </c>
      <c r="BH37" s="10">
        <v>200</v>
      </c>
      <c r="BI37" s="10">
        <v>1</v>
      </c>
      <c r="BJ37" s="10">
        <v>100</v>
      </c>
      <c r="BK37" s="10">
        <v>2</v>
      </c>
      <c r="BL37" s="10">
        <v>200</v>
      </c>
      <c r="BM37" s="10">
        <v>0</v>
      </c>
      <c r="BN37" s="10">
        <v>0</v>
      </c>
      <c r="BO37" s="10">
        <v>6</v>
      </c>
      <c r="BP37" s="10">
        <v>599.56075076000002</v>
      </c>
      <c r="BQ37" s="10">
        <v>0</v>
      </c>
      <c r="BR37" s="10">
        <v>0</v>
      </c>
      <c r="BS37" s="10">
        <v>3</v>
      </c>
      <c r="BT37" s="10">
        <v>252.19225834</v>
      </c>
      <c r="BU37" s="10">
        <v>2</v>
      </c>
      <c r="BV37" s="10">
        <v>152.19225834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1</v>
      </c>
      <c r="CF37" s="10">
        <v>99.7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2</v>
      </c>
      <c r="CN37" s="10">
        <v>200</v>
      </c>
      <c r="CO37" s="10">
        <v>1</v>
      </c>
      <c r="CP37" s="10">
        <v>100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7</v>
      </c>
      <c r="CZ37" s="10">
        <v>646.30220654999994</v>
      </c>
      <c r="DA37" s="10">
        <v>0</v>
      </c>
      <c r="DB37" s="10">
        <v>0</v>
      </c>
      <c r="DC37" s="10">
        <v>10</v>
      </c>
      <c r="DD37" s="10">
        <v>2119.2754440600002</v>
      </c>
      <c r="DE37" s="10">
        <v>0</v>
      </c>
      <c r="DF37" s="10">
        <v>0</v>
      </c>
      <c r="DG37" s="10">
        <v>239</v>
      </c>
      <c r="DH37" s="10">
        <v>3929.7761659700004</v>
      </c>
      <c r="DI37" s="10">
        <v>22</v>
      </c>
      <c r="DJ37" s="10">
        <v>347.58718671999998</v>
      </c>
      <c r="DK37" s="10">
        <v>45</v>
      </c>
      <c r="DL37" s="10">
        <v>7139.0059755699995</v>
      </c>
      <c r="DM37" s="10">
        <v>10</v>
      </c>
      <c r="DN37" s="10">
        <v>2850.4533013900004</v>
      </c>
      <c r="DO37" s="10">
        <v>187</v>
      </c>
      <c r="DP37" s="10">
        <v>1912.2866875100001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123</v>
      </c>
      <c r="EB37" s="10">
        <v>2468.5800939299997</v>
      </c>
      <c r="EC37" s="10">
        <v>5</v>
      </c>
      <c r="ED37" s="10">
        <v>136.01712038999997</v>
      </c>
      <c r="EE37" s="10">
        <v>610</v>
      </c>
      <c r="EF37" s="10">
        <v>5911.0724585700009</v>
      </c>
      <c r="EG37" s="10">
        <v>86</v>
      </c>
      <c r="EH37" s="10">
        <v>1158.26827882</v>
      </c>
      <c r="EI37" s="10">
        <v>3</v>
      </c>
      <c r="EJ37" s="10">
        <v>30.322726940000003</v>
      </c>
      <c r="EK37" s="10">
        <v>1</v>
      </c>
      <c r="EL37" s="10">
        <v>2.9285290900000001</v>
      </c>
      <c r="EM37" s="10">
        <v>22</v>
      </c>
      <c r="EN37" s="10">
        <v>576.6567103299999</v>
      </c>
      <c r="EO37" s="10">
        <v>1</v>
      </c>
      <c r="EP37" s="10">
        <v>31.9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167</v>
      </c>
      <c r="EZ37" s="10">
        <v>1371.9783268499998</v>
      </c>
      <c r="FA37" s="10">
        <v>16</v>
      </c>
      <c r="FB37" s="10">
        <v>204.20310468</v>
      </c>
      <c r="FC37" s="10">
        <v>7</v>
      </c>
      <c r="FD37" s="10">
        <v>92.550510950000003</v>
      </c>
      <c r="FE37" s="10">
        <v>0</v>
      </c>
      <c r="FF37" s="10">
        <v>0</v>
      </c>
      <c r="FG37" s="10">
        <v>3</v>
      </c>
      <c r="FH37" s="10">
        <v>37.329038570000002</v>
      </c>
      <c r="FI37" s="10">
        <v>0</v>
      </c>
      <c r="FJ37" s="10">
        <v>0</v>
      </c>
      <c r="FK37" s="10">
        <v>19</v>
      </c>
      <c r="FL37" s="10">
        <v>121.82269887999999</v>
      </c>
      <c r="FM37" s="10">
        <v>1</v>
      </c>
      <c r="FN37" s="10">
        <v>10</v>
      </c>
      <c r="FO37" s="10">
        <v>1</v>
      </c>
      <c r="FP37" s="10">
        <v>8.1818200000000001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8">
        <f t="shared" si="14"/>
        <v>0</v>
      </c>
      <c r="FX37" s="18">
        <f t="shared" si="8"/>
        <v>0</v>
      </c>
      <c r="FY37" s="18">
        <f t="shared" si="9"/>
        <v>0</v>
      </c>
      <c r="FZ37" s="18">
        <f t="shared" si="10"/>
        <v>0</v>
      </c>
      <c r="GA37" s="18">
        <f t="shared" si="15"/>
        <v>0</v>
      </c>
      <c r="GB37" s="18">
        <f t="shared" si="11"/>
        <v>-2.2323476400742948E-11</v>
      </c>
      <c r="GC37" s="18">
        <f t="shared" si="12"/>
        <v>0</v>
      </c>
      <c r="GD37" s="18">
        <f t="shared" si="13"/>
        <v>-8.2422957348171622E-13</v>
      </c>
    </row>
    <row r="38" spans="1:186" s="11" customFormat="1" ht="27" customHeight="1" x14ac:dyDescent="0.25">
      <c r="A38" s="66" t="s">
        <v>29</v>
      </c>
      <c r="B38" s="1">
        <f t="shared" si="16"/>
        <v>31</v>
      </c>
      <c r="C38" s="20" t="s">
        <v>2080</v>
      </c>
      <c r="D38" s="20" t="s">
        <v>2082</v>
      </c>
      <c r="E38" s="65">
        <v>11412</v>
      </c>
      <c r="F38" s="19" t="s">
        <v>2062</v>
      </c>
      <c r="G38" s="9">
        <v>4823</v>
      </c>
      <c r="H38" s="9">
        <v>242146.91792044006</v>
      </c>
      <c r="I38" s="9">
        <v>320</v>
      </c>
      <c r="J38" s="9">
        <v>8979.1863470600001</v>
      </c>
      <c r="K38" s="9">
        <v>71</v>
      </c>
      <c r="L38" s="9">
        <v>173166.01424060998</v>
      </c>
      <c r="M38" s="9">
        <v>15</v>
      </c>
      <c r="N38" s="9">
        <v>3787.5930727</v>
      </c>
      <c r="O38" s="9">
        <v>70</v>
      </c>
      <c r="P38" s="9">
        <v>5754.6471206100005</v>
      </c>
      <c r="Q38" s="9">
        <v>2</v>
      </c>
      <c r="R38" s="9">
        <v>20.663496219999999</v>
      </c>
      <c r="S38" s="9">
        <v>4682</v>
      </c>
      <c r="T38" s="9">
        <v>63226.256559220048</v>
      </c>
      <c r="U38" s="9">
        <v>303</v>
      </c>
      <c r="V38" s="9">
        <v>5170.9297781399991</v>
      </c>
      <c r="W38" s="10">
        <v>5</v>
      </c>
      <c r="X38" s="10">
        <v>603.29978924</v>
      </c>
      <c r="Y38" s="10">
        <v>1</v>
      </c>
      <c r="Z38" s="10">
        <v>57.497854340000004</v>
      </c>
      <c r="AA38" s="10">
        <v>8</v>
      </c>
      <c r="AB38" s="10">
        <v>1174.2347885199999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23</v>
      </c>
      <c r="AJ38" s="10">
        <v>162718.94935163998</v>
      </c>
      <c r="AK38" s="10">
        <v>4</v>
      </c>
      <c r="AL38" s="10">
        <v>1146.1679866500001</v>
      </c>
      <c r="AM38" s="10">
        <v>1</v>
      </c>
      <c r="AN38" s="10">
        <v>120.2166103</v>
      </c>
      <c r="AO38" s="10">
        <v>1</v>
      </c>
      <c r="AP38" s="10">
        <v>120.2166103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1</v>
      </c>
      <c r="BD38" s="10">
        <v>100</v>
      </c>
      <c r="BE38" s="10">
        <v>0</v>
      </c>
      <c r="BF38" s="10">
        <v>0</v>
      </c>
      <c r="BG38" s="10">
        <v>2</v>
      </c>
      <c r="BH38" s="10">
        <v>278.75</v>
      </c>
      <c r="BI38" s="10">
        <v>1</v>
      </c>
      <c r="BJ38" s="10">
        <v>178.75</v>
      </c>
      <c r="BK38" s="10">
        <v>7</v>
      </c>
      <c r="BL38" s="10">
        <v>3331.8560207399996</v>
      </c>
      <c r="BM38" s="10">
        <v>4</v>
      </c>
      <c r="BN38" s="10">
        <v>2085.68135274</v>
      </c>
      <c r="BO38" s="10">
        <v>11</v>
      </c>
      <c r="BP38" s="10">
        <v>1780.16865293</v>
      </c>
      <c r="BQ38" s="10">
        <v>1</v>
      </c>
      <c r="BR38" s="10">
        <v>69.266479879999991</v>
      </c>
      <c r="BS38" s="10">
        <v>3</v>
      </c>
      <c r="BT38" s="10">
        <v>127.04243478000001</v>
      </c>
      <c r="BU38" s="10">
        <v>2</v>
      </c>
      <c r="BV38" s="10">
        <v>27.042434780000001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2</v>
      </c>
      <c r="CF38" s="10">
        <v>105.28773644</v>
      </c>
      <c r="CG38" s="10">
        <v>1</v>
      </c>
      <c r="CH38" s="10">
        <v>5.2877364400000006</v>
      </c>
      <c r="CI38" s="10">
        <v>0</v>
      </c>
      <c r="CJ38" s="10">
        <v>0</v>
      </c>
      <c r="CK38" s="10">
        <v>0</v>
      </c>
      <c r="CL38" s="10">
        <v>0</v>
      </c>
      <c r="CM38" s="10">
        <v>10</v>
      </c>
      <c r="CN38" s="10">
        <v>2188.0869150200001</v>
      </c>
      <c r="CO38" s="10">
        <v>0</v>
      </c>
      <c r="CP38" s="10">
        <v>0</v>
      </c>
      <c r="CQ38" s="10">
        <v>2</v>
      </c>
      <c r="CR38" s="10">
        <v>323.41163752</v>
      </c>
      <c r="CS38" s="10">
        <v>1</v>
      </c>
      <c r="CT38" s="10">
        <v>4.7027859999999997</v>
      </c>
      <c r="CU38" s="10">
        <v>0</v>
      </c>
      <c r="CV38" s="10">
        <v>0</v>
      </c>
      <c r="CW38" s="10">
        <v>0</v>
      </c>
      <c r="CX38" s="10">
        <v>0</v>
      </c>
      <c r="CY38" s="10">
        <v>66</v>
      </c>
      <c r="CZ38" s="10">
        <v>6069.3574240899998</v>
      </c>
      <c r="DA38" s="10">
        <v>1</v>
      </c>
      <c r="DB38" s="10">
        <v>113.64332779</v>
      </c>
      <c r="DC38" s="10">
        <v>17</v>
      </c>
      <c r="DD38" s="10">
        <v>3278.8019825499996</v>
      </c>
      <c r="DE38" s="10">
        <v>0</v>
      </c>
      <c r="DF38" s="10">
        <v>0</v>
      </c>
      <c r="DG38" s="10">
        <v>1062</v>
      </c>
      <c r="DH38" s="10">
        <v>21232.277813170003</v>
      </c>
      <c r="DI38" s="10">
        <v>89</v>
      </c>
      <c r="DJ38" s="10">
        <v>1823.9995060399999</v>
      </c>
      <c r="DK38" s="10">
        <v>31</v>
      </c>
      <c r="DL38" s="10">
        <v>2858.5109233399999</v>
      </c>
      <c r="DM38" s="10">
        <v>2</v>
      </c>
      <c r="DN38" s="10">
        <v>303.92449431</v>
      </c>
      <c r="DO38" s="10">
        <v>578</v>
      </c>
      <c r="DP38" s="10">
        <v>5477.3764577800021</v>
      </c>
      <c r="DQ38" s="10">
        <v>1</v>
      </c>
      <c r="DR38" s="10">
        <v>10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579</v>
      </c>
      <c r="EB38" s="10">
        <v>6978.9650874599993</v>
      </c>
      <c r="EC38" s="10">
        <v>43</v>
      </c>
      <c r="ED38" s="10">
        <v>694.93276781000009</v>
      </c>
      <c r="EE38" s="10">
        <v>1102</v>
      </c>
      <c r="EF38" s="10">
        <v>12071.189394460007</v>
      </c>
      <c r="EG38" s="10">
        <v>91</v>
      </c>
      <c r="EH38" s="10">
        <v>1671.60816045</v>
      </c>
      <c r="EI38" s="10">
        <v>180</v>
      </c>
      <c r="EJ38" s="10">
        <v>2313.1301222500001</v>
      </c>
      <c r="EK38" s="10">
        <v>2</v>
      </c>
      <c r="EL38" s="10">
        <v>15.854198199999999</v>
      </c>
      <c r="EM38" s="10">
        <v>533</v>
      </c>
      <c r="EN38" s="10">
        <v>3958.2440570600006</v>
      </c>
      <c r="EO38" s="10">
        <v>26</v>
      </c>
      <c r="EP38" s="10">
        <v>122.36126652999998</v>
      </c>
      <c r="EQ38" s="10">
        <v>2</v>
      </c>
      <c r="ER38" s="10">
        <v>18.09524</v>
      </c>
      <c r="ES38" s="10">
        <v>0</v>
      </c>
      <c r="ET38" s="10">
        <v>0</v>
      </c>
      <c r="EU38" s="10">
        <v>47</v>
      </c>
      <c r="EV38" s="10">
        <v>620.26079301999994</v>
      </c>
      <c r="EW38" s="10">
        <v>15</v>
      </c>
      <c r="EX38" s="10">
        <v>113.32816356999999</v>
      </c>
      <c r="EY38" s="10">
        <v>345</v>
      </c>
      <c r="EZ38" s="10">
        <v>2415.5294071999997</v>
      </c>
      <c r="FA38" s="10">
        <v>31</v>
      </c>
      <c r="FB38" s="10">
        <v>364.29258856000001</v>
      </c>
      <c r="FC38" s="10">
        <v>4</v>
      </c>
      <c r="FD38" s="10">
        <v>14.280014</v>
      </c>
      <c r="FE38" s="10">
        <v>0</v>
      </c>
      <c r="FF38" s="10">
        <v>0</v>
      </c>
      <c r="FG38" s="10">
        <v>24</v>
      </c>
      <c r="FH38" s="10">
        <v>225.55375331000002</v>
      </c>
      <c r="FI38" s="10">
        <v>1</v>
      </c>
      <c r="FJ38" s="10">
        <v>18.568979550000002</v>
      </c>
      <c r="FK38" s="10">
        <v>174</v>
      </c>
      <c r="FL38" s="10">
        <v>1705.56191956</v>
      </c>
      <c r="FM38" s="10">
        <v>2</v>
      </c>
      <c r="FN38" s="10">
        <v>32.05965312</v>
      </c>
      <c r="FO38" s="10">
        <v>4</v>
      </c>
      <c r="FP38" s="10">
        <v>58.479594060000004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8">
        <f t="shared" si="14"/>
        <v>0</v>
      </c>
      <c r="FX38" s="18">
        <f t="shared" si="8"/>
        <v>0</v>
      </c>
      <c r="FY38" s="18">
        <f t="shared" si="9"/>
        <v>0</v>
      </c>
      <c r="FZ38" s="18">
        <f t="shared" si="10"/>
        <v>0</v>
      </c>
      <c r="GA38" s="18">
        <f t="shared" si="15"/>
        <v>0</v>
      </c>
      <c r="GB38" s="18">
        <f t="shared" si="11"/>
        <v>4.9517723255121382E-11</v>
      </c>
      <c r="GC38" s="18">
        <f t="shared" si="12"/>
        <v>0</v>
      </c>
      <c r="GD38" s="18">
        <f t="shared" si="13"/>
        <v>2.0463630789890885E-12</v>
      </c>
    </row>
    <row r="39" spans="1:186" s="11" customFormat="1" ht="27" customHeight="1" x14ac:dyDescent="0.25">
      <c r="A39" s="66" t="s">
        <v>29</v>
      </c>
      <c r="B39" s="1">
        <f t="shared" si="16"/>
        <v>32</v>
      </c>
      <c r="C39" s="20" t="s">
        <v>2080</v>
      </c>
      <c r="D39" s="20" t="s">
        <v>2083</v>
      </c>
      <c r="E39" s="65">
        <v>11413</v>
      </c>
      <c r="F39" s="19" t="s">
        <v>2043</v>
      </c>
      <c r="G39" s="9">
        <v>2989</v>
      </c>
      <c r="H39" s="9">
        <v>97937.030442570103</v>
      </c>
      <c r="I39" s="9">
        <v>175</v>
      </c>
      <c r="J39" s="9">
        <v>3392.1991074800003</v>
      </c>
      <c r="K39" s="9">
        <v>108</v>
      </c>
      <c r="L39" s="9">
        <v>41401.256328859999</v>
      </c>
      <c r="M39" s="9">
        <v>5</v>
      </c>
      <c r="N39" s="9">
        <v>382.66830964999997</v>
      </c>
      <c r="O39" s="9">
        <v>96</v>
      </c>
      <c r="P39" s="9">
        <v>7899.5215115299998</v>
      </c>
      <c r="Q39" s="9">
        <v>3</v>
      </c>
      <c r="R39" s="9">
        <v>114.35567073</v>
      </c>
      <c r="S39" s="9">
        <v>2785</v>
      </c>
      <c r="T39" s="9">
        <v>48636.25260218011</v>
      </c>
      <c r="U39" s="9">
        <v>167</v>
      </c>
      <c r="V39" s="9">
        <v>2895.1751271000003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43</v>
      </c>
      <c r="AJ39" s="10">
        <v>27346.505157340001</v>
      </c>
      <c r="AK39" s="10">
        <v>3</v>
      </c>
      <c r="AL39" s="10">
        <v>328.06948900999998</v>
      </c>
      <c r="AM39" s="10">
        <v>1</v>
      </c>
      <c r="AN39" s="10">
        <v>437.50000599999998</v>
      </c>
      <c r="AO39" s="10">
        <v>0</v>
      </c>
      <c r="AP39" s="10">
        <v>0</v>
      </c>
      <c r="AQ39" s="10">
        <v>1</v>
      </c>
      <c r="AR39" s="10">
        <v>30</v>
      </c>
      <c r="AS39" s="10">
        <v>1</v>
      </c>
      <c r="AT39" s="10">
        <v>30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2</v>
      </c>
      <c r="BD39" s="10">
        <v>162.20902362000001</v>
      </c>
      <c r="BE39" s="10">
        <v>0</v>
      </c>
      <c r="BF39" s="10">
        <v>0</v>
      </c>
      <c r="BG39" s="10">
        <v>26</v>
      </c>
      <c r="BH39" s="10">
        <v>4137.9032918500006</v>
      </c>
      <c r="BI39" s="10">
        <v>1</v>
      </c>
      <c r="BJ39" s="10">
        <v>100</v>
      </c>
      <c r="BK39" s="10">
        <v>9</v>
      </c>
      <c r="BL39" s="10">
        <v>2719.6524021099999</v>
      </c>
      <c r="BM39" s="10">
        <v>0</v>
      </c>
      <c r="BN39" s="10">
        <v>0</v>
      </c>
      <c r="BO39" s="10">
        <v>11</v>
      </c>
      <c r="BP39" s="10">
        <v>1347.4335268299999</v>
      </c>
      <c r="BQ39" s="10">
        <v>1</v>
      </c>
      <c r="BR39" s="10">
        <v>24.59882064</v>
      </c>
      <c r="BS39" s="10">
        <v>16</v>
      </c>
      <c r="BT39" s="10">
        <v>460.91876833000003</v>
      </c>
      <c r="BU39" s="10">
        <v>2</v>
      </c>
      <c r="BV39" s="10">
        <v>14.35567073</v>
      </c>
      <c r="BW39" s="10">
        <v>1</v>
      </c>
      <c r="BX39" s="10">
        <v>303.030305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11</v>
      </c>
      <c r="CJ39" s="10">
        <v>2074.2405511300003</v>
      </c>
      <c r="CK39" s="10">
        <v>0</v>
      </c>
      <c r="CL39" s="10">
        <v>0</v>
      </c>
      <c r="CM39" s="10">
        <v>1</v>
      </c>
      <c r="CN39" s="10">
        <v>100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82</v>
      </c>
      <c r="CZ39" s="10">
        <v>10181.384808180001</v>
      </c>
      <c r="DA39" s="10">
        <v>0</v>
      </c>
      <c r="DB39" s="10">
        <v>0</v>
      </c>
      <c r="DC39" s="10">
        <v>6</v>
      </c>
      <c r="DD39" s="10">
        <v>2394.5404432</v>
      </c>
      <c r="DE39" s="10">
        <v>0</v>
      </c>
      <c r="DF39" s="10">
        <v>0</v>
      </c>
      <c r="DG39" s="10">
        <v>673</v>
      </c>
      <c r="DH39" s="10">
        <v>15486.703285280022</v>
      </c>
      <c r="DI39" s="10">
        <v>11</v>
      </c>
      <c r="DJ39" s="10">
        <v>136.92729494999998</v>
      </c>
      <c r="DK39" s="10">
        <v>27</v>
      </c>
      <c r="DL39" s="10">
        <v>4041.9842818700004</v>
      </c>
      <c r="DM39" s="10">
        <v>1</v>
      </c>
      <c r="DN39" s="10">
        <v>216.82662335000001</v>
      </c>
      <c r="DO39" s="10">
        <v>285</v>
      </c>
      <c r="DP39" s="10">
        <v>3089.3309115399998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123</v>
      </c>
      <c r="EB39" s="10">
        <v>1878.9452008799999</v>
      </c>
      <c r="EC39" s="10">
        <v>19</v>
      </c>
      <c r="ED39" s="10">
        <v>283.14711908000004</v>
      </c>
      <c r="EE39" s="10">
        <v>986</v>
      </c>
      <c r="EF39" s="10">
        <v>11497.703415879998</v>
      </c>
      <c r="EG39" s="10">
        <v>76</v>
      </c>
      <c r="EH39" s="10">
        <v>1206.1801330599999</v>
      </c>
      <c r="EI39" s="10">
        <v>18</v>
      </c>
      <c r="EJ39" s="10">
        <v>387.60232975000002</v>
      </c>
      <c r="EK39" s="10">
        <v>0</v>
      </c>
      <c r="EL39" s="10">
        <v>0</v>
      </c>
      <c r="EM39" s="10">
        <v>4</v>
      </c>
      <c r="EN39" s="10">
        <v>69.730305170000008</v>
      </c>
      <c r="EO39" s="10">
        <v>1</v>
      </c>
      <c r="EP39" s="10">
        <v>15.355305169999999</v>
      </c>
      <c r="EQ39" s="10">
        <v>0</v>
      </c>
      <c r="ER39" s="10">
        <v>0</v>
      </c>
      <c r="ES39" s="10">
        <v>0</v>
      </c>
      <c r="ET39" s="10">
        <v>0</v>
      </c>
      <c r="EU39" s="10">
        <v>44</v>
      </c>
      <c r="EV39" s="10">
        <v>691.25937816999999</v>
      </c>
      <c r="EW39" s="10">
        <v>4</v>
      </c>
      <c r="EX39" s="10">
        <v>17.919689350000002</v>
      </c>
      <c r="EY39" s="10">
        <v>146</v>
      </c>
      <c r="EZ39" s="10">
        <v>1490.4006692099999</v>
      </c>
      <c r="FA39" s="10">
        <v>14</v>
      </c>
      <c r="FB39" s="10">
        <v>252.51196257999999</v>
      </c>
      <c r="FC39" s="10">
        <v>16</v>
      </c>
      <c r="FD39" s="10">
        <v>124.90316374</v>
      </c>
      <c r="FE39" s="10">
        <v>0</v>
      </c>
      <c r="FF39" s="10">
        <v>0</v>
      </c>
      <c r="FG39" s="10">
        <v>418</v>
      </c>
      <c r="FH39" s="10">
        <v>7063.6784632400013</v>
      </c>
      <c r="FI39" s="10">
        <v>34</v>
      </c>
      <c r="FJ39" s="10">
        <v>645.08384952000006</v>
      </c>
      <c r="FK39" s="10">
        <v>29</v>
      </c>
      <c r="FL39" s="10">
        <v>309.73388790999996</v>
      </c>
      <c r="FM39" s="10">
        <v>6</v>
      </c>
      <c r="FN39" s="10">
        <v>114.27315003999999</v>
      </c>
      <c r="FO39" s="10">
        <v>10</v>
      </c>
      <c r="FP39" s="10">
        <v>109.73686634000001</v>
      </c>
      <c r="FQ39" s="10">
        <v>1</v>
      </c>
      <c r="FR39" s="10">
        <v>6.95</v>
      </c>
      <c r="FS39" s="10">
        <v>0</v>
      </c>
      <c r="FT39" s="10">
        <v>0</v>
      </c>
      <c r="FU39" s="10">
        <v>0</v>
      </c>
      <c r="FV39" s="10">
        <v>0</v>
      </c>
      <c r="FW39" s="18">
        <f t="shared" si="14"/>
        <v>0</v>
      </c>
      <c r="FX39" s="18">
        <f t="shared" si="8"/>
        <v>0</v>
      </c>
      <c r="FY39" s="18">
        <f t="shared" si="9"/>
        <v>0</v>
      </c>
      <c r="FZ39" s="18">
        <f t="shared" si="10"/>
        <v>0</v>
      </c>
      <c r="GA39" s="18">
        <f t="shared" si="15"/>
        <v>0</v>
      </c>
      <c r="GB39" s="18">
        <f t="shared" si="11"/>
        <v>7.9182882473105565E-11</v>
      </c>
      <c r="GC39" s="18">
        <f t="shared" si="12"/>
        <v>0</v>
      </c>
      <c r="GD39" s="18">
        <f t="shared" si="13"/>
        <v>7.3718808835110394E-14</v>
      </c>
    </row>
    <row r="40" spans="1:186" s="11" customFormat="1" ht="27" customHeight="1" x14ac:dyDescent="0.25">
      <c r="A40" s="66" t="s">
        <v>29</v>
      </c>
      <c r="B40" s="1">
        <f t="shared" si="16"/>
        <v>33</v>
      </c>
      <c r="C40" s="20" t="s">
        <v>2080</v>
      </c>
      <c r="D40" s="20" t="s">
        <v>2094</v>
      </c>
      <c r="E40" s="65">
        <v>11599</v>
      </c>
      <c r="F40" s="19" t="s">
        <v>2077</v>
      </c>
      <c r="G40" s="9">
        <v>616</v>
      </c>
      <c r="H40" s="9">
        <v>20905.232698210002</v>
      </c>
      <c r="I40" s="9">
        <v>6</v>
      </c>
      <c r="J40" s="9">
        <v>1963.0967254300001</v>
      </c>
      <c r="K40" s="9">
        <v>48</v>
      </c>
      <c r="L40" s="9">
        <v>4759.6287776000008</v>
      </c>
      <c r="M40" s="9">
        <v>0</v>
      </c>
      <c r="N40" s="9">
        <v>0</v>
      </c>
      <c r="O40" s="9">
        <v>25</v>
      </c>
      <c r="P40" s="9">
        <v>1865.4869850499999</v>
      </c>
      <c r="Q40" s="9">
        <v>0</v>
      </c>
      <c r="R40" s="9">
        <v>0</v>
      </c>
      <c r="S40" s="9">
        <v>543</v>
      </c>
      <c r="T40" s="9">
        <v>14280.116935560009</v>
      </c>
      <c r="U40" s="9">
        <v>6</v>
      </c>
      <c r="V40" s="9">
        <v>1963.0967254300001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2</v>
      </c>
      <c r="AJ40" s="10">
        <v>183.333336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11</v>
      </c>
      <c r="BP40" s="10">
        <v>420.40285864999998</v>
      </c>
      <c r="BQ40" s="10">
        <v>0</v>
      </c>
      <c r="BR40" s="10">
        <v>0</v>
      </c>
      <c r="BS40" s="10">
        <v>1</v>
      </c>
      <c r="BT40" s="10">
        <v>100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2</v>
      </c>
      <c r="CF40" s="10">
        <v>120.96624183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30</v>
      </c>
      <c r="CR40" s="10">
        <v>3792.3596971199995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27</v>
      </c>
      <c r="CZ40" s="10">
        <v>2008.0536290499999</v>
      </c>
      <c r="DA40" s="10">
        <v>0</v>
      </c>
      <c r="DB40" s="10">
        <v>0</v>
      </c>
      <c r="DC40" s="10">
        <v>1</v>
      </c>
      <c r="DD40" s="10">
        <v>148.647412</v>
      </c>
      <c r="DE40" s="10">
        <v>0</v>
      </c>
      <c r="DF40" s="10">
        <v>0</v>
      </c>
      <c r="DG40" s="10">
        <v>448</v>
      </c>
      <c r="DH40" s="10">
        <v>10117.551618310006</v>
      </c>
      <c r="DI40" s="10">
        <v>0</v>
      </c>
      <c r="DJ40" s="10">
        <v>0</v>
      </c>
      <c r="DK40" s="10">
        <v>19</v>
      </c>
      <c r="DL40" s="10">
        <v>3369.6224549499998</v>
      </c>
      <c r="DM40" s="10">
        <v>6</v>
      </c>
      <c r="DN40" s="10">
        <v>1963.0967254300001</v>
      </c>
      <c r="DO40" s="10">
        <v>67</v>
      </c>
      <c r="DP40" s="10">
        <v>580.14543529999992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5</v>
      </c>
      <c r="EF40" s="10">
        <v>46.316673999999999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2</v>
      </c>
      <c r="EZ40" s="10">
        <v>11.833341000000001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1</v>
      </c>
      <c r="FH40" s="10">
        <v>6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8">
        <f t="shared" si="14"/>
        <v>0</v>
      </c>
      <c r="FX40" s="18">
        <f t="shared" si="8"/>
        <v>0</v>
      </c>
      <c r="FY40" s="18">
        <f t="shared" si="9"/>
        <v>0</v>
      </c>
      <c r="FZ40" s="18">
        <f t="shared" si="10"/>
        <v>0</v>
      </c>
      <c r="GA40" s="18">
        <f t="shared" si="15"/>
        <v>0</v>
      </c>
      <c r="GB40" s="18">
        <f t="shared" si="11"/>
        <v>-1.1972645097557688E-12</v>
      </c>
      <c r="GC40" s="18">
        <f t="shared" si="12"/>
        <v>0</v>
      </c>
      <c r="GD40" s="18">
        <f t="shared" si="13"/>
        <v>0</v>
      </c>
    </row>
    <row r="41" spans="1:186" s="11" customFormat="1" ht="27" customHeight="1" x14ac:dyDescent="0.25">
      <c r="A41" s="66" t="s">
        <v>29</v>
      </c>
      <c r="B41" s="1">
        <f t="shared" ref="B41:B72" si="17">+B40+1</f>
        <v>34</v>
      </c>
      <c r="C41" s="20" t="s">
        <v>2080</v>
      </c>
      <c r="D41" s="20" t="s">
        <v>2085</v>
      </c>
      <c r="E41" s="65">
        <v>11785</v>
      </c>
      <c r="F41" s="19" t="s">
        <v>2077</v>
      </c>
      <c r="G41" s="9">
        <v>3688</v>
      </c>
      <c r="H41" s="9">
        <v>120892.16312989006</v>
      </c>
      <c r="I41" s="9">
        <v>35</v>
      </c>
      <c r="J41" s="9">
        <v>813.46805950999999</v>
      </c>
      <c r="K41" s="9">
        <v>141</v>
      </c>
      <c r="L41" s="9">
        <v>36907.968276749998</v>
      </c>
      <c r="M41" s="9">
        <v>3</v>
      </c>
      <c r="N41" s="9">
        <v>127.46226282000001</v>
      </c>
      <c r="O41" s="9">
        <v>168</v>
      </c>
      <c r="P41" s="9">
        <v>13481.922279320001</v>
      </c>
      <c r="Q41" s="9">
        <v>1</v>
      </c>
      <c r="R41" s="9">
        <v>6.2448958499999998</v>
      </c>
      <c r="S41" s="9">
        <v>3379</v>
      </c>
      <c r="T41" s="9">
        <v>70502.272573820053</v>
      </c>
      <c r="U41" s="9">
        <v>31</v>
      </c>
      <c r="V41" s="9">
        <v>679.76090083999998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44</v>
      </c>
      <c r="AJ41" s="10">
        <v>11570.68017392</v>
      </c>
      <c r="AK41" s="10">
        <v>1</v>
      </c>
      <c r="AL41" s="10">
        <v>24.0339925</v>
      </c>
      <c r="AM41" s="10">
        <v>0</v>
      </c>
      <c r="AN41" s="10">
        <v>0</v>
      </c>
      <c r="AO41" s="10">
        <v>0</v>
      </c>
      <c r="AP41" s="10">
        <v>0</v>
      </c>
      <c r="AQ41" s="10">
        <v>1</v>
      </c>
      <c r="AR41" s="10">
        <v>700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1</v>
      </c>
      <c r="AZ41" s="10">
        <v>34.166668999999999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43</v>
      </c>
      <c r="BH41" s="10">
        <v>6115.0348896699998</v>
      </c>
      <c r="BI41" s="10">
        <v>0</v>
      </c>
      <c r="BJ41" s="10">
        <v>0</v>
      </c>
      <c r="BK41" s="10">
        <v>10</v>
      </c>
      <c r="BL41" s="10">
        <v>437.12235426000001</v>
      </c>
      <c r="BM41" s="10">
        <v>1</v>
      </c>
      <c r="BN41" s="10">
        <v>6.2448958499999998</v>
      </c>
      <c r="BO41" s="10">
        <v>27</v>
      </c>
      <c r="BP41" s="10">
        <v>2512.2064235600001</v>
      </c>
      <c r="BQ41" s="10">
        <v>1</v>
      </c>
      <c r="BR41" s="10">
        <v>13.450526949999999</v>
      </c>
      <c r="BS41" s="10">
        <v>18</v>
      </c>
      <c r="BT41" s="10">
        <v>527.18139139999994</v>
      </c>
      <c r="BU41" s="10">
        <v>1</v>
      </c>
      <c r="BV41" s="10">
        <v>89.977743369999999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4</v>
      </c>
      <c r="CF41" s="10">
        <v>337.77527345999999</v>
      </c>
      <c r="CG41" s="10">
        <v>0</v>
      </c>
      <c r="CH41" s="10">
        <v>0</v>
      </c>
      <c r="CI41" s="10">
        <v>3</v>
      </c>
      <c r="CJ41" s="10">
        <v>3114.7967480000002</v>
      </c>
      <c r="CK41" s="10">
        <v>0</v>
      </c>
      <c r="CL41" s="10">
        <v>0</v>
      </c>
      <c r="CM41" s="10">
        <v>3</v>
      </c>
      <c r="CN41" s="10">
        <v>119.60243199000001</v>
      </c>
      <c r="CO41" s="10">
        <v>0</v>
      </c>
      <c r="CP41" s="10">
        <v>0</v>
      </c>
      <c r="CQ41" s="10">
        <v>9</v>
      </c>
      <c r="CR41" s="10">
        <v>716.76292017000003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146</v>
      </c>
      <c r="CZ41" s="10">
        <v>24204.561280639999</v>
      </c>
      <c r="DA41" s="10">
        <v>0</v>
      </c>
      <c r="DB41" s="10">
        <v>0</v>
      </c>
      <c r="DC41" s="10">
        <v>72</v>
      </c>
      <c r="DD41" s="10">
        <v>14781.438052110001</v>
      </c>
      <c r="DE41" s="10">
        <v>1</v>
      </c>
      <c r="DF41" s="10">
        <v>12.548076930000001</v>
      </c>
      <c r="DG41" s="10">
        <v>816</v>
      </c>
      <c r="DH41" s="10">
        <v>16654.601092529996</v>
      </c>
      <c r="DI41" s="10">
        <v>5</v>
      </c>
      <c r="DJ41" s="10">
        <v>100.72832308</v>
      </c>
      <c r="DK41" s="10">
        <v>51</v>
      </c>
      <c r="DL41" s="10">
        <v>5697.4178449699994</v>
      </c>
      <c r="DM41" s="10">
        <v>2</v>
      </c>
      <c r="DN41" s="10">
        <v>378.96136000000001</v>
      </c>
      <c r="DO41" s="10">
        <v>378</v>
      </c>
      <c r="DP41" s="10">
        <v>4094.6088622599991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943</v>
      </c>
      <c r="EB41" s="10">
        <v>15176.981383740003</v>
      </c>
      <c r="EC41" s="10">
        <v>6</v>
      </c>
      <c r="ED41" s="10">
        <v>40.964404039999998</v>
      </c>
      <c r="EE41" s="10">
        <v>565</v>
      </c>
      <c r="EF41" s="10">
        <v>6675.2447648199977</v>
      </c>
      <c r="EG41" s="10">
        <v>4</v>
      </c>
      <c r="EH41" s="10">
        <v>62.729919299999999</v>
      </c>
      <c r="EI41" s="10">
        <v>25</v>
      </c>
      <c r="EJ41" s="10">
        <v>329.70788272000004</v>
      </c>
      <c r="EK41" s="10">
        <v>0</v>
      </c>
      <c r="EL41" s="10">
        <v>0</v>
      </c>
      <c r="EM41" s="10">
        <v>78</v>
      </c>
      <c r="EN41" s="10">
        <v>1546.5193416</v>
      </c>
      <c r="EO41" s="10">
        <v>0</v>
      </c>
      <c r="EP41" s="10">
        <v>0</v>
      </c>
      <c r="EQ41" s="10">
        <v>2</v>
      </c>
      <c r="ER41" s="10">
        <v>37.110752950000006</v>
      </c>
      <c r="ES41" s="10">
        <v>0</v>
      </c>
      <c r="ET41" s="10">
        <v>0</v>
      </c>
      <c r="EU41" s="10">
        <v>34</v>
      </c>
      <c r="EV41" s="10">
        <v>636.89506868000012</v>
      </c>
      <c r="EW41" s="10">
        <v>10</v>
      </c>
      <c r="EX41" s="10">
        <v>56.817006859999999</v>
      </c>
      <c r="EY41" s="10">
        <v>300</v>
      </c>
      <c r="EZ41" s="10">
        <v>3397.01858791</v>
      </c>
      <c r="FA41" s="10">
        <v>1</v>
      </c>
      <c r="FB41" s="10">
        <v>1.7797811200000002</v>
      </c>
      <c r="FC41" s="10">
        <v>12</v>
      </c>
      <c r="FD41" s="10">
        <v>243.03958562</v>
      </c>
      <c r="FE41" s="10">
        <v>1</v>
      </c>
      <c r="FF41" s="10">
        <v>23.03306787</v>
      </c>
      <c r="FG41" s="10">
        <v>66</v>
      </c>
      <c r="FH41" s="10">
        <v>940.22058711999989</v>
      </c>
      <c r="FI41" s="10">
        <v>0</v>
      </c>
      <c r="FJ41" s="10">
        <v>0</v>
      </c>
      <c r="FK41" s="10">
        <v>29</v>
      </c>
      <c r="FL41" s="10">
        <v>205.25616243000002</v>
      </c>
      <c r="FM41" s="10">
        <v>1</v>
      </c>
      <c r="FN41" s="10">
        <v>2.1989616400000003</v>
      </c>
      <c r="FO41" s="10">
        <v>8</v>
      </c>
      <c r="FP41" s="10">
        <v>86.21260436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8">
        <f t="shared" si="14"/>
        <v>0</v>
      </c>
      <c r="FX41" s="18">
        <f t="shared" si="8"/>
        <v>0</v>
      </c>
      <c r="FY41" s="18">
        <f t="shared" si="9"/>
        <v>0</v>
      </c>
      <c r="FZ41" s="18">
        <f t="shared" si="10"/>
        <v>0</v>
      </c>
      <c r="GA41" s="18">
        <f t="shared" si="15"/>
        <v>0</v>
      </c>
      <c r="GB41" s="18">
        <f t="shared" si="11"/>
        <v>5.1386450650170445E-11</v>
      </c>
      <c r="GC41" s="18">
        <f t="shared" si="12"/>
        <v>0</v>
      </c>
      <c r="GD41" s="18">
        <f t="shared" si="13"/>
        <v>-2.1316282072803006E-14</v>
      </c>
    </row>
    <row r="42" spans="1:186" s="11" customFormat="1" ht="27" customHeight="1" x14ac:dyDescent="0.25">
      <c r="A42" s="66" t="s">
        <v>29</v>
      </c>
      <c r="B42" s="1">
        <f t="shared" si="17"/>
        <v>35</v>
      </c>
      <c r="C42" s="20" t="s">
        <v>2080</v>
      </c>
      <c r="D42" s="20" t="s">
        <v>2081</v>
      </c>
      <c r="E42" s="65">
        <v>11786</v>
      </c>
      <c r="F42" s="19" t="s">
        <v>2035</v>
      </c>
      <c r="G42" s="9">
        <v>2020</v>
      </c>
      <c r="H42" s="9">
        <v>379053.64520527999</v>
      </c>
      <c r="I42" s="9">
        <v>250</v>
      </c>
      <c r="J42" s="9">
        <v>45254.826314759994</v>
      </c>
      <c r="K42" s="9">
        <v>76</v>
      </c>
      <c r="L42" s="9">
        <v>289817.83327500999</v>
      </c>
      <c r="M42" s="9">
        <v>14</v>
      </c>
      <c r="N42" s="9">
        <v>29603.464428980002</v>
      </c>
      <c r="O42" s="9">
        <v>15</v>
      </c>
      <c r="P42" s="9">
        <v>9147.5143939999998</v>
      </c>
      <c r="Q42" s="9">
        <v>0</v>
      </c>
      <c r="R42" s="9">
        <v>0</v>
      </c>
      <c r="S42" s="9">
        <v>1929</v>
      </c>
      <c r="T42" s="9">
        <v>80088.297536269994</v>
      </c>
      <c r="U42" s="9">
        <v>236</v>
      </c>
      <c r="V42" s="9">
        <v>15651.361885780001</v>
      </c>
      <c r="W42" s="10">
        <v>0</v>
      </c>
      <c r="X42" s="10">
        <v>0</v>
      </c>
      <c r="Y42" s="10">
        <v>0</v>
      </c>
      <c r="Z42" s="10">
        <v>0</v>
      </c>
      <c r="AA42" s="10">
        <v>1</v>
      </c>
      <c r="AB42" s="10">
        <v>53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12</v>
      </c>
      <c r="AJ42" s="10">
        <v>68915.000139490003</v>
      </c>
      <c r="AK42" s="10">
        <v>3</v>
      </c>
      <c r="AL42" s="10">
        <v>12700.90494642</v>
      </c>
      <c r="AM42" s="10">
        <v>0</v>
      </c>
      <c r="AN42" s="10">
        <v>0</v>
      </c>
      <c r="AO42" s="10">
        <v>0</v>
      </c>
      <c r="AP42" s="10">
        <v>0</v>
      </c>
      <c r="AQ42" s="10">
        <v>5</v>
      </c>
      <c r="AR42" s="10">
        <v>113845.80004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21</v>
      </c>
      <c r="BH42" s="10">
        <v>42139.381442190002</v>
      </c>
      <c r="BI42" s="10">
        <v>4</v>
      </c>
      <c r="BJ42" s="10">
        <v>3275.83816935</v>
      </c>
      <c r="BK42" s="10">
        <v>2</v>
      </c>
      <c r="BL42" s="10">
        <v>13159.516263420001</v>
      </c>
      <c r="BM42" s="10">
        <v>2</v>
      </c>
      <c r="BN42" s="10">
        <v>13159.516263420001</v>
      </c>
      <c r="BO42" s="10">
        <v>7</v>
      </c>
      <c r="BP42" s="10">
        <v>3446.3235787899998</v>
      </c>
      <c r="BQ42" s="10">
        <v>3</v>
      </c>
      <c r="BR42" s="10">
        <v>267.20504979000003</v>
      </c>
      <c r="BS42" s="10">
        <v>1</v>
      </c>
      <c r="BT42" s="10">
        <v>156.25</v>
      </c>
      <c r="BU42" s="10">
        <v>0</v>
      </c>
      <c r="BV42" s="10">
        <v>0</v>
      </c>
      <c r="BW42" s="10">
        <v>3</v>
      </c>
      <c r="BX42" s="10">
        <v>2426.8264404199999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1</v>
      </c>
      <c r="CN42" s="10">
        <v>100</v>
      </c>
      <c r="CO42" s="10">
        <v>0</v>
      </c>
      <c r="CP42" s="10">
        <v>0</v>
      </c>
      <c r="CQ42" s="10">
        <v>3</v>
      </c>
      <c r="CR42" s="10">
        <v>134.48732158999999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35</v>
      </c>
      <c r="CZ42" s="10">
        <v>54588.762443109998</v>
      </c>
      <c r="DA42" s="10">
        <v>2</v>
      </c>
      <c r="DB42" s="10">
        <v>200</v>
      </c>
      <c r="DC42" s="10">
        <v>136</v>
      </c>
      <c r="DD42" s="10">
        <v>36419.839680260004</v>
      </c>
      <c r="DE42" s="10">
        <v>2</v>
      </c>
      <c r="DF42" s="10">
        <v>313.19488588999997</v>
      </c>
      <c r="DG42" s="10">
        <v>346</v>
      </c>
      <c r="DH42" s="10">
        <v>7219.0792407800027</v>
      </c>
      <c r="DI42" s="10">
        <v>91</v>
      </c>
      <c r="DJ42" s="10">
        <v>1697.5127165399997</v>
      </c>
      <c r="DK42" s="10">
        <v>160</v>
      </c>
      <c r="DL42" s="10">
        <v>22630.113964889999</v>
      </c>
      <c r="DM42" s="10">
        <v>46</v>
      </c>
      <c r="DN42" s="10">
        <v>12291.150687320001</v>
      </c>
      <c r="DO42" s="10">
        <v>274</v>
      </c>
      <c r="DP42" s="10">
        <v>3710.9619773099998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118</v>
      </c>
      <c r="EB42" s="10">
        <v>2191.2987104899998</v>
      </c>
      <c r="EC42" s="10">
        <v>0</v>
      </c>
      <c r="ED42" s="10">
        <v>0</v>
      </c>
      <c r="EE42" s="10">
        <v>568</v>
      </c>
      <c r="EF42" s="10">
        <v>5068.8149190299991</v>
      </c>
      <c r="EG42" s="10">
        <v>45</v>
      </c>
      <c r="EH42" s="10">
        <v>688.07271999</v>
      </c>
      <c r="EI42" s="10">
        <v>11</v>
      </c>
      <c r="EJ42" s="10">
        <v>76.887646829999994</v>
      </c>
      <c r="EK42" s="10">
        <v>1</v>
      </c>
      <c r="EL42" s="10">
        <v>8.7130578300000003</v>
      </c>
      <c r="EM42" s="10">
        <v>44</v>
      </c>
      <c r="EN42" s="10">
        <v>450.42729968999998</v>
      </c>
      <c r="EO42" s="10">
        <v>7</v>
      </c>
      <c r="EP42" s="10">
        <v>101.89515560000001</v>
      </c>
      <c r="EQ42" s="10">
        <v>0</v>
      </c>
      <c r="ER42" s="10">
        <v>0</v>
      </c>
      <c r="ES42" s="10">
        <v>0</v>
      </c>
      <c r="ET42" s="10">
        <v>0</v>
      </c>
      <c r="EU42" s="10">
        <v>35</v>
      </c>
      <c r="EV42" s="10">
        <v>347.51348839999997</v>
      </c>
      <c r="EW42" s="10">
        <v>28</v>
      </c>
      <c r="EX42" s="10">
        <v>284.51015740000003</v>
      </c>
      <c r="EY42" s="10">
        <v>174</v>
      </c>
      <c r="EZ42" s="10">
        <v>1416.8084173500001</v>
      </c>
      <c r="FA42" s="10">
        <v>12</v>
      </c>
      <c r="FB42" s="10">
        <v>208.02618177000002</v>
      </c>
      <c r="FC42" s="10">
        <v>6</v>
      </c>
      <c r="FD42" s="10">
        <v>50.296390120000005</v>
      </c>
      <c r="FE42" s="10">
        <v>1</v>
      </c>
      <c r="FF42" s="10">
        <v>7.5764474800000006</v>
      </c>
      <c r="FG42" s="10">
        <v>2</v>
      </c>
      <c r="FH42" s="10">
        <v>11.333329000000001</v>
      </c>
      <c r="FI42" s="10">
        <v>0</v>
      </c>
      <c r="FJ42" s="10">
        <v>0</v>
      </c>
      <c r="FK42" s="10">
        <v>51</v>
      </c>
      <c r="FL42" s="10">
        <v>471.42392482999998</v>
      </c>
      <c r="FM42" s="10">
        <v>2</v>
      </c>
      <c r="FN42" s="10">
        <v>42.782766670000001</v>
      </c>
      <c r="FO42" s="10">
        <v>4</v>
      </c>
      <c r="FP42" s="10">
        <v>23.498547289999998</v>
      </c>
      <c r="FQ42" s="10">
        <v>1</v>
      </c>
      <c r="FR42" s="10">
        <v>7.9271092899999998</v>
      </c>
      <c r="FS42" s="10">
        <v>0</v>
      </c>
      <c r="FT42" s="10">
        <v>0</v>
      </c>
      <c r="FU42" s="10">
        <v>0</v>
      </c>
      <c r="FV42" s="10">
        <v>0</v>
      </c>
      <c r="FW42" s="18">
        <f t="shared" si="14"/>
        <v>0</v>
      </c>
      <c r="FX42" s="18">
        <f t="shared" si="8"/>
        <v>0</v>
      </c>
      <c r="FY42" s="18">
        <f t="shared" si="9"/>
        <v>0</v>
      </c>
      <c r="FZ42" s="18">
        <f t="shared" si="10"/>
        <v>0</v>
      </c>
      <c r="GA42" s="18">
        <f t="shared" si="15"/>
        <v>0</v>
      </c>
      <c r="GB42" s="18">
        <f t="shared" si="11"/>
        <v>-1.1390000054234406E-11</v>
      </c>
      <c r="GC42" s="18">
        <f t="shared" si="12"/>
        <v>0</v>
      </c>
      <c r="GD42" s="18">
        <f t="shared" si="13"/>
        <v>-8.0531137314210355E-12</v>
      </c>
    </row>
    <row r="43" spans="1:186" s="11" customFormat="1" ht="27" customHeight="1" x14ac:dyDescent="0.25">
      <c r="A43" s="66" t="s">
        <v>29</v>
      </c>
      <c r="B43" s="1">
        <f t="shared" si="17"/>
        <v>36</v>
      </c>
      <c r="C43" s="20" t="s">
        <v>2080</v>
      </c>
      <c r="D43" s="20" t="s">
        <v>2084</v>
      </c>
      <c r="E43" s="65">
        <v>11787</v>
      </c>
      <c r="F43" s="19" t="s">
        <v>2068</v>
      </c>
      <c r="G43" s="9">
        <v>4143</v>
      </c>
      <c r="H43" s="9">
        <v>90573.786068950169</v>
      </c>
      <c r="I43" s="9">
        <v>321</v>
      </c>
      <c r="J43" s="9">
        <v>8699.0240126500012</v>
      </c>
      <c r="K43" s="9">
        <v>104</v>
      </c>
      <c r="L43" s="9">
        <v>19987.97246606</v>
      </c>
      <c r="M43" s="9">
        <v>23</v>
      </c>
      <c r="N43" s="9">
        <v>3938.2468369199996</v>
      </c>
      <c r="O43" s="9">
        <v>99</v>
      </c>
      <c r="P43" s="9">
        <v>8783.8280796899999</v>
      </c>
      <c r="Q43" s="9">
        <v>5</v>
      </c>
      <c r="R43" s="9">
        <v>123.85738933999998</v>
      </c>
      <c r="S43" s="9">
        <v>3940</v>
      </c>
      <c r="T43" s="9">
        <v>61801.985523200157</v>
      </c>
      <c r="U43" s="9">
        <v>293</v>
      </c>
      <c r="V43" s="9">
        <v>4636.9197863900017</v>
      </c>
      <c r="W43" s="10">
        <v>17</v>
      </c>
      <c r="X43" s="10">
        <v>2123.4078105400004</v>
      </c>
      <c r="Y43" s="10">
        <v>3</v>
      </c>
      <c r="Z43" s="10">
        <v>429.51573224999999</v>
      </c>
      <c r="AA43" s="10">
        <v>18</v>
      </c>
      <c r="AB43" s="10">
        <v>1737.2840000000001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21</v>
      </c>
      <c r="AJ43" s="10">
        <v>6181.85402084</v>
      </c>
      <c r="AK43" s="10">
        <v>6</v>
      </c>
      <c r="AL43" s="10">
        <v>990.71678118</v>
      </c>
      <c r="AM43" s="10">
        <v>3</v>
      </c>
      <c r="AN43" s="10">
        <v>501.00756347000004</v>
      </c>
      <c r="AO43" s="10">
        <v>1</v>
      </c>
      <c r="AP43" s="10">
        <v>3.6956294399999998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2</v>
      </c>
      <c r="AZ43" s="10">
        <v>240.89549586999999</v>
      </c>
      <c r="BA43" s="10">
        <v>0</v>
      </c>
      <c r="BB43" s="10">
        <v>0</v>
      </c>
      <c r="BC43" s="10">
        <v>1</v>
      </c>
      <c r="BD43" s="10">
        <v>45</v>
      </c>
      <c r="BE43" s="10">
        <v>0</v>
      </c>
      <c r="BF43" s="10">
        <v>0</v>
      </c>
      <c r="BG43" s="10">
        <v>4</v>
      </c>
      <c r="BH43" s="10">
        <v>453.85084002999997</v>
      </c>
      <c r="BI43" s="10">
        <v>0</v>
      </c>
      <c r="BJ43" s="10">
        <v>0</v>
      </c>
      <c r="BK43" s="10">
        <v>2</v>
      </c>
      <c r="BL43" s="10">
        <v>193.27199999999999</v>
      </c>
      <c r="BM43" s="10">
        <v>0</v>
      </c>
      <c r="BN43" s="10">
        <v>0</v>
      </c>
      <c r="BO43" s="10">
        <v>39</v>
      </c>
      <c r="BP43" s="10">
        <v>5488.5631718000004</v>
      </c>
      <c r="BQ43" s="10">
        <v>13</v>
      </c>
      <c r="BR43" s="10">
        <v>2526.2837672699998</v>
      </c>
      <c r="BS43" s="10">
        <v>11</v>
      </c>
      <c r="BT43" s="10">
        <v>749.34630401999993</v>
      </c>
      <c r="BU43" s="10">
        <v>1</v>
      </c>
      <c r="BV43" s="10">
        <v>3.3</v>
      </c>
      <c r="BW43" s="10">
        <v>1</v>
      </c>
      <c r="BX43" s="10">
        <v>900</v>
      </c>
      <c r="BY43" s="10">
        <v>0</v>
      </c>
      <c r="BZ43" s="10">
        <v>0</v>
      </c>
      <c r="CA43" s="10">
        <v>1</v>
      </c>
      <c r="CB43" s="10">
        <v>19.110300579999997</v>
      </c>
      <c r="CC43" s="10">
        <v>1</v>
      </c>
      <c r="CD43" s="10">
        <v>19.110300579999997</v>
      </c>
      <c r="CE43" s="10">
        <v>7</v>
      </c>
      <c r="CF43" s="10">
        <v>675.21738514000003</v>
      </c>
      <c r="CG43" s="10">
        <v>1</v>
      </c>
      <c r="CH43" s="10">
        <v>28.25</v>
      </c>
      <c r="CI43" s="10">
        <v>0</v>
      </c>
      <c r="CJ43" s="10">
        <v>0</v>
      </c>
      <c r="CK43" s="10">
        <v>0</v>
      </c>
      <c r="CL43" s="10">
        <v>0</v>
      </c>
      <c r="CM43" s="10">
        <v>1</v>
      </c>
      <c r="CN43" s="10">
        <v>96.37</v>
      </c>
      <c r="CO43" s="10">
        <v>0</v>
      </c>
      <c r="CP43" s="10">
        <v>0</v>
      </c>
      <c r="CQ43" s="10">
        <v>5</v>
      </c>
      <c r="CR43" s="10">
        <v>1003.2332155399999</v>
      </c>
      <c r="CS43" s="10">
        <v>1</v>
      </c>
      <c r="CT43" s="10">
        <v>23.502015539999999</v>
      </c>
      <c r="CU43" s="10">
        <v>0</v>
      </c>
      <c r="CV43" s="10">
        <v>0</v>
      </c>
      <c r="CW43" s="10">
        <v>0</v>
      </c>
      <c r="CX43" s="10">
        <v>0</v>
      </c>
      <c r="CY43" s="10">
        <v>70</v>
      </c>
      <c r="CZ43" s="10">
        <v>8363.3884379200008</v>
      </c>
      <c r="DA43" s="10">
        <v>1</v>
      </c>
      <c r="DB43" s="10">
        <v>37.729999999999997</v>
      </c>
      <c r="DC43" s="10">
        <v>6</v>
      </c>
      <c r="DD43" s="10">
        <v>1189.59026195</v>
      </c>
      <c r="DE43" s="10">
        <v>0</v>
      </c>
      <c r="DF43" s="10">
        <v>0</v>
      </c>
      <c r="DG43" s="10">
        <v>986</v>
      </c>
      <c r="DH43" s="10">
        <v>22959.73643052001</v>
      </c>
      <c r="DI43" s="10">
        <v>16</v>
      </c>
      <c r="DJ43" s="10">
        <v>256.15476221</v>
      </c>
      <c r="DK43" s="10">
        <v>52</v>
      </c>
      <c r="DL43" s="10">
        <v>5128.724897359999</v>
      </c>
      <c r="DM43" s="10">
        <v>1</v>
      </c>
      <c r="DN43" s="10">
        <v>256.43400000000003</v>
      </c>
      <c r="DO43" s="10">
        <v>412</v>
      </c>
      <c r="DP43" s="10">
        <v>4143.140623870001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630</v>
      </c>
      <c r="EB43" s="10">
        <v>9140.3587906500015</v>
      </c>
      <c r="EC43" s="10">
        <v>48</v>
      </c>
      <c r="ED43" s="10">
        <v>674.30251323000005</v>
      </c>
      <c r="EE43" s="10">
        <v>884</v>
      </c>
      <c r="EF43" s="10">
        <v>9596.9612277200013</v>
      </c>
      <c r="EG43" s="10">
        <v>134</v>
      </c>
      <c r="EH43" s="10">
        <v>2214.32785457</v>
      </c>
      <c r="EI43" s="10">
        <v>249</v>
      </c>
      <c r="EJ43" s="10">
        <v>3848.8699355499994</v>
      </c>
      <c r="EK43" s="10">
        <v>0</v>
      </c>
      <c r="EL43" s="10">
        <v>0</v>
      </c>
      <c r="EM43" s="10">
        <v>430</v>
      </c>
      <c r="EN43" s="10">
        <v>3278.2104365300006</v>
      </c>
      <c r="EO43" s="10">
        <v>19</v>
      </c>
      <c r="EP43" s="10">
        <v>198.57822180000002</v>
      </c>
      <c r="EQ43" s="10">
        <v>5</v>
      </c>
      <c r="ER43" s="10">
        <v>95.610037079999998</v>
      </c>
      <c r="ES43" s="10">
        <v>0</v>
      </c>
      <c r="ET43" s="10">
        <v>0</v>
      </c>
      <c r="EU43" s="10">
        <v>54</v>
      </c>
      <c r="EV43" s="10">
        <v>735.9062564799998</v>
      </c>
      <c r="EW43" s="10">
        <v>40</v>
      </c>
      <c r="EX43" s="10">
        <v>559.52489241000001</v>
      </c>
      <c r="EY43" s="10">
        <v>165</v>
      </c>
      <c r="EZ43" s="10">
        <v>986.66369024000005</v>
      </c>
      <c r="FA43" s="10">
        <v>22</v>
      </c>
      <c r="FB43" s="10">
        <v>247.0606793</v>
      </c>
      <c r="FC43" s="10">
        <v>23</v>
      </c>
      <c r="FD43" s="10">
        <v>241.41101694</v>
      </c>
      <c r="FE43" s="10">
        <v>7</v>
      </c>
      <c r="FF43" s="10">
        <v>154.13664518000002</v>
      </c>
      <c r="FG43" s="10">
        <v>8</v>
      </c>
      <c r="FH43" s="10">
        <v>115.39598097999999</v>
      </c>
      <c r="FI43" s="10">
        <v>2</v>
      </c>
      <c r="FJ43" s="10">
        <v>50.921994420000004</v>
      </c>
      <c r="FK43" s="10">
        <v>31</v>
      </c>
      <c r="FL43" s="10">
        <v>302.24337095999999</v>
      </c>
      <c r="FM43" s="10">
        <v>3</v>
      </c>
      <c r="FN43" s="10">
        <v>18.102996899999997</v>
      </c>
      <c r="FO43" s="10">
        <v>5</v>
      </c>
      <c r="FP43" s="10">
        <v>39.162566370000008</v>
      </c>
      <c r="FQ43" s="10">
        <v>1</v>
      </c>
      <c r="FR43" s="10">
        <v>7.37522637</v>
      </c>
      <c r="FS43" s="10">
        <v>0</v>
      </c>
      <c r="FT43" s="10">
        <v>0</v>
      </c>
      <c r="FU43" s="10">
        <v>0</v>
      </c>
      <c r="FV43" s="10">
        <v>0</v>
      </c>
      <c r="FW43" s="18">
        <f t="shared" si="14"/>
        <v>0</v>
      </c>
      <c r="FX43" s="18">
        <f t="shared" si="8"/>
        <v>0</v>
      </c>
      <c r="FY43" s="18">
        <f t="shared" si="9"/>
        <v>0</v>
      </c>
      <c r="FZ43" s="18">
        <f t="shared" si="10"/>
        <v>0</v>
      </c>
      <c r="GA43" s="18">
        <f t="shared" si="15"/>
        <v>0</v>
      </c>
      <c r="GB43" s="18">
        <f t="shared" si="11"/>
        <v>1.6021317605918739E-10</v>
      </c>
      <c r="GC43" s="18">
        <f t="shared" si="12"/>
        <v>0</v>
      </c>
      <c r="GD43" s="18">
        <f t="shared" si="13"/>
        <v>2.8173019472887972E-12</v>
      </c>
    </row>
    <row r="44" spans="1:186" s="11" customFormat="1" ht="27" customHeight="1" x14ac:dyDescent="0.25">
      <c r="A44" s="66" t="s">
        <v>29</v>
      </c>
      <c r="B44" s="1">
        <f t="shared" si="17"/>
        <v>37</v>
      </c>
      <c r="C44" s="20" t="s">
        <v>2080</v>
      </c>
      <c r="D44" s="20" t="s">
        <v>2086</v>
      </c>
      <c r="E44" s="65">
        <v>11943</v>
      </c>
      <c r="F44" s="19" t="s">
        <v>2087</v>
      </c>
      <c r="G44" s="9">
        <v>2257</v>
      </c>
      <c r="H44" s="9">
        <v>87583.860766960017</v>
      </c>
      <c r="I44" s="9">
        <v>405</v>
      </c>
      <c r="J44" s="9">
        <v>34994.602006000001</v>
      </c>
      <c r="K44" s="9">
        <v>58</v>
      </c>
      <c r="L44" s="9">
        <v>41041.051614969998</v>
      </c>
      <c r="M44" s="9">
        <v>26</v>
      </c>
      <c r="N44" s="9">
        <v>29235.307133029997</v>
      </c>
      <c r="O44" s="9">
        <v>82</v>
      </c>
      <c r="P44" s="9">
        <v>5348.1003481999996</v>
      </c>
      <c r="Q44" s="9">
        <v>4</v>
      </c>
      <c r="R44" s="9">
        <v>147.00464932</v>
      </c>
      <c r="S44" s="9">
        <v>2117</v>
      </c>
      <c r="T44" s="9">
        <v>41194.708803790018</v>
      </c>
      <c r="U44" s="9">
        <v>375</v>
      </c>
      <c r="V44" s="9">
        <v>5612.2902236499995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30</v>
      </c>
      <c r="AJ44" s="10">
        <v>25420.286112309997</v>
      </c>
      <c r="AK44" s="10">
        <v>10</v>
      </c>
      <c r="AL44" s="10">
        <v>18116.045558739999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1</v>
      </c>
      <c r="AZ44" s="10">
        <v>100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9</v>
      </c>
      <c r="BH44" s="10">
        <v>9409.1699127600004</v>
      </c>
      <c r="BI44" s="10">
        <v>8</v>
      </c>
      <c r="BJ44" s="10">
        <v>7464.3349259200004</v>
      </c>
      <c r="BK44" s="10">
        <v>6</v>
      </c>
      <c r="BL44" s="10">
        <v>354.76091769999999</v>
      </c>
      <c r="BM44" s="10">
        <v>1</v>
      </c>
      <c r="BN44" s="10">
        <v>21.818180999999999</v>
      </c>
      <c r="BO44" s="10">
        <v>17</v>
      </c>
      <c r="BP44" s="10">
        <v>3296.7782626500002</v>
      </c>
      <c r="BQ44" s="10">
        <v>6</v>
      </c>
      <c r="BR44" s="10">
        <v>2003.3408516000002</v>
      </c>
      <c r="BS44" s="10">
        <v>15</v>
      </c>
      <c r="BT44" s="10">
        <v>1363.29779773</v>
      </c>
      <c r="BU44" s="10">
        <v>1</v>
      </c>
      <c r="BV44" s="10">
        <v>4.4800000000000004</v>
      </c>
      <c r="BW44" s="10">
        <v>2</v>
      </c>
      <c r="BX44" s="10">
        <v>1738.60279547</v>
      </c>
      <c r="BY44" s="10">
        <v>2</v>
      </c>
      <c r="BZ44" s="10">
        <v>1738.60279547</v>
      </c>
      <c r="CA44" s="10">
        <v>0</v>
      </c>
      <c r="CB44" s="10">
        <v>0</v>
      </c>
      <c r="CC44" s="10">
        <v>0</v>
      </c>
      <c r="CD44" s="10">
        <v>0</v>
      </c>
      <c r="CE44" s="10">
        <v>3</v>
      </c>
      <c r="CF44" s="10">
        <v>199.666664</v>
      </c>
      <c r="CG44" s="10">
        <v>1</v>
      </c>
      <c r="CH44" s="10">
        <v>33</v>
      </c>
      <c r="CI44" s="10">
        <v>0</v>
      </c>
      <c r="CJ44" s="10">
        <v>0</v>
      </c>
      <c r="CK44" s="10">
        <v>0</v>
      </c>
      <c r="CL44" s="10">
        <v>0</v>
      </c>
      <c r="CM44" s="10">
        <v>1</v>
      </c>
      <c r="CN44" s="10">
        <v>96.932000000000002</v>
      </c>
      <c r="CO44" s="10">
        <v>0</v>
      </c>
      <c r="CP44" s="10">
        <v>0</v>
      </c>
      <c r="CQ44" s="10">
        <v>9</v>
      </c>
      <c r="CR44" s="10">
        <v>974.11780720000002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47</v>
      </c>
      <c r="CZ44" s="10">
        <v>3435.5396933500001</v>
      </c>
      <c r="DA44" s="10">
        <v>1</v>
      </c>
      <c r="DB44" s="10">
        <v>0.68946962000000001</v>
      </c>
      <c r="DC44" s="10">
        <v>23</v>
      </c>
      <c r="DD44" s="10">
        <v>10667.00826004</v>
      </c>
      <c r="DE44" s="10">
        <v>0</v>
      </c>
      <c r="DF44" s="10">
        <v>0</v>
      </c>
      <c r="DG44" s="10">
        <v>654</v>
      </c>
      <c r="DH44" s="10">
        <v>12395.315979429997</v>
      </c>
      <c r="DI44" s="10">
        <v>71</v>
      </c>
      <c r="DJ44" s="10">
        <v>902.52117519000001</v>
      </c>
      <c r="DK44" s="10">
        <v>33</v>
      </c>
      <c r="DL44" s="10">
        <v>4239.3064931000008</v>
      </c>
      <c r="DM44" s="10">
        <v>1</v>
      </c>
      <c r="DN44" s="10">
        <v>271.42424410000001</v>
      </c>
      <c r="DO44" s="10">
        <v>136</v>
      </c>
      <c r="DP44" s="10">
        <v>1874.4353792700001</v>
      </c>
      <c r="DQ44" s="10">
        <v>2</v>
      </c>
      <c r="DR44" s="10">
        <v>30.938220000000001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360</v>
      </c>
      <c r="EB44" s="10">
        <v>5367.7670818400002</v>
      </c>
      <c r="EC44" s="10">
        <v>109</v>
      </c>
      <c r="ED44" s="10">
        <v>1915.82495634</v>
      </c>
      <c r="EE44" s="10">
        <v>389</v>
      </c>
      <c r="EF44" s="10">
        <v>3229.8169972199998</v>
      </c>
      <c r="EG44" s="10">
        <v>84</v>
      </c>
      <c r="EH44" s="10">
        <v>1312.3237466600001</v>
      </c>
      <c r="EI44" s="10">
        <v>11</v>
      </c>
      <c r="EJ44" s="10">
        <v>146.23428608</v>
      </c>
      <c r="EK44" s="10">
        <v>1</v>
      </c>
      <c r="EL44" s="10">
        <v>32.725000000000001</v>
      </c>
      <c r="EM44" s="10">
        <v>21</v>
      </c>
      <c r="EN44" s="10">
        <v>152.41441548</v>
      </c>
      <c r="EO44" s="10">
        <v>6</v>
      </c>
      <c r="EP44" s="10">
        <v>73.474378299999998</v>
      </c>
      <c r="EQ44" s="10">
        <v>0</v>
      </c>
      <c r="ER44" s="10">
        <v>0</v>
      </c>
      <c r="ES44" s="10">
        <v>0</v>
      </c>
      <c r="ET44" s="10">
        <v>0</v>
      </c>
      <c r="EU44" s="10">
        <v>35</v>
      </c>
      <c r="EV44" s="10">
        <v>464.90342681000004</v>
      </c>
      <c r="EW44" s="10">
        <v>31</v>
      </c>
      <c r="EX44" s="10">
        <v>341.7856888</v>
      </c>
      <c r="EY44" s="10">
        <v>401</v>
      </c>
      <c r="EZ44" s="10">
        <v>2250.1344000499989</v>
      </c>
      <c r="FA44" s="10">
        <v>61</v>
      </c>
      <c r="FB44" s="10">
        <v>606.36257344000001</v>
      </c>
      <c r="FC44" s="10">
        <v>18</v>
      </c>
      <c r="FD44" s="10">
        <v>124.88341332</v>
      </c>
      <c r="FE44" s="10">
        <v>3</v>
      </c>
      <c r="FF44" s="10">
        <v>43.211123890000003</v>
      </c>
      <c r="FG44" s="10">
        <v>3</v>
      </c>
      <c r="FH44" s="10">
        <v>18.01039402</v>
      </c>
      <c r="FI44" s="10">
        <v>1</v>
      </c>
      <c r="FJ44" s="10">
        <v>10.67707802</v>
      </c>
      <c r="FK44" s="10">
        <v>27</v>
      </c>
      <c r="FL44" s="10">
        <v>192.88619266999999</v>
      </c>
      <c r="FM44" s="10">
        <v>3</v>
      </c>
      <c r="FN44" s="10">
        <v>18.031679649999997</v>
      </c>
      <c r="FO44" s="10">
        <v>6</v>
      </c>
      <c r="FP44" s="10">
        <v>71.592084460000009</v>
      </c>
      <c r="FQ44" s="10">
        <v>2</v>
      </c>
      <c r="FR44" s="10">
        <v>52.990359260000005</v>
      </c>
      <c r="FS44" s="10">
        <v>0</v>
      </c>
      <c r="FT44" s="10">
        <v>0</v>
      </c>
      <c r="FU44" s="10">
        <v>0</v>
      </c>
      <c r="FV44" s="10">
        <v>0</v>
      </c>
      <c r="FW44" s="18">
        <f t="shared" si="14"/>
        <v>0</v>
      </c>
      <c r="FX44" s="18">
        <f t="shared" si="8"/>
        <v>0</v>
      </c>
      <c r="FY44" s="18">
        <f t="shared" si="9"/>
        <v>0</v>
      </c>
      <c r="FZ44" s="18">
        <f t="shared" si="10"/>
        <v>0</v>
      </c>
      <c r="GA44" s="18">
        <f t="shared" si="15"/>
        <v>0</v>
      </c>
      <c r="GB44" s="18">
        <f t="shared" si="11"/>
        <v>2.9260149858600926E-11</v>
      </c>
      <c r="GC44" s="18">
        <f t="shared" si="12"/>
        <v>0</v>
      </c>
      <c r="GD44" s="18">
        <f t="shared" si="13"/>
        <v>2.0463630789890885E-12</v>
      </c>
    </row>
    <row r="45" spans="1:186" s="11" customFormat="1" ht="27" customHeight="1" x14ac:dyDescent="0.25">
      <c r="A45" s="66" t="s">
        <v>29</v>
      </c>
      <c r="B45" s="1">
        <f t="shared" si="17"/>
        <v>38</v>
      </c>
      <c r="C45" s="20" t="s">
        <v>2080</v>
      </c>
      <c r="D45" s="20" t="s">
        <v>2095</v>
      </c>
      <c r="E45" s="65">
        <v>11978</v>
      </c>
      <c r="F45" s="19" t="s">
        <v>2060</v>
      </c>
      <c r="G45" s="9">
        <v>2383</v>
      </c>
      <c r="H45" s="9">
        <v>88766.81992822999</v>
      </c>
      <c r="I45" s="9">
        <v>65</v>
      </c>
      <c r="J45" s="9">
        <v>3837.5326707300001</v>
      </c>
      <c r="K45" s="9">
        <v>21</v>
      </c>
      <c r="L45" s="9">
        <v>39447.735040790001</v>
      </c>
      <c r="M45" s="9">
        <v>0</v>
      </c>
      <c r="N45" s="9">
        <v>0</v>
      </c>
      <c r="O45" s="9">
        <v>34</v>
      </c>
      <c r="P45" s="9">
        <v>3949.7879260599998</v>
      </c>
      <c r="Q45" s="9">
        <v>0</v>
      </c>
      <c r="R45" s="9">
        <v>0</v>
      </c>
      <c r="S45" s="9">
        <v>2328</v>
      </c>
      <c r="T45" s="9">
        <v>45369.296961379994</v>
      </c>
      <c r="U45" s="9">
        <v>65</v>
      </c>
      <c r="V45" s="9">
        <v>3837.5326707300001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2</v>
      </c>
      <c r="AJ45" s="10">
        <v>400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2</v>
      </c>
      <c r="BH45" s="10">
        <v>37455.368549999999</v>
      </c>
      <c r="BI45" s="10">
        <v>0</v>
      </c>
      <c r="BJ45" s="10">
        <v>0</v>
      </c>
      <c r="BK45" s="10">
        <v>1</v>
      </c>
      <c r="BL45" s="10">
        <v>60</v>
      </c>
      <c r="BM45" s="10">
        <v>0</v>
      </c>
      <c r="BN45" s="10">
        <v>0</v>
      </c>
      <c r="BO45" s="10">
        <v>10</v>
      </c>
      <c r="BP45" s="10">
        <v>1198.7004752299999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2</v>
      </c>
      <c r="CF45" s="10">
        <v>140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1</v>
      </c>
      <c r="CN45" s="10">
        <v>100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37</v>
      </c>
      <c r="CZ45" s="10">
        <v>4043.45394162</v>
      </c>
      <c r="DA45" s="10">
        <v>0</v>
      </c>
      <c r="DB45" s="10">
        <v>0</v>
      </c>
      <c r="DC45" s="10">
        <v>23</v>
      </c>
      <c r="DD45" s="10">
        <v>10459.057733690001</v>
      </c>
      <c r="DE45" s="10">
        <v>0</v>
      </c>
      <c r="DF45" s="10">
        <v>0</v>
      </c>
      <c r="DG45" s="10">
        <v>575</v>
      </c>
      <c r="DH45" s="10">
        <v>13351.524819780017</v>
      </c>
      <c r="DI45" s="10">
        <v>7</v>
      </c>
      <c r="DJ45" s="10">
        <v>79.204051010000001</v>
      </c>
      <c r="DK45" s="10">
        <v>33</v>
      </c>
      <c r="DL45" s="10">
        <v>6271.317285690001</v>
      </c>
      <c r="DM45" s="10">
        <v>9</v>
      </c>
      <c r="DN45" s="10">
        <v>3297.5141140400001</v>
      </c>
      <c r="DO45" s="10">
        <v>11</v>
      </c>
      <c r="DP45" s="10">
        <v>112.568029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338</v>
      </c>
      <c r="EB45" s="10">
        <v>5463.3441251599997</v>
      </c>
      <c r="EC45" s="10">
        <v>15</v>
      </c>
      <c r="ED45" s="10">
        <v>204.39375849000001</v>
      </c>
      <c r="EE45" s="10">
        <v>687</v>
      </c>
      <c r="EF45" s="10">
        <v>5682.4009205099983</v>
      </c>
      <c r="EG45" s="10">
        <v>17</v>
      </c>
      <c r="EH45" s="10">
        <v>137.27167846</v>
      </c>
      <c r="EI45" s="10">
        <v>75</v>
      </c>
      <c r="EJ45" s="10">
        <v>676.59457187999999</v>
      </c>
      <c r="EK45" s="10">
        <v>0</v>
      </c>
      <c r="EL45" s="10">
        <v>0</v>
      </c>
      <c r="EM45" s="10">
        <v>155</v>
      </c>
      <c r="EN45" s="10">
        <v>825.79202210999995</v>
      </c>
      <c r="EO45" s="10">
        <v>5</v>
      </c>
      <c r="EP45" s="10">
        <v>26.283055919999999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269</v>
      </c>
      <c r="EZ45" s="10">
        <v>1364.2175427999998</v>
      </c>
      <c r="FA45" s="10">
        <v>7</v>
      </c>
      <c r="FB45" s="10">
        <v>53.177711109999997</v>
      </c>
      <c r="FC45" s="10">
        <v>13</v>
      </c>
      <c r="FD45" s="10">
        <v>133.44027131999999</v>
      </c>
      <c r="FE45" s="10">
        <v>1</v>
      </c>
      <c r="FF45" s="10">
        <v>5.2717969099999999</v>
      </c>
      <c r="FG45" s="10">
        <v>34</v>
      </c>
      <c r="FH45" s="10">
        <v>457.89798494999997</v>
      </c>
      <c r="FI45" s="10">
        <v>1</v>
      </c>
      <c r="FJ45" s="10">
        <v>8.85</v>
      </c>
      <c r="FK45" s="10">
        <v>111</v>
      </c>
      <c r="FL45" s="10">
        <v>524.80287196000006</v>
      </c>
      <c r="FM45" s="10">
        <v>2</v>
      </c>
      <c r="FN45" s="10">
        <v>9.0672764899999994</v>
      </c>
      <c r="FO45" s="10">
        <v>4</v>
      </c>
      <c r="FP45" s="10">
        <v>46.338782530000003</v>
      </c>
      <c r="FQ45" s="10">
        <v>1</v>
      </c>
      <c r="FR45" s="10">
        <v>16.499228300000002</v>
      </c>
      <c r="FS45" s="10">
        <v>0</v>
      </c>
      <c r="FT45" s="10">
        <v>0</v>
      </c>
      <c r="FU45" s="10">
        <v>0</v>
      </c>
      <c r="FV45" s="10">
        <v>0</v>
      </c>
      <c r="FW45" s="18">
        <f t="shared" si="14"/>
        <v>0</v>
      </c>
      <c r="FX45" s="18">
        <f t="shared" si="8"/>
        <v>0</v>
      </c>
      <c r="FY45" s="18">
        <f t="shared" si="9"/>
        <v>0</v>
      </c>
      <c r="FZ45" s="18">
        <f t="shared" si="10"/>
        <v>0</v>
      </c>
      <c r="GA45" s="18">
        <f t="shared" si="15"/>
        <v>0</v>
      </c>
      <c r="GB45" s="18">
        <f t="shared" si="11"/>
        <v>-2.5011104298755527E-11</v>
      </c>
      <c r="GC45" s="18">
        <f t="shared" si="12"/>
        <v>0</v>
      </c>
      <c r="GD45" s="18">
        <f t="shared" si="13"/>
        <v>-6.7501559897209518E-14</v>
      </c>
    </row>
    <row r="46" spans="1:186" s="11" customFormat="1" ht="27" customHeight="1" x14ac:dyDescent="0.25">
      <c r="A46" s="66" t="s">
        <v>30</v>
      </c>
      <c r="B46" s="1">
        <f t="shared" si="17"/>
        <v>39</v>
      </c>
      <c r="C46" s="20" t="s">
        <v>2096</v>
      </c>
      <c r="D46" s="20" t="s">
        <v>2105</v>
      </c>
      <c r="E46" s="65">
        <v>11349</v>
      </c>
      <c r="F46" s="19" t="s">
        <v>2079</v>
      </c>
      <c r="G46" s="9">
        <v>5320</v>
      </c>
      <c r="H46" s="9">
        <v>155044.88709701991</v>
      </c>
      <c r="I46" s="9">
        <v>225</v>
      </c>
      <c r="J46" s="9">
        <v>2651.3062672200003</v>
      </c>
      <c r="K46" s="9">
        <v>92</v>
      </c>
      <c r="L46" s="9">
        <v>55565.510932429992</v>
      </c>
      <c r="M46" s="9">
        <v>2</v>
      </c>
      <c r="N46" s="9">
        <v>235.25</v>
      </c>
      <c r="O46" s="9">
        <v>53</v>
      </c>
      <c r="P46" s="9">
        <v>6092.7278354499995</v>
      </c>
      <c r="Q46" s="9">
        <v>4</v>
      </c>
      <c r="R46" s="9">
        <v>300.15268842</v>
      </c>
      <c r="S46" s="9">
        <v>5175</v>
      </c>
      <c r="T46" s="9">
        <v>93386.648329139891</v>
      </c>
      <c r="U46" s="9">
        <v>219</v>
      </c>
      <c r="V46" s="9">
        <v>2115.9035788000001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16</v>
      </c>
      <c r="AJ46" s="10">
        <v>11177.589195900002</v>
      </c>
      <c r="AK46" s="10">
        <v>2</v>
      </c>
      <c r="AL46" s="10">
        <v>327.25</v>
      </c>
      <c r="AM46" s="10">
        <v>1</v>
      </c>
      <c r="AN46" s="10">
        <v>898.53778184999999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2</v>
      </c>
      <c r="BD46" s="10">
        <v>329.70405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6</v>
      </c>
      <c r="BL46" s="10">
        <v>356.25008811000004</v>
      </c>
      <c r="BM46" s="10">
        <v>0</v>
      </c>
      <c r="BN46" s="10">
        <v>0</v>
      </c>
      <c r="BO46" s="10">
        <v>36</v>
      </c>
      <c r="BP46" s="10">
        <v>18197.458807319999</v>
      </c>
      <c r="BQ46" s="10">
        <v>2</v>
      </c>
      <c r="BR46" s="10">
        <v>47.7</v>
      </c>
      <c r="BS46" s="10">
        <v>17</v>
      </c>
      <c r="BT46" s="10">
        <v>5304.1807642100002</v>
      </c>
      <c r="BU46" s="10">
        <v>1</v>
      </c>
      <c r="BV46" s="10">
        <v>14.124291210000001</v>
      </c>
      <c r="BW46" s="10">
        <v>3</v>
      </c>
      <c r="BX46" s="10">
        <v>445.89507021000003</v>
      </c>
      <c r="BY46" s="10">
        <v>1</v>
      </c>
      <c r="BZ46" s="10">
        <v>146.32839721000002</v>
      </c>
      <c r="CA46" s="10">
        <v>0</v>
      </c>
      <c r="CB46" s="10">
        <v>0</v>
      </c>
      <c r="CC46" s="10">
        <v>0</v>
      </c>
      <c r="CD46" s="10">
        <v>0</v>
      </c>
      <c r="CE46" s="10">
        <v>4</v>
      </c>
      <c r="CF46" s="10">
        <v>3265.5749999999998</v>
      </c>
      <c r="CG46" s="10">
        <v>0</v>
      </c>
      <c r="CH46" s="10">
        <v>0</v>
      </c>
      <c r="CI46" s="10">
        <v>1</v>
      </c>
      <c r="CJ46" s="10">
        <v>714.13800000000003</v>
      </c>
      <c r="CK46" s="10">
        <v>0</v>
      </c>
      <c r="CL46" s="10">
        <v>0</v>
      </c>
      <c r="CM46" s="10">
        <v>21</v>
      </c>
      <c r="CN46" s="10">
        <v>9580.7899729799992</v>
      </c>
      <c r="CO46" s="10">
        <v>0</v>
      </c>
      <c r="CP46" s="10">
        <v>0</v>
      </c>
      <c r="CQ46" s="10">
        <v>19</v>
      </c>
      <c r="CR46" s="10">
        <v>3766.9196473299999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19</v>
      </c>
      <c r="CZ46" s="10">
        <v>7621.2003899700003</v>
      </c>
      <c r="DA46" s="10">
        <v>0</v>
      </c>
      <c r="DB46" s="10">
        <v>0</v>
      </c>
      <c r="DC46" s="10">
        <v>187</v>
      </c>
      <c r="DD46" s="10">
        <v>32828.72045642</v>
      </c>
      <c r="DE46" s="10">
        <v>1</v>
      </c>
      <c r="DF46" s="10">
        <v>395.76167629000003</v>
      </c>
      <c r="DG46" s="10">
        <v>2002</v>
      </c>
      <c r="DH46" s="10">
        <v>18857.516850839991</v>
      </c>
      <c r="DI46" s="10">
        <v>96</v>
      </c>
      <c r="DJ46" s="10">
        <v>436.00703774000004</v>
      </c>
      <c r="DK46" s="10">
        <v>6</v>
      </c>
      <c r="DL46" s="10">
        <v>414.33642639999999</v>
      </c>
      <c r="DM46" s="10">
        <v>0</v>
      </c>
      <c r="DN46" s="10">
        <v>0</v>
      </c>
      <c r="DO46" s="10">
        <v>1004</v>
      </c>
      <c r="DP46" s="10">
        <v>13550.39205226</v>
      </c>
      <c r="DQ46" s="10">
        <v>4</v>
      </c>
      <c r="DR46" s="10">
        <v>40.430501829999997</v>
      </c>
      <c r="DS46" s="10">
        <v>54</v>
      </c>
      <c r="DT46" s="10">
        <v>3261.5465109900001</v>
      </c>
      <c r="DU46" s="10">
        <v>0</v>
      </c>
      <c r="DV46" s="10">
        <v>0</v>
      </c>
      <c r="DW46" s="10">
        <v>16</v>
      </c>
      <c r="DX46" s="10">
        <v>114.06257153999999</v>
      </c>
      <c r="DY46" s="10">
        <v>6</v>
      </c>
      <c r="DZ46" s="10">
        <v>27.564629699999998</v>
      </c>
      <c r="EA46" s="10">
        <v>603</v>
      </c>
      <c r="EB46" s="10">
        <v>11135.635351399998</v>
      </c>
      <c r="EC46" s="10">
        <v>11</v>
      </c>
      <c r="ED46" s="10">
        <v>199.97412830000002</v>
      </c>
      <c r="EE46" s="10">
        <v>79</v>
      </c>
      <c r="EF46" s="10">
        <v>719.70133678999991</v>
      </c>
      <c r="EG46" s="10">
        <v>4</v>
      </c>
      <c r="EH46" s="10">
        <v>17.506091270000002</v>
      </c>
      <c r="EI46" s="10">
        <v>166</v>
      </c>
      <c r="EJ46" s="10">
        <v>2414.5396618500004</v>
      </c>
      <c r="EK46" s="10">
        <v>10</v>
      </c>
      <c r="EL46" s="10">
        <v>128.73889904000001</v>
      </c>
      <c r="EM46" s="10">
        <v>160</v>
      </c>
      <c r="EN46" s="10">
        <v>2220.5006135699996</v>
      </c>
      <c r="EO46" s="10">
        <v>2</v>
      </c>
      <c r="EP46" s="10">
        <v>11.524397759999999</v>
      </c>
      <c r="EQ46" s="10">
        <v>393</v>
      </c>
      <c r="ER46" s="10">
        <v>3527.4411886599996</v>
      </c>
      <c r="ES46" s="10">
        <v>48</v>
      </c>
      <c r="ET46" s="10">
        <v>483.33036598000001</v>
      </c>
      <c r="EU46" s="10">
        <v>17</v>
      </c>
      <c r="EV46" s="10">
        <v>63.094631390000004</v>
      </c>
      <c r="EW46" s="10">
        <v>3</v>
      </c>
      <c r="EX46" s="10">
        <v>0.61498595999999994</v>
      </c>
      <c r="EY46" s="10">
        <v>444</v>
      </c>
      <c r="EZ46" s="10">
        <v>3897.2447156799999</v>
      </c>
      <c r="FA46" s="10">
        <v>32</v>
      </c>
      <c r="FB46" s="10">
        <v>364.82966493000009</v>
      </c>
      <c r="FC46" s="10">
        <v>7</v>
      </c>
      <c r="FD46" s="10">
        <v>115.07903337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33</v>
      </c>
      <c r="FL46" s="10">
        <v>226.42133698000001</v>
      </c>
      <c r="FM46" s="10">
        <v>2</v>
      </c>
      <c r="FN46" s="10">
        <v>9.6212</v>
      </c>
      <c r="FO46" s="10">
        <v>4</v>
      </c>
      <c r="FP46" s="10">
        <v>40.415590999999999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8">
        <f t="shared" si="14"/>
        <v>0</v>
      </c>
      <c r="FX46" s="18">
        <f t="shared" si="8"/>
        <v>0</v>
      </c>
      <c r="FY46" s="18">
        <f t="shared" si="9"/>
        <v>0</v>
      </c>
      <c r="FZ46" s="18">
        <f t="shared" si="10"/>
        <v>0</v>
      </c>
      <c r="GA46" s="18">
        <f t="shared" si="15"/>
        <v>0</v>
      </c>
      <c r="GB46" s="18">
        <f t="shared" si="11"/>
        <v>-1.0677325690267025E-10</v>
      </c>
      <c r="GC46" s="18">
        <f t="shared" si="12"/>
        <v>0</v>
      </c>
      <c r="GD46" s="18">
        <f t="shared" si="13"/>
        <v>5.559996907322784E-13</v>
      </c>
    </row>
    <row r="47" spans="1:186" s="11" customFormat="1" ht="27" customHeight="1" x14ac:dyDescent="0.25">
      <c r="A47" s="66" t="s">
        <v>30</v>
      </c>
      <c r="B47" s="1">
        <f t="shared" si="17"/>
        <v>40</v>
      </c>
      <c r="C47" s="20" t="s">
        <v>2096</v>
      </c>
      <c r="D47" s="20" t="s">
        <v>2097</v>
      </c>
      <c r="E47" s="65">
        <v>11385</v>
      </c>
      <c r="F47" s="19" t="s">
        <v>2043</v>
      </c>
      <c r="G47" s="9">
        <v>4707</v>
      </c>
      <c r="H47" s="9">
        <v>109436.08821556001</v>
      </c>
      <c r="I47" s="9">
        <v>280</v>
      </c>
      <c r="J47" s="9">
        <v>2913.9846055900007</v>
      </c>
      <c r="K47" s="9">
        <v>46</v>
      </c>
      <c r="L47" s="9">
        <v>21588.45749746</v>
      </c>
      <c r="M47" s="9">
        <v>2</v>
      </c>
      <c r="N47" s="9">
        <v>64.299000000000007</v>
      </c>
      <c r="O47" s="9">
        <v>142</v>
      </c>
      <c r="P47" s="9">
        <v>13614.11007031</v>
      </c>
      <c r="Q47" s="9">
        <v>1</v>
      </c>
      <c r="R47" s="9">
        <v>5.4969999999999999</v>
      </c>
      <c r="S47" s="9">
        <v>4519</v>
      </c>
      <c r="T47" s="9">
        <v>74233.520647790006</v>
      </c>
      <c r="U47" s="9">
        <v>277</v>
      </c>
      <c r="V47" s="9">
        <v>2844.1886055900004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44</v>
      </c>
      <c r="AJ47" s="10">
        <v>4560.4111444400005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1</v>
      </c>
      <c r="AR47" s="10">
        <v>70.000003000000007</v>
      </c>
      <c r="AS47" s="10">
        <v>0</v>
      </c>
      <c r="AT47" s="10">
        <v>0</v>
      </c>
      <c r="AU47" s="10">
        <v>2</v>
      </c>
      <c r="AV47" s="10">
        <v>455</v>
      </c>
      <c r="AW47" s="10">
        <v>0</v>
      </c>
      <c r="AX47" s="10">
        <v>0</v>
      </c>
      <c r="AY47" s="10">
        <v>1</v>
      </c>
      <c r="AZ47" s="10">
        <v>39.999997999999998</v>
      </c>
      <c r="BA47" s="10">
        <v>0</v>
      </c>
      <c r="BB47" s="10">
        <v>0</v>
      </c>
      <c r="BC47" s="10">
        <v>3</v>
      </c>
      <c r="BD47" s="10">
        <v>485.65519999999998</v>
      </c>
      <c r="BE47" s="10">
        <v>0</v>
      </c>
      <c r="BF47" s="10">
        <v>0</v>
      </c>
      <c r="BG47" s="10">
        <v>1</v>
      </c>
      <c r="BH47" s="10">
        <v>50</v>
      </c>
      <c r="BI47" s="10">
        <v>1</v>
      </c>
      <c r="BJ47" s="10">
        <v>50</v>
      </c>
      <c r="BK47" s="10">
        <v>27</v>
      </c>
      <c r="BL47" s="10">
        <v>1090.4998181599999</v>
      </c>
      <c r="BM47" s="10">
        <v>2</v>
      </c>
      <c r="BN47" s="10">
        <v>19.795999999999999</v>
      </c>
      <c r="BO47" s="10">
        <v>38</v>
      </c>
      <c r="BP47" s="10">
        <v>6171.7534158299995</v>
      </c>
      <c r="BQ47" s="10">
        <v>0</v>
      </c>
      <c r="BR47" s="10">
        <v>0</v>
      </c>
      <c r="BS47" s="10">
        <v>15</v>
      </c>
      <c r="BT47" s="10">
        <v>1505.2462703400001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1</v>
      </c>
      <c r="CB47" s="10">
        <v>3018.490601</v>
      </c>
      <c r="CC47" s="10">
        <v>0</v>
      </c>
      <c r="CD47" s="10">
        <v>0</v>
      </c>
      <c r="CE47" s="10">
        <v>7</v>
      </c>
      <c r="CF47" s="10">
        <v>583.84047495000004</v>
      </c>
      <c r="CG47" s="10">
        <v>0</v>
      </c>
      <c r="CH47" s="10">
        <v>0</v>
      </c>
      <c r="CI47" s="10">
        <v>4</v>
      </c>
      <c r="CJ47" s="10">
        <v>1847.9480849500001</v>
      </c>
      <c r="CK47" s="10">
        <v>0</v>
      </c>
      <c r="CL47" s="10">
        <v>0</v>
      </c>
      <c r="CM47" s="10">
        <v>7</v>
      </c>
      <c r="CN47" s="10">
        <v>1586.5288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37</v>
      </c>
      <c r="CZ47" s="10">
        <v>13737.1937571</v>
      </c>
      <c r="DA47" s="10">
        <v>0</v>
      </c>
      <c r="DB47" s="10">
        <v>0</v>
      </c>
      <c r="DC47" s="10">
        <v>57</v>
      </c>
      <c r="DD47" s="10">
        <v>10287.590761849999</v>
      </c>
      <c r="DE47" s="10">
        <v>1</v>
      </c>
      <c r="DF47" s="10">
        <v>216.25810328</v>
      </c>
      <c r="DG47" s="10">
        <v>1098</v>
      </c>
      <c r="DH47" s="10">
        <v>16352.009306179993</v>
      </c>
      <c r="DI47" s="10">
        <v>99</v>
      </c>
      <c r="DJ47" s="10">
        <v>529.29474563999997</v>
      </c>
      <c r="DK47" s="10">
        <v>0</v>
      </c>
      <c r="DL47" s="10">
        <v>0</v>
      </c>
      <c r="DM47" s="10">
        <v>0</v>
      </c>
      <c r="DN47" s="10">
        <v>0</v>
      </c>
      <c r="DO47" s="10">
        <v>999</v>
      </c>
      <c r="DP47" s="10">
        <v>12552.72837483</v>
      </c>
      <c r="DQ47" s="10">
        <v>10</v>
      </c>
      <c r="DR47" s="10">
        <v>102.72420932999998</v>
      </c>
      <c r="DS47" s="10">
        <v>91</v>
      </c>
      <c r="DT47" s="10">
        <v>4716.8476109399999</v>
      </c>
      <c r="DU47" s="10">
        <v>0</v>
      </c>
      <c r="DV47" s="10">
        <v>0</v>
      </c>
      <c r="DW47" s="10">
        <v>23</v>
      </c>
      <c r="DX47" s="10">
        <v>166.20708431</v>
      </c>
      <c r="DY47" s="10">
        <v>9</v>
      </c>
      <c r="DZ47" s="10">
        <v>72.343347379999997</v>
      </c>
      <c r="EA47" s="10">
        <v>1267</v>
      </c>
      <c r="EB47" s="10">
        <v>19847.406485860003</v>
      </c>
      <c r="EC47" s="10">
        <v>78</v>
      </c>
      <c r="ED47" s="10">
        <v>843.80404190000002</v>
      </c>
      <c r="EE47" s="10">
        <v>94</v>
      </c>
      <c r="EF47" s="10">
        <v>1125.16299768</v>
      </c>
      <c r="EG47" s="10">
        <v>0</v>
      </c>
      <c r="EH47" s="10">
        <v>0</v>
      </c>
      <c r="EI47" s="10">
        <v>37</v>
      </c>
      <c r="EJ47" s="10">
        <v>333.86477598000005</v>
      </c>
      <c r="EK47" s="10">
        <v>0</v>
      </c>
      <c r="EL47" s="10">
        <v>0</v>
      </c>
      <c r="EM47" s="10">
        <v>30</v>
      </c>
      <c r="EN47" s="10">
        <v>426.93160279</v>
      </c>
      <c r="EO47" s="10">
        <v>1</v>
      </c>
      <c r="EP47" s="10">
        <v>32.924999999999997</v>
      </c>
      <c r="EQ47" s="10">
        <v>506</v>
      </c>
      <c r="ER47" s="10">
        <v>5020.2407921199983</v>
      </c>
      <c r="ES47" s="10">
        <v>49</v>
      </c>
      <c r="ET47" s="10">
        <v>843.61469302000023</v>
      </c>
      <c r="EU47" s="10">
        <v>16</v>
      </c>
      <c r="EV47" s="10">
        <v>141.60209997999999</v>
      </c>
      <c r="EW47" s="10">
        <v>7</v>
      </c>
      <c r="EX47" s="10">
        <v>13.609633079999998</v>
      </c>
      <c r="EY47" s="10">
        <v>144</v>
      </c>
      <c r="EZ47" s="10">
        <v>1082.2692049699997</v>
      </c>
      <c r="FA47" s="10">
        <v>12</v>
      </c>
      <c r="FB47" s="10">
        <v>88.602670129999993</v>
      </c>
      <c r="FC47" s="10">
        <v>2</v>
      </c>
      <c r="FD47" s="10">
        <v>11.858550769999999</v>
      </c>
      <c r="FE47" s="10">
        <v>1</v>
      </c>
      <c r="FF47" s="10">
        <v>3.3</v>
      </c>
      <c r="FG47" s="10">
        <v>120</v>
      </c>
      <c r="FH47" s="10">
        <v>1802.6082291199998</v>
      </c>
      <c r="FI47" s="10">
        <v>7</v>
      </c>
      <c r="FJ47" s="10">
        <v>55.759495450000003</v>
      </c>
      <c r="FK47" s="10">
        <v>31</v>
      </c>
      <c r="FL47" s="10">
        <v>257.30248989000006</v>
      </c>
      <c r="FM47" s="10">
        <v>3</v>
      </c>
      <c r="FN47" s="10">
        <v>41.952666379999997</v>
      </c>
      <c r="FO47" s="10">
        <v>4</v>
      </c>
      <c r="FP47" s="10">
        <v>108.89028051999999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8">
        <f t="shared" si="14"/>
        <v>0</v>
      </c>
      <c r="FX47" s="18">
        <f t="shared" si="8"/>
        <v>0</v>
      </c>
      <c r="FY47" s="18">
        <f t="shared" si="9"/>
        <v>0</v>
      </c>
      <c r="FZ47" s="18">
        <f t="shared" si="10"/>
        <v>0</v>
      </c>
      <c r="GA47" s="18">
        <f t="shared" si="15"/>
        <v>0</v>
      </c>
      <c r="GB47" s="18">
        <f t="shared" si="11"/>
        <v>4.6426862354564946E-11</v>
      </c>
      <c r="GC47" s="18">
        <f t="shared" si="12"/>
        <v>0</v>
      </c>
      <c r="GD47" s="18">
        <f t="shared" si="13"/>
        <v>4.9737991503207013E-13</v>
      </c>
    </row>
    <row r="48" spans="1:186" s="11" customFormat="1" ht="27" customHeight="1" x14ac:dyDescent="0.25">
      <c r="A48" s="66" t="s">
        <v>30</v>
      </c>
      <c r="B48" s="1">
        <f t="shared" si="17"/>
        <v>41</v>
      </c>
      <c r="C48" s="20" t="s">
        <v>2096</v>
      </c>
      <c r="D48" s="20" t="s">
        <v>2101</v>
      </c>
      <c r="E48" s="65">
        <v>11386</v>
      </c>
      <c r="F48" s="19" t="s">
        <v>2070</v>
      </c>
      <c r="G48" s="9">
        <v>5122</v>
      </c>
      <c r="H48" s="9">
        <v>266933.39151680993</v>
      </c>
      <c r="I48" s="9">
        <v>498</v>
      </c>
      <c r="J48" s="9">
        <v>142054.51914316</v>
      </c>
      <c r="K48" s="9">
        <v>72</v>
      </c>
      <c r="L48" s="9">
        <v>172429.84280478</v>
      </c>
      <c r="M48" s="9">
        <v>12</v>
      </c>
      <c r="N48" s="9">
        <v>135716.74658880002</v>
      </c>
      <c r="O48" s="9">
        <v>40</v>
      </c>
      <c r="P48" s="9">
        <v>3114.5139808099998</v>
      </c>
      <c r="Q48" s="9">
        <v>0</v>
      </c>
      <c r="R48" s="9">
        <v>0</v>
      </c>
      <c r="S48" s="9">
        <v>5010</v>
      </c>
      <c r="T48" s="9">
        <v>91389.03473121993</v>
      </c>
      <c r="U48" s="9">
        <v>486</v>
      </c>
      <c r="V48" s="9">
        <v>6337.7725543600036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16</v>
      </c>
      <c r="AJ48" s="10">
        <v>16135.049017509999</v>
      </c>
      <c r="AK48" s="10">
        <v>4</v>
      </c>
      <c r="AL48" s="10">
        <v>3299.0330127799998</v>
      </c>
      <c r="AM48" s="10">
        <v>1</v>
      </c>
      <c r="AN48" s="10">
        <v>15771.334242030001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1</v>
      </c>
      <c r="AV48" s="10">
        <v>33.33069012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8</v>
      </c>
      <c r="BD48" s="10">
        <v>670</v>
      </c>
      <c r="BE48" s="10">
        <v>0</v>
      </c>
      <c r="BF48" s="10">
        <v>0</v>
      </c>
      <c r="BG48" s="10">
        <v>6</v>
      </c>
      <c r="BH48" s="10">
        <v>133018.09415598999</v>
      </c>
      <c r="BI48" s="10">
        <v>5</v>
      </c>
      <c r="BJ48" s="10">
        <v>132268.09415799001</v>
      </c>
      <c r="BK48" s="10">
        <v>10</v>
      </c>
      <c r="BL48" s="10">
        <v>961.14222504999998</v>
      </c>
      <c r="BM48" s="10">
        <v>2</v>
      </c>
      <c r="BN48" s="10">
        <v>99.619418030000006</v>
      </c>
      <c r="BO48" s="10">
        <v>18</v>
      </c>
      <c r="BP48" s="10">
        <v>1747.6127074999999</v>
      </c>
      <c r="BQ48" s="10">
        <v>0</v>
      </c>
      <c r="BR48" s="10">
        <v>0</v>
      </c>
      <c r="BS48" s="10">
        <v>9</v>
      </c>
      <c r="BT48" s="10">
        <v>617.47948542000006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6</v>
      </c>
      <c r="CB48" s="10">
        <v>1694.5001021199998</v>
      </c>
      <c r="CC48" s="10">
        <v>0</v>
      </c>
      <c r="CD48" s="10">
        <v>0</v>
      </c>
      <c r="CE48" s="10">
        <v>2</v>
      </c>
      <c r="CF48" s="10">
        <v>150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8</v>
      </c>
      <c r="CN48" s="10">
        <v>1169.9236800000001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27</v>
      </c>
      <c r="CZ48" s="10">
        <v>3575.8904798499998</v>
      </c>
      <c r="DA48" s="10">
        <v>1</v>
      </c>
      <c r="DB48" s="10">
        <v>50</v>
      </c>
      <c r="DC48" s="10">
        <v>144</v>
      </c>
      <c r="DD48" s="10">
        <v>30339.369861280014</v>
      </c>
      <c r="DE48" s="10">
        <v>9</v>
      </c>
      <c r="DF48" s="10">
        <v>2892.1571796200001</v>
      </c>
      <c r="DG48" s="10">
        <v>1670</v>
      </c>
      <c r="DH48" s="10">
        <v>16141.434230889967</v>
      </c>
      <c r="DI48" s="10">
        <v>311</v>
      </c>
      <c r="DJ48" s="10">
        <v>1591.1930364999994</v>
      </c>
      <c r="DK48" s="10">
        <v>0</v>
      </c>
      <c r="DL48" s="10">
        <v>0</v>
      </c>
      <c r="DM48" s="10">
        <v>0</v>
      </c>
      <c r="DN48" s="10">
        <v>0</v>
      </c>
      <c r="DO48" s="10">
        <v>1153</v>
      </c>
      <c r="DP48" s="10">
        <v>13566.119731339995</v>
      </c>
      <c r="DQ48" s="10">
        <v>14</v>
      </c>
      <c r="DR48" s="10">
        <v>113.15728219</v>
      </c>
      <c r="DS48" s="10">
        <v>33</v>
      </c>
      <c r="DT48" s="10">
        <v>2127.6898373899999</v>
      </c>
      <c r="DU48" s="10">
        <v>1</v>
      </c>
      <c r="DV48" s="10">
        <v>100</v>
      </c>
      <c r="DW48" s="10">
        <v>21</v>
      </c>
      <c r="DX48" s="10">
        <v>132.70682421000001</v>
      </c>
      <c r="DY48" s="10">
        <v>21</v>
      </c>
      <c r="DZ48" s="10">
        <v>132.70682421000001</v>
      </c>
      <c r="EA48" s="10">
        <v>628</v>
      </c>
      <c r="EB48" s="10">
        <v>10455.736073960001</v>
      </c>
      <c r="EC48" s="10">
        <v>23</v>
      </c>
      <c r="ED48" s="10">
        <v>141.66176662999999</v>
      </c>
      <c r="EE48" s="10">
        <v>95</v>
      </c>
      <c r="EF48" s="10">
        <v>1605.5457795699999</v>
      </c>
      <c r="EG48" s="10">
        <v>10</v>
      </c>
      <c r="EH48" s="10">
        <v>116.50842320000001</v>
      </c>
      <c r="EI48" s="10">
        <v>336</v>
      </c>
      <c r="EJ48" s="10">
        <v>4180.5755146899992</v>
      </c>
      <c r="EK48" s="10">
        <v>26</v>
      </c>
      <c r="EL48" s="10">
        <v>310.24698796000001</v>
      </c>
      <c r="EM48" s="10">
        <v>288</v>
      </c>
      <c r="EN48" s="10">
        <v>6316.4745367300002</v>
      </c>
      <c r="EO48" s="10">
        <v>9</v>
      </c>
      <c r="EP48" s="10">
        <v>97.25422648</v>
      </c>
      <c r="EQ48" s="10">
        <v>413</v>
      </c>
      <c r="ER48" s="10">
        <v>4149.3519226499993</v>
      </c>
      <c r="ES48" s="10">
        <v>37</v>
      </c>
      <c r="ET48" s="10">
        <v>617.72064721000004</v>
      </c>
      <c r="EU48" s="10">
        <v>15</v>
      </c>
      <c r="EV48" s="10">
        <v>257.69035989999998</v>
      </c>
      <c r="EW48" s="10">
        <v>6</v>
      </c>
      <c r="EX48" s="10">
        <v>20.596711060000004</v>
      </c>
      <c r="EY48" s="10">
        <v>175</v>
      </c>
      <c r="EZ48" s="10">
        <v>1537.7954159400001</v>
      </c>
      <c r="FA48" s="10">
        <v>17</v>
      </c>
      <c r="FB48" s="10">
        <v>185.57521793999999</v>
      </c>
      <c r="FC48" s="10">
        <v>1</v>
      </c>
      <c r="FD48" s="10">
        <v>10.416668</v>
      </c>
      <c r="FE48" s="10">
        <v>0</v>
      </c>
      <c r="FF48" s="10">
        <v>0</v>
      </c>
      <c r="FG48" s="10">
        <v>10</v>
      </c>
      <c r="FH48" s="10">
        <v>111.17562357</v>
      </c>
      <c r="FI48" s="10">
        <v>0</v>
      </c>
      <c r="FJ48" s="10">
        <v>0</v>
      </c>
      <c r="FK48" s="10">
        <v>17</v>
      </c>
      <c r="FL48" s="10">
        <v>211.14669297</v>
      </c>
      <c r="FM48" s="10">
        <v>1</v>
      </c>
      <c r="FN48" s="10">
        <v>10</v>
      </c>
      <c r="FO48" s="10">
        <v>11</v>
      </c>
      <c r="FP48" s="10">
        <v>245.80565812999998</v>
      </c>
      <c r="FQ48" s="10">
        <v>1</v>
      </c>
      <c r="FR48" s="10">
        <v>8.9942513599999998</v>
      </c>
      <c r="FS48" s="10">
        <v>0</v>
      </c>
      <c r="FT48" s="10">
        <v>0</v>
      </c>
      <c r="FU48" s="10">
        <v>0</v>
      </c>
      <c r="FV48" s="10">
        <v>0</v>
      </c>
      <c r="FW48" s="18">
        <f t="shared" si="14"/>
        <v>0</v>
      </c>
      <c r="FX48" s="18">
        <f t="shared" si="8"/>
        <v>0</v>
      </c>
      <c r="FY48" s="18">
        <f t="shared" si="9"/>
        <v>0</v>
      </c>
      <c r="FZ48" s="18">
        <f t="shared" si="10"/>
        <v>-2.2737367544323206E-11</v>
      </c>
      <c r="GA48" s="18">
        <f t="shared" si="15"/>
        <v>0</v>
      </c>
      <c r="GB48" s="18">
        <f t="shared" si="11"/>
        <v>-2.9444890969898552E-11</v>
      </c>
      <c r="GC48" s="18">
        <f t="shared" si="12"/>
        <v>0</v>
      </c>
      <c r="GD48" s="18">
        <f t="shared" si="13"/>
        <v>-2.4677149212948279E-11</v>
      </c>
    </row>
    <row r="49" spans="1:186" s="11" customFormat="1" ht="27" customHeight="1" x14ac:dyDescent="0.25">
      <c r="A49" s="66" t="s">
        <v>30</v>
      </c>
      <c r="B49" s="1">
        <f t="shared" si="17"/>
        <v>42</v>
      </c>
      <c r="C49" s="20" t="s">
        <v>2096</v>
      </c>
      <c r="D49" s="20" t="s">
        <v>2102</v>
      </c>
      <c r="E49" s="65">
        <v>11387</v>
      </c>
      <c r="F49" s="19" t="s">
        <v>2068</v>
      </c>
      <c r="G49" s="9">
        <v>3109</v>
      </c>
      <c r="H49" s="9">
        <v>88954.629553700011</v>
      </c>
      <c r="I49" s="9">
        <v>268</v>
      </c>
      <c r="J49" s="9">
        <v>22939.004950440001</v>
      </c>
      <c r="K49" s="9">
        <v>32</v>
      </c>
      <c r="L49" s="9">
        <v>36086.062310889996</v>
      </c>
      <c r="M49" s="9">
        <v>1</v>
      </c>
      <c r="N49" s="9">
        <v>21424.14</v>
      </c>
      <c r="O49" s="9">
        <v>35</v>
      </c>
      <c r="P49" s="9">
        <v>5331.6496306099998</v>
      </c>
      <c r="Q49" s="9">
        <v>0</v>
      </c>
      <c r="R49" s="9">
        <v>0</v>
      </c>
      <c r="S49" s="9">
        <v>3042</v>
      </c>
      <c r="T49" s="9">
        <v>47536.917612200014</v>
      </c>
      <c r="U49" s="9">
        <v>267</v>
      </c>
      <c r="V49" s="9">
        <v>1514.8649504400005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14</v>
      </c>
      <c r="AJ49" s="10">
        <v>6288.5298081700003</v>
      </c>
      <c r="AK49" s="10">
        <v>0</v>
      </c>
      <c r="AL49" s="10">
        <v>0</v>
      </c>
      <c r="AM49" s="10">
        <v>1</v>
      </c>
      <c r="AN49" s="10">
        <v>550.38934369000003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2</v>
      </c>
      <c r="AZ49" s="10">
        <v>200</v>
      </c>
      <c r="BA49" s="10">
        <v>0</v>
      </c>
      <c r="BB49" s="10">
        <v>0</v>
      </c>
      <c r="BC49" s="10">
        <v>1</v>
      </c>
      <c r="BD49" s="10">
        <v>50</v>
      </c>
      <c r="BE49" s="10">
        <v>0</v>
      </c>
      <c r="BF49" s="10">
        <v>0</v>
      </c>
      <c r="BG49" s="10">
        <v>2</v>
      </c>
      <c r="BH49" s="10">
        <v>21450.639999999999</v>
      </c>
      <c r="BI49" s="10">
        <v>1</v>
      </c>
      <c r="BJ49" s="10">
        <v>21424.14</v>
      </c>
      <c r="BK49" s="10">
        <v>2</v>
      </c>
      <c r="BL49" s="10">
        <v>227.08334300000001</v>
      </c>
      <c r="BM49" s="10">
        <v>0</v>
      </c>
      <c r="BN49" s="10">
        <v>0</v>
      </c>
      <c r="BO49" s="10">
        <v>7</v>
      </c>
      <c r="BP49" s="10">
        <v>883.42222000000004</v>
      </c>
      <c r="BQ49" s="10">
        <v>0</v>
      </c>
      <c r="BR49" s="10">
        <v>0</v>
      </c>
      <c r="BS49" s="10">
        <v>5</v>
      </c>
      <c r="BT49" s="10">
        <v>973.68974287000003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1</v>
      </c>
      <c r="CB49" s="10">
        <v>1130.7184999999999</v>
      </c>
      <c r="CC49" s="10">
        <v>0</v>
      </c>
      <c r="CD49" s="10">
        <v>0</v>
      </c>
      <c r="CE49" s="10">
        <v>3</v>
      </c>
      <c r="CF49" s="10">
        <v>1706.8105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6</v>
      </c>
      <c r="CN49" s="10">
        <v>1025.9483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23</v>
      </c>
      <c r="CZ49" s="10">
        <v>6930.4801837700006</v>
      </c>
      <c r="DA49" s="10">
        <v>0</v>
      </c>
      <c r="DB49" s="10">
        <v>0</v>
      </c>
      <c r="DC49" s="10">
        <v>33</v>
      </c>
      <c r="DD49" s="10">
        <v>6152.55112233</v>
      </c>
      <c r="DE49" s="10">
        <v>0</v>
      </c>
      <c r="DF49" s="10">
        <v>0</v>
      </c>
      <c r="DG49" s="10">
        <v>1112</v>
      </c>
      <c r="DH49" s="10">
        <v>11881.573263729992</v>
      </c>
      <c r="DI49" s="10">
        <v>133</v>
      </c>
      <c r="DJ49" s="10">
        <v>654.44073928</v>
      </c>
      <c r="DK49" s="10">
        <v>0</v>
      </c>
      <c r="DL49" s="10">
        <v>0</v>
      </c>
      <c r="DM49" s="10">
        <v>0</v>
      </c>
      <c r="DN49" s="10">
        <v>0</v>
      </c>
      <c r="DO49" s="10">
        <v>235</v>
      </c>
      <c r="DP49" s="10">
        <v>2596.6204772300002</v>
      </c>
      <c r="DQ49" s="10">
        <v>0</v>
      </c>
      <c r="DR49" s="10">
        <v>0</v>
      </c>
      <c r="DS49" s="10">
        <v>84</v>
      </c>
      <c r="DT49" s="10">
        <v>4250.9175331099996</v>
      </c>
      <c r="DU49" s="10">
        <v>0</v>
      </c>
      <c r="DV49" s="10">
        <v>0</v>
      </c>
      <c r="DW49" s="10">
        <v>15</v>
      </c>
      <c r="DX49" s="10">
        <v>64.058955769999997</v>
      </c>
      <c r="DY49" s="10">
        <v>15</v>
      </c>
      <c r="DZ49" s="10">
        <v>64.058955769999997</v>
      </c>
      <c r="EA49" s="10">
        <v>252</v>
      </c>
      <c r="EB49" s="10">
        <v>4016.3661942499994</v>
      </c>
      <c r="EC49" s="10">
        <v>14</v>
      </c>
      <c r="ED49" s="10">
        <v>57.204189170000006</v>
      </c>
      <c r="EE49" s="10">
        <v>57</v>
      </c>
      <c r="EF49" s="10">
        <v>1172.10030431</v>
      </c>
      <c r="EG49" s="10">
        <v>5</v>
      </c>
      <c r="EH49" s="10">
        <v>29.908283280000003</v>
      </c>
      <c r="EI49" s="10">
        <v>481</v>
      </c>
      <c r="EJ49" s="10">
        <v>5542.7715556800003</v>
      </c>
      <c r="EK49" s="10">
        <v>50</v>
      </c>
      <c r="EL49" s="10">
        <v>161.51553862</v>
      </c>
      <c r="EM49" s="10">
        <v>201</v>
      </c>
      <c r="EN49" s="10">
        <v>5498.4789754800004</v>
      </c>
      <c r="EO49" s="10">
        <v>0</v>
      </c>
      <c r="EP49" s="10">
        <v>0</v>
      </c>
      <c r="EQ49" s="10">
        <v>429</v>
      </c>
      <c r="ER49" s="10">
        <v>5142.7378692899993</v>
      </c>
      <c r="ES49" s="10">
        <v>34</v>
      </c>
      <c r="ET49" s="10">
        <v>489.1719434200001</v>
      </c>
      <c r="EU49" s="10">
        <v>4</v>
      </c>
      <c r="EV49" s="10">
        <v>2.86358252</v>
      </c>
      <c r="EW49" s="10">
        <v>0</v>
      </c>
      <c r="EX49" s="10">
        <v>0</v>
      </c>
      <c r="EY49" s="10">
        <v>93</v>
      </c>
      <c r="EZ49" s="10">
        <v>709.93905686000005</v>
      </c>
      <c r="FA49" s="10">
        <v>11</v>
      </c>
      <c r="FB49" s="10">
        <v>33.962881189999997</v>
      </c>
      <c r="FC49" s="10">
        <v>2</v>
      </c>
      <c r="FD49" s="10">
        <v>38.829913579999996</v>
      </c>
      <c r="FE49" s="10">
        <v>1</v>
      </c>
      <c r="FF49" s="10">
        <v>10.847191</v>
      </c>
      <c r="FG49" s="10">
        <v>12</v>
      </c>
      <c r="FH49" s="10">
        <v>226.68187948000002</v>
      </c>
      <c r="FI49" s="10">
        <v>0</v>
      </c>
      <c r="FJ49" s="10">
        <v>0</v>
      </c>
      <c r="FK49" s="10">
        <v>29</v>
      </c>
      <c r="FL49" s="10">
        <v>196.03420067999997</v>
      </c>
      <c r="FM49" s="10">
        <v>3</v>
      </c>
      <c r="FN49" s="10">
        <v>6.7605008100000008</v>
      </c>
      <c r="FO49" s="10">
        <v>3</v>
      </c>
      <c r="FP49" s="10">
        <v>44.392727899999997</v>
      </c>
      <c r="FQ49" s="10">
        <v>1</v>
      </c>
      <c r="FR49" s="10">
        <v>6.9947279</v>
      </c>
      <c r="FS49" s="10">
        <v>0</v>
      </c>
      <c r="FT49" s="10">
        <v>0</v>
      </c>
      <c r="FU49" s="10">
        <v>0</v>
      </c>
      <c r="FV49" s="10">
        <v>0</v>
      </c>
      <c r="FW49" s="18">
        <f t="shared" si="14"/>
        <v>0</v>
      </c>
      <c r="FX49" s="18">
        <f t="shared" si="8"/>
        <v>0</v>
      </c>
      <c r="FY49" s="18">
        <f t="shared" si="9"/>
        <v>0</v>
      </c>
      <c r="FZ49" s="18">
        <f t="shared" si="10"/>
        <v>0</v>
      </c>
      <c r="GA49" s="18">
        <f t="shared" si="15"/>
        <v>0</v>
      </c>
      <c r="GB49" s="18">
        <f t="shared" si="11"/>
        <v>2.6560087462712545E-11</v>
      </c>
      <c r="GC49" s="18">
        <f t="shared" si="12"/>
        <v>0</v>
      </c>
      <c r="GD49" s="18">
        <f t="shared" si="13"/>
        <v>1.7745804825608502E-12</v>
      </c>
    </row>
    <row r="50" spans="1:186" s="11" customFormat="1" ht="27" customHeight="1" x14ac:dyDescent="0.25">
      <c r="A50" s="66" t="s">
        <v>30</v>
      </c>
      <c r="B50" s="1">
        <f t="shared" si="17"/>
        <v>43</v>
      </c>
      <c r="C50" s="20" t="s">
        <v>2096</v>
      </c>
      <c r="D50" s="20" t="s">
        <v>2108</v>
      </c>
      <c r="E50" s="65">
        <v>11388</v>
      </c>
      <c r="F50" s="19" t="s">
        <v>2062</v>
      </c>
      <c r="G50" s="9">
        <v>4507</v>
      </c>
      <c r="H50" s="9">
        <v>73008.541276389995</v>
      </c>
      <c r="I50" s="9">
        <v>405</v>
      </c>
      <c r="J50" s="9">
        <v>5494.1949693900006</v>
      </c>
      <c r="K50" s="9">
        <v>62</v>
      </c>
      <c r="L50" s="9">
        <v>10874.511899629999</v>
      </c>
      <c r="M50" s="9">
        <v>7</v>
      </c>
      <c r="N50" s="9">
        <v>1792.67416209</v>
      </c>
      <c r="O50" s="9">
        <v>39</v>
      </c>
      <c r="P50" s="9">
        <v>5408.3045814999996</v>
      </c>
      <c r="Q50" s="9">
        <v>0</v>
      </c>
      <c r="R50" s="9">
        <v>0</v>
      </c>
      <c r="S50" s="9">
        <v>4406</v>
      </c>
      <c r="T50" s="9">
        <v>56725.724795260001</v>
      </c>
      <c r="U50" s="9">
        <v>398</v>
      </c>
      <c r="V50" s="9">
        <v>3701.5208073000003</v>
      </c>
      <c r="W50" s="10">
        <v>13</v>
      </c>
      <c r="X50" s="10">
        <v>2803.7731612899997</v>
      </c>
      <c r="Y50" s="10">
        <v>2</v>
      </c>
      <c r="Z50" s="10">
        <v>1002.66351446</v>
      </c>
      <c r="AA50" s="10">
        <v>9</v>
      </c>
      <c r="AB50" s="10">
        <v>2087.00297744</v>
      </c>
      <c r="AC50" s="10">
        <v>1</v>
      </c>
      <c r="AD50" s="10">
        <v>302.28341743999999</v>
      </c>
      <c r="AE50" s="10">
        <v>0</v>
      </c>
      <c r="AF50" s="10">
        <v>0</v>
      </c>
      <c r="AG50" s="10">
        <v>0</v>
      </c>
      <c r="AH50" s="10">
        <v>0</v>
      </c>
      <c r="AI50" s="10">
        <v>8</v>
      </c>
      <c r="AJ50" s="10">
        <v>1295.82101051</v>
      </c>
      <c r="AK50" s="10">
        <v>0</v>
      </c>
      <c r="AL50" s="10">
        <v>0</v>
      </c>
      <c r="AM50" s="10">
        <v>1</v>
      </c>
      <c r="AN50" s="10">
        <v>8.4292439699999999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1</v>
      </c>
      <c r="AZ50" s="10">
        <v>50</v>
      </c>
      <c r="BA50" s="10">
        <v>0</v>
      </c>
      <c r="BB50" s="10">
        <v>0</v>
      </c>
      <c r="BC50" s="10">
        <v>6</v>
      </c>
      <c r="BD50" s="10">
        <v>696.10923100000002</v>
      </c>
      <c r="BE50" s="10">
        <v>0</v>
      </c>
      <c r="BF50" s="10">
        <v>0</v>
      </c>
      <c r="BG50" s="10">
        <v>1</v>
      </c>
      <c r="BH50" s="10">
        <v>47.916665999999999</v>
      </c>
      <c r="BI50" s="10">
        <v>0</v>
      </c>
      <c r="BJ50" s="10">
        <v>0</v>
      </c>
      <c r="BK50" s="10">
        <v>3</v>
      </c>
      <c r="BL50" s="10">
        <v>157.13171688999998</v>
      </c>
      <c r="BM50" s="10">
        <v>0</v>
      </c>
      <c r="BN50" s="10">
        <v>0</v>
      </c>
      <c r="BO50" s="10">
        <v>14</v>
      </c>
      <c r="BP50" s="10">
        <v>2551.8085217299999</v>
      </c>
      <c r="BQ50" s="10">
        <v>2</v>
      </c>
      <c r="BR50" s="10">
        <v>364.03871702999999</v>
      </c>
      <c r="BS50" s="10">
        <v>20</v>
      </c>
      <c r="BT50" s="10">
        <v>2166.6148109299997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3</v>
      </c>
      <c r="CB50" s="10">
        <v>299.52958018999999</v>
      </c>
      <c r="CC50" s="10">
        <v>1</v>
      </c>
      <c r="CD50" s="10">
        <v>99.694137260000005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3</v>
      </c>
      <c r="CN50" s="10">
        <v>1448.9</v>
      </c>
      <c r="CO50" s="10">
        <v>0</v>
      </c>
      <c r="CP50" s="10">
        <v>0</v>
      </c>
      <c r="CQ50" s="10">
        <v>2</v>
      </c>
      <c r="CR50" s="10">
        <v>379.54222673000004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17</v>
      </c>
      <c r="CZ50" s="10">
        <v>2290.2373344500002</v>
      </c>
      <c r="DA50" s="10">
        <v>1</v>
      </c>
      <c r="DB50" s="10">
        <v>23.994375899999998</v>
      </c>
      <c r="DC50" s="10">
        <v>63</v>
      </c>
      <c r="DD50" s="10">
        <v>13195.977941129999</v>
      </c>
      <c r="DE50" s="10">
        <v>1</v>
      </c>
      <c r="DF50" s="10">
        <v>267.18897499000002</v>
      </c>
      <c r="DG50" s="10">
        <v>1751</v>
      </c>
      <c r="DH50" s="10">
        <v>12475.96198858</v>
      </c>
      <c r="DI50" s="10">
        <v>172</v>
      </c>
      <c r="DJ50" s="10">
        <v>1077.2895494299999</v>
      </c>
      <c r="DK50" s="10">
        <v>0</v>
      </c>
      <c r="DL50" s="10">
        <v>0</v>
      </c>
      <c r="DM50" s="10">
        <v>0</v>
      </c>
      <c r="DN50" s="10">
        <v>0</v>
      </c>
      <c r="DO50" s="10">
        <v>784</v>
      </c>
      <c r="DP50" s="10">
        <v>8990.8516509600031</v>
      </c>
      <c r="DQ50" s="10">
        <v>12</v>
      </c>
      <c r="DR50" s="10">
        <v>121.69076645999999</v>
      </c>
      <c r="DS50" s="10">
        <v>22</v>
      </c>
      <c r="DT50" s="10">
        <v>1407.5363098799999</v>
      </c>
      <c r="DU50" s="10">
        <v>0</v>
      </c>
      <c r="DV50" s="10">
        <v>0</v>
      </c>
      <c r="DW50" s="10">
        <v>23</v>
      </c>
      <c r="DX50" s="10">
        <v>145.52235256</v>
      </c>
      <c r="DY50" s="10">
        <v>19</v>
      </c>
      <c r="DZ50" s="10">
        <v>119.99198674999998</v>
      </c>
      <c r="EA50" s="10">
        <v>199</v>
      </c>
      <c r="EB50" s="10">
        <v>1951.62472731</v>
      </c>
      <c r="EC50" s="10">
        <v>33</v>
      </c>
      <c r="ED50" s="10">
        <v>306.10147666999995</v>
      </c>
      <c r="EE50" s="10">
        <v>140</v>
      </c>
      <c r="EF50" s="10">
        <v>2435.1038302599995</v>
      </c>
      <c r="EG50" s="10">
        <v>13</v>
      </c>
      <c r="EH50" s="10">
        <v>95.535763029999998</v>
      </c>
      <c r="EI50" s="10">
        <v>461</v>
      </c>
      <c r="EJ50" s="10">
        <v>4493.1831535699994</v>
      </c>
      <c r="EK50" s="10">
        <v>37</v>
      </c>
      <c r="EL50" s="10">
        <v>300.12809498999997</v>
      </c>
      <c r="EM50" s="10">
        <v>101</v>
      </c>
      <c r="EN50" s="10">
        <v>2351.7933187200001</v>
      </c>
      <c r="EO50" s="10">
        <v>2</v>
      </c>
      <c r="EP50" s="10">
        <v>37.993194630000005</v>
      </c>
      <c r="EQ50" s="10">
        <v>599</v>
      </c>
      <c r="ER50" s="10">
        <v>6459.3545544500012</v>
      </c>
      <c r="ES50" s="10">
        <v>79</v>
      </c>
      <c r="ET50" s="10">
        <v>1045.1668709999999</v>
      </c>
      <c r="EU50" s="10">
        <v>19</v>
      </c>
      <c r="EV50" s="10">
        <v>311.07087655000004</v>
      </c>
      <c r="EW50" s="10">
        <v>3</v>
      </c>
      <c r="EX50" s="10">
        <v>8.2660356799999999</v>
      </c>
      <c r="EY50" s="10">
        <v>152</v>
      </c>
      <c r="EZ50" s="10">
        <v>1157.2886107899999</v>
      </c>
      <c r="FA50" s="10">
        <v>14</v>
      </c>
      <c r="FB50" s="10">
        <v>117.03310025</v>
      </c>
      <c r="FC50" s="10">
        <v>6</v>
      </c>
      <c r="FD50" s="10">
        <v>129.05374004999999</v>
      </c>
      <c r="FE50" s="10">
        <v>2</v>
      </c>
      <c r="FF50" s="10">
        <v>63.971830120000007</v>
      </c>
      <c r="FG50" s="10">
        <v>30</v>
      </c>
      <c r="FH50" s="10">
        <v>330.16622612000003</v>
      </c>
      <c r="FI50" s="10">
        <v>5</v>
      </c>
      <c r="FJ50" s="10">
        <v>100.7501858</v>
      </c>
      <c r="FK50" s="10">
        <v>48</v>
      </c>
      <c r="FL50" s="10">
        <v>747.61249960999999</v>
      </c>
      <c r="FM50" s="10">
        <v>6</v>
      </c>
      <c r="FN50" s="10">
        <v>40.412977499999997</v>
      </c>
      <c r="FO50" s="10">
        <v>8</v>
      </c>
      <c r="FP50" s="10">
        <v>143.62301471999999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8">
        <f t="shared" si="14"/>
        <v>0</v>
      </c>
      <c r="FX50" s="18">
        <f t="shared" si="8"/>
        <v>0</v>
      </c>
      <c r="FY50" s="18">
        <f t="shared" si="9"/>
        <v>0</v>
      </c>
      <c r="FZ50" s="18">
        <f t="shared" si="10"/>
        <v>0</v>
      </c>
      <c r="GA50" s="18">
        <f t="shared" si="15"/>
        <v>0</v>
      </c>
      <c r="GB50" s="18">
        <f t="shared" si="11"/>
        <v>7.1054273576010019E-13</v>
      </c>
      <c r="GC50" s="18">
        <f t="shared" si="12"/>
        <v>0</v>
      </c>
      <c r="GD50" s="18">
        <f t="shared" si="13"/>
        <v>1.4921397450962104E-12</v>
      </c>
    </row>
    <row r="51" spans="1:186" s="11" customFormat="1" ht="27" customHeight="1" x14ac:dyDescent="0.25">
      <c r="A51" s="66" t="s">
        <v>30</v>
      </c>
      <c r="B51" s="1">
        <f t="shared" si="17"/>
        <v>44</v>
      </c>
      <c r="C51" s="20" t="s">
        <v>2096</v>
      </c>
      <c r="D51" s="20" t="s">
        <v>2117</v>
      </c>
      <c r="E51" s="65">
        <v>11487</v>
      </c>
      <c r="F51" s="19" t="s">
        <v>2077</v>
      </c>
      <c r="G51" s="9">
        <v>5446</v>
      </c>
      <c r="H51" s="9">
        <v>151046.54853052998</v>
      </c>
      <c r="I51" s="9">
        <v>257</v>
      </c>
      <c r="J51" s="9">
        <v>1165.6189171499998</v>
      </c>
      <c r="K51" s="9">
        <v>110</v>
      </c>
      <c r="L51" s="9">
        <v>43498.031906180004</v>
      </c>
      <c r="M51" s="9">
        <v>0</v>
      </c>
      <c r="N51" s="9">
        <v>0</v>
      </c>
      <c r="O51" s="9">
        <v>39</v>
      </c>
      <c r="P51" s="9">
        <v>2910.4878030099999</v>
      </c>
      <c r="Q51" s="9">
        <v>1</v>
      </c>
      <c r="R51" s="9">
        <v>9.7527060299999988</v>
      </c>
      <c r="S51" s="9">
        <v>5297</v>
      </c>
      <c r="T51" s="9">
        <v>104638.02882134002</v>
      </c>
      <c r="U51" s="9">
        <v>256</v>
      </c>
      <c r="V51" s="9">
        <v>1155.8662111199997</v>
      </c>
      <c r="W51" s="10">
        <v>4</v>
      </c>
      <c r="X51" s="10">
        <v>2282.8843122799999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18</v>
      </c>
      <c r="AJ51" s="10">
        <v>15959.706457029999</v>
      </c>
      <c r="AK51" s="10">
        <v>0</v>
      </c>
      <c r="AL51" s="10">
        <v>0</v>
      </c>
      <c r="AM51" s="10">
        <v>2</v>
      </c>
      <c r="AN51" s="10">
        <v>493.73027277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7</v>
      </c>
      <c r="AZ51" s="10">
        <v>3211.2444500000001</v>
      </c>
      <c r="BA51" s="10">
        <v>0</v>
      </c>
      <c r="BB51" s="10">
        <v>0</v>
      </c>
      <c r="BC51" s="10">
        <v>5</v>
      </c>
      <c r="BD51" s="10">
        <v>703</v>
      </c>
      <c r="BE51" s="10">
        <v>0</v>
      </c>
      <c r="BF51" s="10">
        <v>0</v>
      </c>
      <c r="BG51" s="10">
        <v>2</v>
      </c>
      <c r="BH51" s="10">
        <v>1071.72617289</v>
      </c>
      <c r="BI51" s="10">
        <v>0</v>
      </c>
      <c r="BJ51" s="10">
        <v>0</v>
      </c>
      <c r="BK51" s="10">
        <v>22</v>
      </c>
      <c r="BL51" s="10">
        <v>1128.8096726800002</v>
      </c>
      <c r="BM51" s="10">
        <v>1</v>
      </c>
      <c r="BN51" s="10">
        <v>9.7527060299999988</v>
      </c>
      <c r="BO51" s="10">
        <v>27</v>
      </c>
      <c r="BP51" s="10">
        <v>4490.0557740000004</v>
      </c>
      <c r="BQ51" s="10">
        <v>0</v>
      </c>
      <c r="BR51" s="10">
        <v>0</v>
      </c>
      <c r="BS51" s="10">
        <v>12</v>
      </c>
      <c r="BT51" s="10">
        <v>1171.6666660000001</v>
      </c>
      <c r="BU51" s="10">
        <v>0</v>
      </c>
      <c r="BV51" s="10">
        <v>0</v>
      </c>
      <c r="BW51" s="10">
        <v>4</v>
      </c>
      <c r="BX51" s="10">
        <v>2831.2427354299998</v>
      </c>
      <c r="BY51" s="10">
        <v>0</v>
      </c>
      <c r="BZ51" s="10">
        <v>0</v>
      </c>
      <c r="CA51" s="10">
        <v>1</v>
      </c>
      <c r="CB51" s="10">
        <v>100</v>
      </c>
      <c r="CC51" s="10">
        <v>0</v>
      </c>
      <c r="CD51" s="10">
        <v>0</v>
      </c>
      <c r="CE51" s="10">
        <v>6</v>
      </c>
      <c r="CF51" s="10">
        <v>545.83333300000004</v>
      </c>
      <c r="CG51" s="10">
        <v>0</v>
      </c>
      <c r="CH51" s="10">
        <v>0</v>
      </c>
      <c r="CI51" s="10">
        <v>1</v>
      </c>
      <c r="CJ51" s="10">
        <v>916.16455391</v>
      </c>
      <c r="CK51" s="10">
        <v>0</v>
      </c>
      <c r="CL51" s="10">
        <v>0</v>
      </c>
      <c r="CM51" s="10">
        <v>9</v>
      </c>
      <c r="CN51" s="10">
        <v>853.12157792000005</v>
      </c>
      <c r="CO51" s="10">
        <v>0</v>
      </c>
      <c r="CP51" s="10">
        <v>0</v>
      </c>
      <c r="CQ51" s="10">
        <v>4</v>
      </c>
      <c r="CR51" s="10">
        <v>548.55717326000001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25</v>
      </c>
      <c r="CZ51" s="10">
        <v>10100.776558020001</v>
      </c>
      <c r="DA51" s="10">
        <v>0</v>
      </c>
      <c r="DB51" s="10">
        <v>0</v>
      </c>
      <c r="DC51" s="10">
        <v>357</v>
      </c>
      <c r="DD51" s="10">
        <v>51251.170693430016</v>
      </c>
      <c r="DE51" s="10">
        <v>0</v>
      </c>
      <c r="DF51" s="10">
        <v>0</v>
      </c>
      <c r="DG51" s="10">
        <v>2443</v>
      </c>
      <c r="DH51" s="10">
        <v>21555.630644589979</v>
      </c>
      <c r="DI51" s="10">
        <v>214</v>
      </c>
      <c r="DJ51" s="10">
        <v>867.76998668999988</v>
      </c>
      <c r="DK51" s="10">
        <v>0</v>
      </c>
      <c r="DL51" s="10">
        <v>0</v>
      </c>
      <c r="DM51" s="10">
        <v>0</v>
      </c>
      <c r="DN51" s="10">
        <v>0</v>
      </c>
      <c r="DO51" s="10">
        <v>1099</v>
      </c>
      <c r="DP51" s="10">
        <v>11741.771497490001</v>
      </c>
      <c r="DQ51" s="10">
        <v>1</v>
      </c>
      <c r="DR51" s="10">
        <v>15.994095890000001</v>
      </c>
      <c r="DS51" s="10">
        <v>84</v>
      </c>
      <c r="DT51" s="10">
        <v>4098.2948963200006</v>
      </c>
      <c r="DU51" s="10">
        <v>0</v>
      </c>
      <c r="DV51" s="10">
        <v>0</v>
      </c>
      <c r="DW51" s="10">
        <v>7</v>
      </c>
      <c r="DX51" s="10">
        <v>39.424917839999999</v>
      </c>
      <c r="DY51" s="10">
        <v>4</v>
      </c>
      <c r="DZ51" s="10">
        <v>16.472779759999998</v>
      </c>
      <c r="EA51" s="10">
        <v>531</v>
      </c>
      <c r="EB51" s="10">
        <v>8117.0283026299985</v>
      </c>
      <c r="EC51" s="10">
        <v>20</v>
      </c>
      <c r="ED51" s="10">
        <v>127.89610942</v>
      </c>
      <c r="EE51" s="10">
        <v>20</v>
      </c>
      <c r="EF51" s="10">
        <v>310.15805505000003</v>
      </c>
      <c r="EG51" s="10">
        <v>2</v>
      </c>
      <c r="EH51" s="10">
        <v>6.8074481900000006</v>
      </c>
      <c r="EI51" s="10">
        <v>178</v>
      </c>
      <c r="EJ51" s="10">
        <v>1469.3094326500002</v>
      </c>
      <c r="EK51" s="10">
        <v>3</v>
      </c>
      <c r="EL51" s="10">
        <v>21.914768679999998</v>
      </c>
      <c r="EM51" s="10">
        <v>80</v>
      </c>
      <c r="EN51" s="10">
        <v>1529.6213460499996</v>
      </c>
      <c r="EO51" s="10">
        <v>2</v>
      </c>
      <c r="EP51" s="10">
        <v>5.4906701399999998</v>
      </c>
      <c r="EQ51" s="10">
        <v>239</v>
      </c>
      <c r="ER51" s="10">
        <v>2142.9093442599992</v>
      </c>
      <c r="ES51" s="10">
        <v>6</v>
      </c>
      <c r="ET51" s="10">
        <v>79.586864969999993</v>
      </c>
      <c r="EU51" s="10">
        <v>25</v>
      </c>
      <c r="EV51" s="10">
        <v>376.51049839000001</v>
      </c>
      <c r="EW51" s="10">
        <v>2</v>
      </c>
      <c r="EX51" s="10">
        <v>3.5798848200000002</v>
      </c>
      <c r="EY51" s="10">
        <v>170</v>
      </c>
      <c r="EZ51" s="10">
        <v>1058.48318952</v>
      </c>
      <c r="FA51" s="10">
        <v>1</v>
      </c>
      <c r="FB51" s="10">
        <v>0.80341074999999995</v>
      </c>
      <c r="FC51" s="10">
        <v>3</v>
      </c>
      <c r="FD51" s="10">
        <v>34.01266425</v>
      </c>
      <c r="FE51" s="10">
        <v>0</v>
      </c>
      <c r="FF51" s="10">
        <v>0</v>
      </c>
      <c r="FG51" s="10">
        <v>46</v>
      </c>
      <c r="FH51" s="10">
        <v>680.92257531999996</v>
      </c>
      <c r="FI51" s="10">
        <v>1</v>
      </c>
      <c r="FJ51" s="10">
        <v>9.5501918100000012</v>
      </c>
      <c r="FK51" s="10">
        <v>9</v>
      </c>
      <c r="FL51" s="10">
        <v>114.85063003</v>
      </c>
      <c r="FM51" s="10">
        <v>0</v>
      </c>
      <c r="FN51" s="10">
        <v>0</v>
      </c>
      <c r="FO51" s="10">
        <v>6</v>
      </c>
      <c r="FP51" s="10">
        <v>117.93013352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8">
        <f t="shared" si="14"/>
        <v>0</v>
      </c>
      <c r="FX51" s="18">
        <f t="shared" si="8"/>
        <v>0</v>
      </c>
      <c r="FY51" s="18">
        <f t="shared" si="9"/>
        <v>0</v>
      </c>
      <c r="FZ51" s="18">
        <f t="shared" si="10"/>
        <v>0</v>
      </c>
      <c r="GA51" s="18">
        <f t="shared" si="15"/>
        <v>0</v>
      </c>
      <c r="GB51" s="18">
        <f t="shared" si="11"/>
        <v>-3.4532376957940869E-12</v>
      </c>
      <c r="GC51" s="18">
        <f t="shared" si="12"/>
        <v>0</v>
      </c>
      <c r="GD51" s="18">
        <f t="shared" si="13"/>
        <v>1.5987211554602254E-14</v>
      </c>
    </row>
    <row r="52" spans="1:186" s="11" customFormat="1" ht="27" customHeight="1" x14ac:dyDescent="0.25">
      <c r="A52" s="66" t="s">
        <v>30</v>
      </c>
      <c r="B52" s="1">
        <f t="shared" si="17"/>
        <v>45</v>
      </c>
      <c r="C52" s="20" t="s">
        <v>2096</v>
      </c>
      <c r="D52" s="20" t="s">
        <v>2098</v>
      </c>
      <c r="E52" s="65">
        <v>11488</v>
      </c>
      <c r="F52" s="19" t="s">
        <v>2075</v>
      </c>
      <c r="G52" s="9">
        <v>3152</v>
      </c>
      <c r="H52" s="9">
        <v>72868.520766420013</v>
      </c>
      <c r="I52" s="9">
        <v>107</v>
      </c>
      <c r="J52" s="9">
        <v>886.06537436999986</v>
      </c>
      <c r="K52" s="9">
        <v>58</v>
      </c>
      <c r="L52" s="9">
        <v>16630.862095020002</v>
      </c>
      <c r="M52" s="9">
        <v>1</v>
      </c>
      <c r="N52" s="9">
        <v>11.80931582</v>
      </c>
      <c r="O52" s="9">
        <v>44</v>
      </c>
      <c r="P52" s="9">
        <v>3543.3845355100002</v>
      </c>
      <c r="Q52" s="9">
        <v>2</v>
      </c>
      <c r="R52" s="9">
        <v>130</v>
      </c>
      <c r="S52" s="9">
        <v>3050</v>
      </c>
      <c r="T52" s="9">
        <v>52694.274135890002</v>
      </c>
      <c r="U52" s="9">
        <v>104</v>
      </c>
      <c r="V52" s="9">
        <v>744.25605854999992</v>
      </c>
      <c r="W52" s="10">
        <v>1</v>
      </c>
      <c r="X52" s="10">
        <v>98.459415730000003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19</v>
      </c>
      <c r="AJ52" s="10">
        <v>10757.104526970001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1</v>
      </c>
      <c r="AR52" s="10">
        <v>100</v>
      </c>
      <c r="AS52" s="10">
        <v>1</v>
      </c>
      <c r="AT52" s="10">
        <v>100</v>
      </c>
      <c r="AU52" s="10">
        <v>0</v>
      </c>
      <c r="AV52" s="10">
        <v>0</v>
      </c>
      <c r="AW52" s="10">
        <v>0</v>
      </c>
      <c r="AX52" s="10">
        <v>0</v>
      </c>
      <c r="AY52" s="10">
        <v>1</v>
      </c>
      <c r="AZ52" s="10">
        <v>2.16280436</v>
      </c>
      <c r="BA52" s="10">
        <v>0</v>
      </c>
      <c r="BB52" s="10">
        <v>0</v>
      </c>
      <c r="BC52" s="10">
        <v>3</v>
      </c>
      <c r="BD52" s="10">
        <v>252.58990102000001</v>
      </c>
      <c r="BE52" s="10">
        <v>0</v>
      </c>
      <c r="BF52" s="10">
        <v>0</v>
      </c>
      <c r="BG52" s="10">
        <v>2</v>
      </c>
      <c r="BH52" s="10">
        <v>1088.9074000000001</v>
      </c>
      <c r="BI52" s="10">
        <v>0</v>
      </c>
      <c r="BJ52" s="10">
        <v>0</v>
      </c>
      <c r="BK52" s="10">
        <v>4</v>
      </c>
      <c r="BL52" s="10">
        <v>183.39647625000001</v>
      </c>
      <c r="BM52" s="10">
        <v>0</v>
      </c>
      <c r="BN52" s="10">
        <v>0</v>
      </c>
      <c r="BO52" s="10">
        <v>19</v>
      </c>
      <c r="BP52" s="10">
        <v>1866.27632206</v>
      </c>
      <c r="BQ52" s="10">
        <v>1</v>
      </c>
      <c r="BR52" s="10">
        <v>11.80931582</v>
      </c>
      <c r="BS52" s="10">
        <v>18</v>
      </c>
      <c r="BT52" s="10">
        <v>1374.1513827000001</v>
      </c>
      <c r="BU52" s="10">
        <v>0</v>
      </c>
      <c r="BV52" s="10">
        <v>0</v>
      </c>
      <c r="BW52" s="10">
        <v>1</v>
      </c>
      <c r="BX52" s="10">
        <v>302.02084300000001</v>
      </c>
      <c r="BY52" s="10">
        <v>0</v>
      </c>
      <c r="BZ52" s="10">
        <v>0</v>
      </c>
      <c r="CA52" s="10">
        <v>1</v>
      </c>
      <c r="CB52" s="10">
        <v>100</v>
      </c>
      <c r="CC52" s="10">
        <v>0</v>
      </c>
      <c r="CD52" s="10">
        <v>0</v>
      </c>
      <c r="CE52" s="10">
        <v>3</v>
      </c>
      <c r="CF52" s="10">
        <v>458.30242463999997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5</v>
      </c>
      <c r="CN52" s="10">
        <v>352.41709574000004</v>
      </c>
      <c r="CO52" s="10">
        <v>1</v>
      </c>
      <c r="CP52" s="10">
        <v>30</v>
      </c>
      <c r="CQ52" s="10">
        <v>0</v>
      </c>
      <c r="CR52" s="10">
        <v>0</v>
      </c>
      <c r="CS52" s="10">
        <v>0</v>
      </c>
      <c r="CT52" s="10">
        <v>0</v>
      </c>
      <c r="CU52" s="10">
        <v>2</v>
      </c>
      <c r="CV52" s="10">
        <v>256.60000000000002</v>
      </c>
      <c r="CW52" s="10">
        <v>0</v>
      </c>
      <c r="CX52" s="10">
        <v>0</v>
      </c>
      <c r="CY52" s="10">
        <v>22</v>
      </c>
      <c r="CZ52" s="10">
        <v>2981.8580380600001</v>
      </c>
      <c r="DA52" s="10">
        <v>0</v>
      </c>
      <c r="DB52" s="10">
        <v>0</v>
      </c>
      <c r="DC52" s="10">
        <v>72</v>
      </c>
      <c r="DD52" s="10">
        <v>14696.317281129997</v>
      </c>
      <c r="DE52" s="10">
        <v>0</v>
      </c>
      <c r="DF52" s="10">
        <v>0</v>
      </c>
      <c r="DG52" s="10">
        <v>1186</v>
      </c>
      <c r="DH52" s="10">
        <v>11443.862355059991</v>
      </c>
      <c r="DI52" s="10">
        <v>73</v>
      </c>
      <c r="DJ52" s="10">
        <v>426.20508181999992</v>
      </c>
      <c r="DK52" s="10">
        <v>3</v>
      </c>
      <c r="DL52" s="10">
        <v>436.38736611000002</v>
      </c>
      <c r="DM52" s="10">
        <v>0</v>
      </c>
      <c r="DN52" s="10">
        <v>0</v>
      </c>
      <c r="DO52" s="10">
        <v>630</v>
      </c>
      <c r="DP52" s="10">
        <v>8022.8630046299995</v>
      </c>
      <c r="DQ52" s="10">
        <v>0</v>
      </c>
      <c r="DR52" s="10">
        <v>0</v>
      </c>
      <c r="DS52" s="10">
        <v>94</v>
      </c>
      <c r="DT52" s="10">
        <v>4906.1374908699991</v>
      </c>
      <c r="DU52" s="10">
        <v>0</v>
      </c>
      <c r="DV52" s="10">
        <v>0</v>
      </c>
      <c r="DW52" s="10">
        <v>1</v>
      </c>
      <c r="DX52" s="10">
        <v>4.55</v>
      </c>
      <c r="DY52" s="10">
        <v>1</v>
      </c>
      <c r="DZ52" s="10">
        <v>4.55</v>
      </c>
      <c r="EA52" s="10">
        <v>519</v>
      </c>
      <c r="EB52" s="10">
        <v>7731.4797067299996</v>
      </c>
      <c r="EC52" s="10">
        <v>13</v>
      </c>
      <c r="ED52" s="10">
        <v>135.80693718999999</v>
      </c>
      <c r="EE52" s="10">
        <v>17</v>
      </c>
      <c r="EF52" s="10">
        <v>81.090684780000004</v>
      </c>
      <c r="EG52" s="10">
        <v>4</v>
      </c>
      <c r="EH52" s="10">
        <v>19.582459449999998</v>
      </c>
      <c r="EI52" s="10">
        <v>142</v>
      </c>
      <c r="EJ52" s="10">
        <v>1680.3447837399995</v>
      </c>
      <c r="EK52" s="10">
        <v>3</v>
      </c>
      <c r="EL52" s="10">
        <v>12.911469109999999</v>
      </c>
      <c r="EM52" s="10">
        <v>39</v>
      </c>
      <c r="EN52" s="10">
        <v>714.67992575000005</v>
      </c>
      <c r="EO52" s="10">
        <v>0</v>
      </c>
      <c r="EP52" s="10">
        <v>0</v>
      </c>
      <c r="EQ52" s="10">
        <v>191</v>
      </c>
      <c r="ER52" s="10">
        <v>1783.0935833299998</v>
      </c>
      <c r="ES52" s="10">
        <v>8</v>
      </c>
      <c r="ET52" s="10">
        <v>139.30017587</v>
      </c>
      <c r="EU52" s="10">
        <v>21</v>
      </c>
      <c r="EV52" s="10">
        <v>312.09582926000002</v>
      </c>
      <c r="EW52" s="10">
        <v>0</v>
      </c>
      <c r="EX52" s="10">
        <v>0</v>
      </c>
      <c r="EY52" s="10">
        <v>101</v>
      </c>
      <c r="EZ52" s="10">
        <v>447.08939848</v>
      </c>
      <c r="FA52" s="10">
        <v>1</v>
      </c>
      <c r="FB52" s="10">
        <v>3.6333860099999997</v>
      </c>
      <c r="FC52" s="10">
        <v>0</v>
      </c>
      <c r="FD52" s="10">
        <v>0</v>
      </c>
      <c r="FE52" s="10">
        <v>0</v>
      </c>
      <c r="FF52" s="10">
        <v>0</v>
      </c>
      <c r="FG52" s="10">
        <v>20</v>
      </c>
      <c r="FH52" s="10">
        <v>297.97252624999999</v>
      </c>
      <c r="FI52" s="10">
        <v>1</v>
      </c>
      <c r="FJ52" s="10">
        <v>2.2665491000000002</v>
      </c>
      <c r="FK52" s="10">
        <v>13</v>
      </c>
      <c r="FL52" s="10">
        <v>134.64353577</v>
      </c>
      <c r="FM52" s="10">
        <v>0</v>
      </c>
      <c r="FN52" s="10">
        <v>0</v>
      </c>
      <c r="FO52" s="10">
        <v>1</v>
      </c>
      <c r="FP52" s="10">
        <v>1.6666639999999999</v>
      </c>
      <c r="FQ52" s="10">
        <v>0</v>
      </c>
      <c r="FR52" s="10">
        <v>0</v>
      </c>
      <c r="FS52" s="10">
        <v>0</v>
      </c>
      <c r="FT52" s="10">
        <v>0</v>
      </c>
      <c r="FU52" s="10">
        <v>0</v>
      </c>
      <c r="FV52" s="10">
        <v>0</v>
      </c>
      <c r="FW52" s="18">
        <f t="shared" si="14"/>
        <v>0</v>
      </c>
      <c r="FX52" s="18">
        <f t="shared" si="8"/>
        <v>0</v>
      </c>
      <c r="FY52" s="18">
        <f t="shared" si="9"/>
        <v>0</v>
      </c>
      <c r="FZ52" s="18">
        <f t="shared" si="10"/>
        <v>0</v>
      </c>
      <c r="GA52" s="18">
        <f t="shared" si="15"/>
        <v>0</v>
      </c>
      <c r="GB52" s="18">
        <f t="shared" si="11"/>
        <v>2.6997959423624707E-11</v>
      </c>
      <c r="GC52" s="18">
        <f t="shared" si="12"/>
        <v>0</v>
      </c>
      <c r="GD52" s="18">
        <f t="shared" si="13"/>
        <v>-8.3932860661661834E-14</v>
      </c>
    </row>
    <row r="53" spans="1:186" s="11" customFormat="1" ht="27" customHeight="1" x14ac:dyDescent="0.25">
      <c r="A53" s="66" t="s">
        <v>30</v>
      </c>
      <c r="B53" s="1">
        <f t="shared" si="17"/>
        <v>46</v>
      </c>
      <c r="C53" s="20" t="s">
        <v>2096</v>
      </c>
      <c r="D53" s="20" t="s">
        <v>2116</v>
      </c>
      <c r="E53" s="65">
        <v>11489</v>
      </c>
      <c r="F53" s="19" t="s">
        <v>2066</v>
      </c>
      <c r="G53" s="9">
        <v>6081</v>
      </c>
      <c r="H53" s="9">
        <v>107704.93031629003</v>
      </c>
      <c r="I53" s="9">
        <v>312</v>
      </c>
      <c r="J53" s="9">
        <v>3601.6024484300001</v>
      </c>
      <c r="K53" s="9">
        <v>63</v>
      </c>
      <c r="L53" s="9">
        <v>17157.019075330001</v>
      </c>
      <c r="M53" s="9">
        <v>3</v>
      </c>
      <c r="N53" s="9">
        <v>1013.83065092</v>
      </c>
      <c r="O53" s="9">
        <v>45</v>
      </c>
      <c r="P53" s="9">
        <v>4386.0906907299996</v>
      </c>
      <c r="Q53" s="9">
        <v>0</v>
      </c>
      <c r="R53" s="9">
        <v>0</v>
      </c>
      <c r="S53" s="9">
        <v>5973</v>
      </c>
      <c r="T53" s="9">
        <v>86161.820550230041</v>
      </c>
      <c r="U53" s="9">
        <v>309</v>
      </c>
      <c r="V53" s="9">
        <v>2587.7717975100009</v>
      </c>
      <c r="W53" s="10">
        <v>10</v>
      </c>
      <c r="X53" s="10">
        <v>2885.0599509600002</v>
      </c>
      <c r="Y53" s="10">
        <v>2</v>
      </c>
      <c r="Z53" s="10">
        <v>522.78238010999996</v>
      </c>
      <c r="AA53" s="10">
        <v>6</v>
      </c>
      <c r="AB53" s="10">
        <v>833.67683320000003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5</v>
      </c>
      <c r="AJ53" s="10">
        <v>1640.1999718099999</v>
      </c>
      <c r="AK53" s="10">
        <v>1</v>
      </c>
      <c r="AL53" s="10">
        <v>491.04827081000002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1</v>
      </c>
      <c r="AV53" s="10">
        <v>100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1</v>
      </c>
      <c r="BD53" s="10">
        <v>66.81</v>
      </c>
      <c r="BE53" s="10">
        <v>0</v>
      </c>
      <c r="BF53" s="10">
        <v>0</v>
      </c>
      <c r="BG53" s="10">
        <v>6</v>
      </c>
      <c r="BH53" s="10">
        <v>429.56054976000001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20</v>
      </c>
      <c r="BP53" s="10">
        <v>5288.5095629300004</v>
      </c>
      <c r="BQ53" s="10">
        <v>0</v>
      </c>
      <c r="BR53" s="10">
        <v>0</v>
      </c>
      <c r="BS53" s="10">
        <v>11</v>
      </c>
      <c r="BT53" s="10">
        <v>831.29320530999996</v>
      </c>
      <c r="BU53" s="10">
        <v>0</v>
      </c>
      <c r="BV53" s="10">
        <v>0</v>
      </c>
      <c r="BW53" s="10">
        <v>1</v>
      </c>
      <c r="BX53" s="10">
        <v>40.000005999999999</v>
      </c>
      <c r="BY53" s="10">
        <v>0</v>
      </c>
      <c r="BZ53" s="10">
        <v>0</v>
      </c>
      <c r="CA53" s="10">
        <v>3</v>
      </c>
      <c r="CB53" s="10">
        <v>187.75686443999999</v>
      </c>
      <c r="CC53" s="10">
        <v>0</v>
      </c>
      <c r="CD53" s="10">
        <v>0</v>
      </c>
      <c r="CE53" s="10">
        <v>4</v>
      </c>
      <c r="CF53" s="10">
        <v>599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13</v>
      </c>
      <c r="CN53" s="10">
        <v>2229.6051331000003</v>
      </c>
      <c r="CO53" s="10">
        <v>0</v>
      </c>
      <c r="CP53" s="10">
        <v>0</v>
      </c>
      <c r="CQ53" s="10">
        <v>4</v>
      </c>
      <c r="CR53" s="10">
        <v>1290.63001927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23</v>
      </c>
      <c r="CZ53" s="10">
        <v>5121.0076692800003</v>
      </c>
      <c r="DA53" s="10">
        <v>0</v>
      </c>
      <c r="DB53" s="10">
        <v>0</v>
      </c>
      <c r="DC53" s="10">
        <v>51</v>
      </c>
      <c r="DD53" s="10">
        <v>11105.31481953</v>
      </c>
      <c r="DE53" s="10">
        <v>1</v>
      </c>
      <c r="DF53" s="10">
        <v>273.5147839</v>
      </c>
      <c r="DG53" s="10">
        <v>1318</v>
      </c>
      <c r="DH53" s="10">
        <v>10607.46967583998</v>
      </c>
      <c r="DI53" s="10">
        <v>134</v>
      </c>
      <c r="DJ53" s="10">
        <v>501.83802285999997</v>
      </c>
      <c r="DK53" s="10">
        <v>1</v>
      </c>
      <c r="DL53" s="10">
        <v>95.833330000000004</v>
      </c>
      <c r="DM53" s="10">
        <v>0</v>
      </c>
      <c r="DN53" s="10">
        <v>0</v>
      </c>
      <c r="DO53" s="10">
        <v>906</v>
      </c>
      <c r="DP53" s="10">
        <v>10763.922188639996</v>
      </c>
      <c r="DQ53" s="10">
        <v>5</v>
      </c>
      <c r="DR53" s="10">
        <v>47.285252399999997</v>
      </c>
      <c r="DS53" s="10">
        <v>64</v>
      </c>
      <c r="DT53" s="10">
        <v>3927.56805252</v>
      </c>
      <c r="DU53" s="10">
        <v>0</v>
      </c>
      <c r="DV53" s="10">
        <v>0</v>
      </c>
      <c r="DW53" s="10">
        <v>13</v>
      </c>
      <c r="DX53" s="10">
        <v>48.844992999999995</v>
      </c>
      <c r="DY53" s="10">
        <v>11</v>
      </c>
      <c r="DZ53" s="10">
        <v>39.417048369999996</v>
      </c>
      <c r="EA53" s="10">
        <v>558</v>
      </c>
      <c r="EB53" s="10">
        <v>8582.9387274000001</v>
      </c>
      <c r="EC53" s="10">
        <v>47</v>
      </c>
      <c r="ED53" s="10">
        <v>357.39713771000004</v>
      </c>
      <c r="EE53" s="10">
        <v>172</v>
      </c>
      <c r="EF53" s="10">
        <v>2891.1890252500002</v>
      </c>
      <c r="EG53" s="10">
        <v>3</v>
      </c>
      <c r="EH53" s="10">
        <v>19.573445719999999</v>
      </c>
      <c r="EI53" s="10">
        <v>1362</v>
      </c>
      <c r="EJ53" s="10">
        <v>18594.360585709997</v>
      </c>
      <c r="EK53" s="10">
        <v>31</v>
      </c>
      <c r="EL53" s="10">
        <v>367.95100481999998</v>
      </c>
      <c r="EM53" s="10">
        <v>286</v>
      </c>
      <c r="EN53" s="10">
        <v>6404.4394918800008</v>
      </c>
      <c r="EO53" s="10">
        <v>3</v>
      </c>
      <c r="EP53" s="10">
        <v>54.028692039999996</v>
      </c>
      <c r="EQ53" s="10">
        <v>842</v>
      </c>
      <c r="ER53" s="10">
        <v>8483.3289986699965</v>
      </c>
      <c r="ES53" s="10">
        <v>56</v>
      </c>
      <c r="ET53" s="10">
        <v>759.01361046000011</v>
      </c>
      <c r="EU53" s="10">
        <v>21</v>
      </c>
      <c r="EV53" s="10">
        <v>243.129085</v>
      </c>
      <c r="EW53" s="10">
        <v>3</v>
      </c>
      <c r="EX53" s="10">
        <v>4.6777450999999992</v>
      </c>
      <c r="EY53" s="10">
        <v>228</v>
      </c>
      <c r="EZ53" s="10">
        <v>2199.1474597800002</v>
      </c>
      <c r="FA53" s="10">
        <v>11</v>
      </c>
      <c r="FB53" s="10">
        <v>146.56160491</v>
      </c>
      <c r="FC53" s="10">
        <v>2</v>
      </c>
      <c r="FD53" s="10">
        <v>35.542514409999995</v>
      </c>
      <c r="FE53" s="10">
        <v>0</v>
      </c>
      <c r="FF53" s="10">
        <v>0</v>
      </c>
      <c r="FG53" s="10">
        <v>38</v>
      </c>
      <c r="FH53" s="10">
        <v>965.37755345000005</v>
      </c>
      <c r="FI53" s="10">
        <v>0</v>
      </c>
      <c r="FJ53" s="10">
        <v>0</v>
      </c>
      <c r="FK53" s="10">
        <v>98</v>
      </c>
      <c r="FL53" s="10">
        <v>1033.6316808700001</v>
      </c>
      <c r="FM53" s="10">
        <v>4</v>
      </c>
      <c r="FN53" s="10">
        <v>16.513449220000002</v>
      </c>
      <c r="FO53" s="10">
        <v>13</v>
      </c>
      <c r="FP53" s="10">
        <v>179.78236828000001</v>
      </c>
      <c r="FQ53" s="10">
        <v>0</v>
      </c>
      <c r="FR53" s="10">
        <v>0</v>
      </c>
      <c r="FS53" s="10">
        <v>0</v>
      </c>
      <c r="FT53" s="10">
        <v>0</v>
      </c>
      <c r="FU53" s="10">
        <v>0</v>
      </c>
      <c r="FV53" s="10">
        <v>0</v>
      </c>
      <c r="FW53" s="18">
        <f t="shared" si="14"/>
        <v>0</v>
      </c>
      <c r="FX53" s="18">
        <f t="shared" si="8"/>
        <v>0</v>
      </c>
      <c r="FY53" s="18">
        <f t="shared" si="9"/>
        <v>0</v>
      </c>
      <c r="FZ53" s="18">
        <f t="shared" si="10"/>
        <v>0</v>
      </c>
      <c r="GA53" s="18">
        <f t="shared" si="15"/>
        <v>0</v>
      </c>
      <c r="GB53" s="18">
        <f t="shared" si="11"/>
        <v>3.8767211663071066E-11</v>
      </c>
      <c r="GC53" s="18">
        <f t="shared" si="12"/>
        <v>0</v>
      </c>
      <c r="GD53" s="18">
        <f t="shared" si="13"/>
        <v>3.907985046680551E-14</v>
      </c>
    </row>
    <row r="54" spans="1:186" s="11" customFormat="1" ht="27" customHeight="1" x14ac:dyDescent="0.25">
      <c r="A54" s="66" t="s">
        <v>30</v>
      </c>
      <c r="B54" s="1">
        <f t="shared" si="17"/>
        <v>47</v>
      </c>
      <c r="C54" s="20" t="s">
        <v>2096</v>
      </c>
      <c r="D54" s="20" t="s">
        <v>2104</v>
      </c>
      <c r="E54" s="65">
        <v>11490</v>
      </c>
      <c r="F54" s="19" t="s">
        <v>2054</v>
      </c>
      <c r="G54" s="9">
        <v>3958</v>
      </c>
      <c r="H54" s="9">
        <v>161989.07907502988</v>
      </c>
      <c r="I54" s="9">
        <v>290</v>
      </c>
      <c r="J54" s="9">
        <v>4447.6504222900003</v>
      </c>
      <c r="K54" s="9">
        <v>56</v>
      </c>
      <c r="L54" s="9">
        <v>83608.534860019994</v>
      </c>
      <c r="M54" s="9">
        <v>3</v>
      </c>
      <c r="N54" s="9">
        <v>2222.1106292599998</v>
      </c>
      <c r="O54" s="9">
        <v>91</v>
      </c>
      <c r="P54" s="9">
        <v>8989.6844501800024</v>
      </c>
      <c r="Q54" s="9">
        <v>2</v>
      </c>
      <c r="R54" s="9">
        <v>69.041816220000001</v>
      </c>
      <c r="S54" s="9">
        <v>3811</v>
      </c>
      <c r="T54" s="9">
        <v>69390.859764829889</v>
      </c>
      <c r="U54" s="9">
        <v>285</v>
      </c>
      <c r="V54" s="9">
        <v>2156.4979768099993</v>
      </c>
      <c r="W54" s="10">
        <v>0</v>
      </c>
      <c r="X54" s="10">
        <v>0</v>
      </c>
      <c r="Y54" s="10">
        <v>0</v>
      </c>
      <c r="Z54" s="10">
        <v>0</v>
      </c>
      <c r="AA54" s="10">
        <v>1</v>
      </c>
      <c r="AB54" s="10">
        <v>100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45</v>
      </c>
      <c r="AJ54" s="10">
        <v>34839.066099669995</v>
      </c>
      <c r="AK54" s="10">
        <v>0</v>
      </c>
      <c r="AL54" s="10">
        <v>0</v>
      </c>
      <c r="AM54" s="10">
        <v>2</v>
      </c>
      <c r="AN54" s="10">
        <v>11667.119511999999</v>
      </c>
      <c r="AO54" s="10">
        <v>0</v>
      </c>
      <c r="AP54" s="10">
        <v>0</v>
      </c>
      <c r="AQ54" s="10">
        <v>1</v>
      </c>
      <c r="AR54" s="10">
        <v>82</v>
      </c>
      <c r="AS54" s="10">
        <v>0</v>
      </c>
      <c r="AT54" s="10">
        <v>0</v>
      </c>
      <c r="AU54" s="10">
        <v>1</v>
      </c>
      <c r="AV54" s="10">
        <v>14069.7445369</v>
      </c>
      <c r="AW54" s="10">
        <v>0</v>
      </c>
      <c r="AX54" s="10">
        <v>0</v>
      </c>
      <c r="AY54" s="10">
        <v>3</v>
      </c>
      <c r="AZ54" s="10">
        <v>7872.5287892799997</v>
      </c>
      <c r="BA54" s="10">
        <v>0</v>
      </c>
      <c r="BB54" s="10">
        <v>0</v>
      </c>
      <c r="BC54" s="10">
        <v>1</v>
      </c>
      <c r="BD54" s="10">
        <v>100</v>
      </c>
      <c r="BE54" s="10">
        <v>0</v>
      </c>
      <c r="BF54" s="10">
        <v>0</v>
      </c>
      <c r="BG54" s="10">
        <v>1</v>
      </c>
      <c r="BH54" s="10">
        <v>549.99900000000002</v>
      </c>
      <c r="BI54" s="10">
        <v>0</v>
      </c>
      <c r="BJ54" s="10">
        <v>0</v>
      </c>
      <c r="BK54" s="10">
        <v>9</v>
      </c>
      <c r="BL54" s="10">
        <v>1061.09602969</v>
      </c>
      <c r="BM54" s="10">
        <v>0</v>
      </c>
      <c r="BN54" s="10">
        <v>0</v>
      </c>
      <c r="BO54" s="10">
        <v>9</v>
      </c>
      <c r="BP54" s="10">
        <v>3741.4826381099997</v>
      </c>
      <c r="BQ54" s="10">
        <v>1</v>
      </c>
      <c r="BR54" s="10">
        <v>1850.5695766099998</v>
      </c>
      <c r="BS54" s="10">
        <v>15</v>
      </c>
      <c r="BT54" s="10">
        <v>3210.1435777299998</v>
      </c>
      <c r="BU54" s="10">
        <v>0</v>
      </c>
      <c r="BV54" s="10">
        <v>0</v>
      </c>
      <c r="BW54" s="10">
        <v>2</v>
      </c>
      <c r="BX54" s="10">
        <v>1388.6034999999999</v>
      </c>
      <c r="BY54" s="10">
        <v>1</v>
      </c>
      <c r="BZ54" s="10">
        <v>317.3965</v>
      </c>
      <c r="CA54" s="10">
        <v>2</v>
      </c>
      <c r="CB54" s="10">
        <v>422.74262156999998</v>
      </c>
      <c r="CC54" s="10">
        <v>0</v>
      </c>
      <c r="CD54" s="10">
        <v>0</v>
      </c>
      <c r="CE54" s="10">
        <v>3</v>
      </c>
      <c r="CF54" s="10">
        <v>135.70848022000001</v>
      </c>
      <c r="CG54" s="10">
        <v>2</v>
      </c>
      <c r="CH54" s="10">
        <v>69.041816220000001</v>
      </c>
      <c r="CI54" s="10">
        <v>0</v>
      </c>
      <c r="CJ54" s="10">
        <v>0</v>
      </c>
      <c r="CK54" s="10">
        <v>0</v>
      </c>
      <c r="CL54" s="10">
        <v>0</v>
      </c>
      <c r="CM54" s="10">
        <v>8</v>
      </c>
      <c r="CN54" s="10">
        <v>2745.4781982499999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44</v>
      </c>
      <c r="CZ54" s="10">
        <v>10612.50632678</v>
      </c>
      <c r="DA54" s="10">
        <v>1</v>
      </c>
      <c r="DB54" s="10">
        <v>54.144552650000001</v>
      </c>
      <c r="DC54" s="10">
        <v>183</v>
      </c>
      <c r="DD54" s="10">
        <v>24448.606117000003</v>
      </c>
      <c r="DE54" s="10">
        <v>0</v>
      </c>
      <c r="DF54" s="10">
        <v>0</v>
      </c>
      <c r="DG54" s="10">
        <v>1236</v>
      </c>
      <c r="DH54" s="10">
        <v>14176.158116670002</v>
      </c>
      <c r="DI54" s="10">
        <v>127</v>
      </c>
      <c r="DJ54" s="10">
        <v>699.39308493000021</v>
      </c>
      <c r="DK54" s="10">
        <v>3</v>
      </c>
      <c r="DL54" s="10">
        <v>517.86670881999999</v>
      </c>
      <c r="DM54" s="10">
        <v>0</v>
      </c>
      <c r="DN54" s="10">
        <v>0</v>
      </c>
      <c r="DO54" s="10">
        <v>507</v>
      </c>
      <c r="DP54" s="10">
        <v>7299.1824913299997</v>
      </c>
      <c r="DQ54" s="10">
        <v>8</v>
      </c>
      <c r="DR54" s="10">
        <v>84.267332159999995</v>
      </c>
      <c r="DS54" s="10">
        <v>24</v>
      </c>
      <c r="DT54" s="10">
        <v>1539.5560607699999</v>
      </c>
      <c r="DU54" s="10">
        <v>0</v>
      </c>
      <c r="DV54" s="10">
        <v>0</v>
      </c>
      <c r="DW54" s="10">
        <v>14</v>
      </c>
      <c r="DX54" s="10">
        <v>104.15463618</v>
      </c>
      <c r="DY54" s="10">
        <v>10</v>
      </c>
      <c r="DZ54" s="10">
        <v>67.024578959999999</v>
      </c>
      <c r="EA54" s="10">
        <v>1005</v>
      </c>
      <c r="EB54" s="10">
        <v>13722.425462059997</v>
      </c>
      <c r="EC54" s="10">
        <v>72</v>
      </c>
      <c r="ED54" s="10">
        <v>681.36048030999996</v>
      </c>
      <c r="EE54" s="10">
        <v>61</v>
      </c>
      <c r="EF54" s="10">
        <v>698.31557200999998</v>
      </c>
      <c r="EG54" s="10">
        <v>0</v>
      </c>
      <c r="EH54" s="10">
        <v>0</v>
      </c>
      <c r="EI54" s="10">
        <v>103</v>
      </c>
      <c r="EJ54" s="10">
        <v>1382.3069883200003</v>
      </c>
      <c r="EK54" s="10">
        <v>1</v>
      </c>
      <c r="EL54" s="10">
        <v>21.910280050000001</v>
      </c>
      <c r="EM54" s="10">
        <v>29</v>
      </c>
      <c r="EN54" s="10">
        <v>333.50332508000002</v>
      </c>
      <c r="EO54" s="10">
        <v>1</v>
      </c>
      <c r="EP54" s="10">
        <v>3.8611541200000001</v>
      </c>
      <c r="EQ54" s="10">
        <v>342</v>
      </c>
      <c r="ER54" s="10">
        <v>3103.0867016600005</v>
      </c>
      <c r="ES54" s="10">
        <v>34</v>
      </c>
      <c r="ET54" s="10">
        <v>416.99980101</v>
      </c>
      <c r="EU54" s="10">
        <v>16</v>
      </c>
      <c r="EV54" s="10">
        <v>130.41859109999999</v>
      </c>
      <c r="EW54" s="10">
        <v>4</v>
      </c>
      <c r="EX54" s="10">
        <v>5.0383709499999991</v>
      </c>
      <c r="EY54" s="10">
        <v>220</v>
      </c>
      <c r="EZ54" s="10">
        <v>1252.7483070900003</v>
      </c>
      <c r="FA54" s="10">
        <v>25</v>
      </c>
      <c r="FB54" s="10">
        <v>136.41917986000001</v>
      </c>
      <c r="FC54" s="10">
        <v>13</v>
      </c>
      <c r="FD54" s="10">
        <v>104.26605038</v>
      </c>
      <c r="FE54" s="10">
        <v>0</v>
      </c>
      <c r="FF54" s="10">
        <v>0</v>
      </c>
      <c r="FG54" s="10">
        <v>10</v>
      </c>
      <c r="FH54" s="10">
        <v>67.690184400000007</v>
      </c>
      <c r="FI54" s="10">
        <v>1</v>
      </c>
      <c r="FJ54" s="10">
        <v>18.112018500000001</v>
      </c>
      <c r="FK54" s="10">
        <v>35</v>
      </c>
      <c r="FL54" s="10">
        <v>424.92140790999997</v>
      </c>
      <c r="FM54" s="10">
        <v>1</v>
      </c>
      <c r="FN54" s="10">
        <v>19.754999999999999</v>
      </c>
      <c r="FO54" s="10">
        <v>10</v>
      </c>
      <c r="FP54" s="10">
        <v>85.653044049999991</v>
      </c>
      <c r="FQ54" s="10">
        <v>1</v>
      </c>
      <c r="FR54" s="10">
        <v>2.3566959600000001</v>
      </c>
      <c r="FS54" s="10">
        <v>0</v>
      </c>
      <c r="FT54" s="10">
        <v>0</v>
      </c>
      <c r="FU54" s="10">
        <v>0</v>
      </c>
      <c r="FV54" s="10">
        <v>0</v>
      </c>
      <c r="FW54" s="18">
        <f t="shared" si="14"/>
        <v>0</v>
      </c>
      <c r="FX54" s="18">
        <f t="shared" si="8"/>
        <v>0</v>
      </c>
      <c r="FY54" s="18">
        <f t="shared" si="9"/>
        <v>0</v>
      </c>
      <c r="FZ54" s="18">
        <f t="shared" si="10"/>
        <v>0</v>
      </c>
      <c r="GA54" s="18">
        <f t="shared" si="15"/>
        <v>0</v>
      </c>
      <c r="GB54" s="18">
        <f t="shared" si="11"/>
        <v>-1.1054623882955639E-10</v>
      </c>
      <c r="GC54" s="18">
        <f t="shared" si="12"/>
        <v>0</v>
      </c>
      <c r="GD54" s="18">
        <f t="shared" si="13"/>
        <v>3.0864200084579352E-13</v>
      </c>
    </row>
    <row r="55" spans="1:186" s="11" customFormat="1" ht="27" customHeight="1" x14ac:dyDescent="0.25">
      <c r="A55" s="66" t="s">
        <v>30</v>
      </c>
      <c r="B55" s="1">
        <f t="shared" si="17"/>
        <v>48</v>
      </c>
      <c r="C55" s="20" t="s">
        <v>2096</v>
      </c>
      <c r="D55" s="20" t="s">
        <v>2106</v>
      </c>
      <c r="E55" s="65">
        <v>11579</v>
      </c>
      <c r="F55" s="19" t="s">
        <v>2107</v>
      </c>
      <c r="G55" s="9">
        <v>4377</v>
      </c>
      <c r="H55" s="9">
        <v>307904.30674012995</v>
      </c>
      <c r="I55" s="9">
        <v>315</v>
      </c>
      <c r="J55" s="9">
        <v>6672.87105926</v>
      </c>
      <c r="K55" s="9">
        <v>122</v>
      </c>
      <c r="L55" s="9">
        <v>224353.18839854002</v>
      </c>
      <c r="M55" s="9">
        <v>4</v>
      </c>
      <c r="N55" s="9">
        <v>3659.7580879400002</v>
      </c>
      <c r="O55" s="9">
        <v>67</v>
      </c>
      <c r="P55" s="9">
        <v>7671.3688400400006</v>
      </c>
      <c r="Q55" s="9">
        <v>2</v>
      </c>
      <c r="R55" s="9">
        <v>25.665700000000001</v>
      </c>
      <c r="S55" s="9">
        <v>4188</v>
      </c>
      <c r="T55" s="9">
        <v>75879.749501549944</v>
      </c>
      <c r="U55" s="9">
        <v>309</v>
      </c>
      <c r="V55" s="9">
        <v>2987.4472713199998</v>
      </c>
      <c r="W55" s="10">
        <v>2</v>
      </c>
      <c r="X55" s="10">
        <v>7084.6590809999998</v>
      </c>
      <c r="Y55" s="10">
        <v>0</v>
      </c>
      <c r="Z55" s="10">
        <v>0</v>
      </c>
      <c r="AA55" s="10">
        <v>1</v>
      </c>
      <c r="AB55" s="10">
        <v>288.91754048000001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24</v>
      </c>
      <c r="AJ55" s="10">
        <v>43426.061045479997</v>
      </c>
      <c r="AK55" s="10">
        <v>1</v>
      </c>
      <c r="AL55" s="10">
        <v>3600</v>
      </c>
      <c r="AM55" s="10">
        <v>1</v>
      </c>
      <c r="AN55" s="10">
        <v>31079.639997999999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2</v>
      </c>
      <c r="AV55" s="10">
        <v>163.9764098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6</v>
      </c>
      <c r="BD55" s="10">
        <v>991.59600999999998</v>
      </c>
      <c r="BE55" s="10">
        <v>0</v>
      </c>
      <c r="BF55" s="10">
        <v>0</v>
      </c>
      <c r="BG55" s="10">
        <v>2</v>
      </c>
      <c r="BH55" s="10">
        <v>1539.45836803</v>
      </c>
      <c r="BI55" s="10">
        <v>0</v>
      </c>
      <c r="BJ55" s="10">
        <v>0</v>
      </c>
      <c r="BK55" s="10">
        <v>10</v>
      </c>
      <c r="BL55" s="10">
        <v>381.10179897</v>
      </c>
      <c r="BM55" s="10">
        <v>0</v>
      </c>
      <c r="BN55" s="10">
        <v>0</v>
      </c>
      <c r="BO55" s="10">
        <v>28</v>
      </c>
      <c r="BP55" s="10">
        <v>43090.440609199999</v>
      </c>
      <c r="BQ55" s="10">
        <v>1</v>
      </c>
      <c r="BR55" s="10">
        <v>3.75108716</v>
      </c>
      <c r="BS55" s="10">
        <v>15</v>
      </c>
      <c r="BT55" s="10">
        <v>6594.33521182</v>
      </c>
      <c r="BU55" s="10">
        <v>0</v>
      </c>
      <c r="BV55" s="10">
        <v>0</v>
      </c>
      <c r="BW55" s="10">
        <v>6</v>
      </c>
      <c r="BX55" s="10">
        <v>7995.6275126</v>
      </c>
      <c r="BY55" s="10">
        <v>0</v>
      </c>
      <c r="BZ55" s="10">
        <v>0</v>
      </c>
      <c r="CA55" s="10">
        <v>4</v>
      </c>
      <c r="CB55" s="10">
        <v>46589.325037139999</v>
      </c>
      <c r="CC55" s="10">
        <v>0</v>
      </c>
      <c r="CD55" s="10">
        <v>0</v>
      </c>
      <c r="CE55" s="10">
        <v>5</v>
      </c>
      <c r="CF55" s="10">
        <v>4829.9190319999998</v>
      </c>
      <c r="CG55" s="10">
        <v>2</v>
      </c>
      <c r="CH55" s="10">
        <v>25.665700000000001</v>
      </c>
      <c r="CI55" s="10">
        <v>1</v>
      </c>
      <c r="CJ55" s="10">
        <v>438.00463999999999</v>
      </c>
      <c r="CK55" s="10">
        <v>0</v>
      </c>
      <c r="CL55" s="10">
        <v>0</v>
      </c>
      <c r="CM55" s="10">
        <v>13</v>
      </c>
      <c r="CN55" s="10">
        <v>7241.0730833999996</v>
      </c>
      <c r="CO55" s="10">
        <v>0</v>
      </c>
      <c r="CP55" s="10">
        <v>0</v>
      </c>
      <c r="CQ55" s="10">
        <v>2</v>
      </c>
      <c r="CR55" s="10">
        <v>314.79798813999997</v>
      </c>
      <c r="CS55" s="10">
        <v>0</v>
      </c>
      <c r="CT55" s="10">
        <v>0</v>
      </c>
      <c r="CU55" s="10">
        <v>2</v>
      </c>
      <c r="CV55" s="10">
        <v>264.15882800000003</v>
      </c>
      <c r="CW55" s="10">
        <v>0</v>
      </c>
      <c r="CX55" s="10">
        <v>0</v>
      </c>
      <c r="CY55" s="10">
        <v>65</v>
      </c>
      <c r="CZ55" s="10">
        <v>29711.465044519995</v>
      </c>
      <c r="DA55" s="10">
        <v>2</v>
      </c>
      <c r="DB55" s="10">
        <v>56.007000779999998</v>
      </c>
      <c r="DC55" s="10">
        <v>164</v>
      </c>
      <c r="DD55" s="10">
        <v>33138.373803449991</v>
      </c>
      <c r="DE55" s="10">
        <v>2</v>
      </c>
      <c r="DF55" s="10">
        <v>584.80563747999997</v>
      </c>
      <c r="DG55" s="10">
        <v>830</v>
      </c>
      <c r="DH55" s="10">
        <v>9185.9582816800012</v>
      </c>
      <c r="DI55" s="10">
        <v>87</v>
      </c>
      <c r="DJ55" s="10">
        <v>485.08176959000002</v>
      </c>
      <c r="DK55" s="10">
        <v>12</v>
      </c>
      <c r="DL55" s="10">
        <v>1121.1593760399999</v>
      </c>
      <c r="DM55" s="10">
        <v>0</v>
      </c>
      <c r="DN55" s="10">
        <v>0</v>
      </c>
      <c r="DO55" s="10">
        <v>1004</v>
      </c>
      <c r="DP55" s="10">
        <v>13835.864071440003</v>
      </c>
      <c r="DQ55" s="10">
        <v>5</v>
      </c>
      <c r="DR55" s="10">
        <v>62.733311290000003</v>
      </c>
      <c r="DS55" s="10">
        <v>62</v>
      </c>
      <c r="DT55" s="10">
        <v>2780.39588271</v>
      </c>
      <c r="DU55" s="10">
        <v>0</v>
      </c>
      <c r="DV55" s="10">
        <v>0</v>
      </c>
      <c r="DW55" s="10">
        <v>23</v>
      </c>
      <c r="DX55" s="10">
        <v>157.14226500999999</v>
      </c>
      <c r="DY55" s="10">
        <v>7</v>
      </c>
      <c r="DZ55" s="10">
        <v>32.37569474</v>
      </c>
      <c r="EA55" s="10">
        <v>375</v>
      </c>
      <c r="EB55" s="10">
        <v>4645.0935878200007</v>
      </c>
      <c r="EC55" s="10">
        <v>74</v>
      </c>
      <c r="ED55" s="10">
        <v>904.77761478999992</v>
      </c>
      <c r="EE55" s="10">
        <v>117</v>
      </c>
      <c r="EF55" s="10">
        <v>816.9545080800001</v>
      </c>
      <c r="EG55" s="10">
        <v>2</v>
      </c>
      <c r="EH55" s="10">
        <v>11.898731570000001</v>
      </c>
      <c r="EI55" s="10">
        <v>205</v>
      </c>
      <c r="EJ55" s="10">
        <v>1294.7017576000001</v>
      </c>
      <c r="EK55" s="10">
        <v>14</v>
      </c>
      <c r="EL55" s="10">
        <v>63.601601910000014</v>
      </c>
      <c r="EM55" s="10">
        <v>62</v>
      </c>
      <c r="EN55" s="10">
        <v>497.14938191000005</v>
      </c>
      <c r="EO55" s="10">
        <v>6</v>
      </c>
      <c r="EP55" s="10">
        <v>67.508556530000007</v>
      </c>
      <c r="EQ55" s="10">
        <v>446</v>
      </c>
      <c r="ER55" s="10">
        <v>3219.0537354100011</v>
      </c>
      <c r="ES55" s="10">
        <v>37</v>
      </c>
      <c r="ET55" s="10">
        <v>372.45997846999995</v>
      </c>
      <c r="EU55" s="10">
        <v>39</v>
      </c>
      <c r="EV55" s="10">
        <v>481.73479688999998</v>
      </c>
      <c r="EW55" s="10">
        <v>6</v>
      </c>
      <c r="EX55" s="10">
        <v>6.1487244399999996</v>
      </c>
      <c r="EY55" s="10">
        <v>791</v>
      </c>
      <c r="EZ55" s="10">
        <v>4315.5414715200004</v>
      </c>
      <c r="FA55" s="10">
        <v>63</v>
      </c>
      <c r="FB55" s="10">
        <v>336.53423082000006</v>
      </c>
      <c r="FC55" s="10">
        <v>5</v>
      </c>
      <c r="FD55" s="10">
        <v>70.655019599999989</v>
      </c>
      <c r="FE55" s="10">
        <v>1</v>
      </c>
      <c r="FF55" s="10">
        <v>29.994</v>
      </c>
      <c r="FG55" s="10">
        <v>3</v>
      </c>
      <c r="FH55" s="10">
        <v>16.13067641</v>
      </c>
      <c r="FI55" s="10">
        <v>0</v>
      </c>
      <c r="FJ55" s="10">
        <v>0</v>
      </c>
      <c r="FK55" s="10">
        <v>46</v>
      </c>
      <c r="FL55" s="10">
        <v>272.50755698</v>
      </c>
      <c r="FM55" s="10">
        <v>5</v>
      </c>
      <c r="FN55" s="10">
        <v>29.527419689999999</v>
      </c>
      <c r="FO55" s="10">
        <v>4</v>
      </c>
      <c r="FP55" s="10">
        <v>31.333328999999999</v>
      </c>
      <c r="FQ55" s="10">
        <v>0</v>
      </c>
      <c r="FR55" s="10">
        <v>0</v>
      </c>
      <c r="FS55" s="10">
        <v>0</v>
      </c>
      <c r="FT55" s="10">
        <v>0</v>
      </c>
      <c r="FU55" s="10">
        <v>0</v>
      </c>
      <c r="FV55" s="10">
        <v>0</v>
      </c>
      <c r="FW55" s="18">
        <f t="shared" si="14"/>
        <v>0</v>
      </c>
      <c r="FX55" s="18">
        <f t="shared" si="8"/>
        <v>0</v>
      </c>
      <c r="FY55" s="18">
        <f t="shared" si="9"/>
        <v>0</v>
      </c>
      <c r="FZ55" s="18">
        <f t="shared" si="10"/>
        <v>0</v>
      </c>
      <c r="GA55" s="18">
        <f t="shared" si="15"/>
        <v>0</v>
      </c>
      <c r="GB55" s="18">
        <f t="shared" si="11"/>
        <v>-8.1925577433139551E-12</v>
      </c>
      <c r="GC55" s="18">
        <f t="shared" si="12"/>
        <v>0</v>
      </c>
      <c r="GD55" s="18">
        <f t="shared" si="13"/>
        <v>-3.907985046680551E-14</v>
      </c>
    </row>
    <row r="56" spans="1:186" s="11" customFormat="1" ht="27" customHeight="1" x14ac:dyDescent="0.25">
      <c r="A56" s="66" t="s">
        <v>30</v>
      </c>
      <c r="B56" s="1">
        <f t="shared" si="17"/>
        <v>49</v>
      </c>
      <c r="C56" s="20" t="s">
        <v>2096</v>
      </c>
      <c r="D56" s="20" t="s">
        <v>2110</v>
      </c>
      <c r="E56" s="65">
        <v>11580</v>
      </c>
      <c r="F56" s="19" t="s">
        <v>2047</v>
      </c>
      <c r="G56" s="9">
        <v>3262</v>
      </c>
      <c r="H56" s="9">
        <v>107476.40310984</v>
      </c>
      <c r="I56" s="9">
        <v>201</v>
      </c>
      <c r="J56" s="9">
        <v>1855.66151287</v>
      </c>
      <c r="K56" s="9">
        <v>87</v>
      </c>
      <c r="L56" s="9">
        <v>28790.47873621</v>
      </c>
      <c r="M56" s="9">
        <v>1</v>
      </c>
      <c r="N56" s="9">
        <v>33.28521336</v>
      </c>
      <c r="O56" s="9">
        <v>65</v>
      </c>
      <c r="P56" s="9">
        <v>10631.467654609996</v>
      </c>
      <c r="Q56" s="9">
        <v>1</v>
      </c>
      <c r="R56" s="9">
        <v>34.292712700000003</v>
      </c>
      <c r="S56" s="9">
        <v>3110</v>
      </c>
      <c r="T56" s="9">
        <v>68054.456719019974</v>
      </c>
      <c r="U56" s="9">
        <v>199</v>
      </c>
      <c r="V56" s="9">
        <v>1788.0835868100003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5</v>
      </c>
      <c r="AJ56" s="10">
        <v>1075.6990789500001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1</v>
      </c>
      <c r="AR56" s="10">
        <v>33.28521336</v>
      </c>
      <c r="AS56" s="10">
        <v>1</v>
      </c>
      <c r="AT56" s="10">
        <v>33.28521336</v>
      </c>
      <c r="AU56" s="10">
        <v>1</v>
      </c>
      <c r="AV56" s="10">
        <v>188.25118065000001</v>
      </c>
      <c r="AW56" s="10">
        <v>0</v>
      </c>
      <c r="AX56" s="10">
        <v>0</v>
      </c>
      <c r="AY56" s="10">
        <v>1</v>
      </c>
      <c r="AZ56" s="10">
        <v>220</v>
      </c>
      <c r="BA56" s="10">
        <v>0</v>
      </c>
      <c r="BB56" s="10">
        <v>0</v>
      </c>
      <c r="BC56" s="10">
        <v>1</v>
      </c>
      <c r="BD56" s="10">
        <v>1600</v>
      </c>
      <c r="BE56" s="10">
        <v>0</v>
      </c>
      <c r="BF56" s="10">
        <v>0</v>
      </c>
      <c r="BG56" s="10">
        <v>2</v>
      </c>
      <c r="BH56" s="10">
        <v>161.94444899999999</v>
      </c>
      <c r="BI56" s="10">
        <v>0</v>
      </c>
      <c r="BJ56" s="10">
        <v>0</v>
      </c>
      <c r="BK56" s="10">
        <v>3</v>
      </c>
      <c r="BL56" s="10">
        <v>179.3309558</v>
      </c>
      <c r="BM56" s="10">
        <v>0</v>
      </c>
      <c r="BN56" s="10">
        <v>0</v>
      </c>
      <c r="BO56" s="10">
        <v>24</v>
      </c>
      <c r="BP56" s="10">
        <v>5096.4941036800001</v>
      </c>
      <c r="BQ56" s="10">
        <v>0</v>
      </c>
      <c r="BR56" s="10">
        <v>0</v>
      </c>
      <c r="BS56" s="10">
        <v>12</v>
      </c>
      <c r="BT56" s="10">
        <v>6541.0944390000004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10</v>
      </c>
      <c r="CF56" s="10">
        <v>3338.6073529999999</v>
      </c>
      <c r="CG56" s="10">
        <v>0</v>
      </c>
      <c r="CH56" s="10">
        <v>0</v>
      </c>
      <c r="CI56" s="10">
        <v>1</v>
      </c>
      <c r="CJ56" s="10">
        <v>1190.23</v>
      </c>
      <c r="CK56" s="10">
        <v>0</v>
      </c>
      <c r="CL56" s="10">
        <v>0</v>
      </c>
      <c r="CM56" s="10">
        <v>19</v>
      </c>
      <c r="CN56" s="10">
        <v>6072.5127098100002</v>
      </c>
      <c r="CO56" s="10">
        <v>0</v>
      </c>
      <c r="CP56" s="10">
        <v>0</v>
      </c>
      <c r="CQ56" s="10">
        <v>31</v>
      </c>
      <c r="CR56" s="10">
        <v>7279.0998105899998</v>
      </c>
      <c r="CS56" s="10">
        <v>0</v>
      </c>
      <c r="CT56" s="10">
        <v>0</v>
      </c>
      <c r="CU56" s="10">
        <v>2</v>
      </c>
      <c r="CV56" s="10">
        <v>200</v>
      </c>
      <c r="CW56" s="10">
        <v>0</v>
      </c>
      <c r="CX56" s="10">
        <v>0</v>
      </c>
      <c r="CY56" s="10">
        <v>39</v>
      </c>
      <c r="CZ56" s="10">
        <v>6245.3970969799993</v>
      </c>
      <c r="DA56" s="10">
        <v>1</v>
      </c>
      <c r="DB56" s="10">
        <v>34.292712700000003</v>
      </c>
      <c r="DC56" s="10">
        <v>283</v>
      </c>
      <c r="DD56" s="10">
        <v>30446.438882300004</v>
      </c>
      <c r="DE56" s="10">
        <v>0</v>
      </c>
      <c r="DF56" s="10">
        <v>0</v>
      </c>
      <c r="DG56" s="10">
        <v>770</v>
      </c>
      <c r="DH56" s="10">
        <v>11054.125115450006</v>
      </c>
      <c r="DI56" s="10">
        <v>51</v>
      </c>
      <c r="DJ56" s="10">
        <v>398.58857276999998</v>
      </c>
      <c r="DK56" s="10">
        <v>11</v>
      </c>
      <c r="DL56" s="10">
        <v>624.66216716999998</v>
      </c>
      <c r="DM56" s="10">
        <v>0</v>
      </c>
      <c r="DN56" s="10">
        <v>0</v>
      </c>
      <c r="DO56" s="10">
        <v>803</v>
      </c>
      <c r="DP56" s="10">
        <v>9409.2725699499988</v>
      </c>
      <c r="DQ56" s="10">
        <v>11</v>
      </c>
      <c r="DR56" s="10">
        <v>120.4557484</v>
      </c>
      <c r="DS56" s="10">
        <v>72</v>
      </c>
      <c r="DT56" s="10">
        <v>4196.6654928299995</v>
      </c>
      <c r="DU56" s="10">
        <v>0</v>
      </c>
      <c r="DV56" s="10">
        <v>0</v>
      </c>
      <c r="DW56" s="10">
        <v>5</v>
      </c>
      <c r="DX56" s="10">
        <v>33.255735629999997</v>
      </c>
      <c r="DY56" s="10">
        <v>3</v>
      </c>
      <c r="DZ56" s="10">
        <v>13.237924719999999</v>
      </c>
      <c r="EA56" s="10">
        <v>150</v>
      </c>
      <c r="EB56" s="10">
        <v>2162.5696997999999</v>
      </c>
      <c r="EC56" s="10">
        <v>17</v>
      </c>
      <c r="ED56" s="10">
        <v>154.45283666999998</v>
      </c>
      <c r="EE56" s="10">
        <v>140</v>
      </c>
      <c r="EF56" s="10">
        <v>1617.62589822</v>
      </c>
      <c r="EG56" s="10">
        <v>5</v>
      </c>
      <c r="EH56" s="10">
        <v>26.165510619999996</v>
      </c>
      <c r="EI56" s="10">
        <v>32</v>
      </c>
      <c r="EJ56" s="10">
        <v>239.05041943000001</v>
      </c>
      <c r="EK56" s="10">
        <v>3</v>
      </c>
      <c r="EL56" s="10">
        <v>15.4339274</v>
      </c>
      <c r="EM56" s="10">
        <v>6</v>
      </c>
      <c r="EN56" s="10">
        <v>48.549205999999998</v>
      </c>
      <c r="EO56" s="10">
        <v>0</v>
      </c>
      <c r="EP56" s="10">
        <v>0</v>
      </c>
      <c r="EQ56" s="10">
        <v>645</v>
      </c>
      <c r="ER56" s="10">
        <v>6366.0760341500018</v>
      </c>
      <c r="ES56" s="10">
        <v>86</v>
      </c>
      <c r="ET56" s="10">
        <v>847.33670718000008</v>
      </c>
      <c r="EU56" s="10">
        <v>3</v>
      </c>
      <c r="EV56" s="10">
        <v>14.494210789999999</v>
      </c>
      <c r="EW56" s="10">
        <v>2</v>
      </c>
      <c r="EX56" s="10">
        <v>13.35555508</v>
      </c>
      <c r="EY56" s="10">
        <v>154</v>
      </c>
      <c r="EZ56" s="10">
        <v>1534.7331400200001</v>
      </c>
      <c r="FA56" s="10">
        <v>17</v>
      </c>
      <c r="FB56" s="10">
        <v>167.25390174</v>
      </c>
      <c r="FC56" s="10">
        <v>5</v>
      </c>
      <c r="FD56" s="10">
        <v>30.20372484</v>
      </c>
      <c r="FE56" s="10">
        <v>0</v>
      </c>
      <c r="FF56" s="10">
        <v>0</v>
      </c>
      <c r="FG56" s="10">
        <v>7</v>
      </c>
      <c r="FH56" s="10">
        <v>72.01471862999999</v>
      </c>
      <c r="FI56" s="10">
        <v>2</v>
      </c>
      <c r="FJ56" s="10">
        <v>27.980109289999998</v>
      </c>
      <c r="FK56" s="10">
        <v>23</v>
      </c>
      <c r="FL56" s="10">
        <v>194.71970381</v>
      </c>
      <c r="FM56" s="10">
        <v>2</v>
      </c>
      <c r="FN56" s="10">
        <v>3.8227929399999998</v>
      </c>
      <c r="FO56" s="10">
        <v>1</v>
      </c>
      <c r="FP56" s="10">
        <v>10</v>
      </c>
      <c r="FQ56" s="10">
        <v>0</v>
      </c>
      <c r="FR56" s="10">
        <v>0</v>
      </c>
      <c r="FS56" s="10">
        <v>0</v>
      </c>
      <c r="FT56" s="10">
        <v>0</v>
      </c>
      <c r="FU56" s="10">
        <v>0</v>
      </c>
      <c r="FV56" s="10">
        <v>0</v>
      </c>
      <c r="FW56" s="18">
        <f t="shared" si="14"/>
        <v>0</v>
      </c>
      <c r="FX56" s="18">
        <f t="shared" si="8"/>
        <v>0</v>
      </c>
      <c r="FY56" s="18">
        <f t="shared" si="9"/>
        <v>0</v>
      </c>
      <c r="FZ56" s="18">
        <f t="shared" si="10"/>
        <v>0</v>
      </c>
      <c r="GA56" s="18">
        <f t="shared" si="15"/>
        <v>0</v>
      </c>
      <c r="GB56" s="18">
        <f t="shared" si="11"/>
        <v>-2.0634161046473309E-11</v>
      </c>
      <c r="GC56" s="18">
        <f t="shared" si="12"/>
        <v>0</v>
      </c>
      <c r="GD56" s="18">
        <f t="shared" si="13"/>
        <v>3.1574742820339452E-13</v>
      </c>
    </row>
    <row r="57" spans="1:186" s="11" customFormat="1" ht="27" customHeight="1" x14ac:dyDescent="0.25">
      <c r="A57" s="66" t="s">
        <v>30</v>
      </c>
      <c r="B57" s="1">
        <f t="shared" si="17"/>
        <v>50</v>
      </c>
      <c r="C57" s="20" t="s">
        <v>2096</v>
      </c>
      <c r="D57" s="20" t="s">
        <v>2113</v>
      </c>
      <c r="E57" s="65">
        <v>11581</v>
      </c>
      <c r="F57" s="19" t="s">
        <v>2037</v>
      </c>
      <c r="G57" s="9">
        <v>6115</v>
      </c>
      <c r="H57" s="9">
        <v>96626.16961324001</v>
      </c>
      <c r="I57" s="9">
        <v>340</v>
      </c>
      <c r="J57" s="9">
        <v>3354.0285456500001</v>
      </c>
      <c r="K57" s="9">
        <v>35</v>
      </c>
      <c r="L57" s="9">
        <v>3823.3093730999999</v>
      </c>
      <c r="M57" s="9">
        <v>2</v>
      </c>
      <c r="N57" s="9">
        <v>200</v>
      </c>
      <c r="O57" s="9">
        <v>56</v>
      </c>
      <c r="P57" s="9">
        <v>6548.9320816200006</v>
      </c>
      <c r="Q57" s="9">
        <v>0</v>
      </c>
      <c r="R57" s="9">
        <v>0</v>
      </c>
      <c r="S57" s="9">
        <v>6024</v>
      </c>
      <c r="T57" s="9">
        <v>86253.928158520052</v>
      </c>
      <c r="U57" s="9">
        <v>338</v>
      </c>
      <c r="V57" s="9">
        <v>3154.0285456500001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2</v>
      </c>
      <c r="AJ57" s="10">
        <v>83.333331999999999</v>
      </c>
      <c r="AK57" s="10">
        <v>0</v>
      </c>
      <c r="AL57" s="10">
        <v>0</v>
      </c>
      <c r="AM57" s="10">
        <v>1</v>
      </c>
      <c r="AN57" s="10">
        <v>161.00000199999999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4</v>
      </c>
      <c r="BL57" s="10">
        <v>241.73337172999999</v>
      </c>
      <c r="BM57" s="10">
        <v>0</v>
      </c>
      <c r="BN57" s="10">
        <v>0</v>
      </c>
      <c r="BO57" s="10">
        <v>6</v>
      </c>
      <c r="BP57" s="10">
        <v>761.66531439999994</v>
      </c>
      <c r="BQ57" s="10">
        <v>0</v>
      </c>
      <c r="BR57" s="10">
        <v>0</v>
      </c>
      <c r="BS57" s="10">
        <v>17</v>
      </c>
      <c r="BT57" s="10">
        <v>2044.97156378</v>
      </c>
      <c r="BU57" s="10">
        <v>1</v>
      </c>
      <c r="BV57" s="10">
        <v>100</v>
      </c>
      <c r="BW57" s="10">
        <v>0</v>
      </c>
      <c r="BX57" s="10">
        <v>0</v>
      </c>
      <c r="BY57" s="10">
        <v>0</v>
      </c>
      <c r="BZ57" s="10">
        <v>0</v>
      </c>
      <c r="CA57" s="10">
        <v>1</v>
      </c>
      <c r="CB57" s="10">
        <v>98</v>
      </c>
      <c r="CC57" s="10">
        <v>0</v>
      </c>
      <c r="CD57" s="10">
        <v>0</v>
      </c>
      <c r="CE57" s="10">
        <v>1</v>
      </c>
      <c r="CF57" s="10">
        <v>100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23</v>
      </c>
      <c r="CN57" s="10">
        <v>3485.6148939200002</v>
      </c>
      <c r="CO57" s="10">
        <v>0</v>
      </c>
      <c r="CP57" s="10">
        <v>0</v>
      </c>
      <c r="CQ57" s="10">
        <v>6</v>
      </c>
      <c r="CR57" s="10">
        <v>310.87053555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30</v>
      </c>
      <c r="CZ57" s="10">
        <v>3085.0524413400003</v>
      </c>
      <c r="DA57" s="10">
        <v>1</v>
      </c>
      <c r="DB57" s="10">
        <v>100</v>
      </c>
      <c r="DC57" s="10">
        <v>46</v>
      </c>
      <c r="DD57" s="10">
        <v>6958.1259388799999</v>
      </c>
      <c r="DE57" s="10">
        <v>0</v>
      </c>
      <c r="DF57" s="10">
        <v>0</v>
      </c>
      <c r="DG57" s="10">
        <v>1092</v>
      </c>
      <c r="DH57" s="10">
        <v>13014.805666040016</v>
      </c>
      <c r="DI57" s="10">
        <v>138</v>
      </c>
      <c r="DJ57" s="10">
        <v>678.05658308999989</v>
      </c>
      <c r="DK57" s="10">
        <v>4</v>
      </c>
      <c r="DL57" s="10">
        <v>321.39332195999998</v>
      </c>
      <c r="DM57" s="10">
        <v>0</v>
      </c>
      <c r="DN57" s="10">
        <v>0</v>
      </c>
      <c r="DO57" s="10">
        <v>2793</v>
      </c>
      <c r="DP57" s="10">
        <v>34040.374741420004</v>
      </c>
      <c r="DQ57" s="10">
        <v>9</v>
      </c>
      <c r="DR57" s="10">
        <v>87.420117819999987</v>
      </c>
      <c r="DS57" s="10">
        <v>135</v>
      </c>
      <c r="DT57" s="10">
        <v>9247.885709480006</v>
      </c>
      <c r="DU57" s="10">
        <v>0</v>
      </c>
      <c r="DV57" s="10">
        <v>0</v>
      </c>
      <c r="DW57" s="10">
        <v>8</v>
      </c>
      <c r="DX57" s="10">
        <v>43.572496389999998</v>
      </c>
      <c r="DY57" s="10">
        <v>7</v>
      </c>
      <c r="DZ57" s="10">
        <v>32.572496389999998</v>
      </c>
      <c r="EA57" s="10">
        <v>584</v>
      </c>
      <c r="EB57" s="10">
        <v>9081.6382642699973</v>
      </c>
      <c r="EC57" s="10">
        <v>35</v>
      </c>
      <c r="ED57" s="10">
        <v>466.26295084000003</v>
      </c>
      <c r="EE57" s="10">
        <v>190</v>
      </c>
      <c r="EF57" s="10">
        <v>2002.8881179300004</v>
      </c>
      <c r="EG57" s="10">
        <v>2</v>
      </c>
      <c r="EH57" s="10">
        <v>7.7312702999999994</v>
      </c>
      <c r="EI57" s="10">
        <v>64</v>
      </c>
      <c r="EJ57" s="10">
        <v>987.28922881999995</v>
      </c>
      <c r="EK57" s="10">
        <v>5</v>
      </c>
      <c r="EL57" s="10">
        <v>88.999504340000001</v>
      </c>
      <c r="EM57" s="10">
        <v>26</v>
      </c>
      <c r="EN57" s="10">
        <v>597.82171681000011</v>
      </c>
      <c r="EO57" s="10">
        <v>1</v>
      </c>
      <c r="EP57" s="10">
        <v>32.917713030000002</v>
      </c>
      <c r="EQ57" s="10">
        <v>639</v>
      </c>
      <c r="ER57" s="10">
        <v>6592.9390612000007</v>
      </c>
      <c r="ES57" s="10">
        <v>103</v>
      </c>
      <c r="ET57" s="10">
        <v>1462.3957142899999</v>
      </c>
      <c r="EU57" s="10">
        <v>14</v>
      </c>
      <c r="EV57" s="10">
        <v>115.63262102000002</v>
      </c>
      <c r="EW57" s="10">
        <v>4</v>
      </c>
      <c r="EX57" s="10">
        <v>28.940010260000001</v>
      </c>
      <c r="EY57" s="10">
        <v>369</v>
      </c>
      <c r="EZ57" s="10">
        <v>2811.2598699500008</v>
      </c>
      <c r="FA57" s="10">
        <v>30</v>
      </c>
      <c r="FB57" s="10">
        <v>232.42187903999999</v>
      </c>
      <c r="FC57" s="10">
        <v>6</v>
      </c>
      <c r="FD57" s="10">
        <v>37.929296999999998</v>
      </c>
      <c r="FE57" s="10">
        <v>0</v>
      </c>
      <c r="FF57" s="10">
        <v>0</v>
      </c>
      <c r="FG57" s="10">
        <v>11</v>
      </c>
      <c r="FH57" s="10">
        <v>107.34079776999999</v>
      </c>
      <c r="FI57" s="10">
        <v>0</v>
      </c>
      <c r="FJ57" s="10">
        <v>0</v>
      </c>
      <c r="FK57" s="10">
        <v>40</v>
      </c>
      <c r="FL57" s="10">
        <v>268.93063025999999</v>
      </c>
      <c r="FM57" s="10">
        <v>4</v>
      </c>
      <c r="FN57" s="10">
        <v>36.310306249999996</v>
      </c>
      <c r="FO57" s="10">
        <v>3</v>
      </c>
      <c r="FP57" s="10">
        <v>24.100679320000001</v>
      </c>
      <c r="FQ57" s="10">
        <v>0</v>
      </c>
      <c r="FR57" s="10">
        <v>0</v>
      </c>
      <c r="FS57" s="10">
        <v>0</v>
      </c>
      <c r="FT57" s="10">
        <v>0</v>
      </c>
      <c r="FU57" s="10">
        <v>0</v>
      </c>
      <c r="FV57" s="10">
        <v>0</v>
      </c>
      <c r="FW57" s="18">
        <f t="shared" si="14"/>
        <v>0</v>
      </c>
      <c r="FX57" s="18">
        <f t="shared" si="8"/>
        <v>0</v>
      </c>
      <c r="FY57" s="18">
        <f t="shared" si="9"/>
        <v>0</v>
      </c>
      <c r="FZ57" s="18">
        <f t="shared" si="10"/>
        <v>0</v>
      </c>
      <c r="GA57" s="18">
        <f t="shared" si="15"/>
        <v>0</v>
      </c>
      <c r="GB57" s="18">
        <f t="shared" si="11"/>
        <v>-1.297806306865823E-11</v>
      </c>
      <c r="GC57" s="18">
        <f t="shared" si="12"/>
        <v>0</v>
      </c>
      <c r="GD57" s="18">
        <f t="shared" si="13"/>
        <v>-2.8421709430404007E-14</v>
      </c>
    </row>
    <row r="58" spans="1:186" s="11" customFormat="1" ht="27" customHeight="1" x14ac:dyDescent="0.25">
      <c r="A58" s="66" t="s">
        <v>30</v>
      </c>
      <c r="B58" s="1">
        <f t="shared" si="17"/>
        <v>51</v>
      </c>
      <c r="C58" s="20" t="s">
        <v>2096</v>
      </c>
      <c r="D58" s="20" t="s">
        <v>2114</v>
      </c>
      <c r="E58" s="65">
        <v>11582</v>
      </c>
      <c r="F58" s="19" t="s">
        <v>2049</v>
      </c>
      <c r="G58" s="9">
        <v>3683</v>
      </c>
      <c r="H58" s="9">
        <v>97715.201359909988</v>
      </c>
      <c r="I58" s="9">
        <v>574</v>
      </c>
      <c r="J58" s="9">
        <v>2877.5347288000003</v>
      </c>
      <c r="K58" s="9">
        <v>46</v>
      </c>
      <c r="L58" s="9">
        <v>5813.3883109999997</v>
      </c>
      <c r="M58" s="9">
        <v>1</v>
      </c>
      <c r="N58" s="9">
        <v>19.380470719999998</v>
      </c>
      <c r="O58" s="9">
        <v>63</v>
      </c>
      <c r="P58" s="9">
        <v>7923.1219360899995</v>
      </c>
      <c r="Q58" s="9">
        <v>0</v>
      </c>
      <c r="R58" s="9">
        <v>0</v>
      </c>
      <c r="S58" s="9">
        <v>3574</v>
      </c>
      <c r="T58" s="9">
        <v>83978.691112819914</v>
      </c>
      <c r="U58" s="9">
        <v>573</v>
      </c>
      <c r="V58" s="9">
        <v>2858.1542580800005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5</v>
      </c>
      <c r="AJ58" s="10">
        <v>389.59844393999998</v>
      </c>
      <c r="AK58" s="10">
        <v>0</v>
      </c>
      <c r="AL58" s="10">
        <v>0</v>
      </c>
      <c r="AM58" s="10">
        <v>1</v>
      </c>
      <c r="AN58" s="10">
        <v>41.55442979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1</v>
      </c>
      <c r="BD58" s="10">
        <v>55.482856700000006</v>
      </c>
      <c r="BE58" s="10">
        <v>0</v>
      </c>
      <c r="BF58" s="10">
        <v>0</v>
      </c>
      <c r="BG58" s="10">
        <v>1</v>
      </c>
      <c r="BH58" s="10">
        <v>19.375</v>
      </c>
      <c r="BI58" s="10">
        <v>0</v>
      </c>
      <c r="BJ58" s="10">
        <v>0</v>
      </c>
      <c r="BK58" s="10">
        <v>8</v>
      </c>
      <c r="BL58" s="10">
        <v>407.96750483999995</v>
      </c>
      <c r="BM58" s="10">
        <v>1</v>
      </c>
      <c r="BN58" s="10">
        <v>19.380470719999998</v>
      </c>
      <c r="BO58" s="10">
        <v>18</v>
      </c>
      <c r="BP58" s="10">
        <v>1900.3569501299999</v>
      </c>
      <c r="BQ58" s="10">
        <v>0</v>
      </c>
      <c r="BR58" s="10">
        <v>0</v>
      </c>
      <c r="BS58" s="10">
        <v>6</v>
      </c>
      <c r="BT58" s="10">
        <v>922.83487691999994</v>
      </c>
      <c r="BU58" s="10">
        <v>0</v>
      </c>
      <c r="BV58" s="10">
        <v>0</v>
      </c>
      <c r="BW58" s="10">
        <v>4</v>
      </c>
      <c r="BX58" s="10">
        <v>333.28781877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2</v>
      </c>
      <c r="CF58" s="10">
        <v>150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11</v>
      </c>
      <c r="CN58" s="10">
        <v>1719.5169031899998</v>
      </c>
      <c r="CO58" s="10">
        <v>0</v>
      </c>
      <c r="CP58" s="10">
        <v>0</v>
      </c>
      <c r="CQ58" s="10">
        <v>17</v>
      </c>
      <c r="CR58" s="10">
        <v>2199.9665490300004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35</v>
      </c>
      <c r="CZ58" s="10">
        <v>5596.56891378</v>
      </c>
      <c r="DA58" s="10">
        <v>0</v>
      </c>
      <c r="DB58" s="10">
        <v>0</v>
      </c>
      <c r="DC58" s="10">
        <v>210</v>
      </c>
      <c r="DD58" s="10">
        <v>38622.319158670005</v>
      </c>
      <c r="DE58" s="10">
        <v>1</v>
      </c>
      <c r="DF58" s="10">
        <v>209.64</v>
      </c>
      <c r="DG58" s="10">
        <v>1762</v>
      </c>
      <c r="DH58" s="10">
        <v>21565.752886009981</v>
      </c>
      <c r="DI58" s="10">
        <v>507</v>
      </c>
      <c r="DJ58" s="10">
        <v>2088.8953302800005</v>
      </c>
      <c r="DK58" s="10">
        <v>2</v>
      </c>
      <c r="DL58" s="10">
        <v>70.287977220000002</v>
      </c>
      <c r="DM58" s="10">
        <v>0</v>
      </c>
      <c r="DN58" s="10">
        <v>0</v>
      </c>
      <c r="DO58" s="10">
        <v>575</v>
      </c>
      <c r="DP58" s="10">
        <v>6565.7917299300007</v>
      </c>
      <c r="DQ58" s="10">
        <v>1</v>
      </c>
      <c r="DR58" s="10">
        <v>13.2641727</v>
      </c>
      <c r="DS58" s="10">
        <v>120</v>
      </c>
      <c r="DT58" s="10">
        <v>7928.5845791100019</v>
      </c>
      <c r="DU58" s="10">
        <v>0</v>
      </c>
      <c r="DV58" s="10">
        <v>0</v>
      </c>
      <c r="DW58" s="10">
        <v>42</v>
      </c>
      <c r="DX58" s="10">
        <v>293.30954191000001</v>
      </c>
      <c r="DY58" s="10">
        <v>21</v>
      </c>
      <c r="DZ58" s="10">
        <v>162.22495601999998</v>
      </c>
      <c r="EA58" s="10">
        <v>153</v>
      </c>
      <c r="EB58" s="10">
        <v>2763.17581969</v>
      </c>
      <c r="EC58" s="10">
        <v>12</v>
      </c>
      <c r="ED58" s="10">
        <v>91.186286169999988</v>
      </c>
      <c r="EE58" s="10">
        <v>78</v>
      </c>
      <c r="EF58" s="10">
        <v>1029.9865756500001</v>
      </c>
      <c r="EG58" s="10">
        <v>0</v>
      </c>
      <c r="EH58" s="10">
        <v>0</v>
      </c>
      <c r="EI58" s="10">
        <v>20</v>
      </c>
      <c r="EJ58" s="10">
        <v>196.64230075</v>
      </c>
      <c r="EK58" s="10">
        <v>2</v>
      </c>
      <c r="EL58" s="10">
        <v>39.134501669999999</v>
      </c>
      <c r="EM58" s="10">
        <v>4</v>
      </c>
      <c r="EN58" s="10">
        <v>18.600409829999997</v>
      </c>
      <c r="EO58" s="10">
        <v>0</v>
      </c>
      <c r="EP58" s="10">
        <v>0</v>
      </c>
      <c r="EQ58" s="10">
        <v>422</v>
      </c>
      <c r="ER58" s="10">
        <v>3726.7302561099987</v>
      </c>
      <c r="ES58" s="10">
        <v>19</v>
      </c>
      <c r="ET58" s="10">
        <v>215.62098257000002</v>
      </c>
      <c r="EU58" s="10">
        <v>6</v>
      </c>
      <c r="EV58" s="10">
        <v>9.3133158000000016</v>
      </c>
      <c r="EW58" s="10">
        <v>1</v>
      </c>
      <c r="EX58" s="10">
        <v>1.9397</v>
      </c>
      <c r="EY58" s="10">
        <v>153</v>
      </c>
      <c r="EZ58" s="10">
        <v>1030.7006952199999</v>
      </c>
      <c r="FA58" s="10">
        <v>9</v>
      </c>
      <c r="FB58" s="10">
        <v>36.248328669999999</v>
      </c>
      <c r="FC58" s="10">
        <v>2</v>
      </c>
      <c r="FD58" s="10">
        <v>24.56884028</v>
      </c>
      <c r="FE58" s="10">
        <v>0</v>
      </c>
      <c r="FF58" s="10">
        <v>0</v>
      </c>
      <c r="FG58" s="10">
        <v>3</v>
      </c>
      <c r="FH58" s="10">
        <v>20.492609340000001</v>
      </c>
      <c r="FI58" s="10">
        <v>0</v>
      </c>
      <c r="FJ58" s="10">
        <v>0</v>
      </c>
      <c r="FK58" s="10">
        <v>22</v>
      </c>
      <c r="FL58" s="10">
        <v>112.43441729999999</v>
      </c>
      <c r="FM58" s="10">
        <v>0</v>
      </c>
      <c r="FN58" s="10">
        <v>0</v>
      </c>
      <c r="FO58" s="10">
        <v>0</v>
      </c>
      <c r="FP58" s="10">
        <v>0</v>
      </c>
      <c r="FQ58" s="10">
        <v>0</v>
      </c>
      <c r="FR58" s="10">
        <v>0</v>
      </c>
      <c r="FS58" s="10">
        <v>0</v>
      </c>
      <c r="FT58" s="10">
        <v>0</v>
      </c>
      <c r="FU58" s="10">
        <v>0</v>
      </c>
      <c r="FV58" s="10">
        <v>0</v>
      </c>
      <c r="FW58" s="18">
        <f t="shared" si="14"/>
        <v>0</v>
      </c>
      <c r="FX58" s="18">
        <f t="shared" si="8"/>
        <v>0</v>
      </c>
      <c r="FY58" s="18">
        <f t="shared" si="9"/>
        <v>0</v>
      </c>
      <c r="FZ58" s="18">
        <f t="shared" si="10"/>
        <v>0</v>
      </c>
      <c r="GA58" s="18">
        <f t="shared" si="15"/>
        <v>0</v>
      </c>
      <c r="GB58" s="18">
        <f t="shared" si="11"/>
        <v>1.1411316336307209E-11</v>
      </c>
      <c r="GC58" s="18">
        <f t="shared" si="12"/>
        <v>0</v>
      </c>
      <c r="GD58" s="18">
        <f t="shared" si="13"/>
        <v>-2.6290081223123707E-13</v>
      </c>
    </row>
    <row r="59" spans="1:186" s="11" customFormat="1" ht="27" customHeight="1" x14ac:dyDescent="0.25">
      <c r="A59" s="66" t="s">
        <v>30</v>
      </c>
      <c r="B59" s="1">
        <f t="shared" si="17"/>
        <v>52</v>
      </c>
      <c r="C59" s="20" t="s">
        <v>2096</v>
      </c>
      <c r="D59" s="20" t="s">
        <v>2099</v>
      </c>
      <c r="E59" s="65">
        <v>11633</v>
      </c>
      <c r="F59" s="19" t="s">
        <v>2100</v>
      </c>
      <c r="G59" s="9">
        <v>3643</v>
      </c>
      <c r="H59" s="9">
        <v>95824.996689899985</v>
      </c>
      <c r="I59" s="9">
        <v>321</v>
      </c>
      <c r="J59" s="9">
        <v>4280.5382675499995</v>
      </c>
      <c r="K59" s="9">
        <v>49</v>
      </c>
      <c r="L59" s="9">
        <v>36385.215515440002</v>
      </c>
      <c r="M59" s="9">
        <v>7</v>
      </c>
      <c r="N59" s="9">
        <v>870.04871662000005</v>
      </c>
      <c r="O59" s="9">
        <v>32</v>
      </c>
      <c r="P59" s="9">
        <v>5893.6384641799996</v>
      </c>
      <c r="Q59" s="9">
        <v>0</v>
      </c>
      <c r="R59" s="9">
        <v>0</v>
      </c>
      <c r="S59" s="9">
        <v>3562</v>
      </c>
      <c r="T59" s="9">
        <v>53546.142710279986</v>
      </c>
      <c r="U59" s="9">
        <v>314</v>
      </c>
      <c r="V59" s="9">
        <v>3410.48955093</v>
      </c>
      <c r="W59" s="10">
        <v>0</v>
      </c>
      <c r="X59" s="10">
        <v>0</v>
      </c>
      <c r="Y59" s="10">
        <v>0</v>
      </c>
      <c r="Z59" s="10">
        <v>0</v>
      </c>
      <c r="AA59" s="10">
        <v>2</v>
      </c>
      <c r="AB59" s="10">
        <v>506.06708042000002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17</v>
      </c>
      <c r="AJ59" s="10">
        <v>27474.543617089999</v>
      </c>
      <c r="AK59" s="10">
        <v>1</v>
      </c>
      <c r="AL59" s="10">
        <v>2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1</v>
      </c>
      <c r="AV59" s="10">
        <v>300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3</v>
      </c>
      <c r="BD59" s="10">
        <v>77.552999999999997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1</v>
      </c>
      <c r="BL59" s="10">
        <v>100</v>
      </c>
      <c r="BM59" s="10">
        <v>0</v>
      </c>
      <c r="BN59" s="10">
        <v>0</v>
      </c>
      <c r="BO59" s="10">
        <v>11</v>
      </c>
      <c r="BP59" s="10">
        <v>2111.6227262699999</v>
      </c>
      <c r="BQ59" s="10">
        <v>0</v>
      </c>
      <c r="BR59" s="10">
        <v>0</v>
      </c>
      <c r="BS59" s="10">
        <v>8</v>
      </c>
      <c r="BT59" s="10">
        <v>3990.0849142399998</v>
      </c>
      <c r="BU59" s="10">
        <v>1</v>
      </c>
      <c r="BV59" s="10">
        <v>374.09218099999998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1</v>
      </c>
      <c r="CJ59" s="10">
        <v>1190.23</v>
      </c>
      <c r="CK59" s="10">
        <v>0</v>
      </c>
      <c r="CL59" s="10">
        <v>0</v>
      </c>
      <c r="CM59" s="10">
        <v>12</v>
      </c>
      <c r="CN59" s="10">
        <v>2249.3626878199998</v>
      </c>
      <c r="CO59" s="10">
        <v>0</v>
      </c>
      <c r="CP59" s="10">
        <v>0</v>
      </c>
      <c r="CQ59" s="10">
        <v>4</v>
      </c>
      <c r="CR59" s="10">
        <v>399.54646600000001</v>
      </c>
      <c r="CS59" s="10">
        <v>4</v>
      </c>
      <c r="CT59" s="10">
        <v>399.54646600000001</v>
      </c>
      <c r="CU59" s="10">
        <v>0</v>
      </c>
      <c r="CV59" s="10">
        <v>0</v>
      </c>
      <c r="CW59" s="10">
        <v>0</v>
      </c>
      <c r="CX59" s="10">
        <v>0</v>
      </c>
      <c r="CY59" s="10">
        <v>21</v>
      </c>
      <c r="CZ59" s="10">
        <v>3879.8434877799996</v>
      </c>
      <c r="DA59" s="10">
        <v>1</v>
      </c>
      <c r="DB59" s="10">
        <v>94.410069620000002</v>
      </c>
      <c r="DC59" s="10">
        <v>82</v>
      </c>
      <c r="DD59" s="10">
        <v>11609.414951430002</v>
      </c>
      <c r="DE59" s="10">
        <v>7</v>
      </c>
      <c r="DF59" s="10">
        <v>1220.6235457100001</v>
      </c>
      <c r="DG59" s="10">
        <v>1293</v>
      </c>
      <c r="DH59" s="10">
        <v>13539.833518859994</v>
      </c>
      <c r="DI59" s="10">
        <v>157</v>
      </c>
      <c r="DJ59" s="10">
        <v>733.02611825999998</v>
      </c>
      <c r="DK59" s="10">
        <v>2</v>
      </c>
      <c r="DL59" s="10">
        <v>236.61927291000001</v>
      </c>
      <c r="DM59" s="10">
        <v>0</v>
      </c>
      <c r="DN59" s="10">
        <v>0</v>
      </c>
      <c r="DO59" s="10">
        <v>508</v>
      </c>
      <c r="DP59" s="10">
        <v>6849.1703528399985</v>
      </c>
      <c r="DQ59" s="10">
        <v>6</v>
      </c>
      <c r="DR59" s="10">
        <v>51.584420009999995</v>
      </c>
      <c r="DS59" s="10">
        <v>45</v>
      </c>
      <c r="DT59" s="10">
        <v>2908.6196974999998</v>
      </c>
      <c r="DU59" s="10">
        <v>0</v>
      </c>
      <c r="DV59" s="10">
        <v>0</v>
      </c>
      <c r="DW59" s="10">
        <v>46</v>
      </c>
      <c r="DX59" s="10">
        <v>354.76972087999991</v>
      </c>
      <c r="DY59" s="10">
        <v>20</v>
      </c>
      <c r="DZ59" s="10">
        <v>139.77088998999997</v>
      </c>
      <c r="EA59" s="10">
        <v>422</v>
      </c>
      <c r="EB59" s="10">
        <v>6133.2918864700014</v>
      </c>
      <c r="EC59" s="10">
        <v>13</v>
      </c>
      <c r="ED59" s="10">
        <v>93.703638589999997</v>
      </c>
      <c r="EE59" s="10">
        <v>136</v>
      </c>
      <c r="EF59" s="10">
        <v>1640.5190105499998</v>
      </c>
      <c r="EG59" s="10">
        <v>0</v>
      </c>
      <c r="EH59" s="10">
        <v>0</v>
      </c>
      <c r="EI59" s="10">
        <v>90</v>
      </c>
      <c r="EJ59" s="10">
        <v>2113.0351666799997</v>
      </c>
      <c r="EK59" s="10">
        <v>3</v>
      </c>
      <c r="EL59" s="10">
        <v>31.304944479999996</v>
      </c>
      <c r="EM59" s="10">
        <v>23</v>
      </c>
      <c r="EN59" s="10">
        <v>542.77501070000005</v>
      </c>
      <c r="EO59" s="10">
        <v>0</v>
      </c>
      <c r="EP59" s="10">
        <v>0</v>
      </c>
      <c r="EQ59" s="10">
        <v>661</v>
      </c>
      <c r="ER59" s="10">
        <v>5990.3625459500008</v>
      </c>
      <c r="ES59" s="10">
        <v>82</v>
      </c>
      <c r="ET59" s="10">
        <v>1005.58496289</v>
      </c>
      <c r="EU59" s="10">
        <v>4</v>
      </c>
      <c r="EV59" s="10">
        <v>57.492790679999999</v>
      </c>
      <c r="EW59" s="10">
        <v>2</v>
      </c>
      <c r="EX59" s="10">
        <v>9.6412517199999996</v>
      </c>
      <c r="EY59" s="10">
        <v>185</v>
      </c>
      <c r="EZ59" s="10">
        <v>1162.9201434500001</v>
      </c>
      <c r="FA59" s="10">
        <v>18</v>
      </c>
      <c r="FB59" s="10">
        <v>93.89322768000001</v>
      </c>
      <c r="FC59" s="10">
        <v>4</v>
      </c>
      <c r="FD59" s="10">
        <v>8.3371467500000005</v>
      </c>
      <c r="FE59" s="10">
        <v>0</v>
      </c>
      <c r="FF59" s="10">
        <v>0</v>
      </c>
      <c r="FG59" s="10">
        <v>4</v>
      </c>
      <c r="FH59" s="10">
        <v>58.375569689999999</v>
      </c>
      <c r="FI59" s="10">
        <v>1</v>
      </c>
      <c r="FJ59" s="10">
        <v>8.2484136200000009</v>
      </c>
      <c r="FK59" s="10">
        <v>54</v>
      </c>
      <c r="FL59" s="10">
        <v>320.75263582999997</v>
      </c>
      <c r="FM59" s="10">
        <v>3</v>
      </c>
      <c r="FN59" s="10">
        <v>7.6548488700000004</v>
      </c>
      <c r="FO59" s="10">
        <v>3</v>
      </c>
      <c r="FP59" s="10">
        <v>19.853289109999999</v>
      </c>
      <c r="FQ59" s="10">
        <v>2</v>
      </c>
      <c r="FR59" s="10">
        <v>15.45328911</v>
      </c>
      <c r="FS59" s="10">
        <v>0</v>
      </c>
      <c r="FT59" s="10">
        <v>0</v>
      </c>
      <c r="FU59" s="10">
        <v>0</v>
      </c>
      <c r="FV59" s="10">
        <v>0</v>
      </c>
      <c r="FW59" s="18">
        <f t="shared" si="14"/>
        <v>0</v>
      </c>
      <c r="FX59" s="18">
        <f t="shared" si="8"/>
        <v>0</v>
      </c>
      <c r="FY59" s="18">
        <f t="shared" si="9"/>
        <v>0</v>
      </c>
      <c r="FZ59" s="18">
        <f t="shared" si="10"/>
        <v>0</v>
      </c>
      <c r="GA59" s="18">
        <f t="shared" si="15"/>
        <v>0</v>
      </c>
      <c r="GB59" s="18">
        <f t="shared" si="11"/>
        <v>-8.4767748376179952E-12</v>
      </c>
      <c r="GC59" s="18">
        <f t="shared" si="12"/>
        <v>0</v>
      </c>
      <c r="GD59" s="18">
        <f t="shared" si="13"/>
        <v>-1.2612133559741778E-13</v>
      </c>
    </row>
    <row r="60" spans="1:186" s="11" customFormat="1" ht="27" customHeight="1" x14ac:dyDescent="0.25">
      <c r="A60" s="66" t="s">
        <v>30</v>
      </c>
      <c r="B60" s="1">
        <f t="shared" si="17"/>
        <v>53</v>
      </c>
      <c r="C60" s="20" t="s">
        <v>2096</v>
      </c>
      <c r="D60" s="20" t="s">
        <v>2112</v>
      </c>
      <c r="E60" s="65">
        <v>11634</v>
      </c>
      <c r="F60" s="19" t="s">
        <v>2041</v>
      </c>
      <c r="G60" s="9">
        <v>3713</v>
      </c>
      <c r="H60" s="9">
        <v>70367.736331009961</v>
      </c>
      <c r="I60" s="9">
        <v>176</v>
      </c>
      <c r="J60" s="9">
        <v>1331.9379095800009</v>
      </c>
      <c r="K60" s="9">
        <v>97</v>
      </c>
      <c r="L60" s="9">
        <v>8742.4749196400007</v>
      </c>
      <c r="M60" s="9">
        <v>0</v>
      </c>
      <c r="N60" s="9">
        <v>0</v>
      </c>
      <c r="O60" s="9">
        <v>53</v>
      </c>
      <c r="P60" s="9">
        <v>5208.9417124500005</v>
      </c>
      <c r="Q60" s="9">
        <v>0</v>
      </c>
      <c r="R60" s="9">
        <v>0</v>
      </c>
      <c r="S60" s="9">
        <v>3563</v>
      </c>
      <c r="T60" s="9">
        <v>56416.319698919979</v>
      </c>
      <c r="U60" s="9">
        <v>176</v>
      </c>
      <c r="V60" s="9">
        <v>1331.9379095800009</v>
      </c>
      <c r="W60" s="10">
        <v>0</v>
      </c>
      <c r="X60" s="10">
        <v>0</v>
      </c>
      <c r="Y60" s="10">
        <v>0</v>
      </c>
      <c r="Z60" s="10">
        <v>0</v>
      </c>
      <c r="AA60" s="10">
        <v>2</v>
      </c>
      <c r="AB60" s="10">
        <v>135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2</v>
      </c>
      <c r="AJ60" s="10">
        <v>250.67243300000001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2</v>
      </c>
      <c r="AR60" s="10">
        <v>58.833336000000003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2</v>
      </c>
      <c r="BH60" s="10">
        <v>286.43679600000002</v>
      </c>
      <c r="BI60" s="10">
        <v>0</v>
      </c>
      <c r="BJ60" s="10">
        <v>0</v>
      </c>
      <c r="BK60" s="10">
        <v>4</v>
      </c>
      <c r="BL60" s="10">
        <v>48.430860719999998</v>
      </c>
      <c r="BM60" s="10">
        <v>0</v>
      </c>
      <c r="BN60" s="10">
        <v>0</v>
      </c>
      <c r="BO60" s="10">
        <v>18</v>
      </c>
      <c r="BP60" s="10">
        <v>1629.9298993</v>
      </c>
      <c r="BQ60" s="10">
        <v>0</v>
      </c>
      <c r="BR60" s="10">
        <v>0</v>
      </c>
      <c r="BS60" s="10">
        <v>16</v>
      </c>
      <c r="BT60" s="10">
        <v>2877.0235784199999</v>
      </c>
      <c r="BU60" s="10">
        <v>0</v>
      </c>
      <c r="BV60" s="10">
        <v>0</v>
      </c>
      <c r="BW60" s="10">
        <v>7</v>
      </c>
      <c r="BX60" s="10">
        <v>448.60561708</v>
      </c>
      <c r="BY60" s="10">
        <v>0</v>
      </c>
      <c r="BZ60" s="10">
        <v>0</v>
      </c>
      <c r="CA60" s="10">
        <v>2</v>
      </c>
      <c r="CB60" s="10">
        <v>200</v>
      </c>
      <c r="CC60" s="10">
        <v>0</v>
      </c>
      <c r="CD60" s="10">
        <v>0</v>
      </c>
      <c r="CE60" s="10">
        <v>3</v>
      </c>
      <c r="CF60" s="10">
        <v>145.76964831000001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2</v>
      </c>
      <c r="CN60" s="10">
        <v>478.47246000000001</v>
      </c>
      <c r="CO60" s="10">
        <v>0</v>
      </c>
      <c r="CP60" s="10">
        <v>0</v>
      </c>
      <c r="CQ60" s="10">
        <v>53</v>
      </c>
      <c r="CR60" s="10">
        <v>2922.3517814700003</v>
      </c>
      <c r="CS60" s="10">
        <v>0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37</v>
      </c>
      <c r="CZ60" s="10">
        <v>4469.8902217900004</v>
      </c>
      <c r="DA60" s="10">
        <v>0</v>
      </c>
      <c r="DB60" s="10">
        <v>0</v>
      </c>
      <c r="DC60" s="10">
        <v>108</v>
      </c>
      <c r="DD60" s="10">
        <v>24721.771019240005</v>
      </c>
      <c r="DE60" s="10">
        <v>0</v>
      </c>
      <c r="DF60" s="10">
        <v>0</v>
      </c>
      <c r="DG60" s="10">
        <v>714</v>
      </c>
      <c r="DH60" s="10">
        <v>5584.0248588500062</v>
      </c>
      <c r="DI60" s="10">
        <v>61</v>
      </c>
      <c r="DJ60" s="10">
        <v>276.67873251999998</v>
      </c>
      <c r="DK60" s="10">
        <v>2</v>
      </c>
      <c r="DL60" s="10">
        <v>224.50524444999999</v>
      </c>
      <c r="DM60" s="10">
        <v>0</v>
      </c>
      <c r="DN60" s="10">
        <v>0</v>
      </c>
      <c r="DO60" s="10">
        <v>761</v>
      </c>
      <c r="DP60" s="10">
        <v>9922.7919765300012</v>
      </c>
      <c r="DQ60" s="10">
        <v>3</v>
      </c>
      <c r="DR60" s="10">
        <v>19.21481979</v>
      </c>
      <c r="DS60" s="10">
        <v>12</v>
      </c>
      <c r="DT60" s="10">
        <v>710.65454967000005</v>
      </c>
      <c r="DU60" s="10">
        <v>0</v>
      </c>
      <c r="DV60" s="10">
        <v>0</v>
      </c>
      <c r="DW60" s="10">
        <v>1</v>
      </c>
      <c r="DX60" s="10">
        <v>1.9340451399999998</v>
      </c>
      <c r="DY60" s="10">
        <v>1</v>
      </c>
      <c r="DZ60" s="10">
        <v>1.9340451399999998</v>
      </c>
      <c r="EA60" s="10">
        <v>235</v>
      </c>
      <c r="EB60" s="10">
        <v>2648.6480193500006</v>
      </c>
      <c r="EC60" s="10">
        <v>12</v>
      </c>
      <c r="ED60" s="10">
        <v>102.01252328</v>
      </c>
      <c r="EE60" s="10">
        <v>287</v>
      </c>
      <c r="EF60" s="10">
        <v>2434.2319830799997</v>
      </c>
      <c r="EG60" s="10">
        <v>3</v>
      </c>
      <c r="EH60" s="10">
        <v>19.864991700000001</v>
      </c>
      <c r="EI60" s="10">
        <v>37</v>
      </c>
      <c r="EJ60" s="10">
        <v>537.60816885999986</v>
      </c>
      <c r="EK60" s="10">
        <v>3</v>
      </c>
      <c r="EL60" s="10">
        <v>39.062120610000001</v>
      </c>
      <c r="EM60" s="10">
        <v>14</v>
      </c>
      <c r="EN60" s="10">
        <v>174.34327195</v>
      </c>
      <c r="EO60" s="10">
        <v>0</v>
      </c>
      <c r="EP60" s="10">
        <v>0</v>
      </c>
      <c r="EQ60" s="10">
        <v>894</v>
      </c>
      <c r="ER60" s="10">
        <v>6159.2583101200034</v>
      </c>
      <c r="ES60" s="10">
        <v>69</v>
      </c>
      <c r="ET60" s="10">
        <v>727.58067067999991</v>
      </c>
      <c r="EU60" s="10">
        <v>15</v>
      </c>
      <c r="EV60" s="10">
        <v>176.57997395000001</v>
      </c>
      <c r="EW60" s="10">
        <v>4</v>
      </c>
      <c r="EX60" s="10">
        <v>10.169599309999999</v>
      </c>
      <c r="EY60" s="10">
        <v>433</v>
      </c>
      <c r="EZ60" s="10">
        <v>2756.8800631300001</v>
      </c>
      <c r="FA60" s="10">
        <v>15</v>
      </c>
      <c r="FB60" s="10">
        <v>88.83310985</v>
      </c>
      <c r="FC60" s="10">
        <v>16</v>
      </c>
      <c r="FD60" s="10">
        <v>125.40179584000001</v>
      </c>
      <c r="FE60" s="10">
        <v>2</v>
      </c>
      <c r="FF60" s="10">
        <v>26.58753437</v>
      </c>
      <c r="FG60" s="10">
        <v>4</v>
      </c>
      <c r="FH60" s="10">
        <v>44.231255879999992</v>
      </c>
      <c r="FI60" s="10">
        <v>0</v>
      </c>
      <c r="FJ60" s="10">
        <v>0</v>
      </c>
      <c r="FK60" s="10">
        <v>27</v>
      </c>
      <c r="FL60" s="10">
        <v>175.26746570999998</v>
      </c>
      <c r="FM60" s="10">
        <v>1</v>
      </c>
      <c r="FN60" s="10">
        <v>5.1454001600000003</v>
      </c>
      <c r="FO60" s="10">
        <v>3</v>
      </c>
      <c r="FP60" s="10">
        <v>18.187697170000003</v>
      </c>
      <c r="FQ60" s="10">
        <v>2</v>
      </c>
      <c r="FR60" s="10">
        <v>14.85436217</v>
      </c>
      <c r="FS60" s="10">
        <v>0</v>
      </c>
      <c r="FT60" s="10">
        <v>0</v>
      </c>
      <c r="FU60" s="10">
        <v>0</v>
      </c>
      <c r="FV60" s="10">
        <v>0</v>
      </c>
      <c r="FW60" s="18">
        <f t="shared" si="14"/>
        <v>0</v>
      </c>
      <c r="FX60" s="18">
        <f t="shared" si="8"/>
        <v>0</v>
      </c>
      <c r="FY60" s="18">
        <f t="shared" si="9"/>
        <v>0</v>
      </c>
      <c r="FZ60" s="18">
        <f t="shared" si="10"/>
        <v>0</v>
      </c>
      <c r="GA60" s="18">
        <f t="shared" si="15"/>
        <v>0</v>
      </c>
      <c r="GB60" s="18">
        <f t="shared" si="11"/>
        <v>-3.964473194173479E-11</v>
      </c>
      <c r="GC60" s="18">
        <f t="shared" si="12"/>
        <v>0</v>
      </c>
      <c r="GD60" s="18">
        <f t="shared" si="13"/>
        <v>8.1890050296351546E-13</v>
      </c>
    </row>
    <row r="61" spans="1:186" s="11" customFormat="1" ht="27" customHeight="1" x14ac:dyDescent="0.25">
      <c r="A61" s="66" t="s">
        <v>30</v>
      </c>
      <c r="B61" s="1">
        <f t="shared" si="17"/>
        <v>54</v>
      </c>
      <c r="C61" s="20" t="s">
        <v>2096</v>
      </c>
      <c r="D61" s="20" t="s">
        <v>2115</v>
      </c>
      <c r="E61" s="65">
        <v>11782</v>
      </c>
      <c r="F61" s="19" t="s">
        <v>2087</v>
      </c>
      <c r="G61" s="9">
        <v>3387</v>
      </c>
      <c r="H61" s="9">
        <v>133532.83843421994</v>
      </c>
      <c r="I61" s="9">
        <v>156</v>
      </c>
      <c r="J61" s="9">
        <v>1417.0578757300002</v>
      </c>
      <c r="K61" s="9">
        <v>62</v>
      </c>
      <c r="L61" s="9">
        <v>70964.584977079998</v>
      </c>
      <c r="M61" s="9">
        <v>1</v>
      </c>
      <c r="N61" s="9">
        <v>10.764992550000001</v>
      </c>
      <c r="O61" s="9">
        <v>77</v>
      </c>
      <c r="P61" s="9">
        <v>6282.7134467500009</v>
      </c>
      <c r="Q61" s="9">
        <v>2</v>
      </c>
      <c r="R61" s="9">
        <v>21.945775619999996</v>
      </c>
      <c r="S61" s="9">
        <v>3248</v>
      </c>
      <c r="T61" s="9">
        <v>56285.540010389959</v>
      </c>
      <c r="U61" s="9">
        <v>153</v>
      </c>
      <c r="V61" s="9">
        <v>1384.34710756</v>
      </c>
      <c r="W61" s="10">
        <v>1</v>
      </c>
      <c r="X61" s="10">
        <v>843.56860916999995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1</v>
      </c>
      <c r="AF61" s="10">
        <v>3631.7130920999998</v>
      </c>
      <c r="AG61" s="10">
        <v>0</v>
      </c>
      <c r="AH61" s="10">
        <v>0</v>
      </c>
      <c r="AI61" s="10">
        <v>6</v>
      </c>
      <c r="AJ61" s="10">
        <v>1096.2733356599999</v>
      </c>
      <c r="AK61" s="10">
        <v>0</v>
      </c>
      <c r="AL61" s="10">
        <v>0</v>
      </c>
      <c r="AM61" s="10">
        <v>1</v>
      </c>
      <c r="AN61" s="10">
        <v>21935.938900000001</v>
      </c>
      <c r="AO61" s="10">
        <v>0</v>
      </c>
      <c r="AP61" s="10">
        <v>0</v>
      </c>
      <c r="AQ61" s="10">
        <v>1</v>
      </c>
      <c r="AR61" s="10">
        <v>30.276188000000001</v>
      </c>
      <c r="AS61" s="10">
        <v>0</v>
      </c>
      <c r="AT61" s="10">
        <v>0</v>
      </c>
      <c r="AU61" s="10">
        <v>1</v>
      </c>
      <c r="AV61" s="10">
        <v>11247.673500000001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1</v>
      </c>
      <c r="BD61" s="10">
        <v>91.319671580000005</v>
      </c>
      <c r="BE61" s="10">
        <v>0</v>
      </c>
      <c r="BF61" s="10">
        <v>0</v>
      </c>
      <c r="BG61" s="10">
        <v>4</v>
      </c>
      <c r="BH61" s="10">
        <v>3546.3269305900003</v>
      </c>
      <c r="BI61" s="10">
        <v>0</v>
      </c>
      <c r="BJ61" s="10">
        <v>0</v>
      </c>
      <c r="BK61" s="10">
        <v>6</v>
      </c>
      <c r="BL61" s="10">
        <v>190.03526244</v>
      </c>
      <c r="BM61" s="10">
        <v>2</v>
      </c>
      <c r="BN61" s="10">
        <v>19.36032372</v>
      </c>
      <c r="BO61" s="10">
        <v>25</v>
      </c>
      <c r="BP61" s="10">
        <v>6677.6321527199989</v>
      </c>
      <c r="BQ61" s="10">
        <v>0</v>
      </c>
      <c r="BR61" s="10">
        <v>0</v>
      </c>
      <c r="BS61" s="10">
        <v>28</v>
      </c>
      <c r="BT61" s="10">
        <v>4666.3163913999997</v>
      </c>
      <c r="BU61" s="10">
        <v>0</v>
      </c>
      <c r="BV61" s="10">
        <v>0</v>
      </c>
      <c r="BW61" s="10">
        <v>3</v>
      </c>
      <c r="BX61" s="10">
        <v>1335.4110403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3</v>
      </c>
      <c r="CF61" s="10">
        <v>1314.8014250000001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10</v>
      </c>
      <c r="CN61" s="10">
        <v>5431.7783313999998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48</v>
      </c>
      <c r="CZ61" s="10">
        <v>15208.23359347</v>
      </c>
      <c r="DA61" s="10">
        <v>1</v>
      </c>
      <c r="DB61" s="10">
        <v>13.350444449999999</v>
      </c>
      <c r="DC61" s="10">
        <v>104</v>
      </c>
      <c r="DD61" s="10">
        <v>20188.727249800002</v>
      </c>
      <c r="DE61" s="10">
        <v>1</v>
      </c>
      <c r="DF61" s="10">
        <v>306.4598598</v>
      </c>
      <c r="DG61" s="10">
        <v>1114</v>
      </c>
      <c r="DH61" s="10">
        <v>12947.830683339987</v>
      </c>
      <c r="DI61" s="10">
        <v>90</v>
      </c>
      <c r="DJ61" s="10">
        <v>641.12739051999995</v>
      </c>
      <c r="DK61" s="10">
        <v>10</v>
      </c>
      <c r="DL61" s="10">
        <v>1210.3052664200002</v>
      </c>
      <c r="DM61" s="10">
        <v>0</v>
      </c>
      <c r="DN61" s="10">
        <v>0</v>
      </c>
      <c r="DO61" s="10">
        <v>777</v>
      </c>
      <c r="DP61" s="10">
        <v>10491.693375149998</v>
      </c>
      <c r="DQ61" s="10">
        <v>1</v>
      </c>
      <c r="DR61" s="10">
        <v>23</v>
      </c>
      <c r="DS61" s="10">
        <v>53</v>
      </c>
      <c r="DT61" s="10">
        <v>2813.7366472799999</v>
      </c>
      <c r="DU61" s="10">
        <v>0</v>
      </c>
      <c r="DV61" s="10">
        <v>0</v>
      </c>
      <c r="DW61" s="10">
        <v>19</v>
      </c>
      <c r="DX61" s="10">
        <v>109.41043406</v>
      </c>
      <c r="DY61" s="10">
        <v>8</v>
      </c>
      <c r="DZ61" s="10">
        <v>41.437591009999998</v>
      </c>
      <c r="EA61" s="10">
        <v>140</v>
      </c>
      <c r="EB61" s="10">
        <v>2273.0770618400002</v>
      </c>
      <c r="EC61" s="10">
        <v>9</v>
      </c>
      <c r="ED61" s="10">
        <v>55.63520681</v>
      </c>
      <c r="EE61" s="10">
        <v>110</v>
      </c>
      <c r="EF61" s="10">
        <v>849.51435812999978</v>
      </c>
      <c r="EG61" s="10">
        <v>1</v>
      </c>
      <c r="EH61" s="10">
        <v>7.7695832600000001</v>
      </c>
      <c r="EI61" s="10">
        <v>175</v>
      </c>
      <c r="EJ61" s="10">
        <v>1007.6845539300001</v>
      </c>
      <c r="EK61" s="10">
        <v>7</v>
      </c>
      <c r="EL61" s="10">
        <v>62.144485010000004</v>
      </c>
      <c r="EM61" s="10">
        <v>29</v>
      </c>
      <c r="EN61" s="10">
        <v>298.41349337000003</v>
      </c>
      <c r="EO61" s="10">
        <v>2</v>
      </c>
      <c r="EP61" s="10">
        <v>4.3517858</v>
      </c>
      <c r="EQ61" s="10">
        <v>390</v>
      </c>
      <c r="ER61" s="10">
        <v>2300.0281952200012</v>
      </c>
      <c r="ES61" s="10">
        <v>22</v>
      </c>
      <c r="ET61" s="10">
        <v>184.89620513999998</v>
      </c>
      <c r="EU61" s="10">
        <v>14</v>
      </c>
      <c r="EV61" s="10">
        <v>212.39281932</v>
      </c>
      <c r="EW61" s="10">
        <v>1</v>
      </c>
      <c r="EX61" s="10">
        <v>0.23562232</v>
      </c>
      <c r="EY61" s="10">
        <v>283</v>
      </c>
      <c r="EZ61" s="10">
        <v>1376.8520291</v>
      </c>
      <c r="FA61" s="10">
        <v>10</v>
      </c>
      <c r="FB61" s="10">
        <v>56.451679720000001</v>
      </c>
      <c r="FC61" s="10">
        <v>6</v>
      </c>
      <c r="FD61" s="10">
        <v>17.847427759999999</v>
      </c>
      <c r="FE61" s="10">
        <v>0</v>
      </c>
      <c r="FF61" s="10">
        <v>0</v>
      </c>
      <c r="FG61" s="10">
        <v>0</v>
      </c>
      <c r="FH61" s="10">
        <v>0</v>
      </c>
      <c r="FI61" s="10">
        <v>0</v>
      </c>
      <c r="FJ61" s="10">
        <v>0</v>
      </c>
      <c r="FK61" s="10">
        <v>15</v>
      </c>
      <c r="FL61" s="10">
        <v>106.08158379999999</v>
      </c>
      <c r="FM61" s="10">
        <v>1</v>
      </c>
      <c r="FN61" s="10">
        <v>0.83769817000000002</v>
      </c>
      <c r="FO61" s="10">
        <v>9</v>
      </c>
      <c r="FP61" s="10">
        <v>81.944831870000002</v>
      </c>
      <c r="FQ61" s="10">
        <v>0</v>
      </c>
      <c r="FR61" s="10">
        <v>0</v>
      </c>
      <c r="FS61" s="10">
        <v>0</v>
      </c>
      <c r="FT61" s="10">
        <v>0</v>
      </c>
      <c r="FU61" s="10">
        <v>0</v>
      </c>
      <c r="FV61" s="10">
        <v>0</v>
      </c>
      <c r="FW61" s="18">
        <f t="shared" si="14"/>
        <v>0</v>
      </c>
      <c r="FX61" s="18">
        <f t="shared" si="8"/>
        <v>0</v>
      </c>
      <c r="FY61" s="18">
        <f t="shared" si="9"/>
        <v>0</v>
      </c>
      <c r="FZ61" s="18">
        <f t="shared" si="10"/>
        <v>0</v>
      </c>
      <c r="GA61" s="18">
        <f t="shared" si="15"/>
        <v>0</v>
      </c>
      <c r="GB61" s="18">
        <f t="shared" si="11"/>
        <v>-5.333333774615312E-11</v>
      </c>
      <c r="GC61" s="18">
        <f t="shared" si="12"/>
        <v>0</v>
      </c>
      <c r="GD61" s="18">
        <f t="shared" si="13"/>
        <v>3.4405811533133601E-13</v>
      </c>
    </row>
    <row r="62" spans="1:186" s="11" customFormat="1" ht="27" customHeight="1" x14ac:dyDescent="0.25">
      <c r="A62" s="66" t="s">
        <v>30</v>
      </c>
      <c r="B62" s="1">
        <f t="shared" si="17"/>
        <v>55</v>
      </c>
      <c r="C62" s="20" t="s">
        <v>2096</v>
      </c>
      <c r="D62" s="20" t="s">
        <v>2103</v>
      </c>
      <c r="E62" s="65">
        <v>11799</v>
      </c>
      <c r="F62" s="19" t="s">
        <v>2035</v>
      </c>
      <c r="G62" s="9">
        <v>5610</v>
      </c>
      <c r="H62" s="9">
        <v>240254.47646807006</v>
      </c>
      <c r="I62" s="9">
        <v>398</v>
      </c>
      <c r="J62" s="9">
        <v>46897.047364449994</v>
      </c>
      <c r="K62" s="9">
        <v>54</v>
      </c>
      <c r="L62" s="9">
        <v>105840.91998697999</v>
      </c>
      <c r="M62" s="9">
        <v>6</v>
      </c>
      <c r="N62" s="9">
        <v>41508.692788159999</v>
      </c>
      <c r="O62" s="9">
        <v>30</v>
      </c>
      <c r="P62" s="9">
        <v>3314.09658175</v>
      </c>
      <c r="Q62" s="9">
        <v>1</v>
      </c>
      <c r="R62" s="9">
        <v>6.5989954400000004</v>
      </c>
      <c r="S62" s="9">
        <v>5526</v>
      </c>
      <c r="T62" s="9">
        <v>131099.45989934012</v>
      </c>
      <c r="U62" s="9">
        <v>391</v>
      </c>
      <c r="V62" s="9">
        <v>5381.7555808500001</v>
      </c>
      <c r="W62" s="10">
        <v>0</v>
      </c>
      <c r="X62" s="10">
        <v>0</v>
      </c>
      <c r="Y62" s="10">
        <v>0</v>
      </c>
      <c r="Z62" s="10">
        <v>0</v>
      </c>
      <c r="AA62" s="10">
        <v>2</v>
      </c>
      <c r="AB62" s="10">
        <v>100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5</v>
      </c>
      <c r="AJ62" s="10">
        <v>38512.144181709999</v>
      </c>
      <c r="AK62" s="10">
        <v>2</v>
      </c>
      <c r="AL62" s="10">
        <v>22481.729697589999</v>
      </c>
      <c r="AM62" s="10">
        <v>1</v>
      </c>
      <c r="AN62" s="10">
        <v>173.995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1</v>
      </c>
      <c r="AZ62" s="10">
        <v>14010.807203849999</v>
      </c>
      <c r="BA62" s="10">
        <v>1</v>
      </c>
      <c r="BB62" s="10">
        <v>14010.807203849999</v>
      </c>
      <c r="BC62" s="10">
        <v>0</v>
      </c>
      <c r="BD62" s="10">
        <v>0</v>
      </c>
      <c r="BE62" s="10">
        <v>0</v>
      </c>
      <c r="BF62" s="10">
        <v>0</v>
      </c>
      <c r="BG62" s="10">
        <v>3</v>
      </c>
      <c r="BH62" s="10">
        <v>4155.9367332600004</v>
      </c>
      <c r="BI62" s="10">
        <v>0</v>
      </c>
      <c r="BJ62" s="10">
        <v>0</v>
      </c>
      <c r="BK62" s="10">
        <v>3</v>
      </c>
      <c r="BL62" s="10">
        <v>138.59899544000001</v>
      </c>
      <c r="BM62" s="10">
        <v>1</v>
      </c>
      <c r="BN62" s="10">
        <v>6.5989954400000004</v>
      </c>
      <c r="BO62" s="10">
        <v>12</v>
      </c>
      <c r="BP62" s="10">
        <v>1939.45750406</v>
      </c>
      <c r="BQ62" s="10">
        <v>0</v>
      </c>
      <c r="BR62" s="10">
        <v>0</v>
      </c>
      <c r="BS62" s="10">
        <v>12</v>
      </c>
      <c r="BT62" s="10">
        <v>1065.05140572</v>
      </c>
      <c r="BU62" s="10">
        <v>1</v>
      </c>
      <c r="BV62" s="10">
        <v>50</v>
      </c>
      <c r="BW62" s="10">
        <v>1</v>
      </c>
      <c r="BX62" s="10">
        <v>99.04019461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2</v>
      </c>
      <c r="CF62" s="10">
        <v>200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10</v>
      </c>
      <c r="CN62" s="10">
        <v>5833.9797110399995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2</v>
      </c>
      <c r="CV62" s="10">
        <v>541</v>
      </c>
      <c r="CW62" s="10">
        <v>0</v>
      </c>
      <c r="CX62" s="10">
        <v>0</v>
      </c>
      <c r="CY62" s="10">
        <v>30</v>
      </c>
      <c r="CZ62" s="10">
        <v>42385.005639039999</v>
      </c>
      <c r="DA62" s="10">
        <v>2</v>
      </c>
      <c r="DB62" s="10">
        <v>4966.1558867200001</v>
      </c>
      <c r="DC62" s="10">
        <v>274</v>
      </c>
      <c r="DD62" s="10">
        <v>65811.474340739995</v>
      </c>
      <c r="DE62" s="10">
        <v>5</v>
      </c>
      <c r="DF62" s="10">
        <v>1252.2198279300001</v>
      </c>
      <c r="DG62" s="10">
        <v>1765</v>
      </c>
      <c r="DH62" s="10">
        <v>21437.028807879993</v>
      </c>
      <c r="DI62" s="10">
        <v>118</v>
      </c>
      <c r="DJ62" s="10">
        <v>704.71219916000007</v>
      </c>
      <c r="DK62" s="10">
        <v>21</v>
      </c>
      <c r="DL62" s="10">
        <v>1477.41549917</v>
      </c>
      <c r="DM62" s="10">
        <v>0</v>
      </c>
      <c r="DN62" s="10">
        <v>0</v>
      </c>
      <c r="DO62" s="10">
        <v>646</v>
      </c>
      <c r="DP62" s="10">
        <v>7898.9805023300005</v>
      </c>
      <c r="DQ62" s="10">
        <v>17</v>
      </c>
      <c r="DR62" s="10">
        <v>139.41733441000002</v>
      </c>
      <c r="DS62" s="10">
        <v>9</v>
      </c>
      <c r="DT62" s="10">
        <v>418.86941194999997</v>
      </c>
      <c r="DU62" s="10">
        <v>0</v>
      </c>
      <c r="DV62" s="10">
        <v>0</v>
      </c>
      <c r="DW62" s="10">
        <v>30</v>
      </c>
      <c r="DX62" s="10">
        <v>170.17232890000002</v>
      </c>
      <c r="DY62" s="10">
        <v>16</v>
      </c>
      <c r="DZ62" s="10">
        <v>76.527902120000007</v>
      </c>
      <c r="EA62" s="10">
        <v>1019</v>
      </c>
      <c r="EB62" s="10">
        <v>13096.521473110004</v>
      </c>
      <c r="EC62" s="10">
        <v>53</v>
      </c>
      <c r="ED62" s="10">
        <v>645.80602958999998</v>
      </c>
      <c r="EE62" s="10">
        <v>81</v>
      </c>
      <c r="EF62" s="10">
        <v>733.17776964999996</v>
      </c>
      <c r="EG62" s="10">
        <v>2</v>
      </c>
      <c r="EH62" s="10">
        <v>19.800021630000003</v>
      </c>
      <c r="EI62" s="10">
        <v>429</v>
      </c>
      <c r="EJ62" s="10">
        <v>3107.2048159599999</v>
      </c>
      <c r="EK62" s="10">
        <v>32</v>
      </c>
      <c r="EL62" s="10">
        <v>190.31110383999999</v>
      </c>
      <c r="EM62" s="10">
        <v>219</v>
      </c>
      <c r="EN62" s="10">
        <v>5632.8553044600003</v>
      </c>
      <c r="EO62" s="10">
        <v>1</v>
      </c>
      <c r="EP62" s="10">
        <v>33</v>
      </c>
      <c r="EQ62" s="10">
        <v>651</v>
      </c>
      <c r="ER62" s="10">
        <v>8229.6469930899984</v>
      </c>
      <c r="ES62" s="10">
        <v>112</v>
      </c>
      <c r="ET62" s="10">
        <v>1982.7788746599997</v>
      </c>
      <c r="EU62" s="10">
        <v>17</v>
      </c>
      <c r="EV62" s="10">
        <v>106.72457513999998</v>
      </c>
      <c r="EW62" s="10">
        <v>1</v>
      </c>
      <c r="EX62" s="10">
        <v>3.3813078700000001</v>
      </c>
      <c r="EY62" s="10">
        <v>271</v>
      </c>
      <c r="EZ62" s="10">
        <v>2132.0398834499997</v>
      </c>
      <c r="FA62" s="10">
        <v>26</v>
      </c>
      <c r="FB62" s="10">
        <v>241.57325176999998</v>
      </c>
      <c r="FC62" s="10">
        <v>25</v>
      </c>
      <c r="FD62" s="10">
        <v>170.48597215999999</v>
      </c>
      <c r="FE62" s="10">
        <v>2</v>
      </c>
      <c r="FF62" s="10">
        <v>9.5590980000000005</v>
      </c>
      <c r="FG62" s="10">
        <v>13</v>
      </c>
      <c r="FH62" s="10">
        <v>198.55499316000004</v>
      </c>
      <c r="FI62" s="10">
        <v>2</v>
      </c>
      <c r="FJ62" s="10">
        <v>33.145430220000001</v>
      </c>
      <c r="FK62" s="10">
        <v>45</v>
      </c>
      <c r="FL62" s="10">
        <v>344.21182542000003</v>
      </c>
      <c r="FM62" s="10">
        <v>3</v>
      </c>
      <c r="FN62" s="10">
        <v>22.535699649999998</v>
      </c>
      <c r="FO62" s="10">
        <v>11</v>
      </c>
      <c r="FP62" s="10">
        <v>134.09540276999999</v>
      </c>
      <c r="FQ62" s="10">
        <v>1</v>
      </c>
      <c r="FR62" s="10">
        <v>26.987500000000001</v>
      </c>
      <c r="FS62" s="10">
        <v>0</v>
      </c>
      <c r="FT62" s="10">
        <v>0</v>
      </c>
      <c r="FU62" s="10">
        <v>0</v>
      </c>
      <c r="FV62" s="10">
        <v>0</v>
      </c>
      <c r="FW62" s="18">
        <f t="shared" si="14"/>
        <v>0</v>
      </c>
      <c r="FX62" s="18">
        <f t="shared" si="8"/>
        <v>0</v>
      </c>
      <c r="FY62" s="18">
        <f t="shared" si="9"/>
        <v>0</v>
      </c>
      <c r="FZ62" s="18">
        <f t="shared" si="10"/>
        <v>0</v>
      </c>
      <c r="GA62" s="18">
        <f t="shared" si="15"/>
        <v>0</v>
      </c>
      <c r="GB62" s="18">
        <f t="shared" si="11"/>
        <v>6.6251004682271741E-11</v>
      </c>
      <c r="GC62" s="18">
        <f t="shared" si="12"/>
        <v>0</v>
      </c>
      <c r="GD62" s="18">
        <f t="shared" si="13"/>
        <v>-3.7054803669889225E-12</v>
      </c>
    </row>
    <row r="63" spans="1:186" s="11" customFormat="1" ht="27" customHeight="1" x14ac:dyDescent="0.25">
      <c r="A63" s="66" t="s">
        <v>30</v>
      </c>
      <c r="B63" s="1">
        <f t="shared" si="17"/>
        <v>56</v>
      </c>
      <c r="C63" s="20" t="s">
        <v>2096</v>
      </c>
      <c r="D63" s="20" t="s">
        <v>2109</v>
      </c>
      <c r="E63" s="65">
        <v>11800</v>
      </c>
      <c r="F63" s="19" t="s">
        <v>2073</v>
      </c>
      <c r="G63" s="9">
        <v>5025</v>
      </c>
      <c r="H63" s="9">
        <v>139731.70958534992</v>
      </c>
      <c r="I63" s="9">
        <v>373</v>
      </c>
      <c r="J63" s="9">
        <v>3107.1224530600002</v>
      </c>
      <c r="K63" s="9">
        <v>57</v>
      </c>
      <c r="L63" s="9">
        <v>29695.35663636</v>
      </c>
      <c r="M63" s="9">
        <v>3</v>
      </c>
      <c r="N63" s="9">
        <v>153.61526381000002</v>
      </c>
      <c r="O63" s="9">
        <v>85</v>
      </c>
      <c r="P63" s="9">
        <v>13132.919764380002</v>
      </c>
      <c r="Q63" s="9">
        <v>3</v>
      </c>
      <c r="R63" s="9">
        <v>93.513043740000015</v>
      </c>
      <c r="S63" s="9">
        <v>4883</v>
      </c>
      <c r="T63" s="9">
        <v>96903.433184609908</v>
      </c>
      <c r="U63" s="9">
        <v>367</v>
      </c>
      <c r="V63" s="9">
        <v>2859.9941455100002</v>
      </c>
      <c r="W63" s="10">
        <v>0</v>
      </c>
      <c r="X63" s="10">
        <v>0</v>
      </c>
      <c r="Y63" s="10">
        <v>0</v>
      </c>
      <c r="Z63" s="10">
        <v>0</v>
      </c>
      <c r="AA63" s="10">
        <v>1</v>
      </c>
      <c r="AB63" s="10">
        <v>18.923593449999998</v>
      </c>
      <c r="AC63" s="10">
        <v>1</v>
      </c>
      <c r="AD63" s="10">
        <v>18.923593449999998</v>
      </c>
      <c r="AE63" s="10">
        <v>0</v>
      </c>
      <c r="AF63" s="10">
        <v>0</v>
      </c>
      <c r="AG63" s="10">
        <v>0</v>
      </c>
      <c r="AH63" s="10">
        <v>0</v>
      </c>
      <c r="AI63" s="10">
        <v>21</v>
      </c>
      <c r="AJ63" s="10">
        <v>18150.43732814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1</v>
      </c>
      <c r="AV63" s="10">
        <v>821.25869999999998</v>
      </c>
      <c r="AW63" s="10">
        <v>0</v>
      </c>
      <c r="AX63" s="10">
        <v>0</v>
      </c>
      <c r="AY63" s="10">
        <v>9</v>
      </c>
      <c r="AZ63" s="10">
        <v>669.5586629500001</v>
      </c>
      <c r="BA63" s="10">
        <v>0</v>
      </c>
      <c r="BB63" s="10">
        <v>0</v>
      </c>
      <c r="BC63" s="10">
        <v>4</v>
      </c>
      <c r="BD63" s="10">
        <v>895.66118701999994</v>
      </c>
      <c r="BE63" s="10">
        <v>0</v>
      </c>
      <c r="BF63" s="10">
        <v>0</v>
      </c>
      <c r="BG63" s="10">
        <v>3</v>
      </c>
      <c r="BH63" s="10">
        <v>134.506956</v>
      </c>
      <c r="BI63" s="10">
        <v>0</v>
      </c>
      <c r="BJ63" s="10">
        <v>0</v>
      </c>
      <c r="BK63" s="10">
        <v>6</v>
      </c>
      <c r="BL63" s="10">
        <v>364.35551759000003</v>
      </c>
      <c r="BM63" s="10">
        <v>2</v>
      </c>
      <c r="BN63" s="10">
        <v>134.69167036000002</v>
      </c>
      <c r="BO63" s="10">
        <v>12</v>
      </c>
      <c r="BP63" s="10">
        <v>3517.05557821</v>
      </c>
      <c r="BQ63" s="10">
        <v>1</v>
      </c>
      <c r="BR63" s="10">
        <v>3.5543896500000001</v>
      </c>
      <c r="BS63" s="10">
        <v>25</v>
      </c>
      <c r="BT63" s="10">
        <v>1674.62894652</v>
      </c>
      <c r="BU63" s="10">
        <v>1</v>
      </c>
      <c r="BV63" s="10">
        <v>41.539999000000002</v>
      </c>
      <c r="BW63" s="10">
        <v>0</v>
      </c>
      <c r="BX63" s="10">
        <v>0</v>
      </c>
      <c r="BY63" s="10">
        <v>0</v>
      </c>
      <c r="BZ63" s="10">
        <v>0</v>
      </c>
      <c r="CA63" s="10">
        <v>2</v>
      </c>
      <c r="CB63" s="10">
        <v>146.38985324000001</v>
      </c>
      <c r="CC63" s="10">
        <v>0</v>
      </c>
      <c r="CD63" s="10">
        <v>0</v>
      </c>
      <c r="CE63" s="10">
        <v>2</v>
      </c>
      <c r="CF63" s="10">
        <v>139.44703348000002</v>
      </c>
      <c r="CG63" s="10">
        <v>1</v>
      </c>
      <c r="CH63" s="10">
        <v>48.418655090000001</v>
      </c>
      <c r="CI63" s="10">
        <v>0</v>
      </c>
      <c r="CJ63" s="10">
        <v>0</v>
      </c>
      <c r="CK63" s="10">
        <v>0</v>
      </c>
      <c r="CL63" s="10">
        <v>0</v>
      </c>
      <c r="CM63" s="10">
        <v>11</v>
      </c>
      <c r="CN63" s="10">
        <v>3654.3951013000001</v>
      </c>
      <c r="CO63" s="10">
        <v>0</v>
      </c>
      <c r="CP63" s="10">
        <v>0</v>
      </c>
      <c r="CQ63" s="10">
        <v>2</v>
      </c>
      <c r="CR63" s="10">
        <v>318.086251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43</v>
      </c>
      <c r="CZ63" s="10">
        <v>12323.571691839999</v>
      </c>
      <c r="DA63" s="10">
        <v>0</v>
      </c>
      <c r="DB63" s="10">
        <v>0</v>
      </c>
      <c r="DC63" s="10">
        <v>128</v>
      </c>
      <c r="DD63" s="10">
        <v>23042.081324190007</v>
      </c>
      <c r="DE63" s="10">
        <v>2</v>
      </c>
      <c r="DF63" s="10">
        <v>394.46139398000003</v>
      </c>
      <c r="DG63" s="10">
        <v>1192</v>
      </c>
      <c r="DH63" s="10">
        <v>16291.987077889988</v>
      </c>
      <c r="DI63" s="10">
        <v>165</v>
      </c>
      <c r="DJ63" s="10">
        <v>793.13319128000001</v>
      </c>
      <c r="DK63" s="10">
        <v>4</v>
      </c>
      <c r="DL63" s="10">
        <v>269.23386277999998</v>
      </c>
      <c r="DM63" s="10">
        <v>0</v>
      </c>
      <c r="DN63" s="10">
        <v>0</v>
      </c>
      <c r="DO63" s="10">
        <v>788</v>
      </c>
      <c r="DP63" s="10">
        <v>9970.5157337500023</v>
      </c>
      <c r="DQ63" s="10">
        <v>2</v>
      </c>
      <c r="DR63" s="10">
        <v>26.85</v>
      </c>
      <c r="DS63" s="10">
        <v>73</v>
      </c>
      <c r="DT63" s="10">
        <v>5759.4315235000004</v>
      </c>
      <c r="DU63" s="10">
        <v>0</v>
      </c>
      <c r="DV63" s="10">
        <v>0</v>
      </c>
      <c r="DW63" s="10">
        <v>54</v>
      </c>
      <c r="DX63" s="10">
        <v>258.28826693999991</v>
      </c>
      <c r="DY63" s="10">
        <v>47</v>
      </c>
      <c r="DZ63" s="10">
        <v>206.0184769</v>
      </c>
      <c r="EA63" s="10">
        <v>724</v>
      </c>
      <c r="EB63" s="10">
        <v>12968.149306100006</v>
      </c>
      <c r="EC63" s="10">
        <v>36</v>
      </c>
      <c r="ED63" s="10">
        <v>234.14474974999996</v>
      </c>
      <c r="EE63" s="10">
        <v>107</v>
      </c>
      <c r="EF63" s="10">
        <v>1168.9720302799999</v>
      </c>
      <c r="EG63" s="10">
        <v>3</v>
      </c>
      <c r="EH63" s="10">
        <v>29.21934122</v>
      </c>
      <c r="EI63" s="10">
        <v>422</v>
      </c>
      <c r="EJ63" s="10">
        <v>5348.3429381299993</v>
      </c>
      <c r="EK63" s="10">
        <v>15</v>
      </c>
      <c r="EL63" s="10">
        <v>102.3051488</v>
      </c>
      <c r="EM63" s="10">
        <v>591</v>
      </c>
      <c r="EN63" s="10">
        <v>14211.39073356</v>
      </c>
      <c r="EO63" s="10">
        <v>19</v>
      </c>
      <c r="EP63" s="10">
        <v>287.08491981999998</v>
      </c>
      <c r="EQ63" s="10">
        <v>383</v>
      </c>
      <c r="ER63" s="10">
        <v>4011.899746680001</v>
      </c>
      <c r="ES63" s="10">
        <v>41</v>
      </c>
      <c r="ET63" s="10">
        <v>611.89924942999994</v>
      </c>
      <c r="EU63" s="10">
        <v>22</v>
      </c>
      <c r="EV63" s="10">
        <v>187.81949713999998</v>
      </c>
      <c r="EW63" s="10">
        <v>3</v>
      </c>
      <c r="EX63" s="10">
        <v>14.74861632</v>
      </c>
      <c r="EY63" s="10">
        <v>316</v>
      </c>
      <c r="EZ63" s="10">
        <v>2613.9020998900005</v>
      </c>
      <c r="FA63" s="10">
        <v>25</v>
      </c>
      <c r="FB63" s="10">
        <v>113.46543719000002</v>
      </c>
      <c r="FC63" s="10">
        <v>4</v>
      </c>
      <c r="FD63" s="10">
        <v>13.480743840000001</v>
      </c>
      <c r="FE63" s="10">
        <v>1</v>
      </c>
      <c r="FF63" s="10">
        <v>4.0564968300000004</v>
      </c>
      <c r="FG63" s="10">
        <v>11</v>
      </c>
      <c r="FH63" s="10">
        <v>141.4955965</v>
      </c>
      <c r="FI63" s="10">
        <v>2</v>
      </c>
      <c r="FJ63" s="10">
        <v>17.5664263</v>
      </c>
      <c r="FK63" s="10">
        <v>39</v>
      </c>
      <c r="FL63" s="10">
        <v>333.30493898000003</v>
      </c>
      <c r="FM63" s="10">
        <v>4</v>
      </c>
      <c r="FN63" s="10">
        <v>17.80688494</v>
      </c>
      <c r="FO63" s="10">
        <v>25</v>
      </c>
      <c r="FP63" s="10">
        <v>313.13776445999997</v>
      </c>
      <c r="FQ63" s="10">
        <v>2</v>
      </c>
      <c r="FR63" s="10">
        <v>7.2338127500000002</v>
      </c>
      <c r="FS63" s="10">
        <v>0</v>
      </c>
      <c r="FT63" s="10">
        <v>0</v>
      </c>
      <c r="FU63" s="10">
        <v>0</v>
      </c>
      <c r="FV63" s="10">
        <v>0</v>
      </c>
      <c r="FW63" s="18">
        <f t="shared" si="14"/>
        <v>0</v>
      </c>
      <c r="FX63" s="18">
        <f t="shared" si="8"/>
        <v>0</v>
      </c>
      <c r="FY63" s="18">
        <f t="shared" si="9"/>
        <v>0</v>
      </c>
      <c r="FZ63" s="18">
        <f t="shared" si="10"/>
        <v>0</v>
      </c>
      <c r="GA63" s="18">
        <f t="shared" si="15"/>
        <v>0</v>
      </c>
      <c r="GB63" s="18">
        <f t="shared" si="11"/>
        <v>-7.2020611696643755E-11</v>
      </c>
      <c r="GC63" s="18">
        <f t="shared" si="12"/>
        <v>0</v>
      </c>
      <c r="GD63" s="18">
        <f t="shared" si="13"/>
        <v>-2.3092638912203256E-14</v>
      </c>
    </row>
    <row r="64" spans="1:186" s="11" customFormat="1" ht="27" customHeight="1" x14ac:dyDescent="0.25">
      <c r="A64" s="66" t="s">
        <v>30</v>
      </c>
      <c r="B64" s="1">
        <f t="shared" si="17"/>
        <v>57</v>
      </c>
      <c r="C64" s="20" t="s">
        <v>2096</v>
      </c>
      <c r="D64" s="20" t="s">
        <v>2111</v>
      </c>
      <c r="E64" s="65">
        <v>11801</v>
      </c>
      <c r="F64" s="19" t="s">
        <v>2064</v>
      </c>
      <c r="G64" s="9">
        <v>7217</v>
      </c>
      <c r="H64" s="9">
        <v>141285.01251536998</v>
      </c>
      <c r="I64" s="9">
        <v>576</v>
      </c>
      <c r="J64" s="9">
        <v>7825.7191238600008</v>
      </c>
      <c r="K64" s="9">
        <v>79</v>
      </c>
      <c r="L64" s="9">
        <v>15184.369367839998</v>
      </c>
      <c r="M64" s="9">
        <v>3</v>
      </c>
      <c r="N64" s="9">
        <v>213.50867879</v>
      </c>
      <c r="O64" s="9">
        <v>38</v>
      </c>
      <c r="P64" s="9">
        <v>5823.87820818</v>
      </c>
      <c r="Q64" s="9">
        <v>0</v>
      </c>
      <c r="R64" s="9">
        <v>0</v>
      </c>
      <c r="S64" s="9">
        <v>7100</v>
      </c>
      <c r="T64" s="9">
        <v>120276.76493935</v>
      </c>
      <c r="U64" s="9">
        <v>573</v>
      </c>
      <c r="V64" s="9">
        <v>7612.2104450699999</v>
      </c>
      <c r="W64" s="10">
        <v>16</v>
      </c>
      <c r="X64" s="10">
        <v>3183.6747129599999</v>
      </c>
      <c r="Y64" s="10">
        <v>0</v>
      </c>
      <c r="Z64" s="10">
        <v>0</v>
      </c>
      <c r="AA64" s="10">
        <v>4</v>
      </c>
      <c r="AB64" s="10">
        <v>255.02099777999999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13</v>
      </c>
      <c r="AJ64" s="10">
        <v>3600.6087871700001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1</v>
      </c>
      <c r="AV64" s="10">
        <v>7.7157739999999997</v>
      </c>
      <c r="AW64" s="10">
        <v>0</v>
      </c>
      <c r="AX64" s="10">
        <v>0</v>
      </c>
      <c r="AY64" s="10">
        <v>4</v>
      </c>
      <c r="AZ64" s="10">
        <v>400</v>
      </c>
      <c r="BA64" s="10">
        <v>0</v>
      </c>
      <c r="BB64" s="10">
        <v>0</v>
      </c>
      <c r="BC64" s="10">
        <v>2</v>
      </c>
      <c r="BD64" s="10">
        <v>67.305345000000003</v>
      </c>
      <c r="BE64" s="10">
        <v>0</v>
      </c>
      <c r="BF64" s="10">
        <v>0</v>
      </c>
      <c r="BG64" s="10">
        <v>2</v>
      </c>
      <c r="BH64" s="10">
        <v>142</v>
      </c>
      <c r="BI64" s="10">
        <v>0</v>
      </c>
      <c r="BJ64" s="10">
        <v>0</v>
      </c>
      <c r="BK64" s="10">
        <v>6</v>
      </c>
      <c r="BL64" s="10">
        <v>978.57674004</v>
      </c>
      <c r="BM64" s="10">
        <v>0</v>
      </c>
      <c r="BN64" s="10">
        <v>0</v>
      </c>
      <c r="BO64" s="10">
        <v>7</v>
      </c>
      <c r="BP64" s="10">
        <v>1039.8881212000001</v>
      </c>
      <c r="BQ64" s="10">
        <v>0</v>
      </c>
      <c r="BR64" s="10">
        <v>0</v>
      </c>
      <c r="BS64" s="10">
        <v>6</v>
      </c>
      <c r="BT64" s="10">
        <v>1488.5755803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5</v>
      </c>
      <c r="CB64" s="10">
        <v>500</v>
      </c>
      <c r="CC64" s="10">
        <v>1</v>
      </c>
      <c r="CD64" s="10">
        <v>100</v>
      </c>
      <c r="CE64" s="10">
        <v>9</v>
      </c>
      <c r="CF64" s="10">
        <v>2552.2765432399997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7</v>
      </c>
      <c r="CN64" s="10">
        <v>1186.2327959200002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35</v>
      </c>
      <c r="CZ64" s="10">
        <v>5606.3721784099998</v>
      </c>
      <c r="DA64" s="10">
        <v>2</v>
      </c>
      <c r="DB64" s="10">
        <v>113.50867878999999</v>
      </c>
      <c r="DC64" s="10">
        <v>76</v>
      </c>
      <c r="DD64" s="10">
        <v>15398.308596449997</v>
      </c>
      <c r="DE64" s="10">
        <v>2</v>
      </c>
      <c r="DF64" s="10">
        <v>482.20601112999998</v>
      </c>
      <c r="DG64" s="10">
        <v>1846</v>
      </c>
      <c r="DH64" s="10">
        <v>16381.564841649988</v>
      </c>
      <c r="DI64" s="10">
        <v>230</v>
      </c>
      <c r="DJ64" s="10">
        <v>1514.4153066700001</v>
      </c>
      <c r="DK64" s="10">
        <v>3</v>
      </c>
      <c r="DL64" s="10">
        <v>225.08668776999997</v>
      </c>
      <c r="DM64" s="10">
        <v>0</v>
      </c>
      <c r="DN64" s="10">
        <v>0</v>
      </c>
      <c r="DO64" s="10">
        <v>1191</v>
      </c>
      <c r="DP64" s="10">
        <v>12810.511714870001</v>
      </c>
      <c r="DQ64" s="10">
        <v>40</v>
      </c>
      <c r="DR64" s="10">
        <v>365.97862908999997</v>
      </c>
      <c r="DS64" s="10">
        <v>47</v>
      </c>
      <c r="DT64" s="10">
        <v>3123.3991881699999</v>
      </c>
      <c r="DU64" s="10">
        <v>0</v>
      </c>
      <c r="DV64" s="10">
        <v>0</v>
      </c>
      <c r="DW64" s="10">
        <v>53</v>
      </c>
      <c r="DX64" s="10">
        <v>377.87586903000005</v>
      </c>
      <c r="DY64" s="10">
        <v>19</v>
      </c>
      <c r="DZ64" s="10">
        <v>137.19641942000001</v>
      </c>
      <c r="EA64" s="10">
        <v>561</v>
      </c>
      <c r="EB64" s="10">
        <v>7446.1409875000018</v>
      </c>
      <c r="EC64" s="10">
        <v>34</v>
      </c>
      <c r="ED64" s="10">
        <v>211.85437913000001</v>
      </c>
      <c r="EE64" s="10">
        <v>156</v>
      </c>
      <c r="EF64" s="10">
        <v>3334.1012362500001</v>
      </c>
      <c r="EG64" s="10">
        <v>3</v>
      </c>
      <c r="EH64" s="10">
        <v>37.946129570000004</v>
      </c>
      <c r="EI64" s="10">
        <v>1959</v>
      </c>
      <c r="EJ64" s="10">
        <v>42099.326743819991</v>
      </c>
      <c r="EK64" s="10">
        <v>78</v>
      </c>
      <c r="EL64" s="10">
        <v>1860.1645854400001</v>
      </c>
      <c r="EM64" s="10">
        <v>171</v>
      </c>
      <c r="EN64" s="10">
        <v>3974.0959251600002</v>
      </c>
      <c r="EO64" s="10">
        <v>2</v>
      </c>
      <c r="EP64" s="10">
        <v>21.146272309999997</v>
      </c>
      <c r="EQ64" s="10">
        <v>657</v>
      </c>
      <c r="ER64" s="10">
        <v>9765.80304875</v>
      </c>
      <c r="ES64" s="10">
        <v>116</v>
      </c>
      <c r="ET64" s="10">
        <v>2202.9618556099995</v>
      </c>
      <c r="EU64" s="10">
        <v>8</v>
      </c>
      <c r="EV64" s="10">
        <v>99.808613890000004</v>
      </c>
      <c r="EW64" s="10">
        <v>4</v>
      </c>
      <c r="EX64" s="10">
        <v>48.387367759999997</v>
      </c>
      <c r="EY64" s="10">
        <v>170</v>
      </c>
      <c r="EZ64" s="10">
        <v>2015.5983703800005</v>
      </c>
      <c r="FA64" s="10">
        <v>30</v>
      </c>
      <c r="FB64" s="10">
        <v>372.70644657999998</v>
      </c>
      <c r="FC64" s="10">
        <v>3</v>
      </c>
      <c r="FD64" s="10">
        <v>54.591027220000001</v>
      </c>
      <c r="FE64" s="10">
        <v>0</v>
      </c>
      <c r="FF64" s="10">
        <v>0</v>
      </c>
      <c r="FG64" s="10">
        <v>100</v>
      </c>
      <c r="FH64" s="10">
        <v>1931.75466772</v>
      </c>
      <c r="FI64" s="10">
        <v>12</v>
      </c>
      <c r="FJ64" s="10">
        <v>333.08014980000002</v>
      </c>
      <c r="FK64" s="10">
        <v>95</v>
      </c>
      <c r="FL64" s="10">
        <v>1188.7490183299999</v>
      </c>
      <c r="FM64" s="10">
        <v>3</v>
      </c>
      <c r="FN64" s="10">
        <v>24.166892560000001</v>
      </c>
      <c r="FO64" s="10">
        <v>4</v>
      </c>
      <c r="FP64" s="10">
        <v>50.04840239</v>
      </c>
      <c r="FQ64" s="10">
        <v>0</v>
      </c>
      <c r="FR64" s="10">
        <v>0</v>
      </c>
      <c r="FS64" s="10">
        <v>0</v>
      </c>
      <c r="FT64" s="10">
        <v>0</v>
      </c>
      <c r="FU64" s="10">
        <v>0</v>
      </c>
      <c r="FV64" s="10">
        <v>0</v>
      </c>
      <c r="FW64" s="18">
        <f t="shared" si="14"/>
        <v>0</v>
      </c>
      <c r="FX64" s="18">
        <f t="shared" si="8"/>
        <v>0</v>
      </c>
      <c r="FY64" s="18">
        <f t="shared" si="9"/>
        <v>0</v>
      </c>
      <c r="FZ64" s="18">
        <f t="shared" si="10"/>
        <v>0</v>
      </c>
      <c r="GA64" s="18">
        <f t="shared" si="15"/>
        <v>0</v>
      </c>
      <c r="GB64" s="18">
        <f t="shared" si="11"/>
        <v>-4.5154990857554367E-11</v>
      </c>
      <c r="GC64" s="18">
        <f t="shared" si="12"/>
        <v>0</v>
      </c>
      <c r="GD64" s="18">
        <f t="shared" si="13"/>
        <v>1.0871303857129533E-12</v>
      </c>
    </row>
    <row r="65" spans="1:186" s="11" customFormat="1" ht="27" customHeight="1" x14ac:dyDescent="0.25">
      <c r="A65" s="66" t="s">
        <v>34</v>
      </c>
      <c r="B65" s="1">
        <f t="shared" si="17"/>
        <v>58</v>
      </c>
      <c r="C65" s="20" t="s">
        <v>2135</v>
      </c>
      <c r="D65" s="20" t="s">
        <v>2138</v>
      </c>
      <c r="E65" s="65">
        <v>12090</v>
      </c>
      <c r="F65" s="19" t="s">
        <v>2043</v>
      </c>
      <c r="G65" s="9">
        <v>957</v>
      </c>
      <c r="H65" s="9">
        <v>81744.296334739978</v>
      </c>
      <c r="I65" s="9">
        <v>4</v>
      </c>
      <c r="J65" s="9">
        <v>452.86863115000006</v>
      </c>
      <c r="K65" s="9">
        <v>19</v>
      </c>
      <c r="L65" s="9">
        <v>14195.986170389999</v>
      </c>
      <c r="M65" s="9">
        <v>1</v>
      </c>
      <c r="N65" s="9">
        <v>383.00239523000005</v>
      </c>
      <c r="O65" s="9">
        <v>170</v>
      </c>
      <c r="P65" s="9">
        <v>41061.039637999987</v>
      </c>
      <c r="Q65" s="9">
        <v>0</v>
      </c>
      <c r="R65" s="9">
        <v>0</v>
      </c>
      <c r="S65" s="9">
        <v>768</v>
      </c>
      <c r="T65" s="9">
        <v>26487.27052635001</v>
      </c>
      <c r="U65" s="9">
        <v>3</v>
      </c>
      <c r="V65" s="9">
        <v>69.866235920000008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1</v>
      </c>
      <c r="BD65" s="10">
        <v>3500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102</v>
      </c>
      <c r="BP65" s="10">
        <v>28034.861591050005</v>
      </c>
      <c r="BQ65" s="10">
        <v>0</v>
      </c>
      <c r="BR65" s="10">
        <v>0</v>
      </c>
      <c r="BS65" s="10">
        <v>3</v>
      </c>
      <c r="BT65" s="10">
        <v>757.12620917000004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83</v>
      </c>
      <c r="CZ65" s="10">
        <v>22965.038008169999</v>
      </c>
      <c r="DA65" s="10">
        <v>1</v>
      </c>
      <c r="DB65" s="10">
        <v>383.00239523000005</v>
      </c>
      <c r="DC65" s="10">
        <v>3</v>
      </c>
      <c r="DD65" s="10">
        <v>821.25736629999994</v>
      </c>
      <c r="DE65" s="10">
        <v>0</v>
      </c>
      <c r="DF65" s="10">
        <v>0</v>
      </c>
      <c r="DG65" s="10">
        <v>632</v>
      </c>
      <c r="DH65" s="10">
        <v>9220.6570136699956</v>
      </c>
      <c r="DI65" s="10">
        <v>3</v>
      </c>
      <c r="DJ65" s="10">
        <v>69.866235920000008</v>
      </c>
      <c r="DK65" s="10">
        <v>38</v>
      </c>
      <c r="DL65" s="10">
        <v>2501.8288021899998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95</v>
      </c>
      <c r="DT65" s="10">
        <v>13943.527344189997</v>
      </c>
      <c r="DU65" s="10">
        <v>0</v>
      </c>
      <c r="DV65" s="10">
        <v>0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0">
        <v>0</v>
      </c>
      <c r="ED65" s="10">
        <v>0</v>
      </c>
      <c r="EE65" s="10">
        <v>0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v>0</v>
      </c>
      <c r="EP65" s="10">
        <v>0</v>
      </c>
      <c r="EQ65" s="10">
        <v>0</v>
      </c>
      <c r="ER65" s="10">
        <v>0</v>
      </c>
      <c r="ES65" s="10">
        <v>0</v>
      </c>
      <c r="ET65" s="10">
        <v>0</v>
      </c>
      <c r="EU65" s="10">
        <v>0</v>
      </c>
      <c r="EV65" s="10">
        <v>0</v>
      </c>
      <c r="EW65" s="10">
        <v>0</v>
      </c>
      <c r="EX65" s="10">
        <v>0</v>
      </c>
      <c r="EY65" s="10">
        <v>0</v>
      </c>
      <c r="EZ65" s="10">
        <v>0</v>
      </c>
      <c r="FA65" s="10">
        <v>0</v>
      </c>
      <c r="FB65" s="10">
        <v>0</v>
      </c>
      <c r="FC65" s="10">
        <v>0</v>
      </c>
      <c r="FD65" s="10">
        <v>0</v>
      </c>
      <c r="FE65" s="10">
        <v>0</v>
      </c>
      <c r="FF65" s="10">
        <v>0</v>
      </c>
      <c r="FG65" s="10">
        <v>0</v>
      </c>
      <c r="FH65" s="10">
        <v>0</v>
      </c>
      <c r="FI65" s="10">
        <v>0</v>
      </c>
      <c r="FJ65" s="10">
        <v>0</v>
      </c>
      <c r="FK65" s="10">
        <v>0</v>
      </c>
      <c r="FL65" s="10">
        <v>0</v>
      </c>
      <c r="FM65" s="10">
        <v>0</v>
      </c>
      <c r="FN65" s="10">
        <v>0</v>
      </c>
      <c r="FO65" s="10">
        <v>0</v>
      </c>
      <c r="FP65" s="10">
        <v>0</v>
      </c>
      <c r="FQ65" s="10">
        <v>0</v>
      </c>
      <c r="FR65" s="10">
        <v>0</v>
      </c>
      <c r="FS65" s="10">
        <v>0</v>
      </c>
      <c r="FT65" s="10">
        <v>0</v>
      </c>
      <c r="FU65" s="10">
        <v>0</v>
      </c>
      <c r="FV65" s="10">
        <v>0</v>
      </c>
      <c r="FW65" s="18">
        <f t="shared" si="14"/>
        <v>0</v>
      </c>
      <c r="FX65" s="18">
        <f t="shared" si="8"/>
        <v>0</v>
      </c>
      <c r="FY65" s="18">
        <f t="shared" si="9"/>
        <v>0</v>
      </c>
      <c r="FZ65" s="18">
        <f t="shared" si="10"/>
        <v>0</v>
      </c>
      <c r="GA65" s="18">
        <f t="shared" si="15"/>
        <v>0</v>
      </c>
      <c r="GB65" s="18">
        <f t="shared" si="11"/>
        <v>-2.0008883439004421E-11</v>
      </c>
      <c r="GC65" s="18">
        <f t="shared" si="12"/>
        <v>0</v>
      </c>
      <c r="GD65" s="18">
        <f t="shared" si="13"/>
        <v>0</v>
      </c>
    </row>
    <row r="66" spans="1:186" s="11" customFormat="1" ht="27" customHeight="1" x14ac:dyDescent="0.25">
      <c r="A66" s="66" t="s">
        <v>34</v>
      </c>
      <c r="B66" s="1">
        <f t="shared" si="17"/>
        <v>59</v>
      </c>
      <c r="C66" s="20" t="s">
        <v>2135</v>
      </c>
      <c r="D66" s="20" t="s">
        <v>2137</v>
      </c>
      <c r="E66" s="65">
        <v>12091</v>
      </c>
      <c r="F66" s="19" t="s">
        <v>2107</v>
      </c>
      <c r="G66" s="9">
        <v>337</v>
      </c>
      <c r="H66" s="9">
        <v>59225.595946550005</v>
      </c>
      <c r="I66" s="9">
        <v>3</v>
      </c>
      <c r="J66" s="9">
        <v>527.55602511999996</v>
      </c>
      <c r="K66" s="9">
        <v>18</v>
      </c>
      <c r="L66" s="9">
        <v>32448.801025230001</v>
      </c>
      <c r="M66" s="9">
        <v>1</v>
      </c>
      <c r="N66" s="9">
        <v>400</v>
      </c>
      <c r="O66" s="9">
        <v>41</v>
      </c>
      <c r="P66" s="9">
        <v>16638.40941117</v>
      </c>
      <c r="Q66" s="9">
        <v>0</v>
      </c>
      <c r="R66" s="9">
        <v>0</v>
      </c>
      <c r="S66" s="9">
        <v>278</v>
      </c>
      <c r="T66" s="9">
        <v>10138.385510149999</v>
      </c>
      <c r="U66" s="9">
        <v>2</v>
      </c>
      <c r="V66" s="9">
        <v>127.55602512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35</v>
      </c>
      <c r="BP66" s="10">
        <v>24985.67961015</v>
      </c>
      <c r="BQ66" s="10">
        <v>1</v>
      </c>
      <c r="BR66" s="10">
        <v>400</v>
      </c>
      <c r="BS66" s="10">
        <v>1</v>
      </c>
      <c r="BT66" s="10">
        <v>151.21919647999999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4</v>
      </c>
      <c r="CR66" s="10">
        <v>3076.3027537200001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19</v>
      </c>
      <c r="CZ66" s="10">
        <v>20874.00887605</v>
      </c>
      <c r="DA66" s="10">
        <v>0</v>
      </c>
      <c r="DB66" s="10">
        <v>0</v>
      </c>
      <c r="DC66" s="10">
        <v>14</v>
      </c>
      <c r="DD66" s="10">
        <v>1073.0063950899998</v>
      </c>
      <c r="DE66" s="10">
        <v>0</v>
      </c>
      <c r="DF66" s="10">
        <v>0</v>
      </c>
      <c r="DG66" s="10">
        <v>221</v>
      </c>
      <c r="DH66" s="10">
        <v>4018.07561356</v>
      </c>
      <c r="DI66" s="10">
        <v>1</v>
      </c>
      <c r="DJ66" s="10">
        <v>4.5887423200000006</v>
      </c>
      <c r="DK66" s="10">
        <v>22</v>
      </c>
      <c r="DL66" s="10">
        <v>2850.76096555</v>
      </c>
      <c r="DM66" s="10">
        <v>1</v>
      </c>
      <c r="DN66" s="10">
        <v>122.96728279999999</v>
      </c>
      <c r="DO66" s="10">
        <v>1</v>
      </c>
      <c r="DP66" s="10">
        <v>13.65625</v>
      </c>
      <c r="DQ66" s="10">
        <v>0</v>
      </c>
      <c r="DR66" s="10">
        <v>0</v>
      </c>
      <c r="DS66" s="10">
        <v>17</v>
      </c>
      <c r="DT66" s="10">
        <v>2132.2514136899999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10">
        <v>0</v>
      </c>
      <c r="EB66" s="10">
        <v>0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10">
        <v>0</v>
      </c>
      <c r="EI66" s="10">
        <v>0</v>
      </c>
      <c r="EJ66" s="10">
        <v>0</v>
      </c>
      <c r="EK66" s="10">
        <v>0</v>
      </c>
      <c r="EL66" s="10">
        <v>0</v>
      </c>
      <c r="EM66" s="10">
        <v>0</v>
      </c>
      <c r="EN66" s="10">
        <v>0</v>
      </c>
      <c r="EO66" s="10">
        <v>0</v>
      </c>
      <c r="EP66" s="10">
        <v>0</v>
      </c>
      <c r="EQ66" s="10">
        <v>0</v>
      </c>
      <c r="ER66" s="10">
        <v>0</v>
      </c>
      <c r="ES66" s="10">
        <v>0</v>
      </c>
      <c r="ET66" s="10">
        <v>0</v>
      </c>
      <c r="EU66" s="10">
        <v>3</v>
      </c>
      <c r="EV66" s="10">
        <v>50.634872260000009</v>
      </c>
      <c r="EW66" s="10">
        <v>0</v>
      </c>
      <c r="EX66" s="10">
        <v>0</v>
      </c>
      <c r="EY66" s="10">
        <v>0</v>
      </c>
      <c r="EZ66" s="10">
        <v>0</v>
      </c>
      <c r="FA66" s="10">
        <v>0</v>
      </c>
      <c r="FB66" s="10">
        <v>0</v>
      </c>
      <c r="FC66" s="10">
        <v>0</v>
      </c>
      <c r="FD66" s="10">
        <v>0</v>
      </c>
      <c r="FE66" s="10">
        <v>0</v>
      </c>
      <c r="FF66" s="10">
        <v>0</v>
      </c>
      <c r="FG66" s="10">
        <v>0</v>
      </c>
      <c r="FH66" s="10">
        <v>0</v>
      </c>
      <c r="FI66" s="10">
        <v>0</v>
      </c>
      <c r="FJ66" s="10">
        <v>0</v>
      </c>
      <c r="FK66" s="10">
        <v>0</v>
      </c>
      <c r="FL66" s="10">
        <v>0</v>
      </c>
      <c r="FM66" s="10">
        <v>0</v>
      </c>
      <c r="FN66" s="10">
        <v>0</v>
      </c>
      <c r="FO66" s="10">
        <v>0</v>
      </c>
      <c r="FP66" s="10">
        <v>0</v>
      </c>
      <c r="FQ66" s="10">
        <v>0</v>
      </c>
      <c r="FR66" s="10">
        <v>0</v>
      </c>
      <c r="FS66" s="10">
        <v>0</v>
      </c>
      <c r="FT66" s="10">
        <v>0</v>
      </c>
      <c r="FU66" s="10">
        <v>0</v>
      </c>
      <c r="FV66" s="10">
        <v>0</v>
      </c>
      <c r="FW66" s="18">
        <f t="shared" si="14"/>
        <v>0</v>
      </c>
      <c r="FX66" s="18">
        <f t="shared" si="8"/>
        <v>0</v>
      </c>
      <c r="FY66" s="18">
        <f t="shared" si="9"/>
        <v>0</v>
      </c>
      <c r="FZ66" s="18">
        <f t="shared" si="10"/>
        <v>0</v>
      </c>
      <c r="GA66" s="18">
        <f t="shared" si="15"/>
        <v>0</v>
      </c>
      <c r="GB66" s="18">
        <f t="shared" si="11"/>
        <v>4.1495695768389851E-12</v>
      </c>
      <c r="GC66" s="18">
        <f t="shared" si="12"/>
        <v>0</v>
      </c>
      <c r="GD66" s="18">
        <f t="shared" si="13"/>
        <v>-2.8421709430404007E-14</v>
      </c>
    </row>
    <row r="67" spans="1:186" s="11" customFormat="1" ht="27" customHeight="1" x14ac:dyDescent="0.25">
      <c r="A67" s="66" t="s">
        <v>34</v>
      </c>
      <c r="B67" s="1">
        <f t="shared" si="17"/>
        <v>60</v>
      </c>
      <c r="C67" s="20" t="s">
        <v>2135</v>
      </c>
      <c r="D67" s="20" t="s">
        <v>2136</v>
      </c>
      <c r="E67" s="65">
        <v>12097</v>
      </c>
      <c r="F67" s="19" t="s">
        <v>2054</v>
      </c>
      <c r="G67" s="9">
        <v>448</v>
      </c>
      <c r="H67" s="9">
        <v>55725.910437890001</v>
      </c>
      <c r="I67" s="9">
        <v>17</v>
      </c>
      <c r="J67" s="9">
        <v>1339.46368538</v>
      </c>
      <c r="K67" s="9">
        <v>26</v>
      </c>
      <c r="L67" s="9">
        <v>28194.417520130002</v>
      </c>
      <c r="M67" s="9">
        <v>4</v>
      </c>
      <c r="N67" s="9">
        <v>693.49207090999994</v>
      </c>
      <c r="O67" s="9">
        <v>51</v>
      </c>
      <c r="P67" s="9">
        <v>12785.990543040003</v>
      </c>
      <c r="Q67" s="9">
        <v>1</v>
      </c>
      <c r="R67" s="9">
        <v>16.68570824</v>
      </c>
      <c r="S67" s="9">
        <v>371</v>
      </c>
      <c r="T67" s="9">
        <v>14745.502374719992</v>
      </c>
      <c r="U67" s="9">
        <v>12</v>
      </c>
      <c r="V67" s="9">
        <v>629.28590623000002</v>
      </c>
      <c r="W67" s="10">
        <v>7</v>
      </c>
      <c r="X67" s="10">
        <v>1360.1879419700001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1</v>
      </c>
      <c r="AJ67" s="10">
        <v>637.67944176999993</v>
      </c>
      <c r="AK67" s="10">
        <v>1</v>
      </c>
      <c r="AL67" s="10">
        <v>637.67944176999993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1</v>
      </c>
      <c r="AV67" s="10">
        <v>13.71263014</v>
      </c>
      <c r="AW67" s="10">
        <v>1</v>
      </c>
      <c r="AX67" s="10">
        <v>13.71263014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39</v>
      </c>
      <c r="BP67" s="10">
        <v>11452.17924657</v>
      </c>
      <c r="BQ67" s="10">
        <v>1</v>
      </c>
      <c r="BR67" s="10">
        <v>16.68570824</v>
      </c>
      <c r="BS67" s="10">
        <v>1</v>
      </c>
      <c r="BT67" s="10">
        <v>8.6</v>
      </c>
      <c r="BU67" s="10">
        <v>1</v>
      </c>
      <c r="BV67" s="10">
        <v>8.6</v>
      </c>
      <c r="BW67" s="10">
        <v>0</v>
      </c>
      <c r="BX67" s="10">
        <v>0</v>
      </c>
      <c r="BY67" s="10">
        <v>0</v>
      </c>
      <c r="BZ67" s="10">
        <v>0</v>
      </c>
      <c r="CA67" s="10">
        <v>1</v>
      </c>
      <c r="CB67" s="10">
        <v>33.499999000000003</v>
      </c>
      <c r="CC67" s="10">
        <v>1</v>
      </c>
      <c r="CD67" s="10">
        <v>33.499999000000003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5</v>
      </c>
      <c r="CR67" s="10">
        <v>1142.81158525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22</v>
      </c>
      <c r="CZ67" s="10">
        <v>26331.73721847</v>
      </c>
      <c r="DA67" s="10">
        <v>0</v>
      </c>
      <c r="DB67" s="10">
        <v>0</v>
      </c>
      <c r="DC67" s="10">
        <v>9</v>
      </c>
      <c r="DD67" s="10">
        <v>1284.7004330799998</v>
      </c>
      <c r="DE67" s="10">
        <v>0</v>
      </c>
      <c r="DF67" s="10">
        <v>0</v>
      </c>
      <c r="DG67" s="10">
        <v>282</v>
      </c>
      <c r="DH67" s="10">
        <v>5037.6359805899974</v>
      </c>
      <c r="DI67" s="10">
        <v>6</v>
      </c>
      <c r="DJ67" s="10">
        <v>40.950842310000006</v>
      </c>
      <c r="DK67" s="10">
        <v>9</v>
      </c>
      <c r="DL67" s="10">
        <v>319.79271756999998</v>
      </c>
      <c r="DM67" s="10">
        <v>1</v>
      </c>
      <c r="DN67" s="10">
        <v>13.255023130000001</v>
      </c>
      <c r="DO67" s="10">
        <v>24</v>
      </c>
      <c r="DP67" s="10">
        <v>87.899858030000004</v>
      </c>
      <c r="DQ67" s="10">
        <v>0</v>
      </c>
      <c r="DR67" s="10">
        <v>0</v>
      </c>
      <c r="DS67" s="10">
        <v>44</v>
      </c>
      <c r="DT67" s="10">
        <v>7966.2880751700004</v>
      </c>
      <c r="DU67" s="10">
        <v>2</v>
      </c>
      <c r="DV67" s="10">
        <v>525.89473051000004</v>
      </c>
      <c r="DW67" s="10">
        <v>0</v>
      </c>
      <c r="DX67" s="10">
        <v>0</v>
      </c>
      <c r="DY67" s="10">
        <v>0</v>
      </c>
      <c r="DZ67" s="10">
        <v>0</v>
      </c>
      <c r="EA67" s="10">
        <v>1</v>
      </c>
      <c r="EB67" s="10">
        <v>9.2981327100000009</v>
      </c>
      <c r="EC67" s="10">
        <v>1</v>
      </c>
      <c r="ED67" s="10">
        <v>9.2981327100000009</v>
      </c>
      <c r="EE67" s="10">
        <v>0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v>0</v>
      </c>
      <c r="EP67" s="10">
        <v>0</v>
      </c>
      <c r="EQ67" s="10">
        <v>0</v>
      </c>
      <c r="ER67" s="10">
        <v>0</v>
      </c>
      <c r="ES67" s="10">
        <v>0</v>
      </c>
      <c r="ET67" s="10">
        <v>0</v>
      </c>
      <c r="EU67" s="10">
        <v>1</v>
      </c>
      <c r="EV67" s="10">
        <v>22.959</v>
      </c>
      <c r="EW67" s="10">
        <v>1</v>
      </c>
      <c r="EX67" s="10">
        <v>22.959</v>
      </c>
      <c r="EY67" s="10">
        <v>0</v>
      </c>
      <c r="EZ67" s="10">
        <v>0</v>
      </c>
      <c r="FA67" s="10">
        <v>0</v>
      </c>
      <c r="FB67" s="10">
        <v>0</v>
      </c>
      <c r="FC67" s="10">
        <v>0</v>
      </c>
      <c r="FD67" s="10">
        <v>0</v>
      </c>
      <c r="FE67" s="10">
        <v>0</v>
      </c>
      <c r="FF67" s="10">
        <v>0</v>
      </c>
      <c r="FG67" s="10">
        <v>0</v>
      </c>
      <c r="FH67" s="10">
        <v>0</v>
      </c>
      <c r="FI67" s="10">
        <v>0</v>
      </c>
      <c r="FJ67" s="10">
        <v>0</v>
      </c>
      <c r="FK67" s="10">
        <v>1</v>
      </c>
      <c r="FL67" s="10">
        <v>16.928177569999999</v>
      </c>
      <c r="FM67" s="10">
        <v>1</v>
      </c>
      <c r="FN67" s="10">
        <v>16.928177569999999</v>
      </c>
      <c r="FO67" s="10">
        <v>0</v>
      </c>
      <c r="FP67" s="10">
        <v>0</v>
      </c>
      <c r="FQ67" s="10">
        <v>0</v>
      </c>
      <c r="FR67" s="10">
        <v>0</v>
      </c>
      <c r="FS67" s="10">
        <v>0</v>
      </c>
      <c r="FT67" s="10">
        <v>0</v>
      </c>
      <c r="FU67" s="10">
        <v>0</v>
      </c>
      <c r="FV67" s="10">
        <v>0</v>
      </c>
      <c r="FW67" s="18">
        <f t="shared" si="14"/>
        <v>0</v>
      </c>
      <c r="FX67" s="18">
        <f t="shared" si="8"/>
        <v>0</v>
      </c>
      <c r="FY67" s="18">
        <f t="shared" si="9"/>
        <v>0</v>
      </c>
      <c r="FZ67" s="18">
        <f t="shared" si="10"/>
        <v>0</v>
      </c>
      <c r="GA67" s="18">
        <f t="shared" si="15"/>
        <v>0</v>
      </c>
      <c r="GB67" s="18">
        <f t="shared" si="11"/>
        <v>1.3251622021925868E-11</v>
      </c>
      <c r="GC67" s="18">
        <f t="shared" si="12"/>
        <v>0</v>
      </c>
      <c r="GD67" s="18">
        <f t="shared" si="13"/>
        <v>-4.9737991503207013E-14</v>
      </c>
    </row>
    <row r="68" spans="1:186" s="11" customFormat="1" ht="27" customHeight="1" x14ac:dyDescent="0.25">
      <c r="A68" s="66" t="s">
        <v>42</v>
      </c>
      <c r="B68" s="1">
        <f t="shared" si="17"/>
        <v>61</v>
      </c>
      <c r="C68" s="20" t="s">
        <v>2118</v>
      </c>
      <c r="D68" s="20" t="s">
        <v>2122</v>
      </c>
      <c r="E68" s="65">
        <v>10818</v>
      </c>
      <c r="F68" s="19" t="s">
        <v>2035</v>
      </c>
      <c r="G68" s="9">
        <v>7613</v>
      </c>
      <c r="H68" s="9">
        <v>729748.76439393102</v>
      </c>
      <c r="I68" s="9">
        <v>1264</v>
      </c>
      <c r="J68" s="9">
        <v>68724.261299260019</v>
      </c>
      <c r="K68" s="9">
        <v>588</v>
      </c>
      <c r="L68" s="9">
        <v>227017.35236734996</v>
      </c>
      <c r="M68" s="9">
        <v>146</v>
      </c>
      <c r="N68" s="9">
        <v>18401.29218832</v>
      </c>
      <c r="O68" s="9">
        <v>537</v>
      </c>
      <c r="P68" s="9">
        <v>49529.049212999998</v>
      </c>
      <c r="Q68" s="9">
        <v>135</v>
      </c>
      <c r="R68" s="9">
        <v>11366.95018699</v>
      </c>
      <c r="S68" s="9">
        <v>6488</v>
      </c>
      <c r="T68" s="9">
        <v>453202.36281358125</v>
      </c>
      <c r="U68" s="9">
        <v>983</v>
      </c>
      <c r="V68" s="9">
        <v>38956.018923950018</v>
      </c>
      <c r="W68" s="10">
        <v>1</v>
      </c>
      <c r="X68" s="10">
        <v>2500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4</v>
      </c>
      <c r="AF68" s="10">
        <v>400</v>
      </c>
      <c r="AG68" s="10">
        <v>0</v>
      </c>
      <c r="AH68" s="10">
        <v>0</v>
      </c>
      <c r="AI68" s="10">
        <v>156</v>
      </c>
      <c r="AJ68" s="10">
        <v>22912.183440180001</v>
      </c>
      <c r="AK68" s="10">
        <v>22</v>
      </c>
      <c r="AL68" s="10">
        <v>1659.93938699</v>
      </c>
      <c r="AM68" s="10">
        <v>10</v>
      </c>
      <c r="AN68" s="10">
        <v>51550.813177490003</v>
      </c>
      <c r="AO68" s="10">
        <v>1</v>
      </c>
      <c r="AP68" s="10">
        <v>60</v>
      </c>
      <c r="AQ68" s="10">
        <v>4</v>
      </c>
      <c r="AR68" s="10">
        <v>3764.83629862</v>
      </c>
      <c r="AS68" s="10">
        <v>0</v>
      </c>
      <c r="AT68" s="10">
        <v>0</v>
      </c>
      <c r="AU68" s="10">
        <v>3</v>
      </c>
      <c r="AV68" s="10">
        <v>259.94698</v>
      </c>
      <c r="AW68" s="10">
        <v>0</v>
      </c>
      <c r="AX68" s="10">
        <v>0</v>
      </c>
      <c r="AY68" s="10">
        <v>3</v>
      </c>
      <c r="AZ68" s="10">
        <v>2099.82614423</v>
      </c>
      <c r="BA68" s="10">
        <v>0</v>
      </c>
      <c r="BB68" s="10">
        <v>0</v>
      </c>
      <c r="BC68" s="10">
        <v>13</v>
      </c>
      <c r="BD68" s="10">
        <v>1080.7832033499999</v>
      </c>
      <c r="BE68" s="10">
        <v>4</v>
      </c>
      <c r="BF68" s="10">
        <v>396.67130136999998</v>
      </c>
      <c r="BG68" s="10">
        <v>43</v>
      </c>
      <c r="BH68" s="10">
        <v>47925.085691800006</v>
      </c>
      <c r="BI68" s="10">
        <v>13</v>
      </c>
      <c r="BJ68" s="10">
        <v>1130</v>
      </c>
      <c r="BK68" s="10">
        <v>132</v>
      </c>
      <c r="BL68" s="10">
        <v>11700.532651400001</v>
      </c>
      <c r="BM68" s="10">
        <v>43</v>
      </c>
      <c r="BN68" s="10">
        <v>3866.1463016999996</v>
      </c>
      <c r="BO68" s="10">
        <v>75</v>
      </c>
      <c r="BP68" s="10">
        <v>18644.204605610001</v>
      </c>
      <c r="BQ68" s="10">
        <v>23</v>
      </c>
      <c r="BR68" s="10">
        <v>1102.37963818</v>
      </c>
      <c r="BS68" s="10">
        <v>418</v>
      </c>
      <c r="BT68" s="10">
        <v>50416.922729329999</v>
      </c>
      <c r="BU68" s="10">
        <v>111</v>
      </c>
      <c r="BV68" s="10">
        <v>11156.26344766</v>
      </c>
      <c r="BW68" s="10">
        <v>7</v>
      </c>
      <c r="BX68" s="10">
        <v>4774.4123714899997</v>
      </c>
      <c r="BY68" s="10">
        <v>0</v>
      </c>
      <c r="BZ68" s="10">
        <v>0</v>
      </c>
      <c r="CA68" s="10">
        <v>2</v>
      </c>
      <c r="CB68" s="10">
        <v>1200</v>
      </c>
      <c r="CC68" s="10">
        <v>0</v>
      </c>
      <c r="CD68" s="10">
        <v>0</v>
      </c>
      <c r="CE68" s="10">
        <v>100</v>
      </c>
      <c r="CF68" s="10">
        <v>11620.542099759999</v>
      </c>
      <c r="CG68" s="10">
        <v>30</v>
      </c>
      <c r="CH68" s="10">
        <v>3294.3238750700002</v>
      </c>
      <c r="CI68" s="10">
        <v>5</v>
      </c>
      <c r="CJ68" s="10">
        <v>2427.6903888100001</v>
      </c>
      <c r="CK68" s="10">
        <v>0</v>
      </c>
      <c r="CL68" s="10">
        <v>0</v>
      </c>
      <c r="CM68" s="10">
        <v>24</v>
      </c>
      <c r="CN68" s="10">
        <v>3876.3556949099998</v>
      </c>
      <c r="CO68" s="10">
        <v>2</v>
      </c>
      <c r="CP68" s="10">
        <v>1627.1316334800001</v>
      </c>
      <c r="CQ68" s="10">
        <v>30</v>
      </c>
      <c r="CR68" s="10">
        <v>3565.5815133999995</v>
      </c>
      <c r="CS68" s="10">
        <v>3</v>
      </c>
      <c r="CT68" s="10">
        <v>521.53945874999999</v>
      </c>
      <c r="CU68" s="10">
        <v>3</v>
      </c>
      <c r="CV68" s="10">
        <v>700</v>
      </c>
      <c r="CW68" s="10">
        <v>1</v>
      </c>
      <c r="CX68" s="10">
        <v>100</v>
      </c>
      <c r="CY68" s="10">
        <v>92</v>
      </c>
      <c r="CZ68" s="10">
        <v>35126.684589969998</v>
      </c>
      <c r="DA68" s="10">
        <v>28</v>
      </c>
      <c r="DB68" s="10">
        <v>4853.84733211</v>
      </c>
      <c r="DC68" s="10">
        <v>3636</v>
      </c>
      <c r="DD68" s="10">
        <v>360532.72160152037</v>
      </c>
      <c r="DE68" s="10">
        <v>111</v>
      </c>
      <c r="DF68" s="10">
        <v>11699.068740060002</v>
      </c>
      <c r="DG68" s="10">
        <v>2248</v>
      </c>
      <c r="DH68" s="10">
        <v>53439.367380689946</v>
      </c>
      <c r="DI68" s="10">
        <v>786</v>
      </c>
      <c r="DJ68" s="10">
        <v>10841.794477640002</v>
      </c>
      <c r="DK68" s="10">
        <v>196</v>
      </c>
      <c r="DL68" s="10">
        <v>34703.317511240006</v>
      </c>
      <c r="DM68" s="10">
        <v>68</v>
      </c>
      <c r="DN68" s="10">
        <v>16354.886713970003</v>
      </c>
      <c r="DO68" s="10">
        <v>390</v>
      </c>
      <c r="DP68" s="10">
        <v>4414.5891359200004</v>
      </c>
      <c r="DQ68" s="10">
        <v>5</v>
      </c>
      <c r="DR68" s="10">
        <v>38.542759170000004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0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v>0</v>
      </c>
      <c r="EP68" s="10">
        <v>0</v>
      </c>
      <c r="EQ68" s="10">
        <v>0</v>
      </c>
      <c r="ER68" s="10">
        <v>0</v>
      </c>
      <c r="ES68" s="10">
        <v>0</v>
      </c>
      <c r="ET68" s="10">
        <v>0</v>
      </c>
      <c r="EU68" s="10">
        <v>18</v>
      </c>
      <c r="EV68" s="10">
        <v>112.36718421</v>
      </c>
      <c r="EW68" s="10">
        <v>13</v>
      </c>
      <c r="EX68" s="10">
        <v>21.726233109999999</v>
      </c>
      <c r="EY68" s="10">
        <v>0</v>
      </c>
      <c r="EZ68" s="10">
        <v>0</v>
      </c>
      <c r="FA68" s="10">
        <v>0</v>
      </c>
      <c r="FB68" s="10">
        <v>0</v>
      </c>
      <c r="FC68" s="10">
        <v>0</v>
      </c>
      <c r="FD68" s="10">
        <v>0</v>
      </c>
      <c r="FE68" s="10">
        <v>0</v>
      </c>
      <c r="FF68" s="10">
        <v>0</v>
      </c>
      <c r="FG68" s="10">
        <v>0</v>
      </c>
      <c r="FH68" s="10">
        <v>0</v>
      </c>
      <c r="FI68" s="10">
        <v>0</v>
      </c>
      <c r="FJ68" s="10">
        <v>0</v>
      </c>
      <c r="FK68" s="10">
        <v>0</v>
      </c>
      <c r="FL68" s="10">
        <v>0</v>
      </c>
      <c r="FM68" s="10">
        <v>0</v>
      </c>
      <c r="FN68" s="10">
        <v>0</v>
      </c>
      <c r="FO68" s="10">
        <v>0</v>
      </c>
      <c r="FP68" s="10">
        <v>0</v>
      </c>
      <c r="FQ68" s="10">
        <v>0</v>
      </c>
      <c r="FR68" s="10">
        <v>0</v>
      </c>
      <c r="FS68" s="10">
        <v>0</v>
      </c>
      <c r="FT68" s="10">
        <v>0</v>
      </c>
      <c r="FU68" s="10">
        <v>0</v>
      </c>
      <c r="FV68" s="10">
        <v>0</v>
      </c>
      <c r="FW68" s="18">
        <f t="shared" si="14"/>
        <v>0</v>
      </c>
      <c r="FX68" s="18">
        <f t="shared" si="8"/>
        <v>0</v>
      </c>
      <c r="FY68" s="18">
        <f t="shared" si="9"/>
        <v>0</v>
      </c>
      <c r="FZ68" s="18">
        <f t="shared" si="10"/>
        <v>0</v>
      </c>
      <c r="GA68" s="18">
        <f t="shared" si="15"/>
        <v>0</v>
      </c>
      <c r="GB68" s="18">
        <f t="shared" si="11"/>
        <v>7.4601302912924439E-10</v>
      </c>
      <c r="GC68" s="18">
        <f t="shared" si="12"/>
        <v>0</v>
      </c>
      <c r="GD68" s="18">
        <f t="shared" si="13"/>
        <v>1.0931699989669141E-11</v>
      </c>
    </row>
    <row r="69" spans="1:186" s="11" customFormat="1" ht="27" customHeight="1" x14ac:dyDescent="0.25">
      <c r="A69" s="66" t="s">
        <v>42</v>
      </c>
      <c r="B69" s="1">
        <f t="shared" si="17"/>
        <v>62</v>
      </c>
      <c r="C69" s="20" t="s">
        <v>2118</v>
      </c>
      <c r="D69" s="20" t="s">
        <v>2121</v>
      </c>
      <c r="E69" s="65">
        <v>10819</v>
      </c>
      <c r="F69" s="19" t="s">
        <v>2100</v>
      </c>
      <c r="G69" s="9">
        <v>5014</v>
      </c>
      <c r="H69" s="9">
        <v>277745.41809794999</v>
      </c>
      <c r="I69" s="9">
        <v>393</v>
      </c>
      <c r="J69" s="9">
        <v>13748.719431539999</v>
      </c>
      <c r="K69" s="9">
        <v>405</v>
      </c>
      <c r="L69" s="9">
        <v>91944.419115910001</v>
      </c>
      <c r="M69" s="9">
        <v>54</v>
      </c>
      <c r="N69" s="9">
        <v>6779.2480848300002</v>
      </c>
      <c r="O69" s="9">
        <v>320</v>
      </c>
      <c r="P69" s="9">
        <v>23881.249848539996</v>
      </c>
      <c r="Q69" s="9">
        <v>28</v>
      </c>
      <c r="R69" s="9">
        <v>1735.5148466400001</v>
      </c>
      <c r="S69" s="9">
        <v>4289</v>
      </c>
      <c r="T69" s="9">
        <v>161919.74913350007</v>
      </c>
      <c r="U69" s="9">
        <v>311</v>
      </c>
      <c r="V69" s="9">
        <v>5233.9565000699995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54</v>
      </c>
      <c r="AJ69" s="10">
        <v>6997.4159137800007</v>
      </c>
      <c r="AK69" s="10">
        <v>1</v>
      </c>
      <c r="AL69" s="10">
        <v>100</v>
      </c>
      <c r="AM69" s="10">
        <v>0</v>
      </c>
      <c r="AN69" s="10">
        <v>0</v>
      </c>
      <c r="AO69" s="10">
        <v>0</v>
      </c>
      <c r="AP69" s="10">
        <v>0</v>
      </c>
      <c r="AQ69" s="10">
        <v>1</v>
      </c>
      <c r="AR69" s="10">
        <v>50.55556</v>
      </c>
      <c r="AS69" s="10">
        <v>0</v>
      </c>
      <c r="AT69" s="10">
        <v>0</v>
      </c>
      <c r="AU69" s="10">
        <v>2</v>
      </c>
      <c r="AV69" s="10">
        <v>90</v>
      </c>
      <c r="AW69" s="10">
        <v>1</v>
      </c>
      <c r="AX69" s="10">
        <v>60</v>
      </c>
      <c r="AY69" s="10">
        <v>1</v>
      </c>
      <c r="AZ69" s="10">
        <v>100</v>
      </c>
      <c r="BA69" s="10">
        <v>0</v>
      </c>
      <c r="BB69" s="10">
        <v>0</v>
      </c>
      <c r="BC69" s="10">
        <v>6</v>
      </c>
      <c r="BD69" s="10">
        <v>508.52008401999996</v>
      </c>
      <c r="BE69" s="10">
        <v>0</v>
      </c>
      <c r="BF69" s="10">
        <v>0</v>
      </c>
      <c r="BG69" s="10">
        <v>21</v>
      </c>
      <c r="BH69" s="10">
        <v>1788.31133032</v>
      </c>
      <c r="BI69" s="10">
        <v>3</v>
      </c>
      <c r="BJ69" s="10">
        <v>158.33333300000001</v>
      </c>
      <c r="BK69" s="10">
        <v>72</v>
      </c>
      <c r="BL69" s="10">
        <v>6235.7630925100002</v>
      </c>
      <c r="BM69" s="10">
        <v>6</v>
      </c>
      <c r="BN69" s="10">
        <v>744.57972497000003</v>
      </c>
      <c r="BO69" s="10">
        <v>119</v>
      </c>
      <c r="BP69" s="10">
        <v>8659.2720548399993</v>
      </c>
      <c r="BQ69" s="10">
        <v>13</v>
      </c>
      <c r="BR69" s="10">
        <v>470.45432897000001</v>
      </c>
      <c r="BS69" s="10">
        <v>244</v>
      </c>
      <c r="BT69" s="10">
        <v>34800.688380109998</v>
      </c>
      <c r="BU69" s="10">
        <v>16</v>
      </c>
      <c r="BV69" s="10">
        <v>1083.0813186300002</v>
      </c>
      <c r="BW69" s="10">
        <v>4</v>
      </c>
      <c r="BX69" s="10">
        <v>1290.4473829799999</v>
      </c>
      <c r="BY69" s="10">
        <v>0</v>
      </c>
      <c r="BZ69" s="10">
        <v>0</v>
      </c>
      <c r="CA69" s="10">
        <v>1</v>
      </c>
      <c r="CB69" s="10">
        <v>3749.9363772500001</v>
      </c>
      <c r="CC69" s="10">
        <v>0</v>
      </c>
      <c r="CD69" s="10">
        <v>0</v>
      </c>
      <c r="CE69" s="10">
        <v>61</v>
      </c>
      <c r="CF69" s="10">
        <v>5778.8514832299998</v>
      </c>
      <c r="CG69" s="10">
        <v>10</v>
      </c>
      <c r="CH69" s="10">
        <v>1830.55545149</v>
      </c>
      <c r="CI69" s="10">
        <v>0</v>
      </c>
      <c r="CJ69" s="10">
        <v>0</v>
      </c>
      <c r="CK69" s="10">
        <v>0</v>
      </c>
      <c r="CL69" s="10">
        <v>0</v>
      </c>
      <c r="CM69" s="10">
        <v>15</v>
      </c>
      <c r="CN69" s="10">
        <v>18800.554</v>
      </c>
      <c r="CO69" s="10">
        <v>0</v>
      </c>
      <c r="CP69" s="10">
        <v>0</v>
      </c>
      <c r="CQ69" s="10">
        <v>22</v>
      </c>
      <c r="CR69" s="10">
        <v>1087.3691779400001</v>
      </c>
      <c r="CS69" s="10">
        <v>19</v>
      </c>
      <c r="CT69" s="10">
        <v>834.74582084999986</v>
      </c>
      <c r="CU69" s="10">
        <v>3</v>
      </c>
      <c r="CV69" s="10">
        <v>359.12980862000001</v>
      </c>
      <c r="CW69" s="10">
        <v>0</v>
      </c>
      <c r="CX69" s="10">
        <v>0</v>
      </c>
      <c r="CY69" s="10">
        <v>99</v>
      </c>
      <c r="CZ69" s="10">
        <v>25528.854318850001</v>
      </c>
      <c r="DA69" s="10">
        <v>13</v>
      </c>
      <c r="DB69" s="10">
        <v>3233.0129535599999</v>
      </c>
      <c r="DC69" s="10">
        <v>631</v>
      </c>
      <c r="DD69" s="10">
        <v>80333.19261687003</v>
      </c>
      <c r="DE69" s="10">
        <v>7</v>
      </c>
      <c r="DF69" s="10">
        <v>359.15786283999995</v>
      </c>
      <c r="DG69" s="10">
        <v>2426</v>
      </c>
      <c r="DH69" s="10">
        <v>61169.682052399963</v>
      </c>
      <c r="DI69" s="10">
        <v>301</v>
      </c>
      <c r="DJ69" s="10">
        <v>4834.4151289500005</v>
      </c>
      <c r="DK69" s="10">
        <v>75</v>
      </c>
      <c r="DL69" s="10">
        <v>6340.5972828599997</v>
      </c>
      <c r="DM69" s="10">
        <v>0</v>
      </c>
      <c r="DN69" s="10">
        <v>0</v>
      </c>
      <c r="DO69" s="10">
        <v>1155</v>
      </c>
      <c r="DP69" s="10">
        <v>14061.28866937</v>
      </c>
      <c r="DQ69" s="10">
        <v>3</v>
      </c>
      <c r="DR69" s="10">
        <v>40.383508280000001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0">
        <v>0</v>
      </c>
      <c r="ED69" s="10">
        <v>0</v>
      </c>
      <c r="EE69" s="10">
        <v>0</v>
      </c>
      <c r="EF69" s="10">
        <v>0</v>
      </c>
      <c r="EG69" s="10">
        <v>0</v>
      </c>
      <c r="EH69" s="10">
        <v>0</v>
      </c>
      <c r="EI69" s="10">
        <v>0</v>
      </c>
      <c r="EJ69" s="10">
        <v>0</v>
      </c>
      <c r="EK69" s="10">
        <v>0</v>
      </c>
      <c r="EL69" s="10">
        <v>0</v>
      </c>
      <c r="EM69" s="10">
        <v>0</v>
      </c>
      <c r="EN69" s="10">
        <v>0</v>
      </c>
      <c r="EO69" s="10">
        <v>0</v>
      </c>
      <c r="EP69" s="10">
        <v>0</v>
      </c>
      <c r="EQ69" s="10">
        <v>0</v>
      </c>
      <c r="ER69" s="10">
        <v>0</v>
      </c>
      <c r="ES69" s="10">
        <v>0</v>
      </c>
      <c r="ET69" s="10">
        <v>0</v>
      </c>
      <c r="EU69" s="10">
        <v>2</v>
      </c>
      <c r="EV69" s="10">
        <v>14.988512</v>
      </c>
      <c r="EW69" s="10">
        <v>0</v>
      </c>
      <c r="EX69" s="10">
        <v>0</v>
      </c>
      <c r="EY69" s="10">
        <v>0</v>
      </c>
      <c r="EZ69" s="10">
        <v>0</v>
      </c>
      <c r="FA69" s="10">
        <v>0</v>
      </c>
      <c r="FB69" s="10">
        <v>0</v>
      </c>
      <c r="FC69" s="10">
        <v>0</v>
      </c>
      <c r="FD69" s="10">
        <v>0</v>
      </c>
      <c r="FE69" s="10">
        <v>0</v>
      </c>
      <c r="FF69" s="10">
        <v>0</v>
      </c>
      <c r="FG69" s="10">
        <v>0</v>
      </c>
      <c r="FH69" s="10">
        <v>0</v>
      </c>
      <c r="FI69" s="10">
        <v>0</v>
      </c>
      <c r="FJ69" s="10">
        <v>0</v>
      </c>
      <c r="FK69" s="10">
        <v>0</v>
      </c>
      <c r="FL69" s="10">
        <v>0</v>
      </c>
      <c r="FM69" s="10">
        <v>0</v>
      </c>
      <c r="FN69" s="10">
        <v>0</v>
      </c>
      <c r="FO69" s="10">
        <v>0</v>
      </c>
      <c r="FP69" s="10">
        <v>0</v>
      </c>
      <c r="FQ69" s="10">
        <v>0</v>
      </c>
      <c r="FR69" s="10">
        <v>0</v>
      </c>
      <c r="FS69" s="10">
        <v>0</v>
      </c>
      <c r="FT69" s="10">
        <v>0</v>
      </c>
      <c r="FU69" s="10">
        <v>0</v>
      </c>
      <c r="FV69" s="10">
        <v>0</v>
      </c>
      <c r="FW69" s="18">
        <f t="shared" si="14"/>
        <v>0</v>
      </c>
      <c r="FX69" s="18">
        <f t="shared" si="8"/>
        <v>0</v>
      </c>
      <c r="FY69" s="18">
        <f t="shared" si="9"/>
        <v>0</v>
      </c>
      <c r="FZ69" s="18">
        <f t="shared" si="10"/>
        <v>0</v>
      </c>
      <c r="GA69" s="18">
        <f t="shared" si="15"/>
        <v>0</v>
      </c>
      <c r="GB69" s="18">
        <f t="shared" si="11"/>
        <v>-1.2832401807827409E-11</v>
      </c>
      <c r="GC69" s="18">
        <f t="shared" si="12"/>
        <v>0</v>
      </c>
      <c r="GD69" s="18">
        <f t="shared" si="13"/>
        <v>-1.2505552149377763E-12</v>
      </c>
    </row>
    <row r="70" spans="1:186" s="11" customFormat="1" ht="27" customHeight="1" x14ac:dyDescent="0.25">
      <c r="A70" s="66" t="s">
        <v>42</v>
      </c>
      <c r="B70" s="1">
        <f t="shared" si="17"/>
        <v>63</v>
      </c>
      <c r="C70" s="20" t="s">
        <v>2118</v>
      </c>
      <c r="D70" s="20" t="s">
        <v>2120</v>
      </c>
      <c r="E70" s="65">
        <v>10820</v>
      </c>
      <c r="F70" s="19" t="s">
        <v>2039</v>
      </c>
      <c r="G70" s="9">
        <v>6503</v>
      </c>
      <c r="H70" s="9">
        <v>391108.70083299966</v>
      </c>
      <c r="I70" s="9">
        <v>1368</v>
      </c>
      <c r="J70" s="9">
        <v>52562.353774590039</v>
      </c>
      <c r="K70" s="9">
        <v>365</v>
      </c>
      <c r="L70" s="9">
        <v>95286.969271919981</v>
      </c>
      <c r="M70" s="9">
        <v>105</v>
      </c>
      <c r="N70" s="9">
        <v>11515.207413290002</v>
      </c>
      <c r="O70" s="9">
        <v>556</v>
      </c>
      <c r="P70" s="9">
        <v>44481.226130760006</v>
      </c>
      <c r="Q70" s="9">
        <v>140</v>
      </c>
      <c r="R70" s="9">
        <v>10824.216103710001</v>
      </c>
      <c r="S70" s="9">
        <v>5582</v>
      </c>
      <c r="T70" s="9">
        <v>251340.5054303199</v>
      </c>
      <c r="U70" s="9">
        <v>1123</v>
      </c>
      <c r="V70" s="9">
        <v>30222.930257589989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1</v>
      </c>
      <c r="AF70" s="10">
        <v>85.416668999999999</v>
      </c>
      <c r="AG70" s="10">
        <v>0</v>
      </c>
      <c r="AH70" s="10">
        <v>0</v>
      </c>
      <c r="AI70" s="10">
        <v>199</v>
      </c>
      <c r="AJ70" s="10">
        <v>25994.523750979999</v>
      </c>
      <c r="AK70" s="10">
        <v>37</v>
      </c>
      <c r="AL70" s="10">
        <v>3432.2412053000003</v>
      </c>
      <c r="AM70" s="10">
        <v>37</v>
      </c>
      <c r="AN70" s="10">
        <v>3659.9383240000002</v>
      </c>
      <c r="AO70" s="10">
        <v>8</v>
      </c>
      <c r="AP70" s="10">
        <v>795.83333400000004</v>
      </c>
      <c r="AQ70" s="10">
        <v>5</v>
      </c>
      <c r="AR70" s="10">
        <v>368.61111119999998</v>
      </c>
      <c r="AS70" s="10">
        <v>1</v>
      </c>
      <c r="AT70" s="10">
        <v>100</v>
      </c>
      <c r="AU70" s="10">
        <v>4</v>
      </c>
      <c r="AV70" s="10">
        <v>440</v>
      </c>
      <c r="AW70" s="10">
        <v>4</v>
      </c>
      <c r="AX70" s="10">
        <v>440</v>
      </c>
      <c r="AY70" s="10">
        <v>1</v>
      </c>
      <c r="AZ70" s="10">
        <v>100</v>
      </c>
      <c r="BA70" s="10">
        <v>1</v>
      </c>
      <c r="BB70" s="10">
        <v>100</v>
      </c>
      <c r="BC70" s="10">
        <v>3</v>
      </c>
      <c r="BD70" s="10">
        <v>236.29907251</v>
      </c>
      <c r="BE70" s="10">
        <v>2</v>
      </c>
      <c r="BF70" s="10">
        <v>198.79907241000001</v>
      </c>
      <c r="BG70" s="10">
        <v>17</v>
      </c>
      <c r="BH70" s="10">
        <v>1282.9600195099999</v>
      </c>
      <c r="BI70" s="10">
        <v>7</v>
      </c>
      <c r="BJ70" s="10">
        <v>467.33392393000003</v>
      </c>
      <c r="BK70" s="10">
        <v>156</v>
      </c>
      <c r="BL70" s="10">
        <v>23801.545206999999</v>
      </c>
      <c r="BM70" s="10">
        <v>47</v>
      </c>
      <c r="BN70" s="10">
        <v>4420.1730956000001</v>
      </c>
      <c r="BO70" s="10">
        <v>68</v>
      </c>
      <c r="BP70" s="10">
        <v>10210.559497119999</v>
      </c>
      <c r="BQ70" s="10">
        <v>12</v>
      </c>
      <c r="BR70" s="10">
        <v>529.21608415000003</v>
      </c>
      <c r="BS70" s="10">
        <v>279</v>
      </c>
      <c r="BT70" s="10">
        <v>37792.569397680003</v>
      </c>
      <c r="BU70" s="10">
        <v>95</v>
      </c>
      <c r="BV70" s="10">
        <v>7869.4515958699994</v>
      </c>
      <c r="BW70" s="10">
        <v>1</v>
      </c>
      <c r="BX70" s="10">
        <v>1128.2278405</v>
      </c>
      <c r="BY70" s="10">
        <v>0</v>
      </c>
      <c r="BZ70" s="10">
        <v>0</v>
      </c>
      <c r="CA70" s="10">
        <v>1</v>
      </c>
      <c r="CB70" s="10">
        <v>100</v>
      </c>
      <c r="CC70" s="10">
        <v>0</v>
      </c>
      <c r="CD70" s="10">
        <v>0</v>
      </c>
      <c r="CE70" s="10">
        <v>47</v>
      </c>
      <c r="CF70" s="10">
        <v>4846.55146083</v>
      </c>
      <c r="CG70" s="10">
        <v>12</v>
      </c>
      <c r="CH70" s="10">
        <v>1028.29556845</v>
      </c>
      <c r="CI70" s="10">
        <v>1</v>
      </c>
      <c r="CJ70" s="10">
        <v>97.916667000000004</v>
      </c>
      <c r="CK70" s="10">
        <v>0</v>
      </c>
      <c r="CL70" s="10">
        <v>0</v>
      </c>
      <c r="CM70" s="10">
        <v>11</v>
      </c>
      <c r="CN70" s="10">
        <v>1781.5651461</v>
      </c>
      <c r="CO70" s="10">
        <v>3</v>
      </c>
      <c r="CP70" s="10">
        <v>232.19522219999999</v>
      </c>
      <c r="CQ70" s="10">
        <v>14</v>
      </c>
      <c r="CR70" s="10">
        <v>9719.0920733099993</v>
      </c>
      <c r="CS70" s="10">
        <v>0</v>
      </c>
      <c r="CT70" s="10">
        <v>0</v>
      </c>
      <c r="CU70" s="10">
        <v>4</v>
      </c>
      <c r="CV70" s="10">
        <v>457.72218096</v>
      </c>
      <c r="CW70" s="10">
        <v>0</v>
      </c>
      <c r="CX70" s="10">
        <v>0</v>
      </c>
      <c r="CY70" s="10">
        <v>72</v>
      </c>
      <c r="CZ70" s="10">
        <v>17664.696984979997</v>
      </c>
      <c r="DA70" s="10">
        <v>16</v>
      </c>
      <c r="DB70" s="10">
        <v>2725.8844150899999</v>
      </c>
      <c r="DC70" s="10">
        <v>955</v>
      </c>
      <c r="DD70" s="10">
        <v>114748.39384681008</v>
      </c>
      <c r="DE70" s="10">
        <v>31</v>
      </c>
      <c r="DF70" s="10">
        <v>1982.44256458</v>
      </c>
      <c r="DG70" s="10">
        <v>3872</v>
      </c>
      <c r="DH70" s="10">
        <v>94817.503429220116</v>
      </c>
      <c r="DI70" s="10">
        <v>1010</v>
      </c>
      <c r="DJ70" s="10">
        <v>16595.528193089998</v>
      </c>
      <c r="DK70" s="10">
        <v>220</v>
      </c>
      <c r="DL70" s="10">
        <v>35445.917071749995</v>
      </c>
      <c r="DM70" s="10">
        <v>54</v>
      </c>
      <c r="DN70" s="10">
        <v>11427.7552818</v>
      </c>
      <c r="DO70" s="10">
        <v>515</v>
      </c>
      <c r="DP70" s="10">
        <v>6221.6600222799998</v>
      </c>
      <c r="DQ70" s="10">
        <v>15</v>
      </c>
      <c r="DR70" s="10">
        <v>184.14681234</v>
      </c>
      <c r="DS70" s="10">
        <v>0</v>
      </c>
      <c r="DT70" s="10">
        <v>0</v>
      </c>
      <c r="DU70" s="10">
        <v>0</v>
      </c>
      <c r="DV70" s="10">
        <v>0</v>
      </c>
      <c r="DW70" s="10">
        <v>0</v>
      </c>
      <c r="DX70" s="10">
        <v>0</v>
      </c>
      <c r="DY70" s="10">
        <v>0</v>
      </c>
      <c r="DZ70" s="10">
        <v>0</v>
      </c>
      <c r="EA70" s="10">
        <v>0</v>
      </c>
      <c r="EB70" s="10">
        <v>0</v>
      </c>
      <c r="EC70" s="10">
        <v>0</v>
      </c>
      <c r="ED70" s="10">
        <v>0</v>
      </c>
      <c r="EE70" s="10">
        <v>0</v>
      </c>
      <c r="EF70" s="10">
        <v>0</v>
      </c>
      <c r="EG70" s="10">
        <v>0</v>
      </c>
      <c r="EH70" s="10">
        <v>0</v>
      </c>
      <c r="EI70" s="10">
        <v>0</v>
      </c>
      <c r="EJ70" s="10">
        <v>0</v>
      </c>
      <c r="EK70" s="10">
        <v>0</v>
      </c>
      <c r="EL70" s="10">
        <v>0</v>
      </c>
      <c r="EM70" s="10">
        <v>0</v>
      </c>
      <c r="EN70" s="10">
        <v>0</v>
      </c>
      <c r="EO70" s="10">
        <v>0</v>
      </c>
      <c r="EP70" s="10">
        <v>0</v>
      </c>
      <c r="EQ70" s="10">
        <v>0</v>
      </c>
      <c r="ER70" s="10">
        <v>0</v>
      </c>
      <c r="ES70" s="10">
        <v>0</v>
      </c>
      <c r="ET70" s="10">
        <v>0</v>
      </c>
      <c r="EU70" s="10">
        <v>20</v>
      </c>
      <c r="EV70" s="10">
        <v>107.03106025999999</v>
      </c>
      <c r="EW70" s="10">
        <v>13</v>
      </c>
      <c r="EX70" s="10">
        <v>33.057405780000003</v>
      </c>
      <c r="EY70" s="10">
        <v>0</v>
      </c>
      <c r="EZ70" s="10">
        <v>0</v>
      </c>
      <c r="FA70" s="10">
        <v>0</v>
      </c>
      <c r="FB70" s="10">
        <v>0</v>
      </c>
      <c r="FC70" s="10">
        <v>0</v>
      </c>
      <c r="FD70" s="10">
        <v>0</v>
      </c>
      <c r="FE70" s="10">
        <v>0</v>
      </c>
      <c r="FF70" s="10">
        <v>0</v>
      </c>
      <c r="FG70" s="10">
        <v>0</v>
      </c>
      <c r="FH70" s="10">
        <v>0</v>
      </c>
      <c r="FI70" s="10">
        <v>0</v>
      </c>
      <c r="FJ70" s="10">
        <v>0</v>
      </c>
      <c r="FK70" s="10">
        <v>0</v>
      </c>
      <c r="FL70" s="10">
        <v>0</v>
      </c>
      <c r="FM70" s="10">
        <v>0</v>
      </c>
      <c r="FN70" s="10">
        <v>0</v>
      </c>
      <c r="FO70" s="10">
        <v>0</v>
      </c>
      <c r="FP70" s="10">
        <v>0</v>
      </c>
      <c r="FQ70" s="10">
        <v>0</v>
      </c>
      <c r="FR70" s="10">
        <v>0</v>
      </c>
      <c r="FS70" s="10">
        <v>0</v>
      </c>
      <c r="FT70" s="10">
        <v>0</v>
      </c>
      <c r="FU70" s="10">
        <v>0</v>
      </c>
      <c r="FV70" s="10">
        <v>0</v>
      </c>
      <c r="FW70" s="18">
        <f t="shared" si="14"/>
        <v>0</v>
      </c>
      <c r="FX70" s="18">
        <f t="shared" si="8"/>
        <v>-2.3283064365386963E-10</v>
      </c>
      <c r="FY70" s="18">
        <f t="shared" si="9"/>
        <v>0</v>
      </c>
      <c r="FZ70" s="18">
        <f t="shared" si="10"/>
        <v>4.7293724492192268E-11</v>
      </c>
      <c r="GA70" s="18">
        <f t="shared" si="15"/>
        <v>0</v>
      </c>
      <c r="GB70" s="18">
        <f t="shared" si="11"/>
        <v>-4.5359627165453276E-10</v>
      </c>
      <c r="GC70" s="18">
        <f t="shared" si="12"/>
        <v>0</v>
      </c>
      <c r="GD70" s="18">
        <f t="shared" si="13"/>
        <v>3.4056313324981602E-11</v>
      </c>
    </row>
    <row r="71" spans="1:186" s="11" customFormat="1" ht="27" customHeight="1" x14ac:dyDescent="0.25">
      <c r="A71" s="66" t="s">
        <v>42</v>
      </c>
      <c r="B71" s="1">
        <f t="shared" si="17"/>
        <v>64</v>
      </c>
      <c r="C71" s="20" t="s">
        <v>2118</v>
      </c>
      <c r="D71" s="20" t="s">
        <v>2119</v>
      </c>
      <c r="E71" s="65">
        <v>12129</v>
      </c>
      <c r="F71" s="19" t="s">
        <v>2043</v>
      </c>
      <c r="G71" s="9">
        <v>2991</v>
      </c>
      <c r="H71" s="9">
        <v>188421.3084320302</v>
      </c>
      <c r="I71" s="9">
        <v>351</v>
      </c>
      <c r="J71" s="9">
        <v>17712.444775460001</v>
      </c>
      <c r="K71" s="9">
        <v>321</v>
      </c>
      <c r="L71" s="9">
        <v>40183.685690890001</v>
      </c>
      <c r="M71" s="9">
        <v>72</v>
      </c>
      <c r="N71" s="9">
        <v>7839.7429497700005</v>
      </c>
      <c r="O71" s="9">
        <v>318</v>
      </c>
      <c r="P71" s="9">
        <v>29245.996367400003</v>
      </c>
      <c r="Q71" s="9">
        <v>56</v>
      </c>
      <c r="R71" s="9">
        <v>5330.673930410001</v>
      </c>
      <c r="S71" s="9">
        <v>2352</v>
      </c>
      <c r="T71" s="9">
        <v>118991.62637374003</v>
      </c>
      <c r="U71" s="9">
        <v>223</v>
      </c>
      <c r="V71" s="9">
        <v>4542.0278952800008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1</v>
      </c>
      <c r="AF71" s="10">
        <v>2500</v>
      </c>
      <c r="AG71" s="10">
        <v>0</v>
      </c>
      <c r="AH71" s="10">
        <v>0</v>
      </c>
      <c r="AI71" s="10">
        <v>149</v>
      </c>
      <c r="AJ71" s="10">
        <v>14990.194597379999</v>
      </c>
      <c r="AK71" s="10">
        <v>29</v>
      </c>
      <c r="AL71" s="10">
        <v>2849.8053431200001</v>
      </c>
      <c r="AM71" s="10">
        <v>0</v>
      </c>
      <c r="AN71" s="10">
        <v>0</v>
      </c>
      <c r="AO71" s="10">
        <v>0</v>
      </c>
      <c r="AP71" s="10">
        <v>0</v>
      </c>
      <c r="AQ71" s="10">
        <v>5</v>
      </c>
      <c r="AR71" s="10">
        <v>341.46666800000003</v>
      </c>
      <c r="AS71" s="10">
        <v>3</v>
      </c>
      <c r="AT71" s="10">
        <v>199.8</v>
      </c>
      <c r="AU71" s="10">
        <v>0</v>
      </c>
      <c r="AV71" s="10">
        <v>0</v>
      </c>
      <c r="AW71" s="10">
        <v>0</v>
      </c>
      <c r="AX71" s="10">
        <v>0</v>
      </c>
      <c r="AY71" s="10">
        <v>9</v>
      </c>
      <c r="AZ71" s="10">
        <v>850.05</v>
      </c>
      <c r="BA71" s="10">
        <v>0</v>
      </c>
      <c r="BB71" s="10">
        <v>0</v>
      </c>
      <c r="BC71" s="10">
        <v>3</v>
      </c>
      <c r="BD71" s="10">
        <v>249.97717175</v>
      </c>
      <c r="BE71" s="10">
        <v>0</v>
      </c>
      <c r="BF71" s="10">
        <v>0</v>
      </c>
      <c r="BG71" s="10">
        <v>23</v>
      </c>
      <c r="BH71" s="10">
        <v>1998.19709461</v>
      </c>
      <c r="BI71" s="10">
        <v>7</v>
      </c>
      <c r="BJ71" s="10">
        <v>588.001667</v>
      </c>
      <c r="BK71" s="10">
        <v>105</v>
      </c>
      <c r="BL71" s="10">
        <v>9553.948150350001</v>
      </c>
      <c r="BM71" s="10">
        <v>20</v>
      </c>
      <c r="BN71" s="10">
        <v>1823.82572467</v>
      </c>
      <c r="BO71" s="10">
        <v>26</v>
      </c>
      <c r="BP71" s="10">
        <v>3557.4737583400001</v>
      </c>
      <c r="BQ71" s="10">
        <v>9</v>
      </c>
      <c r="BR71" s="10">
        <v>1988.4596460799999</v>
      </c>
      <c r="BS71" s="10">
        <v>238</v>
      </c>
      <c r="BT71" s="10">
        <v>22233.844594680002</v>
      </c>
      <c r="BU71" s="10">
        <v>42</v>
      </c>
      <c r="BV71" s="10">
        <v>3645.4592229099999</v>
      </c>
      <c r="BW71" s="10">
        <v>1</v>
      </c>
      <c r="BX71" s="10">
        <v>372.80801602999998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59</v>
      </c>
      <c r="CF71" s="10">
        <v>5367.06876405</v>
      </c>
      <c r="CG71" s="10">
        <v>17</v>
      </c>
      <c r="CH71" s="10">
        <v>1485.4864438499999</v>
      </c>
      <c r="CI71" s="10">
        <v>7</v>
      </c>
      <c r="CJ71" s="10">
        <v>1479.2531902400001</v>
      </c>
      <c r="CK71" s="10">
        <v>1</v>
      </c>
      <c r="CL71" s="10">
        <v>589.5788325499999</v>
      </c>
      <c r="CM71" s="10">
        <v>0</v>
      </c>
      <c r="CN71" s="10">
        <v>0</v>
      </c>
      <c r="CO71" s="10">
        <v>0</v>
      </c>
      <c r="CP71" s="10">
        <v>0</v>
      </c>
      <c r="CQ71" s="10">
        <v>0</v>
      </c>
      <c r="CR71" s="10">
        <v>0</v>
      </c>
      <c r="CS71" s="10">
        <v>0</v>
      </c>
      <c r="CT71" s="10">
        <v>0</v>
      </c>
      <c r="CU71" s="10">
        <v>1</v>
      </c>
      <c r="CV71" s="10">
        <v>85.652277859999998</v>
      </c>
      <c r="CW71" s="10">
        <v>0</v>
      </c>
      <c r="CX71" s="10">
        <v>0</v>
      </c>
      <c r="CY71" s="10">
        <v>12</v>
      </c>
      <c r="CZ71" s="10">
        <v>5849.7477749999998</v>
      </c>
      <c r="DA71" s="10">
        <v>0</v>
      </c>
      <c r="DB71" s="10">
        <v>0</v>
      </c>
      <c r="DC71" s="10">
        <v>527</v>
      </c>
      <c r="DD71" s="10">
        <v>75594.303610779985</v>
      </c>
      <c r="DE71" s="10">
        <v>10</v>
      </c>
      <c r="DF71" s="10">
        <v>2044.9376474200001</v>
      </c>
      <c r="DG71" s="10">
        <v>1527</v>
      </c>
      <c r="DH71" s="10">
        <v>38958.268875730035</v>
      </c>
      <c r="DI71" s="10">
        <v>209</v>
      </c>
      <c r="DJ71" s="10">
        <v>2489.2485148199999</v>
      </c>
      <c r="DK71" s="10">
        <v>24</v>
      </c>
      <c r="DL71" s="10">
        <v>1356.5429902299998</v>
      </c>
      <c r="DM71" s="10">
        <v>0</v>
      </c>
      <c r="DN71" s="10">
        <v>0</v>
      </c>
      <c r="DO71" s="10">
        <v>268</v>
      </c>
      <c r="DP71" s="10">
        <v>2956.3938598499999</v>
      </c>
      <c r="DQ71" s="10">
        <v>1</v>
      </c>
      <c r="DR71" s="10">
        <v>4.4396701199999997</v>
      </c>
      <c r="DS71" s="10">
        <v>0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0</v>
      </c>
      <c r="EB71" s="10">
        <v>0</v>
      </c>
      <c r="EC71" s="10">
        <v>0</v>
      </c>
      <c r="ED71" s="10">
        <v>0</v>
      </c>
      <c r="EE71" s="10">
        <v>0</v>
      </c>
      <c r="EF71" s="10">
        <v>0</v>
      </c>
      <c r="EG71" s="10">
        <v>0</v>
      </c>
      <c r="EH71" s="10">
        <v>0</v>
      </c>
      <c r="EI71" s="10">
        <v>0</v>
      </c>
      <c r="EJ71" s="10">
        <v>0</v>
      </c>
      <c r="EK71" s="10">
        <v>0</v>
      </c>
      <c r="EL71" s="10">
        <v>0</v>
      </c>
      <c r="EM71" s="10">
        <v>0</v>
      </c>
      <c r="EN71" s="10">
        <v>0</v>
      </c>
      <c r="EO71" s="10">
        <v>0</v>
      </c>
      <c r="EP71" s="10">
        <v>0</v>
      </c>
      <c r="EQ71" s="10">
        <v>0</v>
      </c>
      <c r="ER71" s="10">
        <v>0</v>
      </c>
      <c r="ES71" s="10">
        <v>0</v>
      </c>
      <c r="ET71" s="10">
        <v>0</v>
      </c>
      <c r="EU71" s="10">
        <v>6</v>
      </c>
      <c r="EV71" s="10">
        <v>126.11703715</v>
      </c>
      <c r="EW71" s="10">
        <v>3</v>
      </c>
      <c r="EX71" s="10">
        <v>3.4020629200000001</v>
      </c>
      <c r="EY71" s="10">
        <v>0</v>
      </c>
      <c r="EZ71" s="10">
        <v>0</v>
      </c>
      <c r="FA71" s="10">
        <v>0</v>
      </c>
      <c r="FB71" s="10">
        <v>0</v>
      </c>
      <c r="FC71" s="10">
        <v>0</v>
      </c>
      <c r="FD71" s="10">
        <v>0</v>
      </c>
      <c r="FE71" s="10">
        <v>0</v>
      </c>
      <c r="FF71" s="10">
        <v>0</v>
      </c>
      <c r="FG71" s="10">
        <v>0</v>
      </c>
      <c r="FH71" s="10">
        <v>0</v>
      </c>
      <c r="FI71" s="10">
        <v>0</v>
      </c>
      <c r="FJ71" s="10">
        <v>0</v>
      </c>
      <c r="FK71" s="10">
        <v>0</v>
      </c>
      <c r="FL71" s="10">
        <v>0</v>
      </c>
      <c r="FM71" s="10">
        <v>0</v>
      </c>
      <c r="FN71" s="10">
        <v>0</v>
      </c>
      <c r="FO71" s="10">
        <v>0</v>
      </c>
      <c r="FP71" s="10">
        <v>0</v>
      </c>
      <c r="FQ71" s="10">
        <v>0</v>
      </c>
      <c r="FR71" s="10">
        <v>0</v>
      </c>
      <c r="FS71" s="10">
        <v>0</v>
      </c>
      <c r="FT71" s="10">
        <v>0</v>
      </c>
      <c r="FU71" s="10">
        <v>0</v>
      </c>
      <c r="FV71" s="10">
        <v>0</v>
      </c>
      <c r="FW71" s="18">
        <f t="shared" si="14"/>
        <v>0</v>
      </c>
      <c r="FX71" s="18">
        <f t="shared" ref="FX71:FX102" si="18">+H71-L71-P71-T71</f>
        <v>1.6007106751203537E-10</v>
      </c>
      <c r="FY71" s="18">
        <f t="shared" ref="FY71:FY102" si="19">+I71-M71-Q71-U71</f>
        <v>0</v>
      </c>
      <c r="FZ71" s="18">
        <f t="shared" ref="FZ71:FZ102" si="20">+J71-N71-R71-V71</f>
        <v>0</v>
      </c>
      <c r="GA71" s="18">
        <f t="shared" si="15"/>
        <v>0</v>
      </c>
      <c r="GB71" s="18">
        <f t="shared" ref="GB71:GB102" si="21">+H71-X71-AB71-AF71-AJ71-AN71-AR71-AV71-AZ71-BD71-BH71-BL71-BP71-BT71-BX71-CB71-CF71-CJ71-CN71-CR71-CV71-CZ71-DD71-DH71-DL71-DP71-DT71-DX71-EB71-EF71-EJ71-EN71-ER71-EV71-EZ71-FD71-FH71-FL71-FP71-FT71</f>
        <v>1.6983392470137915E-10</v>
      </c>
      <c r="GC71" s="18">
        <f t="shared" ref="GC71:GC102" si="22">+I71-Y71-AC71-AG71-AK71-AO71-AS71-AW71-BA71-BE71-BI71-BM71-BQ71-BU71-BY71-CC71-CG71-CK71-CO71-CS71-CW71-DA71-DE71-DI71-DM71-DQ71-DU71-DY71-EC71-EG71-EK71-EO71-ES71-EW71-FA71-FE71-FI71-FM71-FQ71-FU71</f>
        <v>0</v>
      </c>
      <c r="GD71" s="18">
        <f t="shared" ref="GD71:GD102" si="23">+J71-Z71-AD71-AH71-AL71-AP71-AT71-AX71-BB71-BF71-BJ71-BN71-BR71-BV71-BZ71-CD71-CH71-CL71-CP71-CT71-CX71-DB71-DF71-DJ71-DN71-DR71-DV71-DZ71-ED71-EH71-EL71-EP71-ET71-EX71-FB71-FF71-FJ71-FN71-FR71-FV71</f>
        <v>1.1453060722033115E-12</v>
      </c>
    </row>
    <row r="72" spans="1:186" s="11" customFormat="1" ht="27" customHeight="1" x14ac:dyDescent="0.25">
      <c r="A72" s="66" t="s">
        <v>42</v>
      </c>
      <c r="B72" s="1">
        <f t="shared" si="17"/>
        <v>65</v>
      </c>
      <c r="C72" s="20" t="s">
        <v>2118</v>
      </c>
      <c r="D72" s="20" t="s">
        <v>2230</v>
      </c>
      <c r="E72" s="65">
        <v>12213</v>
      </c>
      <c r="F72" s="19" t="s">
        <v>2066</v>
      </c>
      <c r="G72" s="9">
        <v>734</v>
      </c>
      <c r="H72" s="9">
        <v>36878.018087220007</v>
      </c>
      <c r="I72" s="9">
        <v>26</v>
      </c>
      <c r="J72" s="9">
        <v>1871.5112492200001</v>
      </c>
      <c r="K72" s="9">
        <v>53</v>
      </c>
      <c r="L72" s="9">
        <v>3842.9934115999999</v>
      </c>
      <c r="M72" s="9">
        <v>8</v>
      </c>
      <c r="N72" s="9">
        <v>604.92965181999989</v>
      </c>
      <c r="O72" s="9">
        <v>86</v>
      </c>
      <c r="P72" s="9">
        <v>6748.4359936599994</v>
      </c>
      <c r="Q72" s="9">
        <v>12</v>
      </c>
      <c r="R72" s="9">
        <v>1154.2468158199999</v>
      </c>
      <c r="S72" s="9">
        <v>595</v>
      </c>
      <c r="T72" s="9">
        <v>26286.588681960002</v>
      </c>
      <c r="U72" s="9">
        <v>6</v>
      </c>
      <c r="V72" s="9">
        <v>112.33478158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20</v>
      </c>
      <c r="AJ72" s="10">
        <v>1267.833333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1</v>
      </c>
      <c r="AR72" s="10">
        <v>66.615909430000002</v>
      </c>
      <c r="AS72" s="10">
        <v>0</v>
      </c>
      <c r="AT72" s="10">
        <v>0</v>
      </c>
      <c r="AU72" s="10">
        <v>2</v>
      </c>
      <c r="AV72" s="10">
        <v>142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2</v>
      </c>
      <c r="BD72" s="10">
        <v>198.47</v>
      </c>
      <c r="BE72" s="10">
        <v>0</v>
      </c>
      <c r="BF72" s="10">
        <v>0</v>
      </c>
      <c r="BG72" s="10">
        <v>5</v>
      </c>
      <c r="BH72" s="10">
        <v>366.5</v>
      </c>
      <c r="BI72" s="10">
        <v>3</v>
      </c>
      <c r="BJ72" s="10">
        <v>300</v>
      </c>
      <c r="BK72" s="10">
        <v>11</v>
      </c>
      <c r="BL72" s="10">
        <v>894.49400000000003</v>
      </c>
      <c r="BM72" s="10">
        <v>3</v>
      </c>
      <c r="BN72" s="10">
        <v>249.99700000000001</v>
      </c>
      <c r="BO72" s="10">
        <v>14</v>
      </c>
      <c r="BP72" s="10">
        <v>816.30260372999999</v>
      </c>
      <c r="BQ72" s="10">
        <v>1</v>
      </c>
      <c r="BR72" s="10">
        <v>42.929651820000004</v>
      </c>
      <c r="BS72" s="10">
        <v>49</v>
      </c>
      <c r="BT72" s="10">
        <v>4326.6575422599999</v>
      </c>
      <c r="BU72" s="10">
        <v>9</v>
      </c>
      <c r="BV72" s="10">
        <v>849.76467845000002</v>
      </c>
      <c r="BW72" s="10">
        <v>1</v>
      </c>
      <c r="BX72" s="10">
        <v>100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11</v>
      </c>
      <c r="CF72" s="10">
        <v>939.98413736999998</v>
      </c>
      <c r="CG72" s="10">
        <v>3</v>
      </c>
      <c r="CH72" s="10">
        <v>254.48513737000002</v>
      </c>
      <c r="CI72" s="10">
        <v>0</v>
      </c>
      <c r="CJ72" s="10">
        <v>0</v>
      </c>
      <c r="CK72" s="10">
        <v>0</v>
      </c>
      <c r="CL72" s="10">
        <v>0</v>
      </c>
      <c r="CM72" s="10">
        <v>7</v>
      </c>
      <c r="CN72" s="10">
        <v>457.59983108</v>
      </c>
      <c r="CO72" s="10">
        <v>0</v>
      </c>
      <c r="CP72" s="10">
        <v>0</v>
      </c>
      <c r="CQ72" s="10">
        <v>0</v>
      </c>
      <c r="CR72" s="10">
        <v>0</v>
      </c>
      <c r="CS72" s="10">
        <v>0</v>
      </c>
      <c r="CT72" s="10">
        <v>0</v>
      </c>
      <c r="CU72" s="10">
        <v>2</v>
      </c>
      <c r="CV72" s="10">
        <v>161.5</v>
      </c>
      <c r="CW72" s="10">
        <v>0</v>
      </c>
      <c r="CX72" s="10">
        <v>0</v>
      </c>
      <c r="CY72" s="10">
        <v>14</v>
      </c>
      <c r="CZ72" s="10">
        <v>853.47204838999994</v>
      </c>
      <c r="DA72" s="10">
        <v>1</v>
      </c>
      <c r="DB72" s="10">
        <v>62</v>
      </c>
      <c r="DC72" s="10">
        <v>181</v>
      </c>
      <c r="DD72" s="10">
        <v>10252.913253470004</v>
      </c>
      <c r="DE72" s="10">
        <v>6</v>
      </c>
      <c r="DF72" s="10">
        <v>112.33478158</v>
      </c>
      <c r="DG72" s="10">
        <v>402</v>
      </c>
      <c r="DH72" s="10">
        <v>15675.017854060001</v>
      </c>
      <c r="DI72" s="10">
        <v>0</v>
      </c>
      <c r="DJ72" s="10">
        <v>0</v>
      </c>
      <c r="DK72" s="10">
        <v>1</v>
      </c>
      <c r="DL72" s="10">
        <v>86.39257443000001</v>
      </c>
      <c r="DM72" s="10">
        <v>0</v>
      </c>
      <c r="DN72" s="10">
        <v>0</v>
      </c>
      <c r="DO72" s="10">
        <v>11</v>
      </c>
      <c r="DP72" s="10">
        <v>272.26499999999999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0</v>
      </c>
      <c r="DW72" s="10">
        <v>0</v>
      </c>
      <c r="DX72" s="10">
        <v>0</v>
      </c>
      <c r="DY72" s="10">
        <v>0</v>
      </c>
      <c r="DZ72" s="10">
        <v>0</v>
      </c>
      <c r="EA72" s="10">
        <v>0</v>
      </c>
      <c r="EB72" s="10">
        <v>0</v>
      </c>
      <c r="EC72" s="10">
        <v>0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0</v>
      </c>
      <c r="EJ72" s="10">
        <v>0</v>
      </c>
      <c r="EK72" s="10">
        <v>0</v>
      </c>
      <c r="EL72" s="10">
        <v>0</v>
      </c>
      <c r="EM72" s="10">
        <v>0</v>
      </c>
      <c r="EN72" s="10">
        <v>0</v>
      </c>
      <c r="EO72" s="10">
        <v>0</v>
      </c>
      <c r="EP72" s="10">
        <v>0</v>
      </c>
      <c r="EQ72" s="10">
        <v>0</v>
      </c>
      <c r="ER72" s="10">
        <v>0</v>
      </c>
      <c r="ES72" s="10">
        <v>0</v>
      </c>
      <c r="ET72" s="10">
        <v>0</v>
      </c>
      <c r="EU72" s="10">
        <v>0</v>
      </c>
      <c r="EV72" s="10">
        <v>0</v>
      </c>
      <c r="EW72" s="10">
        <v>0</v>
      </c>
      <c r="EX72" s="10">
        <v>0</v>
      </c>
      <c r="EY72" s="10">
        <v>0</v>
      </c>
      <c r="EZ72" s="10">
        <v>0</v>
      </c>
      <c r="FA72" s="10">
        <v>0</v>
      </c>
      <c r="FB72" s="10">
        <v>0</v>
      </c>
      <c r="FC72" s="10">
        <v>0</v>
      </c>
      <c r="FD72" s="10">
        <v>0</v>
      </c>
      <c r="FE72" s="10">
        <v>0</v>
      </c>
      <c r="FF72" s="10">
        <v>0</v>
      </c>
      <c r="FG72" s="10">
        <v>0</v>
      </c>
      <c r="FH72" s="10">
        <v>0</v>
      </c>
      <c r="FI72" s="10">
        <v>0</v>
      </c>
      <c r="FJ72" s="10">
        <v>0</v>
      </c>
      <c r="FK72" s="10">
        <v>0</v>
      </c>
      <c r="FL72" s="10">
        <v>0</v>
      </c>
      <c r="FM72" s="10">
        <v>0</v>
      </c>
      <c r="FN72" s="10">
        <v>0</v>
      </c>
      <c r="FO72" s="10">
        <v>0</v>
      </c>
      <c r="FP72" s="10">
        <v>0</v>
      </c>
      <c r="FQ72" s="10">
        <v>0</v>
      </c>
      <c r="FR72" s="10">
        <v>0</v>
      </c>
      <c r="FS72" s="10">
        <v>0</v>
      </c>
      <c r="FT72" s="10">
        <v>0</v>
      </c>
      <c r="FU72" s="10">
        <v>0</v>
      </c>
      <c r="FV72" s="10">
        <v>0</v>
      </c>
      <c r="FW72" s="18">
        <f t="shared" ref="FW72:FW102" si="24">+G72-K72-O72-S72</f>
        <v>0</v>
      </c>
      <c r="FX72" s="18">
        <f t="shared" si="18"/>
        <v>0</v>
      </c>
      <c r="FY72" s="18">
        <f t="shared" si="19"/>
        <v>0</v>
      </c>
      <c r="FZ72" s="18">
        <f t="shared" si="20"/>
        <v>2.5579538487363607E-13</v>
      </c>
      <c r="GA72" s="18">
        <f t="shared" ref="GA72:GA102" si="25">+G72-W72-AA72-AE72-AI72-AM72-AQ72-AU72-AY72-BC72-BG72-BK72-BO72-BS72-BW72-CA72-CE72-CI72-CM72-CQ72-CU72-CY72-DC72-DG72-DK72-DO72-DS72-DW72-EA72-EE72-EI72-EM72-EQ72-EU72-EY72-FC72-FG72-FK72-FO72-FS72</f>
        <v>0</v>
      </c>
      <c r="GB72" s="18">
        <f t="shared" si="21"/>
        <v>7.3896444519050419E-13</v>
      </c>
      <c r="GC72" s="18">
        <f t="shared" si="22"/>
        <v>0</v>
      </c>
      <c r="GD72" s="18">
        <f t="shared" si="23"/>
        <v>-1.4210854715202004E-13</v>
      </c>
    </row>
    <row r="73" spans="1:186" s="11" customFormat="1" ht="27" customHeight="1" x14ac:dyDescent="0.25">
      <c r="A73" s="66" t="s">
        <v>31</v>
      </c>
      <c r="B73" s="1">
        <f t="shared" ref="B73:B102" si="26">+B72+1</f>
        <v>66</v>
      </c>
      <c r="C73" s="20" t="s">
        <v>2123</v>
      </c>
      <c r="D73" s="20" t="s">
        <v>2124</v>
      </c>
      <c r="E73" s="65">
        <v>11291</v>
      </c>
      <c r="F73" s="19" t="s">
        <v>2107</v>
      </c>
      <c r="G73" s="9">
        <v>3679</v>
      </c>
      <c r="H73" s="9">
        <v>1240924.11007962</v>
      </c>
      <c r="I73" s="9">
        <v>16</v>
      </c>
      <c r="J73" s="9">
        <v>893.79948249999995</v>
      </c>
      <c r="K73" s="9">
        <v>140</v>
      </c>
      <c r="L73" s="9">
        <v>906042.56304261996</v>
      </c>
      <c r="M73" s="9">
        <v>3</v>
      </c>
      <c r="N73" s="9">
        <v>210.29419355000002</v>
      </c>
      <c r="O73" s="9">
        <v>78</v>
      </c>
      <c r="P73" s="9">
        <v>7267.1568609400001</v>
      </c>
      <c r="Q73" s="9">
        <v>2</v>
      </c>
      <c r="R73" s="9">
        <v>430.75659725000003</v>
      </c>
      <c r="S73" s="9">
        <v>3461</v>
      </c>
      <c r="T73" s="9">
        <v>327614.39017605997</v>
      </c>
      <c r="U73" s="9">
        <v>11</v>
      </c>
      <c r="V73" s="9">
        <v>252.74869169999999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8</v>
      </c>
      <c r="AJ73" s="10">
        <v>617.777782</v>
      </c>
      <c r="AK73" s="10">
        <v>0</v>
      </c>
      <c r="AL73" s="10">
        <v>0</v>
      </c>
      <c r="AM73" s="10">
        <v>10</v>
      </c>
      <c r="AN73" s="10">
        <v>30203.470181300003</v>
      </c>
      <c r="AO73" s="10">
        <v>0</v>
      </c>
      <c r="AP73" s="10">
        <v>0</v>
      </c>
      <c r="AQ73" s="10">
        <v>3</v>
      </c>
      <c r="AR73" s="10">
        <v>61418.222666150003</v>
      </c>
      <c r="AS73" s="10">
        <v>0</v>
      </c>
      <c r="AT73" s="10">
        <v>0</v>
      </c>
      <c r="AU73" s="10">
        <v>12</v>
      </c>
      <c r="AV73" s="10">
        <v>80032.733769750004</v>
      </c>
      <c r="AW73" s="10">
        <v>0</v>
      </c>
      <c r="AX73" s="10">
        <v>0</v>
      </c>
      <c r="AY73" s="10">
        <v>1</v>
      </c>
      <c r="AZ73" s="10">
        <v>1482.6542055899999</v>
      </c>
      <c r="BA73" s="10">
        <v>0</v>
      </c>
      <c r="BB73" s="10">
        <v>0</v>
      </c>
      <c r="BC73" s="10">
        <v>4</v>
      </c>
      <c r="BD73" s="10">
        <v>19183.463675790001</v>
      </c>
      <c r="BE73" s="10">
        <v>0</v>
      </c>
      <c r="BF73" s="10">
        <v>0</v>
      </c>
      <c r="BG73" s="10">
        <v>10</v>
      </c>
      <c r="BH73" s="10">
        <v>670105.53178831004</v>
      </c>
      <c r="BI73" s="10">
        <v>0</v>
      </c>
      <c r="BJ73" s="10">
        <v>0</v>
      </c>
      <c r="BK73" s="10">
        <v>6</v>
      </c>
      <c r="BL73" s="10">
        <v>548.66919565000001</v>
      </c>
      <c r="BM73" s="10">
        <v>1</v>
      </c>
      <c r="BN73" s="10">
        <v>82.427905240000001</v>
      </c>
      <c r="BO73" s="10">
        <v>94</v>
      </c>
      <c r="BP73" s="10">
        <v>26682.2991459</v>
      </c>
      <c r="BQ73" s="10">
        <v>2</v>
      </c>
      <c r="BR73" s="10">
        <v>430.75659725000003</v>
      </c>
      <c r="BS73" s="10">
        <v>36</v>
      </c>
      <c r="BT73" s="10">
        <v>3083.60791617</v>
      </c>
      <c r="BU73" s="10">
        <v>1</v>
      </c>
      <c r="BV73" s="10">
        <v>75.000000999999997</v>
      </c>
      <c r="BW73" s="10">
        <v>3</v>
      </c>
      <c r="BX73" s="10">
        <v>133.333336</v>
      </c>
      <c r="BY73" s="10">
        <v>0</v>
      </c>
      <c r="BZ73" s="10">
        <v>0</v>
      </c>
      <c r="CA73" s="10">
        <v>3</v>
      </c>
      <c r="CB73" s="10">
        <v>2227.3107323099998</v>
      </c>
      <c r="CC73" s="10">
        <v>1</v>
      </c>
      <c r="CD73" s="10">
        <v>52.866287310000004</v>
      </c>
      <c r="CE73" s="10">
        <v>6</v>
      </c>
      <c r="CF73" s="10">
        <v>12597.766366029999</v>
      </c>
      <c r="CG73" s="10">
        <v>0</v>
      </c>
      <c r="CH73" s="10">
        <v>0</v>
      </c>
      <c r="CI73" s="10">
        <v>5</v>
      </c>
      <c r="CJ73" s="10">
        <v>1173.3333359999999</v>
      </c>
      <c r="CK73" s="10">
        <v>0</v>
      </c>
      <c r="CL73" s="10">
        <v>0</v>
      </c>
      <c r="CM73" s="10">
        <v>1</v>
      </c>
      <c r="CN73" s="10">
        <v>1300</v>
      </c>
      <c r="CO73" s="10">
        <v>0</v>
      </c>
      <c r="CP73" s="10">
        <v>0</v>
      </c>
      <c r="CQ73" s="10">
        <v>6</v>
      </c>
      <c r="CR73" s="10">
        <v>828.63613760999999</v>
      </c>
      <c r="CS73" s="10">
        <v>0</v>
      </c>
      <c r="CT73" s="10">
        <v>0</v>
      </c>
      <c r="CU73" s="10">
        <v>2</v>
      </c>
      <c r="CV73" s="10">
        <v>1050</v>
      </c>
      <c r="CW73" s="10">
        <v>0</v>
      </c>
      <c r="CX73" s="10">
        <v>0</v>
      </c>
      <c r="CY73" s="10">
        <v>8</v>
      </c>
      <c r="CZ73" s="10">
        <v>640.90966900000001</v>
      </c>
      <c r="DA73" s="10">
        <v>0</v>
      </c>
      <c r="DB73" s="10">
        <v>0</v>
      </c>
      <c r="DC73" s="10">
        <v>225</v>
      </c>
      <c r="DD73" s="10">
        <v>71254.941631189999</v>
      </c>
      <c r="DE73" s="10">
        <v>0</v>
      </c>
      <c r="DF73" s="10">
        <v>0</v>
      </c>
      <c r="DG73" s="10">
        <v>548</v>
      </c>
      <c r="DH73" s="10">
        <v>7184.1460818200039</v>
      </c>
      <c r="DI73" s="10">
        <v>2</v>
      </c>
      <c r="DJ73" s="10">
        <v>29.97727832</v>
      </c>
      <c r="DK73" s="10">
        <v>1614</v>
      </c>
      <c r="DL73" s="10">
        <v>225215.01657808997</v>
      </c>
      <c r="DM73" s="10">
        <v>0</v>
      </c>
      <c r="DN73" s="10">
        <v>0</v>
      </c>
      <c r="DO73" s="10">
        <v>467</v>
      </c>
      <c r="DP73" s="10">
        <v>5724.7433197899991</v>
      </c>
      <c r="DQ73" s="10">
        <v>0</v>
      </c>
      <c r="DR73" s="10">
        <v>0</v>
      </c>
      <c r="DS73" s="10">
        <v>594</v>
      </c>
      <c r="DT73" s="10">
        <v>18040.503677839992</v>
      </c>
      <c r="DU73" s="10">
        <v>9</v>
      </c>
      <c r="DV73" s="10">
        <v>222.77141337999998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0</v>
      </c>
      <c r="EH73" s="10">
        <v>0</v>
      </c>
      <c r="EI73" s="10">
        <v>0</v>
      </c>
      <c r="EJ73" s="10">
        <v>0</v>
      </c>
      <c r="EK73" s="10">
        <v>0</v>
      </c>
      <c r="EL73" s="10">
        <v>0</v>
      </c>
      <c r="EM73" s="10">
        <v>0</v>
      </c>
      <c r="EN73" s="10">
        <v>0</v>
      </c>
      <c r="EO73" s="10">
        <v>0</v>
      </c>
      <c r="EP73" s="10">
        <v>0</v>
      </c>
      <c r="EQ73" s="10">
        <v>0</v>
      </c>
      <c r="ER73" s="10">
        <v>0</v>
      </c>
      <c r="ES73" s="10">
        <v>0</v>
      </c>
      <c r="ET73" s="10">
        <v>0</v>
      </c>
      <c r="EU73" s="10">
        <v>13</v>
      </c>
      <c r="EV73" s="10">
        <v>195.03888732999999</v>
      </c>
      <c r="EW73" s="10">
        <v>0</v>
      </c>
      <c r="EX73" s="10">
        <v>0</v>
      </c>
      <c r="EY73" s="10">
        <v>0</v>
      </c>
      <c r="EZ73" s="10">
        <v>0</v>
      </c>
      <c r="FA73" s="10">
        <v>0</v>
      </c>
      <c r="FB73" s="10">
        <v>0</v>
      </c>
      <c r="FC73" s="10">
        <v>0</v>
      </c>
      <c r="FD73" s="10">
        <v>0</v>
      </c>
      <c r="FE73" s="10">
        <v>0</v>
      </c>
      <c r="FF73" s="10">
        <v>0</v>
      </c>
      <c r="FG73" s="10">
        <v>0</v>
      </c>
      <c r="FH73" s="10">
        <v>0</v>
      </c>
      <c r="FI73" s="10">
        <v>0</v>
      </c>
      <c r="FJ73" s="10">
        <v>0</v>
      </c>
      <c r="FK73" s="10">
        <v>0</v>
      </c>
      <c r="FL73" s="10">
        <v>0</v>
      </c>
      <c r="FM73" s="10">
        <v>0</v>
      </c>
      <c r="FN73" s="10">
        <v>0</v>
      </c>
      <c r="FO73" s="10">
        <v>0</v>
      </c>
      <c r="FP73" s="10">
        <v>0</v>
      </c>
      <c r="FQ73" s="10">
        <v>0</v>
      </c>
      <c r="FR73" s="10">
        <v>0</v>
      </c>
      <c r="FS73" s="10">
        <v>0</v>
      </c>
      <c r="FT73" s="10">
        <v>0</v>
      </c>
      <c r="FU73" s="10">
        <v>0</v>
      </c>
      <c r="FV73" s="10">
        <v>0</v>
      </c>
      <c r="FW73" s="18">
        <f t="shared" si="24"/>
        <v>0</v>
      </c>
      <c r="FX73" s="18">
        <f t="shared" si="18"/>
        <v>0</v>
      </c>
      <c r="FY73" s="18">
        <f t="shared" si="19"/>
        <v>0</v>
      </c>
      <c r="FZ73" s="18">
        <f t="shared" si="20"/>
        <v>0</v>
      </c>
      <c r="GA73" s="18">
        <f t="shared" si="25"/>
        <v>0</v>
      </c>
      <c r="GB73" s="18">
        <f t="shared" si="21"/>
        <v>9.808331924432423E-11</v>
      </c>
      <c r="GC73" s="18">
        <f t="shared" si="22"/>
        <v>0</v>
      </c>
      <c r="GD73" s="18">
        <f t="shared" si="23"/>
        <v>-5.6843418860808015E-14</v>
      </c>
    </row>
    <row r="74" spans="1:186" s="11" customFormat="1" ht="27" customHeight="1" x14ac:dyDescent="0.25">
      <c r="A74" s="66" t="s">
        <v>35</v>
      </c>
      <c r="B74" s="1">
        <f t="shared" si="26"/>
        <v>67</v>
      </c>
      <c r="C74" s="20" t="s">
        <v>2139</v>
      </c>
      <c r="D74" s="20" t="s">
        <v>2140</v>
      </c>
      <c r="E74" s="65">
        <v>11443</v>
      </c>
      <c r="F74" s="19" t="s">
        <v>2073</v>
      </c>
      <c r="G74" s="9">
        <v>2721</v>
      </c>
      <c r="H74" s="9">
        <v>156577.54228864997</v>
      </c>
      <c r="I74" s="9">
        <v>58</v>
      </c>
      <c r="J74" s="9">
        <v>1307.7760041099998</v>
      </c>
      <c r="K74" s="9">
        <v>154</v>
      </c>
      <c r="L74" s="9">
        <v>79224.280896589989</v>
      </c>
      <c r="M74" s="9">
        <v>2</v>
      </c>
      <c r="N74" s="9">
        <v>597.54689338000003</v>
      </c>
      <c r="O74" s="9">
        <v>103</v>
      </c>
      <c r="P74" s="9">
        <v>12400.970344450001</v>
      </c>
      <c r="Q74" s="9">
        <v>0</v>
      </c>
      <c r="R74" s="9">
        <v>0</v>
      </c>
      <c r="S74" s="9">
        <v>2464</v>
      </c>
      <c r="T74" s="9">
        <v>64952.29104760995</v>
      </c>
      <c r="U74" s="9">
        <v>56</v>
      </c>
      <c r="V74" s="9">
        <v>710.22911073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2</v>
      </c>
      <c r="AJ74" s="10">
        <v>63.141104540000001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2</v>
      </c>
      <c r="BD74" s="10">
        <v>344.42660513999999</v>
      </c>
      <c r="BE74" s="10">
        <v>0</v>
      </c>
      <c r="BF74" s="10">
        <v>0</v>
      </c>
      <c r="BG74" s="10">
        <v>6</v>
      </c>
      <c r="BH74" s="10">
        <v>3217.60678452</v>
      </c>
      <c r="BI74" s="10">
        <v>0</v>
      </c>
      <c r="BJ74" s="10">
        <v>0</v>
      </c>
      <c r="BK74" s="10">
        <v>8</v>
      </c>
      <c r="BL74" s="10">
        <v>13855.657959489999</v>
      </c>
      <c r="BM74" s="10">
        <v>0</v>
      </c>
      <c r="BN74" s="10">
        <v>0</v>
      </c>
      <c r="BO74" s="10">
        <v>138</v>
      </c>
      <c r="BP74" s="10">
        <v>23633.069555079997</v>
      </c>
      <c r="BQ74" s="10">
        <v>0</v>
      </c>
      <c r="BR74" s="10">
        <v>0</v>
      </c>
      <c r="BS74" s="10">
        <v>2</v>
      </c>
      <c r="BT74" s="10">
        <v>117.78795339</v>
      </c>
      <c r="BU74" s="10">
        <v>0</v>
      </c>
      <c r="BV74" s="10">
        <v>0</v>
      </c>
      <c r="BW74" s="10">
        <v>10</v>
      </c>
      <c r="BX74" s="10">
        <v>2162.05408283</v>
      </c>
      <c r="BY74" s="10">
        <v>2</v>
      </c>
      <c r="BZ74" s="10">
        <v>597.54689338000003</v>
      </c>
      <c r="CA74" s="10">
        <v>2</v>
      </c>
      <c r="CB74" s="10">
        <v>608.93819631000008</v>
      </c>
      <c r="CC74" s="10">
        <v>0</v>
      </c>
      <c r="CD74" s="10">
        <v>0</v>
      </c>
      <c r="CE74" s="10">
        <v>5</v>
      </c>
      <c r="CF74" s="10">
        <v>20796.487197729999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2</v>
      </c>
      <c r="CN74" s="10">
        <v>105.70473372999999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80</v>
      </c>
      <c r="CZ74" s="10">
        <v>26720.377068279995</v>
      </c>
      <c r="DA74" s="10">
        <v>0</v>
      </c>
      <c r="DB74" s="10">
        <v>0</v>
      </c>
      <c r="DC74" s="10">
        <v>77</v>
      </c>
      <c r="DD74" s="10">
        <v>12731.506240719997</v>
      </c>
      <c r="DE74" s="10">
        <v>0</v>
      </c>
      <c r="DF74" s="10">
        <v>0</v>
      </c>
      <c r="DG74" s="10">
        <v>1797</v>
      </c>
      <c r="DH74" s="10">
        <v>21313.866847690006</v>
      </c>
      <c r="DI74" s="10">
        <v>55</v>
      </c>
      <c r="DJ74" s="10">
        <v>636.17741529</v>
      </c>
      <c r="DK74" s="10">
        <v>216</v>
      </c>
      <c r="DL74" s="10">
        <v>13948.972205440003</v>
      </c>
      <c r="DM74" s="10">
        <v>0</v>
      </c>
      <c r="DN74" s="10">
        <v>0</v>
      </c>
      <c r="DO74" s="10">
        <v>94</v>
      </c>
      <c r="DP74" s="10">
        <v>1337.8313652800002</v>
      </c>
      <c r="DQ74" s="10">
        <v>0</v>
      </c>
      <c r="DR74" s="10">
        <v>0</v>
      </c>
      <c r="DS74" s="10">
        <v>273</v>
      </c>
      <c r="DT74" s="10">
        <v>15534.146669940006</v>
      </c>
      <c r="DU74" s="10">
        <v>1</v>
      </c>
      <c r="DV74" s="10">
        <v>74.051695440000003</v>
      </c>
      <c r="DW74" s="10">
        <v>0</v>
      </c>
      <c r="DX74" s="10">
        <v>0</v>
      </c>
      <c r="DY74" s="10">
        <v>0</v>
      </c>
      <c r="DZ74" s="10">
        <v>0</v>
      </c>
      <c r="EA74" s="10">
        <v>0</v>
      </c>
      <c r="EB74" s="10">
        <v>0</v>
      </c>
      <c r="EC74" s="10">
        <v>0</v>
      </c>
      <c r="ED74" s="10">
        <v>0</v>
      </c>
      <c r="EE74" s="10">
        <v>0</v>
      </c>
      <c r="EF74" s="10">
        <v>0</v>
      </c>
      <c r="EG74" s="10">
        <v>0</v>
      </c>
      <c r="EH74" s="10">
        <v>0</v>
      </c>
      <c r="EI74" s="10">
        <v>0</v>
      </c>
      <c r="EJ74" s="10">
        <v>0</v>
      </c>
      <c r="EK74" s="10">
        <v>0</v>
      </c>
      <c r="EL74" s="10">
        <v>0</v>
      </c>
      <c r="EM74" s="10">
        <v>0</v>
      </c>
      <c r="EN74" s="10">
        <v>0</v>
      </c>
      <c r="EO74" s="10">
        <v>0</v>
      </c>
      <c r="EP74" s="10">
        <v>0</v>
      </c>
      <c r="EQ74" s="10">
        <v>0</v>
      </c>
      <c r="ER74" s="10">
        <v>0</v>
      </c>
      <c r="ES74" s="10">
        <v>0</v>
      </c>
      <c r="ET74" s="10">
        <v>0</v>
      </c>
      <c r="EU74" s="10">
        <v>7</v>
      </c>
      <c r="EV74" s="10">
        <v>85.967718540000007</v>
      </c>
      <c r="EW74" s="10">
        <v>0</v>
      </c>
      <c r="EX74" s="10">
        <v>0</v>
      </c>
      <c r="EY74" s="10">
        <v>0</v>
      </c>
      <c r="EZ74" s="10">
        <v>0</v>
      </c>
      <c r="FA74" s="10">
        <v>0</v>
      </c>
      <c r="FB74" s="10">
        <v>0</v>
      </c>
      <c r="FC74" s="10">
        <v>0</v>
      </c>
      <c r="FD74" s="10">
        <v>0</v>
      </c>
      <c r="FE74" s="10">
        <v>0</v>
      </c>
      <c r="FF74" s="10">
        <v>0</v>
      </c>
      <c r="FG74" s="10">
        <v>0</v>
      </c>
      <c r="FH74" s="10">
        <v>0</v>
      </c>
      <c r="FI74" s="10">
        <v>0</v>
      </c>
      <c r="FJ74" s="10">
        <v>0</v>
      </c>
      <c r="FK74" s="10">
        <v>0</v>
      </c>
      <c r="FL74" s="10">
        <v>0</v>
      </c>
      <c r="FM74" s="10">
        <v>0</v>
      </c>
      <c r="FN74" s="10">
        <v>0</v>
      </c>
      <c r="FO74" s="10">
        <v>0</v>
      </c>
      <c r="FP74" s="10">
        <v>0</v>
      </c>
      <c r="FQ74" s="10">
        <v>0</v>
      </c>
      <c r="FR74" s="10">
        <v>0</v>
      </c>
      <c r="FS74" s="10">
        <v>0</v>
      </c>
      <c r="FT74" s="10">
        <v>0</v>
      </c>
      <c r="FU74" s="10">
        <v>0</v>
      </c>
      <c r="FV74" s="10">
        <v>0</v>
      </c>
      <c r="FW74" s="18">
        <f t="shared" si="24"/>
        <v>0</v>
      </c>
      <c r="FX74" s="18">
        <f t="shared" si="18"/>
        <v>0</v>
      </c>
      <c r="FY74" s="18">
        <f t="shared" si="19"/>
        <v>0</v>
      </c>
      <c r="FZ74" s="18">
        <f t="shared" si="20"/>
        <v>0</v>
      </c>
      <c r="GA74" s="18">
        <f t="shared" si="25"/>
        <v>0</v>
      </c>
      <c r="GB74" s="18">
        <f t="shared" si="21"/>
        <v>-3.3125502341135871E-11</v>
      </c>
      <c r="GC74" s="18">
        <f t="shared" si="22"/>
        <v>0</v>
      </c>
      <c r="GD74" s="18">
        <f t="shared" si="23"/>
        <v>-2.2737367544323206E-13</v>
      </c>
    </row>
    <row r="75" spans="1:186" s="11" customFormat="1" ht="27" customHeight="1" x14ac:dyDescent="0.25">
      <c r="A75" s="66" t="s">
        <v>35</v>
      </c>
      <c r="B75" s="1">
        <f t="shared" si="26"/>
        <v>68</v>
      </c>
      <c r="C75" s="20" t="s">
        <v>2139</v>
      </c>
      <c r="D75" s="20" t="s">
        <v>2141</v>
      </c>
      <c r="E75" s="65">
        <v>11444</v>
      </c>
      <c r="F75" s="19" t="s">
        <v>2039</v>
      </c>
      <c r="G75" s="9">
        <v>3633</v>
      </c>
      <c r="H75" s="9">
        <v>232159.55835134999</v>
      </c>
      <c r="I75" s="9">
        <v>86</v>
      </c>
      <c r="J75" s="9">
        <v>2008.1962950499997</v>
      </c>
      <c r="K75" s="9">
        <v>213</v>
      </c>
      <c r="L75" s="9">
        <v>136086.09539075001</v>
      </c>
      <c r="M75" s="9">
        <v>3</v>
      </c>
      <c r="N75" s="9">
        <v>203.83296200000001</v>
      </c>
      <c r="O75" s="9">
        <v>97</v>
      </c>
      <c r="P75" s="9">
        <v>9636.487835689999</v>
      </c>
      <c r="Q75" s="9">
        <v>2</v>
      </c>
      <c r="R75" s="9">
        <v>312.91661318000001</v>
      </c>
      <c r="S75" s="9">
        <v>3323</v>
      </c>
      <c r="T75" s="9">
        <v>86436.975124909994</v>
      </c>
      <c r="U75" s="9">
        <v>81</v>
      </c>
      <c r="V75" s="9">
        <v>1491.4467198699999</v>
      </c>
      <c r="W75" s="10">
        <v>1</v>
      </c>
      <c r="X75" s="10">
        <v>4.4421744699999994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2</v>
      </c>
      <c r="AJ75" s="10">
        <v>88.811946550000002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3</v>
      </c>
      <c r="AV75" s="10">
        <v>128.63121822000002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12</v>
      </c>
      <c r="BH75" s="10">
        <v>19738.989974669999</v>
      </c>
      <c r="BI75" s="10">
        <v>1</v>
      </c>
      <c r="BJ75" s="10">
        <v>19.511706820000001</v>
      </c>
      <c r="BK75" s="10">
        <v>4</v>
      </c>
      <c r="BL75" s="10">
        <v>2898.0230813499998</v>
      </c>
      <c r="BM75" s="10">
        <v>0</v>
      </c>
      <c r="BN75" s="10">
        <v>0</v>
      </c>
      <c r="BO75" s="10">
        <v>101</v>
      </c>
      <c r="BP75" s="10">
        <v>21948.073680960002</v>
      </c>
      <c r="BQ75" s="10">
        <v>3</v>
      </c>
      <c r="BR75" s="10">
        <v>278.45114130000002</v>
      </c>
      <c r="BS75" s="10">
        <v>10</v>
      </c>
      <c r="BT75" s="10">
        <v>745.18717683999989</v>
      </c>
      <c r="BU75" s="10">
        <v>0</v>
      </c>
      <c r="BV75" s="10">
        <v>0</v>
      </c>
      <c r="BW75" s="10">
        <v>55</v>
      </c>
      <c r="BX75" s="10">
        <v>20354.444121189998</v>
      </c>
      <c r="BY75" s="10">
        <v>1</v>
      </c>
      <c r="BZ75" s="10">
        <v>218.78672706</v>
      </c>
      <c r="CA75" s="10">
        <v>0</v>
      </c>
      <c r="CB75" s="10">
        <v>0</v>
      </c>
      <c r="CC75" s="10">
        <v>0</v>
      </c>
      <c r="CD75" s="10">
        <v>0</v>
      </c>
      <c r="CE75" s="10">
        <v>3</v>
      </c>
      <c r="CF75" s="10">
        <v>5006.4237269300002</v>
      </c>
      <c r="CG75" s="10">
        <v>0</v>
      </c>
      <c r="CH75" s="10">
        <v>0</v>
      </c>
      <c r="CI75" s="10">
        <v>3</v>
      </c>
      <c r="CJ75" s="10">
        <v>207.89367555000001</v>
      </c>
      <c r="CK75" s="10">
        <v>0</v>
      </c>
      <c r="CL75" s="10">
        <v>0</v>
      </c>
      <c r="CM75" s="10">
        <v>1</v>
      </c>
      <c r="CN75" s="10">
        <v>79.08974431</v>
      </c>
      <c r="CO75" s="10">
        <v>0</v>
      </c>
      <c r="CP75" s="10">
        <v>0</v>
      </c>
      <c r="CQ75" s="10">
        <v>0</v>
      </c>
      <c r="CR75" s="10">
        <v>0</v>
      </c>
      <c r="CS75" s="10">
        <v>0</v>
      </c>
      <c r="CT75" s="10">
        <v>0</v>
      </c>
      <c r="CU75" s="10">
        <v>3</v>
      </c>
      <c r="CV75" s="10">
        <v>28242.650626580002</v>
      </c>
      <c r="CW75" s="10">
        <v>0</v>
      </c>
      <c r="CX75" s="10">
        <v>0</v>
      </c>
      <c r="CY75" s="10">
        <v>112</v>
      </c>
      <c r="CZ75" s="10">
        <v>46279.922078820011</v>
      </c>
      <c r="DA75" s="10">
        <v>0</v>
      </c>
      <c r="DB75" s="10">
        <v>0</v>
      </c>
      <c r="DC75" s="10">
        <v>106</v>
      </c>
      <c r="DD75" s="10">
        <v>20818.631531730007</v>
      </c>
      <c r="DE75" s="10">
        <v>1</v>
      </c>
      <c r="DF75" s="10">
        <v>156.08340208999999</v>
      </c>
      <c r="DG75" s="10">
        <v>2634</v>
      </c>
      <c r="DH75" s="10">
        <v>39781.306490260031</v>
      </c>
      <c r="DI75" s="10">
        <v>75</v>
      </c>
      <c r="DJ75" s="10">
        <v>762.54912556999989</v>
      </c>
      <c r="DK75" s="10">
        <v>181</v>
      </c>
      <c r="DL75" s="10">
        <v>11160.317728459997</v>
      </c>
      <c r="DM75" s="10">
        <v>2</v>
      </c>
      <c r="DN75" s="10">
        <v>375.97112074</v>
      </c>
      <c r="DO75" s="10">
        <v>176</v>
      </c>
      <c r="DP75" s="10">
        <v>2269.0527990800001</v>
      </c>
      <c r="DQ75" s="10">
        <v>0</v>
      </c>
      <c r="DR75" s="10">
        <v>0</v>
      </c>
      <c r="DS75" s="10">
        <v>226</v>
      </c>
      <c r="DT75" s="10">
        <v>12407.666575379999</v>
      </c>
      <c r="DU75" s="10">
        <v>3</v>
      </c>
      <c r="DV75" s="10">
        <v>196.84307147000001</v>
      </c>
      <c r="DW75" s="10">
        <v>0</v>
      </c>
      <c r="DX75" s="10">
        <v>0</v>
      </c>
      <c r="DY75" s="10">
        <v>0</v>
      </c>
      <c r="DZ75" s="10">
        <v>0</v>
      </c>
      <c r="EA75" s="10">
        <v>0</v>
      </c>
      <c r="EB75" s="10">
        <v>0</v>
      </c>
      <c r="EC75" s="10">
        <v>0</v>
      </c>
      <c r="ED75" s="10">
        <v>0</v>
      </c>
      <c r="EE75" s="10">
        <v>0</v>
      </c>
      <c r="EF75" s="10">
        <v>0</v>
      </c>
      <c r="EG75" s="10">
        <v>0</v>
      </c>
      <c r="EH75" s="10">
        <v>0</v>
      </c>
      <c r="EI75" s="10">
        <v>0</v>
      </c>
      <c r="EJ75" s="10">
        <v>0</v>
      </c>
      <c r="EK75" s="10">
        <v>0</v>
      </c>
      <c r="EL75" s="10">
        <v>0</v>
      </c>
      <c r="EM75" s="10">
        <v>0</v>
      </c>
      <c r="EN75" s="10">
        <v>0</v>
      </c>
      <c r="EO75" s="10">
        <v>0</v>
      </c>
      <c r="EP75" s="10">
        <v>0</v>
      </c>
      <c r="EQ75" s="10">
        <v>0</v>
      </c>
      <c r="ER75" s="10">
        <v>0</v>
      </c>
      <c r="ES75" s="10">
        <v>0</v>
      </c>
      <c r="ET75" s="10">
        <v>0</v>
      </c>
      <c r="EU75" s="10">
        <v>0</v>
      </c>
      <c r="EV75" s="10">
        <v>0</v>
      </c>
      <c r="EW75" s="10">
        <v>0</v>
      </c>
      <c r="EX75" s="10">
        <v>0</v>
      </c>
      <c r="EY75" s="10">
        <v>0</v>
      </c>
      <c r="EZ75" s="10">
        <v>0</v>
      </c>
      <c r="FA75" s="10">
        <v>0</v>
      </c>
      <c r="FB75" s="10">
        <v>0</v>
      </c>
      <c r="FC75" s="10">
        <v>0</v>
      </c>
      <c r="FD75" s="10">
        <v>0</v>
      </c>
      <c r="FE75" s="10">
        <v>0</v>
      </c>
      <c r="FF75" s="10">
        <v>0</v>
      </c>
      <c r="FG75" s="10">
        <v>0</v>
      </c>
      <c r="FH75" s="10">
        <v>0</v>
      </c>
      <c r="FI75" s="10">
        <v>0</v>
      </c>
      <c r="FJ75" s="10">
        <v>0</v>
      </c>
      <c r="FK75" s="10">
        <v>0</v>
      </c>
      <c r="FL75" s="10">
        <v>0</v>
      </c>
      <c r="FM75" s="10">
        <v>0</v>
      </c>
      <c r="FN75" s="10">
        <v>0</v>
      </c>
      <c r="FO75" s="10">
        <v>0</v>
      </c>
      <c r="FP75" s="10">
        <v>0</v>
      </c>
      <c r="FQ75" s="10">
        <v>0</v>
      </c>
      <c r="FR75" s="10">
        <v>0</v>
      </c>
      <c r="FS75" s="10">
        <v>0</v>
      </c>
      <c r="FT75" s="10">
        <v>0</v>
      </c>
      <c r="FU75" s="10">
        <v>0</v>
      </c>
      <c r="FV75" s="10">
        <v>0</v>
      </c>
      <c r="FW75" s="18">
        <f t="shared" si="24"/>
        <v>0</v>
      </c>
      <c r="FX75" s="18">
        <f t="shared" si="18"/>
        <v>0</v>
      </c>
      <c r="FY75" s="18">
        <f t="shared" si="19"/>
        <v>0</v>
      </c>
      <c r="FZ75" s="18">
        <f t="shared" si="20"/>
        <v>0</v>
      </c>
      <c r="GA75" s="18">
        <f t="shared" si="25"/>
        <v>0</v>
      </c>
      <c r="GB75" s="18">
        <f t="shared" si="21"/>
        <v>-2.1827872842550278E-11</v>
      </c>
      <c r="GC75" s="18">
        <f t="shared" si="22"/>
        <v>0</v>
      </c>
      <c r="GD75" s="18">
        <f t="shared" si="23"/>
        <v>-1.4210854715202004E-13</v>
      </c>
    </row>
    <row r="76" spans="1:186" s="11" customFormat="1" ht="27" customHeight="1" x14ac:dyDescent="0.25">
      <c r="A76" s="66" t="s">
        <v>35</v>
      </c>
      <c r="B76" s="1">
        <f t="shared" si="26"/>
        <v>69</v>
      </c>
      <c r="C76" s="20" t="s">
        <v>2139</v>
      </c>
      <c r="D76" s="20" t="s">
        <v>2142</v>
      </c>
      <c r="E76" s="65">
        <v>11445</v>
      </c>
      <c r="F76" s="19" t="s">
        <v>2049</v>
      </c>
      <c r="G76" s="9">
        <v>4730</v>
      </c>
      <c r="H76" s="9">
        <v>315686.70144726028</v>
      </c>
      <c r="I76" s="9">
        <v>131</v>
      </c>
      <c r="J76" s="9">
        <v>4171.5567117699984</v>
      </c>
      <c r="K76" s="9">
        <v>240</v>
      </c>
      <c r="L76" s="9">
        <v>110875.47844941997</v>
      </c>
      <c r="M76" s="9">
        <v>2</v>
      </c>
      <c r="N76" s="9">
        <v>188.44278265</v>
      </c>
      <c r="O76" s="9">
        <v>245</v>
      </c>
      <c r="P76" s="9">
        <v>28870.495177159995</v>
      </c>
      <c r="Q76" s="9">
        <v>4</v>
      </c>
      <c r="R76" s="9">
        <v>340.46604681999997</v>
      </c>
      <c r="S76" s="9">
        <v>4245</v>
      </c>
      <c r="T76" s="9">
        <v>175940.72782067992</v>
      </c>
      <c r="U76" s="9">
        <v>125</v>
      </c>
      <c r="V76" s="9">
        <v>3642.6478822999989</v>
      </c>
      <c r="W76" s="10">
        <v>1</v>
      </c>
      <c r="X76" s="10">
        <v>101.43600000000001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2</v>
      </c>
      <c r="AJ76" s="10">
        <v>62.356821459999999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2</v>
      </c>
      <c r="BH76" s="10">
        <v>406.24857412</v>
      </c>
      <c r="BI76" s="10">
        <v>0</v>
      </c>
      <c r="BJ76" s="10">
        <v>0</v>
      </c>
      <c r="BK76" s="10">
        <v>4</v>
      </c>
      <c r="BL76" s="10">
        <v>1718.8256541000001</v>
      </c>
      <c r="BM76" s="10">
        <v>0</v>
      </c>
      <c r="BN76" s="10">
        <v>0</v>
      </c>
      <c r="BO76" s="10">
        <v>248</v>
      </c>
      <c r="BP76" s="10">
        <v>56090.688694519988</v>
      </c>
      <c r="BQ76" s="10">
        <v>6</v>
      </c>
      <c r="BR76" s="10">
        <v>528.90882947</v>
      </c>
      <c r="BS76" s="10">
        <v>3</v>
      </c>
      <c r="BT76" s="10">
        <v>255.23406838</v>
      </c>
      <c r="BU76" s="10">
        <v>0</v>
      </c>
      <c r="BV76" s="10">
        <v>0</v>
      </c>
      <c r="BW76" s="10">
        <v>25</v>
      </c>
      <c r="BX76" s="10">
        <v>18285.062105860001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3</v>
      </c>
      <c r="CF76" s="10">
        <v>170.13281871999999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1</v>
      </c>
      <c r="CN76" s="10">
        <v>474.26661538999997</v>
      </c>
      <c r="CO76" s="10">
        <v>0</v>
      </c>
      <c r="CP76" s="10"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3</v>
      </c>
      <c r="CV76" s="10">
        <v>275.941103</v>
      </c>
      <c r="CW76" s="10">
        <v>0</v>
      </c>
      <c r="CX76" s="10">
        <v>0</v>
      </c>
      <c r="CY76" s="10">
        <v>193</v>
      </c>
      <c r="CZ76" s="10">
        <v>61905.781171029987</v>
      </c>
      <c r="DA76" s="10">
        <v>0</v>
      </c>
      <c r="DB76" s="10">
        <v>0</v>
      </c>
      <c r="DC76" s="10">
        <v>496</v>
      </c>
      <c r="DD76" s="10">
        <v>82947.009537520004</v>
      </c>
      <c r="DE76" s="10">
        <v>3</v>
      </c>
      <c r="DF76" s="10">
        <v>404.36446232000003</v>
      </c>
      <c r="DG76" s="10">
        <v>2873</v>
      </c>
      <c r="DH76" s="10">
        <v>51126.863274450028</v>
      </c>
      <c r="DI76" s="10">
        <v>112</v>
      </c>
      <c r="DJ76" s="10">
        <v>2421.7913179299994</v>
      </c>
      <c r="DK76" s="10">
        <v>268</v>
      </c>
      <c r="DL76" s="10">
        <v>18185.285725229991</v>
      </c>
      <c r="DM76" s="10">
        <v>3</v>
      </c>
      <c r="DN76" s="10">
        <v>104.80896582999999</v>
      </c>
      <c r="DO76" s="10">
        <v>302</v>
      </c>
      <c r="DP76" s="10">
        <v>4232.9698199699997</v>
      </c>
      <c r="DQ76" s="10">
        <v>0</v>
      </c>
      <c r="DR76" s="10">
        <v>0</v>
      </c>
      <c r="DS76" s="10">
        <v>300</v>
      </c>
      <c r="DT76" s="10">
        <v>19368.741068599993</v>
      </c>
      <c r="DU76" s="10">
        <v>7</v>
      </c>
      <c r="DV76" s="10">
        <v>711.68313622000005</v>
      </c>
      <c r="DW76" s="10">
        <v>0</v>
      </c>
      <c r="DX76" s="10">
        <v>0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>
        <v>0</v>
      </c>
      <c r="EM76" s="10">
        <v>0</v>
      </c>
      <c r="EN76" s="10">
        <v>0</v>
      </c>
      <c r="EO76" s="10">
        <v>0</v>
      </c>
      <c r="EP76" s="10">
        <v>0</v>
      </c>
      <c r="EQ76" s="10">
        <v>0</v>
      </c>
      <c r="ER76" s="10">
        <v>0</v>
      </c>
      <c r="ES76" s="10">
        <v>0</v>
      </c>
      <c r="ET76" s="10">
        <v>0</v>
      </c>
      <c r="EU76" s="10">
        <v>6</v>
      </c>
      <c r="EV76" s="10">
        <v>79.858394910000001</v>
      </c>
      <c r="EW76" s="10">
        <v>0</v>
      </c>
      <c r="EX76" s="10">
        <v>0</v>
      </c>
      <c r="EY76" s="10">
        <v>0</v>
      </c>
      <c r="EZ76" s="10">
        <v>0</v>
      </c>
      <c r="FA76" s="10">
        <v>0</v>
      </c>
      <c r="FB76" s="10">
        <v>0</v>
      </c>
      <c r="FC76" s="10">
        <v>0</v>
      </c>
      <c r="FD76" s="10">
        <v>0</v>
      </c>
      <c r="FE76" s="10">
        <v>0</v>
      </c>
      <c r="FF76" s="10">
        <v>0</v>
      </c>
      <c r="FG76" s="10">
        <v>0</v>
      </c>
      <c r="FH76" s="10">
        <v>0</v>
      </c>
      <c r="FI76" s="10">
        <v>0</v>
      </c>
      <c r="FJ76" s="10">
        <v>0</v>
      </c>
      <c r="FK76" s="10">
        <v>0</v>
      </c>
      <c r="FL76" s="10">
        <v>0</v>
      </c>
      <c r="FM76" s="10">
        <v>0</v>
      </c>
      <c r="FN76" s="10">
        <v>0</v>
      </c>
      <c r="FO76" s="10">
        <v>0</v>
      </c>
      <c r="FP76" s="10">
        <v>0</v>
      </c>
      <c r="FQ76" s="10">
        <v>0</v>
      </c>
      <c r="FR76" s="10">
        <v>0</v>
      </c>
      <c r="FS76" s="10">
        <v>0</v>
      </c>
      <c r="FT76" s="10">
        <v>0</v>
      </c>
      <c r="FU76" s="10">
        <v>0</v>
      </c>
      <c r="FV76" s="10">
        <v>0</v>
      </c>
      <c r="FW76" s="18">
        <f t="shared" si="24"/>
        <v>0</v>
      </c>
      <c r="FX76" s="18">
        <f t="shared" si="18"/>
        <v>4.0745362639427185E-10</v>
      </c>
      <c r="FY76" s="18">
        <f t="shared" si="19"/>
        <v>0</v>
      </c>
      <c r="FZ76" s="18">
        <f t="shared" si="20"/>
        <v>0</v>
      </c>
      <c r="GA76" s="18">
        <f t="shared" si="25"/>
        <v>0</v>
      </c>
      <c r="GB76" s="18">
        <f t="shared" si="21"/>
        <v>3.1583624604536453E-10</v>
      </c>
      <c r="GC76" s="18">
        <f t="shared" si="22"/>
        <v>0</v>
      </c>
      <c r="GD76" s="18">
        <f t="shared" si="23"/>
        <v>-1.3642420526593924E-12</v>
      </c>
    </row>
    <row r="77" spans="1:186" s="11" customFormat="1" ht="27" customHeight="1" x14ac:dyDescent="0.25">
      <c r="A77" s="66" t="s">
        <v>35</v>
      </c>
      <c r="B77" s="1">
        <f t="shared" si="26"/>
        <v>70</v>
      </c>
      <c r="C77" s="20" t="s">
        <v>2139</v>
      </c>
      <c r="D77" s="20" t="s">
        <v>2143</v>
      </c>
      <c r="E77" s="65">
        <v>11446</v>
      </c>
      <c r="F77" s="19" t="s">
        <v>2037</v>
      </c>
      <c r="G77" s="9">
        <v>3821</v>
      </c>
      <c r="H77" s="9">
        <v>227670.17571088977</v>
      </c>
      <c r="I77" s="9">
        <v>76</v>
      </c>
      <c r="J77" s="9">
        <v>1653.9582772100002</v>
      </c>
      <c r="K77" s="9">
        <v>238</v>
      </c>
      <c r="L77" s="9">
        <v>95429.385806450038</v>
      </c>
      <c r="M77" s="9">
        <v>1</v>
      </c>
      <c r="N77" s="9">
        <v>131.98154208</v>
      </c>
      <c r="O77" s="9">
        <v>234</v>
      </c>
      <c r="P77" s="9">
        <v>35108.245186089989</v>
      </c>
      <c r="Q77" s="9">
        <v>1</v>
      </c>
      <c r="R77" s="9">
        <v>118.78969001999999</v>
      </c>
      <c r="S77" s="9">
        <v>3349</v>
      </c>
      <c r="T77" s="9">
        <v>97132.544718349833</v>
      </c>
      <c r="U77" s="9">
        <v>74</v>
      </c>
      <c r="V77" s="9">
        <v>1403.1870451100003</v>
      </c>
      <c r="W77" s="10">
        <v>1</v>
      </c>
      <c r="X77" s="10">
        <v>600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1</v>
      </c>
      <c r="AJ77" s="10">
        <v>122.38066145000001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1</v>
      </c>
      <c r="AR77" s="10">
        <v>232.30379174000001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14</v>
      </c>
      <c r="BH77" s="10">
        <v>4292.3592072199999</v>
      </c>
      <c r="BI77" s="10">
        <v>0</v>
      </c>
      <c r="BJ77" s="10">
        <v>0</v>
      </c>
      <c r="BK77" s="10">
        <v>6</v>
      </c>
      <c r="BL77" s="10">
        <v>3982.9594870599999</v>
      </c>
      <c r="BM77" s="10">
        <v>0</v>
      </c>
      <c r="BN77" s="10">
        <v>0</v>
      </c>
      <c r="BO77" s="10">
        <v>147</v>
      </c>
      <c r="BP77" s="10">
        <v>22464.07183631001</v>
      </c>
      <c r="BQ77" s="10">
        <v>1</v>
      </c>
      <c r="BR77" s="10">
        <v>131.98154208</v>
      </c>
      <c r="BS77" s="10">
        <v>9</v>
      </c>
      <c r="BT77" s="10">
        <v>6109.0371285399997</v>
      </c>
      <c r="BU77" s="10">
        <v>0</v>
      </c>
      <c r="BV77" s="10">
        <v>0</v>
      </c>
      <c r="BW77" s="10">
        <v>97</v>
      </c>
      <c r="BX77" s="10">
        <v>21180.482720790002</v>
      </c>
      <c r="BY77" s="10">
        <v>1</v>
      </c>
      <c r="BZ77" s="10">
        <v>118.78969001999999</v>
      </c>
      <c r="CA77" s="10">
        <v>0</v>
      </c>
      <c r="CB77" s="10">
        <v>0</v>
      </c>
      <c r="CC77" s="10">
        <v>0</v>
      </c>
      <c r="CD77" s="10">
        <v>0</v>
      </c>
      <c r="CE77" s="10">
        <v>7</v>
      </c>
      <c r="CF77" s="10">
        <v>706.66477444000009</v>
      </c>
      <c r="CG77" s="10">
        <v>0</v>
      </c>
      <c r="CH77" s="10">
        <v>0</v>
      </c>
      <c r="CI77" s="10">
        <v>7</v>
      </c>
      <c r="CJ77" s="10">
        <v>1579.22613097</v>
      </c>
      <c r="CK77" s="10">
        <v>0</v>
      </c>
      <c r="CL77" s="10">
        <v>0</v>
      </c>
      <c r="CM77" s="10">
        <v>8</v>
      </c>
      <c r="CN77" s="10">
        <v>1457.44031068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174</v>
      </c>
      <c r="CZ77" s="10">
        <v>67810.704943339995</v>
      </c>
      <c r="DA77" s="10">
        <v>0</v>
      </c>
      <c r="DB77" s="10">
        <v>0</v>
      </c>
      <c r="DC77" s="10">
        <v>135</v>
      </c>
      <c r="DD77" s="10">
        <v>19560.367081429999</v>
      </c>
      <c r="DE77" s="10">
        <v>0</v>
      </c>
      <c r="DF77" s="10">
        <v>0</v>
      </c>
      <c r="DG77" s="10">
        <v>2304</v>
      </c>
      <c r="DH77" s="10">
        <v>33393.791567589993</v>
      </c>
      <c r="DI77" s="10">
        <v>69</v>
      </c>
      <c r="DJ77" s="10">
        <v>997.81703302000017</v>
      </c>
      <c r="DK77" s="10">
        <v>273</v>
      </c>
      <c r="DL77" s="10">
        <v>17602.502950409998</v>
      </c>
      <c r="DM77" s="10">
        <v>1</v>
      </c>
      <c r="DN77" s="10">
        <v>77.337195959999988</v>
      </c>
      <c r="DO77" s="10">
        <v>328</v>
      </c>
      <c r="DP77" s="10">
        <v>5028.9326772999993</v>
      </c>
      <c r="DQ77" s="10">
        <v>0</v>
      </c>
      <c r="DR77" s="10">
        <v>0</v>
      </c>
      <c r="DS77" s="10">
        <v>308</v>
      </c>
      <c r="DT77" s="10">
        <v>21529.979187360001</v>
      </c>
      <c r="DU77" s="10">
        <v>4</v>
      </c>
      <c r="DV77" s="10">
        <v>328.03281613000001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v>0</v>
      </c>
      <c r="EP77" s="10">
        <v>0</v>
      </c>
      <c r="EQ77" s="10">
        <v>0</v>
      </c>
      <c r="ER77" s="10">
        <v>0</v>
      </c>
      <c r="ES77" s="10">
        <v>0</v>
      </c>
      <c r="ET77" s="10">
        <v>0</v>
      </c>
      <c r="EU77" s="10">
        <v>1</v>
      </c>
      <c r="EV77" s="10">
        <v>16.971254260000002</v>
      </c>
      <c r="EW77" s="10">
        <v>0</v>
      </c>
      <c r="EX77" s="10">
        <v>0</v>
      </c>
      <c r="EY77" s="10">
        <v>0</v>
      </c>
      <c r="EZ77" s="10">
        <v>0</v>
      </c>
      <c r="FA77" s="10">
        <v>0</v>
      </c>
      <c r="FB77" s="10">
        <v>0</v>
      </c>
      <c r="FC77" s="10">
        <v>0</v>
      </c>
      <c r="FD77" s="10">
        <v>0</v>
      </c>
      <c r="FE77" s="10">
        <v>0</v>
      </c>
      <c r="FF77" s="10">
        <v>0</v>
      </c>
      <c r="FG77" s="10">
        <v>0</v>
      </c>
      <c r="FH77" s="10">
        <v>0</v>
      </c>
      <c r="FI77" s="10">
        <v>0</v>
      </c>
      <c r="FJ77" s="10">
        <v>0</v>
      </c>
      <c r="FK77" s="10">
        <v>0</v>
      </c>
      <c r="FL77" s="10">
        <v>0</v>
      </c>
      <c r="FM77" s="10">
        <v>0</v>
      </c>
      <c r="FN77" s="10">
        <v>0</v>
      </c>
      <c r="FO77" s="10">
        <v>0</v>
      </c>
      <c r="FP77" s="10">
        <v>0</v>
      </c>
      <c r="FQ77" s="10">
        <v>0</v>
      </c>
      <c r="FR77" s="10">
        <v>0</v>
      </c>
      <c r="FS77" s="10">
        <v>0</v>
      </c>
      <c r="FT77" s="10">
        <v>0</v>
      </c>
      <c r="FU77" s="10">
        <v>0</v>
      </c>
      <c r="FV77" s="10">
        <v>0</v>
      </c>
      <c r="FW77" s="18">
        <f t="shared" si="24"/>
        <v>0</v>
      </c>
      <c r="FX77" s="18">
        <f t="shared" si="18"/>
        <v>0</v>
      </c>
      <c r="FY77" s="18">
        <f t="shared" si="19"/>
        <v>0</v>
      </c>
      <c r="FZ77" s="18">
        <f t="shared" si="20"/>
        <v>0</v>
      </c>
      <c r="GA77" s="18">
        <f t="shared" si="25"/>
        <v>0</v>
      </c>
      <c r="GB77" s="18">
        <f t="shared" si="21"/>
        <v>-1.8642509758137749E-10</v>
      </c>
      <c r="GC77" s="18">
        <f t="shared" si="22"/>
        <v>0</v>
      </c>
      <c r="GD77" s="18">
        <f t="shared" si="23"/>
        <v>-5.6843418860808015E-14</v>
      </c>
    </row>
    <row r="78" spans="1:186" s="11" customFormat="1" ht="27" customHeight="1" x14ac:dyDescent="0.25">
      <c r="A78" s="66" t="s">
        <v>35</v>
      </c>
      <c r="B78" s="1">
        <f t="shared" si="26"/>
        <v>71</v>
      </c>
      <c r="C78" s="20" t="s">
        <v>2139</v>
      </c>
      <c r="D78" s="20" t="s">
        <v>2144</v>
      </c>
      <c r="E78" s="65">
        <v>11447</v>
      </c>
      <c r="F78" s="19" t="s">
        <v>2047</v>
      </c>
      <c r="G78" s="9">
        <v>3806</v>
      </c>
      <c r="H78" s="9">
        <v>242111.96990988008</v>
      </c>
      <c r="I78" s="9">
        <v>108</v>
      </c>
      <c r="J78" s="9">
        <v>1123.8523095900002</v>
      </c>
      <c r="K78" s="9">
        <v>146</v>
      </c>
      <c r="L78" s="9">
        <v>123727.05388972</v>
      </c>
      <c r="M78" s="9">
        <v>0</v>
      </c>
      <c r="N78" s="9">
        <v>0</v>
      </c>
      <c r="O78" s="9">
        <v>83</v>
      </c>
      <c r="P78" s="9">
        <v>16029.87439167</v>
      </c>
      <c r="Q78" s="9">
        <v>0</v>
      </c>
      <c r="R78" s="9">
        <v>0</v>
      </c>
      <c r="S78" s="9">
        <v>3577</v>
      </c>
      <c r="T78" s="9">
        <v>102355.04162849006</v>
      </c>
      <c r="U78" s="9">
        <v>108</v>
      </c>
      <c r="V78" s="9">
        <v>1123.8523095900002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1</v>
      </c>
      <c r="AJ78" s="10">
        <v>111.12565912999999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9</v>
      </c>
      <c r="BH78" s="10">
        <v>2187.8218749399994</v>
      </c>
      <c r="BI78" s="10">
        <v>0</v>
      </c>
      <c r="BJ78" s="10">
        <v>0</v>
      </c>
      <c r="BK78" s="10">
        <v>4</v>
      </c>
      <c r="BL78" s="10">
        <v>9203.8304368299996</v>
      </c>
      <c r="BM78" s="10">
        <v>0</v>
      </c>
      <c r="BN78" s="10">
        <v>0</v>
      </c>
      <c r="BO78" s="10">
        <v>73</v>
      </c>
      <c r="BP78" s="10">
        <v>10915.951803750002</v>
      </c>
      <c r="BQ78" s="10">
        <v>0</v>
      </c>
      <c r="BR78" s="10">
        <v>0</v>
      </c>
      <c r="BS78" s="10">
        <v>3</v>
      </c>
      <c r="BT78" s="10">
        <v>281.53054193999998</v>
      </c>
      <c r="BU78" s="10">
        <v>0</v>
      </c>
      <c r="BV78" s="10">
        <v>0</v>
      </c>
      <c r="BW78" s="10">
        <v>37</v>
      </c>
      <c r="BX78" s="10">
        <v>13105.086435290001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2</v>
      </c>
      <c r="CF78" s="10">
        <v>107.81285690999999</v>
      </c>
      <c r="CG78" s="10">
        <v>0</v>
      </c>
      <c r="CH78" s="10">
        <v>0</v>
      </c>
      <c r="CI78" s="10">
        <v>2</v>
      </c>
      <c r="CJ78" s="10">
        <v>166.09358484999998</v>
      </c>
      <c r="CK78" s="10">
        <v>0</v>
      </c>
      <c r="CL78" s="10">
        <v>0</v>
      </c>
      <c r="CM78" s="10">
        <v>2</v>
      </c>
      <c r="CN78" s="10">
        <v>100.11648163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1</v>
      </c>
      <c r="CV78" s="10">
        <v>173.23073527</v>
      </c>
      <c r="CW78" s="10">
        <v>0</v>
      </c>
      <c r="CX78" s="10">
        <v>0</v>
      </c>
      <c r="CY78" s="10">
        <v>95</v>
      </c>
      <c r="CZ78" s="10">
        <v>103404.32787085</v>
      </c>
      <c r="DA78" s="10">
        <v>0</v>
      </c>
      <c r="DB78" s="10">
        <v>0</v>
      </c>
      <c r="DC78" s="10">
        <v>198</v>
      </c>
      <c r="DD78" s="10">
        <v>37716.533916309992</v>
      </c>
      <c r="DE78" s="10">
        <v>1</v>
      </c>
      <c r="DF78" s="10">
        <v>78.336553809999998</v>
      </c>
      <c r="DG78" s="10">
        <v>2859</v>
      </c>
      <c r="DH78" s="10">
        <v>38169.728189769972</v>
      </c>
      <c r="DI78" s="10">
        <v>105</v>
      </c>
      <c r="DJ78" s="10">
        <v>959.64017014000012</v>
      </c>
      <c r="DK78" s="10">
        <v>224</v>
      </c>
      <c r="DL78" s="10">
        <v>13026.876481869995</v>
      </c>
      <c r="DM78" s="10">
        <v>0</v>
      </c>
      <c r="DN78" s="10">
        <v>0</v>
      </c>
      <c r="DO78" s="10">
        <v>116</v>
      </c>
      <c r="DP78" s="10">
        <v>1623.1900609699999</v>
      </c>
      <c r="DQ78" s="10">
        <v>1</v>
      </c>
      <c r="DR78" s="10">
        <v>7.4336209400000008</v>
      </c>
      <c r="DS78" s="10">
        <v>180</v>
      </c>
      <c r="DT78" s="10">
        <v>11818.712979570002</v>
      </c>
      <c r="DU78" s="10">
        <v>1</v>
      </c>
      <c r="DV78" s="10">
        <v>78.4419647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v>0</v>
      </c>
      <c r="EP78" s="10">
        <v>0</v>
      </c>
      <c r="EQ78" s="10">
        <v>0</v>
      </c>
      <c r="ER78" s="10">
        <v>0</v>
      </c>
      <c r="ES78" s="10">
        <v>0</v>
      </c>
      <c r="ET78" s="10">
        <v>0</v>
      </c>
      <c r="EU78" s="10">
        <v>0</v>
      </c>
      <c r="EV78" s="10">
        <v>0</v>
      </c>
      <c r="EW78" s="10">
        <v>0</v>
      </c>
      <c r="EX78" s="10">
        <v>0</v>
      </c>
      <c r="EY78" s="10">
        <v>0</v>
      </c>
      <c r="EZ78" s="10">
        <v>0</v>
      </c>
      <c r="FA78" s="10">
        <v>0</v>
      </c>
      <c r="FB78" s="10">
        <v>0</v>
      </c>
      <c r="FC78" s="10">
        <v>0</v>
      </c>
      <c r="FD78" s="10">
        <v>0</v>
      </c>
      <c r="FE78" s="10">
        <v>0</v>
      </c>
      <c r="FF78" s="10">
        <v>0</v>
      </c>
      <c r="FG78" s="10">
        <v>0</v>
      </c>
      <c r="FH78" s="10">
        <v>0</v>
      </c>
      <c r="FI78" s="10">
        <v>0</v>
      </c>
      <c r="FJ78" s="10">
        <v>0</v>
      </c>
      <c r="FK78" s="10">
        <v>0</v>
      </c>
      <c r="FL78" s="10">
        <v>0</v>
      </c>
      <c r="FM78" s="10">
        <v>0</v>
      </c>
      <c r="FN78" s="10">
        <v>0</v>
      </c>
      <c r="FO78" s="10">
        <v>0</v>
      </c>
      <c r="FP78" s="10">
        <v>0</v>
      </c>
      <c r="FQ78" s="10">
        <v>0</v>
      </c>
      <c r="FR78" s="10">
        <v>0</v>
      </c>
      <c r="FS78" s="10">
        <v>0</v>
      </c>
      <c r="FT78" s="10">
        <v>0</v>
      </c>
      <c r="FU78" s="10">
        <v>0</v>
      </c>
      <c r="FV78" s="10">
        <v>0</v>
      </c>
      <c r="FW78" s="18">
        <f t="shared" si="24"/>
        <v>0</v>
      </c>
      <c r="FX78" s="18">
        <f t="shared" si="18"/>
        <v>0</v>
      </c>
      <c r="FY78" s="18">
        <f t="shared" si="19"/>
        <v>0</v>
      </c>
      <c r="FZ78" s="18">
        <f t="shared" si="20"/>
        <v>0</v>
      </c>
      <c r="GA78" s="18">
        <f t="shared" si="25"/>
        <v>0</v>
      </c>
      <c r="GB78" s="18">
        <f t="shared" si="21"/>
        <v>1.3824319466948509E-10</v>
      </c>
      <c r="GC78" s="18">
        <f t="shared" si="22"/>
        <v>0</v>
      </c>
      <c r="GD78" s="18">
        <f t="shared" si="23"/>
        <v>1.7053025658242404E-13</v>
      </c>
    </row>
    <row r="79" spans="1:186" s="11" customFormat="1" ht="27" customHeight="1" x14ac:dyDescent="0.25">
      <c r="A79" s="66" t="s">
        <v>35</v>
      </c>
      <c r="B79" s="1">
        <f t="shared" si="26"/>
        <v>72</v>
      </c>
      <c r="C79" s="20" t="s">
        <v>2139</v>
      </c>
      <c r="D79" s="20" t="s">
        <v>2145</v>
      </c>
      <c r="E79" s="65">
        <v>11448</v>
      </c>
      <c r="F79" s="19" t="s">
        <v>2035</v>
      </c>
      <c r="G79" s="9">
        <v>3980</v>
      </c>
      <c r="H79" s="9">
        <v>166559.92925947995</v>
      </c>
      <c r="I79" s="9">
        <v>137</v>
      </c>
      <c r="J79" s="9">
        <v>3086.7157845399993</v>
      </c>
      <c r="K79" s="9">
        <v>141</v>
      </c>
      <c r="L79" s="9">
        <v>69273.029079370011</v>
      </c>
      <c r="M79" s="9">
        <v>1</v>
      </c>
      <c r="N79" s="9">
        <v>100</v>
      </c>
      <c r="O79" s="9">
        <v>52</v>
      </c>
      <c r="P79" s="9">
        <v>8105.507854559999</v>
      </c>
      <c r="Q79" s="9">
        <v>3</v>
      </c>
      <c r="R79" s="9">
        <v>1299.8723498400002</v>
      </c>
      <c r="S79" s="9">
        <v>3787</v>
      </c>
      <c r="T79" s="9">
        <v>89181.39232554991</v>
      </c>
      <c r="U79" s="9">
        <v>133</v>
      </c>
      <c r="V79" s="9">
        <v>1686.8434346999998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1</v>
      </c>
      <c r="AR79" s="10">
        <v>350.15874616000002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1</v>
      </c>
      <c r="BD79" s="10">
        <v>30.03520159</v>
      </c>
      <c r="BE79" s="10">
        <v>0</v>
      </c>
      <c r="BF79" s="10">
        <v>0</v>
      </c>
      <c r="BG79" s="10">
        <v>12</v>
      </c>
      <c r="BH79" s="10">
        <v>23832.061493829999</v>
      </c>
      <c r="BI79" s="10">
        <v>0</v>
      </c>
      <c r="BJ79" s="10">
        <v>0</v>
      </c>
      <c r="BK79" s="10">
        <v>3</v>
      </c>
      <c r="BL79" s="10">
        <v>861.24009126999999</v>
      </c>
      <c r="BM79" s="10">
        <v>0</v>
      </c>
      <c r="BN79" s="10">
        <v>0</v>
      </c>
      <c r="BO79" s="10">
        <v>89</v>
      </c>
      <c r="BP79" s="10">
        <v>26497.673819529999</v>
      </c>
      <c r="BQ79" s="10">
        <v>1</v>
      </c>
      <c r="BR79" s="10">
        <v>100</v>
      </c>
      <c r="BS79" s="10">
        <v>1</v>
      </c>
      <c r="BT79" s="10">
        <v>116.48164518</v>
      </c>
      <c r="BU79" s="10">
        <v>0</v>
      </c>
      <c r="BV79" s="10">
        <v>0</v>
      </c>
      <c r="BW79" s="10">
        <v>16</v>
      </c>
      <c r="BX79" s="10">
        <v>11268.448143499998</v>
      </c>
      <c r="BY79" s="10">
        <v>3</v>
      </c>
      <c r="BZ79" s="10">
        <v>1299.8723498400002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1</v>
      </c>
      <c r="CV79" s="10">
        <v>170.77320337999998</v>
      </c>
      <c r="CW79" s="10">
        <v>0</v>
      </c>
      <c r="CX79" s="10">
        <v>0</v>
      </c>
      <c r="CY79" s="10">
        <v>69</v>
      </c>
      <c r="CZ79" s="10">
        <v>14251.664589489999</v>
      </c>
      <c r="DA79" s="10">
        <v>0</v>
      </c>
      <c r="DB79" s="10">
        <v>0</v>
      </c>
      <c r="DC79" s="10">
        <v>127</v>
      </c>
      <c r="DD79" s="10">
        <v>24046.654597329998</v>
      </c>
      <c r="DE79" s="10">
        <v>0</v>
      </c>
      <c r="DF79" s="10">
        <v>0</v>
      </c>
      <c r="DG79" s="10">
        <v>3256</v>
      </c>
      <c r="DH79" s="10">
        <v>45466.112511369975</v>
      </c>
      <c r="DI79" s="10">
        <v>131</v>
      </c>
      <c r="DJ79" s="10">
        <v>1524.7878755899999</v>
      </c>
      <c r="DK79" s="10">
        <v>166</v>
      </c>
      <c r="DL79" s="10">
        <v>10782.39731919</v>
      </c>
      <c r="DM79" s="10">
        <v>1</v>
      </c>
      <c r="DN79" s="10">
        <v>146.08253455000002</v>
      </c>
      <c r="DO79" s="10">
        <v>116</v>
      </c>
      <c r="DP79" s="10">
        <v>1572.0576755600002</v>
      </c>
      <c r="DQ79" s="10">
        <v>1</v>
      </c>
      <c r="DR79" s="10">
        <v>15.973024560000001</v>
      </c>
      <c r="DS79" s="10">
        <v>119</v>
      </c>
      <c r="DT79" s="10">
        <v>7271.7492179300007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v>0</v>
      </c>
      <c r="EP79" s="10">
        <v>0</v>
      </c>
      <c r="EQ79" s="10">
        <v>0</v>
      </c>
      <c r="ER79" s="10">
        <v>0</v>
      </c>
      <c r="ES79" s="10">
        <v>0</v>
      </c>
      <c r="ET79" s="10">
        <v>0</v>
      </c>
      <c r="EU79" s="10">
        <v>3</v>
      </c>
      <c r="EV79" s="10">
        <v>42.421004170000003</v>
      </c>
      <c r="EW79" s="10">
        <v>0</v>
      </c>
      <c r="EX79" s="10">
        <v>0</v>
      </c>
      <c r="EY79" s="10">
        <v>0</v>
      </c>
      <c r="EZ79" s="10">
        <v>0</v>
      </c>
      <c r="FA79" s="10">
        <v>0</v>
      </c>
      <c r="FB79" s="10">
        <v>0</v>
      </c>
      <c r="FC79" s="10">
        <v>0</v>
      </c>
      <c r="FD79" s="10">
        <v>0</v>
      </c>
      <c r="FE79" s="10">
        <v>0</v>
      </c>
      <c r="FF79" s="10">
        <v>0</v>
      </c>
      <c r="FG79" s="10">
        <v>0</v>
      </c>
      <c r="FH79" s="10">
        <v>0</v>
      </c>
      <c r="FI79" s="10">
        <v>0</v>
      </c>
      <c r="FJ79" s="10">
        <v>0</v>
      </c>
      <c r="FK79" s="10">
        <v>0</v>
      </c>
      <c r="FL79" s="10">
        <v>0</v>
      </c>
      <c r="FM79" s="10">
        <v>0</v>
      </c>
      <c r="FN79" s="10">
        <v>0</v>
      </c>
      <c r="FO79" s="10">
        <v>0</v>
      </c>
      <c r="FP79" s="10">
        <v>0</v>
      </c>
      <c r="FQ79" s="10">
        <v>0</v>
      </c>
      <c r="FR79" s="10">
        <v>0</v>
      </c>
      <c r="FS79" s="10">
        <v>0</v>
      </c>
      <c r="FT79" s="10">
        <v>0</v>
      </c>
      <c r="FU79" s="10">
        <v>0</v>
      </c>
      <c r="FV79" s="10">
        <v>0</v>
      </c>
      <c r="FW79" s="18">
        <f t="shared" si="24"/>
        <v>0</v>
      </c>
      <c r="FX79" s="18">
        <f t="shared" si="18"/>
        <v>0</v>
      </c>
      <c r="FY79" s="18">
        <f t="shared" si="19"/>
        <v>0</v>
      </c>
      <c r="FZ79" s="18">
        <f t="shared" si="20"/>
        <v>0</v>
      </c>
      <c r="GA79" s="18">
        <f t="shared" si="25"/>
        <v>0</v>
      </c>
      <c r="GB79" s="18">
        <f t="shared" si="21"/>
        <v>-4.5645265345228836E-11</v>
      </c>
      <c r="GC79" s="18">
        <f t="shared" si="22"/>
        <v>0</v>
      </c>
      <c r="GD79" s="18">
        <f t="shared" si="23"/>
        <v>-8.2600593032111647E-13</v>
      </c>
    </row>
    <row r="80" spans="1:186" s="11" customFormat="1" ht="27" customHeight="1" x14ac:dyDescent="0.25">
      <c r="A80" s="66" t="s">
        <v>32</v>
      </c>
      <c r="B80" s="1">
        <f t="shared" si="26"/>
        <v>73</v>
      </c>
      <c r="C80" s="20" t="s">
        <v>2125</v>
      </c>
      <c r="D80" s="20" t="s">
        <v>2126</v>
      </c>
      <c r="E80" s="65">
        <v>12008</v>
      </c>
      <c r="F80" s="19" t="s">
        <v>2035</v>
      </c>
      <c r="G80" s="9">
        <v>10132</v>
      </c>
      <c r="H80" s="9">
        <v>1135696.2810732396</v>
      </c>
      <c r="I80" s="9">
        <v>1026</v>
      </c>
      <c r="J80" s="9">
        <v>417406.15494581999</v>
      </c>
      <c r="K80" s="9">
        <v>194</v>
      </c>
      <c r="L80" s="9">
        <v>688332.54205646995</v>
      </c>
      <c r="M80" s="9">
        <v>10</v>
      </c>
      <c r="N80" s="9">
        <v>406647.44630622002</v>
      </c>
      <c r="O80" s="9">
        <v>83</v>
      </c>
      <c r="P80" s="9">
        <v>5807.5644541499996</v>
      </c>
      <c r="Q80" s="9">
        <v>0</v>
      </c>
      <c r="R80" s="9">
        <v>0</v>
      </c>
      <c r="S80" s="9">
        <v>9855</v>
      </c>
      <c r="T80" s="9">
        <v>441556.17456261959</v>
      </c>
      <c r="U80" s="9">
        <v>1016</v>
      </c>
      <c r="V80" s="9">
        <v>10758.708639600003</v>
      </c>
      <c r="W80" s="10">
        <v>1</v>
      </c>
      <c r="X80" s="10">
        <v>15617.258540999999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26</v>
      </c>
      <c r="AJ80" s="10">
        <v>2675.5567186200001</v>
      </c>
      <c r="AK80" s="10">
        <v>1</v>
      </c>
      <c r="AL80" s="10">
        <v>100</v>
      </c>
      <c r="AM80" s="10">
        <v>1</v>
      </c>
      <c r="AN80" s="10">
        <v>17413.938647840001</v>
      </c>
      <c r="AO80" s="10">
        <v>1</v>
      </c>
      <c r="AP80" s="10">
        <v>17413.938647840001</v>
      </c>
      <c r="AQ80" s="10">
        <v>2</v>
      </c>
      <c r="AR80" s="10">
        <v>12720.7816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2</v>
      </c>
      <c r="AZ80" s="10">
        <v>324.88191456999999</v>
      </c>
      <c r="BA80" s="10">
        <v>0</v>
      </c>
      <c r="BB80" s="10">
        <v>0</v>
      </c>
      <c r="BC80" s="10">
        <v>3</v>
      </c>
      <c r="BD80" s="10">
        <v>1977.9458161800001</v>
      </c>
      <c r="BE80" s="10">
        <v>0</v>
      </c>
      <c r="BF80" s="10">
        <v>0</v>
      </c>
      <c r="BG80" s="10">
        <v>4</v>
      </c>
      <c r="BH80" s="10">
        <v>9928.9071662299993</v>
      </c>
      <c r="BI80" s="10">
        <v>0</v>
      </c>
      <c r="BJ80" s="10">
        <v>0</v>
      </c>
      <c r="BK80" s="10">
        <v>13</v>
      </c>
      <c r="BL80" s="10">
        <v>417105.90353418008</v>
      </c>
      <c r="BM80" s="10">
        <v>2</v>
      </c>
      <c r="BN80" s="10">
        <v>359589.79684938001</v>
      </c>
      <c r="BO80" s="10">
        <v>126</v>
      </c>
      <c r="BP80" s="10">
        <v>94726.567972269986</v>
      </c>
      <c r="BQ80" s="10">
        <v>1</v>
      </c>
      <c r="BR80" s="10">
        <v>94.252162150000004</v>
      </c>
      <c r="BS80" s="10">
        <v>78</v>
      </c>
      <c r="BT80" s="10">
        <v>54883.137431740004</v>
      </c>
      <c r="BU80" s="10">
        <v>5</v>
      </c>
      <c r="BV80" s="10">
        <v>29449.458646849998</v>
      </c>
      <c r="BW80" s="10">
        <v>5</v>
      </c>
      <c r="BX80" s="10">
        <v>754.16588164999996</v>
      </c>
      <c r="BY80" s="10">
        <v>0</v>
      </c>
      <c r="BZ80" s="10">
        <v>0</v>
      </c>
      <c r="CA80" s="10">
        <v>2</v>
      </c>
      <c r="CB80" s="10">
        <v>39223.244145309996</v>
      </c>
      <c r="CC80" s="10">
        <v>0</v>
      </c>
      <c r="CD80" s="10">
        <v>0</v>
      </c>
      <c r="CE80" s="10">
        <v>6</v>
      </c>
      <c r="CF80" s="10">
        <v>587.27403402999994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3</v>
      </c>
      <c r="CN80" s="10">
        <v>198</v>
      </c>
      <c r="CO80" s="10">
        <v>0</v>
      </c>
      <c r="CP80" s="10">
        <v>0</v>
      </c>
      <c r="CQ80" s="10">
        <v>2</v>
      </c>
      <c r="CR80" s="10">
        <v>132.04869101</v>
      </c>
      <c r="CS80" s="10">
        <v>0</v>
      </c>
      <c r="CT80" s="10">
        <v>0</v>
      </c>
      <c r="CU80" s="10">
        <v>3</v>
      </c>
      <c r="CV80" s="10">
        <v>25870.494415989997</v>
      </c>
      <c r="CW80" s="10">
        <v>0</v>
      </c>
      <c r="CX80" s="10">
        <v>0</v>
      </c>
      <c r="CY80" s="10">
        <v>0</v>
      </c>
      <c r="CZ80" s="10">
        <v>0</v>
      </c>
      <c r="DA80" s="10">
        <v>0</v>
      </c>
      <c r="DB80" s="10">
        <v>0</v>
      </c>
      <c r="DC80" s="10">
        <v>1503</v>
      </c>
      <c r="DD80" s="10">
        <v>205633.10984717996</v>
      </c>
      <c r="DE80" s="10">
        <v>12</v>
      </c>
      <c r="DF80" s="10">
        <v>1728.8269537000003</v>
      </c>
      <c r="DG80" s="10">
        <v>5519</v>
      </c>
      <c r="DH80" s="10">
        <v>53140.367220399996</v>
      </c>
      <c r="DI80" s="10">
        <v>974</v>
      </c>
      <c r="DJ80" s="10">
        <v>7350.8889703500017</v>
      </c>
      <c r="DK80" s="10">
        <v>2310</v>
      </c>
      <c r="DL80" s="10">
        <v>176162.68998741001</v>
      </c>
      <c r="DM80" s="10">
        <v>18</v>
      </c>
      <c r="DN80" s="10">
        <v>1472.380525</v>
      </c>
      <c r="DO80" s="10">
        <v>513</v>
      </c>
      <c r="DP80" s="10">
        <v>6512.4286283900001</v>
      </c>
      <c r="DQ80" s="10">
        <v>12</v>
      </c>
      <c r="DR80" s="10">
        <v>206.61219055000001</v>
      </c>
      <c r="DS80" s="10">
        <v>0</v>
      </c>
      <c r="DT80" s="10">
        <v>0</v>
      </c>
      <c r="DU80" s="10">
        <v>0</v>
      </c>
      <c r="DV80" s="10">
        <v>0</v>
      </c>
      <c r="DW80" s="10">
        <v>0</v>
      </c>
      <c r="DX80" s="10">
        <v>0</v>
      </c>
      <c r="DY80" s="10">
        <v>0</v>
      </c>
      <c r="DZ80" s="10">
        <v>0</v>
      </c>
      <c r="EA80" s="10">
        <v>0</v>
      </c>
      <c r="EB80" s="10">
        <v>0</v>
      </c>
      <c r="EC80" s="10">
        <v>0</v>
      </c>
      <c r="ED80" s="10">
        <v>0</v>
      </c>
      <c r="EE80" s="10">
        <v>0</v>
      </c>
      <c r="EF80" s="10">
        <v>0</v>
      </c>
      <c r="EG80" s="10">
        <v>0</v>
      </c>
      <c r="EH80" s="10">
        <v>0</v>
      </c>
      <c r="EI80" s="10">
        <v>0</v>
      </c>
      <c r="EJ80" s="10">
        <v>0</v>
      </c>
      <c r="EK80" s="10">
        <v>0</v>
      </c>
      <c r="EL80" s="10">
        <v>0</v>
      </c>
      <c r="EM80" s="10">
        <v>0</v>
      </c>
      <c r="EN80" s="10">
        <v>0</v>
      </c>
      <c r="EO80" s="10">
        <v>0</v>
      </c>
      <c r="EP80" s="10">
        <v>0</v>
      </c>
      <c r="EQ80" s="10">
        <v>0</v>
      </c>
      <c r="ER80" s="10">
        <v>0</v>
      </c>
      <c r="ES80" s="10">
        <v>0</v>
      </c>
      <c r="ET80" s="10">
        <v>0</v>
      </c>
      <c r="EU80" s="10">
        <v>10</v>
      </c>
      <c r="EV80" s="10">
        <v>107.57887923999999</v>
      </c>
      <c r="EW80" s="10">
        <v>0</v>
      </c>
      <c r="EX80" s="10">
        <v>0</v>
      </c>
      <c r="EY80" s="10">
        <v>0</v>
      </c>
      <c r="EZ80" s="10">
        <v>0</v>
      </c>
      <c r="FA80" s="10">
        <v>0</v>
      </c>
      <c r="FB80" s="10">
        <v>0</v>
      </c>
      <c r="FC80" s="10">
        <v>0</v>
      </c>
      <c r="FD80" s="10">
        <v>0</v>
      </c>
      <c r="FE80" s="10">
        <v>0</v>
      </c>
      <c r="FF80" s="10">
        <v>0</v>
      </c>
      <c r="FG80" s="10">
        <v>0</v>
      </c>
      <c r="FH80" s="10">
        <v>0</v>
      </c>
      <c r="FI80" s="10">
        <v>0</v>
      </c>
      <c r="FJ80" s="10">
        <v>0</v>
      </c>
      <c r="FK80" s="10">
        <v>0</v>
      </c>
      <c r="FL80" s="10">
        <v>0</v>
      </c>
      <c r="FM80" s="10">
        <v>0</v>
      </c>
      <c r="FN80" s="10">
        <v>0</v>
      </c>
      <c r="FO80" s="10">
        <v>0</v>
      </c>
      <c r="FP80" s="10">
        <v>0</v>
      </c>
      <c r="FQ80" s="10">
        <v>0</v>
      </c>
      <c r="FR80" s="10">
        <v>0</v>
      </c>
      <c r="FS80" s="10">
        <v>0</v>
      </c>
      <c r="FT80" s="10">
        <v>0</v>
      </c>
      <c r="FU80" s="10">
        <v>0</v>
      </c>
      <c r="FV80" s="10">
        <v>0</v>
      </c>
      <c r="FW80" s="18">
        <f t="shared" si="24"/>
        <v>0</v>
      </c>
      <c r="FX80" s="18">
        <f t="shared" si="18"/>
        <v>0</v>
      </c>
      <c r="FY80" s="18">
        <f t="shared" si="19"/>
        <v>0</v>
      </c>
      <c r="FZ80" s="18">
        <f t="shared" si="20"/>
        <v>-3.8198777474462986E-11</v>
      </c>
      <c r="GA80" s="18">
        <f t="shared" si="25"/>
        <v>0</v>
      </c>
      <c r="GB80" s="18">
        <f t="shared" si="21"/>
        <v>-4.2393821786390617E-10</v>
      </c>
      <c r="GC80" s="18">
        <f t="shared" si="22"/>
        <v>0</v>
      </c>
      <c r="GD80" s="18">
        <f t="shared" si="23"/>
        <v>-2.191313797084149E-11</v>
      </c>
    </row>
    <row r="81" spans="1:186" s="11" customFormat="1" ht="27" customHeight="1" x14ac:dyDescent="0.25">
      <c r="A81" s="66" t="s">
        <v>36</v>
      </c>
      <c r="B81" s="1">
        <f t="shared" si="26"/>
        <v>74</v>
      </c>
      <c r="C81" s="20" t="s">
        <v>2146</v>
      </c>
      <c r="D81" s="20" t="s">
        <v>2147</v>
      </c>
      <c r="E81" s="65" t="s">
        <v>10</v>
      </c>
      <c r="F81" s="19" t="s">
        <v>2079</v>
      </c>
      <c r="G81" s="9">
        <v>4502</v>
      </c>
      <c r="H81" s="9">
        <v>664343.53710720898</v>
      </c>
      <c r="I81" s="9">
        <v>467</v>
      </c>
      <c r="J81" s="9">
        <v>7253.4210108749994</v>
      </c>
      <c r="K81" s="9">
        <v>319</v>
      </c>
      <c r="L81" s="9">
        <v>475727.06781791674</v>
      </c>
      <c r="M81" s="9">
        <v>4</v>
      </c>
      <c r="N81" s="9">
        <v>242.0731351</v>
      </c>
      <c r="O81" s="9">
        <v>591</v>
      </c>
      <c r="P81" s="9">
        <v>74817.818873952376</v>
      </c>
      <c r="Q81" s="9">
        <v>16</v>
      </c>
      <c r="R81" s="9">
        <v>1575.9135560250002</v>
      </c>
      <c r="S81" s="9">
        <v>3592</v>
      </c>
      <c r="T81" s="9">
        <v>113798.65041534002</v>
      </c>
      <c r="U81" s="9">
        <v>447</v>
      </c>
      <c r="V81" s="9">
        <v>5435.4343197500002</v>
      </c>
      <c r="W81" s="10">
        <v>2</v>
      </c>
      <c r="X81" s="10">
        <v>20330.352153992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2</v>
      </c>
      <c r="BH81" s="10">
        <v>99.036823520000013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712</v>
      </c>
      <c r="BP81" s="10">
        <v>171342.702267899</v>
      </c>
      <c r="BQ81" s="10">
        <v>17</v>
      </c>
      <c r="BR81" s="10">
        <v>1335.760245705</v>
      </c>
      <c r="BS81" s="10">
        <v>0</v>
      </c>
      <c r="BT81" s="10">
        <v>0</v>
      </c>
      <c r="BU81" s="10">
        <v>0</v>
      </c>
      <c r="BV81" s="10">
        <v>0</v>
      </c>
      <c r="BW81" s="10">
        <v>186</v>
      </c>
      <c r="BX81" s="10">
        <v>64390.048653098209</v>
      </c>
      <c r="BY81" s="10">
        <v>3</v>
      </c>
      <c r="BZ81" s="10">
        <v>482.22644542</v>
      </c>
      <c r="CA81" s="10">
        <v>4</v>
      </c>
      <c r="CB81" s="10">
        <v>123906.83333336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4</v>
      </c>
      <c r="CZ81" s="10">
        <v>170475.91346000001</v>
      </c>
      <c r="DA81" s="10">
        <v>0</v>
      </c>
      <c r="DB81" s="10">
        <v>0</v>
      </c>
      <c r="DC81" s="10">
        <v>4</v>
      </c>
      <c r="DD81" s="10">
        <v>1823.4223442199998</v>
      </c>
      <c r="DE81" s="10">
        <v>0</v>
      </c>
      <c r="DF81" s="10">
        <v>0</v>
      </c>
      <c r="DG81" s="10">
        <v>2880</v>
      </c>
      <c r="DH81" s="10">
        <v>31875.956511499979</v>
      </c>
      <c r="DI81" s="10">
        <v>426</v>
      </c>
      <c r="DJ81" s="10">
        <v>1875.6712285399999</v>
      </c>
      <c r="DK81" s="10">
        <v>500</v>
      </c>
      <c r="DL81" s="10">
        <v>57211.670736199943</v>
      </c>
      <c r="DM81" s="10">
        <v>14</v>
      </c>
      <c r="DN81" s="10">
        <v>2468.8625002799999</v>
      </c>
      <c r="DO81" s="10">
        <v>12</v>
      </c>
      <c r="DP81" s="10">
        <v>87.550209439999989</v>
      </c>
      <c r="DQ81" s="10">
        <v>1</v>
      </c>
      <c r="DR81" s="10">
        <v>9.3060080700000007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1</v>
      </c>
      <c r="EB81" s="10">
        <v>30.333867989999998</v>
      </c>
      <c r="EC81" s="10">
        <v>0</v>
      </c>
      <c r="ED81" s="10">
        <v>0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0</v>
      </c>
      <c r="EN81" s="10">
        <v>0</v>
      </c>
      <c r="EO81" s="10">
        <v>0</v>
      </c>
      <c r="EP81" s="10">
        <v>0</v>
      </c>
      <c r="EQ81" s="10">
        <v>0</v>
      </c>
      <c r="ER81" s="10">
        <v>0</v>
      </c>
      <c r="ES81" s="10">
        <v>0</v>
      </c>
      <c r="ET81" s="10">
        <v>0</v>
      </c>
      <c r="EU81" s="10">
        <v>3</v>
      </c>
      <c r="EV81" s="10">
        <v>0.35473195000000002</v>
      </c>
      <c r="EW81" s="10">
        <v>0</v>
      </c>
      <c r="EX81" s="10">
        <v>0</v>
      </c>
      <c r="EY81" s="10">
        <v>0</v>
      </c>
      <c r="EZ81" s="10">
        <v>0</v>
      </c>
      <c r="FA81" s="10">
        <v>0</v>
      </c>
      <c r="FB81" s="10">
        <v>0</v>
      </c>
      <c r="FC81" s="10">
        <v>187</v>
      </c>
      <c r="FD81" s="10">
        <v>22023.286511689999</v>
      </c>
      <c r="FE81" s="10">
        <v>6</v>
      </c>
      <c r="FF81" s="10">
        <v>1081.5945828600002</v>
      </c>
      <c r="FG81" s="10">
        <v>0</v>
      </c>
      <c r="FH81" s="10">
        <v>0</v>
      </c>
      <c r="FI81" s="10">
        <v>0</v>
      </c>
      <c r="FJ81" s="10">
        <v>0</v>
      </c>
      <c r="FK81" s="10">
        <v>0</v>
      </c>
      <c r="FL81" s="10">
        <v>0</v>
      </c>
      <c r="FM81" s="10">
        <v>0</v>
      </c>
      <c r="FN81" s="10">
        <v>0</v>
      </c>
      <c r="FO81" s="10">
        <v>0</v>
      </c>
      <c r="FP81" s="10">
        <v>0</v>
      </c>
      <c r="FQ81" s="10">
        <v>0</v>
      </c>
      <c r="FR81" s="10">
        <v>0</v>
      </c>
      <c r="FS81" s="10">
        <v>5</v>
      </c>
      <c r="FT81" s="10">
        <v>746.07550234999985</v>
      </c>
      <c r="FU81" s="10">
        <v>0</v>
      </c>
      <c r="FV81" s="10">
        <v>0</v>
      </c>
      <c r="FW81" s="18">
        <f t="shared" si="24"/>
        <v>0</v>
      </c>
      <c r="FX81" s="18">
        <f t="shared" si="18"/>
        <v>-1.6007106751203537E-10</v>
      </c>
      <c r="FY81" s="18">
        <f t="shared" si="19"/>
        <v>0</v>
      </c>
      <c r="FZ81" s="18">
        <f t="shared" si="20"/>
        <v>0</v>
      </c>
      <c r="GA81" s="18">
        <f t="shared" si="25"/>
        <v>0</v>
      </c>
      <c r="GB81" s="18">
        <f t="shared" si="21"/>
        <v>-2.4851942725945264E-10</v>
      </c>
      <c r="GC81" s="18">
        <f t="shared" si="22"/>
        <v>0</v>
      </c>
      <c r="GD81" s="18">
        <f t="shared" si="23"/>
        <v>-6.8212102632969618E-13</v>
      </c>
    </row>
    <row r="82" spans="1:186" s="11" customFormat="1" ht="27" customHeight="1" x14ac:dyDescent="0.25">
      <c r="A82" s="66" t="s">
        <v>33</v>
      </c>
      <c r="B82" s="1">
        <f t="shared" si="26"/>
        <v>75</v>
      </c>
      <c r="C82" s="20" t="s">
        <v>2127</v>
      </c>
      <c r="D82" s="20" t="s">
        <v>2128</v>
      </c>
      <c r="E82" s="65">
        <v>10502</v>
      </c>
      <c r="F82" s="19" t="s">
        <v>2087</v>
      </c>
      <c r="G82" s="9">
        <v>1725</v>
      </c>
      <c r="H82" s="9">
        <v>73742.580023610019</v>
      </c>
      <c r="I82" s="9">
        <v>125</v>
      </c>
      <c r="J82" s="9">
        <v>19596.377426519997</v>
      </c>
      <c r="K82" s="9">
        <v>40</v>
      </c>
      <c r="L82" s="9">
        <v>18726.113813029999</v>
      </c>
      <c r="M82" s="9">
        <v>8</v>
      </c>
      <c r="N82" s="9">
        <v>13324.540095470002</v>
      </c>
      <c r="O82" s="9">
        <v>52</v>
      </c>
      <c r="P82" s="9">
        <v>4801.398065379999</v>
      </c>
      <c r="Q82" s="9">
        <v>2</v>
      </c>
      <c r="R82" s="9">
        <v>553.20606099999998</v>
      </c>
      <c r="S82" s="9">
        <v>1633</v>
      </c>
      <c r="T82" s="9">
        <v>50215.068145199984</v>
      </c>
      <c r="U82" s="9">
        <v>115</v>
      </c>
      <c r="V82" s="9">
        <v>5718.6312700499984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2</v>
      </c>
      <c r="BL82" s="10">
        <v>83.517626750000005</v>
      </c>
      <c r="BM82" s="10">
        <v>0</v>
      </c>
      <c r="BN82" s="10">
        <v>0</v>
      </c>
      <c r="BO82" s="10">
        <v>2</v>
      </c>
      <c r="BP82" s="10">
        <v>136.96924333999999</v>
      </c>
      <c r="BQ82" s="10">
        <v>0</v>
      </c>
      <c r="BR82" s="10">
        <v>0</v>
      </c>
      <c r="BS82" s="10">
        <v>26</v>
      </c>
      <c r="BT82" s="10">
        <v>1696.12528329</v>
      </c>
      <c r="BU82" s="10">
        <v>4</v>
      </c>
      <c r="BV82" s="10">
        <v>369.88575342000001</v>
      </c>
      <c r="BW82" s="10">
        <v>23</v>
      </c>
      <c r="BX82" s="10">
        <v>4404.1079893599999</v>
      </c>
      <c r="BY82" s="10">
        <v>1</v>
      </c>
      <c r="BZ82" s="10">
        <v>518.20606099999998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2</v>
      </c>
      <c r="CN82" s="10">
        <v>194.84833217000002</v>
      </c>
      <c r="CO82" s="10">
        <v>0</v>
      </c>
      <c r="CP82" s="10">
        <v>0</v>
      </c>
      <c r="CQ82" s="10">
        <v>3</v>
      </c>
      <c r="CR82" s="10">
        <v>12521.154342049998</v>
      </c>
      <c r="CS82" s="10">
        <v>2</v>
      </c>
      <c r="CT82" s="10">
        <v>12451.154342049998</v>
      </c>
      <c r="CU82" s="10">
        <v>0</v>
      </c>
      <c r="CV82" s="10">
        <v>0</v>
      </c>
      <c r="CW82" s="10">
        <v>0</v>
      </c>
      <c r="CX82" s="10">
        <v>0</v>
      </c>
      <c r="CY82" s="10">
        <v>34</v>
      </c>
      <c r="CZ82" s="10">
        <v>4490.7890614500002</v>
      </c>
      <c r="DA82" s="10">
        <v>3</v>
      </c>
      <c r="DB82" s="10">
        <v>538.5</v>
      </c>
      <c r="DC82" s="10">
        <v>5</v>
      </c>
      <c r="DD82" s="10">
        <v>1086.5710716599999</v>
      </c>
      <c r="DE82" s="10">
        <v>1</v>
      </c>
      <c r="DF82" s="10">
        <v>201.74788661999997</v>
      </c>
      <c r="DG82" s="10">
        <v>1270</v>
      </c>
      <c r="DH82" s="10">
        <v>19268.52237947</v>
      </c>
      <c r="DI82" s="10">
        <v>83</v>
      </c>
      <c r="DJ82" s="10">
        <v>540.61258264999992</v>
      </c>
      <c r="DK82" s="10">
        <v>215</v>
      </c>
      <c r="DL82" s="10">
        <v>26971.962118430005</v>
      </c>
      <c r="DM82" s="10">
        <v>19</v>
      </c>
      <c r="DN82" s="10">
        <v>4643.7215608099996</v>
      </c>
      <c r="DO82" s="10">
        <v>67</v>
      </c>
      <c r="DP82" s="10">
        <v>939.52344263999998</v>
      </c>
      <c r="DQ82" s="10">
        <v>1</v>
      </c>
      <c r="DR82" s="10">
        <v>15.469110000000001</v>
      </c>
      <c r="DS82" s="10">
        <v>76</v>
      </c>
      <c r="DT82" s="10">
        <v>1948.4891330000005</v>
      </c>
      <c r="DU82" s="10">
        <v>11</v>
      </c>
      <c r="DV82" s="10">
        <v>317.08012997000003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0">
        <v>0</v>
      </c>
      <c r="ED82" s="10">
        <v>0</v>
      </c>
      <c r="EE82" s="10">
        <v>0</v>
      </c>
      <c r="EF82" s="10">
        <v>0</v>
      </c>
      <c r="EG82" s="10">
        <v>0</v>
      </c>
      <c r="EH82" s="10">
        <v>0</v>
      </c>
      <c r="EI82" s="10">
        <v>0</v>
      </c>
      <c r="EJ82" s="10">
        <v>0</v>
      </c>
      <c r="EK82" s="10">
        <v>0</v>
      </c>
      <c r="EL82" s="10">
        <v>0</v>
      </c>
      <c r="EM82" s="10">
        <v>0</v>
      </c>
      <c r="EN82" s="10">
        <v>0</v>
      </c>
      <c r="EO82" s="10">
        <v>0</v>
      </c>
      <c r="EP82" s="10">
        <v>0</v>
      </c>
      <c r="EQ82" s="10">
        <v>0</v>
      </c>
      <c r="ER82" s="10">
        <v>0</v>
      </c>
      <c r="ES82" s="10">
        <v>0</v>
      </c>
      <c r="ET82" s="10">
        <v>0</v>
      </c>
      <c r="EU82" s="10">
        <v>0</v>
      </c>
      <c r="EV82" s="10">
        <v>0</v>
      </c>
      <c r="EW82" s="10">
        <v>0</v>
      </c>
      <c r="EX82" s="10">
        <v>0</v>
      </c>
      <c r="EY82" s="10">
        <v>0</v>
      </c>
      <c r="EZ82" s="10">
        <v>0</v>
      </c>
      <c r="FA82" s="10">
        <v>0</v>
      </c>
      <c r="FB82" s="10">
        <v>0</v>
      </c>
      <c r="FC82" s="10">
        <v>0</v>
      </c>
      <c r="FD82" s="10">
        <v>0</v>
      </c>
      <c r="FE82" s="10">
        <v>0</v>
      </c>
      <c r="FF82" s="10">
        <v>0</v>
      </c>
      <c r="FG82" s="10">
        <v>0</v>
      </c>
      <c r="FH82" s="10">
        <v>0</v>
      </c>
      <c r="FI82" s="10">
        <v>0</v>
      </c>
      <c r="FJ82" s="10">
        <v>0</v>
      </c>
      <c r="FK82" s="10">
        <v>0</v>
      </c>
      <c r="FL82" s="10">
        <v>0</v>
      </c>
      <c r="FM82" s="10">
        <v>0</v>
      </c>
      <c r="FN82" s="10">
        <v>0</v>
      </c>
      <c r="FO82" s="10">
        <v>0</v>
      </c>
      <c r="FP82" s="10">
        <v>0</v>
      </c>
      <c r="FQ82" s="10">
        <v>0</v>
      </c>
      <c r="FR82" s="10">
        <v>0</v>
      </c>
      <c r="FS82" s="10">
        <v>0</v>
      </c>
      <c r="FT82" s="10">
        <v>0</v>
      </c>
      <c r="FU82" s="10">
        <v>0</v>
      </c>
      <c r="FV82" s="10">
        <v>0</v>
      </c>
      <c r="FW82" s="18">
        <f t="shared" si="24"/>
        <v>0</v>
      </c>
      <c r="FX82" s="18">
        <f t="shared" si="18"/>
        <v>0</v>
      </c>
      <c r="FY82" s="18">
        <f t="shared" si="19"/>
        <v>0</v>
      </c>
      <c r="FZ82" s="18">
        <f t="shared" si="20"/>
        <v>0</v>
      </c>
      <c r="GA82" s="18">
        <f t="shared" si="25"/>
        <v>0</v>
      </c>
      <c r="GB82" s="18">
        <f t="shared" si="21"/>
        <v>6.8212102632969618E-13</v>
      </c>
      <c r="GC82" s="18">
        <f t="shared" si="22"/>
        <v>0</v>
      </c>
      <c r="GD82" s="18">
        <f t="shared" si="23"/>
        <v>-1.2505552149377763E-12</v>
      </c>
    </row>
    <row r="83" spans="1:186" s="11" customFormat="1" ht="27" customHeight="1" x14ac:dyDescent="0.25">
      <c r="A83" s="66" t="s">
        <v>33</v>
      </c>
      <c r="B83" s="1">
        <f t="shared" si="26"/>
        <v>76</v>
      </c>
      <c r="C83" s="20" t="s">
        <v>2127</v>
      </c>
      <c r="D83" s="20" t="s">
        <v>2129</v>
      </c>
      <c r="E83" s="65">
        <v>10507</v>
      </c>
      <c r="F83" s="19" t="s">
        <v>2130</v>
      </c>
      <c r="G83" s="9">
        <v>1917</v>
      </c>
      <c r="H83" s="9">
        <v>100892.45683941002</v>
      </c>
      <c r="I83" s="9">
        <v>202</v>
      </c>
      <c r="J83" s="9">
        <v>2305.5626361099999</v>
      </c>
      <c r="K83" s="9">
        <v>70</v>
      </c>
      <c r="L83" s="9">
        <v>21667.743499020002</v>
      </c>
      <c r="M83" s="9">
        <v>2</v>
      </c>
      <c r="N83" s="9">
        <v>937.60538699999995</v>
      </c>
      <c r="O83" s="9">
        <v>175</v>
      </c>
      <c r="P83" s="9">
        <v>32264.697276169994</v>
      </c>
      <c r="Q83" s="9">
        <v>0</v>
      </c>
      <c r="R83" s="9">
        <v>0</v>
      </c>
      <c r="S83" s="9">
        <v>1672</v>
      </c>
      <c r="T83" s="9">
        <v>46960.016064220006</v>
      </c>
      <c r="U83" s="9">
        <v>200</v>
      </c>
      <c r="V83" s="9">
        <v>1367.9572491099998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17</v>
      </c>
      <c r="AJ83" s="10">
        <v>1171.24660629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5</v>
      </c>
      <c r="BL83" s="10">
        <v>449.84706849000003</v>
      </c>
      <c r="BM83" s="10">
        <v>0</v>
      </c>
      <c r="BN83" s="10">
        <v>0</v>
      </c>
      <c r="BO83" s="10">
        <v>9</v>
      </c>
      <c r="BP83" s="10">
        <v>928.18817999999999</v>
      </c>
      <c r="BQ83" s="10">
        <v>0</v>
      </c>
      <c r="BR83" s="10">
        <v>0</v>
      </c>
      <c r="BS83" s="10">
        <v>20</v>
      </c>
      <c r="BT83" s="10">
        <v>4359.7574216100002</v>
      </c>
      <c r="BU83" s="10">
        <v>0</v>
      </c>
      <c r="BV83" s="10">
        <v>0</v>
      </c>
      <c r="BW83" s="10">
        <v>126</v>
      </c>
      <c r="BX83" s="10">
        <v>28637.74427797</v>
      </c>
      <c r="BY83" s="10">
        <v>2</v>
      </c>
      <c r="BZ83" s="10">
        <v>937.60538699999995</v>
      </c>
      <c r="CA83" s="10">
        <v>0</v>
      </c>
      <c r="CB83" s="10">
        <v>0</v>
      </c>
      <c r="CC83" s="10">
        <v>0</v>
      </c>
      <c r="CD83" s="10">
        <v>0</v>
      </c>
      <c r="CE83" s="10">
        <v>2</v>
      </c>
      <c r="CF83" s="10">
        <v>3247.7613472600001</v>
      </c>
      <c r="CG83" s="10">
        <v>0</v>
      </c>
      <c r="CH83" s="10">
        <v>0</v>
      </c>
      <c r="CI83" s="10">
        <v>2</v>
      </c>
      <c r="CJ83" s="10">
        <v>1106.72</v>
      </c>
      <c r="CK83" s="10">
        <v>0</v>
      </c>
      <c r="CL83" s="10">
        <v>0</v>
      </c>
      <c r="CM83" s="10">
        <v>1</v>
      </c>
      <c r="CN83" s="10">
        <v>1699.8226410499999</v>
      </c>
      <c r="CO83" s="10">
        <v>0</v>
      </c>
      <c r="CP83" s="10">
        <v>0</v>
      </c>
      <c r="CQ83" s="10">
        <v>1</v>
      </c>
      <c r="CR83" s="10">
        <v>130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62</v>
      </c>
      <c r="CZ83" s="10">
        <v>12201.353232520001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1384</v>
      </c>
      <c r="DH83" s="10">
        <v>20779.774958209997</v>
      </c>
      <c r="DI83" s="10">
        <v>197</v>
      </c>
      <c r="DJ83" s="10">
        <v>375.39671355999997</v>
      </c>
      <c r="DK83" s="10">
        <v>203</v>
      </c>
      <c r="DL83" s="10">
        <v>24356.283155540001</v>
      </c>
      <c r="DM83" s="10">
        <v>2</v>
      </c>
      <c r="DN83" s="10">
        <v>868.84521672000005</v>
      </c>
      <c r="DO83" s="10">
        <v>57</v>
      </c>
      <c r="DP83" s="10">
        <v>444.02837513999998</v>
      </c>
      <c r="DQ83" s="10">
        <v>0</v>
      </c>
      <c r="DR83" s="10">
        <v>0</v>
      </c>
      <c r="DS83" s="10">
        <v>28</v>
      </c>
      <c r="DT83" s="10">
        <v>1379.9295753300003</v>
      </c>
      <c r="DU83" s="10">
        <v>1</v>
      </c>
      <c r="DV83" s="10">
        <v>123.71531883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0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0">
        <v>0</v>
      </c>
      <c r="EO83" s="10">
        <v>0</v>
      </c>
      <c r="EP83" s="10">
        <v>0</v>
      </c>
      <c r="EQ83" s="10">
        <v>0</v>
      </c>
      <c r="ER83" s="10">
        <v>0</v>
      </c>
      <c r="ES83" s="10">
        <v>0</v>
      </c>
      <c r="ET83" s="10">
        <v>0</v>
      </c>
      <c r="EU83" s="10">
        <v>0</v>
      </c>
      <c r="EV83" s="10">
        <v>0</v>
      </c>
      <c r="EW83" s="10">
        <v>0</v>
      </c>
      <c r="EX83" s="10">
        <v>0</v>
      </c>
      <c r="EY83" s="10">
        <v>0</v>
      </c>
      <c r="EZ83" s="10">
        <v>0</v>
      </c>
      <c r="FA83" s="10">
        <v>0</v>
      </c>
      <c r="FB83" s="10">
        <v>0</v>
      </c>
      <c r="FC83" s="10">
        <v>0</v>
      </c>
      <c r="FD83" s="10">
        <v>0</v>
      </c>
      <c r="FE83" s="10">
        <v>0</v>
      </c>
      <c r="FF83" s="10">
        <v>0</v>
      </c>
      <c r="FG83" s="10">
        <v>0</v>
      </c>
      <c r="FH83" s="10">
        <v>0</v>
      </c>
      <c r="FI83" s="10">
        <v>0</v>
      </c>
      <c r="FJ83" s="10">
        <v>0</v>
      </c>
      <c r="FK83" s="10">
        <v>0</v>
      </c>
      <c r="FL83" s="10">
        <v>0</v>
      </c>
      <c r="FM83" s="10">
        <v>0</v>
      </c>
      <c r="FN83" s="10">
        <v>0</v>
      </c>
      <c r="FO83" s="10">
        <v>0</v>
      </c>
      <c r="FP83" s="10">
        <v>0</v>
      </c>
      <c r="FQ83" s="10">
        <v>0</v>
      </c>
      <c r="FR83" s="10">
        <v>0</v>
      </c>
      <c r="FS83" s="10">
        <v>0</v>
      </c>
      <c r="FT83" s="10">
        <v>0</v>
      </c>
      <c r="FU83" s="10">
        <v>0</v>
      </c>
      <c r="FV83" s="10">
        <v>0</v>
      </c>
      <c r="FW83" s="18">
        <f t="shared" si="24"/>
        <v>0</v>
      </c>
      <c r="FX83" s="18">
        <f t="shared" si="18"/>
        <v>0</v>
      </c>
      <c r="FY83" s="18">
        <f t="shared" si="19"/>
        <v>0</v>
      </c>
      <c r="FZ83" s="18">
        <f t="shared" si="20"/>
        <v>0</v>
      </c>
      <c r="GA83" s="18">
        <f t="shared" si="25"/>
        <v>0</v>
      </c>
      <c r="GB83" s="18">
        <f t="shared" si="21"/>
        <v>2.2964741219766438E-11</v>
      </c>
      <c r="GC83" s="18">
        <f t="shared" si="22"/>
        <v>0</v>
      </c>
      <c r="GD83" s="18">
        <f t="shared" si="23"/>
        <v>-2.2737367544323206E-13</v>
      </c>
    </row>
    <row r="84" spans="1:186" s="11" customFormat="1" ht="27" customHeight="1" x14ac:dyDescent="0.25">
      <c r="A84" s="66" t="s">
        <v>33</v>
      </c>
      <c r="B84" s="1">
        <f t="shared" si="26"/>
        <v>77</v>
      </c>
      <c r="C84" s="20" t="s">
        <v>2127</v>
      </c>
      <c r="D84" s="20" t="s">
        <v>2131</v>
      </c>
      <c r="E84" s="65">
        <v>10508</v>
      </c>
      <c r="F84" s="19" t="s">
        <v>2041</v>
      </c>
      <c r="G84" s="9">
        <v>1317</v>
      </c>
      <c r="H84" s="9">
        <v>58012.276735479987</v>
      </c>
      <c r="I84" s="9">
        <v>83</v>
      </c>
      <c r="J84" s="9">
        <v>2621.3060691700002</v>
      </c>
      <c r="K84" s="9">
        <v>40</v>
      </c>
      <c r="L84" s="9">
        <v>14471.819308780001</v>
      </c>
      <c r="M84" s="9">
        <v>0</v>
      </c>
      <c r="N84" s="9">
        <v>0</v>
      </c>
      <c r="O84" s="9">
        <v>117</v>
      </c>
      <c r="P84" s="9">
        <v>13904.166654840001</v>
      </c>
      <c r="Q84" s="9">
        <v>2</v>
      </c>
      <c r="R84" s="9">
        <v>1241.5523029999999</v>
      </c>
      <c r="S84" s="9">
        <v>1160</v>
      </c>
      <c r="T84" s="9">
        <v>29636.290771860004</v>
      </c>
      <c r="U84" s="9">
        <v>81</v>
      </c>
      <c r="V84" s="9">
        <v>1379.7537661700001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1</v>
      </c>
      <c r="AR84" s="10">
        <v>100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1</v>
      </c>
      <c r="AZ84" s="10">
        <v>108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1</v>
      </c>
      <c r="BH84" s="10">
        <v>5000</v>
      </c>
      <c r="BI84" s="10">
        <v>0</v>
      </c>
      <c r="BJ84" s="10">
        <v>0</v>
      </c>
      <c r="BK84" s="10">
        <v>1</v>
      </c>
      <c r="BL84" s="10">
        <v>77.217361840000009</v>
      </c>
      <c r="BM84" s="10">
        <v>0</v>
      </c>
      <c r="BN84" s="10">
        <v>0</v>
      </c>
      <c r="BO84" s="10">
        <v>50</v>
      </c>
      <c r="BP84" s="10">
        <v>6484.2420644499998</v>
      </c>
      <c r="BQ84" s="10">
        <v>0</v>
      </c>
      <c r="BR84" s="10">
        <v>0</v>
      </c>
      <c r="BS84" s="10">
        <v>22</v>
      </c>
      <c r="BT84" s="10">
        <v>2598.2276317300002</v>
      </c>
      <c r="BU84" s="10">
        <v>1</v>
      </c>
      <c r="BV84" s="10">
        <v>220.630303</v>
      </c>
      <c r="BW84" s="10">
        <v>24</v>
      </c>
      <c r="BX84" s="10">
        <v>4322.5355671800007</v>
      </c>
      <c r="BY84" s="10">
        <v>1</v>
      </c>
      <c r="BZ84" s="10">
        <v>1020.922</v>
      </c>
      <c r="CA84" s="10">
        <v>0</v>
      </c>
      <c r="CB84" s="10">
        <v>0</v>
      </c>
      <c r="CC84" s="10">
        <v>0</v>
      </c>
      <c r="CD84" s="10">
        <v>0</v>
      </c>
      <c r="CE84" s="10">
        <v>2</v>
      </c>
      <c r="CF84" s="10">
        <v>1465.1404700000001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2</v>
      </c>
      <c r="CN84" s="10">
        <v>435</v>
      </c>
      <c r="CO84" s="10">
        <v>0</v>
      </c>
      <c r="CP84" s="10">
        <v>0</v>
      </c>
      <c r="CQ84" s="10">
        <v>2</v>
      </c>
      <c r="CR84" s="10">
        <v>146.93199999999999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51</v>
      </c>
      <c r="CZ84" s="10">
        <v>7638.6908684199998</v>
      </c>
      <c r="DA84" s="10">
        <v>0</v>
      </c>
      <c r="DB84" s="10">
        <v>0</v>
      </c>
      <c r="DC84" s="10">
        <v>2</v>
      </c>
      <c r="DD84" s="10">
        <v>945.80320076999999</v>
      </c>
      <c r="DE84" s="10">
        <v>0</v>
      </c>
      <c r="DF84" s="10">
        <v>0</v>
      </c>
      <c r="DG84" s="10">
        <v>751</v>
      </c>
      <c r="DH84" s="10">
        <v>7284.9485078800008</v>
      </c>
      <c r="DI84" s="10">
        <v>71</v>
      </c>
      <c r="DJ84" s="10">
        <v>274.43723285000004</v>
      </c>
      <c r="DK84" s="10">
        <v>324</v>
      </c>
      <c r="DL84" s="10">
        <v>19407.595617360006</v>
      </c>
      <c r="DM84" s="10">
        <v>8</v>
      </c>
      <c r="DN84" s="10">
        <v>1096.3449385500003</v>
      </c>
      <c r="DO84" s="10">
        <v>58</v>
      </c>
      <c r="DP84" s="10">
        <v>574.71582062000004</v>
      </c>
      <c r="DQ84" s="10">
        <v>0</v>
      </c>
      <c r="DR84" s="10">
        <v>0</v>
      </c>
      <c r="DS84" s="10">
        <v>23</v>
      </c>
      <c r="DT84" s="10">
        <v>1414.2560304600004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0">
        <v>0</v>
      </c>
      <c r="ED84" s="10">
        <v>0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0</v>
      </c>
      <c r="EM84" s="10">
        <v>0</v>
      </c>
      <c r="EN84" s="10">
        <v>0</v>
      </c>
      <c r="EO84" s="10">
        <v>0</v>
      </c>
      <c r="EP84" s="10">
        <v>0</v>
      </c>
      <c r="EQ84" s="10">
        <v>0</v>
      </c>
      <c r="ER84" s="10">
        <v>0</v>
      </c>
      <c r="ES84" s="10">
        <v>0</v>
      </c>
      <c r="ET84" s="10">
        <v>0</v>
      </c>
      <c r="EU84" s="10">
        <v>2</v>
      </c>
      <c r="EV84" s="10">
        <v>8.9715947699999994</v>
      </c>
      <c r="EW84" s="10">
        <v>2</v>
      </c>
      <c r="EX84" s="10">
        <v>8.9715947699999994</v>
      </c>
      <c r="EY84" s="10">
        <v>0</v>
      </c>
      <c r="EZ84" s="10">
        <v>0</v>
      </c>
      <c r="FA84" s="10">
        <v>0</v>
      </c>
      <c r="FB84" s="10">
        <v>0</v>
      </c>
      <c r="FC84" s="10">
        <v>0</v>
      </c>
      <c r="FD84" s="10">
        <v>0</v>
      </c>
      <c r="FE84" s="10">
        <v>0</v>
      </c>
      <c r="FF84" s="10">
        <v>0</v>
      </c>
      <c r="FG84" s="10">
        <v>0</v>
      </c>
      <c r="FH84" s="10">
        <v>0</v>
      </c>
      <c r="FI84" s="10">
        <v>0</v>
      </c>
      <c r="FJ84" s="10">
        <v>0</v>
      </c>
      <c r="FK84" s="10">
        <v>0</v>
      </c>
      <c r="FL84" s="10">
        <v>0</v>
      </c>
      <c r="FM84" s="10">
        <v>0</v>
      </c>
      <c r="FN84" s="10">
        <v>0</v>
      </c>
      <c r="FO84" s="10">
        <v>0</v>
      </c>
      <c r="FP84" s="10">
        <v>0</v>
      </c>
      <c r="FQ84" s="10">
        <v>0</v>
      </c>
      <c r="FR84" s="10">
        <v>0</v>
      </c>
      <c r="FS84" s="10">
        <v>0</v>
      </c>
      <c r="FT84" s="10">
        <v>0</v>
      </c>
      <c r="FU84" s="10">
        <v>0</v>
      </c>
      <c r="FV84" s="10">
        <v>0</v>
      </c>
      <c r="FW84" s="18">
        <f t="shared" si="24"/>
        <v>0</v>
      </c>
      <c r="FX84" s="18">
        <f t="shared" si="18"/>
        <v>0</v>
      </c>
      <c r="FY84" s="18">
        <f t="shared" si="19"/>
        <v>0</v>
      </c>
      <c r="FZ84" s="18">
        <f t="shared" si="20"/>
        <v>0</v>
      </c>
      <c r="GA84" s="18">
        <f t="shared" si="25"/>
        <v>0</v>
      </c>
      <c r="GB84" s="18">
        <f t="shared" si="21"/>
        <v>-1.1457501614131615E-11</v>
      </c>
      <c r="GC84" s="18">
        <f t="shared" si="22"/>
        <v>0</v>
      </c>
      <c r="GD84" s="18">
        <f t="shared" si="23"/>
        <v>-8.8817841970012523E-14</v>
      </c>
    </row>
    <row r="85" spans="1:186" s="11" customFormat="1" ht="27" customHeight="1" x14ac:dyDescent="0.25">
      <c r="A85" s="66" t="s">
        <v>33</v>
      </c>
      <c r="B85" s="1">
        <f t="shared" si="26"/>
        <v>78</v>
      </c>
      <c r="C85" s="20" t="s">
        <v>2127</v>
      </c>
      <c r="D85" s="20" t="s">
        <v>2132</v>
      </c>
      <c r="E85" s="65">
        <v>10510</v>
      </c>
      <c r="F85" s="19" t="s">
        <v>2133</v>
      </c>
      <c r="G85" s="9">
        <v>1214</v>
      </c>
      <c r="H85" s="9">
        <v>87338.940245290025</v>
      </c>
      <c r="I85" s="9">
        <v>113</v>
      </c>
      <c r="J85" s="9">
        <v>12317.4522263</v>
      </c>
      <c r="K85" s="9">
        <v>52</v>
      </c>
      <c r="L85" s="9">
        <v>20823.830923770001</v>
      </c>
      <c r="M85" s="9">
        <v>2</v>
      </c>
      <c r="N85" s="9">
        <v>369.500001</v>
      </c>
      <c r="O85" s="9">
        <v>70</v>
      </c>
      <c r="P85" s="9">
        <v>13871.651428420002</v>
      </c>
      <c r="Q85" s="9">
        <v>1</v>
      </c>
      <c r="R85" s="9">
        <v>207.57333399999999</v>
      </c>
      <c r="S85" s="9">
        <v>1092</v>
      </c>
      <c r="T85" s="9">
        <v>52643.457893099992</v>
      </c>
      <c r="U85" s="9">
        <v>110</v>
      </c>
      <c r="V85" s="9">
        <v>11740.378891299999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15</v>
      </c>
      <c r="BP85" s="10">
        <v>3245.5555589999999</v>
      </c>
      <c r="BQ85" s="10">
        <v>0</v>
      </c>
      <c r="BR85" s="10">
        <v>0</v>
      </c>
      <c r="BS85" s="10">
        <v>10</v>
      </c>
      <c r="BT85" s="10">
        <v>9763.9069288499995</v>
      </c>
      <c r="BU85" s="10">
        <v>0</v>
      </c>
      <c r="BV85" s="10">
        <v>0</v>
      </c>
      <c r="BW85" s="10">
        <v>61</v>
      </c>
      <c r="BX85" s="10">
        <v>15185.578885069999</v>
      </c>
      <c r="BY85" s="10">
        <v>3</v>
      </c>
      <c r="BZ85" s="10">
        <v>577.07333500000004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3</v>
      </c>
      <c r="CN85" s="10">
        <v>1117.5</v>
      </c>
      <c r="CO85" s="10">
        <v>0</v>
      </c>
      <c r="CP85" s="10">
        <v>0</v>
      </c>
      <c r="CQ85" s="10">
        <v>3</v>
      </c>
      <c r="CR85" s="10">
        <v>337.33189626999996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30</v>
      </c>
      <c r="CZ85" s="10">
        <v>5045.6090830000003</v>
      </c>
      <c r="DA85" s="10">
        <v>0</v>
      </c>
      <c r="DB85" s="10">
        <v>0</v>
      </c>
      <c r="DC85" s="10">
        <v>14</v>
      </c>
      <c r="DD85" s="10">
        <v>4144.5170007899997</v>
      </c>
      <c r="DE85" s="10">
        <v>1</v>
      </c>
      <c r="DF85" s="10">
        <v>333.94205536000004</v>
      </c>
      <c r="DG85" s="10">
        <v>788</v>
      </c>
      <c r="DH85" s="10">
        <v>9567.4352622499991</v>
      </c>
      <c r="DI85" s="10">
        <v>64</v>
      </c>
      <c r="DJ85" s="10">
        <v>375.51532718999999</v>
      </c>
      <c r="DK85" s="10">
        <v>256</v>
      </c>
      <c r="DL85" s="10">
        <v>38090.915974639975</v>
      </c>
      <c r="DM85" s="10">
        <v>45</v>
      </c>
      <c r="DN85" s="10">
        <v>11030.92150875</v>
      </c>
      <c r="DO85" s="10">
        <v>27</v>
      </c>
      <c r="DP85" s="10">
        <v>289.30257623</v>
      </c>
      <c r="DQ85" s="10">
        <v>0</v>
      </c>
      <c r="DR85" s="10">
        <v>0</v>
      </c>
      <c r="DS85" s="10">
        <v>6</v>
      </c>
      <c r="DT85" s="10">
        <v>546.93900598000005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0">
        <v>0</v>
      </c>
      <c r="ED85" s="10">
        <v>0</v>
      </c>
      <c r="EE85" s="10">
        <v>0</v>
      </c>
      <c r="EF85" s="10">
        <v>0</v>
      </c>
      <c r="EG85" s="10">
        <v>0</v>
      </c>
      <c r="EH85" s="10">
        <v>0</v>
      </c>
      <c r="EI85" s="10">
        <v>0</v>
      </c>
      <c r="EJ85" s="10">
        <v>0</v>
      </c>
      <c r="EK85" s="10">
        <v>0</v>
      </c>
      <c r="EL85" s="10">
        <v>0</v>
      </c>
      <c r="EM85" s="10">
        <v>0</v>
      </c>
      <c r="EN85" s="10">
        <v>0</v>
      </c>
      <c r="EO85" s="10">
        <v>0</v>
      </c>
      <c r="EP85" s="10">
        <v>0</v>
      </c>
      <c r="EQ85" s="10">
        <v>0</v>
      </c>
      <c r="ER85" s="10">
        <v>0</v>
      </c>
      <c r="ES85" s="10">
        <v>0</v>
      </c>
      <c r="ET85" s="10">
        <v>0</v>
      </c>
      <c r="EU85" s="10">
        <v>1</v>
      </c>
      <c r="EV85" s="10">
        <v>4.3480732099999999</v>
      </c>
      <c r="EW85" s="10">
        <v>0</v>
      </c>
      <c r="EX85" s="10">
        <v>0</v>
      </c>
      <c r="EY85" s="10">
        <v>0</v>
      </c>
      <c r="EZ85" s="10">
        <v>0</v>
      </c>
      <c r="FA85" s="10">
        <v>0</v>
      </c>
      <c r="FB85" s="10">
        <v>0</v>
      </c>
      <c r="FC85" s="10">
        <v>0</v>
      </c>
      <c r="FD85" s="10">
        <v>0</v>
      </c>
      <c r="FE85" s="10">
        <v>0</v>
      </c>
      <c r="FF85" s="10">
        <v>0</v>
      </c>
      <c r="FG85" s="10">
        <v>0</v>
      </c>
      <c r="FH85" s="10">
        <v>0</v>
      </c>
      <c r="FI85" s="10">
        <v>0</v>
      </c>
      <c r="FJ85" s="10">
        <v>0</v>
      </c>
      <c r="FK85" s="10">
        <v>0</v>
      </c>
      <c r="FL85" s="10">
        <v>0</v>
      </c>
      <c r="FM85" s="10">
        <v>0</v>
      </c>
      <c r="FN85" s="10">
        <v>0</v>
      </c>
      <c r="FO85" s="10">
        <v>0</v>
      </c>
      <c r="FP85" s="10">
        <v>0</v>
      </c>
      <c r="FQ85" s="10">
        <v>0</v>
      </c>
      <c r="FR85" s="10">
        <v>0</v>
      </c>
      <c r="FS85" s="10">
        <v>0</v>
      </c>
      <c r="FT85" s="10">
        <v>0</v>
      </c>
      <c r="FU85" s="10">
        <v>0</v>
      </c>
      <c r="FV85" s="10">
        <v>0</v>
      </c>
      <c r="FW85" s="18">
        <f t="shared" si="24"/>
        <v>0</v>
      </c>
      <c r="FX85" s="18">
        <f t="shared" si="18"/>
        <v>0</v>
      </c>
      <c r="FY85" s="18">
        <f t="shared" si="19"/>
        <v>0</v>
      </c>
      <c r="FZ85" s="18">
        <f t="shared" si="20"/>
        <v>0</v>
      </c>
      <c r="GA85" s="18">
        <f t="shared" si="25"/>
        <v>0</v>
      </c>
      <c r="GB85" s="18">
        <f t="shared" si="21"/>
        <v>4.4390269238192559E-11</v>
      </c>
      <c r="GC85" s="18">
        <f t="shared" si="22"/>
        <v>0</v>
      </c>
      <c r="GD85" s="18">
        <f t="shared" si="23"/>
        <v>0</v>
      </c>
    </row>
    <row r="86" spans="1:186" s="11" customFormat="1" ht="27" customHeight="1" x14ac:dyDescent="0.25">
      <c r="A86" s="66" t="s">
        <v>33</v>
      </c>
      <c r="B86" s="1">
        <f t="shared" si="26"/>
        <v>79</v>
      </c>
      <c r="C86" s="20" t="s">
        <v>2127</v>
      </c>
      <c r="D86" s="20" t="s">
        <v>2134</v>
      </c>
      <c r="E86" s="65">
        <v>10729</v>
      </c>
      <c r="F86" s="19" t="s">
        <v>2035</v>
      </c>
      <c r="G86" s="9">
        <v>4335</v>
      </c>
      <c r="H86" s="9">
        <v>215721.39310963996</v>
      </c>
      <c r="I86" s="9">
        <v>544</v>
      </c>
      <c r="J86" s="9">
        <v>9007.50624221</v>
      </c>
      <c r="K86" s="9">
        <v>85</v>
      </c>
      <c r="L86" s="9">
        <v>135892.52960924001</v>
      </c>
      <c r="M86" s="9">
        <v>3</v>
      </c>
      <c r="N86" s="9">
        <v>700</v>
      </c>
      <c r="O86" s="9">
        <v>43</v>
      </c>
      <c r="P86" s="9">
        <v>5718.1553521699998</v>
      </c>
      <c r="Q86" s="9">
        <v>1</v>
      </c>
      <c r="R86" s="9">
        <v>60</v>
      </c>
      <c r="S86" s="9">
        <v>4207</v>
      </c>
      <c r="T86" s="9">
        <v>74110.708148229955</v>
      </c>
      <c r="U86" s="9">
        <v>540</v>
      </c>
      <c r="V86" s="9">
        <v>8247.5062422100018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1</v>
      </c>
      <c r="BD86" s="10">
        <v>60</v>
      </c>
      <c r="BE86" s="10">
        <v>0</v>
      </c>
      <c r="BF86" s="10">
        <v>0</v>
      </c>
      <c r="BG86" s="10">
        <v>1</v>
      </c>
      <c r="BH86" s="10">
        <v>33.333331999999999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12</v>
      </c>
      <c r="BP86" s="10">
        <v>2617.5333340000002</v>
      </c>
      <c r="BQ86" s="10">
        <v>0</v>
      </c>
      <c r="BR86" s="10">
        <v>0</v>
      </c>
      <c r="BS86" s="10">
        <v>59</v>
      </c>
      <c r="BT86" s="10">
        <v>75216.539546429995</v>
      </c>
      <c r="BU86" s="10">
        <v>2</v>
      </c>
      <c r="BV86" s="10">
        <v>160</v>
      </c>
      <c r="BW86" s="10">
        <v>14</v>
      </c>
      <c r="BX86" s="10">
        <v>6438.5570371000003</v>
      </c>
      <c r="BY86" s="10">
        <v>0</v>
      </c>
      <c r="BZ86" s="10">
        <v>0</v>
      </c>
      <c r="CA86" s="10">
        <v>3</v>
      </c>
      <c r="CB86" s="10">
        <v>51215.006169430002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3</v>
      </c>
      <c r="CN86" s="10">
        <v>1573.51608622</v>
      </c>
      <c r="CO86" s="10">
        <v>0</v>
      </c>
      <c r="CP86" s="10">
        <v>0</v>
      </c>
      <c r="CQ86" s="10">
        <v>5</v>
      </c>
      <c r="CR86" s="10">
        <v>450</v>
      </c>
      <c r="CS86" s="10">
        <v>0</v>
      </c>
      <c r="CT86" s="10">
        <v>0</v>
      </c>
      <c r="CU86" s="10">
        <v>0</v>
      </c>
      <c r="CV86" s="10">
        <v>0</v>
      </c>
      <c r="CW86" s="10">
        <v>0</v>
      </c>
      <c r="CX86" s="10">
        <v>0</v>
      </c>
      <c r="CY86" s="10">
        <v>30</v>
      </c>
      <c r="CZ86" s="10">
        <v>4006.1994562300001</v>
      </c>
      <c r="DA86" s="10">
        <v>2</v>
      </c>
      <c r="DB86" s="10">
        <v>600</v>
      </c>
      <c r="DC86" s="10">
        <v>83</v>
      </c>
      <c r="DD86" s="10">
        <v>20395.401192340007</v>
      </c>
      <c r="DE86" s="10">
        <v>2</v>
      </c>
      <c r="DF86" s="10">
        <v>650.72546864000003</v>
      </c>
      <c r="DG86" s="10">
        <v>3736</v>
      </c>
      <c r="DH86" s="10">
        <v>36552.82959678</v>
      </c>
      <c r="DI86" s="10">
        <v>514</v>
      </c>
      <c r="DJ86" s="10">
        <v>2349.4523590500007</v>
      </c>
      <c r="DK86" s="10">
        <v>98</v>
      </c>
      <c r="DL86" s="10">
        <v>13974.760506099999</v>
      </c>
      <c r="DM86" s="10">
        <v>21</v>
      </c>
      <c r="DN86" s="10">
        <v>5108.9805757600006</v>
      </c>
      <c r="DO86" s="10">
        <v>285</v>
      </c>
      <c r="DP86" s="10">
        <v>2829.2307110699999</v>
      </c>
      <c r="DQ86" s="10">
        <v>2</v>
      </c>
      <c r="DR86" s="10">
        <v>16.923839490000002</v>
      </c>
      <c r="DS86" s="10">
        <v>4</v>
      </c>
      <c r="DT86" s="10">
        <v>354.84030854999997</v>
      </c>
      <c r="DU86" s="10">
        <v>1</v>
      </c>
      <c r="DV86" s="10">
        <v>121.42399927000001</v>
      </c>
      <c r="DW86" s="10">
        <v>0</v>
      </c>
      <c r="DX86" s="10">
        <v>0</v>
      </c>
      <c r="DY86" s="10">
        <v>0</v>
      </c>
      <c r="DZ86" s="10">
        <v>0</v>
      </c>
      <c r="EA86" s="10">
        <v>0</v>
      </c>
      <c r="EB86" s="10">
        <v>0</v>
      </c>
      <c r="EC86" s="10">
        <v>0</v>
      </c>
      <c r="ED86" s="10">
        <v>0</v>
      </c>
      <c r="EE86" s="10">
        <v>0</v>
      </c>
      <c r="EF86" s="10">
        <v>0</v>
      </c>
      <c r="EG86" s="10">
        <v>0</v>
      </c>
      <c r="EH86" s="10">
        <v>0</v>
      </c>
      <c r="EI86" s="10">
        <v>0</v>
      </c>
      <c r="EJ86" s="10">
        <v>0</v>
      </c>
      <c r="EK86" s="10">
        <v>0</v>
      </c>
      <c r="EL86" s="10">
        <v>0</v>
      </c>
      <c r="EM86" s="10">
        <v>0</v>
      </c>
      <c r="EN86" s="10">
        <v>0</v>
      </c>
      <c r="EO86" s="10">
        <v>0</v>
      </c>
      <c r="EP86" s="10">
        <v>0</v>
      </c>
      <c r="EQ86" s="10">
        <v>0</v>
      </c>
      <c r="ER86" s="10">
        <v>0</v>
      </c>
      <c r="ES86" s="10">
        <v>0</v>
      </c>
      <c r="ET86" s="10">
        <v>0</v>
      </c>
      <c r="EU86" s="10">
        <v>1</v>
      </c>
      <c r="EV86" s="10">
        <v>3.64583339</v>
      </c>
      <c r="EW86" s="10">
        <v>0</v>
      </c>
      <c r="EX86" s="10">
        <v>0</v>
      </c>
      <c r="EY86" s="10">
        <v>0</v>
      </c>
      <c r="EZ86" s="10">
        <v>0</v>
      </c>
      <c r="FA86" s="10">
        <v>0</v>
      </c>
      <c r="FB86" s="10">
        <v>0</v>
      </c>
      <c r="FC86" s="10">
        <v>0</v>
      </c>
      <c r="FD86" s="10">
        <v>0</v>
      </c>
      <c r="FE86" s="10">
        <v>0</v>
      </c>
      <c r="FF86" s="10">
        <v>0</v>
      </c>
      <c r="FG86" s="10">
        <v>0</v>
      </c>
      <c r="FH86" s="10">
        <v>0</v>
      </c>
      <c r="FI86" s="10">
        <v>0</v>
      </c>
      <c r="FJ86" s="10">
        <v>0</v>
      </c>
      <c r="FK86" s="10">
        <v>0</v>
      </c>
      <c r="FL86" s="10">
        <v>0</v>
      </c>
      <c r="FM86" s="10">
        <v>0</v>
      </c>
      <c r="FN86" s="10">
        <v>0</v>
      </c>
      <c r="FO86" s="10">
        <v>0</v>
      </c>
      <c r="FP86" s="10">
        <v>0</v>
      </c>
      <c r="FQ86" s="10">
        <v>0</v>
      </c>
      <c r="FR86" s="10">
        <v>0</v>
      </c>
      <c r="FS86" s="10">
        <v>0</v>
      </c>
      <c r="FT86" s="10">
        <v>0</v>
      </c>
      <c r="FU86" s="10">
        <v>0</v>
      </c>
      <c r="FV86" s="10">
        <v>0</v>
      </c>
      <c r="FW86" s="18">
        <f t="shared" si="24"/>
        <v>0</v>
      </c>
      <c r="FX86" s="18">
        <f t="shared" si="18"/>
        <v>0</v>
      </c>
      <c r="FY86" s="18">
        <f t="shared" si="19"/>
        <v>0</v>
      </c>
      <c r="FZ86" s="18">
        <f t="shared" si="20"/>
        <v>0</v>
      </c>
      <c r="GA86" s="18">
        <f t="shared" si="25"/>
        <v>0</v>
      </c>
      <c r="GB86" s="18">
        <f t="shared" si="21"/>
        <v>-5.552891479965183E-11</v>
      </c>
      <c r="GC86" s="18">
        <f t="shared" si="22"/>
        <v>0</v>
      </c>
      <c r="GD86" s="18">
        <f t="shared" si="23"/>
        <v>-1.0942358130705543E-12</v>
      </c>
    </row>
    <row r="87" spans="1:186" s="11" customFormat="1" ht="27" customHeight="1" x14ac:dyDescent="0.25">
      <c r="A87" s="66" t="s">
        <v>33</v>
      </c>
      <c r="B87" s="1">
        <f t="shared" si="26"/>
        <v>80</v>
      </c>
      <c r="C87" s="20" t="s">
        <v>2127</v>
      </c>
      <c r="D87" s="20" t="s">
        <v>2183</v>
      </c>
      <c r="E87" s="65">
        <v>12029</v>
      </c>
      <c r="F87" s="19" t="s">
        <v>2047</v>
      </c>
      <c r="G87" s="9">
        <v>941</v>
      </c>
      <c r="H87" s="9">
        <v>23834.018367949997</v>
      </c>
      <c r="I87" s="9">
        <v>11</v>
      </c>
      <c r="J87" s="9">
        <v>425.40390127000001</v>
      </c>
      <c r="K87" s="9">
        <v>21</v>
      </c>
      <c r="L87" s="9">
        <v>2965.4733480899999</v>
      </c>
      <c r="M87" s="9">
        <v>1</v>
      </c>
      <c r="N87" s="9">
        <v>100</v>
      </c>
      <c r="O87" s="9">
        <v>33</v>
      </c>
      <c r="P87" s="9">
        <v>4240.9103875600003</v>
      </c>
      <c r="Q87" s="9">
        <v>1</v>
      </c>
      <c r="R87" s="9">
        <v>112.600002</v>
      </c>
      <c r="S87" s="9">
        <v>887</v>
      </c>
      <c r="T87" s="9">
        <v>16627.6346323</v>
      </c>
      <c r="U87" s="9">
        <v>9</v>
      </c>
      <c r="V87" s="9">
        <v>212.80389927000002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2</v>
      </c>
      <c r="BH87" s="10">
        <v>200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6</v>
      </c>
      <c r="BP87" s="10">
        <v>621.02508180999996</v>
      </c>
      <c r="BQ87" s="10">
        <v>0</v>
      </c>
      <c r="BR87" s="10">
        <v>0</v>
      </c>
      <c r="BS87" s="10">
        <v>11</v>
      </c>
      <c r="BT87" s="10">
        <v>1043.21210896</v>
      </c>
      <c r="BU87" s="10">
        <v>1</v>
      </c>
      <c r="BV87" s="10">
        <v>100</v>
      </c>
      <c r="BW87" s="10">
        <v>24</v>
      </c>
      <c r="BX87" s="10">
        <v>4347.4225133700002</v>
      </c>
      <c r="BY87" s="10">
        <v>1</v>
      </c>
      <c r="BZ87" s="10">
        <v>112.600002</v>
      </c>
      <c r="CA87" s="10">
        <v>0</v>
      </c>
      <c r="CB87" s="10">
        <v>0</v>
      </c>
      <c r="CC87" s="10">
        <v>0</v>
      </c>
      <c r="CD87" s="10">
        <v>0</v>
      </c>
      <c r="CE87" s="10">
        <v>1</v>
      </c>
      <c r="CF87" s="10">
        <v>100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10">
        <v>0</v>
      </c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10</v>
      </c>
      <c r="CZ87" s="10">
        <v>894.72403151000003</v>
      </c>
      <c r="DA87" s="10">
        <v>0</v>
      </c>
      <c r="DB87" s="10">
        <v>0</v>
      </c>
      <c r="DC87" s="10">
        <v>0</v>
      </c>
      <c r="DD87" s="10">
        <v>0</v>
      </c>
      <c r="DE87" s="10">
        <v>0</v>
      </c>
      <c r="DF87" s="10">
        <v>0</v>
      </c>
      <c r="DG87" s="10">
        <v>708</v>
      </c>
      <c r="DH87" s="10">
        <v>11360.849879490001</v>
      </c>
      <c r="DI87" s="10">
        <v>1</v>
      </c>
      <c r="DJ87" s="10">
        <v>0.41666900000000001</v>
      </c>
      <c r="DK87" s="10">
        <v>8</v>
      </c>
      <c r="DL87" s="10">
        <v>590.84208674000001</v>
      </c>
      <c r="DM87" s="10">
        <v>0</v>
      </c>
      <c r="DN87" s="10">
        <v>0</v>
      </c>
      <c r="DO87" s="10">
        <v>0</v>
      </c>
      <c r="DP87" s="10">
        <v>0</v>
      </c>
      <c r="DQ87" s="10">
        <v>0</v>
      </c>
      <c r="DR87" s="10">
        <v>0</v>
      </c>
      <c r="DS87" s="10">
        <v>171</v>
      </c>
      <c r="DT87" s="10">
        <v>4675.9426660700001</v>
      </c>
      <c r="DU87" s="10">
        <v>8</v>
      </c>
      <c r="DV87" s="10">
        <v>212.38723027</v>
      </c>
      <c r="DW87" s="10">
        <v>0</v>
      </c>
      <c r="DX87" s="10">
        <v>0</v>
      </c>
      <c r="DY87" s="10">
        <v>0</v>
      </c>
      <c r="DZ87" s="10">
        <v>0</v>
      </c>
      <c r="EA87" s="10">
        <v>0</v>
      </c>
      <c r="EB87" s="10">
        <v>0</v>
      </c>
      <c r="EC87" s="10">
        <v>0</v>
      </c>
      <c r="ED87" s="10">
        <v>0</v>
      </c>
      <c r="EE87" s="10">
        <v>0</v>
      </c>
      <c r="EF87" s="10">
        <v>0</v>
      </c>
      <c r="EG87" s="10">
        <v>0</v>
      </c>
      <c r="EH87" s="10">
        <v>0</v>
      </c>
      <c r="EI87" s="10">
        <v>0</v>
      </c>
      <c r="EJ87" s="10">
        <v>0</v>
      </c>
      <c r="EK87" s="10">
        <v>0</v>
      </c>
      <c r="EL87" s="10">
        <v>0</v>
      </c>
      <c r="EM87" s="10">
        <v>0</v>
      </c>
      <c r="EN87" s="10">
        <v>0</v>
      </c>
      <c r="EO87" s="10">
        <v>0</v>
      </c>
      <c r="EP87" s="10">
        <v>0</v>
      </c>
      <c r="EQ87" s="10">
        <v>0</v>
      </c>
      <c r="ER87" s="10">
        <v>0</v>
      </c>
      <c r="ES87" s="10">
        <v>0</v>
      </c>
      <c r="ET87" s="10">
        <v>0</v>
      </c>
      <c r="EU87" s="10">
        <v>0</v>
      </c>
      <c r="EV87" s="10">
        <v>0</v>
      </c>
      <c r="EW87" s="10">
        <v>0</v>
      </c>
      <c r="EX87" s="10">
        <v>0</v>
      </c>
      <c r="EY87" s="10">
        <v>0</v>
      </c>
      <c r="EZ87" s="10">
        <v>0</v>
      </c>
      <c r="FA87" s="10">
        <v>0</v>
      </c>
      <c r="FB87" s="10">
        <v>0</v>
      </c>
      <c r="FC87" s="10">
        <v>0</v>
      </c>
      <c r="FD87" s="10">
        <v>0</v>
      </c>
      <c r="FE87" s="10">
        <v>0</v>
      </c>
      <c r="FF87" s="10">
        <v>0</v>
      </c>
      <c r="FG87" s="10">
        <v>0</v>
      </c>
      <c r="FH87" s="10">
        <v>0</v>
      </c>
      <c r="FI87" s="10">
        <v>0</v>
      </c>
      <c r="FJ87" s="10">
        <v>0</v>
      </c>
      <c r="FK87" s="10">
        <v>0</v>
      </c>
      <c r="FL87" s="10">
        <v>0</v>
      </c>
      <c r="FM87" s="10">
        <v>0</v>
      </c>
      <c r="FN87" s="10">
        <v>0</v>
      </c>
      <c r="FO87" s="10">
        <v>0</v>
      </c>
      <c r="FP87" s="10">
        <v>0</v>
      </c>
      <c r="FQ87" s="10">
        <v>0</v>
      </c>
      <c r="FR87" s="10">
        <v>0</v>
      </c>
      <c r="FS87" s="10">
        <v>0</v>
      </c>
      <c r="FT87" s="10">
        <v>0</v>
      </c>
      <c r="FU87" s="10">
        <v>0</v>
      </c>
      <c r="FV87" s="10">
        <v>0</v>
      </c>
      <c r="FW87" s="18">
        <f t="shared" si="24"/>
        <v>0</v>
      </c>
      <c r="FX87" s="18">
        <f t="shared" si="18"/>
        <v>0</v>
      </c>
      <c r="FY87" s="18">
        <f t="shared" si="19"/>
        <v>0</v>
      </c>
      <c r="FZ87" s="18">
        <f t="shared" si="20"/>
        <v>0</v>
      </c>
      <c r="GA87" s="18">
        <f t="shared" si="25"/>
        <v>0</v>
      </c>
      <c r="GB87" s="18">
        <f t="shared" si="21"/>
        <v>-4.5474735088646412E-12</v>
      </c>
      <c r="GC87" s="18">
        <f t="shared" si="22"/>
        <v>0</v>
      </c>
      <c r="GD87" s="18">
        <f t="shared" si="23"/>
        <v>-2.8421709430404007E-14</v>
      </c>
    </row>
    <row r="88" spans="1:186" s="11" customFormat="1" ht="27" customHeight="1" x14ac:dyDescent="0.25">
      <c r="A88" s="66" t="s">
        <v>37</v>
      </c>
      <c r="B88" s="1">
        <f t="shared" si="26"/>
        <v>81</v>
      </c>
      <c r="C88" s="20" t="s">
        <v>2148</v>
      </c>
      <c r="D88" s="20" t="s">
        <v>2149</v>
      </c>
      <c r="E88" s="65" t="s">
        <v>13</v>
      </c>
      <c r="F88" s="19" t="s">
        <v>2045</v>
      </c>
      <c r="G88" s="9">
        <v>8609</v>
      </c>
      <c r="H88" s="9">
        <v>478469.73563985026</v>
      </c>
      <c r="I88" s="9">
        <v>404</v>
      </c>
      <c r="J88" s="9">
        <v>30231.248992489996</v>
      </c>
      <c r="K88" s="9">
        <v>104</v>
      </c>
      <c r="L88" s="9">
        <v>59339.97872050001</v>
      </c>
      <c r="M88" s="9">
        <v>16</v>
      </c>
      <c r="N88" s="9">
        <v>9765.1789742700003</v>
      </c>
      <c r="O88" s="9">
        <v>17</v>
      </c>
      <c r="P88" s="9">
        <v>1773.94819792</v>
      </c>
      <c r="Q88" s="9">
        <v>2</v>
      </c>
      <c r="R88" s="9">
        <v>824.5165257000001</v>
      </c>
      <c r="S88" s="9">
        <v>8488</v>
      </c>
      <c r="T88" s="9">
        <v>417355.80872143031</v>
      </c>
      <c r="U88" s="9">
        <v>386</v>
      </c>
      <c r="V88" s="9">
        <v>19641.553492520005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1</v>
      </c>
      <c r="AJ88" s="10">
        <v>1780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1</v>
      </c>
      <c r="AV88" s="10">
        <v>159.90539651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1</v>
      </c>
      <c r="BD88" s="10">
        <v>1373.09749074</v>
      </c>
      <c r="BE88" s="10">
        <v>1</v>
      </c>
      <c r="BF88" s="10">
        <v>1373.09749074</v>
      </c>
      <c r="BG88" s="10">
        <v>25</v>
      </c>
      <c r="BH88" s="10">
        <v>5570.32068316</v>
      </c>
      <c r="BI88" s="10">
        <v>1</v>
      </c>
      <c r="BJ88" s="10">
        <v>328.57142860000005</v>
      </c>
      <c r="BK88" s="10">
        <v>1</v>
      </c>
      <c r="BL88" s="10">
        <v>8640</v>
      </c>
      <c r="BM88" s="10">
        <v>0</v>
      </c>
      <c r="BN88" s="10">
        <v>0</v>
      </c>
      <c r="BO88" s="10">
        <v>20</v>
      </c>
      <c r="BP88" s="10">
        <v>5698.2886133900001</v>
      </c>
      <c r="BQ88" s="10">
        <v>4</v>
      </c>
      <c r="BR88" s="10">
        <v>1051.13335379</v>
      </c>
      <c r="BS88" s="10">
        <v>34</v>
      </c>
      <c r="BT88" s="10">
        <v>4742.5048043199995</v>
      </c>
      <c r="BU88" s="10">
        <v>0</v>
      </c>
      <c r="BV88" s="10">
        <v>0</v>
      </c>
      <c r="BW88" s="10">
        <v>1</v>
      </c>
      <c r="BX88" s="10">
        <v>118.35</v>
      </c>
      <c r="BY88" s="10">
        <v>0</v>
      </c>
      <c r="BZ88" s="10">
        <v>0</v>
      </c>
      <c r="CA88" s="10">
        <v>13</v>
      </c>
      <c r="CB88" s="10">
        <v>20736.669665599999</v>
      </c>
      <c r="CC88" s="10">
        <v>0</v>
      </c>
      <c r="CD88" s="10">
        <v>0</v>
      </c>
      <c r="CE88" s="10">
        <v>7</v>
      </c>
      <c r="CF88" s="10">
        <v>5308.9342337700009</v>
      </c>
      <c r="CG88" s="10">
        <v>3</v>
      </c>
      <c r="CH88" s="10">
        <v>1633.69787017</v>
      </c>
      <c r="CI88" s="10">
        <v>1</v>
      </c>
      <c r="CJ88" s="10">
        <v>70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>
        <v>0</v>
      </c>
      <c r="CS88" s="10">
        <v>0</v>
      </c>
      <c r="CT88" s="10">
        <v>0</v>
      </c>
      <c r="CU88" s="10">
        <v>0</v>
      </c>
      <c r="CV88" s="10">
        <v>0</v>
      </c>
      <c r="CW88" s="10">
        <v>0</v>
      </c>
      <c r="CX88" s="10">
        <v>0</v>
      </c>
      <c r="CY88" s="10">
        <v>16</v>
      </c>
      <c r="CZ88" s="10">
        <v>6915.8560309300001</v>
      </c>
      <c r="DA88" s="10">
        <v>9</v>
      </c>
      <c r="DB88" s="10">
        <v>6203.1953566700004</v>
      </c>
      <c r="DC88" s="10">
        <v>1515</v>
      </c>
      <c r="DD88" s="10">
        <v>306798.91383690009</v>
      </c>
      <c r="DE88" s="10">
        <v>46</v>
      </c>
      <c r="DF88" s="10">
        <v>13762.267674339999</v>
      </c>
      <c r="DG88" s="10">
        <v>5072</v>
      </c>
      <c r="DH88" s="10">
        <v>40192.446455050056</v>
      </c>
      <c r="DI88" s="10">
        <v>315</v>
      </c>
      <c r="DJ88" s="10">
        <v>3794.8707176900002</v>
      </c>
      <c r="DK88" s="10">
        <v>559</v>
      </c>
      <c r="DL88" s="10">
        <v>50285.859213799966</v>
      </c>
      <c r="DM88" s="10">
        <v>17</v>
      </c>
      <c r="DN88" s="10">
        <v>2011.5913509000004</v>
      </c>
      <c r="DO88" s="10">
        <v>1341</v>
      </c>
      <c r="DP88" s="10">
        <v>20061.424386369999</v>
      </c>
      <c r="DQ88" s="10">
        <v>8</v>
      </c>
      <c r="DR88" s="10">
        <v>72.823749590000006</v>
      </c>
      <c r="DS88" s="10">
        <v>0</v>
      </c>
      <c r="DT88" s="10">
        <v>0</v>
      </c>
      <c r="DU88" s="10">
        <v>0</v>
      </c>
      <c r="DV88" s="10">
        <v>0</v>
      </c>
      <c r="DW88" s="10">
        <v>0</v>
      </c>
      <c r="DX88" s="10">
        <v>0</v>
      </c>
      <c r="DY88" s="10">
        <v>0</v>
      </c>
      <c r="DZ88" s="10">
        <v>0</v>
      </c>
      <c r="EA88" s="10">
        <v>0</v>
      </c>
      <c r="EB88" s="10">
        <v>0</v>
      </c>
      <c r="EC88" s="10">
        <v>0</v>
      </c>
      <c r="ED88" s="10">
        <v>0</v>
      </c>
      <c r="EE88" s="10">
        <v>0</v>
      </c>
      <c r="EF88" s="10">
        <v>0</v>
      </c>
      <c r="EG88" s="10">
        <v>0</v>
      </c>
      <c r="EH88" s="10">
        <v>0</v>
      </c>
      <c r="EI88" s="10">
        <v>0</v>
      </c>
      <c r="EJ88" s="10">
        <v>0</v>
      </c>
      <c r="EK88" s="10">
        <v>0</v>
      </c>
      <c r="EL88" s="10">
        <v>0</v>
      </c>
      <c r="EM88" s="10">
        <v>0</v>
      </c>
      <c r="EN88" s="10">
        <v>0</v>
      </c>
      <c r="EO88" s="10">
        <v>0</v>
      </c>
      <c r="EP88" s="10">
        <v>0</v>
      </c>
      <c r="EQ88" s="10">
        <v>0</v>
      </c>
      <c r="ER88" s="10">
        <v>0</v>
      </c>
      <c r="ES88" s="10">
        <v>0</v>
      </c>
      <c r="ET88" s="10">
        <v>0</v>
      </c>
      <c r="EU88" s="10">
        <v>1</v>
      </c>
      <c r="EV88" s="10">
        <v>17.164829309999998</v>
      </c>
      <c r="EW88" s="10">
        <v>0</v>
      </c>
      <c r="EX88" s="10">
        <v>0</v>
      </c>
      <c r="EY88" s="10">
        <v>0</v>
      </c>
      <c r="EZ88" s="10">
        <v>0</v>
      </c>
      <c r="FA88" s="10">
        <v>0</v>
      </c>
      <c r="FB88" s="10">
        <v>0</v>
      </c>
      <c r="FC88" s="10">
        <v>0</v>
      </c>
      <c r="FD88" s="10">
        <v>0</v>
      </c>
      <c r="FE88" s="10">
        <v>0</v>
      </c>
      <c r="FF88" s="10">
        <v>0</v>
      </c>
      <c r="FG88" s="10">
        <v>0</v>
      </c>
      <c r="FH88" s="10">
        <v>0</v>
      </c>
      <c r="FI88" s="10">
        <v>0</v>
      </c>
      <c r="FJ88" s="10">
        <v>0</v>
      </c>
      <c r="FK88" s="10">
        <v>0</v>
      </c>
      <c r="FL88" s="10">
        <v>0</v>
      </c>
      <c r="FM88" s="10">
        <v>0</v>
      </c>
      <c r="FN88" s="10">
        <v>0</v>
      </c>
      <c r="FO88" s="10">
        <v>0</v>
      </c>
      <c r="FP88" s="10">
        <v>0</v>
      </c>
      <c r="FQ88" s="10">
        <v>0</v>
      </c>
      <c r="FR88" s="10">
        <v>0</v>
      </c>
      <c r="FS88" s="10">
        <v>0</v>
      </c>
      <c r="FT88" s="10">
        <v>0</v>
      </c>
      <c r="FU88" s="10">
        <v>0</v>
      </c>
      <c r="FV88" s="10">
        <v>0</v>
      </c>
      <c r="FW88" s="18">
        <f t="shared" si="24"/>
        <v>0</v>
      </c>
      <c r="FX88" s="18">
        <f t="shared" si="18"/>
        <v>0</v>
      </c>
      <c r="FY88" s="18">
        <f t="shared" si="19"/>
        <v>0</v>
      </c>
      <c r="FZ88" s="18">
        <f t="shared" si="20"/>
        <v>0</v>
      </c>
      <c r="GA88" s="18">
        <f t="shared" si="25"/>
        <v>0</v>
      </c>
      <c r="GB88" s="18">
        <f t="shared" si="21"/>
        <v>2.007318755659071E-10</v>
      </c>
      <c r="GC88" s="18">
        <f t="shared" si="22"/>
        <v>0</v>
      </c>
      <c r="GD88" s="18">
        <f t="shared" si="23"/>
        <v>-2.2453150450019166E-12</v>
      </c>
    </row>
    <row r="89" spans="1:186" s="11" customFormat="1" ht="27" customHeight="1" x14ac:dyDescent="0.25">
      <c r="A89" s="66" t="s">
        <v>37</v>
      </c>
      <c r="B89" s="1">
        <f t="shared" si="26"/>
        <v>82</v>
      </c>
      <c r="C89" s="20" t="s">
        <v>2148</v>
      </c>
      <c r="D89" s="20" t="s">
        <v>2150</v>
      </c>
      <c r="E89" s="65" t="s">
        <v>7</v>
      </c>
      <c r="F89" s="19" t="s">
        <v>2049</v>
      </c>
      <c r="G89" s="9">
        <v>31653</v>
      </c>
      <c r="H89" s="9">
        <v>1351085.7363151715</v>
      </c>
      <c r="I89" s="9">
        <v>2166</v>
      </c>
      <c r="J89" s="9">
        <v>42927.059748070023</v>
      </c>
      <c r="K89" s="9">
        <v>75</v>
      </c>
      <c r="L89" s="9">
        <v>524640.14569617994</v>
      </c>
      <c r="M89" s="9">
        <v>1</v>
      </c>
      <c r="N89" s="9">
        <v>106.82167866</v>
      </c>
      <c r="O89" s="9">
        <v>66</v>
      </c>
      <c r="P89" s="9">
        <v>7806.3441888599991</v>
      </c>
      <c r="Q89" s="9">
        <v>1</v>
      </c>
      <c r="R89" s="9">
        <v>217.02658597999999</v>
      </c>
      <c r="S89" s="9">
        <v>31512</v>
      </c>
      <c r="T89" s="9">
        <v>818639.24643013207</v>
      </c>
      <c r="U89" s="9">
        <v>2164</v>
      </c>
      <c r="V89" s="9">
        <v>42603.211483430016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1</v>
      </c>
      <c r="AR89" s="10">
        <v>7916.6666667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6</v>
      </c>
      <c r="BH89" s="10">
        <v>503491.96762325999</v>
      </c>
      <c r="BI89" s="10">
        <v>0</v>
      </c>
      <c r="BJ89" s="10">
        <v>0</v>
      </c>
      <c r="BK89" s="10">
        <v>2</v>
      </c>
      <c r="BL89" s="10">
        <v>1287.7252253299998</v>
      </c>
      <c r="BM89" s="10">
        <v>0</v>
      </c>
      <c r="BN89" s="10">
        <v>0</v>
      </c>
      <c r="BO89" s="10">
        <v>87</v>
      </c>
      <c r="BP89" s="10">
        <v>14286.419378189999</v>
      </c>
      <c r="BQ89" s="10">
        <v>2</v>
      </c>
      <c r="BR89" s="10">
        <v>323.84826463999997</v>
      </c>
      <c r="BS89" s="10">
        <v>8</v>
      </c>
      <c r="BT89" s="10">
        <v>968.96677631999989</v>
      </c>
      <c r="BU89" s="10">
        <v>0</v>
      </c>
      <c r="BV89" s="10">
        <v>0</v>
      </c>
      <c r="BW89" s="10">
        <v>4</v>
      </c>
      <c r="BX89" s="10">
        <v>481.47668629000003</v>
      </c>
      <c r="BY89" s="10">
        <v>0</v>
      </c>
      <c r="BZ89" s="10">
        <v>0</v>
      </c>
      <c r="CA89" s="10">
        <v>23</v>
      </c>
      <c r="CB89" s="10">
        <v>1553.1999489099999</v>
      </c>
      <c r="CC89" s="10">
        <v>0</v>
      </c>
      <c r="CD89" s="10">
        <v>0</v>
      </c>
      <c r="CE89" s="10">
        <v>4</v>
      </c>
      <c r="CF89" s="10">
        <v>740.80385160000003</v>
      </c>
      <c r="CG89" s="10">
        <v>0</v>
      </c>
      <c r="CH89" s="10">
        <v>0</v>
      </c>
      <c r="CI89" s="10">
        <v>1</v>
      </c>
      <c r="CJ89" s="10">
        <v>216.66666661000002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5</v>
      </c>
      <c r="CZ89" s="10">
        <v>1502.59706183</v>
      </c>
      <c r="DA89" s="10">
        <v>0</v>
      </c>
      <c r="DB89" s="10">
        <v>0</v>
      </c>
      <c r="DC89" s="10">
        <v>2086</v>
      </c>
      <c r="DD89" s="10">
        <v>431781.89236592955</v>
      </c>
      <c r="DE89" s="10">
        <v>42</v>
      </c>
      <c r="DF89" s="10">
        <v>8670.5617810000022</v>
      </c>
      <c r="DG89" s="10">
        <v>23336</v>
      </c>
      <c r="DH89" s="10">
        <v>247857.90642429065</v>
      </c>
      <c r="DI89" s="10">
        <v>2064</v>
      </c>
      <c r="DJ89" s="10">
        <v>31904.385820130025</v>
      </c>
      <c r="DK89" s="10">
        <v>1055</v>
      </c>
      <c r="DL89" s="10">
        <v>75753.918884409984</v>
      </c>
      <c r="DM89" s="10">
        <v>16</v>
      </c>
      <c r="DN89" s="10">
        <v>1540.7190599200001</v>
      </c>
      <c r="DO89" s="10">
        <v>4959</v>
      </c>
      <c r="DP89" s="10">
        <v>61364.794116069832</v>
      </c>
      <c r="DQ89" s="10">
        <v>40</v>
      </c>
      <c r="DR89" s="10">
        <v>434.15827853000002</v>
      </c>
      <c r="DS89" s="10">
        <v>28</v>
      </c>
      <c r="DT89" s="10">
        <v>839.93537695000009</v>
      </c>
      <c r="DU89" s="10">
        <v>0</v>
      </c>
      <c r="DV89" s="10">
        <v>0</v>
      </c>
      <c r="DW89" s="10">
        <v>0</v>
      </c>
      <c r="DX89" s="10">
        <v>0</v>
      </c>
      <c r="DY89" s="10">
        <v>0</v>
      </c>
      <c r="DZ89" s="10">
        <v>0</v>
      </c>
      <c r="EA89" s="10">
        <v>0</v>
      </c>
      <c r="EB89" s="10">
        <v>0</v>
      </c>
      <c r="EC89" s="10">
        <v>0</v>
      </c>
      <c r="ED89" s="10">
        <v>0</v>
      </c>
      <c r="EE89" s="10">
        <v>0</v>
      </c>
      <c r="EF89" s="10">
        <v>0</v>
      </c>
      <c r="EG89" s="10">
        <v>0</v>
      </c>
      <c r="EH89" s="10">
        <v>0</v>
      </c>
      <c r="EI89" s="10">
        <v>0</v>
      </c>
      <c r="EJ89" s="10">
        <v>0</v>
      </c>
      <c r="EK89" s="10">
        <v>0</v>
      </c>
      <c r="EL89" s="10">
        <v>0</v>
      </c>
      <c r="EM89" s="10">
        <v>0</v>
      </c>
      <c r="EN89" s="10">
        <v>0</v>
      </c>
      <c r="EO89" s="10">
        <v>0</v>
      </c>
      <c r="EP89" s="10">
        <v>0</v>
      </c>
      <c r="EQ89" s="10">
        <v>0</v>
      </c>
      <c r="ER89" s="10">
        <v>0</v>
      </c>
      <c r="ES89" s="10">
        <v>0</v>
      </c>
      <c r="ET89" s="10">
        <v>0</v>
      </c>
      <c r="EU89" s="10">
        <v>48</v>
      </c>
      <c r="EV89" s="10">
        <v>1040.7992624799999</v>
      </c>
      <c r="EW89" s="10">
        <v>2</v>
      </c>
      <c r="EX89" s="10">
        <v>53.386543849999995</v>
      </c>
      <c r="EY89" s="10">
        <v>0</v>
      </c>
      <c r="EZ89" s="10">
        <v>0</v>
      </c>
      <c r="FA89" s="10">
        <v>0</v>
      </c>
      <c r="FB89" s="10">
        <v>0</v>
      </c>
      <c r="FC89" s="10">
        <v>0</v>
      </c>
      <c r="FD89" s="10">
        <v>0</v>
      </c>
      <c r="FE89" s="10">
        <v>0</v>
      </c>
      <c r="FF89" s="10">
        <v>0</v>
      </c>
      <c r="FG89" s="10">
        <v>0</v>
      </c>
      <c r="FH89" s="10">
        <v>0</v>
      </c>
      <c r="FI89" s="10">
        <v>0</v>
      </c>
      <c r="FJ89" s="10">
        <v>0</v>
      </c>
      <c r="FK89" s="10">
        <v>0</v>
      </c>
      <c r="FL89" s="10">
        <v>0</v>
      </c>
      <c r="FM89" s="10">
        <v>0</v>
      </c>
      <c r="FN89" s="10">
        <v>0</v>
      </c>
      <c r="FO89" s="10">
        <v>0</v>
      </c>
      <c r="FP89" s="10">
        <v>0</v>
      </c>
      <c r="FQ89" s="10">
        <v>0</v>
      </c>
      <c r="FR89" s="10">
        <v>0</v>
      </c>
      <c r="FS89" s="10">
        <v>0</v>
      </c>
      <c r="FT89" s="10">
        <v>0</v>
      </c>
      <c r="FU89" s="10">
        <v>0</v>
      </c>
      <c r="FV89" s="10">
        <v>0</v>
      </c>
      <c r="FW89" s="18">
        <f t="shared" si="24"/>
        <v>0</v>
      </c>
      <c r="FX89" s="18">
        <f t="shared" si="18"/>
        <v>0</v>
      </c>
      <c r="FY89" s="18">
        <f t="shared" si="19"/>
        <v>0</v>
      </c>
      <c r="FZ89" s="18">
        <f t="shared" si="20"/>
        <v>0</v>
      </c>
      <c r="GA89" s="18">
        <f t="shared" si="25"/>
        <v>0</v>
      </c>
      <c r="GB89" s="18">
        <f t="shared" si="21"/>
        <v>1.3571934687206522E-9</v>
      </c>
      <c r="GC89" s="18">
        <f t="shared" si="22"/>
        <v>0</v>
      </c>
      <c r="GD89" s="18">
        <f t="shared" si="23"/>
        <v>-5.7838178690872155E-12</v>
      </c>
    </row>
    <row r="90" spans="1:186" s="11" customFormat="1" ht="27" customHeight="1" x14ac:dyDescent="0.25">
      <c r="A90" s="66" t="s">
        <v>37</v>
      </c>
      <c r="B90" s="1">
        <f t="shared" si="26"/>
        <v>83</v>
      </c>
      <c r="C90" s="20" t="s">
        <v>2148</v>
      </c>
      <c r="D90" s="20" t="s">
        <v>2151</v>
      </c>
      <c r="E90" s="65" t="s">
        <v>5</v>
      </c>
      <c r="F90" s="19" t="s">
        <v>2037</v>
      </c>
      <c r="G90" s="9">
        <v>9086</v>
      </c>
      <c r="H90" s="9">
        <v>225345.65029578991</v>
      </c>
      <c r="I90" s="9">
        <v>350</v>
      </c>
      <c r="J90" s="9">
        <v>3755.1797617899988</v>
      </c>
      <c r="K90" s="9">
        <v>125</v>
      </c>
      <c r="L90" s="9">
        <v>73920.801236850006</v>
      </c>
      <c r="M90" s="9">
        <v>5</v>
      </c>
      <c r="N90" s="9">
        <v>1456.7075194900001</v>
      </c>
      <c r="O90" s="9">
        <v>31</v>
      </c>
      <c r="P90" s="9">
        <v>2245.4772444999999</v>
      </c>
      <c r="Q90" s="9">
        <v>0</v>
      </c>
      <c r="R90" s="9">
        <v>0</v>
      </c>
      <c r="S90" s="9">
        <v>8930</v>
      </c>
      <c r="T90" s="9">
        <v>149179.37181443986</v>
      </c>
      <c r="U90" s="9">
        <v>345</v>
      </c>
      <c r="V90" s="9">
        <v>2298.4722422999994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1</v>
      </c>
      <c r="AJ90" s="10">
        <v>2823.5292846399998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4</v>
      </c>
      <c r="AV90" s="10">
        <v>511.63532450000002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1</v>
      </c>
      <c r="BD90" s="10">
        <v>1377.2908500899998</v>
      </c>
      <c r="BE90" s="10">
        <v>0</v>
      </c>
      <c r="BF90" s="10">
        <v>0</v>
      </c>
      <c r="BG90" s="10">
        <v>1</v>
      </c>
      <c r="BH90" s="10">
        <v>682.57138444000009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38</v>
      </c>
      <c r="BP90" s="10">
        <v>5160.0919698400003</v>
      </c>
      <c r="BQ90" s="10">
        <v>0</v>
      </c>
      <c r="BR90" s="10">
        <v>0</v>
      </c>
      <c r="BS90" s="10">
        <v>77</v>
      </c>
      <c r="BT90" s="10">
        <v>54874.66056887</v>
      </c>
      <c r="BU90" s="10">
        <v>1</v>
      </c>
      <c r="BV90" s="10">
        <v>103.42582970000001</v>
      </c>
      <c r="BW90" s="10">
        <v>18</v>
      </c>
      <c r="BX90" s="10">
        <v>6657.9547166499997</v>
      </c>
      <c r="BY90" s="10">
        <v>1</v>
      </c>
      <c r="BZ90" s="10">
        <v>1140.3666472300001</v>
      </c>
      <c r="CA90" s="10">
        <v>3</v>
      </c>
      <c r="CB90" s="10">
        <v>691.62473788</v>
      </c>
      <c r="CC90" s="10">
        <v>2</v>
      </c>
      <c r="CD90" s="10">
        <v>68.624737879999998</v>
      </c>
      <c r="CE90" s="10">
        <v>5</v>
      </c>
      <c r="CF90" s="10">
        <v>808.00000006999994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2</v>
      </c>
      <c r="CN90" s="10">
        <v>139.58312613999999</v>
      </c>
      <c r="CO90" s="10">
        <v>0</v>
      </c>
      <c r="CP90" s="10">
        <v>0</v>
      </c>
      <c r="CQ90" s="10">
        <v>0</v>
      </c>
      <c r="CR90" s="10">
        <v>0</v>
      </c>
      <c r="CS90" s="10">
        <v>0</v>
      </c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>
        <v>6</v>
      </c>
      <c r="CZ90" s="10">
        <v>2439.3365182299999</v>
      </c>
      <c r="DA90" s="10">
        <v>1</v>
      </c>
      <c r="DB90" s="10">
        <v>144.29030468000002</v>
      </c>
      <c r="DC90" s="10">
        <v>616</v>
      </c>
      <c r="DD90" s="10">
        <v>71124.237839089998</v>
      </c>
      <c r="DE90" s="10">
        <v>5</v>
      </c>
      <c r="DF90" s="10">
        <v>405.82188823000001</v>
      </c>
      <c r="DG90" s="10">
        <v>5981</v>
      </c>
      <c r="DH90" s="10">
        <v>34780.516644249969</v>
      </c>
      <c r="DI90" s="10">
        <v>332</v>
      </c>
      <c r="DJ90" s="10">
        <v>1798.7661316299998</v>
      </c>
      <c r="DK90" s="10">
        <v>240</v>
      </c>
      <c r="DL90" s="10">
        <v>17614.639970490007</v>
      </c>
      <c r="DM90" s="10">
        <v>1</v>
      </c>
      <c r="DN90" s="10">
        <v>38.29665662</v>
      </c>
      <c r="DO90" s="10">
        <v>2027</v>
      </c>
      <c r="DP90" s="10">
        <v>25485.227578300004</v>
      </c>
      <c r="DQ90" s="10">
        <v>6</v>
      </c>
      <c r="DR90" s="10">
        <v>53.74491046</v>
      </c>
      <c r="DS90" s="10">
        <v>0</v>
      </c>
      <c r="DT90" s="10">
        <v>0</v>
      </c>
      <c r="DU90" s="10">
        <v>0</v>
      </c>
      <c r="DV90" s="10">
        <v>0</v>
      </c>
      <c r="DW90" s="10">
        <v>0</v>
      </c>
      <c r="DX90" s="10">
        <v>0</v>
      </c>
      <c r="DY90" s="10">
        <v>0</v>
      </c>
      <c r="DZ90" s="10">
        <v>0</v>
      </c>
      <c r="EA90" s="10">
        <v>0</v>
      </c>
      <c r="EB90" s="10">
        <v>0</v>
      </c>
      <c r="EC90" s="10">
        <v>0</v>
      </c>
      <c r="ED90" s="10">
        <v>0</v>
      </c>
      <c r="EE90" s="10">
        <v>0</v>
      </c>
      <c r="EF90" s="10">
        <v>0</v>
      </c>
      <c r="EG90" s="10">
        <v>0</v>
      </c>
      <c r="EH90" s="10">
        <v>0</v>
      </c>
      <c r="EI90" s="10">
        <v>0</v>
      </c>
      <c r="EJ90" s="10">
        <v>0</v>
      </c>
      <c r="EK90" s="10">
        <v>0</v>
      </c>
      <c r="EL90" s="10">
        <v>0</v>
      </c>
      <c r="EM90" s="10">
        <v>0</v>
      </c>
      <c r="EN90" s="10">
        <v>0</v>
      </c>
      <c r="EO90" s="10">
        <v>0</v>
      </c>
      <c r="EP90" s="10">
        <v>0</v>
      </c>
      <c r="EQ90" s="10">
        <v>0</v>
      </c>
      <c r="ER90" s="10">
        <v>0</v>
      </c>
      <c r="ES90" s="10">
        <v>0</v>
      </c>
      <c r="ET90" s="10">
        <v>0</v>
      </c>
      <c r="EU90" s="10">
        <v>66</v>
      </c>
      <c r="EV90" s="10">
        <v>174.74978230999997</v>
      </c>
      <c r="EW90" s="10">
        <v>1</v>
      </c>
      <c r="EX90" s="10">
        <v>1.8426553600000002</v>
      </c>
      <c r="EY90" s="10">
        <v>0</v>
      </c>
      <c r="EZ90" s="10">
        <v>0</v>
      </c>
      <c r="FA90" s="10">
        <v>0</v>
      </c>
      <c r="FB90" s="10">
        <v>0</v>
      </c>
      <c r="FC90" s="10">
        <v>0</v>
      </c>
      <c r="FD90" s="10">
        <v>0</v>
      </c>
      <c r="FE90" s="10">
        <v>0</v>
      </c>
      <c r="FF90" s="10">
        <v>0</v>
      </c>
      <c r="FG90" s="10">
        <v>0</v>
      </c>
      <c r="FH90" s="10">
        <v>0</v>
      </c>
      <c r="FI90" s="10">
        <v>0</v>
      </c>
      <c r="FJ90" s="10">
        <v>0</v>
      </c>
      <c r="FK90" s="10">
        <v>0</v>
      </c>
      <c r="FL90" s="10">
        <v>0</v>
      </c>
      <c r="FM90" s="10">
        <v>0</v>
      </c>
      <c r="FN90" s="10">
        <v>0</v>
      </c>
      <c r="FO90" s="10">
        <v>0</v>
      </c>
      <c r="FP90" s="10">
        <v>0</v>
      </c>
      <c r="FQ90" s="10">
        <v>0</v>
      </c>
      <c r="FR90" s="10">
        <v>0</v>
      </c>
      <c r="FS90" s="10">
        <v>0</v>
      </c>
      <c r="FT90" s="10">
        <v>0</v>
      </c>
      <c r="FU90" s="10">
        <v>0</v>
      </c>
      <c r="FV90" s="10">
        <v>0</v>
      </c>
      <c r="FW90" s="18">
        <f t="shared" si="24"/>
        <v>0</v>
      </c>
      <c r="FX90" s="18">
        <f t="shared" si="18"/>
        <v>0</v>
      </c>
      <c r="FY90" s="18">
        <f t="shared" si="19"/>
        <v>0</v>
      </c>
      <c r="FZ90" s="18">
        <f t="shared" si="20"/>
        <v>0</v>
      </c>
      <c r="GA90" s="18">
        <f t="shared" si="25"/>
        <v>0</v>
      </c>
      <c r="GB90" s="18">
        <f t="shared" si="21"/>
        <v>-8.8874685388873331E-11</v>
      </c>
      <c r="GC90" s="18">
        <f t="shared" si="22"/>
        <v>0</v>
      </c>
      <c r="GD90" s="18">
        <f t="shared" si="23"/>
        <v>-1.3340439863895881E-12</v>
      </c>
    </row>
    <row r="91" spans="1:186" s="11" customFormat="1" ht="27" customHeight="1" x14ac:dyDescent="0.25">
      <c r="A91" s="66" t="s">
        <v>37</v>
      </c>
      <c r="B91" s="1">
        <f t="shared" si="26"/>
        <v>84</v>
      </c>
      <c r="C91" s="20" t="s">
        <v>2148</v>
      </c>
      <c r="D91" s="20" t="s">
        <v>2152</v>
      </c>
      <c r="E91" s="65" t="s">
        <v>6</v>
      </c>
      <c r="F91" s="19" t="s">
        <v>2047</v>
      </c>
      <c r="G91" s="9">
        <v>12146</v>
      </c>
      <c r="H91" s="9">
        <v>481290.14955170057</v>
      </c>
      <c r="I91" s="9">
        <v>330</v>
      </c>
      <c r="J91" s="9">
        <v>9835.0875860699998</v>
      </c>
      <c r="K91" s="9">
        <v>120</v>
      </c>
      <c r="L91" s="9">
        <v>36801.528363619997</v>
      </c>
      <c r="M91" s="9">
        <v>13</v>
      </c>
      <c r="N91" s="9">
        <v>3678.5178861400004</v>
      </c>
      <c r="O91" s="9">
        <v>18</v>
      </c>
      <c r="P91" s="9">
        <v>2126.4495406799997</v>
      </c>
      <c r="Q91" s="9">
        <v>0</v>
      </c>
      <c r="R91" s="9">
        <v>0</v>
      </c>
      <c r="S91" s="9">
        <v>12008</v>
      </c>
      <c r="T91" s="9">
        <v>442362.1716474006</v>
      </c>
      <c r="U91" s="9">
        <v>317</v>
      </c>
      <c r="V91" s="9">
        <v>6156.5696999300008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1</v>
      </c>
      <c r="AV91" s="10">
        <v>126.5625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18</v>
      </c>
      <c r="BH91" s="10">
        <v>5111.5714143300002</v>
      </c>
      <c r="BI91" s="10">
        <v>0</v>
      </c>
      <c r="BJ91" s="10">
        <v>0</v>
      </c>
      <c r="BK91" s="10">
        <v>1</v>
      </c>
      <c r="BL91" s="10">
        <v>239.58333325000001</v>
      </c>
      <c r="BM91" s="10">
        <v>0</v>
      </c>
      <c r="BN91" s="10">
        <v>0</v>
      </c>
      <c r="BO91" s="10">
        <v>32</v>
      </c>
      <c r="BP91" s="10">
        <v>5807.7539375200004</v>
      </c>
      <c r="BQ91" s="10">
        <v>0</v>
      </c>
      <c r="BR91" s="10">
        <v>0</v>
      </c>
      <c r="BS91" s="10">
        <v>39</v>
      </c>
      <c r="BT91" s="10">
        <v>4851.7944171499994</v>
      </c>
      <c r="BU91" s="10">
        <v>0</v>
      </c>
      <c r="BV91" s="10">
        <v>0</v>
      </c>
      <c r="BW91" s="10">
        <v>8</v>
      </c>
      <c r="BX91" s="10">
        <v>3409.2116799999999</v>
      </c>
      <c r="BY91" s="10">
        <v>0</v>
      </c>
      <c r="BZ91" s="10">
        <v>0</v>
      </c>
      <c r="CA91" s="10">
        <v>20</v>
      </c>
      <c r="CB91" s="10">
        <v>4907.7639277099997</v>
      </c>
      <c r="CC91" s="10">
        <v>13</v>
      </c>
      <c r="CD91" s="10">
        <v>3678.5178861400004</v>
      </c>
      <c r="CE91" s="10">
        <v>11</v>
      </c>
      <c r="CF91" s="10">
        <v>10489.035503809999</v>
      </c>
      <c r="CG91" s="10">
        <v>0</v>
      </c>
      <c r="CH91" s="10">
        <v>0</v>
      </c>
      <c r="CI91" s="10">
        <v>1</v>
      </c>
      <c r="CJ91" s="10">
        <v>473.95833341000002</v>
      </c>
      <c r="CK91" s="10">
        <v>0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>
        <v>0</v>
      </c>
      <c r="CS91" s="10">
        <v>0</v>
      </c>
      <c r="CT91" s="10">
        <v>0</v>
      </c>
      <c r="CU91" s="10">
        <v>0</v>
      </c>
      <c r="CV91" s="10">
        <v>0</v>
      </c>
      <c r="CW91" s="10">
        <v>0</v>
      </c>
      <c r="CX91" s="10">
        <v>0</v>
      </c>
      <c r="CY91" s="10">
        <v>7</v>
      </c>
      <c r="CZ91" s="10">
        <v>3510.7428571199998</v>
      </c>
      <c r="DA91" s="10">
        <v>0</v>
      </c>
      <c r="DB91" s="10">
        <v>0</v>
      </c>
      <c r="DC91" s="10">
        <v>1599</v>
      </c>
      <c r="DD91" s="10">
        <v>310191.21251702961</v>
      </c>
      <c r="DE91" s="10">
        <v>15</v>
      </c>
      <c r="DF91" s="10">
        <v>3503.9468339999999</v>
      </c>
      <c r="DG91" s="10">
        <v>7877</v>
      </c>
      <c r="DH91" s="10">
        <v>65455.73892751005</v>
      </c>
      <c r="DI91" s="10">
        <v>298</v>
      </c>
      <c r="DJ91" s="10">
        <v>2425.1467739300001</v>
      </c>
      <c r="DK91" s="10">
        <v>509</v>
      </c>
      <c r="DL91" s="10">
        <v>41659.879729290005</v>
      </c>
      <c r="DM91" s="10">
        <v>1</v>
      </c>
      <c r="DN91" s="10">
        <v>205.42876906000001</v>
      </c>
      <c r="DO91" s="10">
        <v>2012</v>
      </c>
      <c r="DP91" s="10">
        <v>24869.069665129984</v>
      </c>
      <c r="DQ91" s="10">
        <v>3</v>
      </c>
      <c r="DR91" s="10">
        <v>22.047322939999997</v>
      </c>
      <c r="DS91" s="10">
        <v>0</v>
      </c>
      <c r="DT91" s="10">
        <v>0</v>
      </c>
      <c r="DU91" s="10">
        <v>0</v>
      </c>
      <c r="DV91" s="10">
        <v>0</v>
      </c>
      <c r="DW91" s="10">
        <v>0</v>
      </c>
      <c r="DX91" s="10">
        <v>0</v>
      </c>
      <c r="DY91" s="10">
        <v>0</v>
      </c>
      <c r="DZ91" s="10">
        <v>0</v>
      </c>
      <c r="EA91" s="10">
        <v>0</v>
      </c>
      <c r="EB91" s="10">
        <v>0</v>
      </c>
      <c r="EC91" s="10">
        <v>0</v>
      </c>
      <c r="ED91" s="10">
        <v>0</v>
      </c>
      <c r="EE91" s="10">
        <v>0</v>
      </c>
      <c r="EF91" s="10">
        <v>0</v>
      </c>
      <c r="EG91" s="10">
        <v>0</v>
      </c>
      <c r="EH91" s="10">
        <v>0</v>
      </c>
      <c r="EI91" s="10">
        <v>0</v>
      </c>
      <c r="EJ91" s="10">
        <v>0</v>
      </c>
      <c r="EK91" s="10">
        <v>0</v>
      </c>
      <c r="EL91" s="10">
        <v>0</v>
      </c>
      <c r="EM91" s="10">
        <v>0</v>
      </c>
      <c r="EN91" s="10">
        <v>0</v>
      </c>
      <c r="EO91" s="10">
        <v>0</v>
      </c>
      <c r="EP91" s="10">
        <v>0</v>
      </c>
      <c r="EQ91" s="10">
        <v>0</v>
      </c>
      <c r="ER91" s="10">
        <v>0</v>
      </c>
      <c r="ES91" s="10">
        <v>0</v>
      </c>
      <c r="ET91" s="10">
        <v>0</v>
      </c>
      <c r="EU91" s="10">
        <v>11</v>
      </c>
      <c r="EV91" s="10">
        <v>186.27080844</v>
      </c>
      <c r="EW91" s="10">
        <v>0</v>
      </c>
      <c r="EX91" s="10">
        <v>0</v>
      </c>
      <c r="EY91" s="10">
        <v>0</v>
      </c>
      <c r="EZ91" s="10">
        <v>0</v>
      </c>
      <c r="FA91" s="10">
        <v>0</v>
      </c>
      <c r="FB91" s="10">
        <v>0</v>
      </c>
      <c r="FC91" s="10">
        <v>0</v>
      </c>
      <c r="FD91" s="10">
        <v>0</v>
      </c>
      <c r="FE91" s="10">
        <v>0</v>
      </c>
      <c r="FF91" s="10">
        <v>0</v>
      </c>
      <c r="FG91" s="10">
        <v>0</v>
      </c>
      <c r="FH91" s="10">
        <v>0</v>
      </c>
      <c r="FI91" s="10">
        <v>0</v>
      </c>
      <c r="FJ91" s="10">
        <v>0</v>
      </c>
      <c r="FK91" s="10">
        <v>0</v>
      </c>
      <c r="FL91" s="10">
        <v>0</v>
      </c>
      <c r="FM91" s="10">
        <v>0</v>
      </c>
      <c r="FN91" s="10">
        <v>0</v>
      </c>
      <c r="FO91" s="10">
        <v>0</v>
      </c>
      <c r="FP91" s="10">
        <v>0</v>
      </c>
      <c r="FQ91" s="10">
        <v>0</v>
      </c>
      <c r="FR91" s="10">
        <v>0</v>
      </c>
      <c r="FS91" s="10">
        <v>0</v>
      </c>
      <c r="FT91" s="10">
        <v>0</v>
      </c>
      <c r="FU91" s="10">
        <v>0</v>
      </c>
      <c r="FV91" s="10">
        <v>0</v>
      </c>
      <c r="FW91" s="18">
        <f t="shared" si="24"/>
        <v>0</v>
      </c>
      <c r="FX91" s="18">
        <f t="shared" si="18"/>
        <v>0</v>
      </c>
      <c r="FY91" s="18">
        <f t="shared" si="19"/>
        <v>0</v>
      </c>
      <c r="FZ91" s="18">
        <f t="shared" si="20"/>
        <v>0</v>
      </c>
      <c r="GA91" s="18">
        <f t="shared" si="25"/>
        <v>0</v>
      </c>
      <c r="GB91" s="18">
        <f t="shared" si="21"/>
        <v>8.9869445218937472E-10</v>
      </c>
      <c r="GC91" s="18">
        <f t="shared" si="22"/>
        <v>0</v>
      </c>
      <c r="GD91" s="18">
        <f t="shared" si="23"/>
        <v>-1.2434497875801753E-13</v>
      </c>
    </row>
    <row r="92" spans="1:186" s="11" customFormat="1" ht="27" customHeight="1" x14ac:dyDescent="0.25">
      <c r="A92" s="66" t="s">
        <v>37</v>
      </c>
      <c r="B92" s="1">
        <f t="shared" si="26"/>
        <v>85</v>
      </c>
      <c r="C92" s="20" t="s">
        <v>2148</v>
      </c>
      <c r="D92" s="20" t="s">
        <v>2153</v>
      </c>
      <c r="E92" s="65" t="s">
        <v>4</v>
      </c>
      <c r="F92" s="19" t="s">
        <v>2060</v>
      </c>
      <c r="G92" s="9">
        <v>8761</v>
      </c>
      <c r="H92" s="9">
        <v>276006.22927310999</v>
      </c>
      <c r="I92" s="9">
        <v>266</v>
      </c>
      <c r="J92" s="9">
        <v>8577.6609383499999</v>
      </c>
      <c r="K92" s="9">
        <v>111</v>
      </c>
      <c r="L92" s="9">
        <v>50087.522595090006</v>
      </c>
      <c r="M92" s="9">
        <v>6</v>
      </c>
      <c r="N92" s="9">
        <v>4139.2833234300006</v>
      </c>
      <c r="O92" s="9">
        <v>74</v>
      </c>
      <c r="P92" s="9">
        <v>5437.9641002800008</v>
      </c>
      <c r="Q92" s="9">
        <v>0</v>
      </c>
      <c r="R92" s="9">
        <v>0</v>
      </c>
      <c r="S92" s="9">
        <v>8576</v>
      </c>
      <c r="T92" s="9">
        <v>220480.74257774005</v>
      </c>
      <c r="U92" s="9">
        <v>260</v>
      </c>
      <c r="V92" s="9">
        <v>4438.3776149199994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2</v>
      </c>
      <c r="AJ92" s="10">
        <v>3694.6112189999999</v>
      </c>
      <c r="AK92" s="10">
        <v>2</v>
      </c>
      <c r="AL92" s="10">
        <v>3694.6112189999999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3</v>
      </c>
      <c r="AV92" s="10">
        <v>17345.84652196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8</v>
      </c>
      <c r="BH92" s="10">
        <v>2126.8694940699997</v>
      </c>
      <c r="BI92" s="10">
        <v>0</v>
      </c>
      <c r="BJ92" s="10">
        <v>0</v>
      </c>
      <c r="BK92" s="10">
        <v>4</v>
      </c>
      <c r="BL92" s="10">
        <v>3273.17912879</v>
      </c>
      <c r="BM92" s="10">
        <v>0</v>
      </c>
      <c r="BN92" s="10">
        <v>0</v>
      </c>
      <c r="BO92" s="10">
        <v>52</v>
      </c>
      <c r="BP92" s="10">
        <v>8113.2269405700008</v>
      </c>
      <c r="BQ92" s="10">
        <v>2</v>
      </c>
      <c r="BR92" s="10">
        <v>211.50369800000001</v>
      </c>
      <c r="BS92" s="10">
        <v>24</v>
      </c>
      <c r="BT92" s="10">
        <v>7545.14036416</v>
      </c>
      <c r="BU92" s="10">
        <v>1</v>
      </c>
      <c r="BV92" s="10">
        <v>76.363636349999993</v>
      </c>
      <c r="BW92" s="10">
        <v>8</v>
      </c>
      <c r="BX92" s="10">
        <v>5079.4704739300005</v>
      </c>
      <c r="BY92" s="10">
        <v>0</v>
      </c>
      <c r="BZ92" s="10">
        <v>0</v>
      </c>
      <c r="CA92" s="10">
        <v>9</v>
      </c>
      <c r="CB92" s="10">
        <v>1216.0881805300003</v>
      </c>
      <c r="CC92" s="10">
        <v>0</v>
      </c>
      <c r="CD92" s="10">
        <v>0</v>
      </c>
      <c r="CE92" s="10">
        <v>54</v>
      </c>
      <c r="CF92" s="10">
        <v>5203.4654245800002</v>
      </c>
      <c r="CG92" s="10">
        <v>1</v>
      </c>
      <c r="CH92" s="10">
        <v>156.80477008000003</v>
      </c>
      <c r="CI92" s="10">
        <v>1</v>
      </c>
      <c r="CJ92" s="10">
        <v>248.25749999999999</v>
      </c>
      <c r="CK92" s="10">
        <v>0</v>
      </c>
      <c r="CL92" s="10">
        <v>0</v>
      </c>
      <c r="CM92" s="10">
        <v>1</v>
      </c>
      <c r="CN92" s="10">
        <v>263.45736699999998</v>
      </c>
      <c r="CO92" s="10">
        <v>0</v>
      </c>
      <c r="CP92" s="10">
        <v>0</v>
      </c>
      <c r="CQ92" s="10">
        <v>0</v>
      </c>
      <c r="CR92" s="10">
        <v>0</v>
      </c>
      <c r="CS92" s="10">
        <v>0</v>
      </c>
      <c r="CT92" s="10">
        <v>0</v>
      </c>
      <c r="CU92" s="10">
        <v>0</v>
      </c>
      <c r="CV92" s="10">
        <v>0</v>
      </c>
      <c r="CW92" s="10">
        <v>0</v>
      </c>
      <c r="CX92" s="10">
        <v>0</v>
      </c>
      <c r="CY92" s="10">
        <v>19</v>
      </c>
      <c r="CZ92" s="10">
        <v>1415.87408078</v>
      </c>
      <c r="DA92" s="10">
        <v>0</v>
      </c>
      <c r="DB92" s="10">
        <v>0</v>
      </c>
      <c r="DC92" s="10">
        <v>801</v>
      </c>
      <c r="DD92" s="10">
        <v>135250.29464808016</v>
      </c>
      <c r="DE92" s="10">
        <v>9</v>
      </c>
      <c r="DF92" s="10">
        <v>2029.2913385699999</v>
      </c>
      <c r="DG92" s="10">
        <v>5615</v>
      </c>
      <c r="DH92" s="10">
        <v>40843.223684690063</v>
      </c>
      <c r="DI92" s="10">
        <v>240</v>
      </c>
      <c r="DJ92" s="10">
        <v>1931.7547154099998</v>
      </c>
      <c r="DK92" s="10">
        <v>266</v>
      </c>
      <c r="DL92" s="10">
        <v>20104.622213449995</v>
      </c>
      <c r="DM92" s="10">
        <v>4</v>
      </c>
      <c r="DN92" s="10">
        <v>372.32665738999998</v>
      </c>
      <c r="DO92" s="10">
        <v>1841</v>
      </c>
      <c r="DP92" s="10">
        <v>23343.296923060003</v>
      </c>
      <c r="DQ92" s="10">
        <v>6</v>
      </c>
      <c r="DR92" s="10">
        <v>87.494090560000004</v>
      </c>
      <c r="DS92" s="10">
        <v>12</v>
      </c>
      <c r="DT92" s="10">
        <v>507.40229893000003</v>
      </c>
      <c r="DU92" s="10">
        <v>0</v>
      </c>
      <c r="DV92" s="10">
        <v>0</v>
      </c>
      <c r="DW92" s="10">
        <v>0</v>
      </c>
      <c r="DX92" s="10">
        <v>0</v>
      </c>
      <c r="DY92" s="10">
        <v>0</v>
      </c>
      <c r="DZ92" s="10">
        <v>0</v>
      </c>
      <c r="EA92" s="10">
        <v>0</v>
      </c>
      <c r="EB92" s="10">
        <v>0</v>
      </c>
      <c r="EC92" s="10">
        <v>0</v>
      </c>
      <c r="ED92" s="10">
        <v>0</v>
      </c>
      <c r="EE92" s="10">
        <v>0</v>
      </c>
      <c r="EF92" s="10">
        <v>0</v>
      </c>
      <c r="EG92" s="10">
        <v>0</v>
      </c>
      <c r="EH92" s="10">
        <v>0</v>
      </c>
      <c r="EI92" s="10">
        <v>0</v>
      </c>
      <c r="EJ92" s="10">
        <v>0</v>
      </c>
      <c r="EK92" s="10">
        <v>0</v>
      </c>
      <c r="EL92" s="10">
        <v>0</v>
      </c>
      <c r="EM92" s="10">
        <v>0</v>
      </c>
      <c r="EN92" s="10">
        <v>0</v>
      </c>
      <c r="EO92" s="10">
        <v>0</v>
      </c>
      <c r="EP92" s="10">
        <v>0</v>
      </c>
      <c r="EQ92" s="10">
        <v>0</v>
      </c>
      <c r="ER92" s="10">
        <v>0</v>
      </c>
      <c r="ES92" s="10">
        <v>0</v>
      </c>
      <c r="ET92" s="10">
        <v>0</v>
      </c>
      <c r="EU92" s="10">
        <v>41</v>
      </c>
      <c r="EV92" s="10">
        <v>431.90280953000013</v>
      </c>
      <c r="EW92" s="10">
        <v>1</v>
      </c>
      <c r="EX92" s="10">
        <v>17.510812989999998</v>
      </c>
      <c r="EY92" s="10">
        <v>0</v>
      </c>
      <c r="EZ92" s="10">
        <v>0</v>
      </c>
      <c r="FA92" s="10">
        <v>0</v>
      </c>
      <c r="FB92" s="10">
        <v>0</v>
      </c>
      <c r="FC92" s="10">
        <v>0</v>
      </c>
      <c r="FD92" s="10">
        <v>0</v>
      </c>
      <c r="FE92" s="10">
        <v>0</v>
      </c>
      <c r="FF92" s="10">
        <v>0</v>
      </c>
      <c r="FG92" s="10">
        <v>0</v>
      </c>
      <c r="FH92" s="10">
        <v>0</v>
      </c>
      <c r="FI92" s="10">
        <v>0</v>
      </c>
      <c r="FJ92" s="10">
        <v>0</v>
      </c>
      <c r="FK92" s="10">
        <v>0</v>
      </c>
      <c r="FL92" s="10">
        <v>0</v>
      </c>
      <c r="FM92" s="10">
        <v>0</v>
      </c>
      <c r="FN92" s="10">
        <v>0</v>
      </c>
      <c r="FO92" s="10">
        <v>0</v>
      </c>
      <c r="FP92" s="10">
        <v>0</v>
      </c>
      <c r="FQ92" s="10">
        <v>0</v>
      </c>
      <c r="FR92" s="10">
        <v>0</v>
      </c>
      <c r="FS92" s="10">
        <v>0</v>
      </c>
      <c r="FT92" s="10">
        <v>0</v>
      </c>
      <c r="FU92" s="10">
        <v>0</v>
      </c>
      <c r="FV92" s="10">
        <v>0</v>
      </c>
      <c r="FW92" s="18">
        <f t="shared" si="24"/>
        <v>0</v>
      </c>
      <c r="FX92" s="18">
        <f t="shared" si="18"/>
        <v>0</v>
      </c>
      <c r="FY92" s="18">
        <f t="shared" si="19"/>
        <v>0</v>
      </c>
      <c r="FZ92" s="18">
        <f t="shared" si="20"/>
        <v>0</v>
      </c>
      <c r="GA92" s="18">
        <f t="shared" si="25"/>
        <v>0</v>
      </c>
      <c r="GB92" s="18">
        <f t="shared" si="21"/>
        <v>-2.610249794088304E-10</v>
      </c>
      <c r="GC92" s="18">
        <f t="shared" si="22"/>
        <v>0</v>
      </c>
      <c r="GD92" s="18">
        <f t="shared" si="23"/>
        <v>-2.9132252166164108E-13</v>
      </c>
    </row>
    <row r="93" spans="1:186" s="11" customFormat="1" ht="27" customHeight="1" x14ac:dyDescent="0.25">
      <c r="A93" s="66" t="s">
        <v>37</v>
      </c>
      <c r="B93" s="1">
        <f t="shared" si="26"/>
        <v>86</v>
      </c>
      <c r="C93" s="20" t="s">
        <v>2148</v>
      </c>
      <c r="D93" s="20" t="s">
        <v>2154</v>
      </c>
      <c r="E93" s="65" t="s">
        <v>9</v>
      </c>
      <c r="F93" s="19" t="s">
        <v>2041</v>
      </c>
      <c r="G93" s="9">
        <v>12180</v>
      </c>
      <c r="H93" s="9">
        <v>498614.10679260024</v>
      </c>
      <c r="I93" s="9">
        <v>539</v>
      </c>
      <c r="J93" s="9">
        <v>8783.8032716700018</v>
      </c>
      <c r="K93" s="9">
        <v>72</v>
      </c>
      <c r="L93" s="9">
        <v>234541.85931321999</v>
      </c>
      <c r="M93" s="9">
        <v>0</v>
      </c>
      <c r="N93" s="9">
        <v>0</v>
      </c>
      <c r="O93" s="9">
        <v>11</v>
      </c>
      <c r="P93" s="9">
        <v>594.41522326999996</v>
      </c>
      <c r="Q93" s="9">
        <v>0</v>
      </c>
      <c r="R93" s="9">
        <v>0</v>
      </c>
      <c r="S93" s="9">
        <v>12097</v>
      </c>
      <c r="T93" s="9">
        <v>263477.83225611009</v>
      </c>
      <c r="U93" s="9">
        <v>539</v>
      </c>
      <c r="V93" s="9">
        <v>8783.8032716700018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2</v>
      </c>
      <c r="BD93" s="10">
        <v>187.33333327</v>
      </c>
      <c r="BE93" s="10">
        <v>0</v>
      </c>
      <c r="BF93" s="10">
        <v>0</v>
      </c>
      <c r="BG93" s="10">
        <v>11</v>
      </c>
      <c r="BH93" s="10">
        <v>220316.83756012999</v>
      </c>
      <c r="BI93" s="10">
        <v>0</v>
      </c>
      <c r="BJ93" s="10">
        <v>0</v>
      </c>
      <c r="BK93" s="10">
        <v>1</v>
      </c>
      <c r="BL93" s="10">
        <v>620</v>
      </c>
      <c r="BM93" s="10">
        <v>0</v>
      </c>
      <c r="BN93" s="10">
        <v>0</v>
      </c>
      <c r="BO93" s="10">
        <v>31</v>
      </c>
      <c r="BP93" s="10">
        <v>3123.1876460799999</v>
      </c>
      <c r="BQ93" s="10">
        <v>0</v>
      </c>
      <c r="BR93" s="10">
        <v>0</v>
      </c>
      <c r="BS93" s="10">
        <v>21</v>
      </c>
      <c r="BT93" s="10">
        <v>1796.9195832199998</v>
      </c>
      <c r="BU93" s="10">
        <v>0</v>
      </c>
      <c r="BV93" s="10">
        <v>0</v>
      </c>
      <c r="BW93" s="10">
        <v>6</v>
      </c>
      <c r="BX93" s="10">
        <v>7967.9262463999994</v>
      </c>
      <c r="BY93" s="10">
        <v>0</v>
      </c>
      <c r="BZ93" s="10">
        <v>0</v>
      </c>
      <c r="CA93" s="10">
        <v>9</v>
      </c>
      <c r="CB93" s="10">
        <v>1006.1256190299999</v>
      </c>
      <c r="CC93" s="10">
        <v>0</v>
      </c>
      <c r="CD93" s="10">
        <v>0</v>
      </c>
      <c r="CE93" s="10">
        <v>2</v>
      </c>
      <c r="CF93" s="10">
        <v>117.94454836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10">
        <v>0</v>
      </c>
      <c r="CO93" s="10">
        <v>0</v>
      </c>
      <c r="CP93" s="10">
        <v>0</v>
      </c>
      <c r="CQ93" s="10">
        <v>0</v>
      </c>
      <c r="CR93" s="10">
        <v>0</v>
      </c>
      <c r="CS93" s="10">
        <v>0</v>
      </c>
      <c r="CT93" s="10">
        <v>0</v>
      </c>
      <c r="CU93" s="10">
        <v>0</v>
      </c>
      <c r="CV93" s="10">
        <v>0</v>
      </c>
      <c r="CW93" s="10">
        <v>0</v>
      </c>
      <c r="CX93" s="10">
        <v>0</v>
      </c>
      <c r="CY93" s="10">
        <v>0</v>
      </c>
      <c r="CZ93" s="10">
        <v>0</v>
      </c>
      <c r="DA93" s="10">
        <v>0</v>
      </c>
      <c r="DB93" s="10">
        <v>0</v>
      </c>
      <c r="DC93" s="10">
        <v>951</v>
      </c>
      <c r="DD93" s="10">
        <v>163992.21725380985</v>
      </c>
      <c r="DE93" s="10">
        <v>36</v>
      </c>
      <c r="DF93" s="10">
        <v>6097.4236871599996</v>
      </c>
      <c r="DG93" s="10">
        <v>8373</v>
      </c>
      <c r="DH93" s="10">
        <v>46161.008969639901</v>
      </c>
      <c r="DI93" s="10">
        <v>492</v>
      </c>
      <c r="DJ93" s="10">
        <v>2467.2779459400008</v>
      </c>
      <c r="DK93" s="10">
        <v>344</v>
      </c>
      <c r="DL93" s="10">
        <v>21568.397781049996</v>
      </c>
      <c r="DM93" s="10">
        <v>1</v>
      </c>
      <c r="DN93" s="10">
        <v>83.885488640000005</v>
      </c>
      <c r="DO93" s="10">
        <v>2400</v>
      </c>
      <c r="DP93" s="10">
        <v>31331.753437610001</v>
      </c>
      <c r="DQ93" s="10">
        <v>8</v>
      </c>
      <c r="DR93" s="10">
        <v>127.3</v>
      </c>
      <c r="DS93" s="10">
        <v>0</v>
      </c>
      <c r="DT93" s="10">
        <v>0</v>
      </c>
      <c r="DU93" s="10">
        <v>0</v>
      </c>
      <c r="DV93" s="10">
        <v>0</v>
      </c>
      <c r="DW93" s="10">
        <v>0</v>
      </c>
      <c r="DX93" s="10">
        <v>0</v>
      </c>
      <c r="DY93" s="10">
        <v>0</v>
      </c>
      <c r="DZ93" s="10">
        <v>0</v>
      </c>
      <c r="EA93" s="10">
        <v>0</v>
      </c>
      <c r="EB93" s="10">
        <v>0</v>
      </c>
      <c r="EC93" s="10">
        <v>0</v>
      </c>
      <c r="ED93" s="10">
        <v>0</v>
      </c>
      <c r="EE93" s="10">
        <v>0</v>
      </c>
      <c r="EF93" s="10">
        <v>0</v>
      </c>
      <c r="EG93" s="10">
        <v>0</v>
      </c>
      <c r="EH93" s="10">
        <v>0</v>
      </c>
      <c r="EI93" s="10">
        <v>0</v>
      </c>
      <c r="EJ93" s="10">
        <v>0</v>
      </c>
      <c r="EK93" s="10">
        <v>0</v>
      </c>
      <c r="EL93" s="10">
        <v>0</v>
      </c>
      <c r="EM93" s="10">
        <v>0</v>
      </c>
      <c r="EN93" s="10">
        <v>0</v>
      </c>
      <c r="EO93" s="10">
        <v>0</v>
      </c>
      <c r="EP93" s="10">
        <v>0</v>
      </c>
      <c r="EQ93" s="10">
        <v>0</v>
      </c>
      <c r="ER93" s="10">
        <v>0</v>
      </c>
      <c r="ES93" s="10">
        <v>0</v>
      </c>
      <c r="ET93" s="10">
        <v>0</v>
      </c>
      <c r="EU93" s="10">
        <v>29</v>
      </c>
      <c r="EV93" s="10">
        <v>424.454814</v>
      </c>
      <c r="EW93" s="10">
        <v>2</v>
      </c>
      <c r="EX93" s="10">
        <v>7.9161499299999996</v>
      </c>
      <c r="EY93" s="10">
        <v>0</v>
      </c>
      <c r="EZ93" s="10">
        <v>0</v>
      </c>
      <c r="FA93" s="10">
        <v>0</v>
      </c>
      <c r="FB93" s="10">
        <v>0</v>
      </c>
      <c r="FC93" s="10">
        <v>0</v>
      </c>
      <c r="FD93" s="10">
        <v>0</v>
      </c>
      <c r="FE93" s="10">
        <v>0</v>
      </c>
      <c r="FF93" s="10">
        <v>0</v>
      </c>
      <c r="FG93" s="10">
        <v>0</v>
      </c>
      <c r="FH93" s="10">
        <v>0</v>
      </c>
      <c r="FI93" s="10">
        <v>0</v>
      </c>
      <c r="FJ93" s="10">
        <v>0</v>
      </c>
      <c r="FK93" s="10">
        <v>0</v>
      </c>
      <c r="FL93" s="10">
        <v>0</v>
      </c>
      <c r="FM93" s="10">
        <v>0</v>
      </c>
      <c r="FN93" s="10">
        <v>0</v>
      </c>
      <c r="FO93" s="10">
        <v>0</v>
      </c>
      <c r="FP93" s="10">
        <v>0</v>
      </c>
      <c r="FQ93" s="10">
        <v>0</v>
      </c>
      <c r="FR93" s="10">
        <v>0</v>
      </c>
      <c r="FS93" s="10">
        <v>0</v>
      </c>
      <c r="FT93" s="10">
        <v>0</v>
      </c>
      <c r="FU93" s="10">
        <v>0</v>
      </c>
      <c r="FV93" s="10">
        <v>0</v>
      </c>
      <c r="FW93" s="18">
        <f t="shared" si="24"/>
        <v>0</v>
      </c>
      <c r="FX93" s="18">
        <f t="shared" si="18"/>
        <v>0</v>
      </c>
      <c r="FY93" s="18">
        <f t="shared" si="19"/>
        <v>0</v>
      </c>
      <c r="FZ93" s="18">
        <f t="shared" si="20"/>
        <v>0</v>
      </c>
      <c r="GA93" s="18">
        <f t="shared" si="25"/>
        <v>0</v>
      </c>
      <c r="GB93" s="18">
        <f t="shared" si="21"/>
        <v>5.7542592912795953E-10</v>
      </c>
      <c r="GC93" s="18">
        <f t="shared" si="22"/>
        <v>0</v>
      </c>
      <c r="GD93" s="18">
        <f t="shared" si="23"/>
        <v>1.3393730569077889E-12</v>
      </c>
    </row>
    <row r="94" spans="1:186" s="11" customFormat="1" ht="27" customHeight="1" x14ac:dyDescent="0.25">
      <c r="A94" s="66" t="s">
        <v>37</v>
      </c>
      <c r="B94" s="1">
        <f t="shared" si="26"/>
        <v>87</v>
      </c>
      <c r="C94" s="20" t="s">
        <v>2148</v>
      </c>
      <c r="D94" s="20" t="s">
        <v>2155</v>
      </c>
      <c r="E94" s="65" t="s">
        <v>8</v>
      </c>
      <c r="F94" s="19" t="s">
        <v>2073</v>
      </c>
      <c r="G94" s="9">
        <v>4202</v>
      </c>
      <c r="H94" s="9">
        <v>139387.61363774995</v>
      </c>
      <c r="I94" s="9">
        <v>99</v>
      </c>
      <c r="J94" s="9">
        <v>2024.8917935600002</v>
      </c>
      <c r="K94" s="9">
        <v>17</v>
      </c>
      <c r="L94" s="9">
        <v>3217.7359683500003</v>
      </c>
      <c r="M94" s="9">
        <v>2</v>
      </c>
      <c r="N94" s="9">
        <v>707.68304357000011</v>
      </c>
      <c r="O94" s="9">
        <v>26</v>
      </c>
      <c r="P94" s="9">
        <v>2229.7229637500004</v>
      </c>
      <c r="Q94" s="9">
        <v>0</v>
      </c>
      <c r="R94" s="9">
        <v>0</v>
      </c>
      <c r="S94" s="9">
        <v>4159</v>
      </c>
      <c r="T94" s="9">
        <v>133940.15470564994</v>
      </c>
      <c r="U94" s="9">
        <v>97</v>
      </c>
      <c r="V94" s="9">
        <v>1317.2087499900001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3</v>
      </c>
      <c r="BD94" s="10">
        <v>775.00304351</v>
      </c>
      <c r="BE94" s="10">
        <v>2</v>
      </c>
      <c r="BF94" s="10">
        <v>707.68304357000011</v>
      </c>
      <c r="BG94" s="10">
        <v>4</v>
      </c>
      <c r="BH94" s="10">
        <v>1053.90242154</v>
      </c>
      <c r="BI94" s="10">
        <v>0</v>
      </c>
      <c r="BJ94" s="10">
        <v>0</v>
      </c>
      <c r="BK94" s="10">
        <v>3</v>
      </c>
      <c r="BL94" s="10">
        <v>471.18132333</v>
      </c>
      <c r="BM94" s="10">
        <v>0</v>
      </c>
      <c r="BN94" s="10">
        <v>0</v>
      </c>
      <c r="BO94" s="10">
        <v>24</v>
      </c>
      <c r="BP94" s="10">
        <v>1979.30715648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2</v>
      </c>
      <c r="CF94" s="10">
        <v>287.58926532000004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4</v>
      </c>
      <c r="CN94" s="10">
        <v>336.59096033000003</v>
      </c>
      <c r="CO94" s="10">
        <v>0</v>
      </c>
      <c r="CP94" s="10">
        <v>0</v>
      </c>
      <c r="CQ94" s="10">
        <v>0</v>
      </c>
      <c r="CR94" s="10">
        <v>0</v>
      </c>
      <c r="CS94" s="10">
        <v>0</v>
      </c>
      <c r="CT94" s="10">
        <v>0</v>
      </c>
      <c r="CU94" s="10">
        <v>0</v>
      </c>
      <c r="CV94" s="10">
        <v>0</v>
      </c>
      <c r="CW94" s="10">
        <v>0</v>
      </c>
      <c r="CX94" s="10">
        <v>0</v>
      </c>
      <c r="CY94" s="10">
        <v>3</v>
      </c>
      <c r="CZ94" s="10">
        <v>543.88476159000004</v>
      </c>
      <c r="DA94" s="10">
        <v>0</v>
      </c>
      <c r="DB94" s="10">
        <v>0</v>
      </c>
      <c r="DC94" s="10">
        <v>714</v>
      </c>
      <c r="DD94" s="10">
        <v>95227.732105869989</v>
      </c>
      <c r="DE94" s="10">
        <v>4</v>
      </c>
      <c r="DF94" s="10">
        <v>547.74320343000011</v>
      </c>
      <c r="DG94" s="10">
        <v>2430</v>
      </c>
      <c r="DH94" s="10">
        <v>16581.829195980004</v>
      </c>
      <c r="DI94" s="10">
        <v>90</v>
      </c>
      <c r="DJ94" s="10">
        <v>728.63925088999997</v>
      </c>
      <c r="DK94" s="10">
        <v>158</v>
      </c>
      <c r="DL94" s="10">
        <v>11316.589272040002</v>
      </c>
      <c r="DM94" s="10">
        <v>0</v>
      </c>
      <c r="DN94" s="10">
        <v>0</v>
      </c>
      <c r="DO94" s="10">
        <v>833</v>
      </c>
      <c r="DP94" s="10">
        <v>10553.281788719998</v>
      </c>
      <c r="DQ94" s="10">
        <v>3</v>
      </c>
      <c r="DR94" s="10">
        <v>40.82629567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0</v>
      </c>
      <c r="EJ94" s="10">
        <v>0</v>
      </c>
      <c r="EK94" s="10">
        <v>0</v>
      </c>
      <c r="EL94" s="10">
        <v>0</v>
      </c>
      <c r="EM94" s="10">
        <v>0</v>
      </c>
      <c r="EN94" s="10">
        <v>0</v>
      </c>
      <c r="EO94" s="10">
        <v>0</v>
      </c>
      <c r="EP94" s="10">
        <v>0</v>
      </c>
      <c r="EQ94" s="10">
        <v>0</v>
      </c>
      <c r="ER94" s="10">
        <v>0</v>
      </c>
      <c r="ES94" s="10">
        <v>0</v>
      </c>
      <c r="ET94" s="10">
        <v>0</v>
      </c>
      <c r="EU94" s="10">
        <v>24</v>
      </c>
      <c r="EV94" s="10">
        <v>260.72234304</v>
      </c>
      <c r="EW94" s="10">
        <v>0</v>
      </c>
      <c r="EX94" s="10">
        <v>0</v>
      </c>
      <c r="EY94" s="10">
        <v>0</v>
      </c>
      <c r="EZ94" s="10">
        <v>0</v>
      </c>
      <c r="FA94" s="10">
        <v>0</v>
      </c>
      <c r="FB94" s="10">
        <v>0</v>
      </c>
      <c r="FC94" s="10">
        <v>0</v>
      </c>
      <c r="FD94" s="10">
        <v>0</v>
      </c>
      <c r="FE94" s="10">
        <v>0</v>
      </c>
      <c r="FF94" s="10">
        <v>0</v>
      </c>
      <c r="FG94" s="10">
        <v>0</v>
      </c>
      <c r="FH94" s="10">
        <v>0</v>
      </c>
      <c r="FI94" s="10">
        <v>0</v>
      </c>
      <c r="FJ94" s="10">
        <v>0</v>
      </c>
      <c r="FK94" s="10">
        <v>0</v>
      </c>
      <c r="FL94" s="10">
        <v>0</v>
      </c>
      <c r="FM94" s="10">
        <v>0</v>
      </c>
      <c r="FN94" s="10">
        <v>0</v>
      </c>
      <c r="FO94" s="10">
        <v>0</v>
      </c>
      <c r="FP94" s="10">
        <v>0</v>
      </c>
      <c r="FQ94" s="10">
        <v>0</v>
      </c>
      <c r="FR94" s="10">
        <v>0</v>
      </c>
      <c r="FS94" s="10">
        <v>0</v>
      </c>
      <c r="FT94" s="10">
        <v>0</v>
      </c>
      <c r="FU94" s="10">
        <v>0</v>
      </c>
      <c r="FV94" s="10">
        <v>0</v>
      </c>
      <c r="FW94" s="18">
        <f t="shared" si="24"/>
        <v>0</v>
      </c>
      <c r="FX94" s="18">
        <f t="shared" si="18"/>
        <v>0</v>
      </c>
      <c r="FY94" s="18">
        <f t="shared" si="19"/>
        <v>0</v>
      </c>
      <c r="FZ94" s="18">
        <f t="shared" si="20"/>
        <v>0</v>
      </c>
      <c r="GA94" s="18">
        <f t="shared" si="25"/>
        <v>0</v>
      </c>
      <c r="GB94" s="18">
        <f t="shared" si="21"/>
        <v>-5.3717030823463574E-11</v>
      </c>
      <c r="GC94" s="18">
        <f t="shared" si="22"/>
        <v>0</v>
      </c>
      <c r="GD94" s="18">
        <f t="shared" si="23"/>
        <v>3.5527136788005009E-14</v>
      </c>
    </row>
    <row r="95" spans="1:186" s="11" customFormat="1" ht="27" customHeight="1" x14ac:dyDescent="0.25">
      <c r="A95" s="66" t="s">
        <v>37</v>
      </c>
      <c r="B95" s="1">
        <f t="shared" si="26"/>
        <v>88</v>
      </c>
      <c r="C95" s="20" t="s">
        <v>2148</v>
      </c>
      <c r="D95" s="20" t="s">
        <v>2156</v>
      </c>
      <c r="E95" s="65" t="s">
        <v>3</v>
      </c>
      <c r="F95" s="19" t="s">
        <v>2107</v>
      </c>
      <c r="G95" s="9">
        <v>4122</v>
      </c>
      <c r="H95" s="9">
        <v>220851.43899553959</v>
      </c>
      <c r="I95" s="9">
        <v>125</v>
      </c>
      <c r="J95" s="9">
        <v>14047.31258765</v>
      </c>
      <c r="K95" s="9">
        <v>25</v>
      </c>
      <c r="L95" s="9">
        <v>28602.64545086</v>
      </c>
      <c r="M95" s="9">
        <v>4</v>
      </c>
      <c r="N95" s="9">
        <v>11780.220285939999</v>
      </c>
      <c r="O95" s="9">
        <v>24</v>
      </c>
      <c r="P95" s="9">
        <v>2986.6894228599995</v>
      </c>
      <c r="Q95" s="9">
        <v>0</v>
      </c>
      <c r="R95" s="9">
        <v>0</v>
      </c>
      <c r="S95" s="9">
        <v>4073</v>
      </c>
      <c r="T95" s="9">
        <v>189262.10412181958</v>
      </c>
      <c r="U95" s="9">
        <v>121</v>
      </c>
      <c r="V95" s="9">
        <v>2267.0923017099999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1</v>
      </c>
      <c r="AJ95" s="10">
        <v>142.85714285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2</v>
      </c>
      <c r="AV95" s="10">
        <v>11662.00541749</v>
      </c>
      <c r="AW95" s="10">
        <v>2</v>
      </c>
      <c r="AX95" s="10">
        <v>11662.00541749</v>
      </c>
      <c r="AY95" s="10">
        <v>0</v>
      </c>
      <c r="AZ95" s="10">
        <v>0</v>
      </c>
      <c r="BA95" s="10">
        <v>0</v>
      </c>
      <c r="BB95" s="10">
        <v>0</v>
      </c>
      <c r="BC95" s="10">
        <v>2</v>
      </c>
      <c r="BD95" s="10">
        <v>178.09137887</v>
      </c>
      <c r="BE95" s="10">
        <v>1</v>
      </c>
      <c r="BF95" s="10">
        <v>63.185504630000004</v>
      </c>
      <c r="BG95" s="10">
        <v>2</v>
      </c>
      <c r="BH95" s="10">
        <v>154.03623660999997</v>
      </c>
      <c r="BI95" s="10">
        <v>0</v>
      </c>
      <c r="BJ95" s="10">
        <v>0</v>
      </c>
      <c r="BK95" s="10">
        <v>2</v>
      </c>
      <c r="BL95" s="10">
        <v>392.26281728999999</v>
      </c>
      <c r="BM95" s="10">
        <v>0</v>
      </c>
      <c r="BN95" s="10">
        <v>0</v>
      </c>
      <c r="BO95" s="10">
        <v>30</v>
      </c>
      <c r="BP95" s="10">
        <v>16876.259027470001</v>
      </c>
      <c r="BQ95" s="10">
        <v>1</v>
      </c>
      <c r="BR95" s="10">
        <v>55.02936382</v>
      </c>
      <c r="BS95" s="10">
        <v>4</v>
      </c>
      <c r="BT95" s="10">
        <v>1311.8984067700001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3</v>
      </c>
      <c r="CB95" s="10">
        <v>483.09685124000003</v>
      </c>
      <c r="CC95" s="10">
        <v>0</v>
      </c>
      <c r="CD95" s="10">
        <v>0</v>
      </c>
      <c r="CE95" s="10">
        <v>1</v>
      </c>
      <c r="CF95" s="10">
        <v>97.795088809999996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1</v>
      </c>
      <c r="CN95" s="10">
        <v>195.10450631999998</v>
      </c>
      <c r="CO95" s="10">
        <v>0</v>
      </c>
      <c r="CP95" s="10">
        <v>0</v>
      </c>
      <c r="CQ95" s="10">
        <v>0</v>
      </c>
      <c r="CR95" s="10">
        <v>0</v>
      </c>
      <c r="CS95" s="10">
        <v>0</v>
      </c>
      <c r="CT95" s="10">
        <v>0</v>
      </c>
      <c r="CU95" s="10">
        <v>0</v>
      </c>
      <c r="CV95" s="10">
        <v>0</v>
      </c>
      <c r="CW95" s="10">
        <v>0</v>
      </c>
      <c r="CX95" s="10">
        <v>0</v>
      </c>
      <c r="CY95" s="10">
        <v>1</v>
      </c>
      <c r="CZ95" s="10">
        <v>95.927999999999997</v>
      </c>
      <c r="DA95" s="10">
        <v>0</v>
      </c>
      <c r="DB95" s="10">
        <v>0</v>
      </c>
      <c r="DC95" s="10">
        <v>754</v>
      </c>
      <c r="DD95" s="10">
        <v>125620.46345178007</v>
      </c>
      <c r="DE95" s="10">
        <v>5</v>
      </c>
      <c r="DF95" s="10">
        <v>772.73761395000008</v>
      </c>
      <c r="DG95" s="10">
        <v>2175</v>
      </c>
      <c r="DH95" s="10">
        <v>23093.36365483002</v>
      </c>
      <c r="DI95" s="10">
        <v>112</v>
      </c>
      <c r="DJ95" s="10">
        <v>1156.6879001900002</v>
      </c>
      <c r="DK95" s="10">
        <v>301</v>
      </c>
      <c r="DL95" s="10">
        <v>29131.79484952</v>
      </c>
      <c r="DM95" s="10">
        <v>2</v>
      </c>
      <c r="DN95" s="10">
        <v>313.43786502999995</v>
      </c>
      <c r="DO95" s="10">
        <v>827</v>
      </c>
      <c r="DP95" s="10">
        <v>11153.893187999998</v>
      </c>
      <c r="DQ95" s="10">
        <v>2</v>
      </c>
      <c r="DR95" s="10">
        <v>24.228922539999999</v>
      </c>
      <c r="DS95" s="10">
        <v>0</v>
      </c>
      <c r="DT95" s="10">
        <v>0</v>
      </c>
      <c r="DU95" s="10">
        <v>0</v>
      </c>
      <c r="DV95" s="10">
        <v>0</v>
      </c>
      <c r="DW95" s="10">
        <v>0</v>
      </c>
      <c r="DX95" s="10">
        <v>0</v>
      </c>
      <c r="DY95" s="10">
        <v>0</v>
      </c>
      <c r="DZ95" s="10">
        <v>0</v>
      </c>
      <c r="EA95" s="10">
        <v>0</v>
      </c>
      <c r="EB95" s="10">
        <v>0</v>
      </c>
      <c r="EC95" s="10">
        <v>0</v>
      </c>
      <c r="ED95" s="10">
        <v>0</v>
      </c>
      <c r="EE95" s="10">
        <v>0</v>
      </c>
      <c r="EF95" s="10">
        <v>0</v>
      </c>
      <c r="EG95" s="10">
        <v>0</v>
      </c>
      <c r="EH95" s="10">
        <v>0</v>
      </c>
      <c r="EI95" s="10">
        <v>0</v>
      </c>
      <c r="EJ95" s="10">
        <v>0</v>
      </c>
      <c r="EK95" s="10">
        <v>0</v>
      </c>
      <c r="EL95" s="10">
        <v>0</v>
      </c>
      <c r="EM95" s="10">
        <v>0</v>
      </c>
      <c r="EN95" s="10">
        <v>0</v>
      </c>
      <c r="EO95" s="10">
        <v>0</v>
      </c>
      <c r="EP95" s="10">
        <v>0</v>
      </c>
      <c r="EQ95" s="10">
        <v>0</v>
      </c>
      <c r="ER95" s="10">
        <v>0</v>
      </c>
      <c r="ES95" s="10">
        <v>0</v>
      </c>
      <c r="ET95" s="10">
        <v>0</v>
      </c>
      <c r="EU95" s="10">
        <v>16</v>
      </c>
      <c r="EV95" s="10">
        <v>262.58897769000004</v>
      </c>
      <c r="EW95" s="10">
        <v>0</v>
      </c>
      <c r="EX95" s="10">
        <v>0</v>
      </c>
      <c r="EY95" s="10">
        <v>0</v>
      </c>
      <c r="EZ95" s="10">
        <v>0</v>
      </c>
      <c r="FA95" s="10">
        <v>0</v>
      </c>
      <c r="FB95" s="10">
        <v>0</v>
      </c>
      <c r="FC95" s="10">
        <v>0</v>
      </c>
      <c r="FD95" s="10">
        <v>0</v>
      </c>
      <c r="FE95" s="10">
        <v>0</v>
      </c>
      <c r="FF95" s="10">
        <v>0</v>
      </c>
      <c r="FG95" s="10">
        <v>0</v>
      </c>
      <c r="FH95" s="10">
        <v>0</v>
      </c>
      <c r="FI95" s="10">
        <v>0</v>
      </c>
      <c r="FJ95" s="10">
        <v>0</v>
      </c>
      <c r="FK95" s="10">
        <v>0</v>
      </c>
      <c r="FL95" s="10">
        <v>0</v>
      </c>
      <c r="FM95" s="10">
        <v>0</v>
      </c>
      <c r="FN95" s="10">
        <v>0</v>
      </c>
      <c r="FO95" s="10">
        <v>0</v>
      </c>
      <c r="FP95" s="10">
        <v>0</v>
      </c>
      <c r="FQ95" s="10">
        <v>0</v>
      </c>
      <c r="FR95" s="10">
        <v>0</v>
      </c>
      <c r="FS95" s="10">
        <v>0</v>
      </c>
      <c r="FT95" s="10">
        <v>0</v>
      </c>
      <c r="FU95" s="10">
        <v>0</v>
      </c>
      <c r="FV95" s="10">
        <v>0</v>
      </c>
      <c r="FW95" s="18">
        <f t="shared" si="24"/>
        <v>0</v>
      </c>
      <c r="FX95" s="18">
        <f t="shared" si="18"/>
        <v>0</v>
      </c>
      <c r="FY95" s="18">
        <f t="shared" si="19"/>
        <v>0</v>
      </c>
      <c r="FZ95" s="18">
        <f t="shared" si="20"/>
        <v>0</v>
      </c>
      <c r="GA95" s="18">
        <f t="shared" si="25"/>
        <v>0</v>
      </c>
      <c r="GB95" s="18">
        <f t="shared" si="21"/>
        <v>-5.163087735127192E-10</v>
      </c>
      <c r="GC95" s="18">
        <f t="shared" si="22"/>
        <v>0</v>
      </c>
      <c r="GD95" s="18">
        <f t="shared" si="23"/>
        <v>-4.1211478674085811E-13</v>
      </c>
    </row>
    <row r="96" spans="1:186" s="11" customFormat="1" ht="27" customHeight="1" x14ac:dyDescent="0.25">
      <c r="A96" s="66" t="s">
        <v>37</v>
      </c>
      <c r="B96" s="1">
        <f t="shared" si="26"/>
        <v>89</v>
      </c>
      <c r="C96" s="20" t="s">
        <v>2148</v>
      </c>
      <c r="D96" s="20" t="s">
        <v>2157</v>
      </c>
      <c r="E96" s="65" t="s">
        <v>2</v>
      </c>
      <c r="F96" s="19" t="s">
        <v>2035</v>
      </c>
      <c r="G96" s="9">
        <v>2578</v>
      </c>
      <c r="H96" s="9">
        <v>76705.423885089986</v>
      </c>
      <c r="I96" s="9">
        <v>81</v>
      </c>
      <c r="J96" s="9">
        <v>17417.635589229998</v>
      </c>
      <c r="K96" s="9">
        <v>12</v>
      </c>
      <c r="L96" s="9">
        <v>16657.19341403</v>
      </c>
      <c r="M96" s="9">
        <v>3</v>
      </c>
      <c r="N96" s="9">
        <v>15900.402361</v>
      </c>
      <c r="O96" s="9">
        <v>2</v>
      </c>
      <c r="P96" s="9">
        <v>323.84322324999999</v>
      </c>
      <c r="Q96" s="9">
        <v>0</v>
      </c>
      <c r="R96" s="9">
        <v>0</v>
      </c>
      <c r="S96" s="9">
        <v>2564</v>
      </c>
      <c r="T96" s="9">
        <v>59724.38724780998</v>
      </c>
      <c r="U96" s="9">
        <v>78</v>
      </c>
      <c r="V96" s="9">
        <v>1517.2332282300001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1</v>
      </c>
      <c r="AV96" s="10">
        <v>5200.1449828199993</v>
      </c>
      <c r="AW96" s="10">
        <v>1</v>
      </c>
      <c r="AX96" s="10">
        <v>5200.1449828199993</v>
      </c>
      <c r="AY96" s="10">
        <v>0</v>
      </c>
      <c r="AZ96" s="10">
        <v>0</v>
      </c>
      <c r="BA96" s="10">
        <v>0</v>
      </c>
      <c r="BB96" s="10">
        <v>0</v>
      </c>
      <c r="BC96" s="10">
        <v>2</v>
      </c>
      <c r="BD96" s="10">
        <v>10587.60592706</v>
      </c>
      <c r="BE96" s="10">
        <v>1</v>
      </c>
      <c r="BF96" s="10">
        <v>10464.998619559999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2</v>
      </c>
      <c r="BP96" s="10">
        <v>144.47146362999999</v>
      </c>
      <c r="BQ96" s="10">
        <v>0</v>
      </c>
      <c r="BR96" s="10">
        <v>0</v>
      </c>
      <c r="BS96" s="10">
        <v>4</v>
      </c>
      <c r="BT96" s="10">
        <v>279.53764618000002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2</v>
      </c>
      <c r="CF96" s="10">
        <v>414.49028406000002</v>
      </c>
      <c r="CG96" s="10">
        <v>1</v>
      </c>
      <c r="CH96" s="10">
        <v>235.25875862000001</v>
      </c>
      <c r="CI96" s="10">
        <v>1</v>
      </c>
      <c r="CJ96" s="10">
        <v>68.75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10">
        <v>0</v>
      </c>
      <c r="CR96" s="10">
        <v>0</v>
      </c>
      <c r="CS96" s="10">
        <v>0</v>
      </c>
      <c r="CT96" s="10">
        <v>0</v>
      </c>
      <c r="CU96" s="10">
        <v>0</v>
      </c>
      <c r="CV96" s="10">
        <v>0</v>
      </c>
      <c r="CW96" s="10">
        <v>0</v>
      </c>
      <c r="CX96" s="10">
        <v>0</v>
      </c>
      <c r="CY96" s="10">
        <v>2</v>
      </c>
      <c r="CZ96" s="10">
        <v>286.03633352999998</v>
      </c>
      <c r="DA96" s="10">
        <v>0</v>
      </c>
      <c r="DB96" s="10">
        <v>0</v>
      </c>
      <c r="DC96" s="10">
        <v>184</v>
      </c>
      <c r="DD96" s="10">
        <v>31114.909512090013</v>
      </c>
      <c r="DE96" s="10">
        <v>4</v>
      </c>
      <c r="DF96" s="10">
        <v>799.89101278999999</v>
      </c>
      <c r="DG96" s="10">
        <v>1402</v>
      </c>
      <c r="DH96" s="10">
        <v>10921.049118380004</v>
      </c>
      <c r="DI96" s="10">
        <v>73</v>
      </c>
      <c r="DJ96" s="10">
        <v>699.34221544000002</v>
      </c>
      <c r="DK96" s="10">
        <v>91</v>
      </c>
      <c r="DL96" s="10">
        <v>6400.7300256100016</v>
      </c>
      <c r="DM96" s="10">
        <v>0</v>
      </c>
      <c r="DN96" s="10">
        <v>0</v>
      </c>
      <c r="DO96" s="10">
        <v>878</v>
      </c>
      <c r="DP96" s="10">
        <v>11175.288153260002</v>
      </c>
      <c r="DQ96" s="10">
        <v>1</v>
      </c>
      <c r="DR96" s="10">
        <v>18</v>
      </c>
      <c r="DS96" s="10">
        <v>0</v>
      </c>
      <c r="DT96" s="10">
        <v>0</v>
      </c>
      <c r="DU96" s="10">
        <v>0</v>
      </c>
      <c r="DV96" s="10">
        <v>0</v>
      </c>
      <c r="DW96" s="10">
        <v>0</v>
      </c>
      <c r="DX96" s="10">
        <v>0</v>
      </c>
      <c r="DY96" s="10">
        <v>0</v>
      </c>
      <c r="DZ96" s="10">
        <v>0</v>
      </c>
      <c r="EA96" s="10">
        <v>0</v>
      </c>
      <c r="EB96" s="10">
        <v>0</v>
      </c>
      <c r="EC96" s="10">
        <v>0</v>
      </c>
      <c r="ED96" s="10">
        <v>0</v>
      </c>
      <c r="EE96" s="10">
        <v>0</v>
      </c>
      <c r="EF96" s="10">
        <v>0</v>
      </c>
      <c r="EG96" s="10">
        <v>0</v>
      </c>
      <c r="EH96" s="10">
        <v>0</v>
      </c>
      <c r="EI96" s="10">
        <v>0</v>
      </c>
      <c r="EJ96" s="10">
        <v>0</v>
      </c>
      <c r="EK96" s="10">
        <v>0</v>
      </c>
      <c r="EL96" s="10">
        <v>0</v>
      </c>
      <c r="EM96" s="10">
        <v>0</v>
      </c>
      <c r="EN96" s="10">
        <v>0</v>
      </c>
      <c r="EO96" s="10">
        <v>0</v>
      </c>
      <c r="EP96" s="10">
        <v>0</v>
      </c>
      <c r="EQ96" s="10">
        <v>0</v>
      </c>
      <c r="ER96" s="10">
        <v>0</v>
      </c>
      <c r="ES96" s="10">
        <v>0</v>
      </c>
      <c r="ET96" s="10">
        <v>0</v>
      </c>
      <c r="EU96" s="10">
        <v>9</v>
      </c>
      <c r="EV96" s="10">
        <v>112.41043847</v>
      </c>
      <c r="EW96" s="10">
        <v>0</v>
      </c>
      <c r="EX96" s="10">
        <v>0</v>
      </c>
      <c r="EY96" s="10">
        <v>0</v>
      </c>
      <c r="EZ96" s="10">
        <v>0</v>
      </c>
      <c r="FA96" s="10">
        <v>0</v>
      </c>
      <c r="FB96" s="10">
        <v>0</v>
      </c>
      <c r="FC96" s="10">
        <v>0</v>
      </c>
      <c r="FD96" s="10">
        <v>0</v>
      </c>
      <c r="FE96" s="10">
        <v>0</v>
      </c>
      <c r="FF96" s="10">
        <v>0</v>
      </c>
      <c r="FG96" s="10">
        <v>0</v>
      </c>
      <c r="FH96" s="10">
        <v>0</v>
      </c>
      <c r="FI96" s="10">
        <v>0</v>
      </c>
      <c r="FJ96" s="10">
        <v>0</v>
      </c>
      <c r="FK96" s="10">
        <v>0</v>
      </c>
      <c r="FL96" s="10">
        <v>0</v>
      </c>
      <c r="FM96" s="10">
        <v>0</v>
      </c>
      <c r="FN96" s="10">
        <v>0</v>
      </c>
      <c r="FO96" s="10">
        <v>0</v>
      </c>
      <c r="FP96" s="10">
        <v>0</v>
      </c>
      <c r="FQ96" s="10">
        <v>0</v>
      </c>
      <c r="FR96" s="10">
        <v>0</v>
      </c>
      <c r="FS96" s="10">
        <v>0</v>
      </c>
      <c r="FT96" s="10">
        <v>0</v>
      </c>
      <c r="FU96" s="10">
        <v>0</v>
      </c>
      <c r="FV96" s="10">
        <v>0</v>
      </c>
      <c r="FW96" s="18">
        <f t="shared" si="24"/>
        <v>0</v>
      </c>
      <c r="FX96" s="18">
        <f t="shared" si="18"/>
        <v>0</v>
      </c>
      <c r="FY96" s="18">
        <f t="shared" si="19"/>
        <v>0</v>
      </c>
      <c r="FZ96" s="18">
        <f t="shared" si="20"/>
        <v>-2.5011104298755527E-12</v>
      </c>
      <c r="GA96" s="18">
        <f t="shared" si="25"/>
        <v>0</v>
      </c>
      <c r="GB96" s="18">
        <f t="shared" si="21"/>
        <v>-2.6915358830592595E-11</v>
      </c>
      <c r="GC96" s="18">
        <f t="shared" si="22"/>
        <v>0</v>
      </c>
      <c r="GD96" s="18">
        <f t="shared" si="23"/>
        <v>1.1368683772161603E-13</v>
      </c>
    </row>
    <row r="97" spans="1:186" s="11" customFormat="1" ht="27" customHeight="1" x14ac:dyDescent="0.25">
      <c r="A97" s="66" t="s">
        <v>38</v>
      </c>
      <c r="B97" s="1">
        <f t="shared" si="26"/>
        <v>90</v>
      </c>
      <c r="C97" s="20" t="s">
        <v>2158</v>
      </c>
      <c r="D97" s="20" t="s">
        <v>2159</v>
      </c>
      <c r="E97" s="65">
        <v>11853</v>
      </c>
      <c r="F97" s="19" t="s">
        <v>2107</v>
      </c>
      <c r="G97" s="9">
        <v>420</v>
      </c>
      <c r="H97" s="9">
        <v>89658.161898060003</v>
      </c>
      <c r="I97" s="9">
        <v>0</v>
      </c>
      <c r="J97" s="9">
        <v>0</v>
      </c>
      <c r="K97" s="9">
        <v>52</v>
      </c>
      <c r="L97" s="9">
        <v>70883.107545720006</v>
      </c>
      <c r="M97" s="9">
        <v>0</v>
      </c>
      <c r="N97" s="9">
        <v>0</v>
      </c>
      <c r="O97" s="9">
        <v>30</v>
      </c>
      <c r="P97" s="9">
        <v>4427.4976799799997</v>
      </c>
      <c r="Q97" s="9">
        <v>0</v>
      </c>
      <c r="R97" s="9">
        <v>0</v>
      </c>
      <c r="S97" s="9">
        <v>338</v>
      </c>
      <c r="T97" s="9">
        <v>14347.556672359997</v>
      </c>
      <c r="U97" s="9">
        <v>0</v>
      </c>
      <c r="V97" s="9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2</v>
      </c>
      <c r="AJ97" s="10">
        <v>6419.4882413999994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1</v>
      </c>
      <c r="AZ97" s="10">
        <v>68.255560319999987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3</v>
      </c>
      <c r="BL97" s="10">
        <v>581.93612504999999</v>
      </c>
      <c r="BM97" s="10">
        <v>0</v>
      </c>
      <c r="BN97" s="10">
        <v>0</v>
      </c>
      <c r="BO97" s="10">
        <v>54</v>
      </c>
      <c r="BP97" s="10">
        <v>40686.301886790003</v>
      </c>
      <c r="BQ97" s="10">
        <v>0</v>
      </c>
      <c r="BR97" s="10">
        <v>0</v>
      </c>
      <c r="BS97" s="10">
        <v>5</v>
      </c>
      <c r="BT97" s="10">
        <v>9568.0952259999995</v>
      </c>
      <c r="BU97" s="10">
        <v>0</v>
      </c>
      <c r="BV97" s="10">
        <v>0</v>
      </c>
      <c r="BW97" s="10">
        <v>9</v>
      </c>
      <c r="BX97" s="10">
        <v>8220.6445557300012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2</v>
      </c>
      <c r="CF97" s="10">
        <v>7264.90942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1</v>
      </c>
      <c r="CV97" s="10">
        <v>726.98432141000001</v>
      </c>
      <c r="CW97" s="10">
        <v>0</v>
      </c>
      <c r="CX97" s="10">
        <v>0</v>
      </c>
      <c r="CY97" s="10">
        <v>5</v>
      </c>
      <c r="CZ97" s="10">
        <v>1773.9898889999999</v>
      </c>
      <c r="DA97" s="10">
        <v>0</v>
      </c>
      <c r="DB97" s="10">
        <v>0</v>
      </c>
      <c r="DC97" s="10">
        <v>6</v>
      </c>
      <c r="DD97" s="10">
        <v>3969.7389531999997</v>
      </c>
      <c r="DE97" s="10">
        <v>0</v>
      </c>
      <c r="DF97" s="10">
        <v>0</v>
      </c>
      <c r="DG97" s="10">
        <v>330</v>
      </c>
      <c r="DH97" s="10">
        <v>10242.292378019996</v>
      </c>
      <c r="DI97" s="10">
        <v>0</v>
      </c>
      <c r="DJ97" s="10">
        <v>0</v>
      </c>
      <c r="DK97" s="10">
        <v>1</v>
      </c>
      <c r="DL97" s="10">
        <v>119.81088501000001</v>
      </c>
      <c r="DM97" s="10">
        <v>0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0</v>
      </c>
      <c r="DT97" s="10">
        <v>0</v>
      </c>
      <c r="DU97" s="10">
        <v>0</v>
      </c>
      <c r="DV97" s="10">
        <v>0</v>
      </c>
      <c r="DW97" s="10">
        <v>0</v>
      </c>
      <c r="DX97" s="10">
        <v>0</v>
      </c>
      <c r="DY97" s="10">
        <v>0</v>
      </c>
      <c r="DZ97" s="10">
        <v>0</v>
      </c>
      <c r="EA97" s="10">
        <v>0</v>
      </c>
      <c r="EB97" s="10">
        <v>0</v>
      </c>
      <c r="EC97" s="10">
        <v>0</v>
      </c>
      <c r="ED97" s="10">
        <v>0</v>
      </c>
      <c r="EE97" s="10">
        <v>0</v>
      </c>
      <c r="EF97" s="10">
        <v>0</v>
      </c>
      <c r="EG97" s="10">
        <v>0</v>
      </c>
      <c r="EH97" s="10">
        <v>0</v>
      </c>
      <c r="EI97" s="10">
        <v>0</v>
      </c>
      <c r="EJ97" s="10">
        <v>0</v>
      </c>
      <c r="EK97" s="10">
        <v>0</v>
      </c>
      <c r="EL97" s="10">
        <v>0</v>
      </c>
      <c r="EM97" s="10">
        <v>0</v>
      </c>
      <c r="EN97" s="10">
        <v>0</v>
      </c>
      <c r="EO97" s="10">
        <v>0</v>
      </c>
      <c r="EP97" s="10">
        <v>0</v>
      </c>
      <c r="EQ97" s="10">
        <v>0</v>
      </c>
      <c r="ER97" s="10">
        <v>0</v>
      </c>
      <c r="ES97" s="10">
        <v>0</v>
      </c>
      <c r="ET97" s="10">
        <v>0</v>
      </c>
      <c r="EU97" s="10">
        <v>0</v>
      </c>
      <c r="EV97" s="10">
        <v>0</v>
      </c>
      <c r="EW97" s="10">
        <v>0</v>
      </c>
      <c r="EX97" s="10">
        <v>0</v>
      </c>
      <c r="EY97" s="10">
        <v>0</v>
      </c>
      <c r="EZ97" s="10">
        <v>0</v>
      </c>
      <c r="FA97" s="10">
        <v>0</v>
      </c>
      <c r="FB97" s="10">
        <v>0</v>
      </c>
      <c r="FC97" s="10">
        <v>0</v>
      </c>
      <c r="FD97" s="10">
        <v>0</v>
      </c>
      <c r="FE97" s="10">
        <v>0</v>
      </c>
      <c r="FF97" s="10">
        <v>0</v>
      </c>
      <c r="FG97" s="10">
        <v>0</v>
      </c>
      <c r="FH97" s="10">
        <v>0</v>
      </c>
      <c r="FI97" s="10">
        <v>0</v>
      </c>
      <c r="FJ97" s="10">
        <v>0</v>
      </c>
      <c r="FK97" s="10">
        <v>0</v>
      </c>
      <c r="FL97" s="10">
        <v>0</v>
      </c>
      <c r="FM97" s="10">
        <v>0</v>
      </c>
      <c r="FN97" s="10">
        <v>0</v>
      </c>
      <c r="FO97" s="10">
        <v>0</v>
      </c>
      <c r="FP97" s="10">
        <v>0</v>
      </c>
      <c r="FQ97" s="10">
        <v>0</v>
      </c>
      <c r="FR97" s="10">
        <v>0</v>
      </c>
      <c r="FS97" s="10">
        <v>1</v>
      </c>
      <c r="FT97" s="10">
        <v>15.71445613</v>
      </c>
      <c r="FU97" s="10">
        <v>0</v>
      </c>
      <c r="FV97" s="10">
        <v>0</v>
      </c>
      <c r="FW97" s="18">
        <f t="shared" si="24"/>
        <v>0</v>
      </c>
      <c r="FX97" s="18">
        <f t="shared" si="18"/>
        <v>0</v>
      </c>
      <c r="FY97" s="18">
        <f t="shared" si="19"/>
        <v>0</v>
      </c>
      <c r="FZ97" s="18">
        <f t="shared" si="20"/>
        <v>0</v>
      </c>
      <c r="GA97" s="18">
        <f t="shared" si="25"/>
        <v>0</v>
      </c>
      <c r="GB97" s="18">
        <f t="shared" si="21"/>
        <v>6.2687632862434839E-12</v>
      </c>
      <c r="GC97" s="18">
        <f t="shared" si="22"/>
        <v>0</v>
      </c>
      <c r="GD97" s="18">
        <f t="shared" si="23"/>
        <v>0</v>
      </c>
    </row>
    <row r="98" spans="1:186" s="11" customFormat="1" ht="27" customHeight="1" x14ac:dyDescent="0.25">
      <c r="A98" s="66" t="s">
        <v>41</v>
      </c>
      <c r="B98" s="1">
        <f t="shared" si="26"/>
        <v>91</v>
      </c>
      <c r="C98" s="20" t="s">
        <v>2164</v>
      </c>
      <c r="D98" s="20" t="s">
        <v>2164</v>
      </c>
      <c r="E98" s="65" t="s">
        <v>25</v>
      </c>
      <c r="F98" s="19" t="s">
        <v>2039</v>
      </c>
      <c r="G98" s="9">
        <v>3226</v>
      </c>
      <c r="H98" s="9">
        <v>587860.27545604238</v>
      </c>
      <c r="I98" s="9">
        <v>103</v>
      </c>
      <c r="J98" s="9">
        <v>38592.866554594999</v>
      </c>
      <c r="K98" s="9">
        <v>358</v>
      </c>
      <c r="L98" s="9">
        <v>199359.63102755052</v>
      </c>
      <c r="M98" s="9">
        <v>9</v>
      </c>
      <c r="N98" s="9">
        <v>10714.388629994999</v>
      </c>
      <c r="O98" s="9">
        <v>290</v>
      </c>
      <c r="P98" s="9">
        <v>69565.762768150991</v>
      </c>
      <c r="Q98" s="9">
        <v>8</v>
      </c>
      <c r="R98" s="9">
        <v>2391.5541594499996</v>
      </c>
      <c r="S98" s="9">
        <v>2578</v>
      </c>
      <c r="T98" s="9">
        <v>318934.8816603396</v>
      </c>
      <c r="U98" s="9">
        <v>86</v>
      </c>
      <c r="V98" s="9">
        <v>25486.923765149993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1</v>
      </c>
      <c r="AJ98" s="10">
        <v>30.416565695999999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1</v>
      </c>
      <c r="BD98" s="10">
        <v>44.698444409999993</v>
      </c>
      <c r="BE98" s="10">
        <v>0</v>
      </c>
      <c r="BF98" s="10">
        <v>0</v>
      </c>
      <c r="BG98" s="10">
        <v>2</v>
      </c>
      <c r="BH98" s="10">
        <v>501.53892945799998</v>
      </c>
      <c r="BI98" s="10">
        <v>0</v>
      </c>
      <c r="BJ98" s="10">
        <v>0</v>
      </c>
      <c r="BK98" s="10">
        <v>19</v>
      </c>
      <c r="BL98" s="10">
        <v>12018.3757255282</v>
      </c>
      <c r="BM98" s="10">
        <v>0</v>
      </c>
      <c r="BN98" s="10">
        <v>0</v>
      </c>
      <c r="BO98" s="10">
        <v>194</v>
      </c>
      <c r="BP98" s="10">
        <v>59377.441317193996</v>
      </c>
      <c r="BQ98" s="10">
        <v>8</v>
      </c>
      <c r="BR98" s="10">
        <v>7873.9640673829999</v>
      </c>
      <c r="BS98" s="10">
        <v>75</v>
      </c>
      <c r="BT98" s="10">
        <v>26771.509814505007</v>
      </c>
      <c r="BU98" s="10">
        <v>4</v>
      </c>
      <c r="BV98" s="10">
        <v>1810.5504573200001</v>
      </c>
      <c r="BW98" s="10">
        <v>44</v>
      </c>
      <c r="BX98" s="10">
        <v>8944.337925379401</v>
      </c>
      <c r="BY98" s="10">
        <v>2</v>
      </c>
      <c r="BZ98" s="10">
        <v>682.42229825900006</v>
      </c>
      <c r="CA98" s="10">
        <v>9</v>
      </c>
      <c r="CB98" s="10">
        <v>3858.4473793690004</v>
      </c>
      <c r="CC98" s="10">
        <v>0</v>
      </c>
      <c r="CD98" s="10">
        <v>0</v>
      </c>
      <c r="CE98" s="10">
        <v>9</v>
      </c>
      <c r="CF98" s="10">
        <v>2451.371111849</v>
      </c>
      <c r="CG98" s="10">
        <v>0</v>
      </c>
      <c r="CH98" s="10">
        <v>0</v>
      </c>
      <c r="CI98" s="10">
        <v>19</v>
      </c>
      <c r="CJ98" s="10">
        <v>9136.3115721770009</v>
      </c>
      <c r="CK98" s="10">
        <v>1</v>
      </c>
      <c r="CL98" s="10">
        <v>789.00596648299995</v>
      </c>
      <c r="CM98" s="10">
        <v>5</v>
      </c>
      <c r="CN98" s="10">
        <v>747.41192885199996</v>
      </c>
      <c r="CO98" s="10">
        <v>0</v>
      </c>
      <c r="CP98" s="10">
        <v>0</v>
      </c>
      <c r="CQ98" s="10">
        <v>0</v>
      </c>
      <c r="CR98" s="10">
        <v>0</v>
      </c>
      <c r="CS98" s="10">
        <v>0</v>
      </c>
      <c r="CT98" s="10">
        <v>0</v>
      </c>
      <c r="CU98" s="10">
        <v>2</v>
      </c>
      <c r="CV98" s="10">
        <v>310.70710221499996</v>
      </c>
      <c r="CW98" s="10">
        <v>0</v>
      </c>
      <c r="CX98" s="10">
        <v>0</v>
      </c>
      <c r="CY98" s="10">
        <v>268</v>
      </c>
      <c r="CZ98" s="10">
        <v>144732.8259790689</v>
      </c>
      <c r="DA98" s="10">
        <v>2</v>
      </c>
      <c r="DB98" s="10">
        <v>1950</v>
      </c>
      <c r="DC98" s="10">
        <v>236</v>
      </c>
      <c r="DD98" s="10">
        <v>91720.210630240021</v>
      </c>
      <c r="DE98" s="10">
        <v>27</v>
      </c>
      <c r="DF98" s="10">
        <v>16932.05254212</v>
      </c>
      <c r="DG98" s="10">
        <v>304</v>
      </c>
      <c r="DH98" s="10">
        <v>8262.2956501300014</v>
      </c>
      <c r="DI98" s="10">
        <v>5</v>
      </c>
      <c r="DJ98" s="10">
        <v>218.89372549999999</v>
      </c>
      <c r="DK98" s="10">
        <v>617</v>
      </c>
      <c r="DL98" s="10">
        <v>61552.092979560039</v>
      </c>
      <c r="DM98" s="10">
        <v>15</v>
      </c>
      <c r="DN98" s="10">
        <v>2047.8180775100002</v>
      </c>
      <c r="DO98" s="10">
        <v>0</v>
      </c>
      <c r="DP98" s="10">
        <v>0</v>
      </c>
      <c r="DQ98" s="10">
        <v>0</v>
      </c>
      <c r="DR98" s="10">
        <v>0</v>
      </c>
      <c r="DS98" s="10">
        <v>1166</v>
      </c>
      <c r="DT98" s="10">
        <v>152618.74504607994</v>
      </c>
      <c r="DU98" s="10">
        <v>32</v>
      </c>
      <c r="DV98" s="10">
        <v>6112.3215154899999</v>
      </c>
      <c r="DW98" s="10">
        <v>255</v>
      </c>
      <c r="DX98" s="10">
        <v>4781.537354330002</v>
      </c>
      <c r="DY98" s="10">
        <v>7</v>
      </c>
      <c r="DZ98" s="10">
        <v>175.83790453</v>
      </c>
      <c r="EA98" s="10">
        <v>0</v>
      </c>
      <c r="EB98" s="10">
        <v>0</v>
      </c>
      <c r="EC98" s="10">
        <v>0</v>
      </c>
      <c r="ED98" s="10">
        <v>0</v>
      </c>
      <c r="EE98" s="10">
        <v>0</v>
      </c>
      <c r="EF98" s="10">
        <v>0</v>
      </c>
      <c r="EG98" s="10">
        <v>0</v>
      </c>
      <c r="EH98" s="10">
        <v>0</v>
      </c>
      <c r="EI98" s="10">
        <v>0</v>
      </c>
      <c r="EJ98" s="10">
        <v>0</v>
      </c>
      <c r="EK98" s="10">
        <v>0</v>
      </c>
      <c r="EL98" s="10">
        <v>0</v>
      </c>
      <c r="EM98" s="10">
        <v>0</v>
      </c>
      <c r="EN98" s="10">
        <v>0</v>
      </c>
      <c r="EO98" s="10">
        <v>0</v>
      </c>
      <c r="EP98" s="10">
        <v>0</v>
      </c>
      <c r="EQ98" s="10">
        <v>0</v>
      </c>
      <c r="ER98" s="10">
        <v>0</v>
      </c>
      <c r="ES98" s="10">
        <v>0</v>
      </c>
      <c r="ET98" s="10">
        <v>0</v>
      </c>
      <c r="EU98" s="10">
        <v>0</v>
      </c>
      <c r="EV98" s="10">
        <v>0</v>
      </c>
      <c r="EW98" s="10">
        <v>0</v>
      </c>
      <c r="EX98" s="10">
        <v>0</v>
      </c>
      <c r="EY98" s="10">
        <v>0</v>
      </c>
      <c r="EZ98" s="10">
        <v>0</v>
      </c>
      <c r="FA98" s="10">
        <v>0</v>
      </c>
      <c r="FB98" s="10">
        <v>0</v>
      </c>
      <c r="FC98" s="10">
        <v>0</v>
      </c>
      <c r="FD98" s="10">
        <v>0</v>
      </c>
      <c r="FE98" s="10">
        <v>0</v>
      </c>
      <c r="FF98" s="10">
        <v>0</v>
      </c>
      <c r="FG98" s="10">
        <v>0</v>
      </c>
      <c r="FH98" s="10">
        <v>0</v>
      </c>
      <c r="FI98" s="10">
        <v>0</v>
      </c>
      <c r="FJ98" s="10">
        <v>0</v>
      </c>
      <c r="FK98" s="10">
        <v>0</v>
      </c>
      <c r="FL98" s="10">
        <v>0</v>
      </c>
      <c r="FM98" s="10">
        <v>0</v>
      </c>
      <c r="FN98" s="10">
        <v>0</v>
      </c>
      <c r="FO98" s="10">
        <v>0</v>
      </c>
      <c r="FP98" s="10">
        <v>0</v>
      </c>
      <c r="FQ98" s="10">
        <v>0</v>
      </c>
      <c r="FR98" s="10">
        <v>0</v>
      </c>
      <c r="FS98" s="10">
        <v>0</v>
      </c>
      <c r="FT98" s="10">
        <v>0</v>
      </c>
      <c r="FU98" s="10">
        <v>0</v>
      </c>
      <c r="FV98" s="10">
        <v>0</v>
      </c>
      <c r="FW98" s="18">
        <f t="shared" si="24"/>
        <v>0</v>
      </c>
      <c r="FX98" s="18">
        <f t="shared" si="18"/>
        <v>1.2223608791828156E-9</v>
      </c>
      <c r="FY98" s="18">
        <f t="shared" si="19"/>
        <v>0</v>
      </c>
      <c r="FZ98" s="18">
        <f t="shared" si="20"/>
        <v>0</v>
      </c>
      <c r="GA98" s="18">
        <f t="shared" si="25"/>
        <v>0</v>
      </c>
      <c r="GB98" s="18">
        <f t="shared" si="21"/>
        <v>9.0858520707115531E-10</v>
      </c>
      <c r="GC98" s="18">
        <f t="shared" si="22"/>
        <v>0</v>
      </c>
      <c r="GD98" s="18">
        <f t="shared" si="23"/>
        <v>-2.8990143619012088E-12</v>
      </c>
    </row>
    <row r="99" spans="1:186" s="11" customFormat="1" ht="27" customHeight="1" x14ac:dyDescent="0.25">
      <c r="A99" s="66" t="s">
        <v>39</v>
      </c>
      <c r="B99" s="1">
        <f t="shared" si="26"/>
        <v>92</v>
      </c>
      <c r="C99" s="20" t="s">
        <v>2160</v>
      </c>
      <c r="D99" s="20" t="s">
        <v>2161</v>
      </c>
      <c r="E99" s="65" t="s">
        <v>19</v>
      </c>
      <c r="F99" s="19" t="s">
        <v>2054</v>
      </c>
      <c r="G99" s="9">
        <v>1696</v>
      </c>
      <c r="H99" s="9">
        <v>523424.57653750014</v>
      </c>
      <c r="I99" s="9">
        <v>54</v>
      </c>
      <c r="J99" s="9">
        <v>25608.140864470002</v>
      </c>
      <c r="K99" s="9">
        <v>172</v>
      </c>
      <c r="L99" s="9">
        <v>279641.65166947996</v>
      </c>
      <c r="M99" s="9">
        <v>19</v>
      </c>
      <c r="N99" s="9">
        <v>12811.025003780001</v>
      </c>
      <c r="O99" s="9">
        <v>38</v>
      </c>
      <c r="P99" s="9">
        <v>4811.9688141199995</v>
      </c>
      <c r="Q99" s="9">
        <v>0</v>
      </c>
      <c r="R99" s="9">
        <v>0</v>
      </c>
      <c r="S99" s="9">
        <v>1486</v>
      </c>
      <c r="T99" s="9">
        <v>238970.95605389989</v>
      </c>
      <c r="U99" s="9">
        <v>35</v>
      </c>
      <c r="V99" s="9">
        <v>12797.115860690001</v>
      </c>
      <c r="W99" s="10">
        <v>6</v>
      </c>
      <c r="X99" s="10">
        <v>1836.0616317000001</v>
      </c>
      <c r="Y99" s="10">
        <v>1</v>
      </c>
      <c r="Z99" s="10">
        <v>162.46541555000002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12</v>
      </c>
      <c r="BH99" s="10">
        <v>10479.454976540001</v>
      </c>
      <c r="BI99" s="10">
        <v>2</v>
      </c>
      <c r="BJ99" s="10">
        <v>140.70066277999999</v>
      </c>
      <c r="BK99" s="10">
        <v>22</v>
      </c>
      <c r="BL99" s="10">
        <v>4886.218194</v>
      </c>
      <c r="BM99" s="10">
        <v>1</v>
      </c>
      <c r="BN99" s="10">
        <v>909.33296675999998</v>
      </c>
      <c r="BO99" s="10">
        <v>74</v>
      </c>
      <c r="BP99" s="10">
        <v>210343.30859677002</v>
      </c>
      <c r="BQ99" s="10">
        <v>11</v>
      </c>
      <c r="BR99" s="10">
        <v>7312.3599965600006</v>
      </c>
      <c r="BS99" s="10">
        <v>0</v>
      </c>
      <c r="BT99" s="10">
        <v>0</v>
      </c>
      <c r="BU99" s="10">
        <v>0</v>
      </c>
      <c r="BV99" s="10">
        <v>0</v>
      </c>
      <c r="BW99" s="10">
        <v>79</v>
      </c>
      <c r="BX99" s="10">
        <v>48734.266076570006</v>
      </c>
      <c r="BY99" s="10">
        <v>4</v>
      </c>
      <c r="BZ99" s="10">
        <v>4286.1659621300005</v>
      </c>
      <c r="CA99" s="10">
        <v>12</v>
      </c>
      <c r="CB99" s="10">
        <v>6885.98196001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0</v>
      </c>
      <c r="CR99" s="10">
        <v>0</v>
      </c>
      <c r="CS99" s="10">
        <v>0</v>
      </c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5</v>
      </c>
      <c r="CZ99" s="10">
        <v>1288.32904801</v>
      </c>
      <c r="DA99" s="10">
        <v>0</v>
      </c>
      <c r="DB99" s="10">
        <v>0</v>
      </c>
      <c r="DC99" s="10">
        <v>742</v>
      </c>
      <c r="DD99" s="10">
        <v>155912.30555720988</v>
      </c>
      <c r="DE99" s="10">
        <v>22</v>
      </c>
      <c r="DF99" s="10">
        <v>10403.142425089998</v>
      </c>
      <c r="DG99" s="10">
        <v>44</v>
      </c>
      <c r="DH99" s="10">
        <v>1442.2955005199999</v>
      </c>
      <c r="DI99" s="10">
        <v>2</v>
      </c>
      <c r="DJ99" s="10">
        <v>35.555355570000003</v>
      </c>
      <c r="DK99" s="10">
        <v>486</v>
      </c>
      <c r="DL99" s="10">
        <v>50693.412014300011</v>
      </c>
      <c r="DM99" s="10">
        <v>8</v>
      </c>
      <c r="DN99" s="10">
        <v>2046.4960373899999</v>
      </c>
      <c r="DO99" s="10">
        <v>3</v>
      </c>
      <c r="DP99" s="10">
        <v>16.83655061</v>
      </c>
      <c r="DQ99" s="10">
        <v>0</v>
      </c>
      <c r="DR99" s="10">
        <v>0</v>
      </c>
      <c r="DS99" s="10">
        <v>0</v>
      </c>
      <c r="DT99" s="10">
        <v>0</v>
      </c>
      <c r="DU99" s="10">
        <v>0</v>
      </c>
      <c r="DV99" s="10">
        <v>0</v>
      </c>
      <c r="DW99" s="10">
        <v>0</v>
      </c>
      <c r="DX99" s="10">
        <v>0</v>
      </c>
      <c r="DY99" s="10">
        <v>0</v>
      </c>
      <c r="DZ99" s="10">
        <v>0</v>
      </c>
      <c r="EA99" s="10">
        <v>5</v>
      </c>
      <c r="EB99" s="10">
        <v>901.43932913000003</v>
      </c>
      <c r="EC99" s="10">
        <v>0</v>
      </c>
      <c r="ED99" s="10">
        <v>0</v>
      </c>
      <c r="EE99" s="10">
        <v>9</v>
      </c>
      <c r="EF99" s="10">
        <v>1230.0404670900002</v>
      </c>
      <c r="EG99" s="10">
        <v>0</v>
      </c>
      <c r="EH99" s="10">
        <v>0</v>
      </c>
      <c r="EI99" s="10">
        <v>0</v>
      </c>
      <c r="EJ99" s="10">
        <v>0</v>
      </c>
      <c r="EK99" s="10">
        <v>0</v>
      </c>
      <c r="EL99" s="10">
        <v>0</v>
      </c>
      <c r="EM99" s="10">
        <v>0</v>
      </c>
      <c r="EN99" s="10">
        <v>0</v>
      </c>
      <c r="EO99" s="10">
        <v>0</v>
      </c>
      <c r="EP99" s="10">
        <v>0</v>
      </c>
      <c r="EQ99" s="10">
        <v>2</v>
      </c>
      <c r="ER99" s="10">
        <v>25.492033660000001</v>
      </c>
      <c r="ES99" s="10">
        <v>2</v>
      </c>
      <c r="ET99" s="10">
        <v>25.492033660000001</v>
      </c>
      <c r="EU99" s="10">
        <v>8</v>
      </c>
      <c r="EV99" s="10">
        <v>392.05486777000004</v>
      </c>
      <c r="EW99" s="10">
        <v>0</v>
      </c>
      <c r="EX99" s="10">
        <v>0</v>
      </c>
      <c r="EY99" s="10">
        <v>0</v>
      </c>
      <c r="EZ99" s="10">
        <v>0</v>
      </c>
      <c r="FA99" s="10">
        <v>0</v>
      </c>
      <c r="FB99" s="10">
        <v>0</v>
      </c>
      <c r="FC99" s="10">
        <v>0</v>
      </c>
      <c r="FD99" s="10">
        <v>0</v>
      </c>
      <c r="FE99" s="10">
        <v>0</v>
      </c>
      <c r="FF99" s="10">
        <v>0</v>
      </c>
      <c r="FG99" s="10">
        <v>0</v>
      </c>
      <c r="FH99" s="10">
        <v>0</v>
      </c>
      <c r="FI99" s="10">
        <v>0</v>
      </c>
      <c r="FJ99" s="10">
        <v>0</v>
      </c>
      <c r="FK99" s="10">
        <v>0</v>
      </c>
      <c r="FL99" s="10">
        <v>0</v>
      </c>
      <c r="FM99" s="10">
        <v>0</v>
      </c>
      <c r="FN99" s="10">
        <v>0</v>
      </c>
      <c r="FO99" s="10">
        <v>0</v>
      </c>
      <c r="FP99" s="10">
        <v>0</v>
      </c>
      <c r="FQ99" s="10">
        <v>0</v>
      </c>
      <c r="FR99" s="10">
        <v>0</v>
      </c>
      <c r="FS99" s="10">
        <v>187</v>
      </c>
      <c r="FT99" s="10">
        <v>28357.07973361</v>
      </c>
      <c r="FU99" s="10">
        <v>1</v>
      </c>
      <c r="FV99" s="10">
        <v>286.43000897999997</v>
      </c>
      <c r="FW99" s="18">
        <f t="shared" si="24"/>
        <v>0</v>
      </c>
      <c r="FX99" s="18">
        <f t="shared" si="18"/>
        <v>2.9103830456733704E-10</v>
      </c>
      <c r="FY99" s="18">
        <f t="shared" si="19"/>
        <v>0</v>
      </c>
      <c r="FZ99" s="18">
        <f t="shared" si="20"/>
        <v>0</v>
      </c>
      <c r="GA99" s="18">
        <f t="shared" si="25"/>
        <v>0</v>
      </c>
      <c r="GB99" s="18">
        <f t="shared" si="21"/>
        <v>1.673470251262188E-10</v>
      </c>
      <c r="GC99" s="18">
        <f t="shared" si="22"/>
        <v>0</v>
      </c>
      <c r="GD99" s="18">
        <f t="shared" si="23"/>
        <v>2.9558577807620168E-12</v>
      </c>
    </row>
    <row r="100" spans="1:186" s="11" customFormat="1" ht="27" customHeight="1" x14ac:dyDescent="0.25">
      <c r="A100" s="66" t="s">
        <v>39</v>
      </c>
      <c r="B100" s="1">
        <f t="shared" si="26"/>
        <v>93</v>
      </c>
      <c r="C100" s="20" t="s">
        <v>2160</v>
      </c>
      <c r="D100" s="20" t="s">
        <v>2162</v>
      </c>
      <c r="E100" s="65" t="s">
        <v>20</v>
      </c>
      <c r="F100" s="19" t="s">
        <v>2107</v>
      </c>
      <c r="G100" s="9">
        <v>1226</v>
      </c>
      <c r="H100" s="9">
        <v>249638.47371380994</v>
      </c>
      <c r="I100" s="9">
        <v>34</v>
      </c>
      <c r="J100" s="9">
        <v>21186.298452089999</v>
      </c>
      <c r="K100" s="9">
        <v>51</v>
      </c>
      <c r="L100" s="9">
        <v>54974.555316329999</v>
      </c>
      <c r="M100" s="9">
        <v>1</v>
      </c>
      <c r="N100" s="9">
        <v>13168.865088370001</v>
      </c>
      <c r="O100" s="9">
        <v>233</v>
      </c>
      <c r="P100" s="9">
        <v>37023.639823599988</v>
      </c>
      <c r="Q100" s="9">
        <v>0</v>
      </c>
      <c r="R100" s="9">
        <v>0</v>
      </c>
      <c r="S100" s="9">
        <v>942</v>
      </c>
      <c r="T100" s="9">
        <v>157640.27857387991</v>
      </c>
      <c r="U100" s="9">
        <v>33</v>
      </c>
      <c r="V100" s="9">
        <v>8017.4333637199998</v>
      </c>
      <c r="W100" s="10">
        <v>9</v>
      </c>
      <c r="X100" s="10">
        <v>12083.687406809999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8</v>
      </c>
      <c r="BH100" s="10">
        <v>2609.1245974899998</v>
      </c>
      <c r="BI100" s="10">
        <v>0</v>
      </c>
      <c r="BJ100" s="10">
        <v>0</v>
      </c>
      <c r="BK100" s="10">
        <v>121</v>
      </c>
      <c r="BL100" s="10">
        <v>31630.970534199998</v>
      </c>
      <c r="BM100" s="10">
        <v>1</v>
      </c>
      <c r="BN100" s="10">
        <v>13168.865088370001</v>
      </c>
      <c r="BO100" s="10">
        <v>104</v>
      </c>
      <c r="BP100" s="10">
        <v>27002.321560440003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35</v>
      </c>
      <c r="BX100" s="10">
        <v>17467.533206790002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</v>
      </c>
      <c r="CI100" s="10">
        <v>0</v>
      </c>
      <c r="CJ100" s="10">
        <v>0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0</v>
      </c>
      <c r="CR100" s="10">
        <v>0</v>
      </c>
      <c r="CS100" s="10">
        <v>0</v>
      </c>
      <c r="CT100" s="10">
        <v>0</v>
      </c>
      <c r="CU100" s="10">
        <v>0</v>
      </c>
      <c r="CV100" s="10">
        <v>0</v>
      </c>
      <c r="CW100" s="10">
        <v>0</v>
      </c>
      <c r="CX100" s="10">
        <v>0</v>
      </c>
      <c r="CY100" s="10">
        <v>7</v>
      </c>
      <c r="CZ100" s="10">
        <v>1204.5578342000001</v>
      </c>
      <c r="DA100" s="10">
        <v>0</v>
      </c>
      <c r="DB100" s="10">
        <v>0</v>
      </c>
      <c r="DC100" s="10">
        <v>241</v>
      </c>
      <c r="DD100" s="10">
        <v>64686.108127840016</v>
      </c>
      <c r="DE100" s="10">
        <v>8</v>
      </c>
      <c r="DF100" s="10">
        <v>3310.89550487</v>
      </c>
      <c r="DG100" s="10">
        <v>68</v>
      </c>
      <c r="DH100" s="10">
        <v>2493.9022464600007</v>
      </c>
      <c r="DI100" s="10">
        <v>2</v>
      </c>
      <c r="DJ100" s="10">
        <v>94.443333359999983</v>
      </c>
      <c r="DK100" s="10">
        <v>284</v>
      </c>
      <c r="DL100" s="10">
        <v>32211.742048110013</v>
      </c>
      <c r="DM100" s="10">
        <v>9</v>
      </c>
      <c r="DN100" s="10">
        <v>2136.9898154000002</v>
      </c>
      <c r="DO100" s="10">
        <v>1</v>
      </c>
      <c r="DP100" s="10">
        <v>0.52222226000000005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10">
        <v>0</v>
      </c>
      <c r="DZ100" s="10">
        <v>0</v>
      </c>
      <c r="EA100" s="10">
        <v>7</v>
      </c>
      <c r="EB100" s="10">
        <v>838.87974064000002</v>
      </c>
      <c r="EC100" s="10">
        <v>0</v>
      </c>
      <c r="ED100" s="10">
        <v>0</v>
      </c>
      <c r="EE100" s="10">
        <v>10</v>
      </c>
      <c r="EF100" s="10">
        <v>1647.0733454900001</v>
      </c>
      <c r="EG100" s="10">
        <v>1</v>
      </c>
      <c r="EH100" s="10">
        <v>269.32610141000004</v>
      </c>
      <c r="EI100" s="10">
        <v>0</v>
      </c>
      <c r="EJ100" s="10">
        <v>0</v>
      </c>
      <c r="EK100" s="10">
        <v>0</v>
      </c>
      <c r="EL100" s="10">
        <v>0</v>
      </c>
      <c r="EM100" s="10">
        <v>0</v>
      </c>
      <c r="EN100" s="10">
        <v>0</v>
      </c>
      <c r="EO100" s="10">
        <v>0</v>
      </c>
      <c r="EP100" s="10">
        <v>0</v>
      </c>
      <c r="EQ100" s="10">
        <v>0</v>
      </c>
      <c r="ER100" s="10">
        <v>0</v>
      </c>
      <c r="ES100" s="10">
        <v>0</v>
      </c>
      <c r="ET100" s="10">
        <v>0</v>
      </c>
      <c r="EU100" s="10">
        <v>11</v>
      </c>
      <c r="EV100" s="10">
        <v>492.45485447999999</v>
      </c>
      <c r="EW100" s="10">
        <v>1</v>
      </c>
      <c r="EX100" s="10">
        <v>0.27470506</v>
      </c>
      <c r="EY100" s="10">
        <v>0</v>
      </c>
      <c r="EZ100" s="10">
        <v>0</v>
      </c>
      <c r="FA100" s="10">
        <v>0</v>
      </c>
      <c r="FB100" s="10">
        <v>0</v>
      </c>
      <c r="FC100" s="10">
        <v>0</v>
      </c>
      <c r="FD100" s="10">
        <v>0</v>
      </c>
      <c r="FE100" s="10">
        <v>0</v>
      </c>
      <c r="FF100" s="10">
        <v>0</v>
      </c>
      <c r="FG100" s="10">
        <v>0</v>
      </c>
      <c r="FH100" s="10">
        <v>0</v>
      </c>
      <c r="FI100" s="10">
        <v>0</v>
      </c>
      <c r="FJ100" s="10">
        <v>0</v>
      </c>
      <c r="FK100" s="10">
        <v>0</v>
      </c>
      <c r="FL100" s="10">
        <v>0</v>
      </c>
      <c r="FM100" s="10">
        <v>0</v>
      </c>
      <c r="FN100" s="10">
        <v>0</v>
      </c>
      <c r="FO100" s="10">
        <v>0</v>
      </c>
      <c r="FP100" s="10">
        <v>0</v>
      </c>
      <c r="FQ100" s="10">
        <v>0</v>
      </c>
      <c r="FR100" s="10">
        <v>0</v>
      </c>
      <c r="FS100" s="10">
        <v>320</v>
      </c>
      <c r="FT100" s="10">
        <v>55269.595988599976</v>
      </c>
      <c r="FU100" s="10">
        <v>12</v>
      </c>
      <c r="FV100" s="10">
        <v>2205.5039036200001</v>
      </c>
      <c r="FW100" s="18">
        <f t="shared" si="24"/>
        <v>0</v>
      </c>
      <c r="FX100" s="18">
        <f t="shared" si="18"/>
        <v>0</v>
      </c>
      <c r="FY100" s="18">
        <f t="shared" si="19"/>
        <v>0</v>
      </c>
      <c r="FZ100" s="18">
        <f t="shared" si="20"/>
        <v>0</v>
      </c>
      <c r="GA100" s="18">
        <f t="shared" si="25"/>
        <v>0</v>
      </c>
      <c r="GB100" s="18">
        <f t="shared" si="21"/>
        <v>0</v>
      </c>
      <c r="GC100" s="18">
        <f t="shared" si="22"/>
        <v>0</v>
      </c>
      <c r="GD100" s="18">
        <f t="shared" si="23"/>
        <v>0</v>
      </c>
    </row>
    <row r="101" spans="1:186" s="11" customFormat="1" ht="27" customHeight="1" x14ac:dyDescent="0.25">
      <c r="A101" s="66" t="s">
        <v>40</v>
      </c>
      <c r="B101" s="1">
        <f t="shared" si="26"/>
        <v>94</v>
      </c>
      <c r="C101" s="20" t="s">
        <v>2163</v>
      </c>
      <c r="D101" s="20" t="s">
        <v>2163</v>
      </c>
      <c r="E101" s="65" t="s">
        <v>24</v>
      </c>
      <c r="F101" s="19" t="s">
        <v>2037</v>
      </c>
      <c r="G101" s="9">
        <v>61893</v>
      </c>
      <c r="H101" s="9">
        <v>604473.22436580446</v>
      </c>
      <c r="I101" s="9">
        <v>2948</v>
      </c>
      <c r="J101" s="9">
        <v>23451.427710921995</v>
      </c>
      <c r="K101" s="9">
        <v>32</v>
      </c>
      <c r="L101" s="9">
        <v>26667.025223228</v>
      </c>
      <c r="M101" s="9">
        <v>0</v>
      </c>
      <c r="N101" s="9">
        <v>0</v>
      </c>
      <c r="O101" s="9">
        <v>252</v>
      </c>
      <c r="P101" s="9">
        <v>23805.596014408995</v>
      </c>
      <c r="Q101" s="9">
        <v>9</v>
      </c>
      <c r="R101" s="9">
        <v>1293.0496501519999</v>
      </c>
      <c r="S101" s="9">
        <v>61609</v>
      </c>
      <c r="T101" s="9">
        <v>554000.60312816745</v>
      </c>
      <c r="U101" s="9">
        <v>2939</v>
      </c>
      <c r="V101" s="9">
        <v>22158.378060769988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2</v>
      </c>
      <c r="BH101" s="10">
        <v>4224.3636873480009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14</v>
      </c>
      <c r="BP101" s="10">
        <v>14855.131550790002</v>
      </c>
      <c r="BQ101" s="10">
        <v>0</v>
      </c>
      <c r="BR101" s="10">
        <v>0</v>
      </c>
      <c r="BS101" s="10">
        <v>7</v>
      </c>
      <c r="BT101" s="10">
        <v>1768.7445440899999</v>
      </c>
      <c r="BU101" s="10">
        <v>0</v>
      </c>
      <c r="BV101" s="10">
        <v>0</v>
      </c>
      <c r="BW101" s="10">
        <v>5</v>
      </c>
      <c r="BX101" s="10">
        <v>2490.7319446199999</v>
      </c>
      <c r="BY101" s="10">
        <v>0</v>
      </c>
      <c r="BZ101" s="10">
        <v>0</v>
      </c>
      <c r="CA101" s="10">
        <v>1</v>
      </c>
      <c r="CB101" s="10">
        <v>1250.9152213900002</v>
      </c>
      <c r="CC101" s="10">
        <v>0</v>
      </c>
      <c r="CD101" s="10">
        <v>0</v>
      </c>
      <c r="CE101" s="10">
        <v>1</v>
      </c>
      <c r="CF101" s="10">
        <v>716.33079347</v>
      </c>
      <c r="CG101" s="10">
        <v>0</v>
      </c>
      <c r="CH101" s="10">
        <v>0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10">
        <v>0</v>
      </c>
      <c r="CO101" s="10">
        <v>0</v>
      </c>
      <c r="CP101" s="10">
        <v>0</v>
      </c>
      <c r="CQ101" s="10">
        <v>0</v>
      </c>
      <c r="CR101" s="10">
        <v>0</v>
      </c>
      <c r="CS101" s="10">
        <v>0</v>
      </c>
      <c r="CT101" s="10">
        <v>0</v>
      </c>
      <c r="CU101" s="10">
        <v>0</v>
      </c>
      <c r="CV101" s="10">
        <v>0</v>
      </c>
      <c r="CW101" s="10">
        <v>0</v>
      </c>
      <c r="CX101" s="10">
        <v>0</v>
      </c>
      <c r="CY101" s="10">
        <v>254</v>
      </c>
      <c r="CZ101" s="10">
        <v>25166.403495928993</v>
      </c>
      <c r="DA101" s="10">
        <v>9</v>
      </c>
      <c r="DB101" s="10">
        <v>1293.0496501519999</v>
      </c>
      <c r="DC101" s="10">
        <v>0</v>
      </c>
      <c r="DD101" s="10">
        <v>0</v>
      </c>
      <c r="DE101" s="10">
        <v>0</v>
      </c>
      <c r="DF101" s="10">
        <v>0</v>
      </c>
      <c r="DG101" s="10">
        <v>55932</v>
      </c>
      <c r="DH101" s="10">
        <v>385047.78426703904</v>
      </c>
      <c r="DI101" s="10">
        <v>2685</v>
      </c>
      <c r="DJ101" s="10">
        <v>17112.175569210012</v>
      </c>
      <c r="DK101" s="10">
        <v>163</v>
      </c>
      <c r="DL101" s="10">
        <v>13285.485220390006</v>
      </c>
      <c r="DM101" s="10">
        <v>12</v>
      </c>
      <c r="DN101" s="10">
        <v>1382.3025418499999</v>
      </c>
      <c r="DO101" s="10">
        <v>0</v>
      </c>
      <c r="DP101" s="10">
        <v>0</v>
      </c>
      <c r="DQ101" s="10">
        <v>0</v>
      </c>
      <c r="DR101" s="10">
        <v>0</v>
      </c>
      <c r="DS101" s="10">
        <v>936</v>
      </c>
      <c r="DT101" s="10">
        <v>119584.71282936998</v>
      </c>
      <c r="DU101" s="10">
        <v>9</v>
      </c>
      <c r="DV101" s="10">
        <v>1557.2999177899999</v>
      </c>
      <c r="DW101" s="10">
        <v>4578</v>
      </c>
      <c r="DX101" s="10">
        <v>36082.620811369998</v>
      </c>
      <c r="DY101" s="10">
        <v>233</v>
      </c>
      <c r="DZ101" s="10">
        <v>2106.6000319200002</v>
      </c>
      <c r="EA101" s="10">
        <v>0</v>
      </c>
      <c r="EB101" s="10">
        <v>0</v>
      </c>
      <c r="EC101" s="10">
        <v>0</v>
      </c>
      <c r="ED101" s="10">
        <v>0</v>
      </c>
      <c r="EE101" s="10">
        <v>0</v>
      </c>
      <c r="EF101" s="10">
        <v>0</v>
      </c>
      <c r="EG101" s="10">
        <v>0</v>
      </c>
      <c r="EH101" s="10">
        <v>0</v>
      </c>
      <c r="EI101" s="10">
        <v>0</v>
      </c>
      <c r="EJ101" s="10">
        <v>0</v>
      </c>
      <c r="EK101" s="10">
        <v>0</v>
      </c>
      <c r="EL101" s="10">
        <v>0</v>
      </c>
      <c r="EM101" s="10">
        <v>0</v>
      </c>
      <c r="EN101" s="10">
        <v>0</v>
      </c>
      <c r="EO101" s="10">
        <v>0</v>
      </c>
      <c r="EP101" s="10">
        <v>0</v>
      </c>
      <c r="EQ101" s="10">
        <v>0</v>
      </c>
      <c r="ER101" s="10">
        <v>0</v>
      </c>
      <c r="ES101" s="10">
        <v>0</v>
      </c>
      <c r="ET101" s="10">
        <v>0</v>
      </c>
      <c r="EU101" s="10">
        <v>0</v>
      </c>
      <c r="EV101" s="10">
        <v>0</v>
      </c>
      <c r="EW101" s="10">
        <v>0</v>
      </c>
      <c r="EX101" s="10">
        <v>0</v>
      </c>
      <c r="EY101" s="10">
        <v>0</v>
      </c>
      <c r="EZ101" s="10">
        <v>0</v>
      </c>
      <c r="FA101" s="10">
        <v>0</v>
      </c>
      <c r="FB101" s="10">
        <v>0</v>
      </c>
      <c r="FC101" s="10">
        <v>0</v>
      </c>
      <c r="FD101" s="10">
        <v>0</v>
      </c>
      <c r="FE101" s="10">
        <v>0</v>
      </c>
      <c r="FF101" s="10">
        <v>0</v>
      </c>
      <c r="FG101" s="10">
        <v>0</v>
      </c>
      <c r="FH101" s="10">
        <v>0</v>
      </c>
      <c r="FI101" s="10">
        <v>0</v>
      </c>
      <c r="FJ101" s="10">
        <v>0</v>
      </c>
      <c r="FK101" s="10">
        <v>0</v>
      </c>
      <c r="FL101" s="10">
        <v>0</v>
      </c>
      <c r="FM101" s="10">
        <v>0</v>
      </c>
      <c r="FN101" s="10">
        <v>0</v>
      </c>
      <c r="FO101" s="10">
        <v>0</v>
      </c>
      <c r="FP101" s="10">
        <v>0</v>
      </c>
      <c r="FQ101" s="10">
        <v>0</v>
      </c>
      <c r="FR101" s="10">
        <v>0</v>
      </c>
      <c r="FS101" s="10">
        <v>0</v>
      </c>
      <c r="FT101" s="10">
        <v>0</v>
      </c>
      <c r="FU101" s="10">
        <v>0</v>
      </c>
      <c r="FV101" s="10">
        <v>0</v>
      </c>
      <c r="FW101" s="18">
        <f t="shared" si="24"/>
        <v>0</v>
      </c>
      <c r="FX101" s="18">
        <f t="shared" si="18"/>
        <v>0</v>
      </c>
      <c r="FY101" s="18">
        <f t="shared" si="19"/>
        <v>0</v>
      </c>
      <c r="FZ101" s="18">
        <f t="shared" si="20"/>
        <v>0</v>
      </c>
      <c r="GA101" s="18">
        <f t="shared" si="25"/>
        <v>0</v>
      </c>
      <c r="GB101" s="18">
        <f t="shared" si="21"/>
        <v>-1.5570549294352531E-9</v>
      </c>
      <c r="GC101" s="18">
        <f t="shared" si="22"/>
        <v>0</v>
      </c>
      <c r="GD101" s="18">
        <f t="shared" si="23"/>
        <v>-1.7280399333685637E-11</v>
      </c>
    </row>
    <row r="102" spans="1:186" s="11" customFormat="1" ht="27" customHeight="1" x14ac:dyDescent="0.25">
      <c r="A102" s="66" t="s">
        <v>44</v>
      </c>
      <c r="B102" s="1">
        <f t="shared" si="26"/>
        <v>95</v>
      </c>
      <c r="C102" s="20" t="s">
        <v>2184</v>
      </c>
      <c r="D102" s="20" t="s">
        <v>2184</v>
      </c>
      <c r="E102" s="65" t="s">
        <v>43</v>
      </c>
      <c r="F102" s="19" t="s">
        <v>2047</v>
      </c>
      <c r="G102" s="9">
        <v>1406</v>
      </c>
      <c r="H102" s="9">
        <v>196161.64359571016</v>
      </c>
      <c r="I102" s="9">
        <v>106</v>
      </c>
      <c r="J102" s="9">
        <v>15821.518093770001</v>
      </c>
      <c r="K102" s="9">
        <v>0</v>
      </c>
      <c r="L102" s="9">
        <v>0</v>
      </c>
      <c r="M102" s="9">
        <v>0</v>
      </c>
      <c r="N102" s="9">
        <v>0</v>
      </c>
      <c r="O102" s="9">
        <v>570</v>
      </c>
      <c r="P102" s="9">
        <v>80765.924135169902</v>
      </c>
      <c r="Q102" s="9">
        <v>30</v>
      </c>
      <c r="R102" s="9">
        <v>4023.4527366999987</v>
      </c>
      <c r="S102" s="9">
        <v>836</v>
      </c>
      <c r="T102" s="9">
        <v>115395.71946054006</v>
      </c>
      <c r="U102" s="9">
        <v>76</v>
      </c>
      <c r="V102" s="9">
        <v>11798.06535707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>
        <v>0</v>
      </c>
      <c r="CH102" s="10">
        <v>0</v>
      </c>
      <c r="CI102" s="10">
        <v>0</v>
      </c>
      <c r="CJ102" s="10">
        <v>0</v>
      </c>
      <c r="CK102" s="10">
        <v>0</v>
      </c>
      <c r="CL102" s="10">
        <v>0</v>
      </c>
      <c r="CM102" s="10">
        <v>0</v>
      </c>
      <c r="CN102" s="10">
        <v>0</v>
      </c>
      <c r="CO102" s="10">
        <v>0</v>
      </c>
      <c r="CP102" s="10">
        <v>0</v>
      </c>
      <c r="CQ102" s="10">
        <v>0</v>
      </c>
      <c r="CR102" s="10">
        <v>0</v>
      </c>
      <c r="CS102" s="10">
        <v>0</v>
      </c>
      <c r="CT102" s="10">
        <v>0</v>
      </c>
      <c r="CU102" s="10">
        <v>0</v>
      </c>
      <c r="CV102" s="10">
        <v>0</v>
      </c>
      <c r="CW102" s="10">
        <v>0</v>
      </c>
      <c r="CX102" s="10">
        <v>0</v>
      </c>
      <c r="CY102" s="10">
        <v>570</v>
      </c>
      <c r="CZ102" s="10">
        <v>80765.924135169902</v>
      </c>
      <c r="DA102" s="10">
        <v>30</v>
      </c>
      <c r="DB102" s="10">
        <v>4023.4527366999987</v>
      </c>
      <c r="DC102" s="10">
        <v>0</v>
      </c>
      <c r="DD102" s="10">
        <v>0</v>
      </c>
      <c r="DE102" s="10">
        <v>0</v>
      </c>
      <c r="DF102" s="10">
        <v>0</v>
      </c>
      <c r="DG102" s="10">
        <v>836</v>
      </c>
      <c r="DH102" s="10">
        <v>115395.71946054006</v>
      </c>
      <c r="DI102" s="10">
        <v>76</v>
      </c>
      <c r="DJ102" s="10">
        <v>11798.06535707</v>
      </c>
      <c r="DK102" s="10">
        <v>0</v>
      </c>
      <c r="DL102" s="10">
        <v>0</v>
      </c>
      <c r="DM102" s="10">
        <v>0</v>
      </c>
      <c r="DN102" s="10">
        <v>0</v>
      </c>
      <c r="DO102" s="10">
        <v>0</v>
      </c>
      <c r="DP102" s="10">
        <v>0</v>
      </c>
      <c r="DQ102" s="10">
        <v>0</v>
      </c>
      <c r="DR102" s="10">
        <v>0</v>
      </c>
      <c r="DS102" s="10">
        <v>0</v>
      </c>
      <c r="DT102" s="10">
        <v>0</v>
      </c>
      <c r="DU102" s="10">
        <v>0</v>
      </c>
      <c r="DV102" s="10">
        <v>0</v>
      </c>
      <c r="DW102" s="10">
        <v>0</v>
      </c>
      <c r="DX102" s="10">
        <v>0</v>
      </c>
      <c r="DY102" s="10">
        <v>0</v>
      </c>
      <c r="DZ102" s="10">
        <v>0</v>
      </c>
      <c r="EA102" s="10">
        <v>0</v>
      </c>
      <c r="EB102" s="10">
        <v>0</v>
      </c>
      <c r="EC102" s="10">
        <v>0</v>
      </c>
      <c r="ED102" s="10">
        <v>0</v>
      </c>
      <c r="EE102" s="10">
        <v>0</v>
      </c>
      <c r="EF102" s="10">
        <v>0</v>
      </c>
      <c r="EG102" s="10">
        <v>0</v>
      </c>
      <c r="EH102" s="10">
        <v>0</v>
      </c>
      <c r="EI102" s="10">
        <v>0</v>
      </c>
      <c r="EJ102" s="10">
        <v>0</v>
      </c>
      <c r="EK102" s="10">
        <v>0</v>
      </c>
      <c r="EL102" s="10">
        <v>0</v>
      </c>
      <c r="EM102" s="10">
        <v>0</v>
      </c>
      <c r="EN102" s="10">
        <v>0</v>
      </c>
      <c r="EO102" s="10">
        <v>0</v>
      </c>
      <c r="EP102" s="10">
        <v>0</v>
      </c>
      <c r="EQ102" s="10">
        <v>0</v>
      </c>
      <c r="ER102" s="10">
        <v>0</v>
      </c>
      <c r="ES102" s="10">
        <v>0</v>
      </c>
      <c r="ET102" s="10">
        <v>0</v>
      </c>
      <c r="EU102" s="10">
        <v>0</v>
      </c>
      <c r="EV102" s="10">
        <v>0</v>
      </c>
      <c r="EW102" s="10">
        <v>0</v>
      </c>
      <c r="EX102" s="10">
        <v>0</v>
      </c>
      <c r="EY102" s="10">
        <v>0</v>
      </c>
      <c r="EZ102" s="10">
        <v>0</v>
      </c>
      <c r="FA102" s="10">
        <v>0</v>
      </c>
      <c r="FB102" s="10">
        <v>0</v>
      </c>
      <c r="FC102" s="10">
        <v>0</v>
      </c>
      <c r="FD102" s="10">
        <v>0</v>
      </c>
      <c r="FE102" s="10">
        <v>0</v>
      </c>
      <c r="FF102" s="10">
        <v>0</v>
      </c>
      <c r="FG102" s="10">
        <v>0</v>
      </c>
      <c r="FH102" s="10">
        <v>0</v>
      </c>
      <c r="FI102" s="10">
        <v>0</v>
      </c>
      <c r="FJ102" s="10">
        <v>0</v>
      </c>
      <c r="FK102" s="10">
        <v>0</v>
      </c>
      <c r="FL102" s="10">
        <v>0</v>
      </c>
      <c r="FM102" s="10">
        <v>0</v>
      </c>
      <c r="FN102" s="10">
        <v>0</v>
      </c>
      <c r="FO102" s="10">
        <v>0</v>
      </c>
      <c r="FP102" s="10">
        <v>0</v>
      </c>
      <c r="FQ102" s="10">
        <v>0</v>
      </c>
      <c r="FR102" s="10">
        <v>0</v>
      </c>
      <c r="FS102" s="10">
        <v>0</v>
      </c>
      <c r="FT102" s="10">
        <v>0</v>
      </c>
      <c r="FU102" s="10">
        <v>0</v>
      </c>
      <c r="FV102" s="10">
        <v>0</v>
      </c>
      <c r="FW102" s="18">
        <f t="shared" si="24"/>
        <v>0</v>
      </c>
      <c r="FX102" s="18">
        <f t="shared" si="18"/>
        <v>2.0372681319713593E-10</v>
      </c>
      <c r="FY102" s="18">
        <f t="shared" si="19"/>
        <v>0</v>
      </c>
      <c r="FZ102" s="18">
        <f t="shared" si="20"/>
        <v>0</v>
      </c>
      <c r="GA102" s="18">
        <f t="shared" si="25"/>
        <v>0</v>
      </c>
      <c r="GB102" s="18">
        <f t="shared" si="21"/>
        <v>2.0372681319713593E-10</v>
      </c>
      <c r="GC102" s="18">
        <f t="shared" si="22"/>
        <v>0</v>
      </c>
      <c r="GD102" s="18">
        <f t="shared" si="23"/>
        <v>1.8189894035458565E-12</v>
      </c>
    </row>
    <row r="103" spans="1:186" x14ac:dyDescent="0.25"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</row>
  </sheetData>
  <mergeCells count="136">
    <mergeCell ref="DC3:FV3"/>
    <mergeCell ref="W3:DB3"/>
    <mergeCell ref="FO5:FP5"/>
    <mergeCell ref="FQ5:FR5"/>
    <mergeCell ref="FE5:FF5"/>
    <mergeCell ref="FG5:FH5"/>
    <mergeCell ref="FI5:FJ5"/>
    <mergeCell ref="FK5:FL5"/>
    <mergeCell ref="FM5:FN5"/>
    <mergeCell ref="EY5:EZ5"/>
    <mergeCell ref="FA5:FB5"/>
    <mergeCell ref="FC5:FD5"/>
    <mergeCell ref="DW4:DZ4"/>
    <mergeCell ref="FO4:FR4"/>
    <mergeCell ref="EY4:FB4"/>
    <mergeCell ref="FC4:FF4"/>
    <mergeCell ref="FG4:FJ4"/>
    <mergeCell ref="FK4:FN4"/>
    <mergeCell ref="EO5:EP5"/>
    <mergeCell ref="EQ5:ER5"/>
    <mergeCell ref="ES5:ET5"/>
    <mergeCell ref="EU5:EV5"/>
    <mergeCell ref="EW5:EX5"/>
    <mergeCell ref="EU4:EX4"/>
    <mergeCell ref="EE5:EF5"/>
    <mergeCell ref="EG5:EH5"/>
    <mergeCell ref="EI5:EJ5"/>
    <mergeCell ref="EK5:EL5"/>
    <mergeCell ref="EM5:EN5"/>
    <mergeCell ref="EE4:EH4"/>
    <mergeCell ref="EI4:EL4"/>
    <mergeCell ref="EM4:EP4"/>
    <mergeCell ref="EQ4:ET4"/>
    <mergeCell ref="CY4:DB4"/>
    <mergeCell ref="DG4:DJ4"/>
    <mergeCell ref="DK4:DN4"/>
    <mergeCell ref="DO4:DR4"/>
    <mergeCell ref="DS4:DV4"/>
    <mergeCell ref="EA4:ED4"/>
    <mergeCell ref="CY5:CZ5"/>
    <mergeCell ref="DA5:DB5"/>
    <mergeCell ref="DC5:DD5"/>
    <mergeCell ref="DE5:DF5"/>
    <mergeCell ref="DC4:DF4"/>
    <mergeCell ref="DQ5:DR5"/>
    <mergeCell ref="DS5:DT5"/>
    <mergeCell ref="DU5:DV5"/>
    <mergeCell ref="EA5:EB5"/>
    <mergeCell ref="EC5:ED5"/>
    <mergeCell ref="DG5:DH5"/>
    <mergeCell ref="DI5:DJ5"/>
    <mergeCell ref="DK5:DL5"/>
    <mergeCell ref="DM5:DN5"/>
    <mergeCell ref="DO5:DP5"/>
    <mergeCell ref="DW5:DX5"/>
    <mergeCell ref="DY5:DZ5"/>
    <mergeCell ref="CU4:CX4"/>
    <mergeCell ref="CU5:CV5"/>
    <mergeCell ref="CW5:CX5"/>
    <mergeCell ref="CM4:CP4"/>
    <mergeCell ref="CM5:CN5"/>
    <mergeCell ref="CO5:CP5"/>
    <mergeCell ref="CQ4:CT4"/>
    <mergeCell ref="CQ5:CR5"/>
    <mergeCell ref="CS5:CT5"/>
    <mergeCell ref="CE4:CH4"/>
    <mergeCell ref="CE5:CF5"/>
    <mergeCell ref="CG5:CH5"/>
    <mergeCell ref="CI4:CL4"/>
    <mergeCell ref="CI5:CJ5"/>
    <mergeCell ref="CK5:CL5"/>
    <mergeCell ref="BW4:BZ4"/>
    <mergeCell ref="BW5:BX5"/>
    <mergeCell ref="BY5:BZ5"/>
    <mergeCell ref="CA4:CD4"/>
    <mergeCell ref="CA5:CB5"/>
    <mergeCell ref="CC5:CD5"/>
    <mergeCell ref="BS4:BV4"/>
    <mergeCell ref="BS5:BT5"/>
    <mergeCell ref="BU5:BV5"/>
    <mergeCell ref="BG4:BJ4"/>
    <mergeCell ref="BG5:BH5"/>
    <mergeCell ref="BI5:BJ5"/>
    <mergeCell ref="BK4:BN4"/>
    <mergeCell ref="BK5:BL5"/>
    <mergeCell ref="BM5:BN5"/>
    <mergeCell ref="BE5:BF5"/>
    <mergeCell ref="AQ4:AT4"/>
    <mergeCell ref="AQ5:AR5"/>
    <mergeCell ref="AS5:AT5"/>
    <mergeCell ref="AU4:AX4"/>
    <mergeCell ref="AU5:AV5"/>
    <mergeCell ref="AW5:AX5"/>
    <mergeCell ref="BO4:BR4"/>
    <mergeCell ref="BO5:BP5"/>
    <mergeCell ref="BQ5:BR5"/>
    <mergeCell ref="FS4:FV4"/>
    <mergeCell ref="FS5:FT5"/>
    <mergeCell ref="K5:L5"/>
    <mergeCell ref="M5:N5"/>
    <mergeCell ref="S5:T5"/>
    <mergeCell ref="Y5:Z5"/>
    <mergeCell ref="FU5:FV5"/>
    <mergeCell ref="AI4:AL4"/>
    <mergeCell ref="AI5:AJ5"/>
    <mergeCell ref="AK5:AL5"/>
    <mergeCell ref="AM4:AP4"/>
    <mergeCell ref="AM5:AN5"/>
    <mergeCell ref="AO5:AP5"/>
    <mergeCell ref="AA4:AD4"/>
    <mergeCell ref="AA5:AB5"/>
    <mergeCell ref="AC5:AD5"/>
    <mergeCell ref="AE4:AH4"/>
    <mergeCell ref="AE5:AF5"/>
    <mergeCell ref="AG5:AH5"/>
    <mergeCell ref="AY4:BB4"/>
    <mergeCell ref="AY5:AZ5"/>
    <mergeCell ref="BA5:BB5"/>
    <mergeCell ref="BC4:BF4"/>
    <mergeCell ref="BC5:BD5"/>
    <mergeCell ref="B3:B6"/>
    <mergeCell ref="E3:E6"/>
    <mergeCell ref="W5:X5"/>
    <mergeCell ref="U5:V5"/>
    <mergeCell ref="S3:V4"/>
    <mergeCell ref="K3:N4"/>
    <mergeCell ref="C3:C6"/>
    <mergeCell ref="F3:F6"/>
    <mergeCell ref="O3:R4"/>
    <mergeCell ref="O5:P5"/>
    <mergeCell ref="Q5:R5"/>
    <mergeCell ref="W4:Z4"/>
    <mergeCell ref="G3:J4"/>
    <mergeCell ref="G5:H5"/>
    <mergeCell ref="I5:J5"/>
    <mergeCell ref="D3:D6"/>
  </mergeCells>
  <conditionalFormatting sqref="W8:FV102">
    <cfRule type="cellIs" dxfId="2" priority="3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10" fitToHeight="10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D5E9-C63C-41AE-AEF7-D194E095FD25}">
  <sheetPr>
    <tabColor rgb="FFFF0000"/>
    <pageSetUpPr fitToPage="1"/>
  </sheetPr>
  <dimension ref="A1:AM102"/>
  <sheetViews>
    <sheetView showZeros="0" view="pageBreakPreview" zoomScale="85" zoomScaleNormal="85" zoomScaleSheetLayoutView="85" workbookViewId="0">
      <pane xSplit="5" ySplit="6" topLeftCell="F7" activePane="bottomRight" state="frozen"/>
      <selection pane="topRight" activeCell="D1" sqref="D1"/>
      <selection pane="bottomLeft" activeCell="A8" sqref="A8"/>
      <selection pane="bottomRight" activeCell="F7" sqref="F7"/>
    </sheetView>
  </sheetViews>
  <sheetFormatPr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8" width="16.7109375" style="7" customWidth="1"/>
    <col min="9" max="11" width="14.7109375" style="7" customWidth="1"/>
    <col min="12" max="23" width="12.7109375" style="7" customWidth="1"/>
    <col min="24" max="24" width="14" style="7" customWidth="1"/>
    <col min="25" max="29" width="15.85546875" style="7" customWidth="1"/>
    <col min="30" max="31" width="12.7109375" style="7" customWidth="1"/>
    <col min="32" max="36" width="8.140625" style="7" customWidth="1"/>
    <col min="37" max="38" width="9.85546875" style="7" customWidth="1"/>
    <col min="39" max="39" width="11.7109375" style="7" customWidth="1"/>
    <col min="40" max="16384" width="9.140625" style="7"/>
  </cols>
  <sheetData>
    <row r="1" spans="1:39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9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7" t="s">
        <v>2187</v>
      </c>
    </row>
    <row r="3" spans="1:39" ht="26.25" customHeight="1" x14ac:dyDescent="0.25">
      <c r="B3" s="79" t="s">
        <v>0</v>
      </c>
      <c r="C3" s="80" t="s">
        <v>2188</v>
      </c>
      <c r="D3" s="80" t="s">
        <v>2009</v>
      </c>
      <c r="E3" s="80" t="s">
        <v>2010</v>
      </c>
      <c r="F3" s="80" t="s">
        <v>2011</v>
      </c>
      <c r="G3" s="79" t="s">
        <v>2231</v>
      </c>
      <c r="H3" s="79" t="s">
        <v>2232</v>
      </c>
      <c r="I3" s="79" t="s">
        <v>2233</v>
      </c>
      <c r="J3" s="79" t="s">
        <v>2234</v>
      </c>
      <c r="K3" s="79"/>
      <c r="L3" s="79" t="s">
        <v>2235</v>
      </c>
      <c r="M3" s="79"/>
      <c r="N3" s="79" t="s">
        <v>2234</v>
      </c>
      <c r="O3" s="79"/>
      <c r="P3" s="79"/>
      <c r="Q3" s="79"/>
      <c r="R3" s="79" t="s">
        <v>2236</v>
      </c>
      <c r="S3" s="79"/>
      <c r="T3" s="79" t="s">
        <v>2234</v>
      </c>
      <c r="U3" s="79"/>
      <c r="V3" s="79"/>
      <c r="W3" s="79"/>
      <c r="X3" s="79" t="s">
        <v>2237</v>
      </c>
      <c r="Y3" s="79" t="s">
        <v>2238</v>
      </c>
      <c r="Z3" s="79" t="s">
        <v>2234</v>
      </c>
      <c r="AA3" s="79"/>
      <c r="AB3" s="84" t="s">
        <v>2239</v>
      </c>
      <c r="AC3" s="85"/>
      <c r="AD3" s="84" t="s">
        <v>2240</v>
      </c>
      <c r="AE3" s="85"/>
    </row>
    <row r="4" spans="1:39" ht="65.25" customHeight="1" x14ac:dyDescent="0.25">
      <c r="B4" s="79"/>
      <c r="C4" s="80"/>
      <c r="D4" s="80"/>
      <c r="E4" s="80"/>
      <c r="F4" s="80"/>
      <c r="G4" s="79"/>
      <c r="H4" s="79"/>
      <c r="I4" s="79"/>
      <c r="J4" s="2" t="s">
        <v>2241</v>
      </c>
      <c r="K4" s="2" t="s">
        <v>2242</v>
      </c>
      <c r="L4" s="79"/>
      <c r="M4" s="79"/>
      <c r="N4" s="79" t="s">
        <v>2243</v>
      </c>
      <c r="O4" s="79"/>
      <c r="P4" s="79" t="s">
        <v>2244</v>
      </c>
      <c r="Q4" s="79"/>
      <c r="R4" s="79"/>
      <c r="S4" s="79"/>
      <c r="T4" s="79" t="s">
        <v>2245</v>
      </c>
      <c r="U4" s="79"/>
      <c r="V4" s="79" t="s">
        <v>2246</v>
      </c>
      <c r="W4" s="79"/>
      <c r="X4" s="79"/>
      <c r="Y4" s="79"/>
      <c r="Z4" s="2" t="s">
        <v>2247</v>
      </c>
      <c r="AA4" s="2" t="s">
        <v>2248</v>
      </c>
      <c r="AB4" s="86"/>
      <c r="AC4" s="87"/>
      <c r="AD4" s="86"/>
      <c r="AE4" s="87"/>
    </row>
    <row r="5" spans="1:39" ht="27" customHeight="1" x14ac:dyDescent="0.25">
      <c r="B5" s="79"/>
      <c r="C5" s="80"/>
      <c r="D5" s="80"/>
      <c r="E5" s="80"/>
      <c r="F5" s="80"/>
      <c r="G5" s="2" t="s">
        <v>2191</v>
      </c>
      <c r="H5" s="2" t="s">
        <v>2191</v>
      </c>
      <c r="I5" s="2" t="s">
        <v>2191</v>
      </c>
      <c r="J5" s="2" t="s">
        <v>2191</v>
      </c>
      <c r="K5" s="2" t="s">
        <v>2191</v>
      </c>
      <c r="L5" s="2" t="s">
        <v>2029</v>
      </c>
      <c r="M5" s="2" t="s">
        <v>2191</v>
      </c>
      <c r="N5" s="2" t="s">
        <v>2029</v>
      </c>
      <c r="O5" s="2" t="s">
        <v>2191</v>
      </c>
      <c r="P5" s="2" t="s">
        <v>2029</v>
      </c>
      <c r="Q5" s="2" t="s">
        <v>2191</v>
      </c>
      <c r="R5" s="2" t="s">
        <v>2029</v>
      </c>
      <c r="S5" s="2" t="s">
        <v>2191</v>
      </c>
      <c r="T5" s="2" t="s">
        <v>2029</v>
      </c>
      <c r="U5" s="2" t="s">
        <v>2191</v>
      </c>
      <c r="V5" s="2" t="s">
        <v>2029</v>
      </c>
      <c r="W5" s="2" t="s">
        <v>2191</v>
      </c>
      <c r="X5" s="2" t="s">
        <v>2029</v>
      </c>
      <c r="Y5" s="2" t="s">
        <v>2191</v>
      </c>
      <c r="Z5" s="2" t="s">
        <v>2191</v>
      </c>
      <c r="AA5" s="2" t="s">
        <v>2191</v>
      </c>
      <c r="AB5" s="2" t="s">
        <v>2029</v>
      </c>
      <c r="AC5" s="2" t="s">
        <v>2191</v>
      </c>
      <c r="AD5" s="2" t="s">
        <v>2029</v>
      </c>
      <c r="AE5" s="2" t="s">
        <v>2191</v>
      </c>
    </row>
    <row r="6" spans="1:39" ht="27" customHeight="1" x14ac:dyDescent="0.25">
      <c r="B6" s="2"/>
      <c r="C6" s="2"/>
      <c r="D6" s="3" t="s">
        <v>2025</v>
      </c>
      <c r="E6" s="3"/>
      <c r="F6" s="3"/>
      <c r="G6" s="6">
        <f>+SUM(G7:G101)</f>
        <v>6036535.4177444</v>
      </c>
      <c r="H6" s="6">
        <f>+SUM(H7:H101)</f>
        <v>4227669.6946137575</v>
      </c>
      <c r="I6" s="6">
        <f>+SUM(I7:I101)</f>
        <v>1537382.4716583823</v>
      </c>
      <c r="J6" s="6">
        <f>+SUM(J7:J101)</f>
        <v>1196764.9392946181</v>
      </c>
      <c r="K6" s="6">
        <f t="shared" ref="K6" si="0">+SUM(K7:K101)</f>
        <v>340617.53236376389</v>
      </c>
      <c r="L6" s="6">
        <f>+SUM(L7:L101)</f>
        <v>22647</v>
      </c>
      <c r="M6" s="6">
        <f t="shared" ref="M6" si="1">+SUM(M7:M101)</f>
        <v>1494252.8369128187</v>
      </c>
      <c r="N6" s="6">
        <f>+SUM(N7:N101)</f>
        <v>21920</v>
      </c>
      <c r="O6" s="6">
        <f t="shared" ref="O6" si="2">+SUM(O7:O101)</f>
        <v>1469646.9739805292</v>
      </c>
      <c r="P6" s="6">
        <f t="shared" ref="P6:Q6" si="3">+SUM(P7:P101)</f>
        <v>727</v>
      </c>
      <c r="Q6" s="6">
        <f t="shared" si="3"/>
        <v>24605.862932290005</v>
      </c>
      <c r="R6" s="6">
        <f>+SUM(R7:R101)</f>
        <v>5618</v>
      </c>
      <c r="S6" s="6">
        <f t="shared" ref="S6" si="4">+SUM(S7:S101)</f>
        <v>2558156.1964107244</v>
      </c>
      <c r="T6" s="6">
        <f t="shared" ref="T6:U6" si="5">+SUM(T7:T101)</f>
        <v>346</v>
      </c>
      <c r="U6" s="6">
        <f t="shared" si="5"/>
        <v>480918.41321698012</v>
      </c>
      <c r="V6" s="6">
        <f t="shared" ref="V6:W6" si="6">+SUM(V7:V101)</f>
        <v>113</v>
      </c>
      <c r="W6" s="6">
        <f t="shared" si="6"/>
        <v>805549.51208574011</v>
      </c>
      <c r="X6" s="6">
        <f>+SUM(X7:X101)</f>
        <v>2558</v>
      </c>
      <c r="Y6" s="6">
        <f>+SUM(Y7:Y101)</f>
        <v>151837321.56683379</v>
      </c>
      <c r="Z6" s="6">
        <f t="shared" ref="Z6:AA6" si="7">+SUM(Z7:Z101)</f>
        <v>38118081.894071706</v>
      </c>
      <c r="AA6" s="6">
        <f t="shared" si="7"/>
        <v>113719239.67276207</v>
      </c>
      <c r="AB6" s="6">
        <f>+SUM(AB7:AB101)</f>
        <v>21325</v>
      </c>
      <c r="AC6" s="6">
        <f>+SUM(AC7:AC101)</f>
        <v>252770.56652897451</v>
      </c>
      <c r="AD6" s="6">
        <f>+SUM(AD7:AD101)</f>
        <v>18789</v>
      </c>
      <c r="AE6" s="6">
        <f>+SUM(AE7:AE101)</f>
        <v>690579.59584850678</v>
      </c>
      <c r="AF6" s="18"/>
      <c r="AG6" s="18"/>
      <c r="AH6" s="18"/>
      <c r="AI6" s="18"/>
      <c r="AJ6" s="18"/>
      <c r="AK6" s="18"/>
      <c r="AL6" s="18"/>
      <c r="AM6" s="18"/>
    </row>
    <row r="7" spans="1:39" s="11" customFormat="1" ht="27" customHeight="1" x14ac:dyDescent="0.25">
      <c r="A7" s="66" t="s">
        <v>26</v>
      </c>
      <c r="B7" s="1">
        <v>1</v>
      </c>
      <c r="C7" s="20" t="s">
        <v>2033</v>
      </c>
      <c r="D7" s="20" t="s">
        <v>2044</v>
      </c>
      <c r="E7" s="65">
        <v>10014</v>
      </c>
      <c r="F7" s="19" t="s">
        <v>2045</v>
      </c>
      <c r="G7" s="9">
        <v>27910.937337539999</v>
      </c>
      <c r="H7" s="9">
        <v>25283.418917129999</v>
      </c>
      <c r="I7" s="9">
        <v>8884.1484519000023</v>
      </c>
      <c r="J7" s="9">
        <v>7043.0890911000024</v>
      </c>
      <c r="K7" s="9">
        <v>1841.0593607999999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104</v>
      </c>
      <c r="S7" s="9">
        <v>7471.9881173599979</v>
      </c>
      <c r="T7" s="9">
        <v>9</v>
      </c>
      <c r="U7" s="9">
        <v>444.87466947000001</v>
      </c>
      <c r="V7" s="9">
        <v>0</v>
      </c>
      <c r="W7" s="9">
        <v>0</v>
      </c>
      <c r="X7" s="9">
        <v>9</v>
      </c>
      <c r="Y7" s="9">
        <v>222652.78221581</v>
      </c>
      <c r="Z7" s="9">
        <v>188689.68304733001</v>
      </c>
      <c r="AA7" s="9">
        <v>33963.099168480003</v>
      </c>
      <c r="AB7" s="9">
        <v>13</v>
      </c>
      <c r="AC7" s="9">
        <v>2.8000002552289516E-8</v>
      </c>
      <c r="AD7" s="9">
        <v>60</v>
      </c>
      <c r="AE7" s="9">
        <v>4749.3801787000002</v>
      </c>
      <c r="AF7" s="18"/>
      <c r="AG7" s="18"/>
      <c r="AH7" s="18"/>
      <c r="AI7" s="18"/>
      <c r="AJ7" s="18"/>
      <c r="AK7" s="18"/>
      <c r="AL7" s="18"/>
      <c r="AM7" s="18"/>
    </row>
    <row r="8" spans="1:39" s="11" customFormat="1" ht="27" customHeight="1" x14ac:dyDescent="0.25">
      <c r="A8" s="66" t="s">
        <v>26</v>
      </c>
      <c r="B8" s="1">
        <f t="shared" ref="B8:B71" si="8">+B7+1</f>
        <v>2</v>
      </c>
      <c r="C8" s="20" t="s">
        <v>2033</v>
      </c>
      <c r="D8" s="20" t="s">
        <v>2046</v>
      </c>
      <c r="E8" s="65">
        <v>11141</v>
      </c>
      <c r="F8" s="19" t="s">
        <v>2047</v>
      </c>
      <c r="G8" s="9">
        <v>40080.613576960001</v>
      </c>
      <c r="H8" s="9">
        <v>32070.816152520001</v>
      </c>
      <c r="I8" s="9">
        <v>6265.6484523100016</v>
      </c>
      <c r="J8" s="9">
        <v>4768.7059346800015</v>
      </c>
      <c r="K8" s="9">
        <v>1496.9425176300001</v>
      </c>
      <c r="L8" s="9">
        <v>5</v>
      </c>
      <c r="M8" s="9">
        <v>6544.1163412199994</v>
      </c>
      <c r="N8" s="9">
        <v>5</v>
      </c>
      <c r="O8" s="9">
        <v>6544.1163412199994</v>
      </c>
      <c r="P8" s="9">
        <v>0</v>
      </c>
      <c r="Q8" s="9">
        <v>0</v>
      </c>
      <c r="R8" s="9">
        <v>26</v>
      </c>
      <c r="S8" s="9">
        <v>635.79884672999981</v>
      </c>
      <c r="T8" s="9">
        <v>1</v>
      </c>
      <c r="U8" s="9">
        <v>13.413586449999999</v>
      </c>
      <c r="V8" s="9">
        <v>0</v>
      </c>
      <c r="W8" s="9">
        <v>0</v>
      </c>
      <c r="X8" s="9">
        <v>14</v>
      </c>
      <c r="Y8" s="9">
        <v>311038.74029161991</v>
      </c>
      <c r="Z8" s="9">
        <v>230577.8395060699</v>
      </c>
      <c r="AA8" s="9">
        <v>80460.900785550009</v>
      </c>
      <c r="AB8" s="9">
        <v>31</v>
      </c>
      <c r="AC8" s="9">
        <v>7.0000045699998731E-8</v>
      </c>
      <c r="AD8" s="9">
        <v>6</v>
      </c>
      <c r="AE8" s="9">
        <v>354.96746571999989</v>
      </c>
      <c r="AF8" s="18"/>
      <c r="AG8" s="18"/>
      <c r="AH8" s="18"/>
      <c r="AI8" s="18"/>
      <c r="AJ8" s="18"/>
      <c r="AK8" s="18"/>
      <c r="AL8" s="18"/>
      <c r="AM8" s="18"/>
    </row>
    <row r="9" spans="1:39" s="11" customFormat="1" ht="27" customHeight="1" x14ac:dyDescent="0.25">
      <c r="A9" s="66" t="s">
        <v>26</v>
      </c>
      <c r="B9" s="1">
        <f t="shared" si="8"/>
        <v>3</v>
      </c>
      <c r="C9" s="20" t="s">
        <v>2033</v>
      </c>
      <c r="D9" s="20" t="s">
        <v>2048</v>
      </c>
      <c r="E9" s="65">
        <v>11142</v>
      </c>
      <c r="F9" s="19" t="s">
        <v>2049</v>
      </c>
      <c r="G9" s="9">
        <v>28187.351155939999</v>
      </c>
      <c r="H9" s="9">
        <v>25068.805759529998</v>
      </c>
      <c r="I9" s="9">
        <v>2144.0765926599988</v>
      </c>
      <c r="J9" s="9">
        <v>1895.7869082299987</v>
      </c>
      <c r="K9" s="9">
        <v>248.28968443000019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6</v>
      </c>
      <c r="S9" s="9">
        <v>535.74070023000002</v>
      </c>
      <c r="T9" s="9">
        <v>0</v>
      </c>
      <c r="U9" s="9">
        <v>0</v>
      </c>
      <c r="V9" s="9">
        <v>0</v>
      </c>
      <c r="W9" s="9">
        <v>0</v>
      </c>
      <c r="X9" s="9">
        <v>16</v>
      </c>
      <c r="Y9" s="9">
        <v>215795.44192504001</v>
      </c>
      <c r="Z9" s="9">
        <v>116007.79461825</v>
      </c>
      <c r="AA9" s="9">
        <v>99787.647306790008</v>
      </c>
      <c r="AB9" s="9">
        <v>27</v>
      </c>
      <c r="AC9" s="9">
        <v>7.1499986108392477E-8</v>
      </c>
      <c r="AD9" s="9">
        <v>90</v>
      </c>
      <c r="AE9" s="9">
        <v>2761.0071862900013</v>
      </c>
      <c r="AF9" s="18"/>
      <c r="AG9" s="18"/>
      <c r="AH9" s="18"/>
      <c r="AI9" s="18"/>
      <c r="AJ9" s="18"/>
      <c r="AK9" s="18"/>
      <c r="AL9" s="18"/>
      <c r="AM9" s="18"/>
    </row>
    <row r="10" spans="1:39" s="11" customFormat="1" ht="27" customHeight="1" x14ac:dyDescent="0.25">
      <c r="A10" s="66" t="s">
        <v>26</v>
      </c>
      <c r="B10" s="1">
        <f t="shared" si="8"/>
        <v>4</v>
      </c>
      <c r="C10" s="20" t="s">
        <v>2033</v>
      </c>
      <c r="D10" s="20" t="s">
        <v>2042</v>
      </c>
      <c r="E10" s="65">
        <v>11183</v>
      </c>
      <c r="F10" s="19" t="s">
        <v>2043</v>
      </c>
      <c r="G10" s="9">
        <v>32174.716668600002</v>
      </c>
      <c r="H10" s="9">
        <v>25510.582416910001</v>
      </c>
      <c r="I10" s="9">
        <v>13741.261679049985</v>
      </c>
      <c r="J10" s="9">
        <v>9892.6239123999858</v>
      </c>
      <c r="K10" s="9">
        <v>3848.6377666499993</v>
      </c>
      <c r="L10" s="9">
        <v>25</v>
      </c>
      <c r="M10" s="9">
        <v>7417.1900621999994</v>
      </c>
      <c r="N10" s="9">
        <v>23</v>
      </c>
      <c r="O10" s="9">
        <v>7360.08560777</v>
      </c>
      <c r="P10" s="9">
        <v>2</v>
      </c>
      <c r="Q10" s="9">
        <v>57.104454429999997</v>
      </c>
      <c r="R10" s="9">
        <v>27</v>
      </c>
      <c r="S10" s="9">
        <v>4362.6023406799995</v>
      </c>
      <c r="T10" s="9">
        <v>17</v>
      </c>
      <c r="U10" s="9">
        <v>120.29684617999999</v>
      </c>
      <c r="V10" s="9">
        <v>0</v>
      </c>
      <c r="W10" s="9">
        <v>0</v>
      </c>
      <c r="X10" s="9">
        <v>21</v>
      </c>
      <c r="Y10" s="9">
        <v>258732.53429683001</v>
      </c>
      <c r="Z10" s="9">
        <v>188980.545614</v>
      </c>
      <c r="AA10" s="9">
        <v>69751.988682830008</v>
      </c>
      <c r="AB10" s="9">
        <v>28</v>
      </c>
      <c r="AC10" s="9">
        <v>7.0000006722693791E-8</v>
      </c>
      <c r="AD10" s="9">
        <v>121</v>
      </c>
      <c r="AE10" s="9">
        <v>8786.0483166399936</v>
      </c>
      <c r="AF10" s="18"/>
      <c r="AG10" s="18"/>
      <c r="AH10" s="18"/>
      <c r="AI10" s="18"/>
      <c r="AJ10" s="18"/>
      <c r="AK10" s="18"/>
      <c r="AL10" s="18"/>
      <c r="AM10" s="18"/>
    </row>
    <row r="11" spans="1:39" s="11" customFormat="1" ht="27" customHeight="1" x14ac:dyDescent="0.25">
      <c r="A11" s="66" t="s">
        <v>26</v>
      </c>
      <c r="B11" s="1">
        <f t="shared" si="8"/>
        <v>5</v>
      </c>
      <c r="C11" s="20" t="s">
        <v>2033</v>
      </c>
      <c r="D11" s="20" t="s">
        <v>2034</v>
      </c>
      <c r="E11" s="65">
        <v>11253</v>
      </c>
      <c r="F11" s="19" t="s">
        <v>2035</v>
      </c>
      <c r="G11" s="9">
        <v>239018.88761174999</v>
      </c>
      <c r="H11" s="9">
        <v>165717.03267438</v>
      </c>
      <c r="I11" s="9">
        <v>137382.8131564699</v>
      </c>
      <c r="J11" s="9">
        <v>87038.999012119981</v>
      </c>
      <c r="K11" s="9">
        <v>50343.814144349919</v>
      </c>
      <c r="L11" s="9">
        <v>19</v>
      </c>
      <c r="M11" s="9">
        <v>73871.004345979993</v>
      </c>
      <c r="N11" s="9">
        <v>18</v>
      </c>
      <c r="O11" s="9">
        <v>73631.420925570012</v>
      </c>
      <c r="P11" s="9">
        <v>1</v>
      </c>
      <c r="Q11" s="9">
        <v>239.58342041</v>
      </c>
      <c r="R11" s="9">
        <v>17</v>
      </c>
      <c r="S11" s="9">
        <v>186614.89174442002</v>
      </c>
      <c r="T11" s="9">
        <v>8</v>
      </c>
      <c r="U11" s="9">
        <v>13126.184985850003</v>
      </c>
      <c r="V11" s="9">
        <v>4</v>
      </c>
      <c r="W11" s="9">
        <v>18498.459084530001</v>
      </c>
      <c r="X11" s="9">
        <v>46</v>
      </c>
      <c r="Y11" s="9">
        <v>2808699.5423335419</v>
      </c>
      <c r="Z11" s="9">
        <v>1457392.7704056669</v>
      </c>
      <c r="AA11" s="9">
        <v>1351306.771927875</v>
      </c>
      <c r="AB11" s="9">
        <v>99</v>
      </c>
      <c r="AC11" s="9">
        <v>4.7860000328844759E-5</v>
      </c>
      <c r="AD11" s="9">
        <v>140</v>
      </c>
      <c r="AE11" s="9">
        <v>15221.929638839996</v>
      </c>
      <c r="AF11" s="18"/>
      <c r="AG11" s="18"/>
      <c r="AH11" s="18"/>
      <c r="AI11" s="18"/>
      <c r="AJ11" s="18"/>
      <c r="AK11" s="18"/>
      <c r="AL11" s="18"/>
      <c r="AM11" s="18"/>
    </row>
    <row r="12" spans="1:39" s="11" customFormat="1" ht="27" customHeight="1" x14ac:dyDescent="0.25">
      <c r="A12" s="66" t="s">
        <v>26</v>
      </c>
      <c r="B12" s="1">
        <f t="shared" si="8"/>
        <v>6</v>
      </c>
      <c r="C12" s="20" t="s">
        <v>2033</v>
      </c>
      <c r="D12" s="20" t="s">
        <v>2036</v>
      </c>
      <c r="E12" s="65">
        <v>11254</v>
      </c>
      <c r="F12" s="19" t="s">
        <v>2037</v>
      </c>
      <c r="G12" s="9">
        <v>47373.682066519999</v>
      </c>
      <c r="H12" s="9">
        <v>41707.215401529997</v>
      </c>
      <c r="I12" s="9">
        <v>758.17720826000004</v>
      </c>
      <c r="J12" s="9">
        <v>718.24145671000008</v>
      </c>
      <c r="K12" s="9">
        <v>39.935751549999992</v>
      </c>
      <c r="L12" s="9">
        <v>2</v>
      </c>
      <c r="M12" s="9">
        <v>68.295147389999997</v>
      </c>
      <c r="N12" s="9">
        <v>1</v>
      </c>
      <c r="O12" s="9">
        <v>24.15514739</v>
      </c>
      <c r="P12" s="9">
        <v>1</v>
      </c>
      <c r="Q12" s="9">
        <v>44.14</v>
      </c>
      <c r="R12" s="9">
        <v>33</v>
      </c>
      <c r="S12" s="9">
        <v>3797.4980025899999</v>
      </c>
      <c r="T12" s="9">
        <v>2</v>
      </c>
      <c r="U12" s="9">
        <v>803.68300446000001</v>
      </c>
      <c r="V12" s="9">
        <v>0</v>
      </c>
      <c r="W12" s="9">
        <v>0</v>
      </c>
      <c r="X12" s="9">
        <v>27</v>
      </c>
      <c r="Y12" s="9">
        <v>499013.92277691001</v>
      </c>
      <c r="Z12" s="9">
        <v>282038.68926641002</v>
      </c>
      <c r="AA12" s="9">
        <v>216975.23351049999</v>
      </c>
      <c r="AB12" s="9">
        <v>25</v>
      </c>
      <c r="AC12" s="9">
        <v>6.3999996636994177E-8</v>
      </c>
      <c r="AD12" s="9">
        <v>15</v>
      </c>
      <c r="AE12" s="9">
        <v>270.56223850000015</v>
      </c>
      <c r="AF12" s="18"/>
      <c r="AG12" s="18"/>
      <c r="AH12" s="18"/>
      <c r="AI12" s="18"/>
      <c r="AJ12" s="18"/>
      <c r="AK12" s="18"/>
      <c r="AL12" s="18"/>
      <c r="AM12" s="18"/>
    </row>
    <row r="13" spans="1:39" s="11" customFormat="1" ht="27" customHeight="1" x14ac:dyDescent="0.25">
      <c r="A13" s="66" t="s">
        <v>26</v>
      </c>
      <c r="B13" s="1">
        <f t="shared" si="8"/>
        <v>7</v>
      </c>
      <c r="C13" s="20" t="s">
        <v>2033</v>
      </c>
      <c r="D13" s="20" t="s">
        <v>2038</v>
      </c>
      <c r="E13" s="65">
        <v>11255</v>
      </c>
      <c r="F13" s="19" t="s">
        <v>2039</v>
      </c>
      <c r="G13" s="9">
        <v>38066.655852689997</v>
      </c>
      <c r="H13" s="9">
        <v>32222.44820164</v>
      </c>
      <c r="I13" s="9">
        <v>9535.2414170699994</v>
      </c>
      <c r="J13" s="9">
        <v>8877.4476943099999</v>
      </c>
      <c r="K13" s="9">
        <v>657.79372276000004</v>
      </c>
      <c r="L13" s="9">
        <v>7</v>
      </c>
      <c r="M13" s="9">
        <v>3024.7291776699999</v>
      </c>
      <c r="N13" s="9">
        <v>6</v>
      </c>
      <c r="O13" s="9">
        <v>602.66282898999998</v>
      </c>
      <c r="P13" s="9">
        <v>1</v>
      </c>
      <c r="Q13" s="9">
        <v>2422.0663486799999</v>
      </c>
      <c r="R13" s="9">
        <v>163</v>
      </c>
      <c r="S13" s="9">
        <v>7134.4723929500014</v>
      </c>
      <c r="T13" s="9">
        <v>1</v>
      </c>
      <c r="U13" s="9">
        <v>8.9415469499999993</v>
      </c>
      <c r="V13" s="9">
        <v>0</v>
      </c>
      <c r="W13" s="9">
        <v>0</v>
      </c>
      <c r="X13" s="9">
        <v>41</v>
      </c>
      <c r="Y13" s="9">
        <v>365453.93190768</v>
      </c>
      <c r="Z13" s="9">
        <v>256773.41671567998</v>
      </c>
      <c r="AA13" s="9">
        <v>108680.51519200001</v>
      </c>
      <c r="AB13" s="9">
        <v>8</v>
      </c>
      <c r="AC13" s="9">
        <v>2.0000008400529624E-8</v>
      </c>
      <c r="AD13" s="9">
        <v>11</v>
      </c>
      <c r="AE13" s="9">
        <v>609.57978744000138</v>
      </c>
      <c r="AF13" s="18"/>
      <c r="AG13" s="18"/>
      <c r="AH13" s="18"/>
      <c r="AI13" s="18"/>
      <c r="AJ13" s="18"/>
      <c r="AK13" s="18"/>
      <c r="AL13" s="18"/>
      <c r="AM13" s="18"/>
    </row>
    <row r="14" spans="1:39" s="11" customFormat="1" ht="27" customHeight="1" x14ac:dyDescent="0.25">
      <c r="A14" s="66" t="s">
        <v>26</v>
      </c>
      <c r="B14" s="1">
        <f t="shared" si="8"/>
        <v>8</v>
      </c>
      <c r="C14" s="20" t="s">
        <v>2033</v>
      </c>
      <c r="D14" s="20" t="s">
        <v>2040</v>
      </c>
      <c r="E14" s="65">
        <v>11256</v>
      </c>
      <c r="F14" s="19" t="s">
        <v>2041</v>
      </c>
      <c r="G14" s="9">
        <v>57882.686062389999</v>
      </c>
      <c r="H14" s="9">
        <v>32919.672416139998</v>
      </c>
      <c r="I14" s="9">
        <v>1618.5004267500003</v>
      </c>
      <c r="J14" s="9">
        <v>848.88212691000069</v>
      </c>
      <c r="K14" s="9">
        <v>769.61829983999962</v>
      </c>
      <c r="L14" s="9">
        <v>3</v>
      </c>
      <c r="M14" s="9">
        <v>1452.04138397</v>
      </c>
      <c r="N14" s="9">
        <v>3</v>
      </c>
      <c r="O14" s="9">
        <v>1452.04138397</v>
      </c>
      <c r="P14" s="9">
        <v>0</v>
      </c>
      <c r="Q14" s="9">
        <v>0</v>
      </c>
      <c r="R14" s="9">
        <v>5</v>
      </c>
      <c r="S14" s="9">
        <v>182.67210768999996</v>
      </c>
      <c r="T14" s="9">
        <v>0</v>
      </c>
      <c r="U14" s="9">
        <v>0</v>
      </c>
      <c r="V14" s="9">
        <v>0</v>
      </c>
      <c r="W14" s="9">
        <v>0</v>
      </c>
      <c r="X14" s="9">
        <v>40</v>
      </c>
      <c r="Y14" s="9">
        <v>374746.70411644003</v>
      </c>
      <c r="Z14" s="9">
        <v>217317.53572575</v>
      </c>
      <c r="AA14" s="9">
        <v>157429.16839069003</v>
      </c>
      <c r="AB14" s="9">
        <v>27</v>
      </c>
      <c r="AC14" s="9">
        <v>7.5500000195461331E-8</v>
      </c>
      <c r="AD14" s="9">
        <v>27</v>
      </c>
      <c r="AE14" s="9">
        <v>386.75310311000004</v>
      </c>
      <c r="AF14" s="18"/>
      <c r="AG14" s="18"/>
      <c r="AH14" s="18"/>
      <c r="AI14" s="18"/>
      <c r="AJ14" s="18"/>
      <c r="AK14" s="18"/>
      <c r="AL14" s="18"/>
      <c r="AM14" s="18"/>
    </row>
    <row r="15" spans="1:39" s="11" customFormat="1" ht="27" customHeight="1" x14ac:dyDescent="0.25">
      <c r="A15" s="66" t="s">
        <v>26</v>
      </c>
      <c r="B15" s="1">
        <f t="shared" si="8"/>
        <v>9</v>
      </c>
      <c r="C15" s="20" t="s">
        <v>2033</v>
      </c>
      <c r="D15" s="20" t="s">
        <v>2181</v>
      </c>
      <c r="E15" s="65">
        <v>12174</v>
      </c>
      <c r="F15" s="19" t="s">
        <v>2049</v>
      </c>
      <c r="G15" s="9">
        <v>6900.513423880001</v>
      </c>
      <c r="H15" s="9">
        <v>5438.9900477300007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19</v>
      </c>
      <c r="Y15" s="9">
        <v>84218.263072729984</v>
      </c>
      <c r="Z15" s="9">
        <v>14893.79825</v>
      </c>
      <c r="AA15" s="9">
        <v>69324.464822729991</v>
      </c>
      <c r="AB15" s="9">
        <v>0</v>
      </c>
      <c r="AC15" s="9">
        <v>0</v>
      </c>
      <c r="AD15" s="9">
        <v>0</v>
      </c>
      <c r="AE15" s="9">
        <v>0</v>
      </c>
      <c r="AF15" s="18"/>
      <c r="AG15" s="18"/>
      <c r="AH15" s="18"/>
      <c r="AI15" s="18"/>
      <c r="AJ15" s="18"/>
      <c r="AK15" s="18"/>
      <c r="AL15" s="18"/>
      <c r="AM15" s="18"/>
    </row>
    <row r="16" spans="1:39" s="11" customFormat="1" ht="27" customHeight="1" x14ac:dyDescent="0.25">
      <c r="A16" s="66" t="s">
        <v>26</v>
      </c>
      <c r="B16" s="1">
        <f t="shared" si="8"/>
        <v>10</v>
      </c>
      <c r="C16" s="20" t="s">
        <v>2033</v>
      </c>
      <c r="D16" s="20" t="s">
        <v>2182</v>
      </c>
      <c r="E16" s="65">
        <v>12190</v>
      </c>
      <c r="F16" s="19" t="s">
        <v>2049</v>
      </c>
      <c r="G16" s="9">
        <v>3051.0058944299999</v>
      </c>
      <c r="H16" s="9">
        <v>2307.00822745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11</v>
      </c>
      <c r="Y16" s="9">
        <v>128342.815632</v>
      </c>
      <c r="Z16" s="9">
        <v>5559.2529999999997</v>
      </c>
      <c r="AA16" s="9">
        <v>122783.562632</v>
      </c>
      <c r="AB16" s="9">
        <v>0</v>
      </c>
      <c r="AC16" s="9">
        <v>0</v>
      </c>
      <c r="AD16" s="9">
        <v>0</v>
      </c>
      <c r="AE16" s="9">
        <v>0</v>
      </c>
      <c r="AF16" s="18"/>
      <c r="AG16" s="18"/>
      <c r="AH16" s="18"/>
      <c r="AI16" s="18"/>
      <c r="AJ16" s="18"/>
      <c r="AK16" s="18"/>
      <c r="AL16" s="18"/>
      <c r="AM16" s="18"/>
    </row>
    <row r="17" spans="1:39" s="11" customFormat="1" ht="27" customHeight="1" x14ac:dyDescent="0.25">
      <c r="A17" s="66" t="s">
        <v>27</v>
      </c>
      <c r="B17" s="1">
        <f t="shared" si="8"/>
        <v>11</v>
      </c>
      <c r="C17" s="20" t="s">
        <v>2050</v>
      </c>
      <c r="D17" s="20" t="s">
        <v>2051</v>
      </c>
      <c r="E17" s="65">
        <v>11198</v>
      </c>
      <c r="F17" s="19" t="s">
        <v>2035</v>
      </c>
      <c r="G17" s="9">
        <v>70386.517709480002</v>
      </c>
      <c r="H17" s="9">
        <v>48496.260018000001</v>
      </c>
      <c r="I17" s="9">
        <v>60376.017777669942</v>
      </c>
      <c r="J17" s="9">
        <v>48225.256257299923</v>
      </c>
      <c r="K17" s="9">
        <v>12150.761520370015</v>
      </c>
      <c r="L17" s="9">
        <v>31</v>
      </c>
      <c r="M17" s="9">
        <v>1123.7566657800003</v>
      </c>
      <c r="N17" s="9">
        <v>31</v>
      </c>
      <c r="O17" s="9">
        <v>1123.7566657800003</v>
      </c>
      <c r="P17" s="9">
        <v>0</v>
      </c>
      <c r="Q17" s="9">
        <v>0</v>
      </c>
      <c r="R17" s="9">
        <v>57</v>
      </c>
      <c r="S17" s="9">
        <v>139581.44429872997</v>
      </c>
      <c r="T17" s="9">
        <v>1</v>
      </c>
      <c r="U17" s="9">
        <v>10984.85315655</v>
      </c>
      <c r="V17" s="9">
        <v>8</v>
      </c>
      <c r="W17" s="9">
        <v>88426.458163500007</v>
      </c>
      <c r="X17" s="9">
        <v>57</v>
      </c>
      <c r="Y17" s="9">
        <v>19930449.965771865</v>
      </c>
      <c r="Z17" s="9">
        <v>8378269.0161506888</v>
      </c>
      <c r="AA17" s="9">
        <v>11552180.949621176</v>
      </c>
      <c r="AB17" s="9">
        <v>91</v>
      </c>
      <c r="AC17" s="9">
        <v>54.715103303499902</v>
      </c>
      <c r="AD17" s="9">
        <v>85</v>
      </c>
      <c r="AE17" s="9">
        <v>12991.310957390044</v>
      </c>
      <c r="AF17" s="18"/>
      <c r="AG17" s="18"/>
      <c r="AH17" s="18"/>
      <c r="AI17" s="18"/>
      <c r="AJ17" s="18"/>
      <c r="AK17" s="18"/>
      <c r="AL17" s="18"/>
      <c r="AM17" s="18"/>
    </row>
    <row r="18" spans="1:39" s="11" customFormat="1" ht="27" customHeight="1" x14ac:dyDescent="0.25">
      <c r="A18" s="66" t="s">
        <v>27</v>
      </c>
      <c r="B18" s="1">
        <f t="shared" si="8"/>
        <v>12</v>
      </c>
      <c r="C18" s="20" t="s">
        <v>2050</v>
      </c>
      <c r="D18" s="20" t="s">
        <v>2055</v>
      </c>
      <c r="E18" s="65">
        <v>11199</v>
      </c>
      <c r="F18" s="19" t="s">
        <v>2037</v>
      </c>
      <c r="G18" s="9">
        <v>71982.634599170007</v>
      </c>
      <c r="H18" s="9">
        <v>53096.895126980002</v>
      </c>
      <c r="I18" s="9">
        <v>28337.467176609982</v>
      </c>
      <c r="J18" s="9">
        <v>22320.406228539981</v>
      </c>
      <c r="K18" s="9">
        <v>6017.0609480700004</v>
      </c>
      <c r="L18" s="9">
        <v>14</v>
      </c>
      <c r="M18" s="9">
        <v>1287.83215892</v>
      </c>
      <c r="N18" s="9">
        <v>14</v>
      </c>
      <c r="O18" s="9">
        <v>1287.83215892</v>
      </c>
      <c r="P18" s="9">
        <v>0</v>
      </c>
      <c r="Q18" s="9">
        <v>0</v>
      </c>
      <c r="R18" s="9">
        <v>54</v>
      </c>
      <c r="S18" s="9">
        <v>177387.26524053002</v>
      </c>
      <c r="T18" s="9">
        <v>0</v>
      </c>
      <c r="U18" s="9">
        <v>0</v>
      </c>
      <c r="V18" s="9">
        <v>13</v>
      </c>
      <c r="W18" s="9">
        <v>1118.00698474</v>
      </c>
      <c r="X18" s="9">
        <v>33</v>
      </c>
      <c r="Y18" s="9">
        <v>3508796.7942616069</v>
      </c>
      <c r="Z18" s="9">
        <v>752527.42545805976</v>
      </c>
      <c r="AA18" s="9">
        <v>2756269.3688035472</v>
      </c>
      <c r="AB18" s="9">
        <v>70</v>
      </c>
      <c r="AC18" s="9">
        <v>1.589999987045303E-7</v>
      </c>
      <c r="AD18" s="9">
        <v>258</v>
      </c>
      <c r="AE18" s="9">
        <v>5998.2004298000011</v>
      </c>
      <c r="AF18" s="18"/>
      <c r="AG18" s="18"/>
      <c r="AH18" s="18"/>
      <c r="AI18" s="18"/>
      <c r="AJ18" s="18"/>
      <c r="AK18" s="18"/>
      <c r="AL18" s="18"/>
      <c r="AM18" s="18"/>
    </row>
    <row r="19" spans="1:39" s="11" customFormat="1" ht="27" customHeight="1" x14ac:dyDescent="0.25">
      <c r="A19" s="66" t="s">
        <v>27</v>
      </c>
      <c r="B19" s="1">
        <f t="shared" si="8"/>
        <v>13</v>
      </c>
      <c r="C19" s="20" t="s">
        <v>2050</v>
      </c>
      <c r="D19" s="20" t="s">
        <v>2056</v>
      </c>
      <c r="E19" s="65">
        <v>11200</v>
      </c>
      <c r="F19" s="19" t="s">
        <v>2049</v>
      </c>
      <c r="G19" s="9">
        <v>103269.64601873</v>
      </c>
      <c r="H19" s="9">
        <v>83321.553847999996</v>
      </c>
      <c r="I19" s="9">
        <v>31821.134377120005</v>
      </c>
      <c r="J19" s="9">
        <v>25784.504506449994</v>
      </c>
      <c r="K19" s="9">
        <v>6036.6298706700109</v>
      </c>
      <c r="L19" s="9">
        <v>17</v>
      </c>
      <c r="M19" s="9">
        <v>14284.13619261</v>
      </c>
      <c r="N19" s="9">
        <v>17</v>
      </c>
      <c r="O19" s="9">
        <v>14284.13619261</v>
      </c>
      <c r="P19" s="9">
        <v>0</v>
      </c>
      <c r="Q19" s="9">
        <v>0</v>
      </c>
      <c r="R19" s="9">
        <v>48</v>
      </c>
      <c r="S19" s="9">
        <v>28466.872468220008</v>
      </c>
      <c r="T19" s="9">
        <v>0</v>
      </c>
      <c r="U19" s="9">
        <v>0</v>
      </c>
      <c r="V19" s="9">
        <v>11</v>
      </c>
      <c r="W19" s="9">
        <v>23599.297130620002</v>
      </c>
      <c r="X19" s="9">
        <v>42</v>
      </c>
      <c r="Y19" s="9">
        <v>1505834.4501525706</v>
      </c>
      <c r="Z19" s="9">
        <v>900667.82708167075</v>
      </c>
      <c r="AA19" s="9">
        <v>605166.62307089986</v>
      </c>
      <c r="AB19" s="9">
        <v>170</v>
      </c>
      <c r="AC19" s="9">
        <v>97.207248759500075</v>
      </c>
      <c r="AD19" s="9">
        <v>84</v>
      </c>
      <c r="AE19" s="9">
        <v>11749.080722180008</v>
      </c>
      <c r="AF19" s="18"/>
      <c r="AG19" s="18"/>
      <c r="AH19" s="18"/>
      <c r="AI19" s="18"/>
      <c r="AJ19" s="18"/>
      <c r="AK19" s="18"/>
      <c r="AL19" s="18"/>
      <c r="AM19" s="18"/>
    </row>
    <row r="20" spans="1:39" s="11" customFormat="1" ht="27" customHeight="1" x14ac:dyDescent="0.25">
      <c r="A20" s="66" t="s">
        <v>27</v>
      </c>
      <c r="B20" s="1">
        <f t="shared" si="8"/>
        <v>14</v>
      </c>
      <c r="C20" s="20" t="s">
        <v>2050</v>
      </c>
      <c r="D20" s="20" t="s">
        <v>2052</v>
      </c>
      <c r="E20" s="65">
        <v>11201</v>
      </c>
      <c r="F20" s="19" t="s">
        <v>2047</v>
      </c>
      <c r="G20" s="9">
        <v>79051.806352040003</v>
      </c>
      <c r="H20" s="9">
        <v>60889.134106899997</v>
      </c>
      <c r="I20" s="9">
        <v>4411.92072534</v>
      </c>
      <c r="J20" s="9">
        <v>3789.3531175799994</v>
      </c>
      <c r="K20" s="9">
        <v>622.56760776000056</v>
      </c>
      <c r="L20" s="9">
        <v>5</v>
      </c>
      <c r="M20" s="9">
        <v>965.56063839000001</v>
      </c>
      <c r="N20" s="9">
        <v>5</v>
      </c>
      <c r="O20" s="9">
        <v>965.56063839000001</v>
      </c>
      <c r="P20" s="9">
        <v>0</v>
      </c>
      <c r="Q20" s="9">
        <v>0</v>
      </c>
      <c r="R20" s="9">
        <v>30</v>
      </c>
      <c r="S20" s="9">
        <v>95655.366152440009</v>
      </c>
      <c r="T20" s="9">
        <v>0</v>
      </c>
      <c r="U20" s="9">
        <v>0</v>
      </c>
      <c r="V20" s="9">
        <v>17</v>
      </c>
      <c r="W20" s="9">
        <v>93922.720424070008</v>
      </c>
      <c r="X20" s="9">
        <v>36</v>
      </c>
      <c r="Y20" s="9">
        <v>2086996.6829457879</v>
      </c>
      <c r="Z20" s="9">
        <v>741920.66931555991</v>
      </c>
      <c r="AA20" s="9">
        <v>1345076.0136302279</v>
      </c>
      <c r="AB20" s="9">
        <v>61</v>
      </c>
      <c r="AC20" s="9">
        <v>2.3943500068566208E-5</v>
      </c>
      <c r="AD20" s="9">
        <v>27</v>
      </c>
      <c r="AE20" s="9">
        <v>961.33215573000007</v>
      </c>
      <c r="AF20" s="18"/>
      <c r="AG20" s="18"/>
      <c r="AH20" s="18"/>
      <c r="AI20" s="18"/>
      <c r="AJ20" s="18"/>
      <c r="AK20" s="18"/>
      <c r="AL20" s="18"/>
      <c r="AM20" s="18"/>
    </row>
    <row r="21" spans="1:39" s="11" customFormat="1" ht="27" customHeight="1" x14ac:dyDescent="0.25">
      <c r="A21" s="66" t="s">
        <v>27</v>
      </c>
      <c r="B21" s="1">
        <f t="shared" si="8"/>
        <v>15</v>
      </c>
      <c r="C21" s="20" t="s">
        <v>2050</v>
      </c>
      <c r="D21" s="20" t="s">
        <v>2053</v>
      </c>
      <c r="E21" s="65">
        <v>11202</v>
      </c>
      <c r="F21" s="19" t="s">
        <v>2054</v>
      </c>
      <c r="G21" s="9">
        <v>71258.276895229996</v>
      </c>
      <c r="H21" s="9">
        <v>55874.464740650001</v>
      </c>
      <c r="I21" s="9">
        <v>28106.358079320031</v>
      </c>
      <c r="J21" s="9">
        <v>24155.299072480033</v>
      </c>
      <c r="K21" s="9">
        <v>3951.0590068399993</v>
      </c>
      <c r="L21" s="9">
        <v>12</v>
      </c>
      <c r="M21" s="9">
        <v>1552.97953435</v>
      </c>
      <c r="N21" s="9">
        <v>11</v>
      </c>
      <c r="O21" s="9">
        <v>1161.0473306099998</v>
      </c>
      <c r="P21" s="9">
        <v>1</v>
      </c>
      <c r="Q21" s="9">
        <v>391.93220374000003</v>
      </c>
      <c r="R21" s="9">
        <v>27</v>
      </c>
      <c r="S21" s="9">
        <v>71438.33603008998</v>
      </c>
      <c r="T21" s="9">
        <v>0</v>
      </c>
      <c r="U21" s="9">
        <v>0</v>
      </c>
      <c r="V21" s="9">
        <v>5</v>
      </c>
      <c r="W21" s="9">
        <v>41944.798973900004</v>
      </c>
      <c r="X21" s="9">
        <v>37</v>
      </c>
      <c r="Y21" s="9">
        <v>1121979.0703382799</v>
      </c>
      <c r="Z21" s="9">
        <v>411846.24365639995</v>
      </c>
      <c r="AA21" s="9">
        <v>710132.82668188005</v>
      </c>
      <c r="AB21" s="9">
        <v>132</v>
      </c>
      <c r="AC21" s="9">
        <v>1.3125499990940807E-4</v>
      </c>
      <c r="AD21" s="9">
        <v>42</v>
      </c>
      <c r="AE21" s="9">
        <v>13136.897067659995</v>
      </c>
      <c r="AF21" s="18"/>
      <c r="AG21" s="18"/>
      <c r="AH21" s="18"/>
      <c r="AI21" s="18"/>
      <c r="AJ21" s="18"/>
      <c r="AK21" s="18"/>
      <c r="AL21" s="18"/>
      <c r="AM21" s="18"/>
    </row>
    <row r="22" spans="1:39" s="11" customFormat="1" ht="27" customHeight="1" x14ac:dyDescent="0.25">
      <c r="A22" s="66" t="s">
        <v>27</v>
      </c>
      <c r="B22" s="1">
        <f t="shared" si="8"/>
        <v>16</v>
      </c>
      <c r="C22" s="20" t="s">
        <v>2050</v>
      </c>
      <c r="D22" s="20" t="s">
        <v>2057</v>
      </c>
      <c r="E22" s="65">
        <v>11203</v>
      </c>
      <c r="F22" s="19" t="s">
        <v>2041</v>
      </c>
      <c r="G22" s="9">
        <v>53565.08837836</v>
      </c>
      <c r="H22" s="9">
        <v>43173.419042649999</v>
      </c>
      <c r="I22" s="9">
        <v>12180.995789310011</v>
      </c>
      <c r="J22" s="9">
        <v>9920.5320053900123</v>
      </c>
      <c r="K22" s="9">
        <v>2260.4637839199981</v>
      </c>
      <c r="L22" s="9">
        <v>19</v>
      </c>
      <c r="M22" s="9">
        <v>301.38266299999998</v>
      </c>
      <c r="N22" s="9">
        <v>19</v>
      </c>
      <c r="O22" s="9">
        <v>301.38266299999998</v>
      </c>
      <c r="P22" s="9">
        <v>0</v>
      </c>
      <c r="Q22" s="9">
        <v>0</v>
      </c>
      <c r="R22" s="9">
        <v>13</v>
      </c>
      <c r="S22" s="9">
        <v>1950.9440967600001</v>
      </c>
      <c r="T22" s="9">
        <v>0</v>
      </c>
      <c r="U22" s="9">
        <v>0</v>
      </c>
      <c r="V22" s="9">
        <v>0</v>
      </c>
      <c r="W22" s="9">
        <v>0</v>
      </c>
      <c r="X22" s="9">
        <v>28</v>
      </c>
      <c r="Y22" s="9">
        <v>374052.70039903</v>
      </c>
      <c r="Z22" s="9">
        <v>171747.99963233</v>
      </c>
      <c r="AA22" s="9">
        <v>202304.70076670003</v>
      </c>
      <c r="AB22" s="9">
        <v>139</v>
      </c>
      <c r="AC22" s="9">
        <v>1.3126800000121127E-4</v>
      </c>
      <c r="AD22" s="9">
        <v>130</v>
      </c>
      <c r="AE22" s="9">
        <v>7492.4100068900043</v>
      </c>
      <c r="AF22" s="18"/>
      <c r="AG22" s="18"/>
      <c r="AH22" s="18"/>
      <c r="AI22" s="18"/>
      <c r="AJ22" s="18"/>
      <c r="AK22" s="18"/>
      <c r="AL22" s="18"/>
      <c r="AM22" s="18"/>
    </row>
    <row r="23" spans="1:39" s="11" customFormat="1" ht="27" customHeight="1" x14ac:dyDescent="0.25">
      <c r="A23" s="66" t="s">
        <v>28</v>
      </c>
      <c r="B23" s="1">
        <f t="shared" si="8"/>
        <v>17</v>
      </c>
      <c r="C23" s="20" t="s">
        <v>2058</v>
      </c>
      <c r="D23" s="20" t="s">
        <v>2059</v>
      </c>
      <c r="E23" s="65" t="s">
        <v>11</v>
      </c>
      <c r="F23" s="19" t="s">
        <v>2060</v>
      </c>
      <c r="G23" s="9">
        <v>85564.436042350004</v>
      </c>
      <c r="H23" s="9">
        <v>30161.726240440003</v>
      </c>
      <c r="I23" s="9">
        <v>17234.625215160006</v>
      </c>
      <c r="J23" s="9">
        <v>13061.067030590004</v>
      </c>
      <c r="K23" s="9">
        <v>4173.5581845700008</v>
      </c>
      <c r="L23" s="9">
        <v>481</v>
      </c>
      <c r="M23" s="9">
        <v>39035.81704532</v>
      </c>
      <c r="N23" s="9">
        <v>481</v>
      </c>
      <c r="O23" s="9">
        <v>39035.81704532</v>
      </c>
      <c r="P23" s="9">
        <v>0</v>
      </c>
      <c r="Q23" s="9">
        <v>0</v>
      </c>
      <c r="R23" s="9">
        <v>25</v>
      </c>
      <c r="S23" s="9">
        <v>26065.676509090004</v>
      </c>
      <c r="T23" s="9">
        <v>1</v>
      </c>
      <c r="U23" s="9">
        <v>5492.3744182199998</v>
      </c>
      <c r="V23" s="9">
        <v>1</v>
      </c>
      <c r="W23" s="9">
        <v>5492.3744182199998</v>
      </c>
      <c r="X23" s="9">
        <v>32</v>
      </c>
      <c r="Y23" s="9">
        <v>490293.79945226002</v>
      </c>
      <c r="Z23" s="9">
        <v>120738.23542421</v>
      </c>
      <c r="AA23" s="9">
        <v>369555.56402804999</v>
      </c>
      <c r="AB23" s="9">
        <v>219</v>
      </c>
      <c r="AC23" s="9">
        <v>2143.4769359940242</v>
      </c>
      <c r="AD23" s="9">
        <v>681</v>
      </c>
      <c r="AE23" s="9">
        <v>12205.698276430016</v>
      </c>
      <c r="AF23" s="18"/>
      <c r="AG23" s="18"/>
      <c r="AH23" s="18"/>
      <c r="AI23" s="18"/>
      <c r="AJ23" s="18"/>
      <c r="AK23" s="18"/>
      <c r="AL23" s="18"/>
      <c r="AM23" s="18"/>
    </row>
    <row r="24" spans="1:39" s="11" customFormat="1" ht="27" customHeight="1" x14ac:dyDescent="0.25">
      <c r="A24" s="66" t="s">
        <v>28</v>
      </c>
      <c r="B24" s="1">
        <f t="shared" si="8"/>
        <v>18</v>
      </c>
      <c r="C24" s="20" t="s">
        <v>2058</v>
      </c>
      <c r="D24" s="20" t="s">
        <v>2061</v>
      </c>
      <c r="E24" s="65" t="s">
        <v>21</v>
      </c>
      <c r="F24" s="19" t="s">
        <v>2062</v>
      </c>
      <c r="G24" s="9">
        <v>205306.69346032001</v>
      </c>
      <c r="H24" s="9">
        <v>57417.92890454</v>
      </c>
      <c r="I24" s="9">
        <v>353821.3798867999</v>
      </c>
      <c r="J24" s="9">
        <v>256794.81413985995</v>
      </c>
      <c r="K24" s="9">
        <v>97026.565746939945</v>
      </c>
      <c r="L24" s="9">
        <v>46</v>
      </c>
      <c r="M24" s="9">
        <v>7973.1166950400002</v>
      </c>
      <c r="N24" s="9">
        <v>44</v>
      </c>
      <c r="O24" s="9">
        <v>7931.5769909099999</v>
      </c>
      <c r="P24" s="9">
        <v>2</v>
      </c>
      <c r="Q24" s="9">
        <v>41.539704130000004</v>
      </c>
      <c r="R24" s="9">
        <v>2</v>
      </c>
      <c r="S24" s="9">
        <v>99776.643315690002</v>
      </c>
      <c r="T24" s="9">
        <v>1</v>
      </c>
      <c r="U24" s="9">
        <v>98154.999381000001</v>
      </c>
      <c r="V24" s="9">
        <v>0</v>
      </c>
      <c r="W24" s="9">
        <v>0</v>
      </c>
      <c r="X24" s="9">
        <v>30</v>
      </c>
      <c r="Y24" s="9">
        <v>1404299.9591725846</v>
      </c>
      <c r="Z24" s="9">
        <v>119817.19666487999</v>
      </c>
      <c r="AA24" s="9">
        <v>1284482.7625077046</v>
      </c>
      <c r="AB24" s="9">
        <v>82</v>
      </c>
      <c r="AC24" s="9">
        <v>822.71173471849988</v>
      </c>
      <c r="AD24" s="9">
        <v>160</v>
      </c>
      <c r="AE24" s="9">
        <v>10173.401494590011</v>
      </c>
      <c r="AF24" s="18"/>
      <c r="AG24" s="18"/>
      <c r="AH24" s="18"/>
      <c r="AI24" s="18"/>
      <c r="AJ24" s="18"/>
      <c r="AK24" s="18"/>
      <c r="AL24" s="18"/>
      <c r="AM24" s="18"/>
    </row>
    <row r="25" spans="1:39" s="11" customFormat="1" ht="27" customHeight="1" x14ac:dyDescent="0.25">
      <c r="A25" s="66" t="s">
        <v>28</v>
      </c>
      <c r="B25" s="1">
        <f t="shared" si="8"/>
        <v>19</v>
      </c>
      <c r="C25" s="20" t="s">
        <v>2058</v>
      </c>
      <c r="D25" s="20" t="s">
        <v>2063</v>
      </c>
      <c r="E25" s="65" t="s">
        <v>14</v>
      </c>
      <c r="F25" s="19" t="s">
        <v>2064</v>
      </c>
      <c r="G25" s="9">
        <v>42630.440382200002</v>
      </c>
      <c r="H25" s="9">
        <v>32700.068896729998</v>
      </c>
      <c r="I25" s="9">
        <v>4481.2733455900043</v>
      </c>
      <c r="J25" s="9">
        <v>4134.720559770004</v>
      </c>
      <c r="K25" s="9">
        <v>346.55278582000017</v>
      </c>
      <c r="L25" s="9">
        <v>426</v>
      </c>
      <c r="M25" s="9">
        <v>8149.8207663999965</v>
      </c>
      <c r="N25" s="9">
        <v>426</v>
      </c>
      <c r="O25" s="9">
        <v>8149.8207663999965</v>
      </c>
      <c r="P25" s="9">
        <v>0</v>
      </c>
      <c r="Q25" s="9">
        <v>0</v>
      </c>
      <c r="R25" s="9">
        <v>16</v>
      </c>
      <c r="S25" s="9">
        <v>11471.230470709999</v>
      </c>
      <c r="T25" s="9">
        <v>1</v>
      </c>
      <c r="U25" s="9">
        <v>1290.4880639</v>
      </c>
      <c r="V25" s="9">
        <v>0</v>
      </c>
      <c r="W25" s="9">
        <v>0</v>
      </c>
      <c r="X25" s="9">
        <v>34</v>
      </c>
      <c r="Y25" s="9">
        <v>508318.29592884972</v>
      </c>
      <c r="Z25" s="9">
        <v>54153.113191609998</v>
      </c>
      <c r="AA25" s="9">
        <v>454165.18273723975</v>
      </c>
      <c r="AB25" s="9">
        <v>73</v>
      </c>
      <c r="AC25" s="9">
        <v>17.503927981999986</v>
      </c>
      <c r="AD25" s="9">
        <v>135</v>
      </c>
      <c r="AE25" s="9">
        <v>5063.1330661400052</v>
      </c>
      <c r="AF25" s="18"/>
      <c r="AG25" s="18"/>
      <c r="AH25" s="18"/>
      <c r="AI25" s="18"/>
      <c r="AJ25" s="18"/>
      <c r="AK25" s="18"/>
      <c r="AL25" s="18"/>
      <c r="AM25" s="18"/>
    </row>
    <row r="26" spans="1:39" s="11" customFormat="1" ht="27" customHeight="1" x14ac:dyDescent="0.25">
      <c r="A26" s="66" t="s">
        <v>28</v>
      </c>
      <c r="B26" s="1">
        <f t="shared" si="8"/>
        <v>20</v>
      </c>
      <c r="C26" s="20" t="s">
        <v>2058</v>
      </c>
      <c r="D26" s="20" t="s">
        <v>2065</v>
      </c>
      <c r="E26" s="65" t="s">
        <v>22</v>
      </c>
      <c r="F26" s="19" t="s">
        <v>2066</v>
      </c>
      <c r="G26" s="9">
        <v>69774.984924969991</v>
      </c>
      <c r="H26" s="9">
        <v>54209.987441769998</v>
      </c>
      <c r="I26" s="9">
        <v>8211.7183393300038</v>
      </c>
      <c r="J26" s="9">
        <v>7520.4039487900027</v>
      </c>
      <c r="K26" s="9">
        <v>691.31439054000089</v>
      </c>
      <c r="L26" s="9">
        <v>201</v>
      </c>
      <c r="M26" s="9">
        <v>4659.8510008499998</v>
      </c>
      <c r="N26" s="9">
        <v>185</v>
      </c>
      <c r="O26" s="9">
        <v>4459.8904977699995</v>
      </c>
      <c r="P26" s="9">
        <v>16</v>
      </c>
      <c r="Q26" s="9">
        <v>199.96050308</v>
      </c>
      <c r="R26" s="9">
        <v>4</v>
      </c>
      <c r="S26" s="9">
        <v>5183.2874224500001</v>
      </c>
      <c r="T26" s="9">
        <v>1</v>
      </c>
      <c r="U26" s="9">
        <v>44.99720653</v>
      </c>
      <c r="V26" s="9">
        <v>0</v>
      </c>
      <c r="W26" s="9">
        <v>0</v>
      </c>
      <c r="X26" s="9">
        <v>36</v>
      </c>
      <c r="Y26" s="9">
        <v>779886.34908374969</v>
      </c>
      <c r="Z26" s="9">
        <v>227411.64053116002</v>
      </c>
      <c r="AA26" s="9">
        <v>552474.70855258964</v>
      </c>
      <c r="AB26" s="9">
        <v>158</v>
      </c>
      <c r="AC26" s="9">
        <v>1.2811098054999988</v>
      </c>
      <c r="AD26" s="9">
        <v>389</v>
      </c>
      <c r="AE26" s="9">
        <v>5236.1171313599989</v>
      </c>
      <c r="AF26" s="18"/>
      <c r="AG26" s="18"/>
      <c r="AH26" s="18"/>
      <c r="AI26" s="18"/>
      <c r="AJ26" s="18"/>
      <c r="AK26" s="18"/>
      <c r="AL26" s="18"/>
      <c r="AM26" s="18"/>
    </row>
    <row r="27" spans="1:39" s="11" customFormat="1" ht="27" customHeight="1" x14ac:dyDescent="0.25">
      <c r="A27" s="66" t="s">
        <v>28</v>
      </c>
      <c r="B27" s="1">
        <f t="shared" si="8"/>
        <v>21</v>
      </c>
      <c r="C27" s="20" t="s">
        <v>2058</v>
      </c>
      <c r="D27" s="20" t="s">
        <v>2067</v>
      </c>
      <c r="E27" s="65" t="s">
        <v>15</v>
      </c>
      <c r="F27" s="19" t="s">
        <v>2068</v>
      </c>
      <c r="G27" s="9">
        <v>61985.947543229995</v>
      </c>
      <c r="H27" s="9">
        <v>43442.584750499998</v>
      </c>
      <c r="I27" s="9">
        <v>3717.0615436799994</v>
      </c>
      <c r="J27" s="9">
        <v>3203.0042350399995</v>
      </c>
      <c r="K27" s="9">
        <v>514.05730863999997</v>
      </c>
      <c r="L27" s="9">
        <v>134</v>
      </c>
      <c r="M27" s="9">
        <v>3824.1003821900008</v>
      </c>
      <c r="N27" s="9">
        <v>134</v>
      </c>
      <c r="O27" s="9">
        <v>3824.1003821900008</v>
      </c>
      <c r="P27" s="9">
        <v>0</v>
      </c>
      <c r="Q27" s="9">
        <v>0</v>
      </c>
      <c r="R27" s="9">
        <v>4</v>
      </c>
      <c r="S27" s="9">
        <v>3029.4302475299996</v>
      </c>
      <c r="T27" s="9">
        <v>0</v>
      </c>
      <c r="U27" s="9">
        <v>0</v>
      </c>
      <c r="V27" s="9">
        <v>0</v>
      </c>
      <c r="W27" s="9">
        <v>0</v>
      </c>
      <c r="X27" s="9">
        <v>31</v>
      </c>
      <c r="Y27" s="9">
        <v>673262.68987667013</v>
      </c>
      <c r="Z27" s="9">
        <v>38691.205129700007</v>
      </c>
      <c r="AA27" s="9">
        <v>634571.48474697012</v>
      </c>
      <c r="AB27" s="9">
        <v>65</v>
      </c>
      <c r="AC27" s="9">
        <v>0.52463425049989632</v>
      </c>
      <c r="AD27" s="9">
        <v>141</v>
      </c>
      <c r="AE27" s="9">
        <v>3205.98983942</v>
      </c>
      <c r="AF27" s="18"/>
      <c r="AG27" s="18"/>
      <c r="AH27" s="18"/>
      <c r="AI27" s="18"/>
      <c r="AJ27" s="18"/>
      <c r="AK27" s="18"/>
      <c r="AL27" s="18"/>
      <c r="AM27" s="18"/>
    </row>
    <row r="28" spans="1:39" s="11" customFormat="1" ht="27" customHeight="1" x14ac:dyDescent="0.25">
      <c r="A28" s="66" t="s">
        <v>28</v>
      </c>
      <c r="B28" s="1">
        <f t="shared" si="8"/>
        <v>22</v>
      </c>
      <c r="C28" s="20" t="s">
        <v>2058</v>
      </c>
      <c r="D28" s="20" t="s">
        <v>2069</v>
      </c>
      <c r="E28" s="65" t="s">
        <v>23</v>
      </c>
      <c r="F28" s="19" t="s">
        <v>2070</v>
      </c>
      <c r="G28" s="9">
        <v>122056.81081887</v>
      </c>
      <c r="H28" s="9">
        <v>107799.22084762</v>
      </c>
      <c r="I28" s="9">
        <v>723.46289285999978</v>
      </c>
      <c r="J28" s="9">
        <v>636.28837322999982</v>
      </c>
      <c r="K28" s="9">
        <v>87.17451963000002</v>
      </c>
      <c r="L28" s="9">
        <v>115</v>
      </c>
      <c r="M28" s="9">
        <v>8414.9718117100001</v>
      </c>
      <c r="N28" s="9">
        <v>5</v>
      </c>
      <c r="O28" s="9">
        <v>2532.4639606300002</v>
      </c>
      <c r="P28" s="9">
        <v>110</v>
      </c>
      <c r="Q28" s="9">
        <v>5882.5078510800004</v>
      </c>
      <c r="R28" s="9">
        <v>2</v>
      </c>
      <c r="S28" s="9">
        <v>2.5973007699999999</v>
      </c>
      <c r="T28" s="9">
        <v>0</v>
      </c>
      <c r="U28" s="9">
        <v>0</v>
      </c>
      <c r="V28" s="9">
        <v>0</v>
      </c>
      <c r="W28" s="9">
        <v>0</v>
      </c>
      <c r="X28" s="9">
        <v>34</v>
      </c>
      <c r="Y28" s="9">
        <v>2569213.1808659094</v>
      </c>
      <c r="Z28" s="9">
        <v>152809.87288000001</v>
      </c>
      <c r="AA28" s="9">
        <v>2416403.3079859093</v>
      </c>
      <c r="AB28" s="9">
        <v>32</v>
      </c>
      <c r="AC28" s="9">
        <v>1.5999999712221324E-7</v>
      </c>
      <c r="AD28" s="9">
        <v>76</v>
      </c>
      <c r="AE28" s="9">
        <v>999.81642349999993</v>
      </c>
      <c r="AF28" s="18"/>
      <c r="AG28" s="18"/>
      <c r="AH28" s="18"/>
      <c r="AI28" s="18"/>
      <c r="AJ28" s="18"/>
      <c r="AK28" s="18"/>
      <c r="AL28" s="18"/>
      <c r="AM28" s="18"/>
    </row>
    <row r="29" spans="1:39" s="11" customFormat="1" ht="27" customHeight="1" x14ac:dyDescent="0.25">
      <c r="A29" s="66" t="s">
        <v>28</v>
      </c>
      <c r="B29" s="1">
        <f t="shared" si="8"/>
        <v>23</v>
      </c>
      <c r="C29" s="20" t="s">
        <v>2058</v>
      </c>
      <c r="D29" s="20" t="s">
        <v>2071</v>
      </c>
      <c r="E29" s="65" t="s">
        <v>16</v>
      </c>
      <c r="F29" s="19" t="s">
        <v>2035</v>
      </c>
      <c r="G29" s="9">
        <v>412020.34841776005</v>
      </c>
      <c r="H29" s="9">
        <v>338728.60562367004</v>
      </c>
      <c r="I29" s="9">
        <v>25151.848802320015</v>
      </c>
      <c r="J29" s="9">
        <v>21065.324817140016</v>
      </c>
      <c r="K29" s="9">
        <v>4086.5239851799984</v>
      </c>
      <c r="L29" s="9">
        <v>499</v>
      </c>
      <c r="M29" s="9">
        <v>33560.889826730003</v>
      </c>
      <c r="N29" s="9">
        <v>499</v>
      </c>
      <c r="O29" s="9">
        <v>33560.889826730003</v>
      </c>
      <c r="P29" s="9">
        <v>0</v>
      </c>
      <c r="Q29" s="9">
        <v>0</v>
      </c>
      <c r="R29" s="9">
        <v>6</v>
      </c>
      <c r="S29" s="9">
        <v>7242.5795076900004</v>
      </c>
      <c r="T29" s="9">
        <v>1</v>
      </c>
      <c r="U29" s="9">
        <v>457.53072022000003</v>
      </c>
      <c r="V29" s="9">
        <v>0</v>
      </c>
      <c r="W29" s="9">
        <v>0</v>
      </c>
      <c r="X29" s="9">
        <v>37</v>
      </c>
      <c r="Y29" s="9">
        <v>4974194.7917690128</v>
      </c>
      <c r="Z29" s="9">
        <v>1045729.87508414</v>
      </c>
      <c r="AA29" s="9">
        <v>3928464.9166848729</v>
      </c>
      <c r="AB29" s="9">
        <v>213</v>
      </c>
      <c r="AC29" s="9">
        <v>6.0572999906376938E-5</v>
      </c>
      <c r="AD29" s="9">
        <v>620</v>
      </c>
      <c r="AE29" s="9">
        <v>14191.803629049989</v>
      </c>
      <c r="AF29" s="18"/>
      <c r="AG29" s="18"/>
      <c r="AH29" s="18"/>
      <c r="AI29" s="18"/>
      <c r="AJ29" s="18"/>
      <c r="AK29" s="18"/>
      <c r="AL29" s="18"/>
      <c r="AM29" s="18"/>
    </row>
    <row r="30" spans="1:39" s="11" customFormat="1" ht="27" customHeight="1" x14ac:dyDescent="0.25">
      <c r="A30" s="66" t="s">
        <v>28</v>
      </c>
      <c r="B30" s="1">
        <f t="shared" si="8"/>
        <v>24</v>
      </c>
      <c r="C30" s="20" t="s">
        <v>2058</v>
      </c>
      <c r="D30" s="20" t="s">
        <v>2072</v>
      </c>
      <c r="E30" s="65" t="s">
        <v>12</v>
      </c>
      <c r="F30" s="19" t="s">
        <v>2073</v>
      </c>
      <c r="G30" s="9">
        <v>46883.016945779993</v>
      </c>
      <c r="H30" s="9">
        <v>26959.668530889998</v>
      </c>
      <c r="I30" s="9">
        <v>11750.826617540017</v>
      </c>
      <c r="J30" s="9">
        <v>10699.952849370015</v>
      </c>
      <c r="K30" s="9">
        <v>1050.8737681700024</v>
      </c>
      <c r="L30" s="9">
        <v>295</v>
      </c>
      <c r="M30" s="9">
        <v>12471.72978032</v>
      </c>
      <c r="N30" s="9">
        <v>293</v>
      </c>
      <c r="O30" s="9">
        <v>12436.620607930001</v>
      </c>
      <c r="P30" s="9">
        <v>2</v>
      </c>
      <c r="Q30" s="9">
        <v>35.109172389999998</v>
      </c>
      <c r="R30" s="9">
        <v>3</v>
      </c>
      <c r="S30" s="9">
        <v>2107.7692411799999</v>
      </c>
      <c r="T30" s="9">
        <v>1</v>
      </c>
      <c r="U30" s="9">
        <v>0.43879201000000001</v>
      </c>
      <c r="V30" s="9">
        <v>0</v>
      </c>
      <c r="W30" s="9">
        <v>0</v>
      </c>
      <c r="X30" s="9">
        <v>29</v>
      </c>
      <c r="Y30" s="9">
        <v>66869326.211774111</v>
      </c>
      <c r="Z30" s="9">
        <v>66690.69066030001</v>
      </c>
      <c r="AA30" s="9">
        <v>66802635.521113813</v>
      </c>
      <c r="AB30" s="9">
        <v>157</v>
      </c>
      <c r="AC30" s="9">
        <v>333.06143099649933</v>
      </c>
      <c r="AD30" s="9">
        <v>596</v>
      </c>
      <c r="AE30" s="9">
        <v>18428.788349609978</v>
      </c>
      <c r="AF30" s="18"/>
      <c r="AG30" s="18"/>
      <c r="AH30" s="18"/>
      <c r="AI30" s="18"/>
      <c r="AJ30" s="18"/>
      <c r="AK30" s="18"/>
      <c r="AL30" s="18"/>
      <c r="AM30" s="18"/>
    </row>
    <row r="31" spans="1:39" s="11" customFormat="1" ht="27" customHeight="1" x14ac:dyDescent="0.25">
      <c r="A31" s="66" t="s">
        <v>28</v>
      </c>
      <c r="B31" s="1">
        <f t="shared" si="8"/>
        <v>25</v>
      </c>
      <c r="C31" s="20" t="s">
        <v>2058</v>
      </c>
      <c r="D31" s="20" t="s">
        <v>2074</v>
      </c>
      <c r="E31" s="65" t="s">
        <v>1</v>
      </c>
      <c r="F31" s="19" t="s">
        <v>2075</v>
      </c>
      <c r="G31" s="9">
        <v>55426.299719279996</v>
      </c>
      <c r="H31" s="9">
        <v>35268.729536409999</v>
      </c>
      <c r="I31" s="9">
        <v>3454.9468051200006</v>
      </c>
      <c r="J31" s="9">
        <v>3066.8466722700005</v>
      </c>
      <c r="K31" s="9">
        <v>388.10013284999997</v>
      </c>
      <c r="L31" s="9">
        <v>6</v>
      </c>
      <c r="M31" s="9">
        <v>306.83880060000001</v>
      </c>
      <c r="N31" s="9">
        <v>4</v>
      </c>
      <c r="O31" s="9">
        <v>255.55617085</v>
      </c>
      <c r="P31" s="9">
        <v>2</v>
      </c>
      <c r="Q31" s="9">
        <v>51.282629749999998</v>
      </c>
      <c r="R31" s="9">
        <v>8</v>
      </c>
      <c r="S31" s="9">
        <v>1487.9551488799998</v>
      </c>
      <c r="T31" s="9">
        <v>4</v>
      </c>
      <c r="U31" s="9">
        <v>601.39233428</v>
      </c>
      <c r="V31" s="9">
        <v>0</v>
      </c>
      <c r="W31" s="9">
        <v>0</v>
      </c>
      <c r="X31" s="9">
        <v>35</v>
      </c>
      <c r="Y31" s="9">
        <v>640558.19835712051</v>
      </c>
      <c r="Z31" s="9">
        <v>80854.697763889999</v>
      </c>
      <c r="AA31" s="9">
        <v>559703.50059323048</v>
      </c>
      <c r="AB31" s="9">
        <v>118</v>
      </c>
      <c r="AC31" s="9">
        <v>1.759750364999995</v>
      </c>
      <c r="AD31" s="9">
        <v>200</v>
      </c>
      <c r="AE31" s="9">
        <v>2896.2254522800022</v>
      </c>
      <c r="AF31" s="18"/>
      <c r="AG31" s="18"/>
      <c r="AH31" s="18"/>
      <c r="AI31" s="18"/>
      <c r="AJ31" s="18"/>
      <c r="AK31" s="18"/>
      <c r="AL31" s="18"/>
      <c r="AM31" s="18"/>
    </row>
    <row r="32" spans="1:39" s="11" customFormat="1" ht="27" customHeight="1" x14ac:dyDescent="0.25">
      <c r="A32" s="66" t="s">
        <v>28</v>
      </c>
      <c r="B32" s="1">
        <f t="shared" si="8"/>
        <v>26</v>
      </c>
      <c r="C32" s="20" t="s">
        <v>2058</v>
      </c>
      <c r="D32" s="20" t="s">
        <v>2076</v>
      </c>
      <c r="E32" s="65" t="s">
        <v>17</v>
      </c>
      <c r="F32" s="19" t="s">
        <v>2077</v>
      </c>
      <c r="G32" s="9">
        <v>41438.095723530001</v>
      </c>
      <c r="H32" s="9">
        <v>34142.868479650002</v>
      </c>
      <c r="I32" s="9">
        <v>6075.9034872500015</v>
      </c>
      <c r="J32" s="9">
        <v>5300.7478286500009</v>
      </c>
      <c r="K32" s="9">
        <v>775.15565860000015</v>
      </c>
      <c r="L32" s="9">
        <v>37</v>
      </c>
      <c r="M32" s="9">
        <v>2175.0631556500007</v>
      </c>
      <c r="N32" s="9">
        <v>37</v>
      </c>
      <c r="O32" s="9">
        <v>2175.0631556500007</v>
      </c>
      <c r="P32" s="9">
        <v>0</v>
      </c>
      <c r="Q32" s="9">
        <v>0</v>
      </c>
      <c r="R32" s="9">
        <v>8</v>
      </c>
      <c r="S32" s="9">
        <v>61134.696277390001</v>
      </c>
      <c r="T32" s="9">
        <v>1</v>
      </c>
      <c r="U32" s="9">
        <v>394.87451354000001</v>
      </c>
      <c r="V32" s="9">
        <v>1</v>
      </c>
      <c r="W32" s="9">
        <v>17211.35257512</v>
      </c>
      <c r="X32" s="9">
        <v>33</v>
      </c>
      <c r="Y32" s="9">
        <v>509119.9632549602</v>
      </c>
      <c r="Z32" s="9">
        <v>128541.0535312</v>
      </c>
      <c r="AA32" s="9">
        <v>380578.90972376021</v>
      </c>
      <c r="AB32" s="9">
        <v>38</v>
      </c>
      <c r="AC32" s="9">
        <v>1.900000026798807E-7</v>
      </c>
      <c r="AD32" s="9">
        <v>87</v>
      </c>
      <c r="AE32" s="9">
        <v>967.03321837999829</v>
      </c>
      <c r="AF32" s="18"/>
      <c r="AG32" s="18"/>
      <c r="AH32" s="18"/>
      <c r="AI32" s="18"/>
      <c r="AJ32" s="18"/>
      <c r="AK32" s="18"/>
      <c r="AL32" s="18"/>
      <c r="AM32" s="18"/>
    </row>
    <row r="33" spans="1:39" s="11" customFormat="1" ht="27" customHeight="1" x14ac:dyDescent="0.25">
      <c r="A33" s="66" t="s">
        <v>28</v>
      </c>
      <c r="B33" s="1">
        <f t="shared" si="8"/>
        <v>27</v>
      </c>
      <c r="C33" s="20" t="s">
        <v>2058</v>
      </c>
      <c r="D33" s="20" t="s">
        <v>2078</v>
      </c>
      <c r="E33" s="65" t="s">
        <v>18</v>
      </c>
      <c r="F33" s="19" t="s">
        <v>2079</v>
      </c>
      <c r="G33" s="9">
        <v>57724.762022040013</v>
      </c>
      <c r="H33" s="9">
        <v>36579.671778830008</v>
      </c>
      <c r="I33" s="9">
        <v>16740.667455209965</v>
      </c>
      <c r="J33" s="9">
        <v>14638.257935099962</v>
      </c>
      <c r="K33" s="9">
        <v>2102.4095201100026</v>
      </c>
      <c r="L33" s="9">
        <v>773</v>
      </c>
      <c r="M33" s="9">
        <v>55841.087701600001</v>
      </c>
      <c r="N33" s="9">
        <v>773</v>
      </c>
      <c r="O33" s="9">
        <v>55841.087701600001</v>
      </c>
      <c r="P33" s="9">
        <v>0</v>
      </c>
      <c r="Q33" s="9">
        <v>0</v>
      </c>
      <c r="R33" s="9">
        <v>1</v>
      </c>
      <c r="S33" s="9">
        <v>1416.66666667</v>
      </c>
      <c r="T33" s="9">
        <v>0</v>
      </c>
      <c r="U33" s="9">
        <v>0</v>
      </c>
      <c r="V33" s="9">
        <v>0</v>
      </c>
      <c r="W33" s="9">
        <v>0</v>
      </c>
      <c r="X33" s="9">
        <v>33</v>
      </c>
      <c r="Y33" s="9">
        <v>436492.01795643993</v>
      </c>
      <c r="Z33" s="9">
        <v>98822.59298690001</v>
      </c>
      <c r="AA33" s="9">
        <v>337669.42496953992</v>
      </c>
      <c r="AB33" s="9">
        <v>401</v>
      </c>
      <c r="AC33" s="9">
        <v>1.9960000259889059E-6</v>
      </c>
      <c r="AD33" s="9">
        <v>1459</v>
      </c>
      <c r="AE33" s="9">
        <v>22631.062838750018</v>
      </c>
      <c r="AF33" s="18"/>
      <c r="AG33" s="18"/>
      <c r="AH33" s="18"/>
      <c r="AI33" s="18"/>
      <c r="AJ33" s="18"/>
      <c r="AK33" s="18"/>
      <c r="AL33" s="18"/>
      <c r="AM33" s="18"/>
    </row>
    <row r="34" spans="1:39" s="11" customFormat="1" ht="27" customHeight="1" x14ac:dyDescent="0.25">
      <c r="A34" s="66" t="s">
        <v>29</v>
      </c>
      <c r="B34" s="1">
        <f t="shared" si="8"/>
        <v>28</v>
      </c>
      <c r="C34" s="20" t="s">
        <v>2080</v>
      </c>
      <c r="D34" s="20" t="s">
        <v>2092</v>
      </c>
      <c r="E34" s="65">
        <v>10443</v>
      </c>
      <c r="F34" s="19" t="s">
        <v>2047</v>
      </c>
      <c r="G34" s="9">
        <v>5972.3167150799991</v>
      </c>
      <c r="H34" s="9">
        <v>4481.2612715899995</v>
      </c>
      <c r="I34" s="9">
        <v>591.93970106000006</v>
      </c>
      <c r="J34" s="9">
        <v>591.93970106000006</v>
      </c>
      <c r="K34" s="9">
        <v>0</v>
      </c>
      <c r="L34" s="9">
        <v>118</v>
      </c>
      <c r="M34" s="9">
        <v>2725.6128032399997</v>
      </c>
      <c r="N34" s="9">
        <v>118</v>
      </c>
      <c r="O34" s="9">
        <v>2725.6128032399997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6</v>
      </c>
      <c r="Y34" s="9">
        <v>39697.313312000006</v>
      </c>
      <c r="Z34" s="9">
        <v>4743.5047990000003</v>
      </c>
      <c r="AA34" s="9">
        <v>34953.808513000004</v>
      </c>
      <c r="AB34" s="9">
        <v>420</v>
      </c>
      <c r="AC34" s="9">
        <v>3397.7676808939982</v>
      </c>
      <c r="AD34" s="9">
        <v>160</v>
      </c>
      <c r="AE34" s="9">
        <v>4065.3637829999993</v>
      </c>
      <c r="AF34" s="18"/>
      <c r="AG34" s="18"/>
      <c r="AH34" s="18"/>
      <c r="AI34" s="18"/>
      <c r="AJ34" s="18"/>
      <c r="AK34" s="18"/>
      <c r="AL34" s="18"/>
      <c r="AM34" s="18"/>
    </row>
    <row r="35" spans="1:39" s="11" customFormat="1" ht="27" customHeight="1" x14ac:dyDescent="0.25">
      <c r="A35" s="66" t="s">
        <v>29</v>
      </c>
      <c r="B35" s="1">
        <f t="shared" si="8"/>
        <v>29</v>
      </c>
      <c r="C35" s="20" t="s">
        <v>2080</v>
      </c>
      <c r="D35" s="20" t="s">
        <v>2093</v>
      </c>
      <c r="E35" s="65">
        <v>10447</v>
      </c>
      <c r="F35" s="19" t="s">
        <v>2075</v>
      </c>
      <c r="G35" s="9">
        <v>7516.8790746100003</v>
      </c>
      <c r="H35" s="9">
        <v>6172.9640562300001</v>
      </c>
      <c r="I35" s="9">
        <v>43.076151860000017</v>
      </c>
      <c r="J35" s="9">
        <v>43.076151860000017</v>
      </c>
      <c r="K35" s="9">
        <v>0</v>
      </c>
      <c r="L35" s="9">
        <v>15</v>
      </c>
      <c r="M35" s="9">
        <v>320.67761837</v>
      </c>
      <c r="N35" s="9">
        <v>13</v>
      </c>
      <c r="O35" s="9">
        <v>223.63821824000001</v>
      </c>
      <c r="P35" s="9">
        <v>2</v>
      </c>
      <c r="Q35" s="9">
        <v>97.03940012999999</v>
      </c>
      <c r="R35" s="9">
        <v>1</v>
      </c>
      <c r="S35" s="9">
        <v>1.9854298600000002</v>
      </c>
      <c r="T35" s="9">
        <v>0</v>
      </c>
      <c r="U35" s="9">
        <v>0</v>
      </c>
      <c r="V35" s="9">
        <v>0</v>
      </c>
      <c r="W35" s="9">
        <v>0</v>
      </c>
      <c r="X35" s="9">
        <v>4</v>
      </c>
      <c r="Y35" s="9">
        <v>64839.455112489995</v>
      </c>
      <c r="Z35" s="9">
        <v>3631.3413</v>
      </c>
      <c r="AA35" s="9">
        <v>61208.113812489995</v>
      </c>
      <c r="AB35" s="9">
        <v>249</v>
      </c>
      <c r="AC35" s="9">
        <v>745.5848104730004</v>
      </c>
      <c r="AD35" s="9">
        <v>38</v>
      </c>
      <c r="AE35" s="9">
        <v>683.32488275000026</v>
      </c>
      <c r="AF35" s="18"/>
      <c r="AG35" s="18"/>
      <c r="AH35" s="18"/>
      <c r="AI35" s="18"/>
      <c r="AJ35" s="18"/>
      <c r="AK35" s="18"/>
      <c r="AL35" s="18"/>
      <c r="AM35" s="18"/>
    </row>
    <row r="36" spans="1:39" s="11" customFormat="1" ht="27" customHeight="1" x14ac:dyDescent="0.25">
      <c r="A36" s="66" t="s">
        <v>29</v>
      </c>
      <c r="B36" s="1">
        <f t="shared" si="8"/>
        <v>30</v>
      </c>
      <c r="C36" s="20" t="s">
        <v>2080</v>
      </c>
      <c r="D36" s="20" t="s">
        <v>2088</v>
      </c>
      <c r="E36" s="65">
        <v>11247</v>
      </c>
      <c r="F36" s="19" t="s">
        <v>2049</v>
      </c>
      <c r="G36" s="9">
        <v>9059.17940748</v>
      </c>
      <c r="H36" s="9">
        <v>5771.5971599100003</v>
      </c>
      <c r="I36" s="9">
        <v>130.98410431999997</v>
      </c>
      <c r="J36" s="9">
        <v>130.98410431999997</v>
      </c>
      <c r="K36" s="9">
        <v>0</v>
      </c>
      <c r="L36" s="9">
        <v>2</v>
      </c>
      <c r="M36" s="9">
        <v>60.480200000000004</v>
      </c>
      <c r="N36" s="9">
        <v>2</v>
      </c>
      <c r="O36" s="9">
        <v>60.480200000000004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3</v>
      </c>
      <c r="Y36" s="9">
        <v>50526.852961860001</v>
      </c>
      <c r="Z36" s="9">
        <v>12767.891428000001</v>
      </c>
      <c r="AA36" s="9">
        <v>37758.961533859998</v>
      </c>
      <c r="AB36" s="9">
        <v>233</v>
      </c>
      <c r="AC36" s="9">
        <v>3435.5554804805001</v>
      </c>
      <c r="AD36" s="9">
        <v>137</v>
      </c>
      <c r="AE36" s="9">
        <v>4650.9964981199983</v>
      </c>
      <c r="AF36" s="18"/>
      <c r="AG36" s="18"/>
      <c r="AH36" s="18"/>
      <c r="AI36" s="18"/>
      <c r="AJ36" s="18"/>
      <c r="AK36" s="18"/>
      <c r="AL36" s="18"/>
      <c r="AM36" s="18"/>
    </row>
    <row r="37" spans="1:39" s="11" customFormat="1" ht="27" customHeight="1" x14ac:dyDescent="0.25">
      <c r="A37" s="66" t="s">
        <v>29</v>
      </c>
      <c r="B37" s="1">
        <f t="shared" si="8"/>
        <v>31</v>
      </c>
      <c r="C37" s="20" t="s">
        <v>2080</v>
      </c>
      <c r="D37" s="20" t="s">
        <v>2082</v>
      </c>
      <c r="E37" s="65">
        <v>11412</v>
      </c>
      <c r="F37" s="19" t="s">
        <v>2062</v>
      </c>
      <c r="G37" s="9">
        <v>39991.656589850005</v>
      </c>
      <c r="H37" s="9">
        <v>28469.239303750004</v>
      </c>
      <c r="I37" s="9">
        <v>1248.2303434399992</v>
      </c>
      <c r="J37" s="9">
        <v>1248.2303434399992</v>
      </c>
      <c r="K37" s="9">
        <v>0</v>
      </c>
      <c r="L37" s="9">
        <v>684</v>
      </c>
      <c r="M37" s="9">
        <v>19902.078752910005</v>
      </c>
      <c r="N37" s="9">
        <v>684</v>
      </c>
      <c r="O37" s="9">
        <v>19902.078752910005</v>
      </c>
      <c r="P37" s="9">
        <v>0</v>
      </c>
      <c r="Q37" s="9">
        <v>0</v>
      </c>
      <c r="R37" s="9">
        <v>17</v>
      </c>
      <c r="S37" s="9">
        <v>162801.38193754997</v>
      </c>
      <c r="T37" s="9">
        <v>4</v>
      </c>
      <c r="U37" s="9">
        <v>1951.7199713099999</v>
      </c>
      <c r="V37" s="9">
        <v>8</v>
      </c>
      <c r="W37" s="9">
        <v>138414.78573251</v>
      </c>
      <c r="X37" s="9">
        <v>21</v>
      </c>
      <c r="Y37" s="9">
        <v>464047.37420005002</v>
      </c>
      <c r="Z37" s="9">
        <v>178171.101818</v>
      </c>
      <c r="AA37" s="9">
        <v>285876.27238205</v>
      </c>
      <c r="AB37" s="9">
        <v>636</v>
      </c>
      <c r="AC37" s="9">
        <v>7336.2137438169902</v>
      </c>
      <c r="AD37" s="9">
        <v>309</v>
      </c>
      <c r="AE37" s="9">
        <v>8488.0773769499956</v>
      </c>
      <c r="AF37" s="18"/>
      <c r="AG37" s="18"/>
      <c r="AH37" s="18"/>
      <c r="AI37" s="18"/>
      <c r="AJ37" s="18"/>
      <c r="AK37" s="18"/>
      <c r="AL37" s="18"/>
      <c r="AM37" s="18"/>
    </row>
    <row r="38" spans="1:39" s="11" customFormat="1" ht="27" customHeight="1" x14ac:dyDescent="0.25">
      <c r="A38" s="66" t="s">
        <v>29</v>
      </c>
      <c r="B38" s="1">
        <f t="shared" si="8"/>
        <v>32</v>
      </c>
      <c r="C38" s="20" t="s">
        <v>2080</v>
      </c>
      <c r="D38" s="20" t="s">
        <v>2083</v>
      </c>
      <c r="E38" s="65">
        <v>11413</v>
      </c>
      <c r="F38" s="19" t="s">
        <v>2043</v>
      </c>
      <c r="G38" s="9">
        <v>21227.585704650002</v>
      </c>
      <c r="H38" s="9">
        <v>16489.44504405</v>
      </c>
      <c r="I38" s="9">
        <v>171.66406656999993</v>
      </c>
      <c r="J38" s="9">
        <v>171.66406656999993</v>
      </c>
      <c r="K38" s="9">
        <v>0</v>
      </c>
      <c r="L38" s="9">
        <v>116</v>
      </c>
      <c r="M38" s="9">
        <v>3294.3136185099997</v>
      </c>
      <c r="N38" s="9">
        <v>115</v>
      </c>
      <c r="O38" s="9">
        <v>2594.3136185099997</v>
      </c>
      <c r="P38" s="9">
        <v>1</v>
      </c>
      <c r="Q38" s="9">
        <v>700</v>
      </c>
      <c r="R38" s="9">
        <v>16</v>
      </c>
      <c r="S38" s="9">
        <v>5085.0891397100004</v>
      </c>
      <c r="T38" s="9">
        <v>0</v>
      </c>
      <c r="U38" s="9">
        <v>0</v>
      </c>
      <c r="V38" s="9">
        <v>0</v>
      </c>
      <c r="W38" s="9">
        <v>0</v>
      </c>
      <c r="X38" s="9">
        <v>20</v>
      </c>
      <c r="Y38" s="9">
        <v>170277.07628134001</v>
      </c>
      <c r="Z38" s="9">
        <v>63404.243459999998</v>
      </c>
      <c r="AA38" s="9">
        <v>106872.83282134001</v>
      </c>
      <c r="AB38" s="9">
        <v>338</v>
      </c>
      <c r="AC38" s="9">
        <v>2474.9414649910013</v>
      </c>
      <c r="AD38" s="9">
        <v>167</v>
      </c>
      <c r="AE38" s="9">
        <v>3366.741166780002</v>
      </c>
      <c r="AF38" s="18"/>
      <c r="AG38" s="18"/>
      <c r="AH38" s="18"/>
      <c r="AI38" s="18"/>
      <c r="AJ38" s="18"/>
      <c r="AK38" s="18"/>
      <c r="AL38" s="18"/>
      <c r="AM38" s="18"/>
    </row>
    <row r="39" spans="1:39" s="11" customFormat="1" ht="27" customHeight="1" x14ac:dyDescent="0.25">
      <c r="A39" s="66" t="s">
        <v>29</v>
      </c>
      <c r="B39" s="1">
        <f t="shared" si="8"/>
        <v>33</v>
      </c>
      <c r="C39" s="20" t="s">
        <v>2080</v>
      </c>
      <c r="D39" s="20" t="s">
        <v>2094</v>
      </c>
      <c r="E39" s="65">
        <v>11599</v>
      </c>
      <c r="F39" s="19" t="s">
        <v>2077</v>
      </c>
      <c r="G39" s="9">
        <v>4842.3830945999998</v>
      </c>
      <c r="H39" s="9">
        <v>3587.67945775</v>
      </c>
      <c r="I39" s="9">
        <v>0</v>
      </c>
      <c r="J39" s="9">
        <v>0</v>
      </c>
      <c r="K39" s="9">
        <v>0</v>
      </c>
      <c r="L39" s="9">
        <v>54</v>
      </c>
      <c r="M39" s="9">
        <v>390.80675224999993</v>
      </c>
      <c r="N39" s="9">
        <v>54</v>
      </c>
      <c r="O39" s="9">
        <v>390.80675224999993</v>
      </c>
      <c r="P39" s="9">
        <v>0</v>
      </c>
      <c r="Q39" s="9">
        <v>0</v>
      </c>
      <c r="R39" s="9">
        <v>29</v>
      </c>
      <c r="S39" s="9">
        <v>3781.9430241200012</v>
      </c>
      <c r="T39" s="9">
        <v>0</v>
      </c>
      <c r="U39" s="9">
        <v>0</v>
      </c>
      <c r="V39" s="9">
        <v>0</v>
      </c>
      <c r="W39" s="9">
        <v>0</v>
      </c>
      <c r="X39" s="9">
        <v>5</v>
      </c>
      <c r="Y39" s="9">
        <v>33414.012113029996</v>
      </c>
      <c r="Z39" s="9">
        <v>5911.7029000000002</v>
      </c>
      <c r="AA39" s="9">
        <v>27502.309213029999</v>
      </c>
      <c r="AB39" s="9">
        <v>9</v>
      </c>
      <c r="AC39" s="9">
        <v>1740.8039486600003</v>
      </c>
      <c r="AD39" s="9">
        <v>6</v>
      </c>
      <c r="AE39" s="9">
        <v>1963.0967254299999</v>
      </c>
      <c r="AF39" s="18"/>
      <c r="AG39" s="18"/>
      <c r="AH39" s="18"/>
      <c r="AI39" s="18"/>
      <c r="AJ39" s="18"/>
      <c r="AK39" s="18"/>
      <c r="AL39" s="18"/>
      <c r="AM39" s="18"/>
    </row>
    <row r="40" spans="1:39" s="11" customFormat="1" ht="27" customHeight="1" x14ac:dyDescent="0.25">
      <c r="A40" s="66" t="s">
        <v>29</v>
      </c>
      <c r="B40" s="1">
        <f t="shared" si="8"/>
        <v>34</v>
      </c>
      <c r="C40" s="20" t="s">
        <v>2080</v>
      </c>
      <c r="D40" s="20" t="s">
        <v>2085</v>
      </c>
      <c r="E40" s="65">
        <v>11785</v>
      </c>
      <c r="F40" s="19" t="s">
        <v>2077</v>
      </c>
      <c r="G40" s="9">
        <v>30993.080356760001</v>
      </c>
      <c r="H40" s="9">
        <v>18903.120644060004</v>
      </c>
      <c r="I40" s="9">
        <v>488.61280562999997</v>
      </c>
      <c r="J40" s="9">
        <v>488.61280562999997</v>
      </c>
      <c r="K40" s="9">
        <v>0</v>
      </c>
      <c r="L40" s="9">
        <v>54</v>
      </c>
      <c r="M40" s="9">
        <v>1040.5174098</v>
      </c>
      <c r="N40" s="9">
        <v>54</v>
      </c>
      <c r="O40" s="9">
        <v>1040.5174098</v>
      </c>
      <c r="P40" s="9">
        <v>0</v>
      </c>
      <c r="Q40" s="9">
        <v>0</v>
      </c>
      <c r="R40" s="9">
        <v>24</v>
      </c>
      <c r="S40" s="9">
        <v>5194.5535325700002</v>
      </c>
      <c r="T40" s="9">
        <v>15</v>
      </c>
      <c r="U40" s="9">
        <v>96.924292940000029</v>
      </c>
      <c r="V40" s="9">
        <v>2</v>
      </c>
      <c r="W40" s="9">
        <v>757.84125965999999</v>
      </c>
      <c r="X40" s="9">
        <v>31</v>
      </c>
      <c r="Y40" s="9">
        <v>210655.96250694001</v>
      </c>
      <c r="Z40" s="9">
        <v>79121.729292999997</v>
      </c>
      <c r="AA40" s="9">
        <v>131534.23321394</v>
      </c>
      <c r="AB40" s="9">
        <v>99</v>
      </c>
      <c r="AC40" s="9">
        <v>926.82985341849985</v>
      </c>
      <c r="AD40" s="9">
        <v>35</v>
      </c>
      <c r="AE40" s="9">
        <v>813.4680595100001</v>
      </c>
      <c r="AF40" s="18"/>
      <c r="AG40" s="18"/>
      <c r="AH40" s="18"/>
      <c r="AI40" s="18"/>
      <c r="AJ40" s="18"/>
      <c r="AK40" s="18"/>
      <c r="AL40" s="18"/>
      <c r="AM40" s="18"/>
    </row>
    <row r="41" spans="1:39" s="11" customFormat="1" ht="27" customHeight="1" x14ac:dyDescent="0.25">
      <c r="A41" s="66" t="s">
        <v>29</v>
      </c>
      <c r="B41" s="1">
        <f t="shared" si="8"/>
        <v>35</v>
      </c>
      <c r="C41" s="20" t="s">
        <v>2080</v>
      </c>
      <c r="D41" s="20" t="s">
        <v>2081</v>
      </c>
      <c r="E41" s="65">
        <v>11786</v>
      </c>
      <c r="F41" s="19" t="s">
        <v>2035</v>
      </c>
      <c r="G41" s="9">
        <v>96797.906454270007</v>
      </c>
      <c r="H41" s="9">
        <v>57946.158598139999</v>
      </c>
      <c r="I41" s="9">
        <v>466.65528270999982</v>
      </c>
      <c r="J41" s="9">
        <v>457.95164823999983</v>
      </c>
      <c r="K41" s="9">
        <v>8.703634469999999</v>
      </c>
      <c r="L41" s="9">
        <v>10</v>
      </c>
      <c r="M41" s="9">
        <v>11784.254713750001</v>
      </c>
      <c r="N41" s="9">
        <v>9</v>
      </c>
      <c r="O41" s="9">
        <v>11604.254713750001</v>
      </c>
      <c r="P41" s="9">
        <v>1</v>
      </c>
      <c r="Q41" s="9">
        <v>180</v>
      </c>
      <c r="R41" s="9">
        <v>46</v>
      </c>
      <c r="S41" s="9">
        <v>114700.04261035001</v>
      </c>
      <c r="T41" s="9">
        <v>27</v>
      </c>
      <c r="U41" s="9">
        <v>19335.799834780002</v>
      </c>
      <c r="V41" s="9">
        <v>7</v>
      </c>
      <c r="W41" s="9">
        <v>96034.868384519999</v>
      </c>
      <c r="X41" s="9">
        <v>36</v>
      </c>
      <c r="Y41" s="9">
        <v>949084.51864470006</v>
      </c>
      <c r="Z41" s="9">
        <v>675984.15184974996</v>
      </c>
      <c r="AA41" s="9">
        <v>273100.3667949501</v>
      </c>
      <c r="AB41" s="9">
        <v>350</v>
      </c>
      <c r="AC41" s="9">
        <v>23646.365051123008</v>
      </c>
      <c r="AD41" s="9">
        <v>241</v>
      </c>
      <c r="AE41" s="9">
        <v>30792.227861499996</v>
      </c>
      <c r="AF41" s="18"/>
      <c r="AG41" s="18"/>
      <c r="AH41" s="18"/>
      <c r="AI41" s="18"/>
      <c r="AJ41" s="18"/>
      <c r="AK41" s="18"/>
      <c r="AL41" s="18"/>
      <c r="AM41" s="18"/>
    </row>
    <row r="42" spans="1:39" s="11" customFormat="1" ht="27" customHeight="1" x14ac:dyDescent="0.25">
      <c r="A42" s="66" t="s">
        <v>29</v>
      </c>
      <c r="B42" s="1">
        <f t="shared" si="8"/>
        <v>36</v>
      </c>
      <c r="C42" s="20" t="s">
        <v>2080</v>
      </c>
      <c r="D42" s="20" t="s">
        <v>2084</v>
      </c>
      <c r="E42" s="65">
        <v>11787</v>
      </c>
      <c r="F42" s="19" t="s">
        <v>2068</v>
      </c>
      <c r="G42" s="9">
        <v>22143.934679410002</v>
      </c>
      <c r="H42" s="9">
        <v>15686.715514080001</v>
      </c>
      <c r="I42" s="9">
        <v>2371.5384557299999</v>
      </c>
      <c r="J42" s="9">
        <v>2371.5384557299999</v>
      </c>
      <c r="K42" s="9">
        <v>0</v>
      </c>
      <c r="L42" s="9">
        <v>931</v>
      </c>
      <c r="M42" s="9">
        <v>25354.438438329988</v>
      </c>
      <c r="N42" s="9">
        <v>927</v>
      </c>
      <c r="O42" s="9">
        <v>25208.573848919983</v>
      </c>
      <c r="P42" s="9">
        <v>4</v>
      </c>
      <c r="Q42" s="9">
        <v>145.86458941000001</v>
      </c>
      <c r="R42" s="9">
        <v>31</v>
      </c>
      <c r="S42" s="9">
        <v>4131.0349693900007</v>
      </c>
      <c r="T42" s="9">
        <v>24</v>
      </c>
      <c r="U42" s="9">
        <v>302.97944126000004</v>
      </c>
      <c r="V42" s="9">
        <v>1</v>
      </c>
      <c r="W42" s="9">
        <v>2727.3213931300002</v>
      </c>
      <c r="X42" s="9">
        <v>32</v>
      </c>
      <c r="Y42" s="9">
        <v>186234.09347467998</v>
      </c>
      <c r="Z42" s="9">
        <v>44599.629222000003</v>
      </c>
      <c r="AA42" s="9">
        <v>141634.46425267999</v>
      </c>
      <c r="AB42" s="9">
        <v>595</v>
      </c>
      <c r="AC42" s="9">
        <v>4751.3626733694928</v>
      </c>
      <c r="AD42" s="9">
        <v>316</v>
      </c>
      <c r="AE42" s="9">
        <v>7796.7834748699961</v>
      </c>
      <c r="AF42" s="18"/>
      <c r="AG42" s="18"/>
      <c r="AH42" s="18"/>
      <c r="AI42" s="18"/>
      <c r="AJ42" s="18"/>
      <c r="AK42" s="18"/>
      <c r="AL42" s="18"/>
      <c r="AM42" s="18"/>
    </row>
    <row r="43" spans="1:39" s="11" customFormat="1" ht="27" customHeight="1" x14ac:dyDescent="0.25">
      <c r="A43" s="66" t="s">
        <v>29</v>
      </c>
      <c r="B43" s="1">
        <f t="shared" si="8"/>
        <v>37</v>
      </c>
      <c r="C43" s="20" t="s">
        <v>2080</v>
      </c>
      <c r="D43" s="20" t="s">
        <v>2086</v>
      </c>
      <c r="E43" s="65">
        <v>11943</v>
      </c>
      <c r="F43" s="19" t="s">
        <v>2087</v>
      </c>
      <c r="G43" s="9">
        <v>26273.551200540001</v>
      </c>
      <c r="H43" s="9">
        <v>12299.99741948</v>
      </c>
      <c r="I43" s="9">
        <v>3318.69300514</v>
      </c>
      <c r="J43" s="9">
        <v>3318.5263146399998</v>
      </c>
      <c r="K43" s="9">
        <v>0.16669049999999999</v>
      </c>
      <c r="L43" s="9">
        <v>780</v>
      </c>
      <c r="M43" s="9">
        <v>26041.222375180001</v>
      </c>
      <c r="N43" s="9">
        <v>780</v>
      </c>
      <c r="O43" s="9">
        <v>26041.222375180001</v>
      </c>
      <c r="P43" s="9">
        <v>0</v>
      </c>
      <c r="Q43" s="9">
        <v>0</v>
      </c>
      <c r="R43" s="9">
        <v>12</v>
      </c>
      <c r="S43" s="9">
        <v>25576.906926979998</v>
      </c>
      <c r="T43" s="9">
        <v>2</v>
      </c>
      <c r="U43" s="9">
        <v>16274.7884395</v>
      </c>
      <c r="V43" s="9">
        <v>1</v>
      </c>
      <c r="W43" s="9">
        <v>1944.8349868399998</v>
      </c>
      <c r="X43" s="9">
        <v>19</v>
      </c>
      <c r="Y43" s="9">
        <v>166405.21379549999</v>
      </c>
      <c r="Z43" s="9">
        <v>62507.258188</v>
      </c>
      <c r="AA43" s="9">
        <v>103897.9556075</v>
      </c>
      <c r="AB43" s="9">
        <v>509</v>
      </c>
      <c r="AC43" s="9">
        <v>16428.439520951495</v>
      </c>
      <c r="AD43" s="9">
        <v>339</v>
      </c>
      <c r="AE43" s="9">
        <v>30711.566696989979</v>
      </c>
      <c r="AF43" s="18"/>
      <c r="AG43" s="18"/>
      <c r="AH43" s="18"/>
      <c r="AI43" s="18"/>
      <c r="AJ43" s="18"/>
      <c r="AK43" s="18"/>
      <c r="AL43" s="18"/>
      <c r="AM43" s="18"/>
    </row>
    <row r="44" spans="1:39" s="11" customFormat="1" ht="27" customHeight="1" x14ac:dyDescent="0.25">
      <c r="A44" s="66" t="s">
        <v>29</v>
      </c>
      <c r="B44" s="1">
        <f t="shared" si="8"/>
        <v>38</v>
      </c>
      <c r="C44" s="20" t="s">
        <v>2080</v>
      </c>
      <c r="D44" s="20" t="s">
        <v>2095</v>
      </c>
      <c r="E44" s="65">
        <v>11978</v>
      </c>
      <c r="F44" s="19" t="s">
        <v>2060</v>
      </c>
      <c r="G44" s="9">
        <v>9658.63167015</v>
      </c>
      <c r="H44" s="9">
        <v>8921.4205734400002</v>
      </c>
      <c r="I44" s="9">
        <v>137.31181049000006</v>
      </c>
      <c r="J44" s="9">
        <v>137.31181049000006</v>
      </c>
      <c r="K44" s="9">
        <v>0</v>
      </c>
      <c r="L44" s="9">
        <v>38</v>
      </c>
      <c r="M44" s="9">
        <v>723.69546203000004</v>
      </c>
      <c r="N44" s="9">
        <v>38</v>
      </c>
      <c r="O44" s="9">
        <v>723.69546203000004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12</v>
      </c>
      <c r="Y44" s="9">
        <v>534488.11494174995</v>
      </c>
      <c r="Z44" s="9">
        <v>90592.195659999998</v>
      </c>
      <c r="AA44" s="9">
        <v>443895.91928174999</v>
      </c>
      <c r="AB44" s="9">
        <v>335</v>
      </c>
      <c r="AC44" s="9">
        <v>2954.3985818359974</v>
      </c>
      <c r="AD44" s="9">
        <v>42</v>
      </c>
      <c r="AE44" s="9">
        <v>2673.188441629999</v>
      </c>
      <c r="AF44" s="18"/>
      <c r="AG44" s="18"/>
      <c r="AH44" s="18"/>
      <c r="AI44" s="18"/>
      <c r="AJ44" s="18"/>
      <c r="AK44" s="18"/>
      <c r="AL44" s="18"/>
      <c r="AM44" s="18"/>
    </row>
    <row r="45" spans="1:39" s="11" customFormat="1" ht="27" customHeight="1" x14ac:dyDescent="0.25">
      <c r="A45" s="66" t="s">
        <v>30</v>
      </c>
      <c r="B45" s="1">
        <f t="shared" si="8"/>
        <v>39</v>
      </c>
      <c r="C45" s="20" t="s">
        <v>2096</v>
      </c>
      <c r="D45" s="20" t="s">
        <v>2105</v>
      </c>
      <c r="E45" s="65">
        <v>11349</v>
      </c>
      <c r="F45" s="19" t="s">
        <v>2079</v>
      </c>
      <c r="G45" s="9">
        <v>59405.595168390006</v>
      </c>
      <c r="H45" s="9">
        <v>25117.153802119999</v>
      </c>
      <c r="I45" s="9">
        <v>2870.5433863299972</v>
      </c>
      <c r="J45" s="9">
        <v>2451.0279497999973</v>
      </c>
      <c r="K45" s="9">
        <v>419.51543653000004</v>
      </c>
      <c r="L45" s="9">
        <v>640</v>
      </c>
      <c r="M45" s="9">
        <v>56717.404820600008</v>
      </c>
      <c r="N45" s="9">
        <v>640</v>
      </c>
      <c r="O45" s="9">
        <v>56717.404820600008</v>
      </c>
      <c r="P45" s="9">
        <v>0</v>
      </c>
      <c r="Q45" s="9">
        <v>0</v>
      </c>
      <c r="R45" s="9">
        <v>4</v>
      </c>
      <c r="S45" s="9">
        <v>3835.7854030100002</v>
      </c>
      <c r="T45" s="9">
        <v>0</v>
      </c>
      <c r="U45" s="9">
        <v>0</v>
      </c>
      <c r="V45" s="9">
        <v>1</v>
      </c>
      <c r="W45" s="9">
        <v>330.88707519000002</v>
      </c>
      <c r="X45" s="9">
        <v>19</v>
      </c>
      <c r="Y45" s="9">
        <v>282024.79887717986</v>
      </c>
      <c r="Z45" s="9">
        <v>141787.03328599999</v>
      </c>
      <c r="AA45" s="9">
        <v>140237.76559117989</v>
      </c>
      <c r="AB45" s="9">
        <v>203</v>
      </c>
      <c r="AC45" s="9">
        <v>322.79643243149985</v>
      </c>
      <c r="AD45" s="9">
        <v>137</v>
      </c>
      <c r="AE45" s="9">
        <v>1908.2544263499997</v>
      </c>
      <c r="AF45" s="18"/>
      <c r="AG45" s="18"/>
      <c r="AH45" s="18"/>
      <c r="AI45" s="18"/>
      <c r="AJ45" s="18"/>
      <c r="AK45" s="18"/>
      <c r="AL45" s="18"/>
      <c r="AM45" s="18"/>
    </row>
    <row r="46" spans="1:39" s="11" customFormat="1" ht="27" customHeight="1" x14ac:dyDescent="0.25">
      <c r="A46" s="66" t="s">
        <v>30</v>
      </c>
      <c r="B46" s="1">
        <f t="shared" si="8"/>
        <v>40</v>
      </c>
      <c r="C46" s="20" t="s">
        <v>2096</v>
      </c>
      <c r="D46" s="20" t="s">
        <v>2097</v>
      </c>
      <c r="E46" s="65">
        <v>11385</v>
      </c>
      <c r="F46" s="19" t="s">
        <v>2043</v>
      </c>
      <c r="G46" s="9">
        <v>27137.481617359997</v>
      </c>
      <c r="H46" s="9">
        <v>20620.109336639998</v>
      </c>
      <c r="I46" s="9">
        <v>2892.6010252199994</v>
      </c>
      <c r="J46" s="9">
        <v>2661.8371567899994</v>
      </c>
      <c r="K46" s="9">
        <v>230.76386843000012</v>
      </c>
      <c r="L46" s="9">
        <v>633</v>
      </c>
      <c r="M46" s="9">
        <v>12313.489376939991</v>
      </c>
      <c r="N46" s="9">
        <v>629</v>
      </c>
      <c r="O46" s="9">
        <v>12254.458293999993</v>
      </c>
      <c r="P46" s="9">
        <v>4</v>
      </c>
      <c r="Q46" s="9">
        <v>59.031082939999997</v>
      </c>
      <c r="R46" s="9">
        <v>1</v>
      </c>
      <c r="S46" s="9">
        <v>10370.370381999999</v>
      </c>
      <c r="T46" s="9">
        <v>0</v>
      </c>
      <c r="U46" s="9">
        <v>0</v>
      </c>
      <c r="V46" s="9">
        <v>0</v>
      </c>
      <c r="W46" s="9">
        <v>0</v>
      </c>
      <c r="X46" s="9">
        <v>14</v>
      </c>
      <c r="Y46" s="9">
        <v>293190.93783285999</v>
      </c>
      <c r="Z46" s="9">
        <v>52515.317178999998</v>
      </c>
      <c r="AA46" s="9">
        <v>240675.62065385998</v>
      </c>
      <c r="AB46" s="9">
        <v>162</v>
      </c>
      <c r="AC46" s="9">
        <v>374.24525695950018</v>
      </c>
      <c r="AD46" s="9">
        <v>111</v>
      </c>
      <c r="AE46" s="9">
        <v>1689.457289480001</v>
      </c>
      <c r="AF46" s="18"/>
      <c r="AG46" s="18"/>
      <c r="AH46" s="18"/>
      <c r="AI46" s="18"/>
      <c r="AJ46" s="18"/>
      <c r="AK46" s="18"/>
      <c r="AL46" s="18"/>
      <c r="AM46" s="18"/>
    </row>
    <row r="47" spans="1:39" s="11" customFormat="1" ht="27" customHeight="1" x14ac:dyDescent="0.25">
      <c r="A47" s="66" t="s">
        <v>30</v>
      </c>
      <c r="B47" s="1">
        <f t="shared" si="8"/>
        <v>41</v>
      </c>
      <c r="C47" s="20" t="s">
        <v>2096</v>
      </c>
      <c r="D47" s="20" t="s">
        <v>2101</v>
      </c>
      <c r="E47" s="65">
        <v>11386</v>
      </c>
      <c r="F47" s="19" t="s">
        <v>2070</v>
      </c>
      <c r="G47" s="9">
        <v>44851.734312320004</v>
      </c>
      <c r="H47" s="9">
        <v>20230.870911660004</v>
      </c>
      <c r="I47" s="9">
        <v>214695.61337770021</v>
      </c>
      <c r="J47" s="9">
        <v>133878.36378916021</v>
      </c>
      <c r="K47" s="9">
        <v>80817.249588540013</v>
      </c>
      <c r="L47" s="9">
        <v>735</v>
      </c>
      <c r="M47" s="9">
        <v>18548.643388740002</v>
      </c>
      <c r="N47" s="9">
        <v>644</v>
      </c>
      <c r="O47" s="9">
        <v>16527.200940350001</v>
      </c>
      <c r="P47" s="9">
        <v>91</v>
      </c>
      <c r="Q47" s="9">
        <v>2021.4424483899998</v>
      </c>
      <c r="R47" s="9">
        <v>12</v>
      </c>
      <c r="S47" s="9">
        <v>153711.81131028003</v>
      </c>
      <c r="T47" s="9">
        <v>9</v>
      </c>
      <c r="U47" s="9">
        <v>135048.06819652001</v>
      </c>
      <c r="V47" s="9">
        <v>9</v>
      </c>
      <c r="W47" s="9">
        <v>150729.85168052002</v>
      </c>
      <c r="X47" s="9">
        <v>14</v>
      </c>
      <c r="Y47" s="9">
        <v>412819.30014761002</v>
      </c>
      <c r="Z47" s="9">
        <v>94390.712554829995</v>
      </c>
      <c r="AA47" s="9">
        <v>318428.58759278001</v>
      </c>
      <c r="AB47" s="9">
        <v>226</v>
      </c>
      <c r="AC47" s="9">
        <v>468.92089132749976</v>
      </c>
      <c r="AD47" s="9">
        <v>65</v>
      </c>
      <c r="AE47" s="9">
        <v>3997.1879620799996</v>
      </c>
      <c r="AF47" s="18"/>
      <c r="AG47" s="18"/>
      <c r="AH47" s="18"/>
      <c r="AI47" s="18"/>
      <c r="AJ47" s="18"/>
      <c r="AK47" s="18"/>
      <c r="AL47" s="18"/>
      <c r="AM47" s="18"/>
    </row>
    <row r="48" spans="1:39" s="11" customFormat="1" ht="27" customHeight="1" x14ac:dyDescent="0.25">
      <c r="A48" s="66" t="s">
        <v>30</v>
      </c>
      <c r="B48" s="1">
        <f t="shared" si="8"/>
        <v>42</v>
      </c>
      <c r="C48" s="20" t="s">
        <v>2096</v>
      </c>
      <c r="D48" s="20" t="s">
        <v>2102</v>
      </c>
      <c r="E48" s="65">
        <v>11387</v>
      </c>
      <c r="F48" s="19" t="s">
        <v>2068</v>
      </c>
      <c r="G48" s="9">
        <v>18238.461738400001</v>
      </c>
      <c r="H48" s="9">
        <v>11210.541389690001</v>
      </c>
      <c r="I48" s="9">
        <v>26233.544267129982</v>
      </c>
      <c r="J48" s="9">
        <v>23216.422270449981</v>
      </c>
      <c r="K48" s="9">
        <v>3017.1219966800004</v>
      </c>
      <c r="L48" s="9">
        <v>1079</v>
      </c>
      <c r="M48" s="9">
        <v>39479.754185889986</v>
      </c>
      <c r="N48" s="9">
        <v>1005</v>
      </c>
      <c r="O48" s="9">
        <v>38718.820948379987</v>
      </c>
      <c r="P48" s="9">
        <v>74</v>
      </c>
      <c r="Q48" s="9">
        <v>760.93323751000003</v>
      </c>
      <c r="R48" s="9">
        <v>3</v>
      </c>
      <c r="S48" s="9">
        <v>26522.03205894</v>
      </c>
      <c r="T48" s="9">
        <v>1</v>
      </c>
      <c r="U48" s="9">
        <v>21424.14</v>
      </c>
      <c r="V48" s="9">
        <v>0</v>
      </c>
      <c r="W48" s="9">
        <v>0</v>
      </c>
      <c r="X48" s="9">
        <v>12</v>
      </c>
      <c r="Y48" s="9">
        <v>137304.58965452996</v>
      </c>
      <c r="Z48" s="9">
        <v>41786.591175499998</v>
      </c>
      <c r="AA48" s="9">
        <v>95517.998479029964</v>
      </c>
      <c r="AB48" s="9">
        <v>165</v>
      </c>
      <c r="AC48" s="9">
        <v>215.75760411599995</v>
      </c>
      <c r="AD48" s="9">
        <v>1</v>
      </c>
      <c r="AE48" s="9">
        <v>4.3255138200001966</v>
      </c>
      <c r="AF48" s="18"/>
      <c r="AG48" s="18"/>
      <c r="AH48" s="18"/>
      <c r="AI48" s="18"/>
      <c r="AJ48" s="18"/>
      <c r="AK48" s="18"/>
      <c r="AL48" s="18"/>
      <c r="AM48" s="18"/>
    </row>
    <row r="49" spans="1:39" s="11" customFormat="1" ht="27" customHeight="1" x14ac:dyDescent="0.25">
      <c r="A49" s="66" t="s">
        <v>30</v>
      </c>
      <c r="B49" s="1">
        <f t="shared" si="8"/>
        <v>43</v>
      </c>
      <c r="C49" s="20" t="s">
        <v>2096</v>
      </c>
      <c r="D49" s="20" t="s">
        <v>2108</v>
      </c>
      <c r="E49" s="65">
        <v>11388</v>
      </c>
      <c r="F49" s="19" t="s">
        <v>2062</v>
      </c>
      <c r="G49" s="9">
        <v>20638.946831109999</v>
      </c>
      <c r="H49" s="9">
        <v>12913.82119216</v>
      </c>
      <c r="I49" s="9">
        <v>4221.8560531300036</v>
      </c>
      <c r="J49" s="9">
        <v>3732.5817496500026</v>
      </c>
      <c r="K49" s="9">
        <v>489.27430348000075</v>
      </c>
      <c r="L49" s="9">
        <v>586</v>
      </c>
      <c r="M49" s="9">
        <v>19525.976877000008</v>
      </c>
      <c r="N49" s="9">
        <v>496</v>
      </c>
      <c r="O49" s="9">
        <v>17975.926298370003</v>
      </c>
      <c r="P49" s="9">
        <v>90</v>
      </c>
      <c r="Q49" s="9">
        <v>1550.0505786299998</v>
      </c>
      <c r="R49" s="9">
        <v>5</v>
      </c>
      <c r="S49" s="9">
        <v>2056.7017975700001</v>
      </c>
      <c r="T49" s="9">
        <v>2</v>
      </c>
      <c r="U49" s="9">
        <v>1002.66351446</v>
      </c>
      <c r="V49" s="9">
        <v>0</v>
      </c>
      <c r="W49" s="9">
        <v>0</v>
      </c>
      <c r="X49" s="9">
        <v>14</v>
      </c>
      <c r="Y49" s="9">
        <v>138332.35739409999</v>
      </c>
      <c r="Z49" s="9">
        <v>54141.075048999999</v>
      </c>
      <c r="AA49" s="9">
        <v>84191.282345099986</v>
      </c>
      <c r="AB49" s="9">
        <v>236</v>
      </c>
      <c r="AC49" s="9">
        <v>463.48068558399979</v>
      </c>
      <c r="AD49" s="9">
        <v>217</v>
      </c>
      <c r="AE49" s="9">
        <v>4332.2038101300031</v>
      </c>
      <c r="AF49" s="18"/>
      <c r="AG49" s="18"/>
      <c r="AH49" s="18"/>
      <c r="AI49" s="18"/>
      <c r="AJ49" s="18"/>
      <c r="AK49" s="18"/>
      <c r="AL49" s="18"/>
      <c r="AM49" s="18"/>
    </row>
    <row r="50" spans="1:39" s="11" customFormat="1" ht="27" customHeight="1" x14ac:dyDescent="0.25">
      <c r="A50" s="66" t="s">
        <v>30</v>
      </c>
      <c r="B50" s="1">
        <f t="shared" si="8"/>
        <v>44</v>
      </c>
      <c r="C50" s="20" t="s">
        <v>2096</v>
      </c>
      <c r="D50" s="20" t="s">
        <v>2117</v>
      </c>
      <c r="E50" s="65">
        <v>11487</v>
      </c>
      <c r="F50" s="19" t="s">
        <v>2077</v>
      </c>
      <c r="G50" s="9">
        <v>24235.397744239999</v>
      </c>
      <c r="H50" s="9">
        <v>20750.103107669998</v>
      </c>
      <c r="I50" s="9">
        <v>2108.5592516500014</v>
      </c>
      <c r="J50" s="9">
        <v>1948.7267846700011</v>
      </c>
      <c r="K50" s="9">
        <v>159.83246698000019</v>
      </c>
      <c r="L50" s="9">
        <v>17</v>
      </c>
      <c r="M50" s="9">
        <v>252.06125217000002</v>
      </c>
      <c r="N50" s="9">
        <v>17</v>
      </c>
      <c r="O50" s="9">
        <v>252.06125217000002</v>
      </c>
      <c r="P50" s="9">
        <v>0</v>
      </c>
      <c r="Q50" s="9">
        <v>0</v>
      </c>
      <c r="R50" s="9">
        <v>13</v>
      </c>
      <c r="S50" s="9">
        <v>5614.9870024499996</v>
      </c>
      <c r="T50" s="9">
        <v>0</v>
      </c>
      <c r="U50" s="9">
        <v>0</v>
      </c>
      <c r="V50" s="9">
        <v>0</v>
      </c>
      <c r="W50" s="9">
        <v>0</v>
      </c>
      <c r="X50" s="9">
        <v>15</v>
      </c>
      <c r="Y50" s="9">
        <v>297815.48907709995</v>
      </c>
      <c r="Z50" s="9">
        <v>112950.84093224999</v>
      </c>
      <c r="AA50" s="9">
        <v>184864.64814484995</v>
      </c>
      <c r="AB50" s="9">
        <v>190</v>
      </c>
      <c r="AC50" s="9">
        <v>804.78922523950064</v>
      </c>
      <c r="AD50" s="9">
        <v>67</v>
      </c>
      <c r="AE50" s="9">
        <v>268.064878950001</v>
      </c>
      <c r="AF50" s="18"/>
      <c r="AG50" s="18"/>
      <c r="AH50" s="18"/>
      <c r="AI50" s="18"/>
      <c r="AJ50" s="18"/>
      <c r="AK50" s="18"/>
      <c r="AL50" s="18"/>
      <c r="AM50" s="18"/>
    </row>
    <row r="51" spans="1:39" s="11" customFormat="1" ht="27" customHeight="1" x14ac:dyDescent="0.25">
      <c r="A51" s="66" t="s">
        <v>30</v>
      </c>
      <c r="B51" s="1">
        <f t="shared" si="8"/>
        <v>45</v>
      </c>
      <c r="C51" s="20" t="s">
        <v>2096</v>
      </c>
      <c r="D51" s="20" t="s">
        <v>2098</v>
      </c>
      <c r="E51" s="65">
        <v>11488</v>
      </c>
      <c r="F51" s="19" t="s">
        <v>2075</v>
      </c>
      <c r="G51" s="9">
        <v>41122.797873659998</v>
      </c>
      <c r="H51" s="9">
        <v>12797.31071245</v>
      </c>
      <c r="I51" s="9">
        <v>1213.7463853899999</v>
      </c>
      <c r="J51" s="9">
        <v>1127.0809296299999</v>
      </c>
      <c r="K51" s="9">
        <v>86.665455760000071</v>
      </c>
      <c r="L51" s="9">
        <v>124</v>
      </c>
      <c r="M51" s="9">
        <v>33498.358824340001</v>
      </c>
      <c r="N51" s="9">
        <v>106</v>
      </c>
      <c r="O51" s="9">
        <v>33219.637709859999</v>
      </c>
      <c r="P51" s="9">
        <v>18</v>
      </c>
      <c r="Q51" s="9">
        <v>278.72111448000004</v>
      </c>
      <c r="R51" s="9">
        <v>2</v>
      </c>
      <c r="S51" s="9">
        <v>823.83614783999997</v>
      </c>
      <c r="T51" s="9">
        <v>0</v>
      </c>
      <c r="U51" s="9">
        <v>0</v>
      </c>
      <c r="V51" s="9">
        <v>0</v>
      </c>
      <c r="W51" s="9">
        <v>0</v>
      </c>
      <c r="X51" s="9">
        <v>15</v>
      </c>
      <c r="Y51" s="9">
        <v>126760.67980385997</v>
      </c>
      <c r="Z51" s="9">
        <v>50108.614432850001</v>
      </c>
      <c r="AA51" s="9">
        <v>76652.065371009958</v>
      </c>
      <c r="AB51" s="9">
        <v>125</v>
      </c>
      <c r="AC51" s="9">
        <v>168.29663633249993</v>
      </c>
      <c r="AD51" s="9">
        <v>11</v>
      </c>
      <c r="AE51" s="9">
        <v>247.42088533000015</v>
      </c>
      <c r="AF51" s="18"/>
      <c r="AG51" s="18"/>
      <c r="AH51" s="18"/>
      <c r="AI51" s="18"/>
      <c r="AJ51" s="18"/>
      <c r="AK51" s="18"/>
      <c r="AL51" s="18"/>
      <c r="AM51" s="18"/>
    </row>
    <row r="52" spans="1:39" s="11" customFormat="1" ht="27" customHeight="1" x14ac:dyDescent="0.25">
      <c r="A52" s="66" t="s">
        <v>30</v>
      </c>
      <c r="B52" s="1">
        <f t="shared" si="8"/>
        <v>46</v>
      </c>
      <c r="C52" s="20" t="s">
        <v>2096</v>
      </c>
      <c r="D52" s="20" t="s">
        <v>2116</v>
      </c>
      <c r="E52" s="65">
        <v>11489</v>
      </c>
      <c r="F52" s="19" t="s">
        <v>2066</v>
      </c>
      <c r="G52" s="9">
        <v>23107.449777649999</v>
      </c>
      <c r="H52" s="9">
        <v>16588.218510670002</v>
      </c>
      <c r="I52" s="9">
        <v>3592.655820020002</v>
      </c>
      <c r="J52" s="9">
        <v>3244.2796731700018</v>
      </c>
      <c r="K52" s="9">
        <v>348.37614685000028</v>
      </c>
      <c r="L52" s="9">
        <v>516</v>
      </c>
      <c r="M52" s="9">
        <v>11948.668188389998</v>
      </c>
      <c r="N52" s="9">
        <v>423</v>
      </c>
      <c r="O52" s="9">
        <v>10596.72555433</v>
      </c>
      <c r="P52" s="9">
        <v>93</v>
      </c>
      <c r="Q52" s="9">
        <v>1351.9426340600003</v>
      </c>
      <c r="R52" s="9">
        <v>8</v>
      </c>
      <c r="S52" s="9">
        <v>2998.3083903800002</v>
      </c>
      <c r="T52" s="9">
        <v>2</v>
      </c>
      <c r="U52" s="9">
        <v>522.78238010999996</v>
      </c>
      <c r="V52" s="9">
        <v>0</v>
      </c>
      <c r="W52" s="9">
        <v>0</v>
      </c>
      <c r="X52" s="9">
        <v>14</v>
      </c>
      <c r="Y52" s="9">
        <v>199511.03326838993</v>
      </c>
      <c r="Z52" s="9">
        <v>49047.768787000001</v>
      </c>
      <c r="AA52" s="9">
        <v>150463.26448138992</v>
      </c>
      <c r="AB52" s="9">
        <v>373</v>
      </c>
      <c r="AC52" s="9">
        <v>664.96416947550006</v>
      </c>
      <c r="AD52" s="9">
        <v>212</v>
      </c>
      <c r="AE52" s="9">
        <v>2700.5699643600014</v>
      </c>
      <c r="AF52" s="18"/>
      <c r="AG52" s="18"/>
      <c r="AH52" s="18"/>
      <c r="AI52" s="18"/>
      <c r="AJ52" s="18"/>
      <c r="AK52" s="18"/>
      <c r="AL52" s="18"/>
      <c r="AM52" s="18"/>
    </row>
    <row r="53" spans="1:39" s="11" customFormat="1" ht="27" customHeight="1" x14ac:dyDescent="0.25">
      <c r="A53" s="66" t="s">
        <v>30</v>
      </c>
      <c r="B53" s="1">
        <f t="shared" si="8"/>
        <v>47</v>
      </c>
      <c r="C53" s="20" t="s">
        <v>2096</v>
      </c>
      <c r="D53" s="20" t="s">
        <v>2104</v>
      </c>
      <c r="E53" s="65">
        <v>11490</v>
      </c>
      <c r="F53" s="19" t="s">
        <v>2054</v>
      </c>
      <c r="G53" s="9">
        <v>30347.117658359995</v>
      </c>
      <c r="H53" s="9">
        <v>20188.313870359994</v>
      </c>
      <c r="I53" s="9">
        <v>2843.6177962699999</v>
      </c>
      <c r="J53" s="9">
        <v>2268.6412813699994</v>
      </c>
      <c r="K53" s="9">
        <v>574.97651490000044</v>
      </c>
      <c r="L53" s="9">
        <v>1522</v>
      </c>
      <c r="M53" s="9">
        <v>32015.276059129992</v>
      </c>
      <c r="N53" s="9">
        <v>1521</v>
      </c>
      <c r="O53" s="9">
        <v>32003.676880459996</v>
      </c>
      <c r="P53" s="9">
        <v>1</v>
      </c>
      <c r="Q53" s="9">
        <v>11.599178670000001</v>
      </c>
      <c r="R53" s="9">
        <v>9</v>
      </c>
      <c r="S53" s="9">
        <v>54718.565742939994</v>
      </c>
      <c r="T53" s="9">
        <v>1</v>
      </c>
      <c r="U53" s="9">
        <v>54.144552650000001</v>
      </c>
      <c r="V53" s="9">
        <v>1</v>
      </c>
      <c r="W53" s="9">
        <v>10152.02415834</v>
      </c>
      <c r="X53" s="9">
        <v>15</v>
      </c>
      <c r="Y53" s="9">
        <v>299930.71102401998</v>
      </c>
      <c r="Z53" s="9">
        <v>145471.15852249999</v>
      </c>
      <c r="AA53" s="9">
        <v>154459.55250152003</v>
      </c>
      <c r="AB53" s="9">
        <v>283</v>
      </c>
      <c r="AC53" s="9">
        <v>2650.4194864489996</v>
      </c>
      <c r="AD53" s="9">
        <v>23</v>
      </c>
      <c r="AE53" s="9">
        <v>2495.437250370001</v>
      </c>
      <c r="AF53" s="18"/>
      <c r="AG53" s="18"/>
      <c r="AH53" s="18"/>
      <c r="AI53" s="18"/>
      <c r="AJ53" s="18"/>
      <c r="AK53" s="18"/>
      <c r="AL53" s="18"/>
      <c r="AM53" s="18"/>
    </row>
    <row r="54" spans="1:39" s="11" customFormat="1" ht="27" customHeight="1" x14ac:dyDescent="0.25">
      <c r="A54" s="66" t="s">
        <v>30</v>
      </c>
      <c r="B54" s="1">
        <f t="shared" si="8"/>
        <v>48</v>
      </c>
      <c r="C54" s="20" t="s">
        <v>2096</v>
      </c>
      <c r="D54" s="20" t="s">
        <v>2106</v>
      </c>
      <c r="E54" s="65">
        <v>11579</v>
      </c>
      <c r="F54" s="19" t="s">
        <v>2107</v>
      </c>
      <c r="G54" s="9">
        <v>76947.209403059998</v>
      </c>
      <c r="H54" s="9">
        <v>43205.378086190001</v>
      </c>
      <c r="I54" s="9">
        <v>8124.1222279299991</v>
      </c>
      <c r="J54" s="9">
        <v>7634.6373803699989</v>
      </c>
      <c r="K54" s="9">
        <v>489.48484756000022</v>
      </c>
      <c r="L54" s="9">
        <v>313</v>
      </c>
      <c r="M54" s="9">
        <v>19637.126339189999</v>
      </c>
      <c r="N54" s="9">
        <v>313</v>
      </c>
      <c r="O54" s="9">
        <v>19637.126339189999</v>
      </c>
      <c r="P54" s="9">
        <v>0</v>
      </c>
      <c r="Q54" s="9">
        <v>0</v>
      </c>
      <c r="R54" s="9">
        <v>18</v>
      </c>
      <c r="S54" s="9">
        <v>130149.70068897001</v>
      </c>
      <c r="T54" s="9">
        <v>0</v>
      </c>
      <c r="U54" s="9">
        <v>0</v>
      </c>
      <c r="V54" s="9">
        <v>9</v>
      </c>
      <c r="W54" s="9">
        <v>47018.614302769987</v>
      </c>
      <c r="X54" s="9">
        <v>21</v>
      </c>
      <c r="Y54" s="9">
        <v>793952.69566794997</v>
      </c>
      <c r="Z54" s="9">
        <v>480707.57500950003</v>
      </c>
      <c r="AA54" s="9">
        <v>313245.12065845</v>
      </c>
      <c r="AB54" s="9">
        <v>212</v>
      </c>
      <c r="AC54" s="9">
        <v>2173.9751034695</v>
      </c>
      <c r="AD54" s="9">
        <v>268</v>
      </c>
      <c r="AE54" s="9">
        <v>2976.3580196299963</v>
      </c>
      <c r="AF54" s="18"/>
      <c r="AG54" s="18"/>
      <c r="AH54" s="18"/>
      <c r="AI54" s="18"/>
      <c r="AJ54" s="18"/>
      <c r="AK54" s="18"/>
      <c r="AL54" s="18"/>
      <c r="AM54" s="18"/>
    </row>
    <row r="55" spans="1:39" s="11" customFormat="1" ht="27" customHeight="1" x14ac:dyDescent="0.25">
      <c r="A55" s="66" t="s">
        <v>30</v>
      </c>
      <c r="B55" s="1">
        <f t="shared" si="8"/>
        <v>49</v>
      </c>
      <c r="C55" s="20" t="s">
        <v>2096</v>
      </c>
      <c r="D55" s="20" t="s">
        <v>2110</v>
      </c>
      <c r="E55" s="65">
        <v>11580</v>
      </c>
      <c r="F55" s="19" t="s">
        <v>2047</v>
      </c>
      <c r="G55" s="9">
        <v>38432.781740630002</v>
      </c>
      <c r="H55" s="9">
        <v>17086.25083655</v>
      </c>
      <c r="I55" s="9">
        <v>2696.423492599999</v>
      </c>
      <c r="J55" s="9">
        <v>2535.4254469199991</v>
      </c>
      <c r="K55" s="9">
        <v>160.99804567999999</v>
      </c>
      <c r="L55" s="9">
        <v>647</v>
      </c>
      <c r="M55" s="9">
        <v>17815.457378029998</v>
      </c>
      <c r="N55" s="9">
        <v>646</v>
      </c>
      <c r="O55" s="9">
        <v>17706.157378029999</v>
      </c>
      <c r="P55" s="9">
        <v>1</v>
      </c>
      <c r="Q55" s="9">
        <v>109.3</v>
      </c>
      <c r="R55" s="9">
        <v>4</v>
      </c>
      <c r="S55" s="9">
        <v>868.38485500000002</v>
      </c>
      <c r="T55" s="9">
        <v>0</v>
      </c>
      <c r="U55" s="9">
        <v>0</v>
      </c>
      <c r="V55" s="9">
        <v>0</v>
      </c>
      <c r="W55" s="9">
        <v>0</v>
      </c>
      <c r="X55" s="9">
        <v>18</v>
      </c>
      <c r="Y55" s="9">
        <v>217576.52075994006</v>
      </c>
      <c r="Z55" s="9">
        <v>105388.47662799001</v>
      </c>
      <c r="AA55" s="9">
        <v>112188.04413195005</v>
      </c>
      <c r="AB55" s="9">
        <v>139</v>
      </c>
      <c r="AC55" s="9">
        <v>290.81975623999978</v>
      </c>
      <c r="AD55" s="9">
        <v>174</v>
      </c>
      <c r="AE55" s="9">
        <v>1713.6158964600006</v>
      </c>
      <c r="AF55" s="18"/>
      <c r="AG55" s="18"/>
      <c r="AH55" s="18"/>
      <c r="AI55" s="18"/>
      <c r="AJ55" s="18"/>
      <c r="AK55" s="18"/>
      <c r="AL55" s="18"/>
      <c r="AM55" s="18"/>
    </row>
    <row r="56" spans="1:39" s="11" customFormat="1" ht="27" customHeight="1" x14ac:dyDescent="0.25">
      <c r="A56" s="66" t="s">
        <v>30</v>
      </c>
      <c r="B56" s="1">
        <f t="shared" si="8"/>
        <v>50</v>
      </c>
      <c r="C56" s="20" t="s">
        <v>2096</v>
      </c>
      <c r="D56" s="20" t="s">
        <v>2113</v>
      </c>
      <c r="E56" s="65">
        <v>11581</v>
      </c>
      <c r="F56" s="19" t="s">
        <v>2037</v>
      </c>
      <c r="G56" s="9">
        <v>18429.022892370002</v>
      </c>
      <c r="H56" s="9">
        <v>15092.60201855</v>
      </c>
      <c r="I56" s="9">
        <v>2959.4461522900028</v>
      </c>
      <c r="J56" s="9">
        <v>2768.6015980000029</v>
      </c>
      <c r="K56" s="9">
        <v>190.8445542900001</v>
      </c>
      <c r="L56" s="9">
        <v>469</v>
      </c>
      <c r="M56" s="9">
        <v>11221.184597679996</v>
      </c>
      <c r="N56" s="9">
        <v>468</v>
      </c>
      <c r="O56" s="9">
        <v>11214.057382349998</v>
      </c>
      <c r="P56" s="9">
        <v>1</v>
      </c>
      <c r="Q56" s="9">
        <v>7.1272153300000003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15</v>
      </c>
      <c r="Y56" s="9">
        <v>148952.88382741984</v>
      </c>
      <c r="Z56" s="9">
        <v>38378.290625000001</v>
      </c>
      <c r="AA56" s="9">
        <v>110574.59320241983</v>
      </c>
      <c r="AB56" s="9">
        <v>220</v>
      </c>
      <c r="AC56" s="9">
        <v>320.20360818049977</v>
      </c>
      <c r="AD56" s="9">
        <v>237</v>
      </c>
      <c r="AE56" s="9">
        <v>2309.5216224399987</v>
      </c>
      <c r="AF56" s="18"/>
      <c r="AG56" s="18"/>
      <c r="AH56" s="18"/>
      <c r="AI56" s="18"/>
      <c r="AJ56" s="18"/>
      <c r="AK56" s="18"/>
      <c r="AL56" s="18"/>
      <c r="AM56" s="18"/>
    </row>
    <row r="57" spans="1:39" s="11" customFormat="1" ht="27" customHeight="1" x14ac:dyDescent="0.25">
      <c r="A57" s="66" t="s">
        <v>30</v>
      </c>
      <c r="B57" s="1">
        <f t="shared" si="8"/>
        <v>51</v>
      </c>
      <c r="C57" s="20" t="s">
        <v>2096</v>
      </c>
      <c r="D57" s="20" t="s">
        <v>2114</v>
      </c>
      <c r="E57" s="65">
        <v>11582</v>
      </c>
      <c r="F57" s="19" t="s">
        <v>2049</v>
      </c>
      <c r="G57" s="9">
        <v>19603.113633739998</v>
      </c>
      <c r="H57" s="9">
        <v>17000.069379529999</v>
      </c>
      <c r="I57" s="9">
        <v>3171.6401537599977</v>
      </c>
      <c r="J57" s="9">
        <v>2877.9406058899976</v>
      </c>
      <c r="K57" s="9">
        <v>293.69954786999995</v>
      </c>
      <c r="L57" s="9">
        <v>171</v>
      </c>
      <c r="M57" s="9">
        <v>3120.6070637599996</v>
      </c>
      <c r="N57" s="9">
        <v>169</v>
      </c>
      <c r="O57" s="9">
        <v>2988.5934645899993</v>
      </c>
      <c r="P57" s="9">
        <v>2</v>
      </c>
      <c r="Q57" s="9">
        <v>132.01359916999999</v>
      </c>
      <c r="R57" s="9">
        <v>1</v>
      </c>
      <c r="S57" s="9">
        <v>19.380470719999998</v>
      </c>
      <c r="T57" s="9">
        <v>1</v>
      </c>
      <c r="U57" s="9">
        <v>19.380470719999998</v>
      </c>
      <c r="V57" s="9">
        <v>0</v>
      </c>
      <c r="W57" s="9">
        <v>0</v>
      </c>
      <c r="X57" s="9">
        <v>13</v>
      </c>
      <c r="Y57" s="9">
        <v>157265.84506611002</v>
      </c>
      <c r="Z57" s="9">
        <v>78197.487978689998</v>
      </c>
      <c r="AA57" s="9">
        <v>79068.357087420009</v>
      </c>
      <c r="AB57" s="9">
        <v>228</v>
      </c>
      <c r="AC57" s="9">
        <v>425.54556403100003</v>
      </c>
      <c r="AD57" s="9">
        <v>19</v>
      </c>
      <c r="AE57" s="9">
        <v>340.29093508000005</v>
      </c>
      <c r="AF57" s="18"/>
      <c r="AG57" s="18"/>
      <c r="AH57" s="18"/>
      <c r="AI57" s="18"/>
      <c r="AJ57" s="18"/>
      <c r="AK57" s="18"/>
      <c r="AL57" s="18"/>
      <c r="AM57" s="18"/>
    </row>
    <row r="58" spans="1:39" s="11" customFormat="1" ht="27" customHeight="1" x14ac:dyDescent="0.25">
      <c r="A58" s="66" t="s">
        <v>30</v>
      </c>
      <c r="B58" s="1">
        <f t="shared" si="8"/>
        <v>52</v>
      </c>
      <c r="C58" s="20" t="s">
        <v>2096</v>
      </c>
      <c r="D58" s="20" t="s">
        <v>2099</v>
      </c>
      <c r="E58" s="65">
        <v>11633</v>
      </c>
      <c r="F58" s="19" t="s">
        <v>2100</v>
      </c>
      <c r="G58" s="9">
        <v>41662.26355096</v>
      </c>
      <c r="H58" s="9">
        <v>17116.16273312</v>
      </c>
      <c r="I58" s="9">
        <v>4720.4731518400022</v>
      </c>
      <c r="J58" s="9">
        <v>4102.9522335100019</v>
      </c>
      <c r="K58" s="9">
        <v>617.52091833000043</v>
      </c>
      <c r="L58" s="9">
        <v>770</v>
      </c>
      <c r="M58" s="9">
        <v>50711.316962780002</v>
      </c>
      <c r="N58" s="9">
        <v>760</v>
      </c>
      <c r="O58" s="9">
        <v>50562.498704249992</v>
      </c>
      <c r="P58" s="9">
        <v>10</v>
      </c>
      <c r="Q58" s="9">
        <v>148.81825853000001</v>
      </c>
      <c r="R58" s="9">
        <v>7</v>
      </c>
      <c r="S58" s="9">
        <v>16216.627154779999</v>
      </c>
      <c r="T58" s="9">
        <v>1</v>
      </c>
      <c r="U58" s="9">
        <v>2</v>
      </c>
      <c r="V58" s="9">
        <v>1</v>
      </c>
      <c r="W58" s="9">
        <v>3306.8571440000001</v>
      </c>
      <c r="X58" s="9">
        <v>15</v>
      </c>
      <c r="Y58" s="9">
        <v>211469.03961282998</v>
      </c>
      <c r="Z58" s="9">
        <v>80391.896087529996</v>
      </c>
      <c r="AA58" s="9">
        <v>131077.14352529997</v>
      </c>
      <c r="AB58" s="9">
        <v>187</v>
      </c>
      <c r="AC58" s="9">
        <v>1540.0977707320019</v>
      </c>
      <c r="AD58" s="9">
        <v>249</v>
      </c>
      <c r="AE58" s="9">
        <v>2969.2458880000017</v>
      </c>
      <c r="AF58" s="18"/>
      <c r="AG58" s="18"/>
      <c r="AH58" s="18"/>
      <c r="AI58" s="18"/>
      <c r="AJ58" s="18"/>
      <c r="AK58" s="18"/>
      <c r="AL58" s="18"/>
      <c r="AM58" s="18"/>
    </row>
    <row r="59" spans="1:39" s="11" customFormat="1" ht="27" customHeight="1" x14ac:dyDescent="0.25">
      <c r="A59" s="66" t="s">
        <v>30</v>
      </c>
      <c r="B59" s="1">
        <f t="shared" si="8"/>
        <v>53</v>
      </c>
      <c r="C59" s="20" t="s">
        <v>2096</v>
      </c>
      <c r="D59" s="20" t="s">
        <v>2112</v>
      </c>
      <c r="E59" s="65">
        <v>11634</v>
      </c>
      <c r="F59" s="19" t="s">
        <v>2041</v>
      </c>
      <c r="G59" s="9">
        <v>23546.406097210001</v>
      </c>
      <c r="H59" s="9">
        <v>10468.948222800002</v>
      </c>
      <c r="I59" s="9">
        <v>1600.0166570499991</v>
      </c>
      <c r="J59" s="9">
        <v>1454.0472423199992</v>
      </c>
      <c r="K59" s="9">
        <v>145.96941472999993</v>
      </c>
      <c r="L59" s="9">
        <v>198</v>
      </c>
      <c r="M59" s="9">
        <v>4686.4856449399986</v>
      </c>
      <c r="N59" s="9">
        <v>196</v>
      </c>
      <c r="O59" s="9">
        <v>3693.3201287299985</v>
      </c>
      <c r="P59" s="9">
        <v>2</v>
      </c>
      <c r="Q59" s="9">
        <v>993.16551621000008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17</v>
      </c>
      <c r="Y59" s="9">
        <v>129314.08590042</v>
      </c>
      <c r="Z59" s="9">
        <v>49062.613262599996</v>
      </c>
      <c r="AA59" s="9">
        <v>80251.472637820014</v>
      </c>
      <c r="AB59" s="9">
        <v>172</v>
      </c>
      <c r="AC59" s="9">
        <v>235.59687336300013</v>
      </c>
      <c r="AD59" s="9">
        <v>131</v>
      </c>
      <c r="AE59" s="9">
        <v>1006.1161361600002</v>
      </c>
      <c r="AF59" s="18"/>
      <c r="AG59" s="18"/>
      <c r="AH59" s="18"/>
      <c r="AI59" s="18"/>
      <c r="AJ59" s="18"/>
      <c r="AK59" s="18"/>
      <c r="AL59" s="18"/>
      <c r="AM59" s="18"/>
    </row>
    <row r="60" spans="1:39" s="11" customFormat="1" ht="27" customHeight="1" x14ac:dyDescent="0.25">
      <c r="A60" s="66" t="s">
        <v>30</v>
      </c>
      <c r="B60" s="1">
        <f t="shared" si="8"/>
        <v>54</v>
      </c>
      <c r="C60" s="20" t="s">
        <v>2096</v>
      </c>
      <c r="D60" s="20" t="s">
        <v>2115</v>
      </c>
      <c r="E60" s="65">
        <v>11782</v>
      </c>
      <c r="F60" s="19" t="s">
        <v>2087</v>
      </c>
      <c r="G60" s="9">
        <v>32274.319665629999</v>
      </c>
      <c r="H60" s="9">
        <v>17240.688921059998</v>
      </c>
      <c r="I60" s="9">
        <v>3961.6883128299996</v>
      </c>
      <c r="J60" s="9">
        <v>3440.5294891899994</v>
      </c>
      <c r="K60" s="9">
        <v>521.15882364000004</v>
      </c>
      <c r="L60" s="9">
        <v>958</v>
      </c>
      <c r="M60" s="9">
        <v>20456.777622199992</v>
      </c>
      <c r="N60" s="9">
        <v>956</v>
      </c>
      <c r="O60" s="9">
        <v>20390.238931569991</v>
      </c>
      <c r="P60" s="9">
        <v>2</v>
      </c>
      <c r="Q60" s="9">
        <v>66.538690629999991</v>
      </c>
      <c r="R60" s="9">
        <v>3</v>
      </c>
      <c r="S60" s="9">
        <v>34027.181009169995</v>
      </c>
      <c r="T60" s="9">
        <v>0</v>
      </c>
      <c r="U60" s="9">
        <v>0</v>
      </c>
      <c r="V60" s="9">
        <v>1</v>
      </c>
      <c r="W60" s="9">
        <v>843.56860916999995</v>
      </c>
      <c r="X60" s="9">
        <v>15</v>
      </c>
      <c r="Y60" s="9">
        <v>264237.93996870006</v>
      </c>
      <c r="Z60" s="9">
        <v>122082.7432695</v>
      </c>
      <c r="AA60" s="9">
        <v>142155.19669920002</v>
      </c>
      <c r="AB60" s="9">
        <v>119</v>
      </c>
      <c r="AC60" s="9">
        <v>424.81822358800002</v>
      </c>
      <c r="AD60" s="9">
        <v>100</v>
      </c>
      <c r="AE60" s="9">
        <v>1079.0688299200003</v>
      </c>
      <c r="AF60" s="18"/>
      <c r="AG60" s="18"/>
      <c r="AH60" s="18"/>
      <c r="AI60" s="18"/>
      <c r="AJ60" s="18"/>
      <c r="AK60" s="18"/>
      <c r="AL60" s="18"/>
      <c r="AM60" s="18"/>
    </row>
    <row r="61" spans="1:39" s="11" customFormat="1" ht="27" customHeight="1" x14ac:dyDescent="0.25">
      <c r="A61" s="66" t="s">
        <v>30</v>
      </c>
      <c r="B61" s="1">
        <f t="shared" si="8"/>
        <v>55</v>
      </c>
      <c r="C61" s="20" t="s">
        <v>2096</v>
      </c>
      <c r="D61" s="20" t="s">
        <v>2103</v>
      </c>
      <c r="E61" s="65">
        <v>11799</v>
      </c>
      <c r="F61" s="19" t="s">
        <v>2035</v>
      </c>
      <c r="G61" s="9">
        <v>52015.901310450005</v>
      </c>
      <c r="H61" s="9">
        <v>32366.661890110005</v>
      </c>
      <c r="I61" s="9">
        <v>55878.589670540016</v>
      </c>
      <c r="J61" s="9">
        <v>46651.149772330042</v>
      </c>
      <c r="K61" s="9">
        <v>9227.4398982099738</v>
      </c>
      <c r="L61" s="9">
        <v>898</v>
      </c>
      <c r="M61" s="9">
        <v>52293.318592119998</v>
      </c>
      <c r="N61" s="9">
        <v>878</v>
      </c>
      <c r="O61" s="9">
        <v>52005.601220069992</v>
      </c>
      <c r="P61" s="9">
        <v>20</v>
      </c>
      <c r="Q61" s="9">
        <v>287.71737204999999</v>
      </c>
      <c r="R61" s="9">
        <v>6</v>
      </c>
      <c r="S61" s="9">
        <v>81503.063184819999</v>
      </c>
      <c r="T61" s="9">
        <v>3</v>
      </c>
      <c r="U61" s="9">
        <v>36492.536901440006</v>
      </c>
      <c r="V61" s="9">
        <v>1</v>
      </c>
      <c r="W61" s="9">
        <v>11552.258236940001</v>
      </c>
      <c r="X61" s="9">
        <v>17</v>
      </c>
      <c r="Y61" s="9">
        <v>674106.32462458988</v>
      </c>
      <c r="Z61" s="9">
        <v>216749.96601599999</v>
      </c>
      <c r="AA61" s="9">
        <v>457356.35860858986</v>
      </c>
      <c r="AB61" s="9">
        <v>281</v>
      </c>
      <c r="AC61" s="9">
        <v>740.35760128350182</v>
      </c>
      <c r="AD61" s="9">
        <v>292</v>
      </c>
      <c r="AE61" s="9">
        <v>45869.70383675996</v>
      </c>
      <c r="AF61" s="18"/>
      <c r="AG61" s="18"/>
      <c r="AH61" s="18"/>
      <c r="AI61" s="18"/>
      <c r="AJ61" s="18"/>
      <c r="AK61" s="18"/>
      <c r="AL61" s="18"/>
      <c r="AM61" s="18"/>
    </row>
    <row r="62" spans="1:39" s="11" customFormat="1" ht="27" customHeight="1" x14ac:dyDescent="0.25">
      <c r="A62" s="66" t="s">
        <v>30</v>
      </c>
      <c r="B62" s="1">
        <f t="shared" si="8"/>
        <v>56</v>
      </c>
      <c r="C62" s="20" t="s">
        <v>2096</v>
      </c>
      <c r="D62" s="20" t="s">
        <v>2109</v>
      </c>
      <c r="E62" s="65">
        <v>11800</v>
      </c>
      <c r="F62" s="19" t="s">
        <v>2073</v>
      </c>
      <c r="G62" s="9">
        <v>28064.974556870005</v>
      </c>
      <c r="H62" s="9">
        <v>20785.528265000004</v>
      </c>
      <c r="I62" s="9">
        <v>5372.7431946500028</v>
      </c>
      <c r="J62" s="9">
        <v>4832.3386171000038</v>
      </c>
      <c r="K62" s="9">
        <v>540.40457754999898</v>
      </c>
      <c r="L62" s="9">
        <v>1837</v>
      </c>
      <c r="M62" s="9">
        <v>27936.472208510007</v>
      </c>
      <c r="N62" s="9">
        <v>1800</v>
      </c>
      <c r="O62" s="9">
        <v>27326.014075150008</v>
      </c>
      <c r="P62" s="9">
        <v>37</v>
      </c>
      <c r="Q62" s="9">
        <v>610.45813335999992</v>
      </c>
      <c r="R62" s="9">
        <v>3</v>
      </c>
      <c r="S62" s="9">
        <v>3300.65534815</v>
      </c>
      <c r="T62" s="9">
        <v>0</v>
      </c>
      <c r="U62" s="9">
        <v>0</v>
      </c>
      <c r="V62" s="9">
        <v>0</v>
      </c>
      <c r="W62" s="9">
        <v>0</v>
      </c>
      <c r="X62" s="9">
        <v>17</v>
      </c>
      <c r="Y62" s="9">
        <v>226768.76235670998</v>
      </c>
      <c r="Z62" s="9">
        <v>101066.75332649999</v>
      </c>
      <c r="AA62" s="9">
        <v>125702.00903020997</v>
      </c>
      <c r="AB62" s="9">
        <v>268</v>
      </c>
      <c r="AC62" s="9">
        <v>503.17791119549963</v>
      </c>
      <c r="AD62" s="9">
        <v>108</v>
      </c>
      <c r="AE62" s="9">
        <v>1793.29157495</v>
      </c>
      <c r="AF62" s="18"/>
      <c r="AG62" s="18"/>
      <c r="AH62" s="18"/>
      <c r="AI62" s="18"/>
      <c r="AJ62" s="18"/>
      <c r="AK62" s="18"/>
      <c r="AL62" s="18"/>
      <c r="AM62" s="18"/>
    </row>
    <row r="63" spans="1:39" s="11" customFormat="1" ht="27" customHeight="1" x14ac:dyDescent="0.25">
      <c r="A63" s="66" t="s">
        <v>30</v>
      </c>
      <c r="B63" s="1">
        <f t="shared" si="8"/>
        <v>57</v>
      </c>
      <c r="C63" s="20" t="s">
        <v>2096</v>
      </c>
      <c r="D63" s="20" t="s">
        <v>2111</v>
      </c>
      <c r="E63" s="65">
        <v>11801</v>
      </c>
      <c r="F63" s="19" t="s">
        <v>2064</v>
      </c>
      <c r="G63" s="9">
        <v>27708.340352219999</v>
      </c>
      <c r="H63" s="9">
        <v>21864.44108226</v>
      </c>
      <c r="I63" s="9">
        <v>7102.4774628999976</v>
      </c>
      <c r="J63" s="9">
        <v>6637.487322879997</v>
      </c>
      <c r="K63" s="9">
        <v>464.99014002000024</v>
      </c>
      <c r="L63" s="9">
        <v>1413</v>
      </c>
      <c r="M63" s="9">
        <v>32534.971780740005</v>
      </c>
      <c r="N63" s="9">
        <v>1298</v>
      </c>
      <c r="O63" s="9">
        <v>30590.687114449996</v>
      </c>
      <c r="P63" s="9">
        <v>115</v>
      </c>
      <c r="Q63" s="9">
        <v>1944.2846662899994</v>
      </c>
      <c r="R63" s="9">
        <v>1</v>
      </c>
      <c r="S63" s="9">
        <v>712.02308030999995</v>
      </c>
      <c r="T63" s="9">
        <v>0</v>
      </c>
      <c r="U63" s="9">
        <v>0</v>
      </c>
      <c r="V63" s="9">
        <v>0</v>
      </c>
      <c r="W63" s="9">
        <v>0</v>
      </c>
      <c r="X63" s="9">
        <v>14</v>
      </c>
      <c r="Y63" s="9">
        <v>223543.02172622</v>
      </c>
      <c r="Z63" s="9">
        <v>47270.216196599999</v>
      </c>
      <c r="AA63" s="9">
        <v>176272.80552962</v>
      </c>
      <c r="AB63" s="9">
        <v>427</v>
      </c>
      <c r="AC63" s="9">
        <v>841.7397264350011</v>
      </c>
      <c r="AD63" s="9">
        <v>93</v>
      </c>
      <c r="AE63" s="9">
        <v>2127.5911628500007</v>
      </c>
      <c r="AF63" s="18"/>
      <c r="AG63" s="18"/>
      <c r="AH63" s="18"/>
      <c r="AI63" s="18"/>
      <c r="AJ63" s="18"/>
      <c r="AK63" s="18"/>
      <c r="AL63" s="18"/>
      <c r="AM63" s="18"/>
    </row>
    <row r="64" spans="1:39" s="11" customFormat="1" ht="27" customHeight="1" x14ac:dyDescent="0.25">
      <c r="A64" s="66" t="s">
        <v>34</v>
      </c>
      <c r="B64" s="1">
        <f t="shared" si="8"/>
        <v>58</v>
      </c>
      <c r="C64" s="20" t="s">
        <v>2135</v>
      </c>
      <c r="D64" s="20" t="s">
        <v>2138</v>
      </c>
      <c r="E64" s="65">
        <v>12090</v>
      </c>
      <c r="F64" s="19" t="s">
        <v>2043</v>
      </c>
      <c r="G64" s="9">
        <v>28620.044779010001</v>
      </c>
      <c r="H64" s="9">
        <v>16165.36318624</v>
      </c>
      <c r="I64" s="9">
        <v>0</v>
      </c>
      <c r="J64" s="9">
        <v>0</v>
      </c>
      <c r="K64" s="9">
        <v>0</v>
      </c>
      <c r="L64" s="9">
        <v>1</v>
      </c>
      <c r="M64" s="9">
        <v>85.138973719999996</v>
      </c>
      <c r="N64" s="9">
        <v>1</v>
      </c>
      <c r="O64" s="9">
        <v>85.138973719999996</v>
      </c>
      <c r="P64" s="9">
        <v>0</v>
      </c>
      <c r="Q64" s="9">
        <v>0</v>
      </c>
      <c r="R64" s="9">
        <v>1</v>
      </c>
      <c r="S64" s="9">
        <v>38.6</v>
      </c>
      <c r="T64" s="9">
        <v>0</v>
      </c>
      <c r="U64" s="9">
        <v>0</v>
      </c>
      <c r="V64" s="9">
        <v>0</v>
      </c>
      <c r="W64" s="9">
        <v>0</v>
      </c>
      <c r="X64" s="9">
        <v>35</v>
      </c>
      <c r="Y64" s="9">
        <v>180918.16022999998</v>
      </c>
      <c r="Z64" s="9">
        <v>113730.891223</v>
      </c>
      <c r="AA64" s="9">
        <v>67187.269006999995</v>
      </c>
      <c r="AB64" s="9">
        <v>16</v>
      </c>
      <c r="AC64" s="9">
        <v>756.3826311255001</v>
      </c>
      <c r="AD64" s="9">
        <v>4</v>
      </c>
      <c r="AE64" s="9">
        <v>452.86863115</v>
      </c>
      <c r="AF64" s="18"/>
      <c r="AG64" s="18"/>
      <c r="AH64" s="18"/>
      <c r="AI64" s="18"/>
      <c r="AJ64" s="18"/>
      <c r="AK64" s="18"/>
      <c r="AL64" s="18"/>
      <c r="AM64" s="18"/>
    </row>
    <row r="65" spans="1:39" s="11" customFormat="1" ht="27" customHeight="1" x14ac:dyDescent="0.25">
      <c r="A65" s="66" t="s">
        <v>34</v>
      </c>
      <c r="B65" s="1">
        <f t="shared" si="8"/>
        <v>59</v>
      </c>
      <c r="C65" s="20" t="s">
        <v>2135</v>
      </c>
      <c r="D65" s="20" t="s">
        <v>2137</v>
      </c>
      <c r="E65" s="65">
        <v>12091</v>
      </c>
      <c r="F65" s="19" t="s">
        <v>2107</v>
      </c>
      <c r="G65" s="9">
        <v>17731.333442039999</v>
      </c>
      <c r="H65" s="9">
        <v>9297.6792041400004</v>
      </c>
      <c r="I65" s="9">
        <v>16.354572860000001</v>
      </c>
      <c r="J65" s="9">
        <v>16.354572860000001</v>
      </c>
      <c r="K65" s="9">
        <v>0</v>
      </c>
      <c r="L65" s="9">
        <v>2</v>
      </c>
      <c r="M65" s="9">
        <v>1516.10439182</v>
      </c>
      <c r="N65" s="9">
        <v>2</v>
      </c>
      <c r="O65" s="9">
        <v>1516.10439182</v>
      </c>
      <c r="P65" s="9">
        <v>0</v>
      </c>
      <c r="Q65" s="9">
        <v>0</v>
      </c>
      <c r="R65" s="9">
        <v>7</v>
      </c>
      <c r="S65" s="9">
        <v>525.22926166000002</v>
      </c>
      <c r="T65" s="9">
        <v>0</v>
      </c>
      <c r="U65" s="9">
        <v>0</v>
      </c>
      <c r="V65" s="9">
        <v>0</v>
      </c>
      <c r="W65" s="9">
        <v>0</v>
      </c>
      <c r="X65" s="9">
        <v>27</v>
      </c>
      <c r="Y65" s="9">
        <v>109670.68093710001</v>
      </c>
      <c r="Z65" s="9">
        <v>80983.146514100008</v>
      </c>
      <c r="AA65" s="9">
        <v>28687.534423000001</v>
      </c>
      <c r="AB65" s="9">
        <v>5</v>
      </c>
      <c r="AC65" s="9">
        <v>828.88432470599992</v>
      </c>
      <c r="AD65" s="9">
        <v>3</v>
      </c>
      <c r="AE65" s="9">
        <v>527.55602511999996</v>
      </c>
      <c r="AF65" s="18"/>
      <c r="AG65" s="18"/>
      <c r="AH65" s="18"/>
      <c r="AI65" s="18"/>
      <c r="AJ65" s="18"/>
      <c r="AK65" s="18"/>
      <c r="AL65" s="18"/>
      <c r="AM65" s="18"/>
    </row>
    <row r="66" spans="1:39" s="11" customFormat="1" ht="27" customHeight="1" x14ac:dyDescent="0.25">
      <c r="A66" s="66" t="s">
        <v>34</v>
      </c>
      <c r="B66" s="1">
        <f t="shared" si="8"/>
        <v>60</v>
      </c>
      <c r="C66" s="20" t="s">
        <v>2135</v>
      </c>
      <c r="D66" s="20" t="s">
        <v>2136</v>
      </c>
      <c r="E66" s="65">
        <v>12097</v>
      </c>
      <c r="F66" s="19" t="s">
        <v>2054</v>
      </c>
      <c r="G66" s="9">
        <v>11279.689953560001</v>
      </c>
      <c r="H66" s="9">
        <v>5721.1060330300006</v>
      </c>
      <c r="I66" s="9">
        <v>589.04211218</v>
      </c>
      <c r="J66" s="9">
        <v>549.94080127999996</v>
      </c>
      <c r="K66" s="9">
        <v>39.101310900000001</v>
      </c>
      <c r="L66" s="9">
        <v>17</v>
      </c>
      <c r="M66" s="9">
        <v>455.19964276000002</v>
      </c>
      <c r="N66" s="9">
        <v>17</v>
      </c>
      <c r="O66" s="9">
        <v>455.19964276000002</v>
      </c>
      <c r="P66" s="9">
        <v>0</v>
      </c>
      <c r="Q66" s="9">
        <v>0</v>
      </c>
      <c r="R66" s="9">
        <v>19</v>
      </c>
      <c r="S66" s="9">
        <v>2043.7872891500001</v>
      </c>
      <c r="T66" s="9">
        <v>6</v>
      </c>
      <c r="U66" s="9">
        <v>77.692487430000014</v>
      </c>
      <c r="V66" s="9">
        <v>0</v>
      </c>
      <c r="W66" s="9">
        <v>0</v>
      </c>
      <c r="X66" s="9">
        <v>22</v>
      </c>
      <c r="Y66" s="9">
        <v>92004.130970540005</v>
      </c>
      <c r="Z66" s="9">
        <v>68307.379700000005</v>
      </c>
      <c r="AA66" s="9">
        <v>23696.75127054</v>
      </c>
      <c r="AB66" s="9">
        <v>23</v>
      </c>
      <c r="AC66" s="9">
        <v>711.72130217300003</v>
      </c>
      <c r="AD66" s="9">
        <v>12</v>
      </c>
      <c r="AE66" s="9">
        <v>1245.0377222000002</v>
      </c>
      <c r="AF66" s="18"/>
      <c r="AG66" s="18"/>
      <c r="AH66" s="18"/>
      <c r="AI66" s="18"/>
      <c r="AJ66" s="18"/>
      <c r="AK66" s="18"/>
      <c r="AL66" s="18"/>
      <c r="AM66" s="18"/>
    </row>
    <row r="67" spans="1:39" s="11" customFormat="1" ht="27" customHeight="1" x14ac:dyDescent="0.25">
      <c r="A67" s="66" t="s">
        <v>42</v>
      </c>
      <c r="B67" s="1">
        <f t="shared" si="8"/>
        <v>61</v>
      </c>
      <c r="C67" s="20" t="s">
        <v>2118</v>
      </c>
      <c r="D67" s="20" t="s">
        <v>2122</v>
      </c>
      <c r="E67" s="65">
        <v>10818</v>
      </c>
      <c r="F67" s="19" t="s">
        <v>2035</v>
      </c>
      <c r="G67" s="9">
        <v>213867.36597761</v>
      </c>
      <c r="H67" s="9">
        <v>131719.44245231</v>
      </c>
      <c r="I67" s="9">
        <v>34493.950413969993</v>
      </c>
      <c r="J67" s="9">
        <v>34493.950413969993</v>
      </c>
      <c r="K67" s="9">
        <v>0</v>
      </c>
      <c r="L67" s="9">
        <v>324</v>
      </c>
      <c r="M67" s="9">
        <v>156855.66971881001</v>
      </c>
      <c r="N67" s="9">
        <v>324</v>
      </c>
      <c r="O67" s="9">
        <v>156855.66971881001</v>
      </c>
      <c r="P67" s="9">
        <v>0</v>
      </c>
      <c r="Q67" s="9">
        <v>0</v>
      </c>
      <c r="R67" s="9">
        <v>3074</v>
      </c>
      <c r="S67" s="9">
        <v>271969.02009924181</v>
      </c>
      <c r="T67" s="9">
        <v>113</v>
      </c>
      <c r="U67" s="9">
        <v>8359.7457558299957</v>
      </c>
      <c r="V67" s="9">
        <v>3</v>
      </c>
      <c r="W67" s="9">
        <v>6285.09138437</v>
      </c>
      <c r="X67" s="9">
        <v>30</v>
      </c>
      <c r="Y67" s="9">
        <v>1448470.6798031605</v>
      </c>
      <c r="Z67" s="9">
        <v>1123701.7339580804</v>
      </c>
      <c r="AA67" s="9">
        <v>324768.94584508002</v>
      </c>
      <c r="AB67" s="9">
        <v>1901</v>
      </c>
      <c r="AC67" s="9">
        <v>53425.028056929346</v>
      </c>
      <c r="AD67" s="9">
        <v>193</v>
      </c>
      <c r="AE67" s="9">
        <v>27683.997575180008</v>
      </c>
      <c r="AF67" s="18"/>
      <c r="AG67" s="18"/>
      <c r="AH67" s="18"/>
      <c r="AI67" s="18"/>
      <c r="AJ67" s="18"/>
      <c r="AK67" s="18"/>
      <c r="AL67" s="18"/>
      <c r="AM67" s="18"/>
    </row>
    <row r="68" spans="1:39" s="11" customFormat="1" ht="27" customHeight="1" x14ac:dyDescent="0.25">
      <c r="A68" s="66" t="s">
        <v>42</v>
      </c>
      <c r="B68" s="1">
        <f t="shared" si="8"/>
        <v>62</v>
      </c>
      <c r="C68" s="20" t="s">
        <v>2118</v>
      </c>
      <c r="D68" s="20" t="s">
        <v>2121</v>
      </c>
      <c r="E68" s="65">
        <v>10819</v>
      </c>
      <c r="F68" s="19" t="s">
        <v>2100</v>
      </c>
      <c r="G68" s="9">
        <v>70233.957758630015</v>
      </c>
      <c r="H68" s="9">
        <v>46927.193284880006</v>
      </c>
      <c r="I68" s="9">
        <v>4372.7504938399989</v>
      </c>
      <c r="J68" s="9">
        <v>4372.7504938399989</v>
      </c>
      <c r="K68" s="9">
        <v>0</v>
      </c>
      <c r="L68" s="9">
        <v>112</v>
      </c>
      <c r="M68" s="9">
        <v>16814.86191783</v>
      </c>
      <c r="N68" s="9">
        <v>112</v>
      </c>
      <c r="O68" s="9">
        <v>16814.86191783</v>
      </c>
      <c r="P68" s="9">
        <v>0</v>
      </c>
      <c r="Q68" s="9">
        <v>0</v>
      </c>
      <c r="R68" s="9">
        <v>312</v>
      </c>
      <c r="S68" s="9">
        <v>17735.061299129993</v>
      </c>
      <c r="T68" s="9">
        <v>9</v>
      </c>
      <c r="U68" s="9">
        <v>1717.2391824700001</v>
      </c>
      <c r="V68" s="9">
        <v>1</v>
      </c>
      <c r="W68" s="9">
        <v>214.28559999999999</v>
      </c>
      <c r="X68" s="9">
        <v>30</v>
      </c>
      <c r="Y68" s="9">
        <v>440492.95717101998</v>
      </c>
      <c r="Z68" s="9">
        <v>252296.05671899999</v>
      </c>
      <c r="AA68" s="9">
        <v>188196.90045202003</v>
      </c>
      <c r="AB68" s="9">
        <v>775</v>
      </c>
      <c r="AC68" s="9">
        <v>6809.0873663784951</v>
      </c>
      <c r="AD68" s="9">
        <v>200</v>
      </c>
      <c r="AE68" s="9">
        <v>8283.3594294699942</v>
      </c>
      <c r="AF68" s="18"/>
      <c r="AG68" s="18"/>
      <c r="AH68" s="18"/>
      <c r="AI68" s="18"/>
      <c r="AJ68" s="18"/>
      <c r="AK68" s="18"/>
      <c r="AL68" s="18"/>
      <c r="AM68" s="18"/>
    </row>
    <row r="69" spans="1:39" s="11" customFormat="1" ht="27" customHeight="1" x14ac:dyDescent="0.25">
      <c r="A69" s="66" t="s">
        <v>42</v>
      </c>
      <c r="B69" s="1">
        <f t="shared" si="8"/>
        <v>63</v>
      </c>
      <c r="C69" s="20" t="s">
        <v>2118</v>
      </c>
      <c r="D69" s="20" t="s">
        <v>2120</v>
      </c>
      <c r="E69" s="65">
        <v>10820</v>
      </c>
      <c r="F69" s="19" t="s">
        <v>2039</v>
      </c>
      <c r="G69" s="9">
        <v>73509.754759319985</v>
      </c>
      <c r="H69" s="9">
        <v>63662.803483409989</v>
      </c>
      <c r="I69" s="9">
        <v>7682.2594641000005</v>
      </c>
      <c r="J69" s="9">
        <v>7682.2594641000005</v>
      </c>
      <c r="K69" s="9">
        <v>0</v>
      </c>
      <c r="L69" s="9">
        <v>188</v>
      </c>
      <c r="M69" s="9">
        <v>11350.995329220001</v>
      </c>
      <c r="N69" s="9">
        <v>187</v>
      </c>
      <c r="O69" s="9">
        <v>11162.795329220002</v>
      </c>
      <c r="P69" s="9">
        <v>1</v>
      </c>
      <c r="Q69" s="9">
        <v>188.2</v>
      </c>
      <c r="R69" s="9">
        <v>584</v>
      </c>
      <c r="S69" s="9">
        <v>58639.070989489963</v>
      </c>
      <c r="T69" s="9">
        <v>37</v>
      </c>
      <c r="U69" s="9">
        <v>756.50643862000027</v>
      </c>
      <c r="V69" s="9">
        <v>1</v>
      </c>
      <c r="W69" s="9">
        <v>108.07875799999999</v>
      </c>
      <c r="X69" s="9">
        <v>34</v>
      </c>
      <c r="Y69" s="9">
        <v>946890.82153374003</v>
      </c>
      <c r="Z69" s="9">
        <v>674360.71662144002</v>
      </c>
      <c r="AA69" s="9">
        <v>272530.10491230001</v>
      </c>
      <c r="AB69" s="9">
        <v>2081</v>
      </c>
      <c r="AC69" s="9">
        <v>23617.229618582474</v>
      </c>
      <c r="AD69" s="9">
        <v>294</v>
      </c>
      <c r="AE69" s="9">
        <v>21319.38820442</v>
      </c>
      <c r="AF69" s="18"/>
      <c r="AG69" s="18"/>
      <c r="AH69" s="18"/>
      <c r="AI69" s="18"/>
      <c r="AJ69" s="18"/>
      <c r="AK69" s="18"/>
      <c r="AL69" s="18"/>
      <c r="AM69" s="18"/>
    </row>
    <row r="70" spans="1:39" s="11" customFormat="1" ht="27" customHeight="1" x14ac:dyDescent="0.25">
      <c r="A70" s="66" t="s">
        <v>42</v>
      </c>
      <c r="B70" s="1">
        <f t="shared" si="8"/>
        <v>64</v>
      </c>
      <c r="C70" s="20" t="s">
        <v>2118</v>
      </c>
      <c r="D70" s="20" t="s">
        <v>2119</v>
      </c>
      <c r="E70" s="65">
        <v>12129</v>
      </c>
      <c r="F70" s="19" t="s">
        <v>2043</v>
      </c>
      <c r="G70" s="9">
        <v>48203.665341879998</v>
      </c>
      <c r="H70" s="9">
        <v>30866.63261909</v>
      </c>
      <c r="I70" s="9">
        <v>15812.935108700014</v>
      </c>
      <c r="J70" s="9">
        <v>15812.935108700014</v>
      </c>
      <c r="K70" s="9">
        <v>0</v>
      </c>
      <c r="L70" s="9">
        <v>111</v>
      </c>
      <c r="M70" s="9">
        <v>21597.489563529998</v>
      </c>
      <c r="N70" s="9">
        <v>111</v>
      </c>
      <c r="O70" s="9">
        <v>21597.489563529998</v>
      </c>
      <c r="P70" s="9">
        <v>0</v>
      </c>
      <c r="Q70" s="9">
        <v>0</v>
      </c>
      <c r="R70" s="9">
        <v>275</v>
      </c>
      <c r="S70" s="9">
        <v>19085.38852447</v>
      </c>
      <c r="T70" s="9">
        <v>10</v>
      </c>
      <c r="U70" s="9">
        <v>542.13353747999986</v>
      </c>
      <c r="V70" s="9">
        <v>2</v>
      </c>
      <c r="W70" s="9">
        <v>258.19658412000001</v>
      </c>
      <c r="X70" s="9">
        <v>14</v>
      </c>
      <c r="Y70" s="9">
        <v>265569.06197823002</v>
      </c>
      <c r="Z70" s="9">
        <v>159333.06565923002</v>
      </c>
      <c r="AA70" s="9">
        <v>106235.996319</v>
      </c>
      <c r="AB70" s="9">
        <v>148</v>
      </c>
      <c r="AC70" s="9">
        <v>400.66690186649964</v>
      </c>
      <c r="AD70" s="9">
        <v>97</v>
      </c>
      <c r="AE70" s="9">
        <v>9562.3591514399996</v>
      </c>
      <c r="AF70" s="18"/>
      <c r="AG70" s="18"/>
      <c r="AH70" s="18"/>
      <c r="AI70" s="18"/>
      <c r="AJ70" s="18"/>
      <c r="AK70" s="18"/>
      <c r="AL70" s="18"/>
      <c r="AM70" s="18"/>
    </row>
    <row r="71" spans="1:39" s="11" customFormat="1" ht="27" customHeight="1" x14ac:dyDescent="0.25">
      <c r="A71" s="66" t="s">
        <v>42</v>
      </c>
      <c r="B71" s="1">
        <f t="shared" si="8"/>
        <v>65</v>
      </c>
      <c r="C71" s="20" t="s">
        <v>2118</v>
      </c>
      <c r="D71" s="20" t="s">
        <v>2230</v>
      </c>
      <c r="E71" s="65">
        <v>12213</v>
      </c>
      <c r="F71" s="19" t="s">
        <v>2066</v>
      </c>
      <c r="G71" s="9">
        <v>2064.98892557</v>
      </c>
      <c r="H71" s="9">
        <v>1679.71273735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5</v>
      </c>
      <c r="Y71" s="9">
        <v>58411.547601010003</v>
      </c>
      <c r="Z71" s="9">
        <v>28990.530101010001</v>
      </c>
      <c r="AA71" s="9">
        <v>29421.017500000002</v>
      </c>
      <c r="AB71" s="9">
        <v>0</v>
      </c>
      <c r="AC71" s="9">
        <v>0</v>
      </c>
      <c r="AD71" s="9">
        <v>0</v>
      </c>
      <c r="AE71" s="9">
        <v>0</v>
      </c>
      <c r="AF71" s="18"/>
      <c r="AG71" s="18"/>
      <c r="AH71" s="18"/>
      <c r="AI71" s="18"/>
      <c r="AJ71" s="18"/>
      <c r="AK71" s="18"/>
      <c r="AL71" s="18"/>
      <c r="AM71" s="18"/>
    </row>
    <row r="72" spans="1:39" s="11" customFormat="1" ht="27" customHeight="1" x14ac:dyDescent="0.25">
      <c r="A72" s="66" t="s">
        <v>31</v>
      </c>
      <c r="B72" s="1">
        <f t="shared" ref="B72:B101" si="9">+B71+1</f>
        <v>66</v>
      </c>
      <c r="C72" s="20" t="s">
        <v>2123</v>
      </c>
      <c r="D72" s="20" t="s">
        <v>2124</v>
      </c>
      <c r="E72" s="65">
        <v>11291</v>
      </c>
      <c r="F72" s="19" t="s">
        <v>2107</v>
      </c>
      <c r="G72" s="9">
        <v>115468.97403807001</v>
      </c>
      <c r="H72" s="9">
        <v>87246.000933340008</v>
      </c>
      <c r="I72" s="9">
        <v>2777.0997845840006</v>
      </c>
      <c r="J72" s="9">
        <v>2694.9459253300006</v>
      </c>
      <c r="K72" s="9">
        <v>82.153859254000039</v>
      </c>
      <c r="L72" s="9">
        <v>43</v>
      </c>
      <c r="M72" s="9">
        <v>7376.9652513299998</v>
      </c>
      <c r="N72" s="9">
        <v>37</v>
      </c>
      <c r="O72" s="9">
        <v>5464.2265285000003</v>
      </c>
      <c r="P72" s="9">
        <v>6</v>
      </c>
      <c r="Q72" s="9">
        <v>1912.7387228299999</v>
      </c>
      <c r="R72" s="9">
        <v>14</v>
      </c>
      <c r="S72" s="9">
        <v>65786.499358629997</v>
      </c>
      <c r="T72" s="9">
        <v>0</v>
      </c>
      <c r="U72" s="9">
        <v>0</v>
      </c>
      <c r="V72" s="9">
        <v>3</v>
      </c>
      <c r="W72" s="9">
        <v>27242.740393119999</v>
      </c>
      <c r="X72" s="9">
        <v>56</v>
      </c>
      <c r="Y72" s="9">
        <v>2235918.0162093099</v>
      </c>
      <c r="Z72" s="9">
        <v>995709.36435419996</v>
      </c>
      <c r="AA72" s="9">
        <v>1240208.6518551102</v>
      </c>
      <c r="AB72" s="9">
        <v>50</v>
      </c>
      <c r="AC72" s="9">
        <v>67293.89826752599</v>
      </c>
      <c r="AD72" s="9">
        <v>4</v>
      </c>
      <c r="AE72" s="9">
        <v>355.3448526599999</v>
      </c>
      <c r="AF72" s="18"/>
      <c r="AG72" s="18"/>
      <c r="AH72" s="18"/>
      <c r="AI72" s="18"/>
      <c r="AJ72" s="18"/>
      <c r="AK72" s="18"/>
      <c r="AL72" s="18"/>
      <c r="AM72" s="18"/>
    </row>
    <row r="73" spans="1:39" s="11" customFormat="1" ht="27" customHeight="1" x14ac:dyDescent="0.25">
      <c r="A73" s="66" t="s">
        <v>35</v>
      </c>
      <c r="B73" s="1">
        <f t="shared" si="9"/>
        <v>67</v>
      </c>
      <c r="C73" s="20" t="s">
        <v>2139</v>
      </c>
      <c r="D73" s="20" t="s">
        <v>2140</v>
      </c>
      <c r="E73" s="65">
        <v>11443</v>
      </c>
      <c r="F73" s="19" t="s">
        <v>2073</v>
      </c>
      <c r="G73" s="9">
        <v>40263.227899079997</v>
      </c>
      <c r="H73" s="9">
        <v>26455.531162209998</v>
      </c>
      <c r="I73" s="9">
        <v>2098.1651713399979</v>
      </c>
      <c r="J73" s="9">
        <v>1987.1121676699981</v>
      </c>
      <c r="K73" s="9">
        <v>111.05300366999995</v>
      </c>
      <c r="L73" s="9">
        <v>44</v>
      </c>
      <c r="M73" s="9">
        <v>694.57494430999998</v>
      </c>
      <c r="N73" s="9">
        <v>44</v>
      </c>
      <c r="O73" s="9">
        <v>694.57494430999998</v>
      </c>
      <c r="P73" s="9">
        <v>0</v>
      </c>
      <c r="Q73" s="9">
        <v>0</v>
      </c>
      <c r="R73" s="9">
        <v>2</v>
      </c>
      <c r="S73" s="9">
        <v>2.2068151399999998</v>
      </c>
      <c r="T73" s="9">
        <v>0</v>
      </c>
      <c r="U73" s="9">
        <v>0</v>
      </c>
      <c r="V73" s="9">
        <v>0</v>
      </c>
      <c r="W73" s="9">
        <v>0</v>
      </c>
      <c r="X73" s="9">
        <v>21</v>
      </c>
      <c r="Y73" s="9">
        <v>280000.10619870003</v>
      </c>
      <c r="Z73" s="9">
        <v>227597.87189400001</v>
      </c>
      <c r="AA73" s="9">
        <v>52402.234304699996</v>
      </c>
      <c r="AB73" s="9">
        <v>226</v>
      </c>
      <c r="AC73" s="9">
        <v>8.3870999994305754E-5</v>
      </c>
      <c r="AD73" s="9">
        <v>51</v>
      </c>
      <c r="AE73" s="9">
        <v>1248.1072252500005</v>
      </c>
      <c r="AF73" s="18"/>
      <c r="AG73" s="18"/>
      <c r="AH73" s="18"/>
      <c r="AI73" s="18"/>
      <c r="AJ73" s="18"/>
      <c r="AK73" s="18"/>
      <c r="AL73" s="18"/>
      <c r="AM73" s="18"/>
    </row>
    <row r="74" spans="1:39" s="11" customFormat="1" ht="27" customHeight="1" x14ac:dyDescent="0.25">
      <c r="A74" s="66" t="s">
        <v>35</v>
      </c>
      <c r="B74" s="1">
        <f t="shared" si="9"/>
        <v>68</v>
      </c>
      <c r="C74" s="20" t="s">
        <v>2139</v>
      </c>
      <c r="D74" s="20" t="s">
        <v>2141</v>
      </c>
      <c r="E74" s="65">
        <v>11444</v>
      </c>
      <c r="F74" s="19" t="s">
        <v>2039</v>
      </c>
      <c r="G74" s="9">
        <v>53884.662003160003</v>
      </c>
      <c r="H74" s="9">
        <v>36423.00469568</v>
      </c>
      <c r="I74" s="9">
        <v>5090.0153142399913</v>
      </c>
      <c r="J74" s="9">
        <v>4969.0469576099913</v>
      </c>
      <c r="K74" s="9">
        <v>120.96835663000003</v>
      </c>
      <c r="L74" s="9">
        <v>121</v>
      </c>
      <c r="M74" s="9">
        <v>2031.7324154</v>
      </c>
      <c r="N74" s="9">
        <v>121</v>
      </c>
      <c r="O74" s="9">
        <v>2031.7324154</v>
      </c>
      <c r="P74" s="9">
        <v>0</v>
      </c>
      <c r="Q74" s="9">
        <v>0</v>
      </c>
      <c r="R74" s="9">
        <v>4</v>
      </c>
      <c r="S74" s="9">
        <v>109.77199607999999</v>
      </c>
      <c r="T74" s="9">
        <v>0</v>
      </c>
      <c r="U74" s="9">
        <v>0</v>
      </c>
      <c r="V74" s="9">
        <v>0</v>
      </c>
      <c r="W74" s="9">
        <v>0</v>
      </c>
      <c r="X74" s="9">
        <v>23</v>
      </c>
      <c r="Y74" s="9">
        <v>528233.42562661006</v>
      </c>
      <c r="Z74" s="9">
        <v>352115.77417500003</v>
      </c>
      <c r="AA74" s="9">
        <v>176117.65145161003</v>
      </c>
      <c r="AB74" s="9">
        <v>229</v>
      </c>
      <c r="AC74" s="9">
        <v>1.7907650003491106E-4</v>
      </c>
      <c r="AD74" s="9">
        <v>77</v>
      </c>
      <c r="AE74" s="9">
        <v>1770.1835781000004</v>
      </c>
      <c r="AF74" s="18"/>
      <c r="AG74" s="18"/>
      <c r="AH74" s="18"/>
      <c r="AI74" s="18"/>
      <c r="AJ74" s="18"/>
      <c r="AK74" s="18"/>
      <c r="AL74" s="18"/>
      <c r="AM74" s="18"/>
    </row>
    <row r="75" spans="1:39" s="11" customFormat="1" ht="27" customHeight="1" x14ac:dyDescent="0.25">
      <c r="A75" s="66" t="s">
        <v>35</v>
      </c>
      <c r="B75" s="1">
        <f t="shared" si="9"/>
        <v>69</v>
      </c>
      <c r="C75" s="20" t="s">
        <v>2139</v>
      </c>
      <c r="D75" s="20" t="s">
        <v>2142</v>
      </c>
      <c r="E75" s="65">
        <v>11445</v>
      </c>
      <c r="F75" s="19" t="s">
        <v>2049</v>
      </c>
      <c r="G75" s="9">
        <v>69999.250206380006</v>
      </c>
      <c r="H75" s="9">
        <v>51750.131962239997</v>
      </c>
      <c r="I75" s="9">
        <v>6066.8067955200077</v>
      </c>
      <c r="J75" s="9">
        <v>5759.3109875000082</v>
      </c>
      <c r="K75" s="9">
        <v>307.49580801999957</v>
      </c>
      <c r="L75" s="9">
        <v>155</v>
      </c>
      <c r="M75" s="9">
        <v>4949.9420668800012</v>
      </c>
      <c r="N75" s="9">
        <v>155</v>
      </c>
      <c r="O75" s="9">
        <v>4949.9420668800012</v>
      </c>
      <c r="P75" s="9">
        <v>0</v>
      </c>
      <c r="Q75" s="9">
        <v>0</v>
      </c>
      <c r="R75" s="9">
        <v>3</v>
      </c>
      <c r="S75" s="9">
        <v>31.785291409999999</v>
      </c>
      <c r="T75" s="9">
        <v>1</v>
      </c>
      <c r="U75" s="9">
        <v>15.833948119999999</v>
      </c>
      <c r="V75" s="9">
        <v>0</v>
      </c>
      <c r="W75" s="9">
        <v>0</v>
      </c>
      <c r="X75" s="9">
        <v>39</v>
      </c>
      <c r="Y75" s="9">
        <v>548572.78496421</v>
      </c>
      <c r="Z75" s="9">
        <v>367305.40919999999</v>
      </c>
      <c r="AA75" s="9">
        <v>181267.37576420998</v>
      </c>
      <c r="AB75" s="9">
        <v>260</v>
      </c>
      <c r="AC75" s="9">
        <v>7.0594337999957027E-2</v>
      </c>
      <c r="AD75" s="9">
        <v>112</v>
      </c>
      <c r="AE75" s="9">
        <v>3556.4260384599997</v>
      </c>
      <c r="AF75" s="18"/>
      <c r="AG75" s="18"/>
      <c r="AH75" s="18"/>
      <c r="AI75" s="18"/>
      <c r="AJ75" s="18"/>
      <c r="AK75" s="18"/>
      <c r="AL75" s="18"/>
      <c r="AM75" s="18"/>
    </row>
    <row r="76" spans="1:39" s="11" customFormat="1" ht="27" customHeight="1" x14ac:dyDescent="0.25">
      <c r="A76" s="66" t="s">
        <v>35</v>
      </c>
      <c r="B76" s="1">
        <f t="shared" si="9"/>
        <v>70</v>
      </c>
      <c r="C76" s="20" t="s">
        <v>2139</v>
      </c>
      <c r="D76" s="20" t="s">
        <v>2143</v>
      </c>
      <c r="E76" s="65">
        <v>11446</v>
      </c>
      <c r="F76" s="19" t="s">
        <v>2037</v>
      </c>
      <c r="G76" s="9">
        <v>65362.058469240001</v>
      </c>
      <c r="H76" s="9">
        <v>45086.424895440003</v>
      </c>
      <c r="I76" s="9">
        <v>3949.2717105400043</v>
      </c>
      <c r="J76" s="9">
        <v>3822.0143551900042</v>
      </c>
      <c r="K76" s="9">
        <v>127.2573553500001</v>
      </c>
      <c r="L76" s="9">
        <v>68</v>
      </c>
      <c r="M76" s="9">
        <v>10276.227564950001</v>
      </c>
      <c r="N76" s="9">
        <v>68</v>
      </c>
      <c r="O76" s="9">
        <v>10276.227564950001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33</v>
      </c>
      <c r="Y76" s="9">
        <v>454972.66336300003</v>
      </c>
      <c r="Z76" s="9">
        <v>264207.66029999999</v>
      </c>
      <c r="AA76" s="9">
        <v>190765.00306300001</v>
      </c>
      <c r="AB76" s="9">
        <v>251</v>
      </c>
      <c r="AC76" s="9">
        <v>4.8206500012478103E-5</v>
      </c>
      <c r="AD76" s="9">
        <v>76</v>
      </c>
      <c r="AE76" s="9">
        <v>1653.9582772100002</v>
      </c>
      <c r="AF76" s="18"/>
      <c r="AG76" s="18"/>
      <c r="AH76" s="18"/>
      <c r="AI76" s="18"/>
      <c r="AJ76" s="18"/>
      <c r="AK76" s="18"/>
      <c r="AL76" s="18"/>
      <c r="AM76" s="18"/>
    </row>
    <row r="77" spans="1:39" s="11" customFormat="1" ht="27" customHeight="1" x14ac:dyDescent="0.25">
      <c r="A77" s="66" t="s">
        <v>35</v>
      </c>
      <c r="B77" s="1">
        <f t="shared" si="9"/>
        <v>71</v>
      </c>
      <c r="C77" s="20" t="s">
        <v>2139</v>
      </c>
      <c r="D77" s="20" t="s">
        <v>2144</v>
      </c>
      <c r="E77" s="65">
        <v>11447</v>
      </c>
      <c r="F77" s="19" t="s">
        <v>2047</v>
      </c>
      <c r="G77" s="9">
        <v>46999.703860659996</v>
      </c>
      <c r="H77" s="9">
        <v>34125.433206129994</v>
      </c>
      <c r="I77" s="9">
        <v>2608.7717709399967</v>
      </c>
      <c r="J77" s="9">
        <v>2506.1773857799967</v>
      </c>
      <c r="K77" s="9">
        <v>102.59438515999986</v>
      </c>
      <c r="L77" s="9">
        <v>119</v>
      </c>
      <c r="M77" s="9">
        <v>1868.1580532000007</v>
      </c>
      <c r="N77" s="9">
        <v>119</v>
      </c>
      <c r="O77" s="9">
        <v>1868.1580532000007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26</v>
      </c>
      <c r="Y77" s="9">
        <v>587989.43046649999</v>
      </c>
      <c r="Z77" s="9">
        <v>417129.92786950001</v>
      </c>
      <c r="AA77" s="9">
        <v>170859.50259700001</v>
      </c>
      <c r="AB77" s="9">
        <v>292</v>
      </c>
      <c r="AC77" s="9">
        <v>6.366943499999532E-2</v>
      </c>
      <c r="AD77" s="9">
        <v>108</v>
      </c>
      <c r="AE77" s="9">
        <v>1123.8523095900009</v>
      </c>
      <c r="AF77" s="18"/>
      <c r="AG77" s="18"/>
      <c r="AH77" s="18"/>
      <c r="AI77" s="18"/>
      <c r="AJ77" s="18"/>
      <c r="AK77" s="18"/>
      <c r="AL77" s="18"/>
      <c r="AM77" s="18"/>
    </row>
    <row r="78" spans="1:39" s="11" customFormat="1" ht="27" customHeight="1" x14ac:dyDescent="0.25">
      <c r="A78" s="66" t="s">
        <v>35</v>
      </c>
      <c r="B78" s="1">
        <f t="shared" si="9"/>
        <v>72</v>
      </c>
      <c r="C78" s="20" t="s">
        <v>2139</v>
      </c>
      <c r="D78" s="20" t="s">
        <v>2145</v>
      </c>
      <c r="E78" s="65">
        <v>11448</v>
      </c>
      <c r="F78" s="19" t="s">
        <v>2035</v>
      </c>
      <c r="G78" s="9">
        <v>35439.59794444</v>
      </c>
      <c r="H78" s="9">
        <v>26199.390617800003</v>
      </c>
      <c r="I78" s="9">
        <v>3470.7951775400043</v>
      </c>
      <c r="J78" s="9">
        <v>3199.4158583600042</v>
      </c>
      <c r="K78" s="9">
        <v>271.37931917999998</v>
      </c>
      <c r="L78" s="9">
        <v>172</v>
      </c>
      <c r="M78" s="9">
        <v>4250.3941586800011</v>
      </c>
      <c r="N78" s="9">
        <v>172</v>
      </c>
      <c r="O78" s="9">
        <v>4250.3941586800011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20</v>
      </c>
      <c r="Y78" s="9">
        <v>288895.94133499998</v>
      </c>
      <c r="Z78" s="9">
        <v>196808.41636800001</v>
      </c>
      <c r="AA78" s="9">
        <v>92087.524967000005</v>
      </c>
      <c r="AB78" s="9">
        <v>280</v>
      </c>
      <c r="AC78" s="9">
        <v>2.0000483219999876</v>
      </c>
      <c r="AD78" s="9">
        <v>137</v>
      </c>
      <c r="AE78" s="9">
        <v>3086.715784540002</v>
      </c>
      <c r="AF78" s="18"/>
      <c r="AG78" s="18"/>
      <c r="AH78" s="18"/>
      <c r="AI78" s="18"/>
      <c r="AJ78" s="18"/>
      <c r="AK78" s="18"/>
      <c r="AL78" s="18"/>
      <c r="AM78" s="18"/>
    </row>
    <row r="79" spans="1:39" s="11" customFormat="1" ht="27" customHeight="1" x14ac:dyDescent="0.25">
      <c r="A79" s="66" t="s">
        <v>32</v>
      </c>
      <c r="B79" s="1">
        <f t="shared" si="9"/>
        <v>73</v>
      </c>
      <c r="C79" s="20" t="s">
        <v>2125</v>
      </c>
      <c r="D79" s="20" t="s">
        <v>2126</v>
      </c>
      <c r="E79" s="65">
        <v>12008</v>
      </c>
      <c r="F79" s="19" t="s">
        <v>2035</v>
      </c>
      <c r="G79" s="9">
        <v>168106.28796876001</v>
      </c>
      <c r="H79" s="9">
        <v>119686.24161161001</v>
      </c>
      <c r="I79" s="9">
        <v>124720.82982020009</v>
      </c>
      <c r="J79" s="9">
        <v>111926.54504574007</v>
      </c>
      <c r="K79" s="9">
        <v>12794.284774460019</v>
      </c>
      <c r="L79" s="9">
        <v>26</v>
      </c>
      <c r="M79" s="9">
        <v>34984.496723231001</v>
      </c>
      <c r="N79" s="9">
        <v>17</v>
      </c>
      <c r="O79" s="9">
        <v>33602.804696000996</v>
      </c>
      <c r="P79" s="9">
        <v>9</v>
      </c>
      <c r="Q79" s="9">
        <v>1381.6920272300001</v>
      </c>
      <c r="R79" s="9">
        <v>191</v>
      </c>
      <c r="S79" s="9">
        <v>112158.4419314</v>
      </c>
      <c r="T79" s="9">
        <v>12</v>
      </c>
      <c r="U79" s="9">
        <v>71955.818997170005</v>
      </c>
      <c r="V79" s="9">
        <v>1</v>
      </c>
      <c r="W79" s="9">
        <v>17413.938647840001</v>
      </c>
      <c r="X79" s="9">
        <v>36</v>
      </c>
      <c r="Y79" s="9">
        <v>3428154.5392353656</v>
      </c>
      <c r="Z79" s="9">
        <v>3077374.867632926</v>
      </c>
      <c r="AA79" s="9">
        <v>350779.67160243966</v>
      </c>
      <c r="AB79" s="9">
        <v>467</v>
      </c>
      <c r="AC79" s="9">
        <v>3.0905999988163106E-5</v>
      </c>
      <c r="AD79" s="9">
        <v>996</v>
      </c>
      <c r="AE79" s="9">
        <v>28368.117889850029</v>
      </c>
      <c r="AF79" s="18"/>
      <c r="AG79" s="18"/>
      <c r="AH79" s="18"/>
      <c r="AI79" s="18"/>
      <c r="AJ79" s="18"/>
      <c r="AK79" s="18"/>
      <c r="AL79" s="18"/>
      <c r="AM79" s="18"/>
    </row>
    <row r="80" spans="1:39" s="11" customFormat="1" ht="27" customHeight="1" x14ac:dyDescent="0.25">
      <c r="A80" s="66" t="s">
        <v>36</v>
      </c>
      <c r="B80" s="1">
        <f t="shared" si="9"/>
        <v>74</v>
      </c>
      <c r="C80" s="20" t="s">
        <v>2146</v>
      </c>
      <c r="D80" s="20" t="s">
        <v>2147</v>
      </c>
      <c r="E80" s="65" t="s">
        <v>10</v>
      </c>
      <c r="F80" s="19" t="s">
        <v>2079</v>
      </c>
      <c r="G80" s="9">
        <v>148946.98458983999</v>
      </c>
      <c r="H80" s="9">
        <v>122808.73540721001</v>
      </c>
      <c r="I80" s="9">
        <v>6679.9404686914013</v>
      </c>
      <c r="J80" s="9">
        <v>5977.9093893614008</v>
      </c>
      <c r="K80" s="9">
        <v>702.03107933000047</v>
      </c>
      <c r="L80" s="9">
        <v>223</v>
      </c>
      <c r="M80" s="9">
        <v>4962.3625303789995</v>
      </c>
      <c r="N80" s="9">
        <v>220</v>
      </c>
      <c r="O80" s="9">
        <v>4960.4043516289994</v>
      </c>
      <c r="P80" s="9">
        <v>3</v>
      </c>
      <c r="Q80" s="9">
        <v>1.9581787500000001</v>
      </c>
      <c r="R80" s="9">
        <v>8</v>
      </c>
      <c r="S80" s="9">
        <v>10547.580545981999</v>
      </c>
      <c r="T80" s="9">
        <v>0</v>
      </c>
      <c r="U80" s="9">
        <v>0</v>
      </c>
      <c r="V80" s="9">
        <v>0</v>
      </c>
      <c r="W80" s="9">
        <v>0</v>
      </c>
      <c r="X80" s="9">
        <v>69</v>
      </c>
      <c r="Y80" s="9">
        <v>2117130.3140129219</v>
      </c>
      <c r="Z80" s="9">
        <v>1257210.776009084</v>
      </c>
      <c r="AA80" s="9">
        <v>859919.53800383781</v>
      </c>
      <c r="AB80" s="9">
        <v>205</v>
      </c>
      <c r="AC80" s="9">
        <v>174.5146699611995</v>
      </c>
      <c r="AD80" s="9">
        <v>150</v>
      </c>
      <c r="AE80" s="9">
        <v>1949.9870270350002</v>
      </c>
      <c r="AF80" s="18"/>
      <c r="AG80" s="18"/>
      <c r="AH80" s="18"/>
      <c r="AI80" s="18"/>
      <c r="AJ80" s="18"/>
      <c r="AK80" s="18"/>
      <c r="AL80" s="18"/>
      <c r="AM80" s="18"/>
    </row>
    <row r="81" spans="1:39" s="11" customFormat="1" ht="27" customHeight="1" x14ac:dyDescent="0.25">
      <c r="A81" s="66" t="s">
        <v>33</v>
      </c>
      <c r="B81" s="1">
        <f t="shared" si="9"/>
        <v>75</v>
      </c>
      <c r="C81" s="20" t="s">
        <v>2127</v>
      </c>
      <c r="D81" s="20" t="s">
        <v>2128</v>
      </c>
      <c r="E81" s="65">
        <v>10502</v>
      </c>
      <c r="F81" s="19" t="s">
        <v>2087</v>
      </c>
      <c r="G81" s="9">
        <v>19605.965871429999</v>
      </c>
      <c r="H81" s="9">
        <v>15192.36776408</v>
      </c>
      <c r="I81" s="9">
        <v>4374.9003861499987</v>
      </c>
      <c r="J81" s="9">
        <v>3701.0624298499979</v>
      </c>
      <c r="K81" s="9">
        <v>673.83795630000043</v>
      </c>
      <c r="L81" s="9">
        <v>28</v>
      </c>
      <c r="M81" s="9">
        <v>4364.75565861</v>
      </c>
      <c r="N81" s="9">
        <v>28</v>
      </c>
      <c r="O81" s="9">
        <v>4364.75565861</v>
      </c>
      <c r="P81" s="9">
        <v>0</v>
      </c>
      <c r="Q81" s="9">
        <v>0</v>
      </c>
      <c r="R81" s="9">
        <v>2</v>
      </c>
      <c r="S81" s="9">
        <v>12451.154342049998</v>
      </c>
      <c r="T81" s="9">
        <v>2</v>
      </c>
      <c r="U81" s="9">
        <v>12451.154342049998</v>
      </c>
      <c r="V81" s="9">
        <v>0</v>
      </c>
      <c r="W81" s="9">
        <v>0</v>
      </c>
      <c r="X81" s="9">
        <v>4</v>
      </c>
      <c r="Y81" s="9">
        <v>231486.3271889</v>
      </c>
      <c r="Z81" s="9">
        <v>73261.713013450004</v>
      </c>
      <c r="AA81" s="9">
        <v>158224.61417545</v>
      </c>
      <c r="AB81" s="9">
        <v>119</v>
      </c>
      <c r="AC81" s="9">
        <v>1141.9435901725001</v>
      </c>
      <c r="AD81" s="9">
        <v>11</v>
      </c>
      <c r="AE81" s="9">
        <v>2712.4879208099983</v>
      </c>
      <c r="AF81" s="18"/>
      <c r="AG81" s="18"/>
      <c r="AH81" s="18"/>
      <c r="AI81" s="18"/>
      <c r="AJ81" s="18"/>
      <c r="AK81" s="18"/>
      <c r="AL81" s="18"/>
      <c r="AM81" s="18"/>
    </row>
    <row r="82" spans="1:39" s="11" customFormat="1" ht="27" customHeight="1" x14ac:dyDescent="0.25">
      <c r="A82" s="66" t="s">
        <v>33</v>
      </c>
      <c r="B82" s="1">
        <f t="shared" si="9"/>
        <v>76</v>
      </c>
      <c r="C82" s="20" t="s">
        <v>2127</v>
      </c>
      <c r="D82" s="20" t="s">
        <v>2129</v>
      </c>
      <c r="E82" s="65">
        <v>10507</v>
      </c>
      <c r="F82" s="19" t="s">
        <v>2130</v>
      </c>
      <c r="G82" s="9">
        <v>22932.07953816</v>
      </c>
      <c r="H82" s="9">
        <v>20610.354905240001</v>
      </c>
      <c r="I82" s="9">
        <v>485.0057022699998</v>
      </c>
      <c r="J82" s="9">
        <v>446.04991979999977</v>
      </c>
      <c r="K82" s="9">
        <v>38.955782470000017</v>
      </c>
      <c r="L82" s="9">
        <v>5</v>
      </c>
      <c r="M82" s="9">
        <v>1295.6246146999999</v>
      </c>
      <c r="N82" s="9">
        <v>5</v>
      </c>
      <c r="O82" s="9">
        <v>1295.6246146999999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5</v>
      </c>
      <c r="Y82" s="9">
        <v>313614.12462250004</v>
      </c>
      <c r="Z82" s="9">
        <v>145615.06945400001</v>
      </c>
      <c r="AA82" s="9">
        <v>167999.0551685</v>
      </c>
      <c r="AB82" s="9">
        <v>78</v>
      </c>
      <c r="AC82" s="9">
        <v>1103.3310456064999</v>
      </c>
      <c r="AD82" s="9">
        <v>1</v>
      </c>
      <c r="AE82" s="9">
        <v>432.80441980000006</v>
      </c>
      <c r="AF82" s="18"/>
      <c r="AG82" s="18"/>
      <c r="AH82" s="18"/>
      <c r="AI82" s="18"/>
      <c r="AJ82" s="18"/>
      <c r="AK82" s="18"/>
      <c r="AL82" s="18"/>
      <c r="AM82" s="18"/>
    </row>
    <row r="83" spans="1:39" s="11" customFormat="1" ht="27" customHeight="1" x14ac:dyDescent="0.25">
      <c r="A83" s="66" t="s">
        <v>33</v>
      </c>
      <c r="B83" s="1">
        <f t="shared" si="9"/>
        <v>77</v>
      </c>
      <c r="C83" s="20" t="s">
        <v>2127</v>
      </c>
      <c r="D83" s="20" t="s">
        <v>2131</v>
      </c>
      <c r="E83" s="65">
        <v>10508</v>
      </c>
      <c r="F83" s="19" t="s">
        <v>2041</v>
      </c>
      <c r="G83" s="9">
        <v>16896.294154160001</v>
      </c>
      <c r="H83" s="9">
        <v>10545.559999359999</v>
      </c>
      <c r="I83" s="9">
        <v>772.05947490000005</v>
      </c>
      <c r="J83" s="9">
        <v>666.70020602000011</v>
      </c>
      <c r="K83" s="9">
        <v>105.35926887999995</v>
      </c>
      <c r="L83" s="9">
        <v>3</v>
      </c>
      <c r="M83" s="9">
        <v>601.48838765000005</v>
      </c>
      <c r="N83" s="9">
        <v>3</v>
      </c>
      <c r="O83" s="9">
        <v>601.48838765000005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3</v>
      </c>
      <c r="Y83" s="9">
        <v>165058.09032800002</v>
      </c>
      <c r="Z83" s="9">
        <v>78187.129786000005</v>
      </c>
      <c r="AA83" s="9">
        <v>86870.960542000001</v>
      </c>
      <c r="AB83" s="9">
        <v>75</v>
      </c>
      <c r="AC83" s="9">
        <v>543.65987408100011</v>
      </c>
      <c r="AD83" s="9">
        <v>5</v>
      </c>
      <c r="AE83" s="9">
        <v>1532.6767774199998</v>
      </c>
      <c r="AF83" s="18"/>
      <c r="AG83" s="18"/>
      <c r="AH83" s="18"/>
      <c r="AI83" s="18"/>
      <c r="AJ83" s="18"/>
      <c r="AK83" s="18"/>
      <c r="AL83" s="18"/>
      <c r="AM83" s="18"/>
    </row>
    <row r="84" spans="1:39" s="11" customFormat="1" ht="27" customHeight="1" x14ac:dyDescent="0.25">
      <c r="A84" s="66" t="s">
        <v>33</v>
      </c>
      <c r="B84" s="1">
        <f t="shared" si="9"/>
        <v>78</v>
      </c>
      <c r="C84" s="20" t="s">
        <v>2127</v>
      </c>
      <c r="D84" s="20" t="s">
        <v>2132</v>
      </c>
      <c r="E84" s="65">
        <v>10510</v>
      </c>
      <c r="F84" s="19" t="s">
        <v>2133</v>
      </c>
      <c r="G84" s="9">
        <v>30895.566505760005</v>
      </c>
      <c r="H84" s="9">
        <v>21392.743864670003</v>
      </c>
      <c r="I84" s="9">
        <v>10308.800696930002</v>
      </c>
      <c r="J84" s="9">
        <v>7962.3585121600045</v>
      </c>
      <c r="K84" s="9">
        <v>2346.4421847699982</v>
      </c>
      <c r="L84" s="9">
        <v>81</v>
      </c>
      <c r="M84" s="9">
        <v>14556.692485619998</v>
      </c>
      <c r="N84" s="9">
        <v>81</v>
      </c>
      <c r="O84" s="9">
        <v>14556.692485619998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3</v>
      </c>
      <c r="Y84" s="9">
        <v>287143.80404477997</v>
      </c>
      <c r="Z84" s="9">
        <v>132385.76367428</v>
      </c>
      <c r="AA84" s="9">
        <v>154758.04037050001</v>
      </c>
      <c r="AB84" s="9">
        <v>48</v>
      </c>
      <c r="AC84" s="9">
        <v>678.48699303150033</v>
      </c>
      <c r="AD84" s="9">
        <v>30</v>
      </c>
      <c r="AE84" s="9">
        <v>7864.2670914999999</v>
      </c>
      <c r="AF84" s="18"/>
      <c r="AG84" s="18"/>
      <c r="AH84" s="18"/>
      <c r="AI84" s="18"/>
      <c r="AJ84" s="18"/>
      <c r="AK84" s="18"/>
      <c r="AL84" s="18"/>
      <c r="AM84" s="18"/>
    </row>
    <row r="85" spans="1:39" s="11" customFormat="1" ht="27" customHeight="1" x14ac:dyDescent="0.25">
      <c r="A85" s="66" t="s">
        <v>33</v>
      </c>
      <c r="B85" s="1">
        <f t="shared" si="9"/>
        <v>79</v>
      </c>
      <c r="C85" s="20" t="s">
        <v>2127</v>
      </c>
      <c r="D85" s="20" t="s">
        <v>2134</v>
      </c>
      <c r="E85" s="65">
        <v>10729</v>
      </c>
      <c r="F85" s="19" t="s">
        <v>2035</v>
      </c>
      <c r="G85" s="9">
        <v>36559.060539290003</v>
      </c>
      <c r="H85" s="9">
        <v>26264.236599600001</v>
      </c>
      <c r="I85" s="9">
        <v>6045.70159229</v>
      </c>
      <c r="J85" s="9">
        <v>4884.9080492399989</v>
      </c>
      <c r="K85" s="9">
        <v>1160.7935430500011</v>
      </c>
      <c r="L85" s="9">
        <v>62</v>
      </c>
      <c r="M85" s="9">
        <v>14012.364158260005</v>
      </c>
      <c r="N85" s="9">
        <v>62</v>
      </c>
      <c r="O85" s="9">
        <v>14012.364158260005</v>
      </c>
      <c r="P85" s="9">
        <v>0</v>
      </c>
      <c r="Q85" s="9">
        <v>0</v>
      </c>
      <c r="R85" s="9">
        <v>27</v>
      </c>
      <c r="S85" s="9">
        <v>46918.08863459</v>
      </c>
      <c r="T85" s="9">
        <v>0</v>
      </c>
      <c r="U85" s="9">
        <v>0</v>
      </c>
      <c r="V85" s="9">
        <v>0</v>
      </c>
      <c r="W85" s="9">
        <v>0</v>
      </c>
      <c r="X85" s="9">
        <v>31</v>
      </c>
      <c r="Y85" s="9">
        <v>549830.45564874995</v>
      </c>
      <c r="Z85" s="9">
        <v>291805.57975199999</v>
      </c>
      <c r="AA85" s="9">
        <v>258024.87589674999</v>
      </c>
      <c r="AB85" s="9">
        <v>349</v>
      </c>
      <c r="AC85" s="9">
        <v>4624.6836040200069</v>
      </c>
      <c r="AD85" s="9">
        <v>17</v>
      </c>
      <c r="AE85" s="9">
        <v>3824.3267397000009</v>
      </c>
      <c r="AF85" s="18"/>
      <c r="AG85" s="18"/>
      <c r="AH85" s="18"/>
      <c r="AI85" s="18"/>
      <c r="AJ85" s="18"/>
      <c r="AK85" s="18"/>
      <c r="AL85" s="18"/>
      <c r="AM85" s="18"/>
    </row>
    <row r="86" spans="1:39" s="11" customFormat="1" ht="27" customHeight="1" x14ac:dyDescent="0.25">
      <c r="A86" s="66" t="s">
        <v>33</v>
      </c>
      <c r="B86" s="1">
        <f t="shared" si="9"/>
        <v>80</v>
      </c>
      <c r="C86" s="20" t="s">
        <v>2127</v>
      </c>
      <c r="D86" s="20" t="s">
        <v>2183</v>
      </c>
      <c r="E86" s="65">
        <v>12029</v>
      </c>
      <c r="F86" s="19" t="s">
        <v>2047</v>
      </c>
      <c r="G86" s="9">
        <v>4377.8738886800002</v>
      </c>
      <c r="H86" s="9">
        <v>4001.0471250199998</v>
      </c>
      <c r="I86" s="9">
        <v>87.429887569999991</v>
      </c>
      <c r="J86" s="9">
        <v>81.941585389999986</v>
      </c>
      <c r="K86" s="9">
        <v>5.4883021800000007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3</v>
      </c>
      <c r="Y86" s="9">
        <v>43698.809545999997</v>
      </c>
      <c r="Z86" s="9">
        <v>10386.398233</v>
      </c>
      <c r="AA86" s="9">
        <v>33312.411312999997</v>
      </c>
      <c r="AB86" s="9">
        <v>36</v>
      </c>
      <c r="AC86" s="9">
        <v>173.31330526750008</v>
      </c>
      <c r="AD86" s="9">
        <v>1</v>
      </c>
      <c r="AE86" s="9">
        <v>112.60000199999999</v>
      </c>
      <c r="AF86" s="18"/>
      <c r="AG86" s="18"/>
      <c r="AH86" s="18"/>
      <c r="AI86" s="18"/>
      <c r="AJ86" s="18"/>
      <c r="AK86" s="18"/>
      <c r="AL86" s="18"/>
      <c r="AM86" s="18"/>
    </row>
    <row r="87" spans="1:39" s="11" customFormat="1" ht="27" customHeight="1" x14ac:dyDescent="0.25">
      <c r="A87" s="66" t="s">
        <v>37</v>
      </c>
      <c r="B87" s="1">
        <f t="shared" si="9"/>
        <v>81</v>
      </c>
      <c r="C87" s="20" t="s">
        <v>2148</v>
      </c>
      <c r="D87" s="20" t="s">
        <v>2149</v>
      </c>
      <c r="E87" s="65" t="s">
        <v>13</v>
      </c>
      <c r="F87" s="19" t="s">
        <v>2045</v>
      </c>
      <c r="G87" s="9">
        <v>140494.55551283999</v>
      </c>
      <c r="H87" s="9">
        <v>101976.62913505</v>
      </c>
      <c r="I87" s="9">
        <v>22231.515088209992</v>
      </c>
      <c r="J87" s="9">
        <v>18539.582349879991</v>
      </c>
      <c r="K87" s="9">
        <v>3691.9327383300019</v>
      </c>
      <c r="L87" s="9">
        <v>191</v>
      </c>
      <c r="M87" s="9">
        <v>98815.753977340006</v>
      </c>
      <c r="N87" s="9">
        <v>191</v>
      </c>
      <c r="O87" s="9">
        <v>98815.753977340006</v>
      </c>
      <c r="P87" s="9">
        <v>0</v>
      </c>
      <c r="Q87" s="9">
        <v>0</v>
      </c>
      <c r="R87" s="9">
        <v>19</v>
      </c>
      <c r="S87" s="9">
        <v>28750.837721320004</v>
      </c>
      <c r="T87" s="9">
        <v>1</v>
      </c>
      <c r="U87" s="9">
        <v>1373.09749074</v>
      </c>
      <c r="V87" s="9">
        <v>0</v>
      </c>
      <c r="W87" s="9">
        <v>0</v>
      </c>
      <c r="X87" s="9">
        <v>42</v>
      </c>
      <c r="Y87" s="9">
        <v>1005577.2750946506</v>
      </c>
      <c r="Z87" s="9">
        <v>756389.29011878057</v>
      </c>
      <c r="AA87" s="9">
        <v>249187.98497586997</v>
      </c>
      <c r="AB87" s="9">
        <v>126</v>
      </c>
      <c r="AC87" s="9">
        <v>16.353401965000018</v>
      </c>
      <c r="AD87" s="9">
        <v>267</v>
      </c>
      <c r="AE87" s="9">
        <v>23091.489808699967</v>
      </c>
      <c r="AF87" s="18"/>
      <c r="AG87" s="18"/>
      <c r="AH87" s="18"/>
      <c r="AI87" s="18"/>
      <c r="AJ87" s="18"/>
      <c r="AK87" s="18"/>
      <c r="AL87" s="18"/>
      <c r="AM87" s="18"/>
    </row>
    <row r="88" spans="1:39" s="11" customFormat="1" ht="27" customHeight="1" x14ac:dyDescent="0.25">
      <c r="A88" s="66" t="s">
        <v>37</v>
      </c>
      <c r="B88" s="1">
        <f t="shared" si="9"/>
        <v>82</v>
      </c>
      <c r="C88" s="20" t="s">
        <v>2148</v>
      </c>
      <c r="D88" s="20" t="s">
        <v>2150</v>
      </c>
      <c r="E88" s="65" t="s">
        <v>7</v>
      </c>
      <c r="F88" s="19" t="s">
        <v>2049</v>
      </c>
      <c r="G88" s="9">
        <v>366582.84067211999</v>
      </c>
      <c r="H88" s="9">
        <v>309014.91938611999</v>
      </c>
      <c r="I88" s="9">
        <v>30204.654130100029</v>
      </c>
      <c r="J88" s="9">
        <v>25047.554207290035</v>
      </c>
      <c r="K88" s="9">
        <v>5157.0999228099936</v>
      </c>
      <c r="L88" s="9">
        <v>168</v>
      </c>
      <c r="M88" s="9">
        <v>13844.760992130001</v>
      </c>
      <c r="N88" s="9">
        <v>168</v>
      </c>
      <c r="O88" s="9">
        <v>13844.760992130001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75</v>
      </c>
      <c r="Y88" s="9">
        <v>3789810.3131239899</v>
      </c>
      <c r="Z88" s="9">
        <v>847520.71081763017</v>
      </c>
      <c r="AA88" s="9">
        <v>2942289.6023063599</v>
      </c>
      <c r="AB88" s="9">
        <v>457</v>
      </c>
      <c r="AC88" s="9">
        <v>18.034472203000053</v>
      </c>
      <c r="AD88" s="9">
        <v>1447</v>
      </c>
      <c r="AE88" s="9">
        <v>37691.202044210004</v>
      </c>
      <c r="AF88" s="18"/>
      <c r="AG88" s="18"/>
      <c r="AH88" s="18"/>
      <c r="AI88" s="18"/>
      <c r="AJ88" s="18"/>
      <c r="AK88" s="18"/>
      <c r="AL88" s="18"/>
      <c r="AM88" s="18"/>
    </row>
    <row r="89" spans="1:39" s="11" customFormat="1" ht="27" customHeight="1" x14ac:dyDescent="0.25">
      <c r="A89" s="66" t="s">
        <v>37</v>
      </c>
      <c r="B89" s="1">
        <f t="shared" si="9"/>
        <v>83</v>
      </c>
      <c r="C89" s="20" t="s">
        <v>2148</v>
      </c>
      <c r="D89" s="20" t="s">
        <v>2151</v>
      </c>
      <c r="E89" s="65" t="s">
        <v>5</v>
      </c>
      <c r="F89" s="19" t="s">
        <v>2037</v>
      </c>
      <c r="G89" s="9">
        <v>62833.261081369994</v>
      </c>
      <c r="H89" s="9">
        <v>42135.145787739995</v>
      </c>
      <c r="I89" s="9">
        <v>2402.8051771000014</v>
      </c>
      <c r="J89" s="9">
        <v>2069.595585040001</v>
      </c>
      <c r="K89" s="9">
        <v>333.20959206000049</v>
      </c>
      <c r="L89" s="9">
        <v>154</v>
      </c>
      <c r="M89" s="9">
        <v>4488.4972916999986</v>
      </c>
      <c r="N89" s="9">
        <v>154</v>
      </c>
      <c r="O89" s="9">
        <v>4488.4972916999986</v>
      </c>
      <c r="P89" s="9">
        <v>0</v>
      </c>
      <c r="Q89" s="9">
        <v>0</v>
      </c>
      <c r="R89" s="9">
        <v>1</v>
      </c>
      <c r="S89" s="9">
        <v>28.383997179999998</v>
      </c>
      <c r="T89" s="9">
        <v>1</v>
      </c>
      <c r="U89" s="9">
        <v>28.383997179999998</v>
      </c>
      <c r="V89" s="9">
        <v>0</v>
      </c>
      <c r="W89" s="9">
        <v>0</v>
      </c>
      <c r="X89" s="9">
        <v>38</v>
      </c>
      <c r="Y89" s="9">
        <v>425113.01608814031</v>
      </c>
      <c r="Z89" s="9">
        <v>257318.96236774029</v>
      </c>
      <c r="AA89" s="9">
        <v>167794.0537204</v>
      </c>
      <c r="AB89" s="9">
        <v>131</v>
      </c>
      <c r="AC89" s="9">
        <v>2.7592023695000116</v>
      </c>
      <c r="AD89" s="9">
        <v>350</v>
      </c>
      <c r="AE89" s="9">
        <v>3755.1797617900015</v>
      </c>
      <c r="AF89" s="18"/>
      <c r="AG89" s="18"/>
      <c r="AH89" s="18"/>
      <c r="AI89" s="18"/>
      <c r="AJ89" s="18"/>
      <c r="AK89" s="18"/>
      <c r="AL89" s="18"/>
      <c r="AM89" s="18"/>
    </row>
    <row r="90" spans="1:39" s="11" customFormat="1" ht="27" customHeight="1" x14ac:dyDescent="0.25">
      <c r="A90" s="66" t="s">
        <v>37</v>
      </c>
      <c r="B90" s="1">
        <f t="shared" si="9"/>
        <v>84</v>
      </c>
      <c r="C90" s="20" t="s">
        <v>2148</v>
      </c>
      <c r="D90" s="20" t="s">
        <v>2152</v>
      </c>
      <c r="E90" s="65" t="s">
        <v>6</v>
      </c>
      <c r="F90" s="19" t="s">
        <v>2047</v>
      </c>
      <c r="G90" s="9">
        <v>126460.48243213998</v>
      </c>
      <c r="H90" s="9">
        <v>96644.236882919984</v>
      </c>
      <c r="I90" s="9">
        <v>6801.0924593799928</v>
      </c>
      <c r="J90" s="9">
        <v>5761.7151529399935</v>
      </c>
      <c r="K90" s="9">
        <v>1039.3773064399995</v>
      </c>
      <c r="L90" s="9">
        <v>80</v>
      </c>
      <c r="M90" s="9">
        <v>27720.67076633</v>
      </c>
      <c r="N90" s="9">
        <v>79</v>
      </c>
      <c r="O90" s="9">
        <v>27420.67076633</v>
      </c>
      <c r="P90" s="9">
        <v>1</v>
      </c>
      <c r="Q90" s="9">
        <v>300</v>
      </c>
      <c r="R90" s="9">
        <v>43</v>
      </c>
      <c r="S90" s="9">
        <v>5736.8135770000008</v>
      </c>
      <c r="T90" s="9">
        <v>0</v>
      </c>
      <c r="U90" s="9">
        <v>0</v>
      </c>
      <c r="V90" s="9">
        <v>0</v>
      </c>
      <c r="W90" s="9">
        <v>0</v>
      </c>
      <c r="X90" s="9">
        <v>48</v>
      </c>
      <c r="Y90" s="9">
        <v>816551.02051904937</v>
      </c>
      <c r="Z90" s="9">
        <v>594713.50785800943</v>
      </c>
      <c r="AA90" s="9">
        <v>221837.51266104</v>
      </c>
      <c r="AB90" s="9">
        <v>121</v>
      </c>
      <c r="AC90" s="9">
        <v>3.1950001164295826E-7</v>
      </c>
      <c r="AD90" s="9">
        <v>330</v>
      </c>
      <c r="AE90" s="9">
        <v>9835.0875860700053</v>
      </c>
      <c r="AF90" s="18"/>
      <c r="AG90" s="18"/>
      <c r="AH90" s="18"/>
      <c r="AI90" s="18"/>
      <c r="AJ90" s="18"/>
      <c r="AK90" s="18"/>
      <c r="AL90" s="18"/>
      <c r="AM90" s="18"/>
    </row>
    <row r="91" spans="1:39" s="11" customFormat="1" ht="27" customHeight="1" x14ac:dyDescent="0.25">
      <c r="A91" s="66" t="s">
        <v>37</v>
      </c>
      <c r="B91" s="1">
        <f t="shared" si="9"/>
        <v>85</v>
      </c>
      <c r="C91" s="20" t="s">
        <v>2148</v>
      </c>
      <c r="D91" s="20" t="s">
        <v>2153</v>
      </c>
      <c r="E91" s="65" t="s">
        <v>4</v>
      </c>
      <c r="F91" s="19" t="s">
        <v>2060</v>
      </c>
      <c r="G91" s="9">
        <v>89488.391139029991</v>
      </c>
      <c r="H91" s="9">
        <v>62941.996844169997</v>
      </c>
      <c r="I91" s="9">
        <v>4212.8774298400049</v>
      </c>
      <c r="J91" s="9">
        <v>3621.6496688200054</v>
      </c>
      <c r="K91" s="9">
        <v>591.22776101999978</v>
      </c>
      <c r="L91" s="9">
        <v>16</v>
      </c>
      <c r="M91" s="9">
        <v>26120.411526150001</v>
      </c>
      <c r="N91" s="9">
        <v>16</v>
      </c>
      <c r="O91" s="9">
        <v>26120.411526150001</v>
      </c>
      <c r="P91" s="9">
        <v>0</v>
      </c>
      <c r="Q91" s="9">
        <v>0</v>
      </c>
      <c r="R91" s="9">
        <v>18</v>
      </c>
      <c r="S91" s="9">
        <v>3063.6873742500002</v>
      </c>
      <c r="T91" s="9">
        <v>0</v>
      </c>
      <c r="U91" s="9">
        <v>0</v>
      </c>
      <c r="V91" s="9">
        <v>0</v>
      </c>
      <c r="W91" s="9">
        <v>0</v>
      </c>
      <c r="X91" s="9">
        <v>35</v>
      </c>
      <c r="Y91" s="9">
        <v>538357.2548098003</v>
      </c>
      <c r="Z91" s="9">
        <v>348684.62376415025</v>
      </c>
      <c r="AA91" s="9">
        <v>189672.63104565002</v>
      </c>
      <c r="AB91" s="9">
        <v>107</v>
      </c>
      <c r="AC91" s="9">
        <v>1.5500171499987642E-2</v>
      </c>
      <c r="AD91" s="9">
        <v>264</v>
      </c>
      <c r="AE91" s="9">
        <v>4883.0497193500014</v>
      </c>
      <c r="AF91" s="18"/>
      <c r="AG91" s="18"/>
      <c r="AH91" s="18"/>
      <c r="AI91" s="18"/>
      <c r="AJ91" s="18"/>
      <c r="AK91" s="18"/>
      <c r="AL91" s="18"/>
      <c r="AM91" s="18"/>
    </row>
    <row r="92" spans="1:39" s="11" customFormat="1" ht="27" customHeight="1" x14ac:dyDescent="0.25">
      <c r="A92" s="66" t="s">
        <v>37</v>
      </c>
      <c r="B92" s="1">
        <f t="shared" si="9"/>
        <v>86</v>
      </c>
      <c r="C92" s="20" t="s">
        <v>2148</v>
      </c>
      <c r="D92" s="20" t="s">
        <v>2154</v>
      </c>
      <c r="E92" s="65" t="s">
        <v>9</v>
      </c>
      <c r="F92" s="19" t="s">
        <v>2041</v>
      </c>
      <c r="G92" s="9">
        <v>136128.76181254999</v>
      </c>
      <c r="H92" s="9">
        <v>118509.2497857</v>
      </c>
      <c r="I92" s="9">
        <v>5450.6289117200085</v>
      </c>
      <c r="J92" s="9">
        <v>4973.9301628700086</v>
      </c>
      <c r="K92" s="9">
        <v>476.69874884999967</v>
      </c>
      <c r="L92" s="9">
        <v>14</v>
      </c>
      <c r="M92" s="9">
        <v>1557.33975908</v>
      </c>
      <c r="N92" s="9">
        <v>14</v>
      </c>
      <c r="O92" s="9">
        <v>1557.33975908</v>
      </c>
      <c r="P92" s="9">
        <v>0</v>
      </c>
      <c r="Q92" s="9">
        <v>0</v>
      </c>
      <c r="R92" s="9">
        <v>27</v>
      </c>
      <c r="S92" s="9">
        <v>85481.738493610013</v>
      </c>
      <c r="T92" s="9">
        <v>0</v>
      </c>
      <c r="U92" s="9">
        <v>0</v>
      </c>
      <c r="V92" s="9">
        <v>0</v>
      </c>
      <c r="W92" s="9">
        <v>0</v>
      </c>
      <c r="X92" s="9">
        <v>45</v>
      </c>
      <c r="Y92" s="9">
        <v>2554978.740645533</v>
      </c>
      <c r="Z92" s="9">
        <v>2107857.0973471231</v>
      </c>
      <c r="AA92" s="9">
        <v>447121.64329841005</v>
      </c>
      <c r="AB92" s="9">
        <v>219</v>
      </c>
      <c r="AC92" s="9">
        <v>5.2454999987705088E-6</v>
      </c>
      <c r="AD92" s="9">
        <v>539</v>
      </c>
      <c r="AE92" s="9">
        <v>8783.8032716699963</v>
      </c>
      <c r="AF92" s="18"/>
      <c r="AG92" s="18"/>
      <c r="AH92" s="18"/>
      <c r="AI92" s="18"/>
      <c r="AJ92" s="18"/>
      <c r="AK92" s="18"/>
      <c r="AL92" s="18"/>
      <c r="AM92" s="18"/>
    </row>
    <row r="93" spans="1:39" s="11" customFormat="1" ht="27" customHeight="1" x14ac:dyDescent="0.25">
      <c r="A93" s="66" t="s">
        <v>37</v>
      </c>
      <c r="B93" s="1">
        <f t="shared" si="9"/>
        <v>87</v>
      </c>
      <c r="C93" s="20" t="s">
        <v>2148</v>
      </c>
      <c r="D93" s="20" t="s">
        <v>2155</v>
      </c>
      <c r="E93" s="65" t="s">
        <v>8</v>
      </c>
      <c r="F93" s="19" t="s">
        <v>2073</v>
      </c>
      <c r="G93" s="9">
        <v>30231.232479959999</v>
      </c>
      <c r="H93" s="9">
        <v>26062.5813303</v>
      </c>
      <c r="I93" s="9">
        <v>1395.5412991900016</v>
      </c>
      <c r="J93" s="9">
        <v>1250.7426594900014</v>
      </c>
      <c r="K93" s="9">
        <v>144.79863970000008</v>
      </c>
      <c r="L93" s="9">
        <v>8</v>
      </c>
      <c r="M93" s="9">
        <v>784.90383713999995</v>
      </c>
      <c r="N93" s="9">
        <v>8</v>
      </c>
      <c r="O93" s="9">
        <v>784.90383713999995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36</v>
      </c>
      <c r="Y93" s="9">
        <v>236513.81044199006</v>
      </c>
      <c r="Z93" s="9">
        <v>171097.06709263005</v>
      </c>
      <c r="AA93" s="9">
        <v>65416.743349360004</v>
      </c>
      <c r="AB93" s="9">
        <v>48</v>
      </c>
      <c r="AC93" s="9">
        <v>1.1035500003778434E-5</v>
      </c>
      <c r="AD93" s="9">
        <v>99</v>
      </c>
      <c r="AE93" s="9">
        <v>2024.8917935600002</v>
      </c>
      <c r="AF93" s="18"/>
      <c r="AG93" s="18"/>
      <c r="AH93" s="18"/>
      <c r="AI93" s="18"/>
      <c r="AJ93" s="18"/>
      <c r="AK93" s="18"/>
      <c r="AL93" s="18"/>
      <c r="AM93" s="18"/>
    </row>
    <row r="94" spans="1:39" s="11" customFormat="1" ht="27" customHeight="1" x14ac:dyDescent="0.25">
      <c r="A94" s="66" t="s">
        <v>37</v>
      </c>
      <c r="B94" s="1">
        <f t="shared" si="9"/>
        <v>88</v>
      </c>
      <c r="C94" s="20" t="s">
        <v>2148</v>
      </c>
      <c r="D94" s="20" t="s">
        <v>2156</v>
      </c>
      <c r="E94" s="65" t="s">
        <v>3</v>
      </c>
      <c r="F94" s="19" t="s">
        <v>2107</v>
      </c>
      <c r="G94" s="9">
        <v>154709.83596299999</v>
      </c>
      <c r="H94" s="9">
        <v>53124.657015160003</v>
      </c>
      <c r="I94" s="9">
        <v>8981.3620789799934</v>
      </c>
      <c r="J94" s="9">
        <v>8009.6315905999936</v>
      </c>
      <c r="K94" s="9">
        <v>971.73048838000068</v>
      </c>
      <c r="L94" s="9">
        <v>53</v>
      </c>
      <c r="M94" s="9">
        <v>150293.81050070003</v>
      </c>
      <c r="N94" s="9">
        <v>53</v>
      </c>
      <c r="O94" s="9">
        <v>150293.81050070003</v>
      </c>
      <c r="P94" s="9">
        <v>0</v>
      </c>
      <c r="Q94" s="9">
        <v>0</v>
      </c>
      <c r="R94" s="9">
        <v>1</v>
      </c>
      <c r="S94" s="9">
        <v>3778.5041580000002</v>
      </c>
      <c r="T94" s="9">
        <v>0</v>
      </c>
      <c r="U94" s="9">
        <v>0</v>
      </c>
      <c r="V94" s="9">
        <v>0</v>
      </c>
      <c r="W94" s="9">
        <v>0</v>
      </c>
      <c r="X94" s="9">
        <v>30</v>
      </c>
      <c r="Y94" s="9">
        <v>412381.00311583898</v>
      </c>
      <c r="Z94" s="9">
        <v>293003.36277983896</v>
      </c>
      <c r="AA94" s="9">
        <v>119377.640336</v>
      </c>
      <c r="AB94" s="9">
        <v>54</v>
      </c>
      <c r="AC94" s="9">
        <v>26.425671542000007</v>
      </c>
      <c r="AD94" s="9">
        <v>123</v>
      </c>
      <c r="AE94" s="9">
        <v>2385.3071701599929</v>
      </c>
      <c r="AF94" s="18"/>
      <c r="AG94" s="18"/>
      <c r="AH94" s="18"/>
      <c r="AI94" s="18"/>
      <c r="AJ94" s="18"/>
      <c r="AK94" s="18"/>
      <c r="AL94" s="18"/>
      <c r="AM94" s="18"/>
    </row>
    <row r="95" spans="1:39" s="11" customFormat="1" ht="27" customHeight="1" x14ac:dyDescent="0.25">
      <c r="A95" s="66" t="s">
        <v>37</v>
      </c>
      <c r="B95" s="1">
        <f t="shared" si="9"/>
        <v>89</v>
      </c>
      <c r="C95" s="20" t="s">
        <v>2148</v>
      </c>
      <c r="D95" s="20" t="s">
        <v>2157</v>
      </c>
      <c r="E95" s="65" t="s">
        <v>2</v>
      </c>
      <c r="F95" s="19" t="s">
        <v>2035</v>
      </c>
      <c r="G95" s="9">
        <v>27363.438157370001</v>
      </c>
      <c r="H95" s="9">
        <v>13206.40651889</v>
      </c>
      <c r="I95" s="9">
        <v>13535.818543169995</v>
      </c>
      <c r="J95" s="9">
        <v>12782.811943929995</v>
      </c>
      <c r="K95" s="9">
        <v>753.0065992399999</v>
      </c>
      <c r="L95" s="9">
        <v>77</v>
      </c>
      <c r="M95" s="9">
        <v>3932.7987121799997</v>
      </c>
      <c r="N95" s="9">
        <v>77</v>
      </c>
      <c r="O95" s="9">
        <v>3932.7987121799997</v>
      </c>
      <c r="P95" s="9">
        <v>0</v>
      </c>
      <c r="Q95" s="9">
        <v>0</v>
      </c>
      <c r="R95" s="9">
        <v>2</v>
      </c>
      <c r="S95" s="9">
        <v>15665.14360238</v>
      </c>
      <c r="T95" s="9">
        <v>2</v>
      </c>
      <c r="U95" s="9">
        <v>15665.14360238</v>
      </c>
      <c r="V95" s="9">
        <v>0</v>
      </c>
      <c r="W95" s="9">
        <v>0</v>
      </c>
      <c r="X95" s="9">
        <v>55</v>
      </c>
      <c r="Y95" s="9">
        <v>166341.16445859999</v>
      </c>
      <c r="Z95" s="9">
        <v>67183.115230169991</v>
      </c>
      <c r="AA95" s="9">
        <v>99158.049228429998</v>
      </c>
      <c r="AB95" s="9">
        <v>30</v>
      </c>
      <c r="AC95" s="9">
        <v>2.9836499879042094E-5</v>
      </c>
      <c r="AD95" s="9">
        <v>79</v>
      </c>
      <c r="AE95" s="9">
        <v>1752.4919868499946</v>
      </c>
      <c r="AF95" s="18"/>
      <c r="AG95" s="18"/>
      <c r="AH95" s="18"/>
      <c r="AI95" s="18"/>
      <c r="AJ95" s="18"/>
      <c r="AK95" s="18"/>
      <c r="AL95" s="18"/>
      <c r="AM95" s="18"/>
    </row>
    <row r="96" spans="1:39" s="11" customFormat="1" ht="27" customHeight="1" x14ac:dyDescent="0.25">
      <c r="A96" s="66" t="s">
        <v>38</v>
      </c>
      <c r="B96" s="1">
        <f t="shared" si="9"/>
        <v>90</v>
      </c>
      <c r="C96" s="20" t="s">
        <v>2158</v>
      </c>
      <c r="D96" s="20" t="s">
        <v>2159</v>
      </c>
      <c r="E96" s="65">
        <v>11853</v>
      </c>
      <c r="F96" s="19" t="s">
        <v>2107</v>
      </c>
      <c r="G96" s="9">
        <v>37312.60887063</v>
      </c>
      <c r="H96" s="9">
        <v>20141.502847600001</v>
      </c>
      <c r="I96" s="9">
        <v>0</v>
      </c>
      <c r="J96" s="9">
        <v>0</v>
      </c>
      <c r="K96" s="9">
        <v>0</v>
      </c>
      <c r="L96" s="9">
        <v>50</v>
      </c>
      <c r="M96" s="9">
        <v>647.14453771000001</v>
      </c>
      <c r="N96" s="9">
        <v>50</v>
      </c>
      <c r="O96" s="9">
        <v>647.14453771000001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31</v>
      </c>
      <c r="Y96" s="9">
        <v>151413.71175000002</v>
      </c>
      <c r="Z96" s="9">
        <v>94032.479900000006</v>
      </c>
      <c r="AA96" s="9">
        <v>57381.231849999996</v>
      </c>
      <c r="AB96" s="9">
        <v>0</v>
      </c>
      <c r="AC96" s="9">
        <v>0</v>
      </c>
      <c r="AD96" s="9">
        <v>0</v>
      </c>
      <c r="AE96" s="9">
        <v>0</v>
      </c>
      <c r="AF96" s="18"/>
      <c r="AG96" s="18"/>
      <c r="AH96" s="18"/>
      <c r="AI96" s="18"/>
      <c r="AJ96" s="18"/>
      <c r="AK96" s="18"/>
      <c r="AL96" s="18"/>
      <c r="AM96" s="18"/>
    </row>
    <row r="97" spans="1:39" s="11" customFormat="1" ht="27" customHeight="1" x14ac:dyDescent="0.25">
      <c r="A97" s="66" t="s">
        <v>41</v>
      </c>
      <c r="B97" s="1">
        <f t="shared" si="9"/>
        <v>91</v>
      </c>
      <c r="C97" s="20" t="s">
        <v>2164</v>
      </c>
      <c r="D97" s="20" t="s">
        <v>2164</v>
      </c>
      <c r="E97" s="65" t="s">
        <v>25</v>
      </c>
      <c r="F97" s="19" t="s">
        <v>2039</v>
      </c>
      <c r="G97" s="9">
        <v>139666.31226644001</v>
      </c>
      <c r="H97" s="9">
        <v>126746.51611231</v>
      </c>
      <c r="I97" s="9">
        <v>12285.805146155008</v>
      </c>
      <c r="J97" s="9">
        <v>10413.198939235008</v>
      </c>
      <c r="K97" s="9">
        <v>1872.60620692</v>
      </c>
      <c r="L97" s="9">
        <v>3</v>
      </c>
      <c r="M97" s="9">
        <v>646.83438978999993</v>
      </c>
      <c r="N97" s="9">
        <v>3</v>
      </c>
      <c r="O97" s="9">
        <v>646.83438978999993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35</v>
      </c>
      <c r="Y97" s="9">
        <v>893008.14487155236</v>
      </c>
      <c r="Z97" s="9">
        <v>760712.27445632836</v>
      </c>
      <c r="AA97" s="9">
        <v>132295.870415224</v>
      </c>
      <c r="AB97" s="9">
        <v>0</v>
      </c>
      <c r="AC97" s="9">
        <v>0</v>
      </c>
      <c r="AD97" s="9">
        <v>83</v>
      </c>
      <c r="AE97" s="9">
        <v>34459.286159210002</v>
      </c>
      <c r="AF97" s="18"/>
      <c r="AG97" s="18"/>
      <c r="AH97" s="18"/>
      <c r="AI97" s="18"/>
      <c r="AJ97" s="18"/>
      <c r="AK97" s="18"/>
      <c r="AL97" s="18"/>
      <c r="AM97" s="18"/>
    </row>
    <row r="98" spans="1:39" s="11" customFormat="1" ht="27" customHeight="1" x14ac:dyDescent="0.25">
      <c r="A98" s="66" t="s">
        <v>39</v>
      </c>
      <c r="B98" s="1">
        <f t="shared" si="9"/>
        <v>92</v>
      </c>
      <c r="C98" s="20" t="s">
        <v>2160</v>
      </c>
      <c r="D98" s="20" t="s">
        <v>2161</v>
      </c>
      <c r="E98" s="65" t="s">
        <v>19</v>
      </c>
      <c r="F98" s="19" t="s">
        <v>2054</v>
      </c>
      <c r="G98" s="9">
        <v>128004.38704955</v>
      </c>
      <c r="H98" s="9">
        <v>90025.395614230001</v>
      </c>
      <c r="I98" s="9">
        <v>3253.3075363660009</v>
      </c>
      <c r="J98" s="9">
        <v>2924.3434602360007</v>
      </c>
      <c r="K98" s="9">
        <v>328.96407613000002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16</v>
      </c>
      <c r="S98" s="9">
        <v>4655.5790630900019</v>
      </c>
      <c r="T98" s="9">
        <v>9</v>
      </c>
      <c r="U98" s="9">
        <v>3508.1175111500002</v>
      </c>
      <c r="V98" s="9">
        <v>0</v>
      </c>
      <c r="W98" s="9">
        <v>0</v>
      </c>
      <c r="X98" s="9">
        <v>60</v>
      </c>
      <c r="Y98" s="9">
        <v>1291918.9203746072</v>
      </c>
      <c r="Z98" s="9">
        <v>934037.33425360708</v>
      </c>
      <c r="AA98" s="9">
        <v>357881.586121</v>
      </c>
      <c r="AB98" s="9">
        <v>46</v>
      </c>
      <c r="AC98" s="9">
        <v>4259.1946239165009</v>
      </c>
      <c r="AD98" s="9">
        <v>50</v>
      </c>
      <c r="AE98" s="9">
        <v>23955.871802579994</v>
      </c>
      <c r="AF98" s="18"/>
      <c r="AG98" s="18"/>
      <c r="AH98" s="18"/>
      <c r="AI98" s="18"/>
      <c r="AJ98" s="18"/>
      <c r="AK98" s="18"/>
      <c r="AL98" s="18"/>
      <c r="AM98" s="18"/>
    </row>
    <row r="99" spans="1:39" s="11" customFormat="1" ht="27" customHeight="1" x14ac:dyDescent="0.25">
      <c r="A99" s="66" t="s">
        <v>39</v>
      </c>
      <c r="B99" s="1">
        <f t="shared" si="9"/>
        <v>93</v>
      </c>
      <c r="C99" s="20" t="s">
        <v>2160</v>
      </c>
      <c r="D99" s="20" t="s">
        <v>2162</v>
      </c>
      <c r="E99" s="65" t="s">
        <v>20</v>
      </c>
      <c r="F99" s="19" t="s">
        <v>2107</v>
      </c>
      <c r="G99" s="9">
        <v>69169.80345420001</v>
      </c>
      <c r="H99" s="9">
        <v>44400.359708250005</v>
      </c>
      <c r="I99" s="9">
        <v>6979.6905595600001</v>
      </c>
      <c r="J99" s="9">
        <v>4308.3477707099992</v>
      </c>
      <c r="K99" s="9">
        <v>2671.3427888500014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3</v>
      </c>
      <c r="S99" s="9">
        <v>97.045800139999997</v>
      </c>
      <c r="T99" s="9">
        <v>1</v>
      </c>
      <c r="U99" s="9">
        <v>0.27470506</v>
      </c>
      <c r="V99" s="9">
        <v>0</v>
      </c>
      <c r="W99" s="9">
        <v>0</v>
      </c>
      <c r="X99" s="9">
        <v>63</v>
      </c>
      <c r="Y99" s="9">
        <v>582719.99590843997</v>
      </c>
      <c r="Z99" s="9">
        <v>314284.78117809002</v>
      </c>
      <c r="AA99" s="9">
        <v>268435.21473034995</v>
      </c>
      <c r="AB99" s="9">
        <v>27</v>
      </c>
      <c r="AC99" s="9">
        <v>1222.3094890850002</v>
      </c>
      <c r="AD99" s="9">
        <v>29</v>
      </c>
      <c r="AE99" s="9">
        <v>19647.438306099997</v>
      </c>
      <c r="AF99" s="18"/>
      <c r="AG99" s="18"/>
      <c r="AH99" s="18"/>
      <c r="AI99" s="18"/>
      <c r="AJ99" s="18"/>
      <c r="AK99" s="18"/>
      <c r="AL99" s="18"/>
      <c r="AM99" s="18"/>
    </row>
    <row r="100" spans="1:39" s="11" customFormat="1" ht="27" customHeight="1" x14ac:dyDescent="0.25">
      <c r="A100" s="66" t="s">
        <v>40</v>
      </c>
      <c r="B100" s="1">
        <f t="shared" si="9"/>
        <v>94</v>
      </c>
      <c r="C100" s="20" t="s">
        <v>2163</v>
      </c>
      <c r="D100" s="20" t="s">
        <v>2163</v>
      </c>
      <c r="E100" s="65" t="s">
        <v>24</v>
      </c>
      <c r="F100" s="19" t="s">
        <v>2037</v>
      </c>
      <c r="G100" s="9">
        <v>68203.616766269988</v>
      </c>
      <c r="H100" s="9">
        <v>61961.624285960002</v>
      </c>
      <c r="I100" s="9">
        <v>8417.4770697960157</v>
      </c>
      <c r="J100" s="9">
        <v>5975.4216220260132</v>
      </c>
      <c r="K100" s="9">
        <v>2442.0554477700025</v>
      </c>
      <c r="L100" s="9">
        <v>428</v>
      </c>
      <c r="M100" s="9">
        <v>5840.9114862690012</v>
      </c>
      <c r="N100" s="9">
        <v>428</v>
      </c>
      <c r="O100" s="9">
        <v>5840.9114862690012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60</v>
      </c>
      <c r="Y100" s="9">
        <v>1338214.0759437303</v>
      </c>
      <c r="Z100" s="9">
        <v>280093.49252791016</v>
      </c>
      <c r="AA100" s="9">
        <v>1058120.58341582</v>
      </c>
      <c r="AB100" s="9">
        <v>1579</v>
      </c>
      <c r="AC100" s="9">
        <v>3.0527699997599849E-4</v>
      </c>
      <c r="AD100" s="9">
        <v>2527</v>
      </c>
      <c r="AE100" s="9">
        <v>20558.192712331933</v>
      </c>
      <c r="AF100" s="18"/>
      <c r="AG100" s="18"/>
      <c r="AH100" s="18"/>
      <c r="AI100" s="18"/>
      <c r="AJ100" s="18"/>
      <c r="AK100" s="18"/>
      <c r="AL100" s="18"/>
      <c r="AM100" s="18"/>
    </row>
    <row r="101" spans="1:39" s="11" customFormat="1" ht="27" customHeight="1" x14ac:dyDescent="0.25">
      <c r="A101" s="66" t="s">
        <v>44</v>
      </c>
      <c r="B101" s="1">
        <f t="shared" si="9"/>
        <v>95</v>
      </c>
      <c r="C101" s="20" t="s">
        <v>2184</v>
      </c>
      <c r="D101" s="20" t="s">
        <v>2184</v>
      </c>
      <c r="E101" s="65" t="s">
        <v>43</v>
      </c>
      <c r="F101" s="19" t="s">
        <v>2047</v>
      </c>
      <c r="G101" s="9">
        <v>25418.225196129999</v>
      </c>
      <c r="H101" s="9">
        <v>25069.78416902</v>
      </c>
      <c r="I101" s="9">
        <v>6570.4710425799994</v>
      </c>
      <c r="J101" s="9">
        <v>5748.2621426099995</v>
      </c>
      <c r="K101" s="9">
        <v>822.20889997000029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12</v>
      </c>
      <c r="Y101" s="9">
        <v>274979.44280823</v>
      </c>
      <c r="Z101" s="9">
        <v>169947.99063995</v>
      </c>
      <c r="AA101" s="9">
        <v>105031.45216828</v>
      </c>
      <c r="AB101" s="9">
        <v>0</v>
      </c>
      <c r="AC101" s="9">
        <v>0</v>
      </c>
      <c r="AD101" s="9">
        <v>78</v>
      </c>
      <c r="AE101" s="9">
        <v>11788.791227970003</v>
      </c>
      <c r="AF101" s="18"/>
      <c r="AG101" s="18"/>
      <c r="AH101" s="18"/>
      <c r="AI101" s="18"/>
      <c r="AJ101" s="18"/>
      <c r="AK101" s="18"/>
      <c r="AL101" s="18"/>
      <c r="AM101" s="18"/>
    </row>
    <row r="102" spans="1:39" x14ac:dyDescent="0.25"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</sheetData>
  <mergeCells count="22">
    <mergeCell ref="AD3:AE4"/>
    <mergeCell ref="N4:O4"/>
    <mergeCell ref="P4:Q4"/>
    <mergeCell ref="T4:U4"/>
    <mergeCell ref="R3:S4"/>
    <mergeCell ref="T3:W3"/>
    <mergeCell ref="AB3:AC4"/>
    <mergeCell ref="L3:M4"/>
    <mergeCell ref="N3:Q3"/>
    <mergeCell ref="Y3:Y4"/>
    <mergeCell ref="Z3:AA3"/>
    <mergeCell ref="V4:W4"/>
    <mergeCell ref="X3:X4"/>
    <mergeCell ref="G3:G4"/>
    <mergeCell ref="H3:H4"/>
    <mergeCell ref="J3:K3"/>
    <mergeCell ref="I3:I4"/>
    <mergeCell ref="B3:B5"/>
    <mergeCell ref="C3:C5"/>
    <mergeCell ref="D3:D5"/>
    <mergeCell ref="E3:E5"/>
    <mergeCell ref="F3:F5"/>
  </mergeCells>
  <printOptions horizontalCentered="1"/>
  <pageMargins left="0.19685039370078741" right="0.19685039370078741" top="0.59055118110236227" bottom="0.39370078740157483" header="0" footer="0"/>
  <pageSetup paperSize="9" scale="33" fitToHeight="10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1FF9-448B-441B-9A8F-0AD7356EC7E9}">
  <sheetPr>
    <tabColor rgb="FFFF0000"/>
    <pageSetUpPr fitToPage="1"/>
  </sheetPr>
  <dimension ref="A1:BV103"/>
  <sheetViews>
    <sheetView showZeros="0" view="pageBreakPreview" zoomScale="85" zoomScaleNormal="85" zoomScaleSheetLayoutView="85" workbookViewId="0">
      <pane xSplit="5" ySplit="7" topLeftCell="F8" activePane="bottomRight" state="frozen"/>
      <selection pane="topRight" activeCell="D1" sqref="D1"/>
      <selection pane="bottomLeft" activeCell="A8" sqref="A8"/>
      <selection pane="bottomRight" activeCell="F8" sqref="F8"/>
    </sheetView>
  </sheetViews>
  <sheetFormatPr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2.7109375" style="7" customWidth="1"/>
    <col min="8" max="8" width="14.85546875" style="7" customWidth="1"/>
    <col min="9" max="10" width="12.7109375" style="7" customWidth="1"/>
    <col min="11" max="11" width="10.7109375" style="7" customWidth="1"/>
    <col min="12" max="12" width="12.7109375" style="7" customWidth="1"/>
    <col min="13" max="13" width="10.7109375" style="7" customWidth="1"/>
    <col min="14" max="62" width="12.7109375" style="7" customWidth="1"/>
    <col min="63" max="63" width="10.7109375" style="7" customWidth="1"/>
    <col min="64" max="64" width="12.7109375" style="7" customWidth="1"/>
    <col min="65" max="65" width="10.7109375" style="7" customWidth="1"/>
    <col min="66" max="66" width="12.7109375" style="7" customWidth="1"/>
    <col min="67" max="67" width="8.140625" style="7" customWidth="1"/>
    <col min="68" max="68" width="11.5703125" style="7" customWidth="1"/>
    <col min="69" max="69" width="8.140625" style="7" customWidth="1"/>
    <col min="70" max="70" width="11" style="7" customWidth="1"/>
    <col min="71" max="71" width="8.140625" style="7" customWidth="1"/>
    <col min="72" max="73" width="9.85546875" style="7" customWidth="1"/>
    <col min="74" max="74" width="11.7109375" style="7" customWidth="1"/>
    <col min="75" max="16384" width="9.140625" style="7"/>
  </cols>
  <sheetData>
    <row r="1" spans="1:74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</row>
    <row r="2" spans="1:74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7" t="s">
        <v>2187</v>
      </c>
    </row>
    <row r="3" spans="1:74" ht="26.25" customHeight="1" x14ac:dyDescent="0.25">
      <c r="B3" s="79" t="s">
        <v>0</v>
      </c>
      <c r="C3" s="80" t="s">
        <v>2188</v>
      </c>
      <c r="D3" s="80" t="s">
        <v>2009</v>
      </c>
      <c r="E3" s="80" t="s">
        <v>2010</v>
      </c>
      <c r="F3" s="80" t="s">
        <v>2011</v>
      </c>
      <c r="G3" s="79" t="s">
        <v>2025</v>
      </c>
      <c r="H3" s="79"/>
      <c r="I3" s="79"/>
      <c r="J3" s="79"/>
      <c r="K3" s="81" t="s">
        <v>2192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1" t="s">
        <v>2194</v>
      </c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</row>
    <row r="4" spans="1:74" ht="26.25" customHeight="1" x14ac:dyDescent="0.25">
      <c r="B4" s="79"/>
      <c r="C4" s="80"/>
      <c r="D4" s="80"/>
      <c r="E4" s="80"/>
      <c r="F4" s="80"/>
      <c r="G4" s="79"/>
      <c r="H4" s="79"/>
      <c r="I4" s="79"/>
      <c r="J4" s="79"/>
      <c r="K4" s="79" t="s">
        <v>2249</v>
      </c>
      <c r="L4" s="79"/>
      <c r="M4" s="79"/>
      <c r="N4" s="79"/>
      <c r="O4" s="79" t="s">
        <v>2250</v>
      </c>
      <c r="P4" s="79"/>
      <c r="Q4" s="79"/>
      <c r="R4" s="79"/>
      <c r="S4" s="79" t="s">
        <v>2251</v>
      </c>
      <c r="T4" s="79"/>
      <c r="U4" s="79"/>
      <c r="V4" s="79"/>
      <c r="W4" s="81" t="s">
        <v>2252</v>
      </c>
      <c r="X4" s="82"/>
      <c r="Y4" s="82"/>
      <c r="Z4" s="83"/>
      <c r="AA4" s="81" t="s">
        <v>2253</v>
      </c>
      <c r="AB4" s="82"/>
      <c r="AC4" s="82"/>
      <c r="AD4" s="83"/>
      <c r="AE4" s="79" t="s">
        <v>2254</v>
      </c>
      <c r="AF4" s="79"/>
      <c r="AG4" s="79"/>
      <c r="AH4" s="79"/>
      <c r="AI4" s="79" t="s">
        <v>2255</v>
      </c>
      <c r="AJ4" s="79"/>
      <c r="AK4" s="79"/>
      <c r="AL4" s="79"/>
      <c r="AM4" s="79" t="s">
        <v>2249</v>
      </c>
      <c r="AN4" s="79"/>
      <c r="AO4" s="79"/>
      <c r="AP4" s="79"/>
      <c r="AQ4" s="79" t="s">
        <v>2250</v>
      </c>
      <c r="AR4" s="79"/>
      <c r="AS4" s="79"/>
      <c r="AT4" s="79"/>
      <c r="AU4" s="79" t="s">
        <v>2251</v>
      </c>
      <c r="AV4" s="79"/>
      <c r="AW4" s="79"/>
      <c r="AX4" s="79"/>
      <c r="AY4" s="81" t="s">
        <v>2252</v>
      </c>
      <c r="AZ4" s="82"/>
      <c r="BA4" s="82"/>
      <c r="BB4" s="83"/>
      <c r="BC4" s="81" t="s">
        <v>2253</v>
      </c>
      <c r="BD4" s="82"/>
      <c r="BE4" s="82"/>
      <c r="BF4" s="83"/>
      <c r="BG4" s="79" t="s">
        <v>2254</v>
      </c>
      <c r="BH4" s="79"/>
      <c r="BI4" s="79"/>
      <c r="BJ4" s="79"/>
      <c r="BK4" s="79" t="s">
        <v>2255</v>
      </c>
      <c r="BL4" s="79"/>
      <c r="BM4" s="79"/>
      <c r="BN4" s="79"/>
    </row>
    <row r="5" spans="1:74" ht="54.75" customHeight="1" x14ac:dyDescent="0.25">
      <c r="B5" s="79"/>
      <c r="C5" s="80"/>
      <c r="D5" s="80"/>
      <c r="E5" s="80"/>
      <c r="F5" s="80"/>
      <c r="G5" s="79" t="s">
        <v>2189</v>
      </c>
      <c r="H5" s="79"/>
      <c r="I5" s="79" t="s">
        <v>2190</v>
      </c>
      <c r="J5" s="79"/>
      <c r="K5" s="79" t="s">
        <v>2189</v>
      </c>
      <c r="L5" s="79"/>
      <c r="M5" s="79" t="s">
        <v>2190</v>
      </c>
      <c r="N5" s="79"/>
      <c r="O5" s="79" t="s">
        <v>2189</v>
      </c>
      <c r="P5" s="79"/>
      <c r="Q5" s="79" t="s">
        <v>2190</v>
      </c>
      <c r="R5" s="79"/>
      <c r="S5" s="79" t="s">
        <v>2189</v>
      </c>
      <c r="T5" s="79"/>
      <c r="U5" s="79" t="s">
        <v>2190</v>
      </c>
      <c r="V5" s="79"/>
      <c r="W5" s="79" t="s">
        <v>2189</v>
      </c>
      <c r="X5" s="79"/>
      <c r="Y5" s="79" t="s">
        <v>2190</v>
      </c>
      <c r="Z5" s="79"/>
      <c r="AA5" s="79" t="s">
        <v>2189</v>
      </c>
      <c r="AB5" s="79"/>
      <c r="AC5" s="79" t="s">
        <v>2190</v>
      </c>
      <c r="AD5" s="79"/>
      <c r="AE5" s="79" t="s">
        <v>2189</v>
      </c>
      <c r="AF5" s="79"/>
      <c r="AG5" s="79" t="s">
        <v>2190</v>
      </c>
      <c r="AH5" s="79"/>
      <c r="AI5" s="79" t="s">
        <v>2189</v>
      </c>
      <c r="AJ5" s="79"/>
      <c r="AK5" s="79" t="s">
        <v>2190</v>
      </c>
      <c r="AL5" s="79"/>
      <c r="AM5" s="79" t="s">
        <v>2189</v>
      </c>
      <c r="AN5" s="79"/>
      <c r="AO5" s="79" t="s">
        <v>2190</v>
      </c>
      <c r="AP5" s="79"/>
      <c r="AQ5" s="79" t="s">
        <v>2189</v>
      </c>
      <c r="AR5" s="79"/>
      <c r="AS5" s="79" t="s">
        <v>2190</v>
      </c>
      <c r="AT5" s="79"/>
      <c r="AU5" s="79" t="s">
        <v>2189</v>
      </c>
      <c r="AV5" s="79"/>
      <c r="AW5" s="79" t="s">
        <v>2190</v>
      </c>
      <c r="AX5" s="79"/>
      <c r="AY5" s="79" t="s">
        <v>2189</v>
      </c>
      <c r="AZ5" s="79"/>
      <c r="BA5" s="79" t="s">
        <v>2190</v>
      </c>
      <c r="BB5" s="79"/>
      <c r="BC5" s="79" t="s">
        <v>2189</v>
      </c>
      <c r="BD5" s="79"/>
      <c r="BE5" s="79" t="s">
        <v>2190</v>
      </c>
      <c r="BF5" s="79"/>
      <c r="BG5" s="79" t="s">
        <v>2189</v>
      </c>
      <c r="BH5" s="79"/>
      <c r="BI5" s="79" t="s">
        <v>2190</v>
      </c>
      <c r="BJ5" s="79"/>
      <c r="BK5" s="79" t="s">
        <v>2189</v>
      </c>
      <c r="BL5" s="79"/>
      <c r="BM5" s="79" t="s">
        <v>2190</v>
      </c>
      <c r="BN5" s="79"/>
    </row>
    <row r="6" spans="1:74" ht="27" customHeight="1" x14ac:dyDescent="0.25">
      <c r="B6" s="79"/>
      <c r="C6" s="80"/>
      <c r="D6" s="80"/>
      <c r="E6" s="80"/>
      <c r="F6" s="80"/>
      <c r="G6" s="2" t="s">
        <v>2029</v>
      </c>
      <c r="H6" s="2" t="s">
        <v>2191</v>
      </c>
      <c r="I6" s="2" t="s">
        <v>2029</v>
      </c>
      <c r="J6" s="2" t="s">
        <v>2191</v>
      </c>
      <c r="K6" s="2" t="s">
        <v>2029</v>
      </c>
      <c r="L6" s="2" t="s">
        <v>2191</v>
      </c>
      <c r="M6" s="2" t="s">
        <v>2029</v>
      </c>
      <c r="N6" s="2" t="s">
        <v>2191</v>
      </c>
      <c r="O6" s="2" t="s">
        <v>2029</v>
      </c>
      <c r="P6" s="2" t="s">
        <v>2191</v>
      </c>
      <c r="Q6" s="2" t="s">
        <v>2029</v>
      </c>
      <c r="R6" s="2" t="s">
        <v>2191</v>
      </c>
      <c r="S6" s="2" t="s">
        <v>2029</v>
      </c>
      <c r="T6" s="2" t="s">
        <v>2191</v>
      </c>
      <c r="U6" s="2" t="s">
        <v>2029</v>
      </c>
      <c r="V6" s="2" t="s">
        <v>2191</v>
      </c>
      <c r="W6" s="2" t="s">
        <v>2029</v>
      </c>
      <c r="X6" s="2" t="s">
        <v>2191</v>
      </c>
      <c r="Y6" s="2" t="s">
        <v>2029</v>
      </c>
      <c r="Z6" s="2" t="s">
        <v>2191</v>
      </c>
      <c r="AA6" s="2" t="s">
        <v>2029</v>
      </c>
      <c r="AB6" s="2" t="s">
        <v>2191</v>
      </c>
      <c r="AC6" s="2" t="s">
        <v>2029</v>
      </c>
      <c r="AD6" s="2" t="s">
        <v>2191</v>
      </c>
      <c r="AE6" s="2" t="s">
        <v>2029</v>
      </c>
      <c r="AF6" s="2" t="s">
        <v>2191</v>
      </c>
      <c r="AG6" s="2" t="s">
        <v>2029</v>
      </c>
      <c r="AH6" s="2" t="s">
        <v>2191</v>
      </c>
      <c r="AI6" s="2" t="s">
        <v>2029</v>
      </c>
      <c r="AJ6" s="2" t="s">
        <v>2191</v>
      </c>
      <c r="AK6" s="2" t="s">
        <v>2029</v>
      </c>
      <c r="AL6" s="2" t="s">
        <v>2191</v>
      </c>
      <c r="AM6" s="2" t="s">
        <v>2029</v>
      </c>
      <c r="AN6" s="2" t="s">
        <v>2191</v>
      </c>
      <c r="AO6" s="2" t="s">
        <v>2029</v>
      </c>
      <c r="AP6" s="2" t="s">
        <v>2191</v>
      </c>
      <c r="AQ6" s="2" t="s">
        <v>2029</v>
      </c>
      <c r="AR6" s="2" t="s">
        <v>2191</v>
      </c>
      <c r="AS6" s="2" t="s">
        <v>2029</v>
      </c>
      <c r="AT6" s="2" t="s">
        <v>2191</v>
      </c>
      <c r="AU6" s="2" t="s">
        <v>2029</v>
      </c>
      <c r="AV6" s="2" t="s">
        <v>2191</v>
      </c>
      <c r="AW6" s="2" t="s">
        <v>2029</v>
      </c>
      <c r="AX6" s="2" t="s">
        <v>2191</v>
      </c>
      <c r="AY6" s="2" t="s">
        <v>2029</v>
      </c>
      <c r="AZ6" s="2" t="s">
        <v>2191</v>
      </c>
      <c r="BA6" s="2" t="s">
        <v>2029</v>
      </c>
      <c r="BB6" s="2" t="s">
        <v>2191</v>
      </c>
      <c r="BC6" s="2" t="s">
        <v>2029</v>
      </c>
      <c r="BD6" s="2" t="s">
        <v>2191</v>
      </c>
      <c r="BE6" s="2" t="s">
        <v>2029</v>
      </c>
      <c r="BF6" s="2" t="s">
        <v>2191</v>
      </c>
      <c r="BG6" s="2" t="s">
        <v>2029</v>
      </c>
      <c r="BH6" s="2" t="s">
        <v>2191</v>
      </c>
      <c r="BI6" s="2" t="s">
        <v>2029</v>
      </c>
      <c r="BJ6" s="2" t="s">
        <v>2191</v>
      </c>
      <c r="BK6" s="2" t="s">
        <v>2029</v>
      </c>
      <c r="BL6" s="2" t="s">
        <v>2191</v>
      </c>
      <c r="BM6" s="2" t="s">
        <v>2029</v>
      </c>
      <c r="BN6" s="2" t="s">
        <v>2191</v>
      </c>
    </row>
    <row r="7" spans="1:74" ht="27" customHeight="1" x14ac:dyDescent="0.25">
      <c r="B7" s="2"/>
      <c r="C7" s="2"/>
      <c r="D7" s="3" t="s">
        <v>2025</v>
      </c>
      <c r="E7" s="3"/>
      <c r="F7" s="3"/>
      <c r="G7" s="6">
        <f>+SUM(G8:G102)</f>
        <v>504929</v>
      </c>
      <c r="H7" s="6">
        <f t="shared" ref="H7:J7" si="0">+SUM(H8:H102)</f>
        <v>29994262.715382215</v>
      </c>
      <c r="I7" s="6">
        <f t="shared" si="0"/>
        <v>30417</v>
      </c>
      <c r="J7" s="6">
        <f t="shared" si="0"/>
        <v>2215403.2142122416</v>
      </c>
      <c r="K7" s="6">
        <f t="shared" ref="K7:AL7" si="1">+SUM(K8:K102)</f>
        <v>10990</v>
      </c>
      <c r="L7" s="6">
        <f t="shared" si="1"/>
        <v>5948150.8809904698</v>
      </c>
      <c r="M7" s="6">
        <f t="shared" si="1"/>
        <v>248</v>
      </c>
      <c r="N7" s="6">
        <f t="shared" si="1"/>
        <v>44224.425830259999</v>
      </c>
      <c r="O7" s="6">
        <f t="shared" si="1"/>
        <v>7650</v>
      </c>
      <c r="P7" s="6">
        <f t="shared" si="1"/>
        <v>3187923.664910431</v>
      </c>
      <c r="Q7" s="6">
        <f t="shared" si="1"/>
        <v>850</v>
      </c>
      <c r="R7" s="6">
        <f t="shared" si="1"/>
        <v>147204.48455403201</v>
      </c>
      <c r="S7" s="6">
        <f t="shared" si="1"/>
        <v>1716</v>
      </c>
      <c r="T7" s="6">
        <f t="shared" si="1"/>
        <v>3418541.872118352</v>
      </c>
      <c r="U7" s="6">
        <f t="shared" si="1"/>
        <v>119</v>
      </c>
      <c r="V7" s="6">
        <f t="shared" si="1"/>
        <v>183336.54905778609</v>
      </c>
      <c r="W7" s="6">
        <f t="shared" si="1"/>
        <v>978</v>
      </c>
      <c r="X7" s="6">
        <f t="shared" si="1"/>
        <v>1037727.827608736</v>
      </c>
      <c r="Y7" s="6">
        <f t="shared" si="1"/>
        <v>95</v>
      </c>
      <c r="Z7" s="6">
        <f t="shared" si="1"/>
        <v>176589.19983272394</v>
      </c>
      <c r="AA7" s="6">
        <f t="shared" si="1"/>
        <v>492</v>
      </c>
      <c r="AB7" s="6">
        <f t="shared" si="1"/>
        <v>1137325.6820417163</v>
      </c>
      <c r="AC7" s="6">
        <f t="shared" si="1"/>
        <v>88</v>
      </c>
      <c r="AD7" s="6">
        <f t="shared" si="1"/>
        <v>420489.39413180982</v>
      </c>
      <c r="AE7" s="6">
        <f t="shared" si="1"/>
        <v>154</v>
      </c>
      <c r="AF7" s="6">
        <f t="shared" si="1"/>
        <v>1017214.1198028299</v>
      </c>
      <c r="AG7" s="6">
        <f t="shared" si="1"/>
        <v>46</v>
      </c>
      <c r="AH7" s="6">
        <f t="shared" si="1"/>
        <v>456336.15905778005</v>
      </c>
      <c r="AI7" s="6">
        <f t="shared" si="1"/>
        <v>214</v>
      </c>
      <c r="AJ7" s="6">
        <f t="shared" si="1"/>
        <v>1648328.89778476</v>
      </c>
      <c r="AK7" s="6">
        <f t="shared" si="1"/>
        <v>84</v>
      </c>
      <c r="AL7" s="6">
        <f t="shared" si="1"/>
        <v>223424.39708515003</v>
      </c>
      <c r="AM7" s="6">
        <f t="shared" ref="AM7:BJ7" si="2">+SUM(AM8:AM102)</f>
        <v>190090</v>
      </c>
      <c r="AN7" s="6">
        <f t="shared" si="2"/>
        <v>4996065.8715713201</v>
      </c>
      <c r="AO7" s="6">
        <f t="shared" si="2"/>
        <v>2805</v>
      </c>
      <c r="AP7" s="6">
        <f t="shared" si="2"/>
        <v>81629.926070789996</v>
      </c>
      <c r="AQ7" s="6">
        <f t="shared" si="2"/>
        <v>126426</v>
      </c>
      <c r="AR7" s="6">
        <f t="shared" si="2"/>
        <v>2681487.4623602447</v>
      </c>
      <c r="AS7" s="6">
        <f t="shared" si="2"/>
        <v>13378</v>
      </c>
      <c r="AT7" s="6">
        <f t="shared" si="2"/>
        <v>259061.66470053996</v>
      </c>
      <c r="AU7" s="6">
        <f t="shared" si="2"/>
        <v>110024</v>
      </c>
      <c r="AV7" s="6">
        <f t="shared" si="2"/>
        <v>2139779.5417286502</v>
      </c>
      <c r="AW7" s="6">
        <f t="shared" si="2"/>
        <v>8085</v>
      </c>
      <c r="AX7" s="6">
        <f t="shared" si="2"/>
        <v>143144.37473291007</v>
      </c>
      <c r="AY7" s="6">
        <f t="shared" si="2"/>
        <v>36921</v>
      </c>
      <c r="AZ7" s="6">
        <f t="shared" si="2"/>
        <v>1003490.9344083397</v>
      </c>
      <c r="BA7" s="6">
        <f t="shared" si="2"/>
        <v>3447</v>
      </c>
      <c r="BB7" s="6">
        <f t="shared" si="2"/>
        <v>38952.41111635002</v>
      </c>
      <c r="BC7" s="6">
        <f t="shared" si="2"/>
        <v>5164</v>
      </c>
      <c r="BD7" s="6">
        <f t="shared" si="2"/>
        <v>548983.21381326998</v>
      </c>
      <c r="BE7" s="6">
        <f t="shared" si="2"/>
        <v>308</v>
      </c>
      <c r="BF7" s="6">
        <f t="shared" si="2"/>
        <v>12653.983931009998</v>
      </c>
      <c r="BG7" s="6">
        <f t="shared" si="2"/>
        <v>3679</v>
      </c>
      <c r="BH7" s="6">
        <f t="shared" si="2"/>
        <v>410262.32267044991</v>
      </c>
      <c r="BI7" s="6">
        <f t="shared" si="2"/>
        <v>501</v>
      </c>
      <c r="BJ7" s="6">
        <f t="shared" si="2"/>
        <v>9873.3122016000016</v>
      </c>
      <c r="BK7" s="6">
        <f t="shared" ref="BK7:BN7" si="3">+SUM(BK8:BK102)</f>
        <v>10431</v>
      </c>
      <c r="BL7" s="6">
        <f t="shared" si="3"/>
        <v>818980.42357265134</v>
      </c>
      <c r="BM7" s="6">
        <f t="shared" si="3"/>
        <v>363</v>
      </c>
      <c r="BN7" s="6">
        <f t="shared" si="3"/>
        <v>18482.931909499999</v>
      </c>
      <c r="BO7" s="18">
        <f>+G7-K7-O7-S7-W7-AA7-AE7-AI7-AM7-AQ7-AU7-AY7-BC7-BG7-BK7</f>
        <v>0</v>
      </c>
      <c r="BP7" s="18">
        <f>+H7-L7-P7-T7-X7-AB7-AF7-AJ7-AN7-AR7-AV7-AZ7-BD7-BH7-BL7</f>
        <v>-8.6147338151931763E-9</v>
      </c>
      <c r="BQ7" s="18">
        <f t="shared" ref="BQ7:BQ70" si="4">+I7-M7-Q7-U7-Y7-AC7-AG7-AK7-AO7-AS7-AW7-BA7-BE7-BI7-BM7</f>
        <v>0</v>
      </c>
      <c r="BR7" s="18">
        <f t="shared" ref="BR7:BR70" si="5">+J7-N7-R7-V7-Z7-AD7-AH7-AL7-AP7-AT7-AX7-BB7-BF7-BJ7-BN7</f>
        <v>-5.2386894822120667E-10</v>
      </c>
      <c r="BS7" s="18"/>
      <c r="BT7" s="18"/>
      <c r="BU7" s="18"/>
      <c r="BV7" s="18"/>
    </row>
    <row r="8" spans="1:74" s="11" customFormat="1" ht="27" customHeight="1" x14ac:dyDescent="0.25">
      <c r="A8" s="66" t="s">
        <v>26</v>
      </c>
      <c r="B8" s="1">
        <v>1</v>
      </c>
      <c r="C8" s="20" t="s">
        <v>2033</v>
      </c>
      <c r="D8" s="20" t="s">
        <v>2044</v>
      </c>
      <c r="E8" s="65">
        <v>10014</v>
      </c>
      <c r="F8" s="19" t="s">
        <v>2045</v>
      </c>
      <c r="G8" s="9">
        <v>1546</v>
      </c>
      <c r="H8" s="9">
        <v>128222.12917500005</v>
      </c>
      <c r="I8" s="9">
        <v>105</v>
      </c>
      <c r="J8" s="9">
        <v>9370.4055959900015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58.894957829999996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4</v>
      </c>
      <c r="X8" s="10">
        <v>260.92116699000002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16</v>
      </c>
      <c r="AJ8" s="10">
        <v>926.52001069999983</v>
      </c>
      <c r="AK8" s="10">
        <v>16</v>
      </c>
      <c r="AL8" s="10">
        <v>926.52001069999983</v>
      </c>
      <c r="AM8" s="10">
        <v>387</v>
      </c>
      <c r="AN8" s="10">
        <v>29159.419568100046</v>
      </c>
      <c r="AO8" s="10">
        <v>4</v>
      </c>
      <c r="AP8" s="10">
        <v>2037.87190603</v>
      </c>
      <c r="AQ8" s="10">
        <v>483</v>
      </c>
      <c r="AR8" s="10">
        <v>42555.952887580053</v>
      </c>
      <c r="AS8" s="10">
        <v>21</v>
      </c>
      <c r="AT8" s="10">
        <v>2835.8623936199997</v>
      </c>
      <c r="AU8" s="10">
        <v>280</v>
      </c>
      <c r="AV8" s="10">
        <v>24229.086413009973</v>
      </c>
      <c r="AW8" s="10">
        <v>47</v>
      </c>
      <c r="AX8" s="10">
        <v>1208.5082809900002</v>
      </c>
      <c r="AY8" s="10">
        <v>164</v>
      </c>
      <c r="AZ8" s="10">
        <v>15242.014428389994</v>
      </c>
      <c r="BA8" s="10">
        <v>4</v>
      </c>
      <c r="BB8" s="10">
        <v>1914.3572895799998</v>
      </c>
      <c r="BC8" s="10">
        <v>0</v>
      </c>
      <c r="BD8" s="10">
        <v>0</v>
      </c>
      <c r="BE8" s="10">
        <v>0</v>
      </c>
      <c r="BF8" s="10">
        <v>0</v>
      </c>
      <c r="BG8" s="10">
        <v>112</v>
      </c>
      <c r="BH8" s="10">
        <v>8144.4676392199999</v>
      </c>
      <c r="BI8" s="10">
        <v>8</v>
      </c>
      <c r="BJ8" s="10">
        <v>78.975666230000002</v>
      </c>
      <c r="BK8" s="10">
        <v>99</v>
      </c>
      <c r="BL8" s="10">
        <v>7644.8521031799983</v>
      </c>
      <c r="BM8" s="10">
        <v>5</v>
      </c>
      <c r="BN8" s="10">
        <v>368.31004883999992</v>
      </c>
      <c r="BO8" s="18">
        <f t="shared" ref="BO8:BO71" si="6">+G8-K8-O8-S8-W8-AA8-AE8-AI8-AM8-AQ8-AU8-AY8-BC8-BG8-BK8</f>
        <v>0</v>
      </c>
      <c r="BP8" s="18">
        <f t="shared" ref="BP8:BP70" si="7">+H8-L8-P8-T8-X8-AB8-AF8-AJ8-AN8-AR8-AV8-AZ8-BD8-BH8-BL8</f>
        <v>0</v>
      </c>
      <c r="BQ8" s="18">
        <f t="shared" si="4"/>
        <v>0</v>
      </c>
      <c r="BR8" s="18">
        <f t="shared" si="5"/>
        <v>2.0463630789890885E-12</v>
      </c>
      <c r="BS8" s="18"/>
      <c r="BT8" s="18"/>
      <c r="BU8" s="18"/>
      <c r="BV8" s="18"/>
    </row>
    <row r="9" spans="1:74" s="11" customFormat="1" ht="27" customHeight="1" x14ac:dyDescent="0.25">
      <c r="A9" s="66" t="s">
        <v>26</v>
      </c>
      <c r="B9" s="1">
        <f t="shared" ref="B9:B72" si="8">+B8+1</f>
        <v>2</v>
      </c>
      <c r="C9" s="20" t="s">
        <v>2033</v>
      </c>
      <c r="D9" s="20" t="s">
        <v>2046</v>
      </c>
      <c r="E9" s="65">
        <v>11141</v>
      </c>
      <c r="F9" s="19" t="s">
        <v>2047</v>
      </c>
      <c r="G9" s="9">
        <v>3065</v>
      </c>
      <c r="H9" s="9">
        <v>184253.43321603004</v>
      </c>
      <c r="I9" s="9">
        <v>12</v>
      </c>
      <c r="J9" s="9">
        <v>2168.2914355799999</v>
      </c>
      <c r="K9" s="10">
        <v>0</v>
      </c>
      <c r="L9" s="10">
        <v>0</v>
      </c>
      <c r="M9" s="10">
        <v>0</v>
      </c>
      <c r="N9" s="10">
        <v>0</v>
      </c>
      <c r="O9" s="10">
        <v>8</v>
      </c>
      <c r="P9" s="10">
        <v>4685.5442868099999</v>
      </c>
      <c r="Q9" s="10">
        <v>0</v>
      </c>
      <c r="R9" s="10">
        <v>0</v>
      </c>
      <c r="S9" s="10">
        <v>7</v>
      </c>
      <c r="T9" s="10">
        <v>1428.44752872</v>
      </c>
      <c r="U9" s="10">
        <v>0</v>
      </c>
      <c r="V9" s="10">
        <v>0</v>
      </c>
      <c r="W9" s="10">
        <v>40</v>
      </c>
      <c r="X9" s="10">
        <v>4490.8363176900002</v>
      </c>
      <c r="Y9" s="10">
        <v>1</v>
      </c>
      <c r="Z9" s="10">
        <v>1552.575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189.56433557</v>
      </c>
      <c r="AG9" s="10">
        <v>1</v>
      </c>
      <c r="AH9" s="10">
        <v>189.56433557</v>
      </c>
      <c r="AI9" s="10">
        <v>1</v>
      </c>
      <c r="AJ9" s="10">
        <v>9.9999999900000009</v>
      </c>
      <c r="AK9" s="10">
        <v>1</v>
      </c>
      <c r="AL9" s="10">
        <v>9.9999999900000009</v>
      </c>
      <c r="AM9" s="10">
        <v>968</v>
      </c>
      <c r="AN9" s="10">
        <v>35909.597571730068</v>
      </c>
      <c r="AO9" s="10">
        <v>0</v>
      </c>
      <c r="AP9" s="10">
        <v>0</v>
      </c>
      <c r="AQ9" s="10">
        <v>776</v>
      </c>
      <c r="AR9" s="10">
        <v>36746.148153299939</v>
      </c>
      <c r="AS9" s="10">
        <v>2</v>
      </c>
      <c r="AT9" s="10">
        <v>320.92001833000006</v>
      </c>
      <c r="AU9" s="10">
        <v>505</v>
      </c>
      <c r="AV9" s="10">
        <v>26645.727660490003</v>
      </c>
      <c r="AW9" s="10">
        <v>4</v>
      </c>
      <c r="AX9" s="10">
        <v>29.602991399999997</v>
      </c>
      <c r="AY9" s="10">
        <v>246</v>
      </c>
      <c r="AZ9" s="10">
        <v>36096.419618259999</v>
      </c>
      <c r="BA9" s="10">
        <v>0</v>
      </c>
      <c r="BB9" s="10">
        <v>0</v>
      </c>
      <c r="BC9" s="10">
        <v>94</v>
      </c>
      <c r="BD9" s="10">
        <v>10938.815679379999</v>
      </c>
      <c r="BE9" s="10">
        <v>0</v>
      </c>
      <c r="BF9" s="10">
        <v>0</v>
      </c>
      <c r="BG9" s="10">
        <v>51</v>
      </c>
      <c r="BH9" s="10">
        <v>5068.9017146999986</v>
      </c>
      <c r="BI9" s="10">
        <v>0</v>
      </c>
      <c r="BJ9" s="10">
        <v>0</v>
      </c>
      <c r="BK9" s="10">
        <v>368</v>
      </c>
      <c r="BL9" s="10">
        <v>22043.430349390077</v>
      </c>
      <c r="BM9" s="10">
        <v>3</v>
      </c>
      <c r="BN9" s="10">
        <v>65.629090289999994</v>
      </c>
      <c r="BO9" s="18">
        <f t="shared" si="6"/>
        <v>0</v>
      </c>
      <c r="BP9" s="18">
        <f t="shared" si="7"/>
        <v>0</v>
      </c>
      <c r="BQ9" s="18">
        <f t="shared" si="4"/>
        <v>0</v>
      </c>
      <c r="BR9" s="18">
        <f t="shared" si="5"/>
        <v>-2.4158453015843406E-13</v>
      </c>
      <c r="BS9" s="18"/>
      <c r="BT9" s="18"/>
      <c r="BU9" s="18"/>
      <c r="BV9" s="18"/>
    </row>
    <row r="10" spans="1:74" s="11" customFormat="1" ht="27" customHeight="1" x14ac:dyDescent="0.25">
      <c r="A10" s="66" t="s">
        <v>26</v>
      </c>
      <c r="B10" s="1">
        <f t="shared" si="8"/>
        <v>3</v>
      </c>
      <c r="C10" s="20" t="s">
        <v>2033</v>
      </c>
      <c r="D10" s="20" t="s">
        <v>2048</v>
      </c>
      <c r="E10" s="65">
        <v>11142</v>
      </c>
      <c r="F10" s="19" t="s">
        <v>2049</v>
      </c>
      <c r="G10" s="9">
        <v>3061</v>
      </c>
      <c r="H10" s="9">
        <v>121709.99542655011</v>
      </c>
      <c r="I10" s="9">
        <v>98</v>
      </c>
      <c r="J10" s="9">
        <v>2915.2621212099993</v>
      </c>
      <c r="K10" s="10">
        <v>0</v>
      </c>
      <c r="L10" s="10">
        <v>0</v>
      </c>
      <c r="M10" s="10">
        <v>0</v>
      </c>
      <c r="N10" s="10">
        <v>0</v>
      </c>
      <c r="O10" s="10">
        <v>2</v>
      </c>
      <c r="P10" s="10">
        <v>200</v>
      </c>
      <c r="Q10" s="10">
        <v>0</v>
      </c>
      <c r="R10" s="10">
        <v>0</v>
      </c>
      <c r="S10" s="10">
        <v>2</v>
      </c>
      <c r="T10" s="10">
        <v>1349.7887721700001</v>
      </c>
      <c r="U10" s="10">
        <v>0</v>
      </c>
      <c r="V10" s="10">
        <v>0</v>
      </c>
      <c r="W10" s="10">
        <v>14</v>
      </c>
      <c r="X10" s="10">
        <v>2055.9959298100002</v>
      </c>
      <c r="Y10" s="10">
        <v>0</v>
      </c>
      <c r="Z10" s="10">
        <v>0</v>
      </c>
      <c r="AA10" s="10">
        <v>2</v>
      </c>
      <c r="AB10" s="10">
        <v>1192.26312979</v>
      </c>
      <c r="AC10" s="10">
        <v>1</v>
      </c>
      <c r="AD10" s="10">
        <v>704.76312978999999</v>
      </c>
      <c r="AE10" s="10">
        <v>0</v>
      </c>
      <c r="AF10" s="10">
        <v>0</v>
      </c>
      <c r="AG10" s="10">
        <v>0</v>
      </c>
      <c r="AH10" s="10">
        <v>0</v>
      </c>
      <c r="AI10" s="10">
        <v>2</v>
      </c>
      <c r="AJ10" s="10">
        <v>105.16526055</v>
      </c>
      <c r="AK10" s="10">
        <v>1</v>
      </c>
      <c r="AL10" s="10">
        <v>46.524000000000001</v>
      </c>
      <c r="AM10" s="10">
        <v>1036</v>
      </c>
      <c r="AN10" s="10">
        <v>34869.017362389983</v>
      </c>
      <c r="AO10" s="10">
        <v>3</v>
      </c>
      <c r="AP10" s="10">
        <v>36.459903420000003</v>
      </c>
      <c r="AQ10" s="10">
        <v>1065</v>
      </c>
      <c r="AR10" s="10">
        <v>37116.785401470086</v>
      </c>
      <c r="AS10" s="10">
        <v>42</v>
      </c>
      <c r="AT10" s="10">
        <v>1286.3075747799994</v>
      </c>
      <c r="AU10" s="10">
        <v>712</v>
      </c>
      <c r="AV10" s="10">
        <v>22396.248126400005</v>
      </c>
      <c r="AW10" s="10">
        <v>47</v>
      </c>
      <c r="AX10" s="10">
        <v>489.08501234000005</v>
      </c>
      <c r="AY10" s="10">
        <v>122</v>
      </c>
      <c r="AZ10" s="10">
        <v>10761.12910161</v>
      </c>
      <c r="BA10" s="10">
        <v>3</v>
      </c>
      <c r="BB10" s="10">
        <v>203.16975640999999</v>
      </c>
      <c r="BC10" s="10">
        <v>19</v>
      </c>
      <c r="BD10" s="10">
        <v>1448.6681263799999</v>
      </c>
      <c r="BE10" s="10">
        <v>0</v>
      </c>
      <c r="BF10" s="10">
        <v>0</v>
      </c>
      <c r="BG10" s="10">
        <v>4</v>
      </c>
      <c r="BH10" s="10">
        <v>458.41527309000003</v>
      </c>
      <c r="BI10" s="10">
        <v>0</v>
      </c>
      <c r="BJ10" s="10">
        <v>0</v>
      </c>
      <c r="BK10" s="10">
        <v>81</v>
      </c>
      <c r="BL10" s="10">
        <v>9756.5189428899976</v>
      </c>
      <c r="BM10" s="10">
        <v>1</v>
      </c>
      <c r="BN10" s="10">
        <v>148.95274447</v>
      </c>
      <c r="BO10" s="18">
        <f t="shared" si="6"/>
        <v>0</v>
      </c>
      <c r="BP10" s="18">
        <f t="shared" si="7"/>
        <v>4.7293724492192268E-11</v>
      </c>
      <c r="BQ10" s="18">
        <f t="shared" si="4"/>
        <v>0</v>
      </c>
      <c r="BR10" s="18">
        <f t="shared" si="5"/>
        <v>0</v>
      </c>
      <c r="BS10" s="18"/>
      <c r="BT10" s="18"/>
      <c r="BU10" s="18"/>
      <c r="BV10" s="18"/>
    </row>
    <row r="11" spans="1:74" s="11" customFormat="1" ht="27" customHeight="1" x14ac:dyDescent="0.25">
      <c r="A11" s="66" t="s">
        <v>26</v>
      </c>
      <c r="B11" s="1">
        <f t="shared" si="8"/>
        <v>4</v>
      </c>
      <c r="C11" s="20" t="s">
        <v>2033</v>
      </c>
      <c r="D11" s="20" t="s">
        <v>2042</v>
      </c>
      <c r="E11" s="65">
        <v>11183</v>
      </c>
      <c r="F11" s="19" t="s">
        <v>2043</v>
      </c>
      <c r="G11" s="9">
        <v>1990</v>
      </c>
      <c r="H11" s="9">
        <v>157910.81008602996</v>
      </c>
      <c r="I11" s="9">
        <v>150</v>
      </c>
      <c r="J11" s="9">
        <v>9746.7988024799997</v>
      </c>
      <c r="K11" s="10">
        <v>0</v>
      </c>
      <c r="L11" s="10">
        <v>0</v>
      </c>
      <c r="M11" s="10">
        <v>0</v>
      </c>
      <c r="N11" s="10">
        <v>0</v>
      </c>
      <c r="O11" s="10">
        <v>2</v>
      </c>
      <c r="P11" s="10">
        <v>702.8125</v>
      </c>
      <c r="Q11" s="10">
        <v>0</v>
      </c>
      <c r="R11" s="10">
        <v>0</v>
      </c>
      <c r="S11" s="10">
        <v>1</v>
      </c>
      <c r="T11" s="10">
        <v>226.875</v>
      </c>
      <c r="U11" s="10">
        <v>0</v>
      </c>
      <c r="V11" s="10">
        <v>0</v>
      </c>
      <c r="W11" s="10">
        <v>13</v>
      </c>
      <c r="X11" s="10">
        <v>5559.6339298799994</v>
      </c>
      <c r="Y11" s="10">
        <v>2</v>
      </c>
      <c r="Z11" s="10">
        <v>155.27637043000001</v>
      </c>
      <c r="AA11" s="10">
        <v>3</v>
      </c>
      <c r="AB11" s="10">
        <v>1399.9995406800001</v>
      </c>
      <c r="AC11" s="10">
        <v>3</v>
      </c>
      <c r="AD11" s="10">
        <v>1399.9995406800001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536</v>
      </c>
      <c r="AN11" s="10">
        <v>25279.281486919961</v>
      </c>
      <c r="AO11" s="10">
        <v>14</v>
      </c>
      <c r="AP11" s="10">
        <v>378.59849930000001</v>
      </c>
      <c r="AQ11" s="10">
        <v>573</v>
      </c>
      <c r="AR11" s="10">
        <v>31541.193615870015</v>
      </c>
      <c r="AS11" s="10">
        <v>48</v>
      </c>
      <c r="AT11" s="10">
        <v>1711.8558575699994</v>
      </c>
      <c r="AU11" s="10">
        <v>416</v>
      </c>
      <c r="AV11" s="10">
        <v>23387.179650250015</v>
      </c>
      <c r="AW11" s="10">
        <v>52</v>
      </c>
      <c r="AX11" s="10">
        <v>5010.5064421799971</v>
      </c>
      <c r="AY11" s="10">
        <v>298</v>
      </c>
      <c r="AZ11" s="10">
        <v>48897.407090320004</v>
      </c>
      <c r="BA11" s="10">
        <v>3</v>
      </c>
      <c r="BB11" s="10">
        <v>373.54217771999998</v>
      </c>
      <c r="BC11" s="10">
        <v>109</v>
      </c>
      <c r="BD11" s="10">
        <v>18750.118758129996</v>
      </c>
      <c r="BE11" s="10">
        <v>4</v>
      </c>
      <c r="BF11" s="10">
        <v>516.18049225999994</v>
      </c>
      <c r="BG11" s="10">
        <v>10</v>
      </c>
      <c r="BH11" s="10">
        <v>542.89754564999998</v>
      </c>
      <c r="BI11" s="10">
        <v>7</v>
      </c>
      <c r="BJ11" s="10">
        <v>73.519829649999991</v>
      </c>
      <c r="BK11" s="10">
        <v>29</v>
      </c>
      <c r="BL11" s="10">
        <v>1623.4109683299994</v>
      </c>
      <c r="BM11" s="10">
        <v>17</v>
      </c>
      <c r="BN11" s="10">
        <v>127.31959268999999</v>
      </c>
      <c r="BO11" s="18">
        <f t="shared" si="6"/>
        <v>0</v>
      </c>
      <c r="BP11" s="18">
        <f t="shared" si="7"/>
        <v>-2.6147972675971687E-11</v>
      </c>
      <c r="BQ11" s="18">
        <f t="shared" si="4"/>
        <v>0</v>
      </c>
      <c r="BR11" s="18">
        <f t="shared" si="5"/>
        <v>3.2542857297812589E-12</v>
      </c>
      <c r="BS11" s="18"/>
      <c r="BT11" s="18"/>
      <c r="BU11" s="18"/>
      <c r="BV11" s="18"/>
    </row>
    <row r="12" spans="1:74" s="11" customFormat="1" ht="27" customHeight="1" x14ac:dyDescent="0.25">
      <c r="A12" s="66" t="s">
        <v>26</v>
      </c>
      <c r="B12" s="1">
        <f t="shared" si="8"/>
        <v>5</v>
      </c>
      <c r="C12" s="20" t="s">
        <v>2033</v>
      </c>
      <c r="D12" s="20" t="s">
        <v>2034</v>
      </c>
      <c r="E12" s="65">
        <v>11253</v>
      </c>
      <c r="F12" s="19" t="s">
        <v>2035</v>
      </c>
      <c r="G12" s="9">
        <v>13449</v>
      </c>
      <c r="H12" s="9">
        <v>851212.9901987795</v>
      </c>
      <c r="I12" s="9">
        <v>200</v>
      </c>
      <c r="J12" s="9">
        <v>88312.754302180008</v>
      </c>
      <c r="K12" s="10">
        <v>138</v>
      </c>
      <c r="L12" s="10">
        <v>47905.690771940011</v>
      </c>
      <c r="M12" s="10">
        <v>2</v>
      </c>
      <c r="N12" s="10">
        <v>200</v>
      </c>
      <c r="O12" s="10">
        <v>27</v>
      </c>
      <c r="P12" s="10">
        <v>35577.847839799993</v>
      </c>
      <c r="Q12" s="10">
        <v>2</v>
      </c>
      <c r="R12" s="10">
        <v>117.74419476</v>
      </c>
      <c r="S12" s="10">
        <v>11</v>
      </c>
      <c r="T12" s="10">
        <v>56943.101869180005</v>
      </c>
      <c r="U12" s="10">
        <v>4</v>
      </c>
      <c r="V12" s="10">
        <v>40860.536305270005</v>
      </c>
      <c r="W12" s="10">
        <v>10</v>
      </c>
      <c r="X12" s="10">
        <v>49611.232410870005</v>
      </c>
      <c r="Y12" s="10">
        <v>3</v>
      </c>
      <c r="Z12" s="10">
        <v>949.13088291999998</v>
      </c>
      <c r="AA12" s="10">
        <v>11</v>
      </c>
      <c r="AB12" s="10">
        <v>9372.8423330799997</v>
      </c>
      <c r="AC12" s="10">
        <v>3</v>
      </c>
      <c r="AD12" s="10">
        <v>7334.6175935900001</v>
      </c>
      <c r="AE12" s="10">
        <v>1</v>
      </c>
      <c r="AF12" s="10">
        <v>113342.06452818</v>
      </c>
      <c r="AG12" s="10">
        <v>0</v>
      </c>
      <c r="AH12" s="10">
        <v>0</v>
      </c>
      <c r="AI12" s="10">
        <v>22</v>
      </c>
      <c r="AJ12" s="10">
        <v>168178.63900778003</v>
      </c>
      <c r="AK12" s="10">
        <v>14</v>
      </c>
      <c r="AL12" s="10">
        <v>34098.691761850001</v>
      </c>
      <c r="AM12" s="10">
        <v>11212</v>
      </c>
      <c r="AN12" s="10">
        <v>272632.44479532971</v>
      </c>
      <c r="AO12" s="10">
        <v>93</v>
      </c>
      <c r="AP12" s="10">
        <v>2778.0439640200016</v>
      </c>
      <c r="AQ12" s="10">
        <v>1213</v>
      </c>
      <c r="AR12" s="10">
        <v>41670.049891489936</v>
      </c>
      <c r="AS12" s="10">
        <v>49</v>
      </c>
      <c r="AT12" s="10">
        <v>545.84855489999973</v>
      </c>
      <c r="AU12" s="10">
        <v>358</v>
      </c>
      <c r="AV12" s="10">
        <v>17585.454475390001</v>
      </c>
      <c r="AW12" s="10">
        <v>13</v>
      </c>
      <c r="AX12" s="10">
        <v>90.303144160000016</v>
      </c>
      <c r="AY12" s="10">
        <v>168</v>
      </c>
      <c r="AZ12" s="10">
        <v>13573.318286919997</v>
      </c>
      <c r="BA12" s="10">
        <v>4</v>
      </c>
      <c r="BB12" s="10">
        <v>344.06827406000002</v>
      </c>
      <c r="BC12" s="10">
        <v>91</v>
      </c>
      <c r="BD12" s="10">
        <v>11909.102797899988</v>
      </c>
      <c r="BE12" s="10">
        <v>5</v>
      </c>
      <c r="BF12" s="10">
        <v>365.60400122999999</v>
      </c>
      <c r="BG12" s="10">
        <v>45</v>
      </c>
      <c r="BH12" s="10">
        <v>2237.6094369300004</v>
      </c>
      <c r="BI12" s="10">
        <v>1</v>
      </c>
      <c r="BJ12" s="10">
        <v>71.380047099999999</v>
      </c>
      <c r="BK12" s="10">
        <v>142</v>
      </c>
      <c r="BL12" s="10">
        <v>10673.591753990015</v>
      </c>
      <c r="BM12" s="10">
        <v>7</v>
      </c>
      <c r="BN12" s="10">
        <v>556.78557832000001</v>
      </c>
      <c r="BO12" s="18">
        <f t="shared" si="6"/>
        <v>0</v>
      </c>
      <c r="BP12" s="18">
        <f t="shared" si="7"/>
        <v>-9.0949470177292824E-11</v>
      </c>
      <c r="BQ12" s="18">
        <f t="shared" si="4"/>
        <v>0</v>
      </c>
      <c r="BR12" s="18">
        <f t="shared" si="5"/>
        <v>-2.5011104298755527E-12</v>
      </c>
      <c r="BS12" s="18"/>
      <c r="BT12" s="18"/>
      <c r="BU12" s="18"/>
      <c r="BV12" s="18"/>
    </row>
    <row r="13" spans="1:74" s="11" customFormat="1" ht="27" customHeight="1" x14ac:dyDescent="0.25">
      <c r="A13" s="66" t="s">
        <v>26</v>
      </c>
      <c r="B13" s="1">
        <f t="shared" si="8"/>
        <v>6</v>
      </c>
      <c r="C13" s="20" t="s">
        <v>2033</v>
      </c>
      <c r="D13" s="20" t="s">
        <v>2036</v>
      </c>
      <c r="E13" s="65">
        <v>11254</v>
      </c>
      <c r="F13" s="19" t="s">
        <v>2037</v>
      </c>
      <c r="G13" s="9">
        <v>5828</v>
      </c>
      <c r="H13" s="9">
        <v>283554.70602312952</v>
      </c>
      <c r="I13" s="9">
        <v>19</v>
      </c>
      <c r="J13" s="9">
        <v>1079.9514652600001</v>
      </c>
      <c r="K13" s="10">
        <v>55</v>
      </c>
      <c r="L13" s="10">
        <v>99834.502060990009</v>
      </c>
      <c r="M13" s="10">
        <v>0</v>
      </c>
      <c r="N13" s="10">
        <v>0</v>
      </c>
      <c r="O13" s="10">
        <v>17</v>
      </c>
      <c r="P13" s="10">
        <v>2206.8022500399998</v>
      </c>
      <c r="Q13" s="10">
        <v>1</v>
      </c>
      <c r="R13" s="10">
        <v>76.666668999999999</v>
      </c>
      <c r="S13" s="10">
        <v>4</v>
      </c>
      <c r="T13" s="10">
        <v>1830.489519</v>
      </c>
      <c r="U13" s="10">
        <v>0</v>
      </c>
      <c r="V13" s="10">
        <v>0</v>
      </c>
      <c r="W13" s="10">
        <v>7</v>
      </c>
      <c r="X13" s="10">
        <v>838.94452697999998</v>
      </c>
      <c r="Y13" s="10">
        <v>0</v>
      </c>
      <c r="Z13" s="10">
        <v>0</v>
      </c>
      <c r="AA13" s="10">
        <v>24</v>
      </c>
      <c r="AB13" s="10">
        <v>2751.3636471499999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1</v>
      </c>
      <c r="AJ13" s="10">
        <v>796.71209610000005</v>
      </c>
      <c r="AK13" s="10">
        <v>1</v>
      </c>
      <c r="AL13" s="10">
        <v>796.71209610000005</v>
      </c>
      <c r="AM13" s="10">
        <v>3404</v>
      </c>
      <c r="AN13" s="10">
        <v>90039.007236340243</v>
      </c>
      <c r="AO13" s="10">
        <v>8</v>
      </c>
      <c r="AP13" s="10">
        <v>156.75729601</v>
      </c>
      <c r="AQ13" s="10">
        <v>1209</v>
      </c>
      <c r="AR13" s="10">
        <v>41614.455506220009</v>
      </c>
      <c r="AS13" s="10">
        <v>7</v>
      </c>
      <c r="AT13" s="10">
        <v>38.692485179999998</v>
      </c>
      <c r="AU13" s="10">
        <v>695</v>
      </c>
      <c r="AV13" s="10">
        <v>24120.067990569958</v>
      </c>
      <c r="AW13" s="10">
        <v>0</v>
      </c>
      <c r="AX13" s="10">
        <v>0</v>
      </c>
      <c r="AY13" s="10">
        <v>294</v>
      </c>
      <c r="AZ13" s="10">
        <v>9132.3687094300021</v>
      </c>
      <c r="BA13" s="10">
        <v>0</v>
      </c>
      <c r="BB13" s="10">
        <v>0</v>
      </c>
      <c r="BC13" s="10">
        <v>36</v>
      </c>
      <c r="BD13" s="10">
        <v>909.83071267999992</v>
      </c>
      <c r="BE13" s="10">
        <v>0</v>
      </c>
      <c r="BF13" s="10">
        <v>0</v>
      </c>
      <c r="BG13" s="10">
        <v>7</v>
      </c>
      <c r="BH13" s="10">
        <v>946.73249336000003</v>
      </c>
      <c r="BI13" s="10">
        <v>1</v>
      </c>
      <c r="BJ13" s="10">
        <v>6.9709083600000001</v>
      </c>
      <c r="BK13" s="10">
        <v>75</v>
      </c>
      <c r="BL13" s="10">
        <v>8533.4292742699981</v>
      </c>
      <c r="BM13" s="10">
        <v>1</v>
      </c>
      <c r="BN13" s="10">
        <v>4.1520106099999996</v>
      </c>
      <c r="BO13" s="18">
        <f t="shared" si="6"/>
        <v>0</v>
      </c>
      <c r="BP13" s="18">
        <f t="shared" si="7"/>
        <v>-6.9303496275097132E-10</v>
      </c>
      <c r="BQ13" s="18">
        <f t="shared" si="4"/>
        <v>0</v>
      </c>
      <c r="BR13" s="18">
        <f t="shared" si="5"/>
        <v>6.4837024638109142E-14</v>
      </c>
      <c r="BS13" s="18"/>
      <c r="BT13" s="18"/>
      <c r="BU13" s="18"/>
      <c r="BV13" s="18"/>
    </row>
    <row r="14" spans="1:74" s="11" customFormat="1" ht="27" customHeight="1" x14ac:dyDescent="0.25">
      <c r="A14" s="66" t="s">
        <v>26</v>
      </c>
      <c r="B14" s="1">
        <f t="shared" si="8"/>
        <v>7</v>
      </c>
      <c r="C14" s="20" t="s">
        <v>2033</v>
      </c>
      <c r="D14" s="20" t="s">
        <v>2038</v>
      </c>
      <c r="E14" s="65">
        <v>11255</v>
      </c>
      <c r="F14" s="19" t="s">
        <v>2039</v>
      </c>
      <c r="G14" s="9">
        <v>3025</v>
      </c>
      <c r="H14" s="9">
        <v>216847.11360840977</v>
      </c>
      <c r="I14" s="9">
        <v>26</v>
      </c>
      <c r="J14" s="9">
        <v>15161.629339430001</v>
      </c>
      <c r="K14" s="10">
        <v>85</v>
      </c>
      <c r="L14" s="10">
        <v>12445.888669089996</v>
      </c>
      <c r="M14" s="10">
        <v>0</v>
      </c>
      <c r="N14" s="10">
        <v>0</v>
      </c>
      <c r="O14" s="10">
        <v>14</v>
      </c>
      <c r="P14" s="10">
        <v>9847.2120204800012</v>
      </c>
      <c r="Q14" s="10">
        <v>0</v>
      </c>
      <c r="R14" s="10">
        <v>0</v>
      </c>
      <c r="S14" s="10">
        <v>3</v>
      </c>
      <c r="T14" s="10">
        <v>525.87602500000003</v>
      </c>
      <c r="U14" s="10">
        <v>0</v>
      </c>
      <c r="V14" s="10">
        <v>0</v>
      </c>
      <c r="W14" s="10">
        <v>6</v>
      </c>
      <c r="X14" s="10">
        <v>1295.6776381</v>
      </c>
      <c r="Y14" s="10">
        <v>0</v>
      </c>
      <c r="Z14" s="10">
        <v>0</v>
      </c>
      <c r="AA14" s="10">
        <v>10</v>
      </c>
      <c r="AB14" s="10">
        <v>5548.4460441199999</v>
      </c>
      <c r="AC14" s="10">
        <v>1</v>
      </c>
      <c r="AD14" s="10">
        <v>3000</v>
      </c>
      <c r="AE14" s="10">
        <v>1</v>
      </c>
      <c r="AF14" s="10">
        <v>2333.33329908</v>
      </c>
      <c r="AG14" s="10">
        <v>0</v>
      </c>
      <c r="AH14" s="10">
        <v>0</v>
      </c>
      <c r="AI14" s="10">
        <v>1</v>
      </c>
      <c r="AJ14" s="10">
        <v>10736.261781069999</v>
      </c>
      <c r="AK14" s="10">
        <v>1</v>
      </c>
      <c r="AL14" s="10">
        <v>10736.261781069999</v>
      </c>
      <c r="AM14" s="10">
        <v>913</v>
      </c>
      <c r="AN14" s="10">
        <v>43811.615975400018</v>
      </c>
      <c r="AO14" s="10">
        <v>2</v>
      </c>
      <c r="AP14" s="10">
        <v>109.26449228</v>
      </c>
      <c r="AQ14" s="10">
        <v>748</v>
      </c>
      <c r="AR14" s="10">
        <v>36575.121655480049</v>
      </c>
      <c r="AS14" s="10">
        <v>4</v>
      </c>
      <c r="AT14" s="10">
        <v>969.68337438000015</v>
      </c>
      <c r="AU14" s="10">
        <v>359</v>
      </c>
      <c r="AV14" s="10">
        <v>15051.346564819991</v>
      </c>
      <c r="AW14" s="10">
        <v>11</v>
      </c>
      <c r="AX14" s="10">
        <v>100.54780298</v>
      </c>
      <c r="AY14" s="10">
        <v>183</v>
      </c>
      <c r="AZ14" s="10">
        <v>16382.08499755</v>
      </c>
      <c r="BA14" s="10">
        <v>1</v>
      </c>
      <c r="BB14" s="10">
        <v>6.3204652999999995</v>
      </c>
      <c r="BC14" s="10">
        <v>187</v>
      </c>
      <c r="BD14" s="10">
        <v>20570.81030904</v>
      </c>
      <c r="BE14" s="10">
        <v>1</v>
      </c>
      <c r="BF14" s="10">
        <v>16.955552000000001</v>
      </c>
      <c r="BG14" s="10">
        <v>157</v>
      </c>
      <c r="BH14" s="10">
        <v>17104.43324446</v>
      </c>
      <c r="BI14" s="10">
        <v>3</v>
      </c>
      <c r="BJ14" s="10">
        <v>123.70820459999999</v>
      </c>
      <c r="BK14" s="10">
        <v>358</v>
      </c>
      <c r="BL14" s="10">
        <v>24619.005384720062</v>
      </c>
      <c r="BM14" s="10">
        <v>2</v>
      </c>
      <c r="BN14" s="10">
        <v>98.887666820000007</v>
      </c>
      <c r="BO14" s="18">
        <f t="shared" si="6"/>
        <v>0</v>
      </c>
      <c r="BP14" s="18">
        <f t="shared" si="7"/>
        <v>-3.7834979593753815E-10</v>
      </c>
      <c r="BQ14" s="18">
        <f t="shared" si="4"/>
        <v>0</v>
      </c>
      <c r="BR14" s="18">
        <f t="shared" si="5"/>
        <v>1.4068746168049984E-12</v>
      </c>
      <c r="BS14" s="18"/>
      <c r="BT14" s="18"/>
      <c r="BU14" s="18"/>
      <c r="BV14" s="18"/>
    </row>
    <row r="15" spans="1:74" s="11" customFormat="1" ht="27" customHeight="1" x14ac:dyDescent="0.25">
      <c r="A15" s="66" t="s">
        <v>26</v>
      </c>
      <c r="B15" s="1">
        <f t="shared" si="8"/>
        <v>8</v>
      </c>
      <c r="C15" s="20" t="s">
        <v>2033</v>
      </c>
      <c r="D15" s="20" t="s">
        <v>2040</v>
      </c>
      <c r="E15" s="65">
        <v>11256</v>
      </c>
      <c r="F15" s="19" t="s">
        <v>2041</v>
      </c>
      <c r="G15" s="9">
        <v>4887</v>
      </c>
      <c r="H15" s="9">
        <v>172085.3092976099</v>
      </c>
      <c r="I15" s="9">
        <v>30</v>
      </c>
      <c r="J15" s="9">
        <v>762.48946693000005</v>
      </c>
      <c r="K15" s="10">
        <v>107</v>
      </c>
      <c r="L15" s="10">
        <v>20929.449310310007</v>
      </c>
      <c r="M15" s="10">
        <v>0</v>
      </c>
      <c r="N15" s="10">
        <v>0</v>
      </c>
      <c r="O15" s="10">
        <v>22</v>
      </c>
      <c r="P15" s="10">
        <v>1863.2216601999999</v>
      </c>
      <c r="Q15" s="10">
        <v>1</v>
      </c>
      <c r="R15" s="10">
        <v>96.666667000000004</v>
      </c>
      <c r="S15" s="10">
        <v>4</v>
      </c>
      <c r="T15" s="10">
        <v>524.44593499999996</v>
      </c>
      <c r="U15" s="10">
        <v>0</v>
      </c>
      <c r="V15" s="10">
        <v>0</v>
      </c>
      <c r="W15" s="10">
        <v>5</v>
      </c>
      <c r="X15" s="10">
        <v>16694.780914049999</v>
      </c>
      <c r="Y15" s="10">
        <v>1</v>
      </c>
      <c r="Z15" s="10">
        <v>28.821037499999999</v>
      </c>
      <c r="AA15" s="10">
        <v>24</v>
      </c>
      <c r="AB15" s="10">
        <v>2593.3858505400003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2</v>
      </c>
      <c r="AJ15" s="10">
        <v>366.33287588000002</v>
      </c>
      <c r="AK15" s="10">
        <v>2</v>
      </c>
      <c r="AL15" s="10">
        <v>366.33287588000002</v>
      </c>
      <c r="AM15" s="10">
        <v>2776</v>
      </c>
      <c r="AN15" s="10">
        <v>48164.943044090054</v>
      </c>
      <c r="AO15" s="10">
        <v>8</v>
      </c>
      <c r="AP15" s="10">
        <v>86.462666489999989</v>
      </c>
      <c r="AQ15" s="10">
        <v>1153</v>
      </c>
      <c r="AR15" s="10">
        <v>30478.918588340031</v>
      </c>
      <c r="AS15" s="10">
        <v>7</v>
      </c>
      <c r="AT15" s="10">
        <v>43.128703269999995</v>
      </c>
      <c r="AU15" s="10">
        <v>392</v>
      </c>
      <c r="AV15" s="10">
        <v>12901.456994370015</v>
      </c>
      <c r="AW15" s="10">
        <v>10</v>
      </c>
      <c r="AX15" s="10">
        <v>130.61583479000001</v>
      </c>
      <c r="AY15" s="10">
        <v>237</v>
      </c>
      <c r="AZ15" s="10">
        <v>22249.449720249995</v>
      </c>
      <c r="BA15" s="10">
        <v>1</v>
      </c>
      <c r="BB15" s="10">
        <v>10.461682</v>
      </c>
      <c r="BC15" s="10">
        <v>71</v>
      </c>
      <c r="BD15" s="10">
        <v>5523.0426914599993</v>
      </c>
      <c r="BE15" s="10">
        <v>0</v>
      </c>
      <c r="BF15" s="10">
        <v>0</v>
      </c>
      <c r="BG15" s="10">
        <v>85</v>
      </c>
      <c r="BH15" s="10">
        <v>9260.4216953899995</v>
      </c>
      <c r="BI15" s="10">
        <v>0</v>
      </c>
      <c r="BJ15" s="10">
        <v>0</v>
      </c>
      <c r="BK15" s="10">
        <v>9</v>
      </c>
      <c r="BL15" s="10">
        <v>535.46001773</v>
      </c>
      <c r="BM15" s="10">
        <v>0</v>
      </c>
      <c r="BN15" s="10">
        <v>0</v>
      </c>
      <c r="BO15" s="18">
        <f t="shared" si="6"/>
        <v>0</v>
      </c>
      <c r="BP15" s="18">
        <f t="shared" si="7"/>
        <v>-2.2021140466677025E-10</v>
      </c>
      <c r="BQ15" s="18">
        <f t="shared" si="4"/>
        <v>0</v>
      </c>
      <c r="BR15" s="18">
        <f t="shared" si="5"/>
        <v>8.1712414612411521E-14</v>
      </c>
      <c r="BS15" s="18"/>
      <c r="BT15" s="18"/>
      <c r="BU15" s="18"/>
      <c r="BV15" s="18"/>
    </row>
    <row r="16" spans="1:74" s="11" customFormat="1" ht="27" customHeight="1" x14ac:dyDescent="0.25">
      <c r="A16" s="66" t="s">
        <v>26</v>
      </c>
      <c r="B16" s="1">
        <f t="shared" si="8"/>
        <v>9</v>
      </c>
      <c r="C16" s="20" t="s">
        <v>2033</v>
      </c>
      <c r="D16" s="20" t="s">
        <v>2181</v>
      </c>
      <c r="E16" s="65">
        <v>12174</v>
      </c>
      <c r="F16" s="19" t="s">
        <v>2049</v>
      </c>
      <c r="G16" s="9">
        <v>1268</v>
      </c>
      <c r="H16" s="9">
        <v>61508.460487889955</v>
      </c>
      <c r="I16" s="9">
        <v>0</v>
      </c>
      <c r="J16" s="9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1268</v>
      </c>
      <c r="AN16" s="10">
        <v>61508.460487890006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8">
        <f t="shared" si="6"/>
        <v>0</v>
      </c>
      <c r="BP16" s="18">
        <f t="shared" si="7"/>
        <v>-5.0931703299283981E-11</v>
      </c>
      <c r="BQ16" s="18">
        <f t="shared" si="4"/>
        <v>0</v>
      </c>
      <c r="BR16" s="18">
        <f t="shared" si="5"/>
        <v>0</v>
      </c>
      <c r="BS16" s="18"/>
      <c r="BT16" s="18"/>
      <c r="BU16" s="18"/>
      <c r="BV16" s="18"/>
    </row>
    <row r="17" spans="1:74" s="11" customFormat="1" ht="27" customHeight="1" x14ac:dyDescent="0.25">
      <c r="A17" s="66" t="s">
        <v>26</v>
      </c>
      <c r="B17" s="1">
        <f t="shared" si="8"/>
        <v>10</v>
      </c>
      <c r="C17" s="20" t="s">
        <v>2033</v>
      </c>
      <c r="D17" s="20" t="s">
        <v>2182</v>
      </c>
      <c r="E17" s="65">
        <v>12190</v>
      </c>
      <c r="F17" s="19" t="s">
        <v>2049</v>
      </c>
      <c r="G17" s="9">
        <v>782</v>
      </c>
      <c r="H17" s="9">
        <v>34479.337470350009</v>
      </c>
      <c r="I17" s="9">
        <v>0</v>
      </c>
      <c r="J17" s="9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782</v>
      </c>
      <c r="AN17" s="10">
        <v>34479.337470350001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8">
        <f t="shared" si="6"/>
        <v>0</v>
      </c>
      <c r="BP17" s="18">
        <f t="shared" si="7"/>
        <v>7.2759576141834259E-12</v>
      </c>
      <c r="BQ17" s="18">
        <f t="shared" si="4"/>
        <v>0</v>
      </c>
      <c r="BR17" s="18">
        <f t="shared" si="5"/>
        <v>0</v>
      </c>
      <c r="BS17" s="18"/>
      <c r="BT17" s="18"/>
      <c r="BU17" s="18"/>
      <c r="BV17" s="18"/>
    </row>
    <row r="18" spans="1:74" s="11" customFormat="1" ht="27" customHeight="1" x14ac:dyDescent="0.25">
      <c r="A18" s="66" t="s">
        <v>27</v>
      </c>
      <c r="B18" s="1">
        <f t="shared" si="8"/>
        <v>11</v>
      </c>
      <c r="C18" s="20" t="s">
        <v>2050</v>
      </c>
      <c r="D18" s="20" t="s">
        <v>2051</v>
      </c>
      <c r="E18" s="65">
        <v>11198</v>
      </c>
      <c r="F18" s="19" t="s">
        <v>2035</v>
      </c>
      <c r="G18" s="9">
        <v>4222</v>
      </c>
      <c r="H18" s="9">
        <v>1680206.3533397398</v>
      </c>
      <c r="I18" s="9">
        <v>309</v>
      </c>
      <c r="J18" s="9">
        <v>90384.884094739988</v>
      </c>
      <c r="K18" s="10">
        <v>68</v>
      </c>
      <c r="L18" s="10">
        <v>35610.919365429982</v>
      </c>
      <c r="M18" s="10">
        <v>8</v>
      </c>
      <c r="N18" s="10">
        <v>3881.2384588499999</v>
      </c>
      <c r="O18" s="10">
        <v>58</v>
      </c>
      <c r="P18" s="10">
        <v>30222.914703849998</v>
      </c>
      <c r="Q18" s="10">
        <v>16</v>
      </c>
      <c r="R18" s="10">
        <v>8024.2096490799986</v>
      </c>
      <c r="S18" s="10">
        <v>20</v>
      </c>
      <c r="T18" s="10">
        <v>1361074.1778405199</v>
      </c>
      <c r="U18" s="10">
        <v>8</v>
      </c>
      <c r="V18" s="10">
        <v>12694.734815309999</v>
      </c>
      <c r="W18" s="10">
        <v>1</v>
      </c>
      <c r="X18" s="10">
        <v>100.8463682</v>
      </c>
      <c r="Y18" s="10">
        <v>0</v>
      </c>
      <c r="Z18" s="10">
        <v>0</v>
      </c>
      <c r="AA18" s="10">
        <v>2</v>
      </c>
      <c r="AB18" s="10">
        <v>782.48917620000009</v>
      </c>
      <c r="AC18" s="10">
        <v>0</v>
      </c>
      <c r="AD18" s="10">
        <v>0</v>
      </c>
      <c r="AE18" s="10">
        <v>2</v>
      </c>
      <c r="AF18" s="10">
        <v>36615.538007169998</v>
      </c>
      <c r="AG18" s="10">
        <v>1</v>
      </c>
      <c r="AH18" s="10">
        <v>17024.375535679999</v>
      </c>
      <c r="AI18" s="10">
        <v>9</v>
      </c>
      <c r="AJ18" s="10">
        <v>99027.411192379994</v>
      </c>
      <c r="AK18" s="10">
        <v>2</v>
      </c>
      <c r="AL18" s="10">
        <v>39579.167310919998</v>
      </c>
      <c r="AM18" s="10">
        <v>1352</v>
      </c>
      <c r="AN18" s="10">
        <v>33470.753035869995</v>
      </c>
      <c r="AO18" s="10">
        <v>28</v>
      </c>
      <c r="AP18" s="10">
        <v>872.39297423000005</v>
      </c>
      <c r="AQ18" s="10">
        <v>1567</v>
      </c>
      <c r="AR18" s="10">
        <v>42193.791462250098</v>
      </c>
      <c r="AS18" s="10">
        <v>194</v>
      </c>
      <c r="AT18" s="10">
        <v>7647.5120350199977</v>
      </c>
      <c r="AU18" s="10">
        <v>822</v>
      </c>
      <c r="AV18" s="10">
        <v>18287.591993180009</v>
      </c>
      <c r="AW18" s="10">
        <v>47</v>
      </c>
      <c r="AX18" s="10">
        <v>619.21472758000027</v>
      </c>
      <c r="AY18" s="10">
        <v>101</v>
      </c>
      <c r="AZ18" s="10">
        <v>3937.8078715799984</v>
      </c>
      <c r="BA18" s="10">
        <v>5</v>
      </c>
      <c r="BB18" s="10">
        <v>42.038588069999996</v>
      </c>
      <c r="BC18" s="10">
        <v>124</v>
      </c>
      <c r="BD18" s="10">
        <v>10650.389704810001</v>
      </c>
      <c r="BE18" s="10">
        <v>0</v>
      </c>
      <c r="BF18" s="10">
        <v>0</v>
      </c>
      <c r="BG18" s="10">
        <v>16</v>
      </c>
      <c r="BH18" s="10">
        <v>2094.8158982800001</v>
      </c>
      <c r="BI18" s="10">
        <v>0</v>
      </c>
      <c r="BJ18" s="10">
        <v>0</v>
      </c>
      <c r="BK18" s="10">
        <v>80</v>
      </c>
      <c r="BL18" s="10">
        <v>6136.9067200200016</v>
      </c>
      <c r="BM18" s="10">
        <v>0</v>
      </c>
      <c r="BN18" s="10">
        <v>0</v>
      </c>
      <c r="BO18" s="18">
        <f t="shared" si="6"/>
        <v>0</v>
      </c>
      <c r="BP18" s="18">
        <f t="shared" si="7"/>
        <v>-1.2641976354643703E-10</v>
      </c>
      <c r="BQ18" s="18">
        <f t="shared" si="4"/>
        <v>0</v>
      </c>
      <c r="BR18" s="18">
        <f t="shared" si="5"/>
        <v>-9.9404928732838016E-12</v>
      </c>
      <c r="BS18" s="18"/>
      <c r="BT18" s="18"/>
      <c r="BU18" s="18"/>
      <c r="BV18" s="18"/>
    </row>
    <row r="19" spans="1:74" s="11" customFormat="1" ht="27" customHeight="1" x14ac:dyDescent="0.25">
      <c r="A19" s="66" t="s">
        <v>27</v>
      </c>
      <c r="B19" s="1">
        <f t="shared" si="8"/>
        <v>12</v>
      </c>
      <c r="C19" s="20" t="s">
        <v>2050</v>
      </c>
      <c r="D19" s="20" t="s">
        <v>2055</v>
      </c>
      <c r="E19" s="65">
        <v>11199</v>
      </c>
      <c r="F19" s="19" t="s">
        <v>2037</v>
      </c>
      <c r="G19" s="9">
        <v>6756</v>
      </c>
      <c r="H19" s="9">
        <v>458067.70551814028</v>
      </c>
      <c r="I19" s="9">
        <v>377</v>
      </c>
      <c r="J19" s="9">
        <v>8651.2559452700043</v>
      </c>
      <c r="K19" s="10">
        <v>77</v>
      </c>
      <c r="L19" s="10">
        <v>12148.99245926</v>
      </c>
      <c r="M19" s="10">
        <v>2</v>
      </c>
      <c r="N19" s="10">
        <v>347.34572971</v>
      </c>
      <c r="O19" s="10">
        <v>104</v>
      </c>
      <c r="P19" s="10">
        <v>191383.28103848992</v>
      </c>
      <c r="Q19" s="10">
        <v>7</v>
      </c>
      <c r="R19" s="10">
        <v>1696.76319238</v>
      </c>
      <c r="S19" s="10">
        <v>12</v>
      </c>
      <c r="T19" s="10">
        <v>19492.89889294</v>
      </c>
      <c r="U19" s="10">
        <v>0</v>
      </c>
      <c r="V19" s="10">
        <v>0</v>
      </c>
      <c r="W19" s="10">
        <v>35</v>
      </c>
      <c r="X19" s="10">
        <v>84590.842253070005</v>
      </c>
      <c r="Y19" s="10">
        <v>0</v>
      </c>
      <c r="Z19" s="10">
        <v>0</v>
      </c>
      <c r="AA19" s="10">
        <v>4</v>
      </c>
      <c r="AB19" s="10">
        <v>1184.4791324300002</v>
      </c>
      <c r="AC19" s="10">
        <v>1</v>
      </c>
      <c r="AD19" s="10">
        <v>820.44161599000006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1873</v>
      </c>
      <c r="AN19" s="10">
        <v>43338.019373390103</v>
      </c>
      <c r="AO19" s="10">
        <v>94</v>
      </c>
      <c r="AP19" s="10">
        <v>1754.9417409400005</v>
      </c>
      <c r="AQ19" s="10">
        <v>2752</v>
      </c>
      <c r="AR19" s="10">
        <v>47375.681186819776</v>
      </c>
      <c r="AS19" s="10">
        <v>248</v>
      </c>
      <c r="AT19" s="10">
        <v>3561.8299795900011</v>
      </c>
      <c r="AU19" s="10">
        <v>1306</v>
      </c>
      <c r="AV19" s="10">
        <v>23601.075314240003</v>
      </c>
      <c r="AW19" s="10">
        <v>21</v>
      </c>
      <c r="AX19" s="10">
        <v>236.13265702999996</v>
      </c>
      <c r="AY19" s="10">
        <v>219</v>
      </c>
      <c r="AZ19" s="10">
        <v>6177.5707689499932</v>
      </c>
      <c r="BA19" s="10">
        <v>2</v>
      </c>
      <c r="BB19" s="10">
        <v>10.64724528</v>
      </c>
      <c r="BC19" s="10">
        <v>65</v>
      </c>
      <c r="BD19" s="10">
        <v>6413.018487119999</v>
      </c>
      <c r="BE19" s="10">
        <v>0</v>
      </c>
      <c r="BF19" s="10">
        <v>0</v>
      </c>
      <c r="BG19" s="10">
        <v>162</v>
      </c>
      <c r="BH19" s="10">
        <v>12033.586428099996</v>
      </c>
      <c r="BI19" s="10">
        <v>1</v>
      </c>
      <c r="BJ19" s="10">
        <v>56.597687999999998</v>
      </c>
      <c r="BK19" s="10">
        <v>147</v>
      </c>
      <c r="BL19" s="10">
        <v>10328.26018333</v>
      </c>
      <c r="BM19" s="10">
        <v>1</v>
      </c>
      <c r="BN19" s="10">
        <v>166.55609634999999</v>
      </c>
      <c r="BO19" s="18">
        <f t="shared" si="6"/>
        <v>0</v>
      </c>
      <c r="BP19" s="18">
        <f t="shared" si="7"/>
        <v>5.3114490583539009E-10</v>
      </c>
      <c r="BQ19" s="18">
        <f t="shared" si="4"/>
        <v>0</v>
      </c>
      <c r="BR19" s="18">
        <f t="shared" si="5"/>
        <v>3.3821834222180769E-12</v>
      </c>
      <c r="BS19" s="18"/>
      <c r="BT19" s="18"/>
      <c r="BU19" s="18"/>
      <c r="BV19" s="18"/>
    </row>
    <row r="20" spans="1:74" s="11" customFormat="1" ht="27" customHeight="1" x14ac:dyDescent="0.25">
      <c r="A20" s="66" t="s">
        <v>27</v>
      </c>
      <c r="B20" s="1">
        <f t="shared" si="8"/>
        <v>13</v>
      </c>
      <c r="C20" s="20" t="s">
        <v>2050</v>
      </c>
      <c r="D20" s="20" t="s">
        <v>2056</v>
      </c>
      <c r="E20" s="65">
        <v>11200</v>
      </c>
      <c r="F20" s="19" t="s">
        <v>2049</v>
      </c>
      <c r="G20" s="9">
        <v>6943</v>
      </c>
      <c r="H20" s="9">
        <v>454559.70979484025</v>
      </c>
      <c r="I20" s="9">
        <v>647</v>
      </c>
      <c r="J20" s="9">
        <v>42485.512606189986</v>
      </c>
      <c r="K20" s="10">
        <v>162</v>
      </c>
      <c r="L20" s="10">
        <v>73138.904048760043</v>
      </c>
      <c r="M20" s="10">
        <v>14</v>
      </c>
      <c r="N20" s="10">
        <v>4209.3836344500005</v>
      </c>
      <c r="O20" s="10">
        <v>207</v>
      </c>
      <c r="P20" s="10">
        <v>92573.069402349996</v>
      </c>
      <c r="Q20" s="10">
        <v>38</v>
      </c>
      <c r="R20" s="10">
        <v>17191.77172845</v>
      </c>
      <c r="S20" s="10">
        <v>31</v>
      </c>
      <c r="T20" s="10">
        <v>5153.0242382199995</v>
      </c>
      <c r="U20" s="10">
        <v>7</v>
      </c>
      <c r="V20" s="10">
        <v>1383.07218395</v>
      </c>
      <c r="W20" s="10">
        <v>42</v>
      </c>
      <c r="X20" s="10">
        <v>47191.274610379987</v>
      </c>
      <c r="Y20" s="10">
        <v>1</v>
      </c>
      <c r="Z20" s="10">
        <v>19.616679999999999</v>
      </c>
      <c r="AA20" s="10">
        <v>3</v>
      </c>
      <c r="AB20" s="10">
        <v>19647.21114548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2</v>
      </c>
      <c r="AJ20" s="10">
        <v>71.640254999999996</v>
      </c>
      <c r="AK20" s="10">
        <v>0</v>
      </c>
      <c r="AL20" s="10">
        <v>0</v>
      </c>
      <c r="AM20" s="10">
        <v>1533</v>
      </c>
      <c r="AN20" s="10">
        <v>43835.00462434005</v>
      </c>
      <c r="AO20" s="10">
        <v>63</v>
      </c>
      <c r="AP20" s="10">
        <v>2052.8980242399989</v>
      </c>
      <c r="AQ20" s="10">
        <v>2957</v>
      </c>
      <c r="AR20" s="10">
        <v>77932.111224599605</v>
      </c>
      <c r="AS20" s="10">
        <v>419</v>
      </c>
      <c r="AT20" s="10">
        <v>14887.373505590023</v>
      </c>
      <c r="AU20" s="10">
        <v>1416</v>
      </c>
      <c r="AV20" s="10">
        <v>39429.431078319983</v>
      </c>
      <c r="AW20" s="10">
        <v>86</v>
      </c>
      <c r="AX20" s="10">
        <v>1882.2860878299998</v>
      </c>
      <c r="AY20" s="10">
        <v>241</v>
      </c>
      <c r="AZ20" s="10">
        <v>10010.575289110011</v>
      </c>
      <c r="BA20" s="10">
        <v>14</v>
      </c>
      <c r="BB20" s="10">
        <v>122.06977773</v>
      </c>
      <c r="BC20" s="10">
        <v>111</v>
      </c>
      <c r="BD20" s="10">
        <v>13934.25285311</v>
      </c>
      <c r="BE20" s="10">
        <v>2</v>
      </c>
      <c r="BF20" s="10">
        <v>330.34017862000002</v>
      </c>
      <c r="BG20" s="10">
        <v>15</v>
      </c>
      <c r="BH20" s="10">
        <v>1872.1186610900002</v>
      </c>
      <c r="BI20" s="10">
        <v>0</v>
      </c>
      <c r="BJ20" s="10">
        <v>0</v>
      </c>
      <c r="BK20" s="10">
        <v>223</v>
      </c>
      <c r="BL20" s="10">
        <v>29771.092364079996</v>
      </c>
      <c r="BM20" s="10">
        <v>3</v>
      </c>
      <c r="BN20" s="10">
        <v>406.70080533000004</v>
      </c>
      <c r="BO20" s="18">
        <f t="shared" si="6"/>
        <v>0</v>
      </c>
      <c r="BP20" s="18">
        <f t="shared" si="7"/>
        <v>5.9662852436304092E-10</v>
      </c>
      <c r="BQ20" s="18">
        <f t="shared" si="4"/>
        <v>0</v>
      </c>
      <c r="BR20" s="18">
        <f t="shared" si="5"/>
        <v>-3.637978807091713E-11</v>
      </c>
      <c r="BS20" s="18"/>
      <c r="BT20" s="18"/>
      <c r="BU20" s="18"/>
      <c r="BV20" s="18"/>
    </row>
    <row r="21" spans="1:74" s="11" customFormat="1" ht="27" customHeight="1" x14ac:dyDescent="0.25">
      <c r="A21" s="66" t="s">
        <v>27</v>
      </c>
      <c r="B21" s="1">
        <f t="shared" si="8"/>
        <v>14</v>
      </c>
      <c r="C21" s="20" t="s">
        <v>2050</v>
      </c>
      <c r="D21" s="20" t="s">
        <v>2052</v>
      </c>
      <c r="E21" s="65">
        <v>11201</v>
      </c>
      <c r="F21" s="19" t="s">
        <v>2047</v>
      </c>
      <c r="G21" s="9">
        <v>7531</v>
      </c>
      <c r="H21" s="9">
        <v>445139.33470766013</v>
      </c>
      <c r="I21" s="9">
        <v>228</v>
      </c>
      <c r="J21" s="9">
        <v>3952.3128732499995</v>
      </c>
      <c r="K21" s="10">
        <v>99</v>
      </c>
      <c r="L21" s="10">
        <v>43634.762990450006</v>
      </c>
      <c r="M21" s="10">
        <v>0</v>
      </c>
      <c r="N21" s="10">
        <v>0</v>
      </c>
      <c r="O21" s="10">
        <v>88</v>
      </c>
      <c r="P21" s="10">
        <v>57545.870302890005</v>
      </c>
      <c r="Q21" s="10">
        <v>2</v>
      </c>
      <c r="R21" s="10">
        <v>728.16251898000007</v>
      </c>
      <c r="S21" s="10">
        <v>10</v>
      </c>
      <c r="T21" s="10">
        <v>1669.56950029</v>
      </c>
      <c r="U21" s="10">
        <v>0</v>
      </c>
      <c r="V21" s="10">
        <v>0</v>
      </c>
      <c r="W21" s="10">
        <v>18</v>
      </c>
      <c r="X21" s="10">
        <v>4294.3438158500003</v>
      </c>
      <c r="Y21" s="10">
        <v>0</v>
      </c>
      <c r="Z21" s="10">
        <v>0</v>
      </c>
      <c r="AA21" s="10">
        <v>4</v>
      </c>
      <c r="AB21" s="10">
        <v>91017.776422780007</v>
      </c>
      <c r="AC21" s="10">
        <v>0</v>
      </c>
      <c r="AD21" s="10">
        <v>0</v>
      </c>
      <c r="AE21" s="10">
        <v>1</v>
      </c>
      <c r="AF21" s="10">
        <v>3375.328</v>
      </c>
      <c r="AG21" s="10">
        <v>0</v>
      </c>
      <c r="AH21" s="10">
        <v>0</v>
      </c>
      <c r="AI21" s="10">
        <v>1</v>
      </c>
      <c r="AJ21" s="10">
        <v>8207.5882720499994</v>
      </c>
      <c r="AK21" s="10">
        <v>0</v>
      </c>
      <c r="AL21" s="10">
        <v>0</v>
      </c>
      <c r="AM21" s="10">
        <v>2363</v>
      </c>
      <c r="AN21" s="10">
        <v>55450.429306689934</v>
      </c>
      <c r="AO21" s="10">
        <v>14</v>
      </c>
      <c r="AP21" s="10">
        <v>281.35720048000002</v>
      </c>
      <c r="AQ21" s="10">
        <v>2614</v>
      </c>
      <c r="AR21" s="10">
        <v>51808.578696510041</v>
      </c>
      <c r="AS21" s="10">
        <v>161</v>
      </c>
      <c r="AT21" s="10">
        <v>2392.6386001599981</v>
      </c>
      <c r="AU21" s="10">
        <v>1395</v>
      </c>
      <c r="AV21" s="10">
        <v>40524.341543990035</v>
      </c>
      <c r="AW21" s="10">
        <v>48</v>
      </c>
      <c r="AX21" s="10">
        <v>497.96923808000014</v>
      </c>
      <c r="AY21" s="10">
        <v>359</v>
      </c>
      <c r="AZ21" s="10">
        <v>12962.954847910009</v>
      </c>
      <c r="BA21" s="10">
        <v>3</v>
      </c>
      <c r="BB21" s="10">
        <v>52.185315549999999</v>
      </c>
      <c r="BC21" s="10">
        <v>160</v>
      </c>
      <c r="BD21" s="10">
        <v>12884.046397930002</v>
      </c>
      <c r="BE21" s="10">
        <v>0</v>
      </c>
      <c r="BF21" s="10">
        <v>0</v>
      </c>
      <c r="BG21" s="10">
        <v>367</v>
      </c>
      <c r="BH21" s="10">
        <v>57004.923636799962</v>
      </c>
      <c r="BI21" s="10">
        <v>0</v>
      </c>
      <c r="BJ21" s="10">
        <v>0</v>
      </c>
      <c r="BK21" s="10">
        <v>52</v>
      </c>
      <c r="BL21" s="10">
        <v>4758.8209735200007</v>
      </c>
      <c r="BM21" s="10">
        <v>0</v>
      </c>
      <c r="BN21" s="10">
        <v>0</v>
      </c>
      <c r="BO21" s="18">
        <f t="shared" si="6"/>
        <v>0</v>
      </c>
      <c r="BP21" s="18">
        <f t="shared" si="7"/>
        <v>1.5188561519607902E-10</v>
      </c>
      <c r="BQ21" s="18">
        <f t="shared" si="4"/>
        <v>0</v>
      </c>
      <c r="BR21" s="18">
        <f t="shared" si="5"/>
        <v>1.2363443602225743E-12</v>
      </c>
      <c r="BS21" s="18"/>
      <c r="BT21" s="18"/>
      <c r="BU21" s="18"/>
      <c r="BV21" s="18"/>
    </row>
    <row r="22" spans="1:74" s="11" customFormat="1" ht="27" customHeight="1" x14ac:dyDescent="0.25">
      <c r="A22" s="66" t="s">
        <v>27</v>
      </c>
      <c r="B22" s="1">
        <f t="shared" si="8"/>
        <v>15</v>
      </c>
      <c r="C22" s="20" t="s">
        <v>2050</v>
      </c>
      <c r="D22" s="20" t="s">
        <v>2053</v>
      </c>
      <c r="E22" s="65">
        <v>11202</v>
      </c>
      <c r="F22" s="19" t="s">
        <v>2054</v>
      </c>
      <c r="G22" s="9">
        <v>5990</v>
      </c>
      <c r="H22" s="9">
        <v>319631.91950322001</v>
      </c>
      <c r="I22" s="9">
        <v>376</v>
      </c>
      <c r="J22" s="9">
        <v>25750.961610599999</v>
      </c>
      <c r="K22" s="10">
        <v>81</v>
      </c>
      <c r="L22" s="10">
        <v>48376.672555249999</v>
      </c>
      <c r="M22" s="10">
        <v>2</v>
      </c>
      <c r="N22" s="10">
        <v>1164.155233</v>
      </c>
      <c r="O22" s="10">
        <v>169</v>
      </c>
      <c r="P22" s="10">
        <v>52087.283402699992</v>
      </c>
      <c r="Q22" s="10">
        <v>19</v>
      </c>
      <c r="R22" s="10">
        <v>14350.927146600001</v>
      </c>
      <c r="S22" s="10">
        <v>7</v>
      </c>
      <c r="T22" s="10">
        <v>33346.788075199998</v>
      </c>
      <c r="U22" s="10">
        <v>0</v>
      </c>
      <c r="V22" s="10">
        <v>0</v>
      </c>
      <c r="W22" s="10">
        <v>14</v>
      </c>
      <c r="X22" s="10">
        <v>18584.486226539997</v>
      </c>
      <c r="Y22" s="10">
        <v>2</v>
      </c>
      <c r="Z22" s="10">
        <v>3479.5362602399996</v>
      </c>
      <c r="AA22" s="10">
        <v>11</v>
      </c>
      <c r="AB22" s="10">
        <v>15129.47181347</v>
      </c>
      <c r="AC22" s="10">
        <v>1</v>
      </c>
      <c r="AD22" s="10">
        <v>958.18780426000001</v>
      </c>
      <c r="AE22" s="10">
        <v>0</v>
      </c>
      <c r="AF22" s="10">
        <v>0</v>
      </c>
      <c r="AG22" s="10">
        <v>0</v>
      </c>
      <c r="AH22" s="10">
        <v>0</v>
      </c>
      <c r="AI22" s="10">
        <v>2</v>
      </c>
      <c r="AJ22" s="10">
        <v>12481.004941920002</v>
      </c>
      <c r="AK22" s="10">
        <v>0</v>
      </c>
      <c r="AL22" s="10">
        <v>0</v>
      </c>
      <c r="AM22" s="10">
        <v>1658</v>
      </c>
      <c r="AN22" s="10">
        <v>38778.361348690123</v>
      </c>
      <c r="AO22" s="10">
        <v>111</v>
      </c>
      <c r="AP22" s="10">
        <v>2024.3654680200007</v>
      </c>
      <c r="AQ22" s="10">
        <v>2659</v>
      </c>
      <c r="AR22" s="10">
        <v>47396.210841660031</v>
      </c>
      <c r="AS22" s="10">
        <v>224</v>
      </c>
      <c r="AT22" s="10">
        <v>3458.7461987599986</v>
      </c>
      <c r="AU22" s="10">
        <v>885</v>
      </c>
      <c r="AV22" s="10">
        <v>23314.232430989974</v>
      </c>
      <c r="AW22" s="10">
        <v>12</v>
      </c>
      <c r="AX22" s="10">
        <v>167.49812227000001</v>
      </c>
      <c r="AY22" s="10">
        <v>279</v>
      </c>
      <c r="AZ22" s="10">
        <v>8574.9576285999992</v>
      </c>
      <c r="BA22" s="10">
        <v>4</v>
      </c>
      <c r="BB22" s="10">
        <v>55.894356940000002</v>
      </c>
      <c r="BC22" s="10">
        <v>90</v>
      </c>
      <c r="BD22" s="10">
        <v>10831.629997760003</v>
      </c>
      <c r="BE22" s="10">
        <v>0</v>
      </c>
      <c r="BF22" s="10">
        <v>0</v>
      </c>
      <c r="BG22" s="10">
        <v>70</v>
      </c>
      <c r="BH22" s="10">
        <v>5780.7846808099985</v>
      </c>
      <c r="BI22" s="10">
        <v>0</v>
      </c>
      <c r="BJ22" s="10">
        <v>0</v>
      </c>
      <c r="BK22" s="10">
        <v>65</v>
      </c>
      <c r="BL22" s="10">
        <v>4950.0355596300005</v>
      </c>
      <c r="BM22" s="10">
        <v>1</v>
      </c>
      <c r="BN22" s="10">
        <v>91.651020510000009</v>
      </c>
      <c r="BO22" s="18">
        <f t="shared" si="6"/>
        <v>0</v>
      </c>
      <c r="BP22" s="18">
        <f t="shared" si="7"/>
        <v>-8.276401786133647E-11</v>
      </c>
      <c r="BQ22" s="18">
        <f t="shared" si="4"/>
        <v>0</v>
      </c>
      <c r="BR22" s="18">
        <f t="shared" si="5"/>
        <v>-2.2879476091475226E-12</v>
      </c>
      <c r="BS22" s="18"/>
      <c r="BT22" s="18"/>
      <c r="BU22" s="18"/>
      <c r="BV22" s="18"/>
    </row>
    <row r="23" spans="1:74" s="11" customFormat="1" ht="27" customHeight="1" x14ac:dyDescent="0.25">
      <c r="A23" s="66" t="s">
        <v>27</v>
      </c>
      <c r="B23" s="1">
        <f t="shared" si="8"/>
        <v>16</v>
      </c>
      <c r="C23" s="20" t="s">
        <v>2050</v>
      </c>
      <c r="D23" s="20" t="s">
        <v>2057</v>
      </c>
      <c r="E23" s="65">
        <v>11203</v>
      </c>
      <c r="F23" s="19" t="s">
        <v>2041</v>
      </c>
      <c r="G23" s="9">
        <v>5823</v>
      </c>
      <c r="H23" s="9">
        <v>181716.84315937001</v>
      </c>
      <c r="I23" s="9">
        <v>328</v>
      </c>
      <c r="J23" s="9">
        <v>15119.465598819996</v>
      </c>
      <c r="K23" s="10">
        <v>97</v>
      </c>
      <c r="L23" s="10">
        <v>24282.614849299993</v>
      </c>
      <c r="M23" s="10">
        <v>7</v>
      </c>
      <c r="N23" s="10">
        <v>1850.6074664400001</v>
      </c>
      <c r="O23" s="10">
        <v>112</v>
      </c>
      <c r="P23" s="10">
        <v>23368.896157829997</v>
      </c>
      <c r="Q23" s="10">
        <v>26</v>
      </c>
      <c r="R23" s="10">
        <v>7748.0930331100008</v>
      </c>
      <c r="S23" s="10">
        <v>18</v>
      </c>
      <c r="T23" s="10">
        <v>1711.5613005</v>
      </c>
      <c r="U23" s="10">
        <v>3</v>
      </c>
      <c r="V23" s="10">
        <v>172.23876077</v>
      </c>
      <c r="W23" s="10">
        <v>8</v>
      </c>
      <c r="X23" s="10">
        <v>701.39105805000008</v>
      </c>
      <c r="Y23" s="10">
        <v>0</v>
      </c>
      <c r="Z23" s="10">
        <v>0</v>
      </c>
      <c r="AA23" s="10">
        <v>7</v>
      </c>
      <c r="AB23" s="10">
        <v>581.95775763999995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1</v>
      </c>
      <c r="AJ23" s="10">
        <v>1E-8</v>
      </c>
      <c r="AK23" s="10">
        <v>1</v>
      </c>
      <c r="AL23" s="10">
        <v>1E-8</v>
      </c>
      <c r="AM23" s="10">
        <v>1488</v>
      </c>
      <c r="AN23" s="10">
        <v>36875.719302320067</v>
      </c>
      <c r="AO23" s="10">
        <v>70</v>
      </c>
      <c r="AP23" s="10">
        <v>1464.4649823900004</v>
      </c>
      <c r="AQ23" s="10">
        <v>2122</v>
      </c>
      <c r="AR23" s="10">
        <v>40308.040121779857</v>
      </c>
      <c r="AS23" s="10">
        <v>155</v>
      </c>
      <c r="AT23" s="10">
        <v>2986.253855500001</v>
      </c>
      <c r="AU23" s="10">
        <v>1437</v>
      </c>
      <c r="AV23" s="10">
        <v>26225.442877450001</v>
      </c>
      <c r="AW23" s="10">
        <v>46</v>
      </c>
      <c r="AX23" s="10">
        <v>527.56469316000005</v>
      </c>
      <c r="AY23" s="10">
        <v>336</v>
      </c>
      <c r="AZ23" s="10">
        <v>8392.3264321600018</v>
      </c>
      <c r="BA23" s="10">
        <v>18</v>
      </c>
      <c r="BB23" s="10">
        <v>132.10069770000001</v>
      </c>
      <c r="BC23" s="10">
        <v>86</v>
      </c>
      <c r="BD23" s="10">
        <v>9156.5015542500041</v>
      </c>
      <c r="BE23" s="10">
        <v>0</v>
      </c>
      <c r="BF23" s="10">
        <v>0</v>
      </c>
      <c r="BG23" s="10">
        <v>25</v>
      </c>
      <c r="BH23" s="10">
        <v>2283.2314170999998</v>
      </c>
      <c r="BI23" s="10">
        <v>1</v>
      </c>
      <c r="BJ23" s="10">
        <v>123.16819973999999</v>
      </c>
      <c r="BK23" s="10">
        <v>86</v>
      </c>
      <c r="BL23" s="10">
        <v>7829.1603309799993</v>
      </c>
      <c r="BM23" s="10">
        <v>1</v>
      </c>
      <c r="BN23" s="10">
        <v>114.97391</v>
      </c>
      <c r="BO23" s="18">
        <f t="shared" si="6"/>
        <v>0</v>
      </c>
      <c r="BP23" s="18">
        <f t="shared" si="7"/>
        <v>6.0026650317013264E-11</v>
      </c>
      <c r="BQ23" s="18">
        <f t="shared" si="4"/>
        <v>0</v>
      </c>
      <c r="BR23" s="18">
        <f t="shared" si="5"/>
        <v>-6.9633188104489818E-12</v>
      </c>
      <c r="BS23" s="18"/>
      <c r="BT23" s="18"/>
      <c r="BU23" s="18"/>
      <c r="BV23" s="18"/>
    </row>
    <row r="24" spans="1:74" s="11" customFormat="1" ht="27" customHeight="1" x14ac:dyDescent="0.25">
      <c r="A24" s="66" t="s">
        <v>28</v>
      </c>
      <c r="B24" s="1">
        <f t="shared" si="8"/>
        <v>17</v>
      </c>
      <c r="C24" s="20" t="s">
        <v>2058</v>
      </c>
      <c r="D24" s="20" t="s">
        <v>2059</v>
      </c>
      <c r="E24" s="65" t="s">
        <v>11</v>
      </c>
      <c r="F24" s="19" t="s">
        <v>2060</v>
      </c>
      <c r="G24" s="9">
        <v>6687</v>
      </c>
      <c r="H24" s="9">
        <v>268939.13785673003</v>
      </c>
      <c r="I24" s="9">
        <v>811</v>
      </c>
      <c r="J24" s="9">
        <v>23779.578477609997</v>
      </c>
      <c r="K24" s="10">
        <v>178</v>
      </c>
      <c r="L24" s="10">
        <v>101868.65526228001</v>
      </c>
      <c r="M24" s="10">
        <v>0</v>
      </c>
      <c r="N24" s="10">
        <v>0</v>
      </c>
      <c r="O24" s="10">
        <v>75</v>
      </c>
      <c r="P24" s="10">
        <v>10426.226272220001</v>
      </c>
      <c r="Q24" s="10">
        <v>1</v>
      </c>
      <c r="R24" s="10">
        <v>86.044158020000012</v>
      </c>
      <c r="S24" s="10">
        <v>4</v>
      </c>
      <c r="T24" s="10">
        <v>4957.3725851899999</v>
      </c>
      <c r="U24" s="10">
        <v>2</v>
      </c>
      <c r="V24" s="10">
        <v>4400.0518698000005</v>
      </c>
      <c r="W24" s="10">
        <v>15</v>
      </c>
      <c r="X24" s="10">
        <v>17726.692739169997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1</v>
      </c>
      <c r="AF24" s="10">
        <v>850.37228974000004</v>
      </c>
      <c r="AG24" s="10">
        <v>0</v>
      </c>
      <c r="AH24" s="10">
        <v>0</v>
      </c>
      <c r="AI24" s="10">
        <v>1</v>
      </c>
      <c r="AJ24" s="10">
        <v>5492.3744182199998</v>
      </c>
      <c r="AK24" s="10">
        <v>1</v>
      </c>
      <c r="AL24" s="10">
        <v>5492.3744182199998</v>
      </c>
      <c r="AM24" s="10">
        <v>3539</v>
      </c>
      <c r="AN24" s="10">
        <v>70730.132596610129</v>
      </c>
      <c r="AO24" s="10">
        <v>144</v>
      </c>
      <c r="AP24" s="10">
        <v>3054.766120979999</v>
      </c>
      <c r="AQ24" s="10">
        <v>878</v>
      </c>
      <c r="AR24" s="10">
        <v>10434.368960090012</v>
      </c>
      <c r="AS24" s="10">
        <v>230</v>
      </c>
      <c r="AT24" s="10">
        <v>3478.7956085299993</v>
      </c>
      <c r="AU24" s="10">
        <v>1402</v>
      </c>
      <c r="AV24" s="10">
        <v>30852.34238681</v>
      </c>
      <c r="AW24" s="10">
        <v>226</v>
      </c>
      <c r="AX24" s="10">
        <v>4617.7296569700011</v>
      </c>
      <c r="AY24" s="10">
        <v>532</v>
      </c>
      <c r="AZ24" s="10">
        <v>8348.6130940500043</v>
      </c>
      <c r="BA24" s="10">
        <v>182</v>
      </c>
      <c r="BB24" s="10">
        <v>2246.8489553200002</v>
      </c>
      <c r="BC24" s="10">
        <v>30</v>
      </c>
      <c r="BD24" s="10">
        <v>854.58555661000025</v>
      </c>
      <c r="BE24" s="10">
        <v>24</v>
      </c>
      <c r="BF24" s="10">
        <v>161.90534811000001</v>
      </c>
      <c r="BG24" s="10">
        <v>12</v>
      </c>
      <c r="BH24" s="10">
        <v>2719.5173279499995</v>
      </c>
      <c r="BI24" s="10">
        <v>1</v>
      </c>
      <c r="BJ24" s="10">
        <v>241.06234165999999</v>
      </c>
      <c r="BK24" s="10">
        <v>20</v>
      </c>
      <c r="BL24" s="10">
        <v>3677.8843677899995</v>
      </c>
      <c r="BM24" s="10">
        <v>0</v>
      </c>
      <c r="BN24" s="10">
        <v>0</v>
      </c>
      <c r="BO24" s="18">
        <f t="shared" si="6"/>
        <v>0</v>
      </c>
      <c r="BP24" s="18">
        <f t="shared" si="7"/>
        <v>-1.0277290130034089E-10</v>
      </c>
      <c r="BQ24" s="18">
        <f t="shared" si="4"/>
        <v>0</v>
      </c>
      <c r="BR24" s="18">
        <f t="shared" si="5"/>
        <v>-1.2505552149377763E-12</v>
      </c>
      <c r="BS24" s="18"/>
      <c r="BT24" s="18"/>
      <c r="BU24" s="18"/>
      <c r="BV24" s="18"/>
    </row>
    <row r="25" spans="1:74" s="11" customFormat="1" ht="27" customHeight="1" x14ac:dyDescent="0.25">
      <c r="A25" s="66" t="s">
        <v>28</v>
      </c>
      <c r="B25" s="1">
        <f t="shared" si="8"/>
        <v>18</v>
      </c>
      <c r="C25" s="20" t="s">
        <v>2058</v>
      </c>
      <c r="D25" s="20" t="s">
        <v>2061</v>
      </c>
      <c r="E25" s="65" t="s">
        <v>21</v>
      </c>
      <c r="F25" s="19" t="s">
        <v>2062</v>
      </c>
      <c r="G25" s="9">
        <v>4415</v>
      </c>
      <c r="H25" s="9">
        <v>709524.65428023995</v>
      </c>
      <c r="I25" s="9">
        <v>187</v>
      </c>
      <c r="J25" s="9">
        <v>467282.87425629998</v>
      </c>
      <c r="K25" s="10">
        <v>277</v>
      </c>
      <c r="L25" s="10">
        <v>41307.045629180015</v>
      </c>
      <c r="M25" s="10">
        <v>6</v>
      </c>
      <c r="N25" s="10">
        <v>1050.43710483</v>
      </c>
      <c r="O25" s="10">
        <v>155</v>
      </c>
      <c r="P25" s="10">
        <v>42053.662609240004</v>
      </c>
      <c r="Q25" s="10">
        <v>8</v>
      </c>
      <c r="R25" s="10">
        <v>2605.7432082099995</v>
      </c>
      <c r="S25" s="10">
        <v>42</v>
      </c>
      <c r="T25" s="10">
        <v>89339.601985539994</v>
      </c>
      <c r="U25" s="10">
        <v>10</v>
      </c>
      <c r="V25" s="10">
        <v>43632.84874572001</v>
      </c>
      <c r="W25" s="10">
        <v>11</v>
      </c>
      <c r="X25" s="10">
        <v>119905.71101045</v>
      </c>
      <c r="Y25" s="10">
        <v>3</v>
      </c>
      <c r="Z25" s="10">
        <v>110790.58288872</v>
      </c>
      <c r="AA25" s="10">
        <v>16</v>
      </c>
      <c r="AB25" s="10">
        <v>307538.90688810998</v>
      </c>
      <c r="AC25" s="10">
        <v>8</v>
      </c>
      <c r="AD25" s="10">
        <v>304439.63148603996</v>
      </c>
      <c r="AE25" s="10">
        <v>6</v>
      </c>
      <c r="AF25" s="10">
        <v>50569.782601350009</v>
      </c>
      <c r="AG25" s="10">
        <v>3</v>
      </c>
      <c r="AH25" s="10">
        <v>2692.3105726599997</v>
      </c>
      <c r="AI25" s="10">
        <v>2</v>
      </c>
      <c r="AJ25" s="10">
        <v>1029.31227618</v>
      </c>
      <c r="AK25" s="10">
        <v>0</v>
      </c>
      <c r="AL25" s="10">
        <v>0</v>
      </c>
      <c r="AM25" s="10">
        <v>2209</v>
      </c>
      <c r="AN25" s="10">
        <v>37599.116832710009</v>
      </c>
      <c r="AO25" s="10">
        <v>6</v>
      </c>
      <c r="AP25" s="10">
        <v>115.13446889999999</v>
      </c>
      <c r="AQ25" s="10">
        <v>480</v>
      </c>
      <c r="AR25" s="10">
        <v>6781.6503685000016</v>
      </c>
      <c r="AS25" s="10">
        <v>30</v>
      </c>
      <c r="AT25" s="10">
        <v>256.43413335999998</v>
      </c>
      <c r="AU25" s="10">
        <v>916</v>
      </c>
      <c r="AV25" s="10">
        <v>8681.7201856200008</v>
      </c>
      <c r="AW25" s="10">
        <v>61</v>
      </c>
      <c r="AX25" s="10">
        <v>1074.5947079800001</v>
      </c>
      <c r="AY25" s="10">
        <v>284</v>
      </c>
      <c r="AZ25" s="10">
        <v>2908.8505528300016</v>
      </c>
      <c r="BA25" s="10">
        <v>51</v>
      </c>
      <c r="BB25" s="10">
        <v>527.18466927999998</v>
      </c>
      <c r="BC25" s="10">
        <v>17</v>
      </c>
      <c r="BD25" s="10">
        <v>1809.2933405300003</v>
      </c>
      <c r="BE25" s="10">
        <v>1</v>
      </c>
      <c r="BF25" s="10">
        <v>97.972270600000016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8">
        <f t="shared" si="6"/>
        <v>0</v>
      </c>
      <c r="BP25" s="18">
        <f t="shared" si="7"/>
        <v>-1.6893864085432142E-10</v>
      </c>
      <c r="BQ25" s="18">
        <f t="shared" si="4"/>
        <v>0</v>
      </c>
      <c r="BR25" s="18">
        <f t="shared" si="5"/>
        <v>7.6610717769654002E-11</v>
      </c>
      <c r="BS25" s="18"/>
      <c r="BT25" s="18"/>
      <c r="BU25" s="18"/>
      <c r="BV25" s="18"/>
    </row>
    <row r="26" spans="1:74" s="11" customFormat="1" ht="27" customHeight="1" x14ac:dyDescent="0.25">
      <c r="A26" s="66" t="s">
        <v>28</v>
      </c>
      <c r="B26" s="1">
        <f t="shared" si="8"/>
        <v>19</v>
      </c>
      <c r="C26" s="20" t="s">
        <v>2058</v>
      </c>
      <c r="D26" s="20" t="s">
        <v>2063</v>
      </c>
      <c r="E26" s="65" t="s">
        <v>14</v>
      </c>
      <c r="F26" s="19" t="s">
        <v>2064</v>
      </c>
      <c r="G26" s="9">
        <v>6852</v>
      </c>
      <c r="H26" s="9">
        <v>233729.72841591021</v>
      </c>
      <c r="I26" s="9">
        <v>159</v>
      </c>
      <c r="J26" s="9">
        <v>7146.4920657899993</v>
      </c>
      <c r="K26" s="10">
        <v>534</v>
      </c>
      <c r="L26" s="10">
        <v>84157.795211299963</v>
      </c>
      <c r="M26" s="10">
        <v>0</v>
      </c>
      <c r="N26" s="10">
        <v>0</v>
      </c>
      <c r="O26" s="10">
        <v>208</v>
      </c>
      <c r="P26" s="10">
        <v>30193.879087160007</v>
      </c>
      <c r="Q26" s="10">
        <v>2</v>
      </c>
      <c r="R26" s="10">
        <v>203.17791391999998</v>
      </c>
      <c r="S26" s="10">
        <v>14</v>
      </c>
      <c r="T26" s="10">
        <v>4785.5140882700007</v>
      </c>
      <c r="U26" s="10">
        <v>1</v>
      </c>
      <c r="V26" s="10">
        <v>280.54399999999998</v>
      </c>
      <c r="W26" s="10">
        <v>6</v>
      </c>
      <c r="X26" s="10">
        <v>1382.1935226800001</v>
      </c>
      <c r="Y26" s="10">
        <v>1</v>
      </c>
      <c r="Z26" s="10">
        <v>65.633292449999999</v>
      </c>
      <c r="AA26" s="10">
        <v>19</v>
      </c>
      <c r="AB26" s="10">
        <v>5534.0073716499992</v>
      </c>
      <c r="AC26" s="10">
        <v>2</v>
      </c>
      <c r="AD26" s="10">
        <v>1447.4552472</v>
      </c>
      <c r="AE26" s="10">
        <v>6</v>
      </c>
      <c r="AF26" s="10">
        <v>8651.0231761699997</v>
      </c>
      <c r="AG26" s="10">
        <v>1</v>
      </c>
      <c r="AH26" s="10">
        <v>1306.08275</v>
      </c>
      <c r="AI26" s="10">
        <v>2</v>
      </c>
      <c r="AJ26" s="10">
        <v>5479.16484193</v>
      </c>
      <c r="AK26" s="10">
        <v>1</v>
      </c>
      <c r="AL26" s="10">
        <v>1290.4880639</v>
      </c>
      <c r="AM26" s="10">
        <v>2555</v>
      </c>
      <c r="AN26" s="10">
        <v>42213.64149236997</v>
      </c>
      <c r="AO26" s="10">
        <v>9</v>
      </c>
      <c r="AP26" s="10">
        <v>135.13305276</v>
      </c>
      <c r="AQ26" s="10">
        <v>830</v>
      </c>
      <c r="AR26" s="10">
        <v>11105.543073429999</v>
      </c>
      <c r="AS26" s="10">
        <v>28</v>
      </c>
      <c r="AT26" s="10">
        <v>384.9497763</v>
      </c>
      <c r="AU26" s="10">
        <v>2211</v>
      </c>
      <c r="AV26" s="10">
        <v>34729.519146189989</v>
      </c>
      <c r="AW26" s="10">
        <v>79</v>
      </c>
      <c r="AX26" s="10">
        <v>1710.2602874700005</v>
      </c>
      <c r="AY26" s="10">
        <v>460</v>
      </c>
      <c r="AZ26" s="10">
        <v>5307.3867185199997</v>
      </c>
      <c r="BA26" s="10">
        <v>33</v>
      </c>
      <c r="BB26" s="10">
        <v>313.48392773000006</v>
      </c>
      <c r="BC26" s="10">
        <v>6</v>
      </c>
      <c r="BD26" s="10">
        <v>36.492103239999992</v>
      </c>
      <c r="BE26" s="10">
        <v>2</v>
      </c>
      <c r="BF26" s="10">
        <v>9.2837540599999979</v>
      </c>
      <c r="BG26" s="10">
        <v>1</v>
      </c>
      <c r="BH26" s="10">
        <v>153.56858299999999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8">
        <f t="shared" si="6"/>
        <v>0</v>
      </c>
      <c r="BP26" s="18">
        <f t="shared" si="7"/>
        <v>2.7830537874251604E-10</v>
      </c>
      <c r="BQ26" s="18">
        <f t="shared" si="4"/>
        <v>0</v>
      </c>
      <c r="BR26" s="18">
        <f t="shared" si="5"/>
        <v>-4.1744385725905886E-13</v>
      </c>
      <c r="BS26" s="18"/>
      <c r="BT26" s="18"/>
      <c r="BU26" s="18"/>
      <c r="BV26" s="18"/>
    </row>
    <row r="27" spans="1:74" s="11" customFormat="1" ht="27" customHeight="1" x14ac:dyDescent="0.25">
      <c r="A27" s="66" t="s">
        <v>28</v>
      </c>
      <c r="B27" s="1">
        <f t="shared" si="8"/>
        <v>20</v>
      </c>
      <c r="C27" s="20" t="s">
        <v>2058</v>
      </c>
      <c r="D27" s="20" t="s">
        <v>2065</v>
      </c>
      <c r="E27" s="65" t="s">
        <v>22</v>
      </c>
      <c r="F27" s="19" t="s">
        <v>2066</v>
      </c>
      <c r="G27" s="9">
        <v>10085</v>
      </c>
      <c r="H27" s="9">
        <v>426576.2158954101</v>
      </c>
      <c r="I27" s="9">
        <v>486</v>
      </c>
      <c r="J27" s="9">
        <v>10379.82516056</v>
      </c>
      <c r="K27" s="10">
        <v>500</v>
      </c>
      <c r="L27" s="10">
        <v>172309.05105258012</v>
      </c>
      <c r="M27" s="10">
        <v>2</v>
      </c>
      <c r="N27" s="10">
        <v>937.74502199999995</v>
      </c>
      <c r="O27" s="10">
        <v>250</v>
      </c>
      <c r="P27" s="10">
        <v>49050.871294469973</v>
      </c>
      <c r="Q27" s="10">
        <v>3</v>
      </c>
      <c r="R27" s="10">
        <v>220.02648935999997</v>
      </c>
      <c r="S27" s="10">
        <v>66</v>
      </c>
      <c r="T27" s="10">
        <v>38910.633085720016</v>
      </c>
      <c r="U27" s="10">
        <v>8</v>
      </c>
      <c r="V27" s="10">
        <v>2893.1271967100001</v>
      </c>
      <c r="W27" s="10">
        <v>51</v>
      </c>
      <c r="X27" s="10">
        <v>18224.830622390004</v>
      </c>
      <c r="Y27" s="10">
        <v>1</v>
      </c>
      <c r="Z27" s="10">
        <v>127.68418056</v>
      </c>
      <c r="AA27" s="10">
        <v>3</v>
      </c>
      <c r="AB27" s="10">
        <v>331.71431635999994</v>
      </c>
      <c r="AC27" s="10">
        <v>0</v>
      </c>
      <c r="AD27" s="10">
        <v>0</v>
      </c>
      <c r="AE27" s="10">
        <v>7</v>
      </c>
      <c r="AF27" s="10">
        <v>9390.3576947800011</v>
      </c>
      <c r="AG27" s="10">
        <v>2</v>
      </c>
      <c r="AH27" s="10">
        <v>94.387455469999992</v>
      </c>
      <c r="AI27" s="10">
        <v>2</v>
      </c>
      <c r="AJ27" s="10">
        <v>397.77788667999994</v>
      </c>
      <c r="AK27" s="10">
        <v>1</v>
      </c>
      <c r="AL27" s="10">
        <v>44.99720653</v>
      </c>
      <c r="AM27" s="10">
        <v>3583</v>
      </c>
      <c r="AN27" s="10">
        <v>60333.944375679857</v>
      </c>
      <c r="AO27" s="10">
        <v>31</v>
      </c>
      <c r="AP27" s="10">
        <v>340.11442838999989</v>
      </c>
      <c r="AQ27" s="10">
        <v>1351</v>
      </c>
      <c r="AR27" s="10">
        <v>13365.163880760014</v>
      </c>
      <c r="AS27" s="10">
        <v>120</v>
      </c>
      <c r="AT27" s="10">
        <v>1136.1496593899999</v>
      </c>
      <c r="AU27" s="10">
        <v>2611</v>
      </c>
      <c r="AV27" s="10">
        <v>40081.674956629984</v>
      </c>
      <c r="AW27" s="10">
        <v>153</v>
      </c>
      <c r="AX27" s="10">
        <v>2579.1462701599994</v>
      </c>
      <c r="AY27" s="10">
        <v>1568</v>
      </c>
      <c r="AZ27" s="10">
        <v>19580.658079319939</v>
      </c>
      <c r="BA27" s="10">
        <v>142</v>
      </c>
      <c r="BB27" s="10">
        <v>1658.8172554300006</v>
      </c>
      <c r="BC27" s="10">
        <v>91</v>
      </c>
      <c r="BD27" s="10">
        <v>4461.2484341200015</v>
      </c>
      <c r="BE27" s="10">
        <v>23</v>
      </c>
      <c r="BF27" s="10">
        <v>347.62999655999994</v>
      </c>
      <c r="BG27" s="10">
        <v>0</v>
      </c>
      <c r="BH27" s="10">
        <v>0</v>
      </c>
      <c r="BI27" s="10">
        <v>0</v>
      </c>
      <c r="BJ27" s="10">
        <v>0</v>
      </c>
      <c r="BK27" s="10">
        <v>2</v>
      </c>
      <c r="BL27" s="10">
        <v>138.29021592000001</v>
      </c>
      <c r="BM27" s="10">
        <v>0</v>
      </c>
      <c r="BN27" s="10">
        <v>0</v>
      </c>
      <c r="BO27" s="18">
        <f t="shared" si="6"/>
        <v>0</v>
      </c>
      <c r="BP27" s="18">
        <f t="shared" si="7"/>
        <v>1.9306867216073442E-10</v>
      </c>
      <c r="BQ27" s="18">
        <f t="shared" si="4"/>
        <v>0</v>
      </c>
      <c r="BR27" s="18">
        <f t="shared" si="5"/>
        <v>1.3073986337985843E-12</v>
      </c>
      <c r="BS27" s="18"/>
      <c r="BT27" s="18"/>
      <c r="BU27" s="18"/>
      <c r="BV27" s="18"/>
    </row>
    <row r="28" spans="1:74" s="11" customFormat="1" ht="27" customHeight="1" x14ac:dyDescent="0.25">
      <c r="A28" s="66" t="s">
        <v>28</v>
      </c>
      <c r="B28" s="1">
        <f t="shared" si="8"/>
        <v>21</v>
      </c>
      <c r="C28" s="20" t="s">
        <v>2058</v>
      </c>
      <c r="D28" s="20" t="s">
        <v>2067</v>
      </c>
      <c r="E28" s="65" t="s">
        <v>15</v>
      </c>
      <c r="F28" s="19" t="s">
        <v>2068</v>
      </c>
      <c r="G28" s="9">
        <v>4737</v>
      </c>
      <c r="H28" s="9">
        <v>349993.17702217994</v>
      </c>
      <c r="I28" s="9">
        <v>143</v>
      </c>
      <c r="J28" s="9">
        <v>3642.1679428400003</v>
      </c>
      <c r="K28" s="10">
        <v>329</v>
      </c>
      <c r="L28" s="10">
        <v>69952.908025990007</v>
      </c>
      <c r="M28" s="10">
        <v>2</v>
      </c>
      <c r="N28" s="10">
        <v>143.17402331</v>
      </c>
      <c r="O28" s="10">
        <v>189</v>
      </c>
      <c r="P28" s="10">
        <v>49580.031876350018</v>
      </c>
      <c r="Q28" s="10">
        <v>0</v>
      </c>
      <c r="R28" s="10">
        <v>0</v>
      </c>
      <c r="S28" s="10">
        <v>9</v>
      </c>
      <c r="T28" s="10">
        <v>86746.774053639994</v>
      </c>
      <c r="U28" s="10">
        <v>1</v>
      </c>
      <c r="V28" s="10">
        <v>434.03835616000003</v>
      </c>
      <c r="W28" s="10">
        <v>2</v>
      </c>
      <c r="X28" s="10">
        <v>609.99852420999991</v>
      </c>
      <c r="Y28" s="10">
        <v>0</v>
      </c>
      <c r="Z28" s="10">
        <v>0</v>
      </c>
      <c r="AA28" s="10">
        <v>13</v>
      </c>
      <c r="AB28" s="10">
        <v>59051.207541789998</v>
      </c>
      <c r="AC28" s="10">
        <v>4</v>
      </c>
      <c r="AD28" s="10">
        <v>1073.32196901</v>
      </c>
      <c r="AE28" s="10">
        <v>4</v>
      </c>
      <c r="AF28" s="10">
        <v>4418.9378587400006</v>
      </c>
      <c r="AG28" s="10">
        <v>1</v>
      </c>
      <c r="AH28" s="10">
        <v>84.320065170000007</v>
      </c>
      <c r="AI28" s="10">
        <v>1</v>
      </c>
      <c r="AJ28" s="10">
        <v>265.70370000000003</v>
      </c>
      <c r="AK28" s="10">
        <v>0</v>
      </c>
      <c r="AL28" s="10">
        <v>0</v>
      </c>
      <c r="AM28" s="10">
        <v>2369</v>
      </c>
      <c r="AN28" s="10">
        <v>56746.856999139985</v>
      </c>
      <c r="AO28" s="10">
        <v>17</v>
      </c>
      <c r="AP28" s="10">
        <v>321.96036981999998</v>
      </c>
      <c r="AQ28" s="10">
        <v>463</v>
      </c>
      <c r="AR28" s="10">
        <v>6788.0030006399902</v>
      </c>
      <c r="AS28" s="10">
        <v>55</v>
      </c>
      <c r="AT28" s="10">
        <v>718.36303240000018</v>
      </c>
      <c r="AU28" s="10">
        <v>982</v>
      </c>
      <c r="AV28" s="10">
        <v>11160.699665280024</v>
      </c>
      <c r="AW28" s="10">
        <v>33</v>
      </c>
      <c r="AX28" s="10">
        <v>597.77633041000001</v>
      </c>
      <c r="AY28" s="10">
        <v>352</v>
      </c>
      <c r="AZ28" s="10">
        <v>3981.0479335499986</v>
      </c>
      <c r="BA28" s="10">
        <v>17</v>
      </c>
      <c r="BB28" s="10">
        <v>187.45814609999996</v>
      </c>
      <c r="BC28" s="10">
        <v>22</v>
      </c>
      <c r="BD28" s="10">
        <v>611.69417022999994</v>
      </c>
      <c r="BE28" s="10">
        <v>13</v>
      </c>
      <c r="BF28" s="10">
        <v>81.755650460000012</v>
      </c>
      <c r="BG28" s="10">
        <v>1</v>
      </c>
      <c r="BH28" s="10">
        <v>72.660550670000006</v>
      </c>
      <c r="BI28" s="10">
        <v>0</v>
      </c>
      <c r="BJ28" s="10">
        <v>0</v>
      </c>
      <c r="BK28" s="10">
        <v>1</v>
      </c>
      <c r="BL28" s="10">
        <v>6.6531219499999992</v>
      </c>
      <c r="BM28" s="10">
        <v>0</v>
      </c>
      <c r="BN28" s="10">
        <v>0</v>
      </c>
      <c r="BO28" s="18">
        <f t="shared" si="6"/>
        <v>0</v>
      </c>
      <c r="BP28" s="18">
        <f t="shared" si="7"/>
        <v>-9.808331924432423E-11</v>
      </c>
      <c r="BQ28" s="18">
        <f t="shared" si="4"/>
        <v>0</v>
      </c>
      <c r="BR28" s="18">
        <f t="shared" si="5"/>
        <v>2.4158453015843406E-13</v>
      </c>
      <c r="BS28" s="18"/>
      <c r="BT28" s="18"/>
      <c r="BU28" s="18"/>
      <c r="BV28" s="18"/>
    </row>
    <row r="29" spans="1:74" s="11" customFormat="1" ht="27" customHeight="1" x14ac:dyDescent="0.25">
      <c r="A29" s="66" t="s">
        <v>28</v>
      </c>
      <c r="B29" s="1">
        <f t="shared" si="8"/>
        <v>22</v>
      </c>
      <c r="C29" s="20" t="s">
        <v>2058</v>
      </c>
      <c r="D29" s="20" t="s">
        <v>2069</v>
      </c>
      <c r="E29" s="65" t="s">
        <v>23</v>
      </c>
      <c r="F29" s="19" t="s">
        <v>2070</v>
      </c>
      <c r="G29" s="9">
        <v>5074</v>
      </c>
      <c r="H29" s="9">
        <v>1121668.4587969801</v>
      </c>
      <c r="I29" s="9">
        <v>86</v>
      </c>
      <c r="J29" s="9">
        <v>1130.4237744599995</v>
      </c>
      <c r="K29" s="10">
        <v>83</v>
      </c>
      <c r="L29" s="10">
        <v>1036731.3107955898</v>
      </c>
      <c r="M29" s="10">
        <v>0</v>
      </c>
      <c r="N29" s="10">
        <v>0</v>
      </c>
      <c r="O29" s="10">
        <v>63</v>
      </c>
      <c r="P29" s="10">
        <v>5089.3413508499998</v>
      </c>
      <c r="Q29" s="10">
        <v>0</v>
      </c>
      <c r="R29" s="10">
        <v>0</v>
      </c>
      <c r="S29" s="10">
        <v>5</v>
      </c>
      <c r="T29" s="10">
        <v>3793.4964305900003</v>
      </c>
      <c r="U29" s="10">
        <v>0</v>
      </c>
      <c r="V29" s="10">
        <v>0</v>
      </c>
      <c r="W29" s="10">
        <v>2</v>
      </c>
      <c r="X29" s="10">
        <v>1585.0688888299999</v>
      </c>
      <c r="Y29" s="10">
        <v>0</v>
      </c>
      <c r="Z29" s="10">
        <v>0</v>
      </c>
      <c r="AA29" s="10">
        <v>3</v>
      </c>
      <c r="AB29" s="10">
        <v>837.96959488000005</v>
      </c>
      <c r="AC29" s="10">
        <v>1</v>
      </c>
      <c r="AD29" s="10">
        <v>5.9323112300000007</v>
      </c>
      <c r="AE29" s="10">
        <v>0</v>
      </c>
      <c r="AF29" s="10">
        <v>0</v>
      </c>
      <c r="AG29" s="10">
        <v>0</v>
      </c>
      <c r="AH29" s="10">
        <v>0</v>
      </c>
      <c r="AI29" s="10">
        <v>3</v>
      </c>
      <c r="AJ29" s="10">
        <v>1741.1404075599999</v>
      </c>
      <c r="AK29" s="10">
        <v>0</v>
      </c>
      <c r="AL29" s="10">
        <v>0</v>
      </c>
      <c r="AM29" s="10">
        <v>2762</v>
      </c>
      <c r="AN29" s="10">
        <v>50210.891532649941</v>
      </c>
      <c r="AO29" s="10">
        <v>2</v>
      </c>
      <c r="AP29" s="10">
        <v>17.477215210000001</v>
      </c>
      <c r="AQ29" s="10">
        <v>869</v>
      </c>
      <c r="AR29" s="10">
        <v>9650.1713715900078</v>
      </c>
      <c r="AS29" s="10">
        <v>19</v>
      </c>
      <c r="AT29" s="10">
        <v>195.14296635999997</v>
      </c>
      <c r="AU29" s="10">
        <v>1064</v>
      </c>
      <c r="AV29" s="10">
        <v>8886.9512705200013</v>
      </c>
      <c r="AW29" s="10">
        <v>44</v>
      </c>
      <c r="AX29" s="10">
        <v>736.05024348999984</v>
      </c>
      <c r="AY29" s="10">
        <v>214</v>
      </c>
      <c r="AZ29" s="10">
        <v>2788.2803635199994</v>
      </c>
      <c r="BA29" s="10">
        <v>19</v>
      </c>
      <c r="BB29" s="10">
        <v>166.82145169999998</v>
      </c>
      <c r="BC29" s="10">
        <v>6</v>
      </c>
      <c r="BD29" s="10">
        <v>353.83679040000004</v>
      </c>
      <c r="BE29" s="10">
        <v>1</v>
      </c>
      <c r="BF29" s="10">
        <v>8.9995864700000006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8">
        <f t="shared" si="6"/>
        <v>0</v>
      </c>
      <c r="BP29" s="18">
        <f t="shared" si="7"/>
        <v>3.12070369545836E-10</v>
      </c>
      <c r="BQ29" s="18">
        <f t="shared" si="4"/>
        <v>0</v>
      </c>
      <c r="BR29" s="18">
        <f t="shared" si="5"/>
        <v>-2.5934809855243657E-13</v>
      </c>
      <c r="BS29" s="18"/>
      <c r="BT29" s="18"/>
      <c r="BU29" s="18"/>
      <c r="BV29" s="18"/>
    </row>
    <row r="30" spans="1:74" s="11" customFormat="1" ht="27" customHeight="1" x14ac:dyDescent="0.25">
      <c r="A30" s="66" t="s">
        <v>28</v>
      </c>
      <c r="B30" s="1">
        <f t="shared" si="8"/>
        <v>23</v>
      </c>
      <c r="C30" s="20" t="s">
        <v>2058</v>
      </c>
      <c r="D30" s="20" t="s">
        <v>2071</v>
      </c>
      <c r="E30" s="65" t="s">
        <v>16</v>
      </c>
      <c r="F30" s="19" t="s">
        <v>2035</v>
      </c>
      <c r="G30" s="9">
        <v>7407</v>
      </c>
      <c r="H30" s="9">
        <v>3505662.7165435702</v>
      </c>
      <c r="I30" s="9">
        <v>782</v>
      </c>
      <c r="J30" s="9">
        <v>43132.393528429995</v>
      </c>
      <c r="K30" s="10">
        <v>386</v>
      </c>
      <c r="L30" s="10">
        <v>1258375.7131231406</v>
      </c>
      <c r="M30" s="10">
        <v>4</v>
      </c>
      <c r="N30" s="10">
        <v>2469.6411958000003</v>
      </c>
      <c r="O30" s="10">
        <v>134</v>
      </c>
      <c r="P30" s="10">
        <v>441438.29944939999</v>
      </c>
      <c r="Q30" s="10">
        <v>10</v>
      </c>
      <c r="R30" s="10">
        <v>7419.7802229499994</v>
      </c>
      <c r="S30" s="10">
        <v>33</v>
      </c>
      <c r="T30" s="10">
        <v>1251518.18401619</v>
      </c>
      <c r="U30" s="10">
        <v>7</v>
      </c>
      <c r="V30" s="10">
        <v>17752.261699999999</v>
      </c>
      <c r="W30" s="10">
        <v>16</v>
      </c>
      <c r="X30" s="10">
        <v>277035.38108351012</v>
      </c>
      <c r="Y30" s="10">
        <v>1</v>
      </c>
      <c r="Z30" s="10">
        <v>154.74984506000001</v>
      </c>
      <c r="AA30" s="10">
        <v>38</v>
      </c>
      <c r="AB30" s="10">
        <v>120594.60857886</v>
      </c>
      <c r="AC30" s="10">
        <v>4</v>
      </c>
      <c r="AD30" s="10">
        <v>928.0329156900001</v>
      </c>
      <c r="AE30" s="10">
        <v>11</v>
      </c>
      <c r="AF30" s="10">
        <v>12419.976158360001</v>
      </c>
      <c r="AG30" s="10">
        <v>1</v>
      </c>
      <c r="AH30" s="10">
        <v>29.310135539999997</v>
      </c>
      <c r="AI30" s="10">
        <v>3</v>
      </c>
      <c r="AJ30" s="10">
        <v>1144.4364786600001</v>
      </c>
      <c r="AK30" s="10">
        <v>1</v>
      </c>
      <c r="AL30" s="10">
        <v>280.98620019999998</v>
      </c>
      <c r="AM30" s="10">
        <v>3482</v>
      </c>
      <c r="AN30" s="10">
        <v>81188.70231856966</v>
      </c>
      <c r="AO30" s="10">
        <v>89</v>
      </c>
      <c r="AP30" s="10">
        <v>2712.3430157900007</v>
      </c>
      <c r="AQ30" s="10">
        <v>784</v>
      </c>
      <c r="AR30" s="10">
        <v>11352.448981489997</v>
      </c>
      <c r="AS30" s="10">
        <v>136</v>
      </c>
      <c r="AT30" s="10">
        <v>1753.5513791900016</v>
      </c>
      <c r="AU30" s="10">
        <v>1703</v>
      </c>
      <c r="AV30" s="10">
        <v>30033.027628449981</v>
      </c>
      <c r="AW30" s="10">
        <v>313</v>
      </c>
      <c r="AX30" s="10">
        <v>6815.3798547199976</v>
      </c>
      <c r="AY30" s="10">
        <v>784</v>
      </c>
      <c r="AZ30" s="10">
        <v>19011.762338710025</v>
      </c>
      <c r="BA30" s="10">
        <v>198</v>
      </c>
      <c r="BB30" s="10">
        <v>2721.4819997600007</v>
      </c>
      <c r="BC30" s="10">
        <v>31</v>
      </c>
      <c r="BD30" s="10">
        <v>1513.1990331400004</v>
      </c>
      <c r="BE30" s="10">
        <v>18</v>
      </c>
      <c r="BF30" s="10">
        <v>94.875063730000008</v>
      </c>
      <c r="BG30" s="10">
        <v>0</v>
      </c>
      <c r="BH30" s="10">
        <v>0</v>
      </c>
      <c r="BI30" s="10">
        <v>0</v>
      </c>
      <c r="BJ30" s="10">
        <v>0</v>
      </c>
      <c r="BK30" s="10">
        <v>2</v>
      </c>
      <c r="BL30" s="10">
        <v>36.977355090000003</v>
      </c>
      <c r="BM30" s="10">
        <v>0</v>
      </c>
      <c r="BN30" s="10">
        <v>0</v>
      </c>
      <c r="BO30" s="18">
        <f t="shared" si="6"/>
        <v>0</v>
      </c>
      <c r="BP30" s="18">
        <f t="shared" si="7"/>
        <v>-5.2779114412260242E-10</v>
      </c>
      <c r="BQ30" s="18">
        <f t="shared" si="4"/>
        <v>0</v>
      </c>
      <c r="BR30" s="18">
        <f t="shared" si="5"/>
        <v>-8.2280848801019602E-12</v>
      </c>
      <c r="BS30" s="18"/>
      <c r="BT30" s="18"/>
      <c r="BU30" s="18"/>
      <c r="BV30" s="18"/>
    </row>
    <row r="31" spans="1:74" s="11" customFormat="1" ht="27" customHeight="1" x14ac:dyDescent="0.25">
      <c r="A31" s="66" t="s">
        <v>28</v>
      </c>
      <c r="B31" s="1">
        <f t="shared" si="8"/>
        <v>24</v>
      </c>
      <c r="C31" s="20" t="s">
        <v>2058</v>
      </c>
      <c r="D31" s="20" t="s">
        <v>2072</v>
      </c>
      <c r="E31" s="65" t="s">
        <v>12</v>
      </c>
      <c r="F31" s="19" t="s">
        <v>2073</v>
      </c>
      <c r="G31" s="9">
        <v>5848</v>
      </c>
      <c r="H31" s="9">
        <v>182580.73983154001</v>
      </c>
      <c r="I31" s="9">
        <v>598</v>
      </c>
      <c r="J31" s="9">
        <v>19558.184871350004</v>
      </c>
      <c r="K31" s="10">
        <v>214</v>
      </c>
      <c r="L31" s="10">
        <v>38408.131673569995</v>
      </c>
      <c r="M31" s="10">
        <v>2</v>
      </c>
      <c r="N31" s="10">
        <v>415.61622906000002</v>
      </c>
      <c r="O31" s="10">
        <v>136</v>
      </c>
      <c r="P31" s="10">
        <v>23954.19545598</v>
      </c>
      <c r="Q31" s="10">
        <v>4</v>
      </c>
      <c r="R31" s="10">
        <v>745.94008926999993</v>
      </c>
      <c r="S31" s="10">
        <v>11</v>
      </c>
      <c r="T31" s="10">
        <v>5226.0417454199996</v>
      </c>
      <c r="U31" s="10">
        <v>4</v>
      </c>
      <c r="V31" s="10">
        <v>2070.2043007000002</v>
      </c>
      <c r="W31" s="10">
        <v>4</v>
      </c>
      <c r="X31" s="10">
        <v>1913.19364438</v>
      </c>
      <c r="Y31" s="10">
        <v>2</v>
      </c>
      <c r="Z31" s="10">
        <v>585.44868021000002</v>
      </c>
      <c r="AA31" s="10">
        <v>12</v>
      </c>
      <c r="AB31" s="10">
        <v>5958.8635571699988</v>
      </c>
      <c r="AC31" s="10">
        <v>2</v>
      </c>
      <c r="AD31" s="10">
        <v>1418.71785798</v>
      </c>
      <c r="AE31" s="10">
        <v>11</v>
      </c>
      <c r="AF31" s="10">
        <v>6841.9065685499991</v>
      </c>
      <c r="AG31" s="10">
        <v>4</v>
      </c>
      <c r="AH31" s="10">
        <v>477.58326993999998</v>
      </c>
      <c r="AI31" s="10">
        <v>3</v>
      </c>
      <c r="AJ31" s="10">
        <v>5967.9314195699999</v>
      </c>
      <c r="AK31" s="10">
        <v>2</v>
      </c>
      <c r="AL31" s="10">
        <v>4835.5109736099994</v>
      </c>
      <c r="AM31" s="10">
        <v>2632</v>
      </c>
      <c r="AN31" s="10">
        <v>56002.455556939909</v>
      </c>
      <c r="AO31" s="10">
        <v>51</v>
      </c>
      <c r="AP31" s="10">
        <v>901.84119896999994</v>
      </c>
      <c r="AQ31" s="10">
        <v>1088</v>
      </c>
      <c r="AR31" s="10">
        <v>16514.819225970004</v>
      </c>
      <c r="AS31" s="10">
        <v>240</v>
      </c>
      <c r="AT31" s="10">
        <v>3555.6996631100019</v>
      </c>
      <c r="AU31" s="10">
        <v>1272</v>
      </c>
      <c r="AV31" s="10">
        <v>14942.92896008999</v>
      </c>
      <c r="AW31" s="10">
        <v>152</v>
      </c>
      <c r="AX31" s="10">
        <v>3027.014043849998</v>
      </c>
      <c r="AY31" s="10">
        <v>447</v>
      </c>
      <c r="AZ31" s="10">
        <v>6521.4064918300055</v>
      </c>
      <c r="BA31" s="10">
        <v>121</v>
      </c>
      <c r="BB31" s="10">
        <v>1399.0456492100006</v>
      </c>
      <c r="BC31" s="10">
        <v>16</v>
      </c>
      <c r="BD31" s="10">
        <v>328.03182678999997</v>
      </c>
      <c r="BE31" s="10">
        <v>13</v>
      </c>
      <c r="BF31" s="10">
        <v>125.12412343000001</v>
      </c>
      <c r="BG31" s="10">
        <v>0</v>
      </c>
      <c r="BH31" s="10">
        <v>0</v>
      </c>
      <c r="BI31" s="10">
        <v>0</v>
      </c>
      <c r="BJ31" s="10">
        <v>0</v>
      </c>
      <c r="BK31" s="10">
        <v>2</v>
      </c>
      <c r="BL31" s="10">
        <v>0.83370527999999999</v>
      </c>
      <c r="BM31" s="10">
        <v>1</v>
      </c>
      <c r="BN31" s="10">
        <v>0.43879201000000001</v>
      </c>
      <c r="BO31" s="18">
        <f t="shared" si="6"/>
        <v>0</v>
      </c>
      <c r="BP31" s="18">
        <f t="shared" si="7"/>
        <v>1.3006151711181246E-10</v>
      </c>
      <c r="BQ31" s="18">
        <f t="shared" si="4"/>
        <v>0</v>
      </c>
      <c r="BR31" s="18">
        <f t="shared" si="5"/>
        <v>5.7698290589769385E-12</v>
      </c>
      <c r="BS31" s="18"/>
      <c r="BT31" s="18"/>
      <c r="BU31" s="18"/>
      <c r="BV31" s="18"/>
    </row>
    <row r="32" spans="1:74" s="11" customFormat="1" ht="27" customHeight="1" x14ac:dyDescent="0.25">
      <c r="A32" s="66" t="s">
        <v>28</v>
      </c>
      <c r="B32" s="1">
        <f t="shared" si="8"/>
        <v>25</v>
      </c>
      <c r="C32" s="20" t="s">
        <v>2058</v>
      </c>
      <c r="D32" s="20" t="s">
        <v>2074</v>
      </c>
      <c r="E32" s="65" t="s">
        <v>1</v>
      </c>
      <c r="F32" s="19" t="s">
        <v>2075</v>
      </c>
      <c r="G32" s="9">
        <v>7253</v>
      </c>
      <c r="H32" s="9">
        <v>288486.10829109984</v>
      </c>
      <c r="I32" s="9">
        <v>369</v>
      </c>
      <c r="J32" s="9">
        <v>5629.5927999300002</v>
      </c>
      <c r="K32" s="10">
        <v>277</v>
      </c>
      <c r="L32" s="10">
        <v>68469.372122970031</v>
      </c>
      <c r="M32" s="10">
        <v>0</v>
      </c>
      <c r="N32" s="10">
        <v>0</v>
      </c>
      <c r="O32" s="10">
        <v>107</v>
      </c>
      <c r="P32" s="10">
        <v>12424.785272020001</v>
      </c>
      <c r="Q32" s="10">
        <v>0</v>
      </c>
      <c r="R32" s="10">
        <v>0</v>
      </c>
      <c r="S32" s="10">
        <v>25</v>
      </c>
      <c r="T32" s="10">
        <v>67153.774748439988</v>
      </c>
      <c r="U32" s="10">
        <v>1</v>
      </c>
      <c r="V32" s="10">
        <v>842.53750000000002</v>
      </c>
      <c r="W32" s="10">
        <v>5</v>
      </c>
      <c r="X32" s="10">
        <v>20168.044708989997</v>
      </c>
      <c r="Y32" s="10">
        <v>0</v>
      </c>
      <c r="Z32" s="10">
        <v>0</v>
      </c>
      <c r="AA32" s="10">
        <v>5</v>
      </c>
      <c r="AB32" s="10">
        <v>16499.459620149999</v>
      </c>
      <c r="AC32" s="10">
        <v>2</v>
      </c>
      <c r="AD32" s="10">
        <v>24.373909780000002</v>
      </c>
      <c r="AE32" s="10">
        <v>2</v>
      </c>
      <c r="AF32" s="10">
        <v>158.06719187000002</v>
      </c>
      <c r="AG32" s="10">
        <v>2</v>
      </c>
      <c r="AH32" s="10">
        <v>158.06719187000002</v>
      </c>
      <c r="AI32" s="10">
        <v>7</v>
      </c>
      <c r="AJ32" s="10">
        <v>1358.9247659299999</v>
      </c>
      <c r="AK32" s="10">
        <v>4</v>
      </c>
      <c r="AL32" s="10">
        <v>500.86777021000006</v>
      </c>
      <c r="AM32" s="10">
        <v>3981</v>
      </c>
      <c r="AN32" s="10">
        <v>74953.376607179729</v>
      </c>
      <c r="AO32" s="10">
        <v>83</v>
      </c>
      <c r="AP32" s="10">
        <v>1159.7245481300004</v>
      </c>
      <c r="AQ32" s="10">
        <v>1663</v>
      </c>
      <c r="AR32" s="10">
        <v>15649.419777340032</v>
      </c>
      <c r="AS32" s="10">
        <v>202</v>
      </c>
      <c r="AT32" s="10">
        <v>2309.7928262899977</v>
      </c>
      <c r="AU32" s="10">
        <v>893</v>
      </c>
      <c r="AV32" s="10">
        <v>8721.6664181400229</v>
      </c>
      <c r="AW32" s="10">
        <v>29</v>
      </c>
      <c r="AX32" s="10">
        <v>287.69379048000008</v>
      </c>
      <c r="AY32" s="10">
        <v>280</v>
      </c>
      <c r="AZ32" s="10">
        <v>2718.3617114900007</v>
      </c>
      <c r="BA32" s="10">
        <v>44</v>
      </c>
      <c r="BB32" s="10">
        <v>322.81258592999984</v>
      </c>
      <c r="BC32" s="10">
        <v>7</v>
      </c>
      <c r="BD32" s="10">
        <v>182.34952769999998</v>
      </c>
      <c r="BE32" s="10">
        <v>2</v>
      </c>
      <c r="BF32" s="10">
        <v>23.722677240000003</v>
      </c>
      <c r="BG32" s="10">
        <v>0</v>
      </c>
      <c r="BH32" s="10">
        <v>0</v>
      </c>
      <c r="BI32" s="10">
        <v>0</v>
      </c>
      <c r="BJ32" s="10">
        <v>0</v>
      </c>
      <c r="BK32" s="10">
        <v>1</v>
      </c>
      <c r="BL32" s="10">
        <v>28.50581888</v>
      </c>
      <c r="BM32" s="10">
        <v>0</v>
      </c>
      <c r="BN32" s="10">
        <v>0</v>
      </c>
      <c r="BO32" s="18">
        <f t="shared" si="6"/>
        <v>0</v>
      </c>
      <c r="BP32" s="18">
        <f t="shared" si="7"/>
        <v>4.1460168631601846E-11</v>
      </c>
      <c r="BQ32" s="18">
        <f t="shared" si="4"/>
        <v>0</v>
      </c>
      <c r="BR32" s="18">
        <f t="shared" si="5"/>
        <v>1.4139800441625994E-12</v>
      </c>
      <c r="BS32" s="18"/>
      <c r="BT32" s="18"/>
      <c r="BU32" s="18"/>
      <c r="BV32" s="18"/>
    </row>
    <row r="33" spans="1:74" s="11" customFormat="1" ht="27" customHeight="1" x14ac:dyDescent="0.25">
      <c r="A33" s="66" t="s">
        <v>28</v>
      </c>
      <c r="B33" s="1">
        <f t="shared" si="8"/>
        <v>26</v>
      </c>
      <c r="C33" s="20" t="s">
        <v>2058</v>
      </c>
      <c r="D33" s="20" t="s">
        <v>2076</v>
      </c>
      <c r="E33" s="65" t="s">
        <v>17</v>
      </c>
      <c r="F33" s="19" t="s">
        <v>2077</v>
      </c>
      <c r="G33" s="9">
        <v>6881</v>
      </c>
      <c r="H33" s="9">
        <v>287334.53682876989</v>
      </c>
      <c r="I33" s="9">
        <v>101</v>
      </c>
      <c r="J33" s="9">
        <v>5746.3539814899996</v>
      </c>
      <c r="K33" s="10">
        <v>104</v>
      </c>
      <c r="L33" s="10">
        <v>18205.744057039999</v>
      </c>
      <c r="M33" s="10">
        <v>0</v>
      </c>
      <c r="N33" s="10">
        <v>0</v>
      </c>
      <c r="O33" s="10">
        <v>156</v>
      </c>
      <c r="P33" s="10">
        <v>29198.062300520003</v>
      </c>
      <c r="Q33" s="10">
        <v>0</v>
      </c>
      <c r="R33" s="10">
        <v>0</v>
      </c>
      <c r="S33" s="10">
        <v>10</v>
      </c>
      <c r="T33" s="10">
        <v>2566.7168819900003</v>
      </c>
      <c r="U33" s="10">
        <v>0</v>
      </c>
      <c r="V33" s="10">
        <v>0</v>
      </c>
      <c r="W33" s="10">
        <v>4</v>
      </c>
      <c r="X33" s="10">
        <v>7784.6023388900003</v>
      </c>
      <c r="Y33" s="10">
        <v>0</v>
      </c>
      <c r="Z33" s="10">
        <v>0</v>
      </c>
      <c r="AA33" s="10">
        <v>6</v>
      </c>
      <c r="AB33" s="10">
        <v>41799.603959569999</v>
      </c>
      <c r="AC33" s="10">
        <v>0</v>
      </c>
      <c r="AD33" s="10">
        <v>0</v>
      </c>
      <c r="AE33" s="10">
        <v>7</v>
      </c>
      <c r="AF33" s="10">
        <v>49084.015134259993</v>
      </c>
      <c r="AG33" s="10">
        <v>0</v>
      </c>
      <c r="AH33" s="10">
        <v>0</v>
      </c>
      <c r="AI33" s="10">
        <v>4</v>
      </c>
      <c r="AJ33" s="10">
        <v>5156.7584262499986</v>
      </c>
      <c r="AK33" s="10">
        <v>3</v>
      </c>
      <c r="AL33" s="10">
        <v>4686.1001832699994</v>
      </c>
      <c r="AM33" s="10">
        <v>2692</v>
      </c>
      <c r="AN33" s="10">
        <v>79825.318920940234</v>
      </c>
      <c r="AO33" s="10">
        <v>9</v>
      </c>
      <c r="AP33" s="10">
        <v>212.13603677</v>
      </c>
      <c r="AQ33" s="10">
        <v>1228</v>
      </c>
      <c r="AR33" s="10">
        <v>21095.516306210036</v>
      </c>
      <c r="AS33" s="10">
        <v>39</v>
      </c>
      <c r="AT33" s="10">
        <v>427.75340832999996</v>
      </c>
      <c r="AU33" s="10">
        <v>1840</v>
      </c>
      <c r="AV33" s="10">
        <v>19395.489317409938</v>
      </c>
      <c r="AW33" s="10">
        <v>18</v>
      </c>
      <c r="AX33" s="10">
        <v>191.63100184000001</v>
      </c>
      <c r="AY33" s="10">
        <v>808</v>
      </c>
      <c r="AZ33" s="10">
        <v>12201.589738219982</v>
      </c>
      <c r="BA33" s="10">
        <v>27</v>
      </c>
      <c r="BB33" s="10">
        <v>190.60009517999995</v>
      </c>
      <c r="BC33" s="10">
        <v>22</v>
      </c>
      <c r="BD33" s="10">
        <v>1021.1194474700002</v>
      </c>
      <c r="BE33" s="10">
        <v>5</v>
      </c>
      <c r="BF33" s="10">
        <v>38.133256100000004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8">
        <f t="shared" si="6"/>
        <v>0</v>
      </c>
      <c r="BP33" s="18">
        <f t="shared" si="7"/>
        <v>-3.0888713808963075E-10</v>
      </c>
      <c r="BQ33" s="18">
        <f t="shared" si="4"/>
        <v>0</v>
      </c>
      <c r="BR33" s="18">
        <f t="shared" si="5"/>
        <v>1.7763568394002505E-13</v>
      </c>
      <c r="BS33" s="18"/>
      <c r="BT33" s="18"/>
      <c r="BU33" s="18"/>
      <c r="BV33" s="18"/>
    </row>
    <row r="34" spans="1:74" s="11" customFormat="1" ht="27" customHeight="1" x14ac:dyDescent="0.25">
      <c r="A34" s="66" t="s">
        <v>28</v>
      </c>
      <c r="B34" s="1">
        <f t="shared" si="8"/>
        <v>27</v>
      </c>
      <c r="C34" s="20" t="s">
        <v>2058</v>
      </c>
      <c r="D34" s="20" t="s">
        <v>2078</v>
      </c>
      <c r="E34" s="65" t="s">
        <v>18</v>
      </c>
      <c r="F34" s="19" t="s">
        <v>2079</v>
      </c>
      <c r="G34" s="9">
        <v>7696</v>
      </c>
      <c r="H34" s="9">
        <v>275719.57289698994</v>
      </c>
      <c r="I34" s="9">
        <v>1460</v>
      </c>
      <c r="J34" s="9">
        <v>22754.704294850002</v>
      </c>
      <c r="K34" s="10">
        <v>123</v>
      </c>
      <c r="L34" s="10">
        <v>32036.738882830003</v>
      </c>
      <c r="M34" s="10">
        <v>0</v>
      </c>
      <c r="N34" s="10">
        <v>0</v>
      </c>
      <c r="O34" s="10">
        <v>63</v>
      </c>
      <c r="P34" s="10">
        <v>55464.415509720006</v>
      </c>
      <c r="Q34" s="10">
        <v>1</v>
      </c>
      <c r="R34" s="10">
        <v>123.6414561</v>
      </c>
      <c r="S34" s="10">
        <v>7</v>
      </c>
      <c r="T34" s="10">
        <v>34851.580989820002</v>
      </c>
      <c r="U34" s="10">
        <v>1</v>
      </c>
      <c r="V34" s="10">
        <v>399.97308079999999</v>
      </c>
      <c r="W34" s="10">
        <v>4</v>
      </c>
      <c r="X34" s="10">
        <v>18757.016125510003</v>
      </c>
      <c r="Y34" s="10">
        <v>0</v>
      </c>
      <c r="Z34" s="10">
        <v>0</v>
      </c>
      <c r="AA34" s="10">
        <v>56</v>
      </c>
      <c r="AB34" s="10">
        <v>5546.3532866099986</v>
      </c>
      <c r="AC34" s="10">
        <v>1</v>
      </c>
      <c r="AD34" s="10">
        <v>4.9619999999999997</v>
      </c>
      <c r="AE34" s="10">
        <v>8</v>
      </c>
      <c r="AF34" s="10">
        <v>5766.2657996800017</v>
      </c>
      <c r="AG34" s="10">
        <v>1</v>
      </c>
      <c r="AH34" s="10">
        <v>69.190284680000005</v>
      </c>
      <c r="AI34" s="10">
        <v>2</v>
      </c>
      <c r="AJ34" s="10">
        <v>98.207082020000016</v>
      </c>
      <c r="AK34" s="10">
        <v>1</v>
      </c>
      <c r="AL34" s="10">
        <v>5.34067179</v>
      </c>
      <c r="AM34" s="10">
        <v>3490</v>
      </c>
      <c r="AN34" s="10">
        <v>71057.442096680039</v>
      </c>
      <c r="AO34" s="10">
        <v>116</v>
      </c>
      <c r="AP34" s="10">
        <v>1678.91579512</v>
      </c>
      <c r="AQ34" s="10">
        <v>1280</v>
      </c>
      <c r="AR34" s="10">
        <v>12517.53477208</v>
      </c>
      <c r="AS34" s="10">
        <v>374</v>
      </c>
      <c r="AT34" s="10">
        <v>3960.5984062800003</v>
      </c>
      <c r="AU34" s="10">
        <v>1751</v>
      </c>
      <c r="AV34" s="10">
        <v>26359.137483259972</v>
      </c>
      <c r="AW34" s="10">
        <v>536</v>
      </c>
      <c r="AX34" s="10">
        <v>11291.443991900011</v>
      </c>
      <c r="AY34" s="10">
        <v>883</v>
      </c>
      <c r="AZ34" s="10">
        <v>12392.540202350001</v>
      </c>
      <c r="BA34" s="10">
        <v>407</v>
      </c>
      <c r="BB34" s="10">
        <v>5065.2096397800033</v>
      </c>
      <c r="BC34" s="10">
        <v>28</v>
      </c>
      <c r="BD34" s="10">
        <v>744.06477975999985</v>
      </c>
      <c r="BE34" s="10">
        <v>22</v>
      </c>
      <c r="BF34" s="10">
        <v>155.4289684</v>
      </c>
      <c r="BG34" s="10">
        <v>1</v>
      </c>
      <c r="BH34" s="10">
        <v>128.27588667000001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8">
        <f t="shared" si="6"/>
        <v>0</v>
      </c>
      <c r="BP34" s="18">
        <f t="shared" si="7"/>
        <v>-1.2349232747510541E-10</v>
      </c>
      <c r="BQ34" s="18">
        <f t="shared" si="4"/>
        <v>0</v>
      </c>
      <c r="BR34" s="18">
        <f t="shared" si="5"/>
        <v>-9.5212726591853425E-12</v>
      </c>
      <c r="BS34" s="18"/>
      <c r="BT34" s="18"/>
      <c r="BU34" s="18"/>
      <c r="BV34" s="18"/>
    </row>
    <row r="35" spans="1:74" s="11" customFormat="1" ht="27" customHeight="1" x14ac:dyDescent="0.25">
      <c r="A35" s="66" t="s">
        <v>29</v>
      </c>
      <c r="B35" s="1">
        <f t="shared" si="8"/>
        <v>28</v>
      </c>
      <c r="C35" s="20" t="s">
        <v>2080</v>
      </c>
      <c r="D35" s="20" t="s">
        <v>2092</v>
      </c>
      <c r="E35" s="65">
        <v>10443</v>
      </c>
      <c r="F35" s="19" t="s">
        <v>2047</v>
      </c>
      <c r="G35" s="9">
        <v>1432</v>
      </c>
      <c r="H35" s="9">
        <v>20070.410811699996</v>
      </c>
      <c r="I35" s="9">
        <v>279</v>
      </c>
      <c r="J35" s="9">
        <v>5405.5844088799995</v>
      </c>
      <c r="K35" s="10">
        <v>11</v>
      </c>
      <c r="L35" s="10">
        <v>719.65636400000005</v>
      </c>
      <c r="M35" s="10">
        <v>2</v>
      </c>
      <c r="N35" s="10">
        <v>30.683636</v>
      </c>
      <c r="O35" s="10">
        <v>20</v>
      </c>
      <c r="P35" s="10">
        <v>2084.3696864099998</v>
      </c>
      <c r="Q35" s="10">
        <v>2</v>
      </c>
      <c r="R35" s="10">
        <v>631.55516735000003</v>
      </c>
      <c r="S35" s="10">
        <v>0</v>
      </c>
      <c r="T35" s="10">
        <v>0</v>
      </c>
      <c r="U35" s="10">
        <v>0</v>
      </c>
      <c r="V35" s="10">
        <v>0</v>
      </c>
      <c r="W35" s="10">
        <v>2</v>
      </c>
      <c r="X35" s="10">
        <v>2.6921511000000002</v>
      </c>
      <c r="Y35" s="10">
        <v>0</v>
      </c>
      <c r="Z35" s="10">
        <v>0</v>
      </c>
      <c r="AA35" s="10">
        <v>3</v>
      </c>
      <c r="AB35" s="10">
        <v>13.6990251</v>
      </c>
      <c r="AC35" s="10">
        <v>3</v>
      </c>
      <c r="AD35" s="10">
        <v>13.6990251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467</v>
      </c>
      <c r="AN35" s="10">
        <v>7102.9860960500046</v>
      </c>
      <c r="AO35" s="10">
        <v>14</v>
      </c>
      <c r="AP35" s="10">
        <v>317.17822581999997</v>
      </c>
      <c r="AQ35" s="10">
        <v>460</v>
      </c>
      <c r="AR35" s="10">
        <v>4568.8908757800036</v>
      </c>
      <c r="AS35" s="10">
        <v>84</v>
      </c>
      <c r="AT35" s="10">
        <v>1086.7109406399995</v>
      </c>
      <c r="AU35" s="10">
        <v>378</v>
      </c>
      <c r="AV35" s="10">
        <v>4801.1122200399986</v>
      </c>
      <c r="AW35" s="10">
        <v>120</v>
      </c>
      <c r="AX35" s="10">
        <v>2678.3071379500002</v>
      </c>
      <c r="AY35" s="10">
        <v>88</v>
      </c>
      <c r="AZ35" s="10">
        <v>753.24580005000007</v>
      </c>
      <c r="BA35" s="10">
        <v>53</v>
      </c>
      <c r="BB35" s="10">
        <v>646.80375292000019</v>
      </c>
      <c r="BC35" s="10">
        <v>3</v>
      </c>
      <c r="BD35" s="10">
        <v>23.758593170000001</v>
      </c>
      <c r="BE35" s="10">
        <v>1</v>
      </c>
      <c r="BF35" s="10">
        <v>0.64652310000000002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8">
        <f t="shared" si="6"/>
        <v>0</v>
      </c>
      <c r="BP35" s="18">
        <f t="shared" si="7"/>
        <v>-6.7821304128301563E-12</v>
      </c>
      <c r="BQ35" s="18">
        <f t="shared" si="4"/>
        <v>0</v>
      </c>
      <c r="BR35" s="18">
        <f t="shared" si="5"/>
        <v>-3.7347902548390266E-13</v>
      </c>
      <c r="BS35" s="18"/>
      <c r="BT35" s="18"/>
      <c r="BU35" s="18"/>
      <c r="BV35" s="18"/>
    </row>
    <row r="36" spans="1:74" s="11" customFormat="1" ht="27" customHeight="1" x14ac:dyDescent="0.25">
      <c r="A36" s="66" t="s">
        <v>29</v>
      </c>
      <c r="B36" s="1">
        <f t="shared" si="8"/>
        <v>29</v>
      </c>
      <c r="C36" s="20" t="s">
        <v>2080</v>
      </c>
      <c r="D36" s="20" t="s">
        <v>2093</v>
      </c>
      <c r="E36" s="65">
        <v>10447</v>
      </c>
      <c r="F36" s="19" t="s">
        <v>2075</v>
      </c>
      <c r="G36" s="9">
        <v>2328</v>
      </c>
      <c r="H36" s="9">
        <v>38264.333268450027</v>
      </c>
      <c r="I36" s="9">
        <v>42</v>
      </c>
      <c r="J36" s="9">
        <v>773.76229042999978</v>
      </c>
      <c r="K36" s="10">
        <v>21</v>
      </c>
      <c r="L36" s="10">
        <v>1875.2975485499999</v>
      </c>
      <c r="M36" s="10">
        <v>0</v>
      </c>
      <c r="N36" s="10">
        <v>0</v>
      </c>
      <c r="O36" s="10">
        <v>23</v>
      </c>
      <c r="P36" s="10">
        <v>1806.0875691400004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1001</v>
      </c>
      <c r="AN36" s="10">
        <v>18396.949593920006</v>
      </c>
      <c r="AO36" s="10">
        <v>0</v>
      </c>
      <c r="AP36" s="10">
        <v>0</v>
      </c>
      <c r="AQ36" s="10">
        <v>981</v>
      </c>
      <c r="AR36" s="10">
        <v>13458.697809150004</v>
      </c>
      <c r="AS36" s="10">
        <v>21</v>
      </c>
      <c r="AT36" s="10">
        <v>420.94033037999998</v>
      </c>
      <c r="AU36" s="10">
        <v>255</v>
      </c>
      <c r="AV36" s="10">
        <v>2620.4610083899993</v>
      </c>
      <c r="AW36" s="10">
        <v>14</v>
      </c>
      <c r="AX36" s="10">
        <v>301.24061204000009</v>
      </c>
      <c r="AY36" s="10">
        <v>46</v>
      </c>
      <c r="AZ36" s="10">
        <v>104.85430944000001</v>
      </c>
      <c r="BA36" s="10">
        <v>7</v>
      </c>
      <c r="BB36" s="10">
        <v>51.581348009999999</v>
      </c>
      <c r="BC36" s="10">
        <v>1</v>
      </c>
      <c r="BD36" s="10">
        <v>1.9854298600000002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8">
        <f t="shared" si="6"/>
        <v>0</v>
      </c>
      <c r="BP36" s="18">
        <f t="shared" si="7"/>
        <v>1.9109824833662969E-11</v>
      </c>
      <c r="BQ36" s="18">
        <f t="shared" si="4"/>
        <v>0</v>
      </c>
      <c r="BR36" s="18">
        <f t="shared" si="5"/>
        <v>-2.8421709430404007E-13</v>
      </c>
      <c r="BS36" s="18"/>
      <c r="BT36" s="18"/>
      <c r="BU36" s="18"/>
      <c r="BV36" s="18"/>
    </row>
    <row r="37" spans="1:74" s="11" customFormat="1" ht="27" customHeight="1" x14ac:dyDescent="0.25">
      <c r="A37" s="66" t="s">
        <v>29</v>
      </c>
      <c r="B37" s="1">
        <f t="shared" si="8"/>
        <v>30</v>
      </c>
      <c r="C37" s="20" t="s">
        <v>2080</v>
      </c>
      <c r="D37" s="20" t="s">
        <v>2088</v>
      </c>
      <c r="E37" s="65">
        <v>11247</v>
      </c>
      <c r="F37" s="19" t="s">
        <v>2049</v>
      </c>
      <c r="G37" s="9">
        <v>1461</v>
      </c>
      <c r="H37" s="9">
        <v>28199.92720877998</v>
      </c>
      <c r="I37" s="9">
        <v>146</v>
      </c>
      <c r="J37" s="9">
        <v>5093.5497794299999</v>
      </c>
      <c r="K37" s="10">
        <v>7</v>
      </c>
      <c r="L37" s="10">
        <v>646.30220654999994</v>
      </c>
      <c r="M37" s="10">
        <v>0</v>
      </c>
      <c r="N37" s="10">
        <v>0</v>
      </c>
      <c r="O37" s="10">
        <v>18</v>
      </c>
      <c r="P37" s="10">
        <v>1834.7863441</v>
      </c>
      <c r="Q37" s="10">
        <v>4</v>
      </c>
      <c r="R37" s="10">
        <v>352.19225834000002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452</v>
      </c>
      <c r="AN37" s="10">
        <v>8985.7243760700039</v>
      </c>
      <c r="AO37" s="10">
        <v>5</v>
      </c>
      <c r="AP37" s="10">
        <v>107.48792021999999</v>
      </c>
      <c r="AQ37" s="10">
        <v>770</v>
      </c>
      <c r="AR37" s="10">
        <v>13661.620895460021</v>
      </c>
      <c r="AS37" s="10">
        <v>112</v>
      </c>
      <c r="AT37" s="10">
        <v>4199.8197317900003</v>
      </c>
      <c r="AU37" s="10">
        <v>181</v>
      </c>
      <c r="AV37" s="10">
        <v>2072.6860385299997</v>
      </c>
      <c r="AW37" s="10">
        <v>22</v>
      </c>
      <c r="AX37" s="10">
        <v>424.47654378999994</v>
      </c>
      <c r="AY37" s="10">
        <v>32</v>
      </c>
      <c r="AZ37" s="10">
        <v>993.55622277999998</v>
      </c>
      <c r="BA37" s="10">
        <v>2</v>
      </c>
      <c r="BB37" s="10">
        <v>4.3221999999999996</v>
      </c>
      <c r="BC37" s="10">
        <v>0</v>
      </c>
      <c r="BD37" s="10">
        <v>0</v>
      </c>
      <c r="BE37" s="10">
        <v>0</v>
      </c>
      <c r="BF37" s="10">
        <v>0</v>
      </c>
      <c r="BG37" s="10">
        <v>1</v>
      </c>
      <c r="BH37" s="10">
        <v>5.2511252900000001</v>
      </c>
      <c r="BI37" s="10">
        <v>1</v>
      </c>
      <c r="BJ37" s="10">
        <v>5.2511252900000001</v>
      </c>
      <c r="BK37" s="10">
        <v>0</v>
      </c>
      <c r="BL37" s="10">
        <v>0</v>
      </c>
      <c r="BM37" s="10">
        <v>0</v>
      </c>
      <c r="BN37" s="10">
        <v>0</v>
      </c>
      <c r="BO37" s="18">
        <f t="shared" si="6"/>
        <v>0</v>
      </c>
      <c r="BP37" s="18">
        <f t="shared" si="7"/>
        <v>-4.5925041547434375E-11</v>
      </c>
      <c r="BQ37" s="18">
        <f t="shared" si="4"/>
        <v>0</v>
      </c>
      <c r="BR37" s="18">
        <f t="shared" si="5"/>
        <v>-3.836930773104541E-13</v>
      </c>
      <c r="BS37" s="18"/>
      <c r="BT37" s="18"/>
      <c r="BU37" s="18"/>
      <c r="BV37" s="18"/>
    </row>
    <row r="38" spans="1:74" s="11" customFormat="1" ht="27" customHeight="1" x14ac:dyDescent="0.25">
      <c r="A38" s="66" t="s">
        <v>29</v>
      </c>
      <c r="B38" s="1">
        <f t="shared" si="8"/>
        <v>31</v>
      </c>
      <c r="C38" s="20" t="s">
        <v>2080</v>
      </c>
      <c r="D38" s="20" t="s">
        <v>2082</v>
      </c>
      <c r="E38" s="65">
        <v>11412</v>
      </c>
      <c r="F38" s="19" t="s">
        <v>2062</v>
      </c>
      <c r="G38" s="9">
        <v>4823</v>
      </c>
      <c r="H38" s="9">
        <v>242146.91792044006</v>
      </c>
      <c r="I38" s="9">
        <v>320</v>
      </c>
      <c r="J38" s="9">
        <v>8979.1863470600001</v>
      </c>
      <c r="K38" s="10">
        <v>80</v>
      </c>
      <c r="L38" s="10">
        <v>8173.1653759199999</v>
      </c>
      <c r="M38" s="10">
        <v>0</v>
      </c>
      <c r="N38" s="10">
        <v>0</v>
      </c>
      <c r="O38" s="10">
        <v>33</v>
      </c>
      <c r="P38" s="10">
        <v>25525.929316710004</v>
      </c>
      <c r="Q38" s="10">
        <v>1</v>
      </c>
      <c r="R38" s="10">
        <v>57.497854340000004</v>
      </c>
      <c r="S38" s="10">
        <v>2</v>
      </c>
      <c r="T38" s="10">
        <v>2485.0175330000002</v>
      </c>
      <c r="U38" s="10">
        <v>1</v>
      </c>
      <c r="V38" s="10">
        <v>186.01753299999999</v>
      </c>
      <c r="W38" s="10">
        <v>6</v>
      </c>
      <c r="X38" s="10">
        <v>3103.6546520399997</v>
      </c>
      <c r="Y38" s="10">
        <v>4</v>
      </c>
      <c r="Z38" s="10">
        <v>1319.3384531899999</v>
      </c>
      <c r="AA38" s="10">
        <v>14</v>
      </c>
      <c r="AB38" s="10">
        <v>138501.37473201001</v>
      </c>
      <c r="AC38" s="10">
        <v>6</v>
      </c>
      <c r="AD38" s="10">
        <v>1155.1970053</v>
      </c>
      <c r="AE38" s="10">
        <v>4</v>
      </c>
      <c r="AF38" s="10">
        <v>828.68728900999997</v>
      </c>
      <c r="AG38" s="10">
        <v>4</v>
      </c>
      <c r="AH38" s="10">
        <v>828.68728900999997</v>
      </c>
      <c r="AI38" s="10">
        <v>2</v>
      </c>
      <c r="AJ38" s="10">
        <v>302.83246253000004</v>
      </c>
      <c r="AK38" s="10">
        <v>1</v>
      </c>
      <c r="AL38" s="10">
        <v>261.51843408000002</v>
      </c>
      <c r="AM38" s="10">
        <v>1991</v>
      </c>
      <c r="AN38" s="10">
        <v>33119.588700029963</v>
      </c>
      <c r="AO38" s="10">
        <v>19</v>
      </c>
      <c r="AP38" s="10">
        <v>288.62217222999993</v>
      </c>
      <c r="AQ38" s="10">
        <v>1459</v>
      </c>
      <c r="AR38" s="10">
        <v>14810.086928259991</v>
      </c>
      <c r="AS38" s="10">
        <v>67</v>
      </c>
      <c r="AT38" s="10">
        <v>1105.3228566199998</v>
      </c>
      <c r="AU38" s="10">
        <v>884</v>
      </c>
      <c r="AV38" s="10">
        <v>10849.445372750002</v>
      </c>
      <c r="AW38" s="10">
        <v>117</v>
      </c>
      <c r="AX38" s="10">
        <v>2861.0803713699993</v>
      </c>
      <c r="AY38" s="10">
        <v>312</v>
      </c>
      <c r="AZ38" s="10">
        <v>3416.5377701600005</v>
      </c>
      <c r="BA38" s="10">
        <v>75</v>
      </c>
      <c r="BB38" s="10">
        <v>674.2982695500001</v>
      </c>
      <c r="BC38" s="10">
        <v>15</v>
      </c>
      <c r="BD38" s="10">
        <v>850.84472146000007</v>
      </c>
      <c r="BE38" s="10">
        <v>4</v>
      </c>
      <c r="BF38" s="10">
        <v>61.853041810000001</v>
      </c>
      <c r="BG38" s="10">
        <v>15</v>
      </c>
      <c r="BH38" s="10">
        <v>144.49644175999998</v>
      </c>
      <c r="BI38" s="10">
        <v>15</v>
      </c>
      <c r="BJ38" s="10">
        <v>144.49644175999998</v>
      </c>
      <c r="BK38" s="10">
        <v>6</v>
      </c>
      <c r="BL38" s="10">
        <v>35.256624799999997</v>
      </c>
      <c r="BM38" s="10">
        <v>6</v>
      </c>
      <c r="BN38" s="10">
        <v>35.256624799999997</v>
      </c>
      <c r="BO38" s="18">
        <f t="shared" si="6"/>
        <v>0</v>
      </c>
      <c r="BP38" s="18">
        <f t="shared" si="7"/>
        <v>7.7534423326142132E-11</v>
      </c>
      <c r="BQ38" s="18">
        <f t="shared" si="4"/>
        <v>0</v>
      </c>
      <c r="BR38" s="18">
        <f t="shared" si="5"/>
        <v>2.3021584638627246E-12</v>
      </c>
      <c r="BS38" s="18"/>
      <c r="BT38" s="18"/>
      <c r="BU38" s="18"/>
      <c r="BV38" s="18"/>
    </row>
    <row r="39" spans="1:74" s="11" customFormat="1" ht="27" customHeight="1" x14ac:dyDescent="0.25">
      <c r="A39" s="66" t="s">
        <v>29</v>
      </c>
      <c r="B39" s="1">
        <f t="shared" si="8"/>
        <v>32</v>
      </c>
      <c r="C39" s="20" t="s">
        <v>2080</v>
      </c>
      <c r="D39" s="20" t="s">
        <v>2083</v>
      </c>
      <c r="E39" s="65">
        <v>11413</v>
      </c>
      <c r="F39" s="19" t="s">
        <v>2043</v>
      </c>
      <c r="G39" s="9">
        <v>2989</v>
      </c>
      <c r="H39" s="9">
        <v>97937.030442570103</v>
      </c>
      <c r="I39" s="9">
        <v>175</v>
      </c>
      <c r="J39" s="9">
        <v>3392.1991074800003</v>
      </c>
      <c r="K39" s="10">
        <v>85</v>
      </c>
      <c r="L39" s="10">
        <v>10432.25847619</v>
      </c>
      <c r="M39" s="10">
        <v>0</v>
      </c>
      <c r="N39" s="10">
        <v>0</v>
      </c>
      <c r="O39" s="10">
        <v>76</v>
      </c>
      <c r="P39" s="10">
        <v>30989.666429829998</v>
      </c>
      <c r="Q39" s="10">
        <v>1</v>
      </c>
      <c r="R39" s="10">
        <v>100</v>
      </c>
      <c r="S39" s="10">
        <v>18</v>
      </c>
      <c r="T39" s="10">
        <v>2382.22712938</v>
      </c>
      <c r="U39" s="10">
        <v>0</v>
      </c>
      <c r="V39" s="10">
        <v>0</v>
      </c>
      <c r="W39" s="10">
        <v>20</v>
      </c>
      <c r="X39" s="10">
        <v>4995.6030081099998</v>
      </c>
      <c r="Y39" s="10">
        <v>3</v>
      </c>
      <c r="Z39" s="10">
        <v>61.193688659999999</v>
      </c>
      <c r="AA39" s="10">
        <v>4</v>
      </c>
      <c r="AB39" s="10">
        <v>450.10115013000001</v>
      </c>
      <c r="AC39" s="10">
        <v>3</v>
      </c>
      <c r="AD39" s="10">
        <v>284.90864496999995</v>
      </c>
      <c r="AE39" s="10">
        <v>0</v>
      </c>
      <c r="AF39" s="10">
        <v>0</v>
      </c>
      <c r="AG39" s="10">
        <v>0</v>
      </c>
      <c r="AH39" s="10">
        <v>0</v>
      </c>
      <c r="AI39" s="10">
        <v>1</v>
      </c>
      <c r="AJ39" s="10">
        <v>50.921646750000001</v>
      </c>
      <c r="AK39" s="10">
        <v>1</v>
      </c>
      <c r="AL39" s="10">
        <v>50.921646750000001</v>
      </c>
      <c r="AM39" s="10">
        <v>1161</v>
      </c>
      <c r="AN39" s="10">
        <v>26394.440797439984</v>
      </c>
      <c r="AO39" s="10">
        <v>0</v>
      </c>
      <c r="AP39" s="10">
        <v>0</v>
      </c>
      <c r="AQ39" s="10">
        <v>784</v>
      </c>
      <c r="AR39" s="10">
        <v>14601.040044070003</v>
      </c>
      <c r="AS39" s="10">
        <v>36</v>
      </c>
      <c r="AT39" s="10">
        <v>964.00990514000034</v>
      </c>
      <c r="AU39" s="10">
        <v>709</v>
      </c>
      <c r="AV39" s="10">
        <v>6574.8641383900003</v>
      </c>
      <c r="AW39" s="10">
        <v>89</v>
      </c>
      <c r="AX39" s="10">
        <v>1527.5950076100007</v>
      </c>
      <c r="AY39" s="10">
        <v>123</v>
      </c>
      <c r="AZ39" s="10">
        <v>1021.2660756399996</v>
      </c>
      <c r="BA39" s="10">
        <v>34</v>
      </c>
      <c r="BB39" s="10">
        <v>358.92866771000001</v>
      </c>
      <c r="BC39" s="10">
        <v>4</v>
      </c>
      <c r="BD39" s="10">
        <v>26.721857289999999</v>
      </c>
      <c r="BE39" s="10">
        <v>4</v>
      </c>
      <c r="BF39" s="10">
        <v>26.721857289999999</v>
      </c>
      <c r="BG39" s="10">
        <v>0</v>
      </c>
      <c r="BH39" s="10">
        <v>0</v>
      </c>
      <c r="BI39" s="10">
        <v>0</v>
      </c>
      <c r="BJ39" s="10">
        <v>0</v>
      </c>
      <c r="BK39" s="10">
        <v>4</v>
      </c>
      <c r="BL39" s="10">
        <v>17.919689350000002</v>
      </c>
      <c r="BM39" s="10">
        <v>4</v>
      </c>
      <c r="BN39" s="10">
        <v>17.919689350000002</v>
      </c>
      <c r="BO39" s="18">
        <f t="shared" si="6"/>
        <v>0</v>
      </c>
      <c r="BP39" s="18">
        <f t="shared" si="7"/>
        <v>1.0084022505907342E-10</v>
      </c>
      <c r="BQ39" s="18">
        <f t="shared" si="4"/>
        <v>0</v>
      </c>
      <c r="BR39" s="18">
        <f t="shared" si="5"/>
        <v>-6.8212102632969618E-13</v>
      </c>
      <c r="BS39" s="18"/>
      <c r="BT39" s="18"/>
      <c r="BU39" s="18"/>
      <c r="BV39" s="18"/>
    </row>
    <row r="40" spans="1:74" s="11" customFormat="1" ht="27" customHeight="1" x14ac:dyDescent="0.25">
      <c r="A40" s="66" t="s">
        <v>29</v>
      </c>
      <c r="B40" s="1">
        <f t="shared" si="8"/>
        <v>33</v>
      </c>
      <c r="C40" s="20" t="s">
        <v>2080</v>
      </c>
      <c r="D40" s="20" t="s">
        <v>2094</v>
      </c>
      <c r="E40" s="65">
        <v>11599</v>
      </c>
      <c r="F40" s="19" t="s">
        <v>2077</v>
      </c>
      <c r="G40" s="9">
        <v>616</v>
      </c>
      <c r="H40" s="9">
        <v>20905.232698210002</v>
      </c>
      <c r="I40" s="9">
        <v>6</v>
      </c>
      <c r="J40" s="9">
        <v>1963.0967254300001</v>
      </c>
      <c r="K40" s="10">
        <v>28</v>
      </c>
      <c r="L40" s="10">
        <v>2160.3222940800001</v>
      </c>
      <c r="M40" s="10">
        <v>0</v>
      </c>
      <c r="N40" s="10">
        <v>0</v>
      </c>
      <c r="O40" s="10">
        <v>16</v>
      </c>
      <c r="P40" s="10">
        <v>682.85044444999994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29</v>
      </c>
      <c r="X40" s="10">
        <v>3781.9430241200002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310</v>
      </c>
      <c r="AN40" s="10">
        <v>8285.2899446200026</v>
      </c>
      <c r="AO40" s="10">
        <v>0</v>
      </c>
      <c r="AP40" s="10">
        <v>0</v>
      </c>
      <c r="AQ40" s="10">
        <v>156</v>
      </c>
      <c r="AR40" s="10">
        <v>5414.9629946099994</v>
      </c>
      <c r="AS40" s="10">
        <v>6</v>
      </c>
      <c r="AT40" s="10">
        <v>1963.0967254299999</v>
      </c>
      <c r="AU40" s="10">
        <v>66</v>
      </c>
      <c r="AV40" s="10">
        <v>483.98628029000002</v>
      </c>
      <c r="AW40" s="10">
        <v>0</v>
      </c>
      <c r="AX40" s="10">
        <v>0</v>
      </c>
      <c r="AY40" s="10">
        <v>11</v>
      </c>
      <c r="AZ40" s="10">
        <v>95.877716039999996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8">
        <f t="shared" si="6"/>
        <v>0</v>
      </c>
      <c r="BP40" s="18">
        <f t="shared" si="7"/>
        <v>-7.3896444519050419E-13</v>
      </c>
      <c r="BQ40" s="18">
        <f t="shared" si="4"/>
        <v>0</v>
      </c>
      <c r="BR40" s="18">
        <f t="shared" si="5"/>
        <v>2.2737367544323206E-13</v>
      </c>
      <c r="BS40" s="18"/>
      <c r="BT40" s="18"/>
      <c r="BU40" s="18"/>
      <c r="BV40" s="18"/>
    </row>
    <row r="41" spans="1:74" s="11" customFormat="1" ht="27" customHeight="1" x14ac:dyDescent="0.25">
      <c r="A41" s="66" t="s">
        <v>29</v>
      </c>
      <c r="B41" s="1">
        <f t="shared" si="8"/>
        <v>34</v>
      </c>
      <c r="C41" s="20" t="s">
        <v>2080</v>
      </c>
      <c r="D41" s="20" t="s">
        <v>2085</v>
      </c>
      <c r="E41" s="65">
        <v>11785</v>
      </c>
      <c r="F41" s="19" t="s">
        <v>2077</v>
      </c>
      <c r="G41" s="9">
        <v>3688</v>
      </c>
      <c r="H41" s="9">
        <v>120892.16312989006</v>
      </c>
      <c r="I41" s="9">
        <v>35</v>
      </c>
      <c r="J41" s="9">
        <v>813.46805950999999</v>
      </c>
      <c r="K41" s="10">
        <v>148</v>
      </c>
      <c r="L41" s="10">
        <v>24582.520746810002</v>
      </c>
      <c r="M41" s="10">
        <v>0</v>
      </c>
      <c r="N41" s="10">
        <v>0</v>
      </c>
      <c r="O41" s="10">
        <v>124</v>
      </c>
      <c r="P41" s="10">
        <v>14928.861248249992</v>
      </c>
      <c r="Q41" s="10">
        <v>1</v>
      </c>
      <c r="R41" s="10">
        <v>13.450526949999999</v>
      </c>
      <c r="S41" s="10">
        <v>23</v>
      </c>
      <c r="T41" s="10">
        <v>6547.70854444</v>
      </c>
      <c r="U41" s="10">
        <v>0</v>
      </c>
      <c r="V41" s="10">
        <v>0</v>
      </c>
      <c r="W41" s="10">
        <v>10</v>
      </c>
      <c r="X41" s="10">
        <v>3885.54814988</v>
      </c>
      <c r="Y41" s="10">
        <v>1</v>
      </c>
      <c r="Z41" s="10">
        <v>89.977743369999999</v>
      </c>
      <c r="AA41" s="10">
        <v>1</v>
      </c>
      <c r="AB41" s="10">
        <v>217.47296634</v>
      </c>
      <c r="AC41" s="10">
        <v>0</v>
      </c>
      <c r="AD41" s="10">
        <v>0</v>
      </c>
      <c r="AE41" s="10">
        <v>3</v>
      </c>
      <c r="AF41" s="10">
        <v>227.77890034999999</v>
      </c>
      <c r="AG41" s="10">
        <v>2</v>
      </c>
      <c r="AH41" s="10">
        <v>30.278888350000003</v>
      </c>
      <c r="AI41" s="10">
        <v>0</v>
      </c>
      <c r="AJ41" s="10">
        <v>0</v>
      </c>
      <c r="AK41" s="10">
        <v>0</v>
      </c>
      <c r="AL41" s="10">
        <v>0</v>
      </c>
      <c r="AM41" s="10">
        <v>1293</v>
      </c>
      <c r="AN41" s="10">
        <v>39815.546199639997</v>
      </c>
      <c r="AO41" s="10">
        <v>0</v>
      </c>
      <c r="AP41" s="10">
        <v>0</v>
      </c>
      <c r="AQ41" s="10">
        <v>1272</v>
      </c>
      <c r="AR41" s="10">
        <v>23334.618363389993</v>
      </c>
      <c r="AS41" s="10">
        <v>2</v>
      </c>
      <c r="AT41" s="10">
        <v>378.96136000000001</v>
      </c>
      <c r="AU41" s="10">
        <v>624</v>
      </c>
      <c r="AV41" s="10">
        <v>5009.7033133599989</v>
      </c>
      <c r="AW41" s="10">
        <v>6</v>
      </c>
      <c r="AX41" s="10">
        <v>84.498456610000005</v>
      </c>
      <c r="AY41" s="10">
        <v>156</v>
      </c>
      <c r="AZ41" s="10">
        <v>1870.4726561300004</v>
      </c>
      <c r="BA41" s="10">
        <v>5</v>
      </c>
      <c r="BB41" s="10">
        <v>38.499860829999996</v>
      </c>
      <c r="BC41" s="10">
        <v>21</v>
      </c>
      <c r="BD41" s="10">
        <v>364.44158610999995</v>
      </c>
      <c r="BE41" s="10">
        <v>5</v>
      </c>
      <c r="BF41" s="10">
        <v>70.310768210000006</v>
      </c>
      <c r="BG41" s="10">
        <v>2</v>
      </c>
      <c r="BH41" s="10">
        <v>38.125371399999999</v>
      </c>
      <c r="BI41" s="10">
        <v>2</v>
      </c>
      <c r="BJ41" s="10">
        <v>38.125371399999999</v>
      </c>
      <c r="BK41" s="10">
        <v>11</v>
      </c>
      <c r="BL41" s="10">
        <v>69.36508379</v>
      </c>
      <c r="BM41" s="10">
        <v>11</v>
      </c>
      <c r="BN41" s="10">
        <v>69.36508379</v>
      </c>
      <c r="BO41" s="18">
        <f t="shared" si="6"/>
        <v>0</v>
      </c>
      <c r="BP41" s="18">
        <f t="shared" si="7"/>
        <v>9.3308472060016356E-11</v>
      </c>
      <c r="BQ41" s="18">
        <f t="shared" si="4"/>
        <v>0</v>
      </c>
      <c r="BR41" s="18">
        <f t="shared" si="5"/>
        <v>0</v>
      </c>
      <c r="BS41" s="18"/>
      <c r="BT41" s="18"/>
      <c r="BU41" s="18"/>
      <c r="BV41" s="18"/>
    </row>
    <row r="42" spans="1:74" s="11" customFormat="1" ht="27" customHeight="1" x14ac:dyDescent="0.25">
      <c r="A42" s="66" t="s">
        <v>29</v>
      </c>
      <c r="B42" s="1">
        <f t="shared" si="8"/>
        <v>35</v>
      </c>
      <c r="C42" s="20" t="s">
        <v>2080</v>
      </c>
      <c r="D42" s="20" t="s">
        <v>2081</v>
      </c>
      <c r="E42" s="65">
        <v>11786</v>
      </c>
      <c r="F42" s="19" t="s">
        <v>2035</v>
      </c>
      <c r="G42" s="9">
        <v>2020</v>
      </c>
      <c r="H42" s="9">
        <v>379053.64520527999</v>
      </c>
      <c r="I42" s="9">
        <v>250</v>
      </c>
      <c r="J42" s="9">
        <v>45254.826314759994</v>
      </c>
      <c r="K42" s="10">
        <v>35</v>
      </c>
      <c r="L42" s="10">
        <v>45797.317998110004</v>
      </c>
      <c r="M42" s="10">
        <v>2</v>
      </c>
      <c r="N42" s="10">
        <v>200</v>
      </c>
      <c r="O42" s="10">
        <v>21</v>
      </c>
      <c r="P42" s="10">
        <v>118114.59178778999</v>
      </c>
      <c r="Q42" s="10">
        <v>4</v>
      </c>
      <c r="R42" s="10">
        <v>1667.20504979</v>
      </c>
      <c r="S42" s="10">
        <v>5</v>
      </c>
      <c r="T42" s="10">
        <v>4679.4267391200001</v>
      </c>
      <c r="U42" s="10">
        <v>0</v>
      </c>
      <c r="V42" s="10">
        <v>0</v>
      </c>
      <c r="W42" s="10">
        <v>14</v>
      </c>
      <c r="X42" s="10">
        <v>30771.292143459999</v>
      </c>
      <c r="Y42" s="10">
        <v>1</v>
      </c>
      <c r="Z42" s="10">
        <v>1662.7546525099999</v>
      </c>
      <c r="AA42" s="10">
        <v>6</v>
      </c>
      <c r="AB42" s="10">
        <v>21867.751292360001</v>
      </c>
      <c r="AC42" s="10">
        <v>3</v>
      </c>
      <c r="AD42" s="10">
        <v>16470.243127649999</v>
      </c>
      <c r="AE42" s="10">
        <v>9</v>
      </c>
      <c r="AF42" s="10">
        <v>75940.311763649996</v>
      </c>
      <c r="AG42" s="10">
        <v>4</v>
      </c>
      <c r="AH42" s="10">
        <v>9603.2615990300001</v>
      </c>
      <c r="AI42" s="10">
        <v>1</v>
      </c>
      <c r="AJ42" s="10">
        <v>1794.65594452</v>
      </c>
      <c r="AK42" s="10">
        <v>0</v>
      </c>
      <c r="AL42" s="10">
        <v>0</v>
      </c>
      <c r="AM42" s="10">
        <v>669</v>
      </c>
      <c r="AN42" s="10">
        <v>21060.42997162999</v>
      </c>
      <c r="AO42" s="10">
        <v>2</v>
      </c>
      <c r="AP42" s="10">
        <v>41.788901289999998</v>
      </c>
      <c r="AQ42" s="10">
        <v>766</v>
      </c>
      <c r="AR42" s="10">
        <v>27121.101096789997</v>
      </c>
      <c r="AS42" s="10">
        <v>116</v>
      </c>
      <c r="AT42" s="10">
        <v>13001.887194490004</v>
      </c>
      <c r="AU42" s="10">
        <v>240</v>
      </c>
      <c r="AV42" s="10">
        <v>9917.7708908599998</v>
      </c>
      <c r="AW42" s="10">
        <v>31</v>
      </c>
      <c r="AX42" s="10">
        <v>1320.8704081499998</v>
      </c>
      <c r="AY42" s="10">
        <v>129</v>
      </c>
      <c r="AZ42" s="10">
        <v>11106.030243909992</v>
      </c>
      <c r="BA42" s="10">
        <v>21</v>
      </c>
      <c r="BB42" s="10">
        <v>437.28725214000008</v>
      </c>
      <c r="BC42" s="10">
        <v>41</v>
      </c>
      <c r="BD42" s="10">
        <v>4492.072122239998</v>
      </c>
      <c r="BE42" s="10">
        <v>11</v>
      </c>
      <c r="BF42" s="10">
        <v>128.19278208999998</v>
      </c>
      <c r="BG42" s="10">
        <v>75</v>
      </c>
      <c r="BH42" s="10">
        <v>6270.1721569100018</v>
      </c>
      <c r="BI42" s="10">
        <v>49</v>
      </c>
      <c r="BJ42" s="10">
        <v>635.61101740999948</v>
      </c>
      <c r="BK42" s="10">
        <v>9</v>
      </c>
      <c r="BL42" s="10">
        <v>120.72105393000001</v>
      </c>
      <c r="BM42" s="10">
        <v>6</v>
      </c>
      <c r="BN42" s="10">
        <v>85.724330210000005</v>
      </c>
      <c r="BO42" s="18">
        <f t="shared" si="6"/>
        <v>0</v>
      </c>
      <c r="BP42" s="18">
        <f t="shared" si="7"/>
        <v>-2.418687472527381E-11</v>
      </c>
      <c r="BQ42" s="18">
        <f t="shared" si="4"/>
        <v>0</v>
      </c>
      <c r="BR42" s="18">
        <f t="shared" si="5"/>
        <v>-3.3537617127876729E-12</v>
      </c>
      <c r="BS42" s="18"/>
      <c r="BT42" s="18"/>
      <c r="BU42" s="18"/>
      <c r="BV42" s="18"/>
    </row>
    <row r="43" spans="1:74" s="11" customFormat="1" ht="27" customHeight="1" x14ac:dyDescent="0.25">
      <c r="A43" s="66" t="s">
        <v>29</v>
      </c>
      <c r="B43" s="1">
        <f t="shared" si="8"/>
        <v>36</v>
      </c>
      <c r="C43" s="20" t="s">
        <v>2080</v>
      </c>
      <c r="D43" s="20" t="s">
        <v>2084</v>
      </c>
      <c r="E43" s="65">
        <v>11787</v>
      </c>
      <c r="F43" s="19" t="s">
        <v>2068</v>
      </c>
      <c r="G43" s="9">
        <v>4143</v>
      </c>
      <c r="H43" s="9">
        <v>90573.786068950169</v>
      </c>
      <c r="I43" s="9">
        <v>321</v>
      </c>
      <c r="J43" s="9">
        <v>8699.0240126500012</v>
      </c>
      <c r="K43" s="10">
        <v>108</v>
      </c>
      <c r="L43" s="10">
        <v>12805.39534495</v>
      </c>
      <c r="M43" s="10">
        <v>0</v>
      </c>
      <c r="N43" s="10">
        <v>0</v>
      </c>
      <c r="O43" s="10">
        <v>56</v>
      </c>
      <c r="P43" s="10">
        <v>7222.4786612800008</v>
      </c>
      <c r="Q43" s="10">
        <v>5</v>
      </c>
      <c r="R43" s="10">
        <v>540.07173535000004</v>
      </c>
      <c r="S43" s="10">
        <v>6</v>
      </c>
      <c r="T43" s="10">
        <v>395.91130086000004</v>
      </c>
      <c r="U43" s="10">
        <v>2</v>
      </c>
      <c r="V43" s="10">
        <v>50.737068860000001</v>
      </c>
      <c r="W43" s="10">
        <v>15</v>
      </c>
      <c r="X43" s="10">
        <v>2213.0715182899999</v>
      </c>
      <c r="Y43" s="10">
        <v>4</v>
      </c>
      <c r="Z43" s="10">
        <v>63.673094809999995</v>
      </c>
      <c r="AA43" s="10">
        <v>12</v>
      </c>
      <c r="AB43" s="10">
        <v>5174.9438863599989</v>
      </c>
      <c r="AC43" s="10">
        <v>11</v>
      </c>
      <c r="AD43" s="10">
        <v>2447.6224932300001</v>
      </c>
      <c r="AE43" s="10">
        <v>4</v>
      </c>
      <c r="AF43" s="10">
        <v>841.04701364000016</v>
      </c>
      <c r="AG43" s="10">
        <v>4</v>
      </c>
      <c r="AH43" s="10">
        <v>841.04701364000016</v>
      </c>
      <c r="AI43" s="10">
        <v>2</v>
      </c>
      <c r="AJ43" s="10">
        <v>118.95282037</v>
      </c>
      <c r="AK43" s="10">
        <v>2</v>
      </c>
      <c r="AL43" s="10">
        <v>118.95282037</v>
      </c>
      <c r="AM43" s="10">
        <v>1649</v>
      </c>
      <c r="AN43" s="10">
        <v>34064.882816379941</v>
      </c>
      <c r="AO43" s="10">
        <v>0</v>
      </c>
      <c r="AP43" s="10">
        <v>0</v>
      </c>
      <c r="AQ43" s="10">
        <v>1122</v>
      </c>
      <c r="AR43" s="10">
        <v>14622.665157810005</v>
      </c>
      <c r="AS43" s="10">
        <v>27</v>
      </c>
      <c r="AT43" s="10">
        <v>623.21791506999989</v>
      </c>
      <c r="AU43" s="10">
        <v>730</v>
      </c>
      <c r="AV43" s="10">
        <v>8279.024431379994</v>
      </c>
      <c r="AW43" s="10">
        <v>98</v>
      </c>
      <c r="AX43" s="10">
        <v>1891.9913156100008</v>
      </c>
      <c r="AY43" s="10">
        <v>352</v>
      </c>
      <c r="AZ43" s="10">
        <v>3738.5790380599988</v>
      </c>
      <c r="BA43" s="10">
        <v>113</v>
      </c>
      <c r="BB43" s="10">
        <v>1407.4119152800004</v>
      </c>
      <c r="BC43" s="10">
        <v>50</v>
      </c>
      <c r="BD43" s="10">
        <v>593.57357280999997</v>
      </c>
      <c r="BE43" s="10">
        <v>19</v>
      </c>
      <c r="BF43" s="10">
        <v>244.66720459000001</v>
      </c>
      <c r="BG43" s="10">
        <v>32</v>
      </c>
      <c r="BH43" s="10">
        <v>443.28914734</v>
      </c>
      <c r="BI43" s="10">
        <v>32</v>
      </c>
      <c r="BJ43" s="10">
        <v>443.28914734</v>
      </c>
      <c r="BK43" s="10">
        <v>5</v>
      </c>
      <c r="BL43" s="10">
        <v>59.971359419999999</v>
      </c>
      <c r="BM43" s="10">
        <v>4</v>
      </c>
      <c r="BN43" s="10">
        <v>26.342288499999999</v>
      </c>
      <c r="BO43" s="18">
        <f t="shared" si="6"/>
        <v>0</v>
      </c>
      <c r="BP43" s="18">
        <f t="shared" si="7"/>
        <v>2.3385382519336417E-10</v>
      </c>
      <c r="BQ43" s="18">
        <f t="shared" si="4"/>
        <v>0</v>
      </c>
      <c r="BR43" s="18">
        <f t="shared" si="5"/>
        <v>-9.1304741545172874E-13</v>
      </c>
      <c r="BS43" s="18"/>
      <c r="BT43" s="18"/>
      <c r="BU43" s="18"/>
      <c r="BV43" s="18"/>
    </row>
    <row r="44" spans="1:74" s="11" customFormat="1" ht="27" customHeight="1" x14ac:dyDescent="0.25">
      <c r="A44" s="66" t="s">
        <v>29</v>
      </c>
      <c r="B44" s="1">
        <f t="shared" si="8"/>
        <v>37</v>
      </c>
      <c r="C44" s="20" t="s">
        <v>2080</v>
      </c>
      <c r="D44" s="20" t="s">
        <v>2086</v>
      </c>
      <c r="E44" s="65">
        <v>11943</v>
      </c>
      <c r="F44" s="19" t="s">
        <v>2087</v>
      </c>
      <c r="G44" s="9">
        <v>2257</v>
      </c>
      <c r="H44" s="9">
        <v>87583.860766960017</v>
      </c>
      <c r="I44" s="9">
        <v>405</v>
      </c>
      <c r="J44" s="9">
        <v>34994.602006000001</v>
      </c>
      <c r="K44" s="10">
        <v>45</v>
      </c>
      <c r="L44" s="10">
        <v>3331.2537327299997</v>
      </c>
      <c r="M44" s="10">
        <v>0</v>
      </c>
      <c r="N44" s="10">
        <v>0</v>
      </c>
      <c r="O44" s="10">
        <v>61</v>
      </c>
      <c r="P44" s="10">
        <v>4174.5675675499988</v>
      </c>
      <c r="Q44" s="10">
        <v>8</v>
      </c>
      <c r="R44" s="10">
        <v>674.02860753000004</v>
      </c>
      <c r="S44" s="10">
        <v>1</v>
      </c>
      <c r="T44" s="10">
        <v>58.636364</v>
      </c>
      <c r="U44" s="10">
        <v>1</v>
      </c>
      <c r="V44" s="10">
        <v>58.636364</v>
      </c>
      <c r="W44" s="10">
        <v>14</v>
      </c>
      <c r="X44" s="10">
        <v>17984.572691679998</v>
      </c>
      <c r="Y44" s="10">
        <v>4</v>
      </c>
      <c r="Z44" s="10">
        <v>16151.846440449999</v>
      </c>
      <c r="AA44" s="10">
        <v>14</v>
      </c>
      <c r="AB44" s="10">
        <v>12432.260479609999</v>
      </c>
      <c r="AC44" s="10">
        <v>13</v>
      </c>
      <c r="AD44" s="10">
        <v>10487.42549277</v>
      </c>
      <c r="AE44" s="10">
        <v>3</v>
      </c>
      <c r="AF44" s="10">
        <v>6619.6572016199998</v>
      </c>
      <c r="AG44" s="10">
        <v>2</v>
      </c>
      <c r="AH44" s="10">
        <v>222.17095162000001</v>
      </c>
      <c r="AI44" s="10">
        <v>2</v>
      </c>
      <c r="AJ44" s="10">
        <v>1788.2039259800001</v>
      </c>
      <c r="AK44" s="10">
        <v>2</v>
      </c>
      <c r="AL44" s="10">
        <v>1788.2039259800001</v>
      </c>
      <c r="AM44" s="10">
        <v>1022</v>
      </c>
      <c r="AN44" s="10">
        <v>28111.122685909984</v>
      </c>
      <c r="AO44" s="10">
        <v>32</v>
      </c>
      <c r="AP44" s="10">
        <v>498.89026793000016</v>
      </c>
      <c r="AQ44" s="10">
        <v>434</v>
      </c>
      <c r="AR44" s="10">
        <v>5903.8330326199966</v>
      </c>
      <c r="AS44" s="10">
        <v>73</v>
      </c>
      <c r="AT44" s="10">
        <v>1157.8400409500007</v>
      </c>
      <c r="AU44" s="10">
        <v>416</v>
      </c>
      <c r="AV44" s="10">
        <v>4805.1909491500001</v>
      </c>
      <c r="AW44" s="10">
        <v>132</v>
      </c>
      <c r="AX44" s="10">
        <v>2705.0731114699997</v>
      </c>
      <c r="AY44" s="10">
        <v>188</v>
      </c>
      <c r="AZ44" s="10">
        <v>1785.3940378199991</v>
      </c>
      <c r="BA44" s="10">
        <v>87</v>
      </c>
      <c r="BB44" s="10">
        <v>744.05733859000031</v>
      </c>
      <c r="BC44" s="10">
        <v>23</v>
      </c>
      <c r="BD44" s="10">
        <v>253.45070998</v>
      </c>
      <c r="BE44" s="10">
        <v>17</v>
      </c>
      <c r="BF44" s="10">
        <v>170.7120764</v>
      </c>
      <c r="BG44" s="10">
        <v>30</v>
      </c>
      <c r="BH44" s="10">
        <v>306.66926231000014</v>
      </c>
      <c r="BI44" s="10">
        <v>30</v>
      </c>
      <c r="BJ44" s="10">
        <v>306.66926231000014</v>
      </c>
      <c r="BK44" s="10">
        <v>4</v>
      </c>
      <c r="BL44" s="10">
        <v>29.048126</v>
      </c>
      <c r="BM44" s="10">
        <v>4</v>
      </c>
      <c r="BN44" s="10">
        <v>29.048126</v>
      </c>
      <c r="BO44" s="18">
        <f t="shared" si="6"/>
        <v>0</v>
      </c>
      <c r="BP44" s="18">
        <f t="shared" si="7"/>
        <v>4.4646952801485895E-11</v>
      </c>
      <c r="BQ44" s="18">
        <f t="shared" si="4"/>
        <v>0</v>
      </c>
      <c r="BR44" s="18">
        <f t="shared" si="5"/>
        <v>1.1617373729677638E-12</v>
      </c>
      <c r="BS44" s="18"/>
      <c r="BT44" s="18"/>
      <c r="BU44" s="18"/>
      <c r="BV44" s="18"/>
    </row>
    <row r="45" spans="1:74" s="11" customFormat="1" ht="27" customHeight="1" x14ac:dyDescent="0.25">
      <c r="A45" s="66" t="s">
        <v>29</v>
      </c>
      <c r="B45" s="1">
        <f t="shared" si="8"/>
        <v>38</v>
      </c>
      <c r="C45" s="20" t="s">
        <v>2080</v>
      </c>
      <c r="D45" s="20" t="s">
        <v>2095</v>
      </c>
      <c r="E45" s="65">
        <v>11978</v>
      </c>
      <c r="F45" s="19" t="s">
        <v>2060</v>
      </c>
      <c r="G45" s="9">
        <v>2383</v>
      </c>
      <c r="H45" s="9">
        <v>88766.81992822999</v>
      </c>
      <c r="I45" s="9">
        <v>65</v>
      </c>
      <c r="J45" s="9">
        <v>3837.5326707300001</v>
      </c>
      <c r="K45" s="10">
        <v>46</v>
      </c>
      <c r="L45" s="10">
        <v>42698.822491620005</v>
      </c>
      <c r="M45" s="10">
        <v>0</v>
      </c>
      <c r="N45" s="10">
        <v>0</v>
      </c>
      <c r="O45" s="10">
        <v>9</v>
      </c>
      <c r="P45" s="10">
        <v>698.70047523000005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1024</v>
      </c>
      <c r="AN45" s="10">
        <v>29290.42580846003</v>
      </c>
      <c r="AO45" s="10">
        <v>1</v>
      </c>
      <c r="AP45" s="10">
        <v>8.0156660599999991</v>
      </c>
      <c r="AQ45" s="10">
        <v>1168</v>
      </c>
      <c r="AR45" s="10">
        <v>15317.577532110006</v>
      </c>
      <c r="AS45" s="10">
        <v>38</v>
      </c>
      <c r="AT45" s="10">
        <v>3554.9287268299995</v>
      </c>
      <c r="AU45" s="10">
        <v>79</v>
      </c>
      <c r="AV45" s="10">
        <v>488.37094307999996</v>
      </c>
      <c r="AW45" s="10">
        <v>8</v>
      </c>
      <c r="AX45" s="10">
        <v>137.17736410000003</v>
      </c>
      <c r="AY45" s="10">
        <v>56</v>
      </c>
      <c r="AZ45" s="10">
        <v>268.60470363999997</v>
      </c>
      <c r="BA45" s="10">
        <v>17</v>
      </c>
      <c r="BB45" s="10">
        <v>133.09293965000001</v>
      </c>
      <c r="BC45" s="10">
        <v>1</v>
      </c>
      <c r="BD45" s="10">
        <v>4.3179740899999999</v>
      </c>
      <c r="BE45" s="10">
        <v>1</v>
      </c>
      <c r="BF45" s="10">
        <v>4.3179740899999999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8">
        <f t="shared" si="6"/>
        <v>0</v>
      </c>
      <c r="BP45" s="18">
        <f t="shared" si="7"/>
        <v>-4.9048765049519716E-11</v>
      </c>
      <c r="BQ45" s="18">
        <f t="shared" si="4"/>
        <v>0</v>
      </c>
      <c r="BR45" s="18">
        <f t="shared" si="5"/>
        <v>4.6185277824406512E-13</v>
      </c>
      <c r="BS45" s="18"/>
      <c r="BT45" s="18"/>
      <c r="BU45" s="18"/>
      <c r="BV45" s="18"/>
    </row>
    <row r="46" spans="1:74" s="11" customFormat="1" ht="27" customHeight="1" x14ac:dyDescent="0.25">
      <c r="A46" s="66" t="s">
        <v>30</v>
      </c>
      <c r="B46" s="1">
        <f t="shared" si="8"/>
        <v>39</v>
      </c>
      <c r="C46" s="20" t="s">
        <v>2096</v>
      </c>
      <c r="D46" s="20" t="s">
        <v>2105</v>
      </c>
      <c r="E46" s="65">
        <v>11349</v>
      </c>
      <c r="F46" s="19" t="s">
        <v>2079</v>
      </c>
      <c r="G46" s="9">
        <v>5320</v>
      </c>
      <c r="H46" s="9">
        <v>155044.88709701991</v>
      </c>
      <c r="I46" s="9">
        <v>225</v>
      </c>
      <c r="J46" s="9">
        <v>2651.3062672200003</v>
      </c>
      <c r="K46" s="10">
        <v>87</v>
      </c>
      <c r="L46" s="10">
        <v>35298.785853300004</v>
      </c>
      <c r="M46" s="10">
        <v>0</v>
      </c>
      <c r="N46" s="10">
        <v>0</v>
      </c>
      <c r="O46" s="10">
        <v>22</v>
      </c>
      <c r="P46" s="10">
        <v>4859.6831291999997</v>
      </c>
      <c r="Q46" s="10">
        <v>3</v>
      </c>
      <c r="R46" s="10">
        <v>153.82429121000001</v>
      </c>
      <c r="S46" s="10">
        <v>25</v>
      </c>
      <c r="T46" s="10">
        <v>9182.1213262999991</v>
      </c>
      <c r="U46" s="10">
        <v>1</v>
      </c>
      <c r="V46" s="10">
        <v>8</v>
      </c>
      <c r="W46" s="10">
        <v>6</v>
      </c>
      <c r="X46" s="10">
        <v>5947.27675817</v>
      </c>
      <c r="Y46" s="10">
        <v>2</v>
      </c>
      <c r="Z46" s="10">
        <v>373.57839721000005</v>
      </c>
      <c r="AA46" s="10">
        <v>0</v>
      </c>
      <c r="AB46" s="10">
        <v>0</v>
      </c>
      <c r="AC46" s="10">
        <v>0</v>
      </c>
      <c r="AD46" s="10">
        <v>0</v>
      </c>
      <c r="AE46" s="10">
        <v>3</v>
      </c>
      <c r="AF46" s="10">
        <v>3086.5234411900001</v>
      </c>
      <c r="AG46" s="10">
        <v>0</v>
      </c>
      <c r="AH46" s="10">
        <v>0</v>
      </c>
      <c r="AI46" s="10">
        <v>2</v>
      </c>
      <c r="AJ46" s="10">
        <v>3283.8482597200004</v>
      </c>
      <c r="AK46" s="10">
        <v>0</v>
      </c>
      <c r="AL46" s="10">
        <v>0</v>
      </c>
      <c r="AM46" s="10">
        <v>1991</v>
      </c>
      <c r="AN46" s="10">
        <v>29457.178249649973</v>
      </c>
      <c r="AO46" s="10">
        <v>7</v>
      </c>
      <c r="AP46" s="10">
        <v>71.785785569999987</v>
      </c>
      <c r="AQ46" s="10">
        <v>1893</v>
      </c>
      <c r="AR46" s="10">
        <v>27554.799728399972</v>
      </c>
      <c r="AS46" s="10">
        <v>129</v>
      </c>
      <c r="AT46" s="10">
        <v>1076.3648614099998</v>
      </c>
      <c r="AU46" s="10">
        <v>666</v>
      </c>
      <c r="AV46" s="10">
        <v>15867.507546270004</v>
      </c>
      <c r="AW46" s="10">
        <v>52</v>
      </c>
      <c r="AX46" s="10">
        <v>831.16126556000017</v>
      </c>
      <c r="AY46" s="10">
        <v>526</v>
      </c>
      <c r="AZ46" s="10">
        <v>13885.627205059987</v>
      </c>
      <c r="BA46" s="10">
        <v>23</v>
      </c>
      <c r="BB46" s="10">
        <v>104.21480126999997</v>
      </c>
      <c r="BC46" s="10">
        <v>16</v>
      </c>
      <c r="BD46" s="10">
        <v>695.94943288999991</v>
      </c>
      <c r="BE46" s="10">
        <v>2</v>
      </c>
      <c r="BF46" s="10">
        <v>4.8122352899999994</v>
      </c>
      <c r="BG46" s="10">
        <v>12</v>
      </c>
      <c r="BH46" s="10">
        <v>80.26386736000002</v>
      </c>
      <c r="BI46" s="10">
        <v>5</v>
      </c>
      <c r="BJ46" s="10">
        <v>25.254785819999995</v>
      </c>
      <c r="BK46" s="10">
        <v>71</v>
      </c>
      <c r="BL46" s="10">
        <v>5845.3222995100004</v>
      </c>
      <c r="BM46" s="10">
        <v>1</v>
      </c>
      <c r="BN46" s="10">
        <v>2.3098438799999998</v>
      </c>
      <c r="BO46" s="18">
        <f t="shared" si="6"/>
        <v>0</v>
      </c>
      <c r="BP46" s="18">
        <f t="shared" si="7"/>
        <v>-4.638422979041934E-11</v>
      </c>
      <c r="BQ46" s="18">
        <f t="shared" si="4"/>
        <v>0</v>
      </c>
      <c r="BR46" s="18">
        <f t="shared" si="5"/>
        <v>2.7622348852673895E-13</v>
      </c>
      <c r="BS46" s="18"/>
      <c r="BT46" s="18"/>
      <c r="BU46" s="18"/>
      <c r="BV46" s="18"/>
    </row>
    <row r="47" spans="1:74" s="11" customFormat="1" ht="27" customHeight="1" x14ac:dyDescent="0.25">
      <c r="A47" s="66" t="s">
        <v>30</v>
      </c>
      <c r="B47" s="1">
        <f t="shared" si="8"/>
        <v>40</v>
      </c>
      <c r="C47" s="20" t="s">
        <v>2096</v>
      </c>
      <c r="D47" s="20" t="s">
        <v>2097</v>
      </c>
      <c r="E47" s="65">
        <v>11385</v>
      </c>
      <c r="F47" s="19" t="s">
        <v>2043</v>
      </c>
      <c r="G47" s="9">
        <v>4707</v>
      </c>
      <c r="H47" s="9">
        <v>109436.08821556001</v>
      </c>
      <c r="I47" s="9">
        <v>280</v>
      </c>
      <c r="J47" s="9">
        <v>2913.9846055900007</v>
      </c>
      <c r="K47" s="10">
        <v>113</v>
      </c>
      <c r="L47" s="10">
        <v>17009.999517740001</v>
      </c>
      <c r="M47" s="10">
        <v>0</v>
      </c>
      <c r="N47" s="10">
        <v>0</v>
      </c>
      <c r="O47" s="10">
        <v>67</v>
      </c>
      <c r="P47" s="10">
        <v>3778.9809490600001</v>
      </c>
      <c r="Q47" s="10">
        <v>0</v>
      </c>
      <c r="R47" s="10">
        <v>0</v>
      </c>
      <c r="S47" s="10">
        <v>5</v>
      </c>
      <c r="T47" s="10">
        <v>1019.2291179700001</v>
      </c>
      <c r="U47" s="10">
        <v>2</v>
      </c>
      <c r="V47" s="10">
        <v>64.299000000000007</v>
      </c>
      <c r="W47" s="10">
        <v>2</v>
      </c>
      <c r="X47" s="10">
        <v>3023.9876009999998</v>
      </c>
      <c r="Y47" s="10">
        <v>1</v>
      </c>
      <c r="Z47" s="10">
        <v>5.4969999999999999</v>
      </c>
      <c r="AA47" s="10">
        <v>1</v>
      </c>
      <c r="AB47" s="10">
        <v>10370.370381999999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1773</v>
      </c>
      <c r="AN47" s="10">
        <v>31006.829681539959</v>
      </c>
      <c r="AO47" s="10">
        <v>2</v>
      </c>
      <c r="AP47" s="10">
        <v>77.17264711</v>
      </c>
      <c r="AQ47" s="10">
        <v>1084</v>
      </c>
      <c r="AR47" s="10">
        <v>17925.67671759997</v>
      </c>
      <c r="AS47" s="10">
        <v>136</v>
      </c>
      <c r="AT47" s="10">
        <v>1093.7289293500003</v>
      </c>
      <c r="AU47" s="10">
        <v>1060</v>
      </c>
      <c r="AV47" s="10">
        <v>15277.179727910001</v>
      </c>
      <c r="AW47" s="10">
        <v>52</v>
      </c>
      <c r="AX47" s="10">
        <v>843.12703896999983</v>
      </c>
      <c r="AY47" s="10">
        <v>568</v>
      </c>
      <c r="AZ47" s="10">
        <v>9383.8071102699996</v>
      </c>
      <c r="BA47" s="10">
        <v>75</v>
      </c>
      <c r="BB47" s="10">
        <v>534.57539007999992</v>
      </c>
      <c r="BC47" s="10">
        <v>16</v>
      </c>
      <c r="BD47" s="10">
        <v>346.64626694999998</v>
      </c>
      <c r="BE47" s="10">
        <v>3</v>
      </c>
      <c r="BF47" s="10">
        <v>228.03343202000002</v>
      </c>
      <c r="BG47" s="10">
        <v>16</v>
      </c>
      <c r="BH47" s="10">
        <v>97.852271520000002</v>
      </c>
      <c r="BI47" s="10">
        <v>9</v>
      </c>
      <c r="BJ47" s="10">
        <v>67.551168060000009</v>
      </c>
      <c r="BK47" s="10">
        <v>2</v>
      </c>
      <c r="BL47" s="10">
        <v>195.52887200000001</v>
      </c>
      <c r="BM47" s="10">
        <v>0</v>
      </c>
      <c r="BN47" s="10">
        <v>0</v>
      </c>
      <c r="BO47" s="18">
        <f t="shared" si="6"/>
        <v>0</v>
      </c>
      <c r="BP47" s="18">
        <f t="shared" si="7"/>
        <v>9.1148422143305652E-11</v>
      </c>
      <c r="BQ47" s="18">
        <f t="shared" si="4"/>
        <v>0</v>
      </c>
      <c r="BR47" s="18">
        <f t="shared" si="5"/>
        <v>7.3896444519050419E-13</v>
      </c>
      <c r="BS47" s="18"/>
      <c r="BT47" s="18"/>
      <c r="BU47" s="18"/>
      <c r="BV47" s="18"/>
    </row>
    <row r="48" spans="1:74" s="11" customFormat="1" ht="27" customHeight="1" x14ac:dyDescent="0.25">
      <c r="A48" s="66" t="s">
        <v>30</v>
      </c>
      <c r="B48" s="1">
        <f t="shared" si="8"/>
        <v>41</v>
      </c>
      <c r="C48" s="20" t="s">
        <v>2096</v>
      </c>
      <c r="D48" s="20" t="s">
        <v>2101</v>
      </c>
      <c r="E48" s="65">
        <v>11386</v>
      </c>
      <c r="F48" s="19" t="s">
        <v>2070</v>
      </c>
      <c r="G48" s="9">
        <v>5122</v>
      </c>
      <c r="H48" s="9">
        <v>266933.39151680993</v>
      </c>
      <c r="I48" s="9">
        <v>498</v>
      </c>
      <c r="J48" s="9">
        <v>142054.51914316</v>
      </c>
      <c r="K48" s="10">
        <v>53</v>
      </c>
      <c r="L48" s="10">
        <v>13103.10486141</v>
      </c>
      <c r="M48" s="10">
        <v>0</v>
      </c>
      <c r="N48" s="10">
        <v>0</v>
      </c>
      <c r="O48" s="10">
        <v>39</v>
      </c>
      <c r="P48" s="10">
        <v>2869.0410394999999</v>
      </c>
      <c r="Q48" s="10">
        <v>1</v>
      </c>
      <c r="R48" s="10">
        <v>50</v>
      </c>
      <c r="S48" s="10">
        <v>4</v>
      </c>
      <c r="T48" s="10">
        <v>804.53069612000002</v>
      </c>
      <c r="U48" s="10">
        <v>0</v>
      </c>
      <c r="V48" s="10">
        <v>0</v>
      </c>
      <c r="W48" s="10">
        <v>3</v>
      </c>
      <c r="X48" s="10">
        <v>4447.2591460000003</v>
      </c>
      <c r="Y48" s="10">
        <v>1</v>
      </c>
      <c r="Z48" s="10">
        <v>10.068659999999999</v>
      </c>
      <c r="AA48" s="10">
        <v>1</v>
      </c>
      <c r="AB48" s="10">
        <v>608.60973228</v>
      </c>
      <c r="AC48" s="10">
        <v>1</v>
      </c>
      <c r="AD48" s="10">
        <v>608.60973228</v>
      </c>
      <c r="AE48" s="10">
        <v>3</v>
      </c>
      <c r="AF48" s="10">
        <v>58606.762381119996</v>
      </c>
      <c r="AG48" s="10">
        <v>2</v>
      </c>
      <c r="AH48" s="10">
        <v>57493.132962669995</v>
      </c>
      <c r="AI48" s="10">
        <v>9</v>
      </c>
      <c r="AJ48" s="10">
        <v>95105.04892916001</v>
      </c>
      <c r="AK48" s="10">
        <v>7</v>
      </c>
      <c r="AL48" s="10">
        <v>77554.935233850003</v>
      </c>
      <c r="AM48" s="10">
        <v>1593</v>
      </c>
      <c r="AN48" s="10">
        <v>25695.107536009997</v>
      </c>
      <c r="AO48" s="10">
        <v>12</v>
      </c>
      <c r="AP48" s="10">
        <v>261.81421315</v>
      </c>
      <c r="AQ48" s="10">
        <v>1662</v>
      </c>
      <c r="AR48" s="10">
        <v>27174.829800560001</v>
      </c>
      <c r="AS48" s="10">
        <v>314</v>
      </c>
      <c r="AT48" s="10">
        <v>1952.3315747600006</v>
      </c>
      <c r="AU48" s="10">
        <v>1214</v>
      </c>
      <c r="AV48" s="10">
        <v>26389.457336420022</v>
      </c>
      <c r="AW48" s="10">
        <v>84</v>
      </c>
      <c r="AX48" s="10">
        <v>3453.3209291099997</v>
      </c>
      <c r="AY48" s="10">
        <v>496</v>
      </c>
      <c r="AZ48" s="10">
        <v>11348.421057520014</v>
      </c>
      <c r="BA48" s="10">
        <v>47</v>
      </c>
      <c r="BB48" s="10">
        <v>513.56814166999993</v>
      </c>
      <c r="BC48" s="10">
        <v>15</v>
      </c>
      <c r="BD48" s="10">
        <v>606.42762836999987</v>
      </c>
      <c r="BE48" s="10">
        <v>1</v>
      </c>
      <c r="BF48" s="10">
        <v>1.31752318</v>
      </c>
      <c r="BG48" s="10">
        <v>25</v>
      </c>
      <c r="BH48" s="10">
        <v>141.73916648000002</v>
      </c>
      <c r="BI48" s="10">
        <v>25</v>
      </c>
      <c r="BJ48" s="10">
        <v>141.73916648000002</v>
      </c>
      <c r="BK48" s="10">
        <v>5</v>
      </c>
      <c r="BL48" s="10">
        <v>33.052205860000001</v>
      </c>
      <c r="BM48" s="10">
        <v>3</v>
      </c>
      <c r="BN48" s="10">
        <v>13.681006010000001</v>
      </c>
      <c r="BO48" s="18">
        <f t="shared" si="6"/>
        <v>0</v>
      </c>
      <c r="BP48" s="18">
        <f t="shared" si="7"/>
        <v>-8.5563556240231264E-11</v>
      </c>
      <c r="BQ48" s="18">
        <f t="shared" si="4"/>
        <v>0</v>
      </c>
      <c r="BR48" s="18">
        <f t="shared" si="5"/>
        <v>9.524825372864143E-12</v>
      </c>
      <c r="BS48" s="18"/>
      <c r="BT48" s="18"/>
      <c r="BU48" s="18"/>
      <c r="BV48" s="18"/>
    </row>
    <row r="49" spans="1:74" s="11" customFormat="1" ht="27" customHeight="1" x14ac:dyDescent="0.25">
      <c r="A49" s="66" t="s">
        <v>30</v>
      </c>
      <c r="B49" s="1">
        <f t="shared" si="8"/>
        <v>42</v>
      </c>
      <c r="C49" s="20" t="s">
        <v>2096</v>
      </c>
      <c r="D49" s="20" t="s">
        <v>2102</v>
      </c>
      <c r="E49" s="65">
        <v>11387</v>
      </c>
      <c r="F49" s="19" t="s">
        <v>2068</v>
      </c>
      <c r="G49" s="9">
        <v>3109</v>
      </c>
      <c r="H49" s="9">
        <v>88954.629553700011</v>
      </c>
      <c r="I49" s="9">
        <v>268</v>
      </c>
      <c r="J49" s="9">
        <v>22939.004950440001</v>
      </c>
      <c r="K49" s="10">
        <v>49</v>
      </c>
      <c r="L49" s="10">
        <v>13415.71035406</v>
      </c>
      <c r="M49" s="10">
        <v>0</v>
      </c>
      <c r="N49" s="10">
        <v>0</v>
      </c>
      <c r="O49" s="10">
        <v>13</v>
      </c>
      <c r="P49" s="10">
        <v>1258.5718351400001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2</v>
      </c>
      <c r="X49" s="10">
        <v>221.39769336000001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3</v>
      </c>
      <c r="AJ49" s="10">
        <v>26522.03205894</v>
      </c>
      <c r="AK49" s="10">
        <v>1</v>
      </c>
      <c r="AL49" s="10">
        <v>21424.14</v>
      </c>
      <c r="AM49" s="10">
        <v>1235</v>
      </c>
      <c r="AN49" s="10">
        <v>21736.038453180023</v>
      </c>
      <c r="AO49" s="10">
        <v>6</v>
      </c>
      <c r="AP49" s="10">
        <v>105.99352422</v>
      </c>
      <c r="AQ49" s="10">
        <v>1024</v>
      </c>
      <c r="AR49" s="10">
        <v>11856.485608570018</v>
      </c>
      <c r="AS49" s="10">
        <v>162</v>
      </c>
      <c r="AT49" s="10">
        <v>702.67023905999952</v>
      </c>
      <c r="AU49" s="10">
        <v>535</v>
      </c>
      <c r="AV49" s="10">
        <v>7407.1478517100068</v>
      </c>
      <c r="AW49" s="10">
        <v>53</v>
      </c>
      <c r="AX49" s="10">
        <v>487.77687786000013</v>
      </c>
      <c r="AY49" s="10">
        <v>223</v>
      </c>
      <c r="AZ49" s="10">
        <v>6067.10224707</v>
      </c>
      <c r="BA49" s="10">
        <v>30</v>
      </c>
      <c r="BB49" s="10">
        <v>140.43744693000005</v>
      </c>
      <c r="BC49" s="10">
        <v>6</v>
      </c>
      <c r="BD49" s="10">
        <v>274.59421254</v>
      </c>
      <c r="BE49" s="10">
        <v>0</v>
      </c>
      <c r="BF49" s="10">
        <v>0</v>
      </c>
      <c r="BG49" s="10">
        <v>13</v>
      </c>
      <c r="BH49" s="10">
        <v>55.481350379999995</v>
      </c>
      <c r="BI49" s="10">
        <v>13</v>
      </c>
      <c r="BJ49" s="10">
        <v>55.481350379999995</v>
      </c>
      <c r="BK49" s="10">
        <v>6</v>
      </c>
      <c r="BL49" s="10">
        <v>140.06788875000001</v>
      </c>
      <c r="BM49" s="10">
        <v>3</v>
      </c>
      <c r="BN49" s="10">
        <v>22.505511989999999</v>
      </c>
      <c r="BO49" s="18">
        <f t="shared" si="6"/>
        <v>0</v>
      </c>
      <c r="BP49" s="18">
        <f t="shared" si="7"/>
        <v>-3.3537617127876729E-11</v>
      </c>
      <c r="BQ49" s="18">
        <f t="shared" si="4"/>
        <v>0</v>
      </c>
      <c r="BR49" s="18">
        <f t="shared" si="5"/>
        <v>2.2346569039655151E-12</v>
      </c>
      <c r="BS49" s="18"/>
      <c r="BT49" s="18"/>
      <c r="BU49" s="18"/>
      <c r="BV49" s="18"/>
    </row>
    <row r="50" spans="1:74" s="11" customFormat="1" ht="27" customHeight="1" x14ac:dyDescent="0.25">
      <c r="A50" s="66" t="s">
        <v>30</v>
      </c>
      <c r="B50" s="1">
        <f t="shared" si="8"/>
        <v>43</v>
      </c>
      <c r="C50" s="20" t="s">
        <v>2096</v>
      </c>
      <c r="D50" s="20" t="s">
        <v>2108</v>
      </c>
      <c r="E50" s="65">
        <v>11388</v>
      </c>
      <c r="F50" s="19" t="s">
        <v>2062</v>
      </c>
      <c r="G50" s="9">
        <v>4507</v>
      </c>
      <c r="H50" s="9">
        <v>73008.541276389995</v>
      </c>
      <c r="I50" s="9">
        <v>405</v>
      </c>
      <c r="J50" s="9">
        <v>5494.1949693900006</v>
      </c>
      <c r="K50" s="10">
        <v>46</v>
      </c>
      <c r="L50" s="10">
        <v>7321.8084672100013</v>
      </c>
      <c r="M50" s="10">
        <v>0</v>
      </c>
      <c r="N50" s="10">
        <v>0</v>
      </c>
      <c r="O50" s="10">
        <v>39</v>
      </c>
      <c r="P50" s="10">
        <v>5211.9998960299999</v>
      </c>
      <c r="Q50" s="10">
        <v>4</v>
      </c>
      <c r="R50" s="10">
        <v>1404.6410691600001</v>
      </c>
      <c r="S50" s="10">
        <v>4</v>
      </c>
      <c r="T50" s="10">
        <v>471.17043391999999</v>
      </c>
      <c r="U50" s="10">
        <v>2</v>
      </c>
      <c r="V50" s="10">
        <v>364.03871702999999</v>
      </c>
      <c r="W50" s="10">
        <v>8</v>
      </c>
      <c r="X50" s="10">
        <v>1428.1673049400001</v>
      </c>
      <c r="Y50" s="10">
        <v>1</v>
      </c>
      <c r="Z50" s="10">
        <v>23.994375899999998</v>
      </c>
      <c r="AA50" s="10">
        <v>0</v>
      </c>
      <c r="AB50" s="10">
        <v>0</v>
      </c>
      <c r="AC50" s="10">
        <v>0</v>
      </c>
      <c r="AD50" s="10">
        <v>0</v>
      </c>
      <c r="AE50" s="10">
        <v>1</v>
      </c>
      <c r="AF50" s="10">
        <v>272.72727260000005</v>
      </c>
      <c r="AG50" s="10">
        <v>0</v>
      </c>
      <c r="AH50" s="10">
        <v>0</v>
      </c>
      <c r="AI50" s="10">
        <v>3</v>
      </c>
      <c r="AJ50" s="10">
        <v>1576.9431064300002</v>
      </c>
      <c r="AK50" s="10">
        <v>0</v>
      </c>
      <c r="AL50" s="10">
        <v>0</v>
      </c>
      <c r="AM50" s="10">
        <v>1347</v>
      </c>
      <c r="AN50" s="10">
        <v>15780.703970670023</v>
      </c>
      <c r="AO50" s="10">
        <v>13</v>
      </c>
      <c r="AP50" s="10">
        <v>134.10213869999998</v>
      </c>
      <c r="AQ50" s="10">
        <v>1340</v>
      </c>
      <c r="AR50" s="10">
        <v>12472.279956929999</v>
      </c>
      <c r="AS50" s="10">
        <v>181</v>
      </c>
      <c r="AT50" s="10">
        <v>1628.2736431900003</v>
      </c>
      <c r="AU50" s="10">
        <v>1045</v>
      </c>
      <c r="AV50" s="10">
        <v>17662.444501109992</v>
      </c>
      <c r="AW50" s="10">
        <v>112</v>
      </c>
      <c r="AX50" s="10">
        <v>1346.5656346500007</v>
      </c>
      <c r="AY50" s="10">
        <v>629</v>
      </c>
      <c r="AZ50" s="10">
        <v>9174.6138005099947</v>
      </c>
      <c r="BA50" s="10">
        <v>72</v>
      </c>
      <c r="BB50" s="10">
        <v>471.37430260000002</v>
      </c>
      <c r="BC50" s="10">
        <v>13</v>
      </c>
      <c r="BD50" s="10">
        <v>578.84486862000006</v>
      </c>
      <c r="BE50" s="10">
        <v>0</v>
      </c>
      <c r="BF50" s="10">
        <v>0</v>
      </c>
      <c r="BG50" s="10">
        <v>24</v>
      </c>
      <c r="BH50" s="10">
        <v>346.25321535000006</v>
      </c>
      <c r="BI50" s="10">
        <v>19</v>
      </c>
      <c r="BJ50" s="10">
        <v>119.99198674999998</v>
      </c>
      <c r="BK50" s="10">
        <v>8</v>
      </c>
      <c r="BL50" s="10">
        <v>710.58448206999992</v>
      </c>
      <c r="BM50" s="10">
        <v>1</v>
      </c>
      <c r="BN50" s="10">
        <v>1.2131014099999999</v>
      </c>
      <c r="BO50" s="18">
        <f t="shared" si="6"/>
        <v>0</v>
      </c>
      <c r="BP50" s="18">
        <f t="shared" si="7"/>
        <v>-2.0918378140777349E-11</v>
      </c>
      <c r="BQ50" s="18">
        <f t="shared" si="4"/>
        <v>0</v>
      </c>
      <c r="BR50" s="18">
        <f t="shared" si="5"/>
        <v>-6.6058269965196814E-13</v>
      </c>
      <c r="BS50" s="18"/>
      <c r="BT50" s="18"/>
      <c r="BU50" s="18"/>
      <c r="BV50" s="18"/>
    </row>
    <row r="51" spans="1:74" s="11" customFormat="1" ht="27" customHeight="1" x14ac:dyDescent="0.25">
      <c r="A51" s="66" t="s">
        <v>30</v>
      </c>
      <c r="B51" s="1">
        <f t="shared" si="8"/>
        <v>44</v>
      </c>
      <c r="C51" s="20" t="s">
        <v>2096</v>
      </c>
      <c r="D51" s="20" t="s">
        <v>2117</v>
      </c>
      <c r="E51" s="65">
        <v>11487</v>
      </c>
      <c r="F51" s="19" t="s">
        <v>2077</v>
      </c>
      <c r="G51" s="9">
        <v>5446</v>
      </c>
      <c r="H51" s="9">
        <v>151046.54853052998</v>
      </c>
      <c r="I51" s="9">
        <v>257</v>
      </c>
      <c r="J51" s="9">
        <v>1165.6189171499998</v>
      </c>
      <c r="K51" s="10">
        <v>58</v>
      </c>
      <c r="L51" s="10">
        <v>17799.016397739997</v>
      </c>
      <c r="M51" s="10">
        <v>0</v>
      </c>
      <c r="N51" s="10">
        <v>0</v>
      </c>
      <c r="O51" s="10">
        <v>47</v>
      </c>
      <c r="P51" s="10">
        <v>7183.31906213</v>
      </c>
      <c r="Q51" s="10">
        <v>0</v>
      </c>
      <c r="R51" s="10">
        <v>0</v>
      </c>
      <c r="S51" s="10">
        <v>23</v>
      </c>
      <c r="T51" s="10">
        <v>13083.15889226</v>
      </c>
      <c r="U51" s="10">
        <v>0</v>
      </c>
      <c r="V51" s="10">
        <v>0</v>
      </c>
      <c r="W51" s="10">
        <v>10</v>
      </c>
      <c r="X51" s="10">
        <v>4280.0662027500002</v>
      </c>
      <c r="Y51" s="10">
        <v>0</v>
      </c>
      <c r="Z51" s="10">
        <v>0</v>
      </c>
      <c r="AA51" s="10">
        <v>5</v>
      </c>
      <c r="AB51" s="10">
        <v>676.14387902999999</v>
      </c>
      <c r="AC51" s="10">
        <v>1</v>
      </c>
      <c r="AD51" s="10">
        <v>9.7527060299999988</v>
      </c>
      <c r="AE51" s="10">
        <v>4</v>
      </c>
      <c r="AF51" s="10">
        <v>2428.96209077</v>
      </c>
      <c r="AG51" s="10">
        <v>0</v>
      </c>
      <c r="AH51" s="10">
        <v>0</v>
      </c>
      <c r="AI51" s="10">
        <v>2</v>
      </c>
      <c r="AJ51" s="10">
        <v>957.85318451000001</v>
      </c>
      <c r="AK51" s="10">
        <v>0</v>
      </c>
      <c r="AL51" s="10">
        <v>0</v>
      </c>
      <c r="AM51" s="10">
        <v>1916</v>
      </c>
      <c r="AN51" s="10">
        <v>48746.794582880066</v>
      </c>
      <c r="AO51" s="10">
        <v>0</v>
      </c>
      <c r="AP51" s="10">
        <v>0</v>
      </c>
      <c r="AQ51" s="10">
        <v>1611</v>
      </c>
      <c r="AR51" s="10">
        <v>16572.932669289999</v>
      </c>
      <c r="AS51" s="10">
        <v>201</v>
      </c>
      <c r="AT51" s="10">
        <v>872.96108532000051</v>
      </c>
      <c r="AU51" s="10">
        <v>986</v>
      </c>
      <c r="AV51" s="10">
        <v>16756.536599230003</v>
      </c>
      <c r="AW51" s="10">
        <v>25</v>
      </c>
      <c r="AX51" s="10">
        <v>163.28531144999999</v>
      </c>
      <c r="AY51" s="10">
        <v>605</v>
      </c>
      <c r="AZ51" s="10">
        <v>10500.964083559995</v>
      </c>
      <c r="BA51" s="10">
        <v>25</v>
      </c>
      <c r="BB51" s="10">
        <v>101.16185178000003</v>
      </c>
      <c r="BC51" s="10">
        <v>44</v>
      </c>
      <c r="BD51" s="10">
        <v>1436.8113582899998</v>
      </c>
      <c r="BE51" s="10">
        <v>1</v>
      </c>
      <c r="BF51" s="10">
        <v>1.98518281</v>
      </c>
      <c r="BG51" s="10">
        <v>6</v>
      </c>
      <c r="BH51" s="10">
        <v>197.62579136000002</v>
      </c>
      <c r="BI51" s="10">
        <v>3</v>
      </c>
      <c r="BJ51" s="10">
        <v>11.60052625</v>
      </c>
      <c r="BK51" s="10">
        <v>129</v>
      </c>
      <c r="BL51" s="10">
        <v>10426.363736729996</v>
      </c>
      <c r="BM51" s="10">
        <v>1</v>
      </c>
      <c r="BN51" s="10">
        <v>4.8722535100000002</v>
      </c>
      <c r="BO51" s="18">
        <f t="shared" si="6"/>
        <v>0</v>
      </c>
      <c r="BP51" s="18">
        <f t="shared" si="7"/>
        <v>-8.3673512563109398E-11</v>
      </c>
      <c r="BQ51" s="18">
        <f t="shared" si="4"/>
        <v>0</v>
      </c>
      <c r="BR51" s="18">
        <f t="shared" si="5"/>
        <v>-6.4837024638109142E-13</v>
      </c>
      <c r="BS51" s="18"/>
      <c r="BT51" s="18"/>
      <c r="BU51" s="18"/>
      <c r="BV51" s="18"/>
    </row>
    <row r="52" spans="1:74" s="11" customFormat="1" ht="27" customHeight="1" x14ac:dyDescent="0.25">
      <c r="A52" s="66" t="s">
        <v>30</v>
      </c>
      <c r="B52" s="1">
        <f t="shared" si="8"/>
        <v>45</v>
      </c>
      <c r="C52" s="20" t="s">
        <v>2096</v>
      </c>
      <c r="D52" s="20" t="s">
        <v>2098</v>
      </c>
      <c r="E52" s="65">
        <v>11488</v>
      </c>
      <c r="F52" s="19" t="s">
        <v>2075</v>
      </c>
      <c r="G52" s="9">
        <v>3152</v>
      </c>
      <c r="H52" s="9">
        <v>72868.520766420013</v>
      </c>
      <c r="I52" s="9">
        <v>107</v>
      </c>
      <c r="J52" s="9">
        <v>886.06537436999986</v>
      </c>
      <c r="K52" s="10">
        <v>46</v>
      </c>
      <c r="L52" s="10">
        <v>6911.4314668999978</v>
      </c>
      <c r="M52" s="10">
        <v>0</v>
      </c>
      <c r="N52" s="10">
        <v>0</v>
      </c>
      <c r="O52" s="10">
        <v>48</v>
      </c>
      <c r="P52" s="10">
        <v>3244.2490044200013</v>
      </c>
      <c r="Q52" s="10">
        <v>3</v>
      </c>
      <c r="R52" s="10">
        <v>141.80931581999999</v>
      </c>
      <c r="S52" s="10">
        <v>3</v>
      </c>
      <c r="T52" s="10">
        <v>400.92410476999999</v>
      </c>
      <c r="U52" s="10">
        <v>0</v>
      </c>
      <c r="V52" s="10">
        <v>0</v>
      </c>
      <c r="W52" s="10">
        <v>2</v>
      </c>
      <c r="X52" s="10">
        <v>2855.5922719999999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2</v>
      </c>
      <c r="AF52" s="10">
        <v>6414.2136346000007</v>
      </c>
      <c r="AG52" s="10">
        <v>0</v>
      </c>
      <c r="AH52" s="10">
        <v>0</v>
      </c>
      <c r="AI52" s="10">
        <v>1</v>
      </c>
      <c r="AJ52" s="10">
        <v>347.83614783999997</v>
      </c>
      <c r="AK52" s="10">
        <v>0</v>
      </c>
      <c r="AL52" s="10">
        <v>0</v>
      </c>
      <c r="AM52" s="10">
        <v>1112</v>
      </c>
      <c r="AN52" s="10">
        <v>20242.367899829962</v>
      </c>
      <c r="AO52" s="10">
        <v>0</v>
      </c>
      <c r="AP52" s="10">
        <v>0</v>
      </c>
      <c r="AQ52" s="10">
        <v>970</v>
      </c>
      <c r="AR52" s="10">
        <v>13847.985760359972</v>
      </c>
      <c r="AS52" s="10">
        <v>74</v>
      </c>
      <c r="AT52" s="10">
        <v>458.56231979</v>
      </c>
      <c r="AU52" s="10">
        <v>536</v>
      </c>
      <c r="AV52" s="10">
        <v>10719.146876830009</v>
      </c>
      <c r="AW52" s="10">
        <v>13</v>
      </c>
      <c r="AX52" s="10">
        <v>198.57716730999999</v>
      </c>
      <c r="AY52" s="10">
        <v>417</v>
      </c>
      <c r="AZ52" s="10">
        <v>5392.0668483599993</v>
      </c>
      <c r="BA52" s="10">
        <v>15</v>
      </c>
      <c r="BB52" s="10">
        <v>81.781292449999995</v>
      </c>
      <c r="BC52" s="10">
        <v>12</v>
      </c>
      <c r="BD52" s="10">
        <v>2268.9771941000004</v>
      </c>
      <c r="BE52" s="10">
        <v>1</v>
      </c>
      <c r="BF52" s="10">
        <v>0.78527899999999995</v>
      </c>
      <c r="BG52" s="10">
        <v>0</v>
      </c>
      <c r="BH52" s="10">
        <v>0</v>
      </c>
      <c r="BI52" s="10">
        <v>0</v>
      </c>
      <c r="BJ52" s="10">
        <v>0</v>
      </c>
      <c r="BK52" s="10">
        <v>3</v>
      </c>
      <c r="BL52" s="10">
        <v>223.72955640999999</v>
      </c>
      <c r="BM52" s="10">
        <v>1</v>
      </c>
      <c r="BN52" s="10">
        <v>4.55</v>
      </c>
      <c r="BO52" s="18">
        <f t="shared" si="6"/>
        <v>0</v>
      </c>
      <c r="BP52" s="18">
        <f t="shared" si="7"/>
        <v>7.5488060247153044E-11</v>
      </c>
      <c r="BQ52" s="18">
        <f t="shared" si="4"/>
        <v>0</v>
      </c>
      <c r="BR52" s="18">
        <f t="shared" si="5"/>
        <v>-1.8474111129762605E-13</v>
      </c>
      <c r="BS52" s="18"/>
      <c r="BT52" s="18"/>
      <c r="BU52" s="18"/>
      <c r="BV52" s="18"/>
    </row>
    <row r="53" spans="1:74" s="11" customFormat="1" ht="27" customHeight="1" x14ac:dyDescent="0.25">
      <c r="A53" s="66" t="s">
        <v>30</v>
      </c>
      <c r="B53" s="1">
        <f t="shared" si="8"/>
        <v>46</v>
      </c>
      <c r="C53" s="20" t="s">
        <v>2096</v>
      </c>
      <c r="D53" s="20" t="s">
        <v>2116</v>
      </c>
      <c r="E53" s="65">
        <v>11489</v>
      </c>
      <c r="F53" s="19" t="s">
        <v>2066</v>
      </c>
      <c r="G53" s="9">
        <v>6081</v>
      </c>
      <c r="H53" s="9">
        <v>107704.93031629003</v>
      </c>
      <c r="I53" s="9">
        <v>312</v>
      </c>
      <c r="J53" s="9">
        <v>3601.6024484300001</v>
      </c>
      <c r="K53" s="10">
        <v>61</v>
      </c>
      <c r="L53" s="10">
        <v>14983.108769309998</v>
      </c>
      <c r="M53" s="10">
        <v>0</v>
      </c>
      <c r="N53" s="10">
        <v>0</v>
      </c>
      <c r="O53" s="10">
        <v>36</v>
      </c>
      <c r="P53" s="10">
        <v>3263.0686586699999</v>
      </c>
      <c r="Q53" s="10">
        <v>2</v>
      </c>
      <c r="R53" s="10">
        <v>522.78238010999996</v>
      </c>
      <c r="S53" s="10">
        <v>3</v>
      </c>
      <c r="T53" s="10">
        <v>86.112505999999996</v>
      </c>
      <c r="U53" s="10">
        <v>0</v>
      </c>
      <c r="V53" s="10">
        <v>0</v>
      </c>
      <c r="W53" s="10">
        <v>4</v>
      </c>
      <c r="X53" s="10">
        <v>1290.63001927</v>
      </c>
      <c r="Y53" s="10">
        <v>0</v>
      </c>
      <c r="Z53" s="10">
        <v>0</v>
      </c>
      <c r="AA53" s="10">
        <v>2</v>
      </c>
      <c r="AB53" s="10">
        <v>735.29382180999994</v>
      </c>
      <c r="AC53" s="10">
        <v>1</v>
      </c>
      <c r="AD53" s="10">
        <v>491.04827081000002</v>
      </c>
      <c r="AE53" s="10">
        <v>1</v>
      </c>
      <c r="AF53" s="10">
        <v>943.63637000000006</v>
      </c>
      <c r="AG53" s="10">
        <v>0</v>
      </c>
      <c r="AH53" s="10">
        <v>0</v>
      </c>
      <c r="AI53" s="10">
        <v>1</v>
      </c>
      <c r="AJ53" s="10">
        <v>241.25962100000001</v>
      </c>
      <c r="AK53" s="10">
        <v>0</v>
      </c>
      <c r="AL53" s="10">
        <v>0</v>
      </c>
      <c r="AM53" s="10">
        <v>2188</v>
      </c>
      <c r="AN53" s="10">
        <v>32892.352156329951</v>
      </c>
      <c r="AO53" s="10">
        <v>7</v>
      </c>
      <c r="AP53" s="10">
        <v>57.642672670000003</v>
      </c>
      <c r="AQ53" s="10">
        <v>1830</v>
      </c>
      <c r="AR53" s="10">
        <v>23360.074024659996</v>
      </c>
      <c r="AS53" s="10">
        <v>163</v>
      </c>
      <c r="AT53" s="10">
        <v>948.48539884000036</v>
      </c>
      <c r="AU53" s="10">
        <v>1337</v>
      </c>
      <c r="AV53" s="10">
        <v>21765.830579009988</v>
      </c>
      <c r="AW53" s="10">
        <v>65</v>
      </c>
      <c r="AX53" s="10">
        <v>878.86374687000023</v>
      </c>
      <c r="AY53" s="10">
        <v>595</v>
      </c>
      <c r="AZ53" s="10">
        <v>7647.5616835099963</v>
      </c>
      <c r="BA53" s="10">
        <v>62</v>
      </c>
      <c r="BB53" s="10">
        <v>661.08180786000014</v>
      </c>
      <c r="BC53" s="10">
        <v>10</v>
      </c>
      <c r="BD53" s="10">
        <v>221.40969333000001</v>
      </c>
      <c r="BE53" s="10">
        <v>1</v>
      </c>
      <c r="BF53" s="10">
        <v>2.2811228999999997</v>
      </c>
      <c r="BG53" s="10">
        <v>11</v>
      </c>
      <c r="BH53" s="10">
        <v>267.33785830000005</v>
      </c>
      <c r="BI53" s="10">
        <v>9</v>
      </c>
      <c r="BJ53" s="10">
        <v>32.16249328</v>
      </c>
      <c r="BK53" s="10">
        <v>2</v>
      </c>
      <c r="BL53" s="10">
        <v>7.2545550900000002</v>
      </c>
      <c r="BM53" s="10">
        <v>2</v>
      </c>
      <c r="BN53" s="10">
        <v>7.2545550900000002</v>
      </c>
      <c r="BO53" s="18">
        <f t="shared" si="6"/>
        <v>0</v>
      </c>
      <c r="BP53" s="18">
        <f t="shared" si="7"/>
        <v>9.50386436215922E-11</v>
      </c>
      <c r="BQ53" s="18">
        <f t="shared" si="4"/>
        <v>0</v>
      </c>
      <c r="BR53" s="18">
        <f t="shared" si="5"/>
        <v>-5.7909232964448165E-13</v>
      </c>
      <c r="BS53" s="18"/>
      <c r="BT53" s="18"/>
      <c r="BU53" s="18"/>
      <c r="BV53" s="18"/>
    </row>
    <row r="54" spans="1:74" s="11" customFormat="1" ht="27" customHeight="1" x14ac:dyDescent="0.25">
      <c r="A54" s="66" t="s">
        <v>30</v>
      </c>
      <c r="B54" s="1">
        <f t="shared" si="8"/>
        <v>47</v>
      </c>
      <c r="C54" s="20" t="s">
        <v>2096</v>
      </c>
      <c r="D54" s="20" t="s">
        <v>2104</v>
      </c>
      <c r="E54" s="65">
        <v>11490</v>
      </c>
      <c r="F54" s="19" t="s">
        <v>2054</v>
      </c>
      <c r="G54" s="9">
        <v>3958</v>
      </c>
      <c r="H54" s="9">
        <v>161989.07907502988</v>
      </c>
      <c r="I54" s="9">
        <v>290</v>
      </c>
      <c r="J54" s="9">
        <v>4447.6504222900003</v>
      </c>
      <c r="K54" s="10">
        <v>61</v>
      </c>
      <c r="L54" s="10">
        <v>20679.172542790006</v>
      </c>
      <c r="M54" s="10">
        <v>1</v>
      </c>
      <c r="N54" s="10">
        <v>1850.5695766099998</v>
      </c>
      <c r="O54" s="10">
        <v>71</v>
      </c>
      <c r="P54" s="10">
        <v>8106.1556432000016</v>
      </c>
      <c r="Q54" s="10">
        <v>2</v>
      </c>
      <c r="R54" s="10">
        <v>69.041816220000001</v>
      </c>
      <c r="S54" s="10">
        <v>0</v>
      </c>
      <c r="T54" s="10">
        <v>0</v>
      </c>
      <c r="U54" s="10">
        <v>0</v>
      </c>
      <c r="V54" s="10">
        <v>0</v>
      </c>
      <c r="W54" s="10">
        <v>3</v>
      </c>
      <c r="X54" s="10">
        <v>12491.18168</v>
      </c>
      <c r="Y54" s="10">
        <v>1</v>
      </c>
      <c r="Z54" s="10">
        <v>317.3965</v>
      </c>
      <c r="AA54" s="10">
        <v>4</v>
      </c>
      <c r="AB54" s="10">
        <v>5439.2724404499995</v>
      </c>
      <c r="AC54" s="10">
        <v>0</v>
      </c>
      <c r="AD54" s="10">
        <v>0</v>
      </c>
      <c r="AE54" s="10">
        <v>3</v>
      </c>
      <c r="AF54" s="10">
        <v>12132.774425239999</v>
      </c>
      <c r="AG54" s="10">
        <v>1</v>
      </c>
      <c r="AH54" s="10">
        <v>54.144552650000001</v>
      </c>
      <c r="AI54" s="10">
        <v>5</v>
      </c>
      <c r="AJ54" s="10">
        <v>33749.662578519994</v>
      </c>
      <c r="AK54" s="10">
        <v>0</v>
      </c>
      <c r="AL54" s="10">
        <v>0</v>
      </c>
      <c r="AM54" s="10">
        <v>1598</v>
      </c>
      <c r="AN54" s="10">
        <v>27918.05569709999</v>
      </c>
      <c r="AO54" s="10">
        <v>8</v>
      </c>
      <c r="AP54" s="10">
        <v>154.10878236000002</v>
      </c>
      <c r="AQ54" s="10">
        <v>977</v>
      </c>
      <c r="AR54" s="10">
        <v>13239.122524720005</v>
      </c>
      <c r="AS54" s="10">
        <v>72</v>
      </c>
      <c r="AT54" s="10">
        <v>690.33575639000037</v>
      </c>
      <c r="AU54" s="10">
        <v>736</v>
      </c>
      <c r="AV54" s="10">
        <v>12875.133892919996</v>
      </c>
      <c r="AW54" s="10">
        <v>54</v>
      </c>
      <c r="AX54" s="10">
        <v>733.26724322999996</v>
      </c>
      <c r="AY54" s="10">
        <v>275</v>
      </c>
      <c r="AZ54" s="10">
        <v>4023.5729134400026</v>
      </c>
      <c r="BA54" s="10">
        <v>64</v>
      </c>
      <c r="BB54" s="10">
        <v>242.31163197999996</v>
      </c>
      <c r="BC54" s="10">
        <v>16</v>
      </c>
      <c r="BD54" s="10">
        <v>1087.7386201500001</v>
      </c>
      <c r="BE54" s="10">
        <v>1</v>
      </c>
      <c r="BF54" s="10">
        <v>6.4126099999999999</v>
      </c>
      <c r="BG54" s="10">
        <v>100</v>
      </c>
      <c r="BH54" s="10">
        <v>2482.3617118200013</v>
      </c>
      <c r="BI54" s="10">
        <v>84</v>
      </c>
      <c r="BJ54" s="10">
        <v>325.92664830999996</v>
      </c>
      <c r="BK54" s="10">
        <v>109</v>
      </c>
      <c r="BL54" s="10">
        <v>7764.8744046799975</v>
      </c>
      <c r="BM54" s="10">
        <v>2</v>
      </c>
      <c r="BN54" s="10">
        <v>4.1353045399999999</v>
      </c>
      <c r="BO54" s="18">
        <f t="shared" si="6"/>
        <v>0</v>
      </c>
      <c r="BP54" s="18">
        <f t="shared" si="7"/>
        <v>-1.3187673175707459E-10</v>
      </c>
      <c r="BQ54" s="18">
        <f t="shared" si="4"/>
        <v>0</v>
      </c>
      <c r="BR54" s="18">
        <f t="shared" si="5"/>
        <v>3.3395508580724709E-13</v>
      </c>
      <c r="BS54" s="18"/>
      <c r="BT54" s="18"/>
      <c r="BU54" s="18"/>
      <c r="BV54" s="18"/>
    </row>
    <row r="55" spans="1:74" s="11" customFormat="1" ht="27" customHeight="1" x14ac:dyDescent="0.25">
      <c r="A55" s="66" t="s">
        <v>30</v>
      </c>
      <c r="B55" s="1">
        <f t="shared" si="8"/>
        <v>48</v>
      </c>
      <c r="C55" s="20" t="s">
        <v>2096</v>
      </c>
      <c r="D55" s="20" t="s">
        <v>2106</v>
      </c>
      <c r="E55" s="65">
        <v>11579</v>
      </c>
      <c r="F55" s="19" t="s">
        <v>2107</v>
      </c>
      <c r="G55" s="9">
        <v>4377</v>
      </c>
      <c r="H55" s="9">
        <v>307904.30674012995</v>
      </c>
      <c r="I55" s="9">
        <v>315</v>
      </c>
      <c r="J55" s="9">
        <v>6672.87105926</v>
      </c>
      <c r="K55" s="10">
        <v>114</v>
      </c>
      <c r="L55" s="10">
        <v>75396.646729759974</v>
      </c>
      <c r="M55" s="10">
        <v>0</v>
      </c>
      <c r="N55" s="10">
        <v>0</v>
      </c>
      <c r="O55" s="10">
        <v>45</v>
      </c>
      <c r="P55" s="10">
        <v>16603.81603179</v>
      </c>
      <c r="Q55" s="10">
        <v>4</v>
      </c>
      <c r="R55" s="10">
        <v>81.67270078</v>
      </c>
      <c r="S55" s="10">
        <v>5</v>
      </c>
      <c r="T55" s="10">
        <v>916.31929662000005</v>
      </c>
      <c r="U55" s="10">
        <v>1</v>
      </c>
      <c r="V55" s="10">
        <v>3.75108716</v>
      </c>
      <c r="W55" s="10">
        <v>10</v>
      </c>
      <c r="X55" s="10">
        <v>47267.679859729993</v>
      </c>
      <c r="Y55" s="10">
        <v>1</v>
      </c>
      <c r="Z55" s="10">
        <v>3600</v>
      </c>
      <c r="AA55" s="10">
        <v>4</v>
      </c>
      <c r="AB55" s="10">
        <v>9065.8975044500003</v>
      </c>
      <c r="AC55" s="10">
        <v>0</v>
      </c>
      <c r="AD55" s="10">
        <v>0</v>
      </c>
      <c r="AE55" s="10">
        <v>5</v>
      </c>
      <c r="AF55" s="10">
        <v>55849.924685190002</v>
      </c>
      <c r="AG55" s="10">
        <v>0</v>
      </c>
      <c r="AH55" s="10">
        <v>0</v>
      </c>
      <c r="AI55" s="10">
        <v>6</v>
      </c>
      <c r="AJ55" s="10">
        <v>26924.273131039998</v>
      </c>
      <c r="AK55" s="10">
        <v>0</v>
      </c>
      <c r="AL55" s="10">
        <v>0</v>
      </c>
      <c r="AM55" s="10">
        <v>1574</v>
      </c>
      <c r="AN55" s="10">
        <v>25018.169926959999</v>
      </c>
      <c r="AO55" s="10">
        <v>13</v>
      </c>
      <c r="AP55" s="10">
        <v>162.23572673999999</v>
      </c>
      <c r="AQ55" s="10">
        <v>944</v>
      </c>
      <c r="AR55" s="10">
        <v>10929.052642019986</v>
      </c>
      <c r="AS55" s="10">
        <v>125</v>
      </c>
      <c r="AT55" s="10">
        <v>900.44373356999984</v>
      </c>
      <c r="AU55" s="10">
        <v>1070</v>
      </c>
      <c r="AV55" s="10">
        <v>18493.641273439978</v>
      </c>
      <c r="AW55" s="10">
        <v>85</v>
      </c>
      <c r="AX55" s="10">
        <v>930.01032026999985</v>
      </c>
      <c r="AY55" s="10">
        <v>504</v>
      </c>
      <c r="AZ55" s="10">
        <v>14484.218686210015</v>
      </c>
      <c r="BA55" s="10">
        <v>72</v>
      </c>
      <c r="BB55" s="10">
        <v>955.67461979999962</v>
      </c>
      <c r="BC55" s="10">
        <v>27</v>
      </c>
      <c r="BD55" s="10">
        <v>950.44978710999965</v>
      </c>
      <c r="BE55" s="10">
        <v>5</v>
      </c>
      <c r="BF55" s="10">
        <v>5.1836679000000006</v>
      </c>
      <c r="BG55" s="10">
        <v>34</v>
      </c>
      <c r="BH55" s="10">
        <v>2394.7932270700007</v>
      </c>
      <c r="BI55" s="10">
        <v>5</v>
      </c>
      <c r="BJ55" s="10">
        <v>26.247426550000004</v>
      </c>
      <c r="BK55" s="10">
        <v>35</v>
      </c>
      <c r="BL55" s="10">
        <v>3609.4239587399998</v>
      </c>
      <c r="BM55" s="10">
        <v>4</v>
      </c>
      <c r="BN55" s="10">
        <v>7.6517764900000005</v>
      </c>
      <c r="BO55" s="18">
        <f t="shared" si="6"/>
        <v>0</v>
      </c>
      <c r="BP55" s="18">
        <f t="shared" si="7"/>
        <v>2.7739588404074311E-11</v>
      </c>
      <c r="BQ55" s="18">
        <f t="shared" si="4"/>
        <v>0</v>
      </c>
      <c r="BR55" s="18">
        <f t="shared" si="5"/>
        <v>1.0365042157900461E-12</v>
      </c>
      <c r="BS55" s="18"/>
      <c r="BT55" s="18"/>
      <c r="BU55" s="18"/>
      <c r="BV55" s="18"/>
    </row>
    <row r="56" spans="1:74" s="11" customFormat="1" ht="27" customHeight="1" x14ac:dyDescent="0.25">
      <c r="A56" s="66" t="s">
        <v>30</v>
      </c>
      <c r="B56" s="1">
        <f t="shared" si="8"/>
        <v>49</v>
      </c>
      <c r="C56" s="20" t="s">
        <v>2096</v>
      </c>
      <c r="D56" s="20" t="s">
        <v>2110</v>
      </c>
      <c r="E56" s="65">
        <v>11580</v>
      </c>
      <c r="F56" s="19" t="s">
        <v>2047</v>
      </c>
      <c r="G56" s="9">
        <v>3262</v>
      </c>
      <c r="H56" s="9">
        <v>107476.40310984</v>
      </c>
      <c r="I56" s="9">
        <v>201</v>
      </c>
      <c r="J56" s="9">
        <v>1855.66151287</v>
      </c>
      <c r="K56" s="10">
        <v>81</v>
      </c>
      <c r="L56" s="10">
        <v>29667.559383399999</v>
      </c>
      <c r="M56" s="10">
        <v>0</v>
      </c>
      <c r="N56" s="10">
        <v>0</v>
      </c>
      <c r="O56" s="10">
        <v>40</v>
      </c>
      <c r="P56" s="10">
        <v>2939.2625155199999</v>
      </c>
      <c r="Q56" s="10">
        <v>1</v>
      </c>
      <c r="R56" s="10">
        <v>34.292712700000003</v>
      </c>
      <c r="S56" s="10">
        <v>8</v>
      </c>
      <c r="T56" s="10">
        <v>2505.8177780000001</v>
      </c>
      <c r="U56" s="10">
        <v>0</v>
      </c>
      <c r="V56" s="10">
        <v>0</v>
      </c>
      <c r="W56" s="10">
        <v>21</v>
      </c>
      <c r="X56" s="10">
        <v>3983.0675175900001</v>
      </c>
      <c r="Y56" s="10">
        <v>0</v>
      </c>
      <c r="Z56" s="10">
        <v>0</v>
      </c>
      <c r="AA56" s="10">
        <v>1</v>
      </c>
      <c r="AB56" s="10">
        <v>292.95398295000001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1</v>
      </c>
      <c r="AJ56" s="10">
        <v>33.28521336</v>
      </c>
      <c r="AK56" s="10">
        <v>1</v>
      </c>
      <c r="AL56" s="10">
        <v>33.28521336</v>
      </c>
      <c r="AM56" s="10">
        <v>1009</v>
      </c>
      <c r="AN56" s="10">
        <v>18669.871869949999</v>
      </c>
      <c r="AO56" s="10">
        <v>7</v>
      </c>
      <c r="AP56" s="10">
        <v>45.509652919999994</v>
      </c>
      <c r="AQ56" s="10">
        <v>715</v>
      </c>
      <c r="AR56" s="10">
        <v>11588.405625579999</v>
      </c>
      <c r="AS56" s="10">
        <v>82</v>
      </c>
      <c r="AT56" s="10">
        <v>753.73223104000022</v>
      </c>
      <c r="AU56" s="10">
        <v>593</v>
      </c>
      <c r="AV56" s="10">
        <v>13170.526764370001</v>
      </c>
      <c r="AW56" s="10">
        <v>65</v>
      </c>
      <c r="AX56" s="10">
        <v>734.62920038999994</v>
      </c>
      <c r="AY56" s="10">
        <v>540</v>
      </c>
      <c r="AZ56" s="10">
        <v>6416.5731884200022</v>
      </c>
      <c r="BA56" s="10">
        <v>40</v>
      </c>
      <c r="BB56" s="10">
        <v>239.99687571999999</v>
      </c>
      <c r="BC56" s="10">
        <v>37</v>
      </c>
      <c r="BD56" s="10">
        <v>2197.6078145499996</v>
      </c>
      <c r="BE56" s="10">
        <v>1</v>
      </c>
      <c r="BF56" s="10">
        <v>0.65377702000000004</v>
      </c>
      <c r="BG56" s="10">
        <v>98</v>
      </c>
      <c r="BH56" s="10">
        <v>8209.1818704199995</v>
      </c>
      <c r="BI56" s="10">
        <v>4</v>
      </c>
      <c r="BJ56" s="10">
        <v>13.561849720000001</v>
      </c>
      <c r="BK56" s="10">
        <v>118</v>
      </c>
      <c r="BL56" s="10">
        <v>7802.2895857299991</v>
      </c>
      <c r="BM56" s="10">
        <v>0</v>
      </c>
      <c r="BN56" s="10">
        <v>0</v>
      </c>
      <c r="BO56" s="18">
        <f t="shared" si="6"/>
        <v>0</v>
      </c>
      <c r="BP56" s="18">
        <f t="shared" si="7"/>
        <v>2.0008883439004421E-11</v>
      </c>
      <c r="BQ56" s="18">
        <f t="shared" si="4"/>
        <v>0</v>
      </c>
      <c r="BR56" s="18">
        <f t="shared" si="5"/>
        <v>-1.1013412404281553E-13</v>
      </c>
      <c r="BS56" s="18"/>
      <c r="BT56" s="18"/>
      <c r="BU56" s="18"/>
      <c r="BV56" s="18"/>
    </row>
    <row r="57" spans="1:74" s="11" customFormat="1" ht="27" customHeight="1" x14ac:dyDescent="0.25">
      <c r="A57" s="66" t="s">
        <v>30</v>
      </c>
      <c r="B57" s="1">
        <f t="shared" si="8"/>
        <v>50</v>
      </c>
      <c r="C57" s="20" t="s">
        <v>2096</v>
      </c>
      <c r="D57" s="20" t="s">
        <v>2113</v>
      </c>
      <c r="E57" s="65">
        <v>11581</v>
      </c>
      <c r="F57" s="19" t="s">
        <v>2037</v>
      </c>
      <c r="G57" s="9">
        <v>6115</v>
      </c>
      <c r="H57" s="9">
        <v>96626.16961324001</v>
      </c>
      <c r="I57" s="9">
        <v>340</v>
      </c>
      <c r="J57" s="9">
        <v>3354.0285456500001</v>
      </c>
      <c r="K57" s="10">
        <v>51</v>
      </c>
      <c r="L57" s="10">
        <v>6719.19994976</v>
      </c>
      <c r="M57" s="10">
        <v>0</v>
      </c>
      <c r="N57" s="10">
        <v>0</v>
      </c>
      <c r="O57" s="10">
        <v>31</v>
      </c>
      <c r="P57" s="10">
        <v>2510.6227554100005</v>
      </c>
      <c r="Q57" s="10">
        <v>2</v>
      </c>
      <c r="R57" s="10">
        <v>200</v>
      </c>
      <c r="S57" s="10">
        <v>7</v>
      </c>
      <c r="T57" s="10">
        <v>973.92609054999991</v>
      </c>
      <c r="U57" s="10">
        <v>0</v>
      </c>
      <c r="V57" s="10">
        <v>0</v>
      </c>
      <c r="W57" s="10">
        <v>2</v>
      </c>
      <c r="X57" s="10">
        <v>168.492659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1705</v>
      </c>
      <c r="AN57" s="10">
        <v>29694.434533199954</v>
      </c>
      <c r="AO57" s="10">
        <v>3</v>
      </c>
      <c r="AP57" s="10">
        <v>10.823107439999999</v>
      </c>
      <c r="AQ57" s="10">
        <v>1230</v>
      </c>
      <c r="AR57" s="10">
        <v>17418.058235179979</v>
      </c>
      <c r="AS57" s="10">
        <v>196</v>
      </c>
      <c r="AT57" s="10">
        <v>1464.6341064700007</v>
      </c>
      <c r="AU57" s="10">
        <v>2501</v>
      </c>
      <c r="AV57" s="10">
        <v>30617.106206980003</v>
      </c>
      <c r="AW57" s="10">
        <v>92</v>
      </c>
      <c r="AX57" s="10">
        <v>1364.4009057099995</v>
      </c>
      <c r="AY57" s="10">
        <v>564</v>
      </c>
      <c r="AZ57" s="10">
        <v>8158.7754269699981</v>
      </c>
      <c r="BA57" s="10">
        <v>37</v>
      </c>
      <c r="BB57" s="10">
        <v>275.39151404</v>
      </c>
      <c r="BC57" s="10">
        <v>13</v>
      </c>
      <c r="BD57" s="10">
        <v>232.37399331999998</v>
      </c>
      <c r="BE57" s="10">
        <v>3</v>
      </c>
      <c r="BF57" s="10">
        <v>6.2064156000000006</v>
      </c>
      <c r="BG57" s="10">
        <v>7</v>
      </c>
      <c r="BH57" s="10">
        <v>40.57656102</v>
      </c>
      <c r="BI57" s="10">
        <v>6</v>
      </c>
      <c r="BJ57" s="10">
        <v>29.57656102</v>
      </c>
      <c r="BK57" s="10">
        <v>4</v>
      </c>
      <c r="BL57" s="10">
        <v>92.603201849999991</v>
      </c>
      <c r="BM57" s="10">
        <v>1</v>
      </c>
      <c r="BN57" s="10">
        <v>2.9959353700000002</v>
      </c>
      <c r="BO57" s="18">
        <f t="shared" si="6"/>
        <v>0</v>
      </c>
      <c r="BP57" s="18">
        <f t="shared" si="7"/>
        <v>7.4663830673671328E-11</v>
      </c>
      <c r="BQ57" s="18">
        <f t="shared" si="4"/>
        <v>0</v>
      </c>
      <c r="BR57" s="18">
        <f t="shared" si="5"/>
        <v>-1.8696155734687636E-13</v>
      </c>
      <c r="BS57" s="18"/>
      <c r="BT57" s="18"/>
      <c r="BU57" s="18"/>
      <c r="BV57" s="18"/>
    </row>
    <row r="58" spans="1:74" s="11" customFormat="1" ht="27" customHeight="1" x14ac:dyDescent="0.25">
      <c r="A58" s="66" t="s">
        <v>30</v>
      </c>
      <c r="B58" s="1">
        <f t="shared" si="8"/>
        <v>51</v>
      </c>
      <c r="C58" s="20" t="s">
        <v>2096</v>
      </c>
      <c r="D58" s="20" t="s">
        <v>2114</v>
      </c>
      <c r="E58" s="65">
        <v>11582</v>
      </c>
      <c r="F58" s="19" t="s">
        <v>2049</v>
      </c>
      <c r="G58" s="9">
        <v>3683</v>
      </c>
      <c r="H58" s="9">
        <v>97715.201359909988</v>
      </c>
      <c r="I58" s="9">
        <v>574</v>
      </c>
      <c r="J58" s="9">
        <v>2877.5347288000003</v>
      </c>
      <c r="K58" s="10">
        <v>50</v>
      </c>
      <c r="L58" s="10">
        <v>8540.8954697000008</v>
      </c>
      <c r="M58" s="10">
        <v>0</v>
      </c>
      <c r="N58" s="10">
        <v>0</v>
      </c>
      <c r="O58" s="10">
        <v>34</v>
      </c>
      <c r="P58" s="10">
        <v>2402.2185926400002</v>
      </c>
      <c r="Q58" s="10">
        <v>0</v>
      </c>
      <c r="R58" s="10">
        <v>0</v>
      </c>
      <c r="S58" s="10">
        <v>3</v>
      </c>
      <c r="T58" s="10">
        <v>127.189284</v>
      </c>
      <c r="U58" s="10">
        <v>0</v>
      </c>
      <c r="V58" s="10">
        <v>0</v>
      </c>
      <c r="W58" s="10">
        <v>21</v>
      </c>
      <c r="X58" s="10">
        <v>2646.8264300300002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1</v>
      </c>
      <c r="AJ58" s="10">
        <v>19.380470719999998</v>
      </c>
      <c r="AK58" s="10">
        <v>1</v>
      </c>
      <c r="AL58" s="10">
        <v>19.380470719999998</v>
      </c>
      <c r="AM58" s="10">
        <v>1203</v>
      </c>
      <c r="AN58" s="10">
        <v>32678.237521879939</v>
      </c>
      <c r="AO58" s="10">
        <v>2</v>
      </c>
      <c r="AP58" s="10">
        <v>19.27217821</v>
      </c>
      <c r="AQ58" s="10">
        <v>1381</v>
      </c>
      <c r="AR58" s="10">
        <v>21721.187864779975</v>
      </c>
      <c r="AS58" s="10">
        <v>496</v>
      </c>
      <c r="AT58" s="10">
        <v>2133.7580070499998</v>
      </c>
      <c r="AU58" s="10">
        <v>607</v>
      </c>
      <c r="AV58" s="10">
        <v>11910.686196460001</v>
      </c>
      <c r="AW58" s="10">
        <v>28</v>
      </c>
      <c r="AX58" s="10">
        <v>402.45331853000005</v>
      </c>
      <c r="AY58" s="10">
        <v>321</v>
      </c>
      <c r="AZ58" s="10">
        <v>16004.29629577</v>
      </c>
      <c r="BA58" s="10">
        <v>26</v>
      </c>
      <c r="BB58" s="10">
        <v>140.44579827000001</v>
      </c>
      <c r="BC58" s="10">
        <v>16</v>
      </c>
      <c r="BD58" s="10">
        <v>810.61722018</v>
      </c>
      <c r="BE58" s="10">
        <v>0</v>
      </c>
      <c r="BF58" s="10">
        <v>0</v>
      </c>
      <c r="BG58" s="10">
        <v>40</v>
      </c>
      <c r="BH58" s="10">
        <v>691.80971426000008</v>
      </c>
      <c r="BI58" s="10">
        <v>21</v>
      </c>
      <c r="BJ58" s="10">
        <v>162.22495601999998</v>
      </c>
      <c r="BK58" s="10">
        <v>6</v>
      </c>
      <c r="BL58" s="10">
        <v>161.85629949</v>
      </c>
      <c r="BM58" s="10">
        <v>0</v>
      </c>
      <c r="BN58" s="10">
        <v>0</v>
      </c>
      <c r="BO58" s="18">
        <f t="shared" si="6"/>
        <v>0</v>
      </c>
      <c r="BP58" s="18">
        <f t="shared" si="7"/>
        <v>6.5682570493663661E-11</v>
      </c>
      <c r="BQ58" s="18">
        <f t="shared" si="4"/>
        <v>0</v>
      </c>
      <c r="BR58" s="18">
        <f t="shared" si="5"/>
        <v>0</v>
      </c>
      <c r="BS58" s="18"/>
      <c r="BT58" s="18"/>
      <c r="BU58" s="18"/>
      <c r="BV58" s="18"/>
    </row>
    <row r="59" spans="1:74" s="11" customFormat="1" ht="27" customHeight="1" x14ac:dyDescent="0.25">
      <c r="A59" s="66" t="s">
        <v>30</v>
      </c>
      <c r="B59" s="1">
        <f t="shared" si="8"/>
        <v>52</v>
      </c>
      <c r="C59" s="20" t="s">
        <v>2096</v>
      </c>
      <c r="D59" s="20" t="s">
        <v>2099</v>
      </c>
      <c r="E59" s="65">
        <v>11633</v>
      </c>
      <c r="F59" s="19" t="s">
        <v>2100</v>
      </c>
      <c r="G59" s="9">
        <v>3643</v>
      </c>
      <c r="H59" s="9">
        <v>95824.996689899985</v>
      </c>
      <c r="I59" s="9">
        <v>321</v>
      </c>
      <c r="J59" s="9">
        <v>4280.5382675499995</v>
      </c>
      <c r="K59" s="10">
        <v>53</v>
      </c>
      <c r="L59" s="10">
        <v>14583.743529959998</v>
      </c>
      <c r="M59" s="10">
        <v>0</v>
      </c>
      <c r="N59" s="10">
        <v>0</v>
      </c>
      <c r="O59" s="10">
        <v>11</v>
      </c>
      <c r="P59" s="10">
        <v>1405.7061818500001</v>
      </c>
      <c r="Q59" s="10">
        <v>0</v>
      </c>
      <c r="R59" s="10">
        <v>0</v>
      </c>
      <c r="S59" s="10">
        <v>1</v>
      </c>
      <c r="T59" s="10">
        <v>269.11111199999999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2</v>
      </c>
      <c r="AB59" s="10">
        <v>3540.4701405700002</v>
      </c>
      <c r="AC59" s="10">
        <v>0</v>
      </c>
      <c r="AD59" s="10">
        <v>0</v>
      </c>
      <c r="AE59" s="10">
        <v>8</v>
      </c>
      <c r="AF59" s="10">
        <v>20863.00926232</v>
      </c>
      <c r="AG59" s="10">
        <v>2</v>
      </c>
      <c r="AH59" s="10">
        <v>164.72499999999999</v>
      </c>
      <c r="AI59" s="10">
        <v>6</v>
      </c>
      <c r="AJ59" s="10">
        <v>1616.8137529200001</v>
      </c>
      <c r="AK59" s="10">
        <v>5</v>
      </c>
      <c r="AL59" s="10">
        <v>705.32371662000003</v>
      </c>
      <c r="AM59" s="10">
        <v>1544</v>
      </c>
      <c r="AN59" s="10">
        <v>21789.085185399985</v>
      </c>
      <c r="AO59" s="10">
        <v>4</v>
      </c>
      <c r="AP59" s="10">
        <v>36.040636520000007</v>
      </c>
      <c r="AQ59" s="10">
        <v>1113</v>
      </c>
      <c r="AR59" s="10">
        <v>12222.669496490025</v>
      </c>
      <c r="AS59" s="10">
        <v>182</v>
      </c>
      <c r="AT59" s="10">
        <v>946.58967407999978</v>
      </c>
      <c r="AU59" s="10">
        <v>572</v>
      </c>
      <c r="AV59" s="10">
        <v>8195.7996221400008</v>
      </c>
      <c r="AW59" s="10">
        <v>47</v>
      </c>
      <c r="AX59" s="10">
        <v>1181.0939960799999</v>
      </c>
      <c r="AY59" s="10">
        <v>226</v>
      </c>
      <c r="AZ59" s="10">
        <v>4068.591303499999</v>
      </c>
      <c r="BA59" s="10">
        <v>53</v>
      </c>
      <c r="BB59" s="10">
        <v>294.61739310000002</v>
      </c>
      <c r="BC59" s="10">
        <v>27</v>
      </c>
      <c r="BD59" s="10">
        <v>211.35173605</v>
      </c>
      <c r="BE59" s="10">
        <v>5</v>
      </c>
      <c r="BF59" s="10">
        <v>33.5371892</v>
      </c>
      <c r="BG59" s="10">
        <v>29</v>
      </c>
      <c r="BH59" s="10">
        <v>708.35032672</v>
      </c>
      <c r="BI59" s="10">
        <v>17</v>
      </c>
      <c r="BJ59" s="10">
        <v>108.51448217999997</v>
      </c>
      <c r="BK59" s="10">
        <v>51</v>
      </c>
      <c r="BL59" s="10">
        <v>6350.2950399800011</v>
      </c>
      <c r="BM59" s="10">
        <v>6</v>
      </c>
      <c r="BN59" s="10">
        <v>810.09617977000005</v>
      </c>
      <c r="BO59" s="18">
        <f t="shared" si="6"/>
        <v>0</v>
      </c>
      <c r="BP59" s="18">
        <f t="shared" si="7"/>
        <v>-3.092281986027956E-11</v>
      </c>
      <c r="BQ59" s="18">
        <f t="shared" si="4"/>
        <v>0</v>
      </c>
      <c r="BR59" s="18">
        <f t="shared" si="5"/>
        <v>-1.0231815394945443E-12</v>
      </c>
      <c r="BS59" s="18"/>
      <c r="BT59" s="18"/>
      <c r="BU59" s="18"/>
      <c r="BV59" s="18"/>
    </row>
    <row r="60" spans="1:74" s="11" customFormat="1" ht="27" customHeight="1" x14ac:dyDescent="0.25">
      <c r="A60" s="66" t="s">
        <v>30</v>
      </c>
      <c r="B60" s="1">
        <f t="shared" si="8"/>
        <v>53</v>
      </c>
      <c r="C60" s="20" t="s">
        <v>2096</v>
      </c>
      <c r="D60" s="20" t="s">
        <v>2112</v>
      </c>
      <c r="E60" s="65">
        <v>11634</v>
      </c>
      <c r="F60" s="19" t="s">
        <v>2041</v>
      </c>
      <c r="G60" s="9">
        <v>3713</v>
      </c>
      <c r="H60" s="9">
        <v>70367.736331009961</v>
      </c>
      <c r="I60" s="9">
        <v>176</v>
      </c>
      <c r="J60" s="9">
        <v>1331.9379095800009</v>
      </c>
      <c r="K60" s="10">
        <v>61</v>
      </c>
      <c r="L60" s="10">
        <v>7486.9976470700003</v>
      </c>
      <c r="M60" s="10">
        <v>0</v>
      </c>
      <c r="N60" s="10">
        <v>0</v>
      </c>
      <c r="O60" s="10">
        <v>27</v>
      </c>
      <c r="P60" s="10">
        <v>3278.27385383</v>
      </c>
      <c r="Q60" s="10">
        <v>0</v>
      </c>
      <c r="R60" s="10">
        <v>0</v>
      </c>
      <c r="S60" s="10">
        <v>32</v>
      </c>
      <c r="T60" s="10">
        <v>1568.10843604</v>
      </c>
      <c r="U60" s="10">
        <v>0</v>
      </c>
      <c r="V60" s="10">
        <v>0</v>
      </c>
      <c r="W60" s="10">
        <v>30</v>
      </c>
      <c r="X60" s="10">
        <v>1618.0366951499998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1463</v>
      </c>
      <c r="AN60" s="10">
        <v>17740.957518199986</v>
      </c>
      <c r="AO60" s="10">
        <v>1</v>
      </c>
      <c r="AP60" s="10">
        <v>9.4444440000000007</v>
      </c>
      <c r="AQ60" s="10">
        <v>900</v>
      </c>
      <c r="AR60" s="10">
        <v>6839.6516241700065</v>
      </c>
      <c r="AS60" s="10">
        <v>76</v>
      </c>
      <c r="AT60" s="10">
        <v>386.17321207999998</v>
      </c>
      <c r="AU60" s="10">
        <v>814</v>
      </c>
      <c r="AV60" s="10">
        <v>23918.860200739997</v>
      </c>
      <c r="AW60" s="10">
        <v>56</v>
      </c>
      <c r="AX60" s="10">
        <v>654.08290087</v>
      </c>
      <c r="AY60" s="10">
        <v>372</v>
      </c>
      <c r="AZ60" s="10">
        <v>7175.2537439700045</v>
      </c>
      <c r="BA60" s="10">
        <v>41</v>
      </c>
      <c r="BB60" s="10">
        <v>279.27278233999999</v>
      </c>
      <c r="BC60" s="10">
        <v>11</v>
      </c>
      <c r="BD60" s="10">
        <v>558.25608780999994</v>
      </c>
      <c r="BE60" s="10">
        <v>1</v>
      </c>
      <c r="BF60" s="10">
        <v>1.0305251500000001</v>
      </c>
      <c r="BG60" s="10">
        <v>0</v>
      </c>
      <c r="BH60" s="10">
        <v>0</v>
      </c>
      <c r="BI60" s="10">
        <v>0</v>
      </c>
      <c r="BJ60" s="10">
        <v>0</v>
      </c>
      <c r="BK60" s="10">
        <v>3</v>
      </c>
      <c r="BL60" s="10">
        <v>183.34052402999998</v>
      </c>
      <c r="BM60" s="10">
        <v>1</v>
      </c>
      <c r="BN60" s="10">
        <v>1.9340451399999998</v>
      </c>
      <c r="BO60" s="18">
        <f t="shared" si="6"/>
        <v>0</v>
      </c>
      <c r="BP60" s="18">
        <f t="shared" si="7"/>
        <v>-2.7966962079517543E-11</v>
      </c>
      <c r="BQ60" s="18">
        <f t="shared" si="4"/>
        <v>0</v>
      </c>
      <c r="BR60" s="18">
        <f t="shared" si="5"/>
        <v>9.496847752643589E-13</v>
      </c>
      <c r="BS60" s="18"/>
      <c r="BT60" s="18"/>
      <c r="BU60" s="18"/>
      <c r="BV60" s="18"/>
    </row>
    <row r="61" spans="1:74" s="11" customFormat="1" ht="27" customHeight="1" x14ac:dyDescent="0.25">
      <c r="A61" s="66" t="s">
        <v>30</v>
      </c>
      <c r="B61" s="1">
        <f t="shared" si="8"/>
        <v>54</v>
      </c>
      <c r="C61" s="20" t="s">
        <v>2096</v>
      </c>
      <c r="D61" s="20" t="s">
        <v>2115</v>
      </c>
      <c r="E61" s="65">
        <v>11782</v>
      </c>
      <c r="F61" s="19" t="s">
        <v>2087</v>
      </c>
      <c r="G61" s="9">
        <v>3387</v>
      </c>
      <c r="H61" s="9">
        <v>133532.83843421994</v>
      </c>
      <c r="I61" s="9">
        <v>156</v>
      </c>
      <c r="J61" s="9">
        <v>1417.0578757300002</v>
      </c>
      <c r="K61" s="10">
        <v>73</v>
      </c>
      <c r="L61" s="10">
        <v>28612.345845829994</v>
      </c>
      <c r="M61" s="10">
        <v>0</v>
      </c>
      <c r="N61" s="10">
        <v>0</v>
      </c>
      <c r="O61" s="10">
        <v>49</v>
      </c>
      <c r="P61" s="10">
        <v>4066.3349739500004</v>
      </c>
      <c r="Q61" s="10">
        <v>1</v>
      </c>
      <c r="R61" s="10">
        <v>13.350444449999999</v>
      </c>
      <c r="S61" s="10">
        <v>9</v>
      </c>
      <c r="T61" s="10">
        <v>3203.8273059399999</v>
      </c>
      <c r="U61" s="10">
        <v>1</v>
      </c>
      <c r="V61" s="10">
        <v>8.5953311699999997</v>
      </c>
      <c r="W61" s="10">
        <v>2</v>
      </c>
      <c r="X61" s="10">
        <v>25.764992550000002</v>
      </c>
      <c r="Y61" s="10">
        <v>1</v>
      </c>
      <c r="Z61" s="10">
        <v>10.764992550000001</v>
      </c>
      <c r="AA61" s="10">
        <v>2</v>
      </c>
      <c r="AB61" s="10">
        <v>14879.3865921</v>
      </c>
      <c r="AC61" s="10">
        <v>0</v>
      </c>
      <c r="AD61" s="10">
        <v>0</v>
      </c>
      <c r="AE61" s="10">
        <v>2</v>
      </c>
      <c r="AF61" s="10">
        <v>22514.510330000001</v>
      </c>
      <c r="AG61" s="10">
        <v>0</v>
      </c>
      <c r="AH61" s="10">
        <v>0</v>
      </c>
      <c r="AI61" s="10">
        <v>2</v>
      </c>
      <c r="AJ61" s="10">
        <v>3945.1283834599999</v>
      </c>
      <c r="AK61" s="10">
        <v>0</v>
      </c>
      <c r="AL61" s="10">
        <v>0</v>
      </c>
      <c r="AM61" s="10">
        <v>1380</v>
      </c>
      <c r="AN61" s="10">
        <v>26316.072963420014</v>
      </c>
      <c r="AO61" s="10">
        <v>4</v>
      </c>
      <c r="AP61" s="10">
        <v>47.210821580000008</v>
      </c>
      <c r="AQ61" s="10">
        <v>885</v>
      </c>
      <c r="AR61" s="10">
        <v>9873.3688270200037</v>
      </c>
      <c r="AS61" s="10">
        <v>79</v>
      </c>
      <c r="AT61" s="10">
        <v>478.34949529000005</v>
      </c>
      <c r="AU61" s="10">
        <v>528</v>
      </c>
      <c r="AV61" s="10">
        <v>9306.8822768899954</v>
      </c>
      <c r="AW61" s="10">
        <v>35</v>
      </c>
      <c r="AX61" s="10">
        <v>556.11236733000021</v>
      </c>
      <c r="AY61" s="10">
        <v>372</v>
      </c>
      <c r="AZ61" s="10">
        <v>5805.8007389200011</v>
      </c>
      <c r="BA61" s="10">
        <v>20</v>
      </c>
      <c r="BB61" s="10">
        <v>142.34822335999999</v>
      </c>
      <c r="BC61" s="10">
        <v>16</v>
      </c>
      <c r="BD61" s="10">
        <v>158.44789678999999</v>
      </c>
      <c r="BE61" s="10">
        <v>1</v>
      </c>
      <c r="BF61" s="10">
        <v>4.0275390000000001E-2</v>
      </c>
      <c r="BG61" s="10">
        <v>13</v>
      </c>
      <c r="BH61" s="10">
        <v>168.32701983999996</v>
      </c>
      <c r="BI61" s="10">
        <v>11</v>
      </c>
      <c r="BJ61" s="10">
        <v>154.32520291999998</v>
      </c>
      <c r="BK61" s="10">
        <v>54</v>
      </c>
      <c r="BL61" s="10">
        <v>4656.6402875099993</v>
      </c>
      <c r="BM61" s="10">
        <v>3</v>
      </c>
      <c r="BN61" s="10">
        <v>5.9607216900000006</v>
      </c>
      <c r="BO61" s="18">
        <f t="shared" si="6"/>
        <v>0</v>
      </c>
      <c r="BP61" s="18">
        <f t="shared" si="7"/>
        <v>-5.4569682106375694E-11</v>
      </c>
      <c r="BQ61" s="18">
        <f t="shared" si="4"/>
        <v>0</v>
      </c>
      <c r="BR61" s="18">
        <f t="shared" si="5"/>
        <v>1.2700951401711791E-13</v>
      </c>
      <c r="BS61" s="18"/>
      <c r="BT61" s="18"/>
      <c r="BU61" s="18"/>
      <c r="BV61" s="18"/>
    </row>
    <row r="62" spans="1:74" s="11" customFormat="1" ht="27" customHeight="1" x14ac:dyDescent="0.25">
      <c r="A62" s="66" t="s">
        <v>30</v>
      </c>
      <c r="B62" s="1">
        <f t="shared" si="8"/>
        <v>55</v>
      </c>
      <c r="C62" s="20" t="s">
        <v>2096</v>
      </c>
      <c r="D62" s="20" t="s">
        <v>2103</v>
      </c>
      <c r="E62" s="65">
        <v>11799</v>
      </c>
      <c r="F62" s="19" t="s">
        <v>2035</v>
      </c>
      <c r="G62" s="9">
        <v>5610</v>
      </c>
      <c r="H62" s="9">
        <v>240254.47646807006</v>
      </c>
      <c r="I62" s="9">
        <v>398</v>
      </c>
      <c r="J62" s="9">
        <v>46897.047364449994</v>
      </c>
      <c r="K62" s="10">
        <v>46</v>
      </c>
      <c r="L62" s="10">
        <v>14112.78013893</v>
      </c>
      <c r="M62" s="10">
        <v>0</v>
      </c>
      <c r="N62" s="10">
        <v>0</v>
      </c>
      <c r="O62" s="10">
        <v>19</v>
      </c>
      <c r="P62" s="10">
        <v>4654.6951894700005</v>
      </c>
      <c r="Q62" s="10">
        <v>1</v>
      </c>
      <c r="R62" s="10">
        <v>50</v>
      </c>
      <c r="S62" s="10">
        <v>1</v>
      </c>
      <c r="T62" s="10">
        <v>177.77777599999999</v>
      </c>
      <c r="U62" s="10">
        <v>0</v>
      </c>
      <c r="V62" s="10">
        <v>0</v>
      </c>
      <c r="W62" s="10">
        <v>12</v>
      </c>
      <c r="X62" s="10">
        <v>8706.7002795099997</v>
      </c>
      <c r="Y62" s="10">
        <v>3</v>
      </c>
      <c r="Z62" s="10">
        <v>4972.7548821599994</v>
      </c>
      <c r="AA62" s="10">
        <v>3</v>
      </c>
      <c r="AB62" s="10">
        <v>36492.536901440006</v>
      </c>
      <c r="AC62" s="10">
        <v>3</v>
      </c>
      <c r="AD62" s="10">
        <v>36492.536901440006</v>
      </c>
      <c r="AE62" s="10">
        <v>1</v>
      </c>
      <c r="AF62" s="10">
        <v>621.07988699999999</v>
      </c>
      <c r="AG62" s="10">
        <v>0</v>
      </c>
      <c r="AH62" s="10">
        <v>0</v>
      </c>
      <c r="AI62" s="10">
        <v>2</v>
      </c>
      <c r="AJ62" s="10">
        <v>44389.446396380001</v>
      </c>
      <c r="AK62" s="10">
        <v>0</v>
      </c>
      <c r="AL62" s="10">
        <v>0</v>
      </c>
      <c r="AM62" s="10">
        <v>2064</v>
      </c>
      <c r="AN62" s="10">
        <v>36063.328354380086</v>
      </c>
      <c r="AO62" s="10">
        <v>7</v>
      </c>
      <c r="AP62" s="10">
        <v>66.549780949999999</v>
      </c>
      <c r="AQ62" s="10">
        <v>2225</v>
      </c>
      <c r="AR62" s="10">
        <v>44553.326474720081</v>
      </c>
      <c r="AS62" s="10">
        <v>211</v>
      </c>
      <c r="AT62" s="10">
        <v>2978.6428990299969</v>
      </c>
      <c r="AU62" s="10">
        <v>646</v>
      </c>
      <c r="AV62" s="10">
        <v>26138.170336760013</v>
      </c>
      <c r="AW62" s="10">
        <v>93</v>
      </c>
      <c r="AX62" s="10">
        <v>1775.6079006599998</v>
      </c>
      <c r="AY62" s="10">
        <v>518</v>
      </c>
      <c r="AZ62" s="10">
        <v>17106.367379210005</v>
      </c>
      <c r="BA62" s="10">
        <v>61</v>
      </c>
      <c r="BB62" s="10">
        <v>459.49384001999994</v>
      </c>
      <c r="BC62" s="10">
        <v>25</v>
      </c>
      <c r="BD62" s="10">
        <v>3254.1063879800004</v>
      </c>
      <c r="BE62" s="10">
        <v>4</v>
      </c>
      <c r="BF62" s="10">
        <v>37.183258070000001</v>
      </c>
      <c r="BG62" s="10">
        <v>40</v>
      </c>
      <c r="BH62" s="10">
        <v>3636.1634114099988</v>
      </c>
      <c r="BI62" s="10">
        <v>11</v>
      </c>
      <c r="BJ62" s="10">
        <v>53.27796863999999</v>
      </c>
      <c r="BK62" s="10">
        <v>8</v>
      </c>
      <c r="BL62" s="10">
        <v>347.99755488</v>
      </c>
      <c r="BM62" s="10">
        <v>4</v>
      </c>
      <c r="BN62" s="10">
        <v>10.999933479999999</v>
      </c>
      <c r="BO62" s="18">
        <f t="shared" si="6"/>
        <v>0</v>
      </c>
      <c r="BP62" s="18">
        <f t="shared" si="7"/>
        <v>-1.3432099876808934E-10</v>
      </c>
      <c r="BQ62" s="18">
        <f t="shared" si="4"/>
        <v>0</v>
      </c>
      <c r="BR62" s="18">
        <f t="shared" si="5"/>
        <v>-7.6703088325302815E-12</v>
      </c>
      <c r="BS62" s="18"/>
      <c r="BT62" s="18"/>
      <c r="BU62" s="18"/>
      <c r="BV62" s="18"/>
    </row>
    <row r="63" spans="1:74" s="11" customFormat="1" ht="27" customHeight="1" x14ac:dyDescent="0.25">
      <c r="A63" s="66" t="s">
        <v>30</v>
      </c>
      <c r="B63" s="1">
        <f t="shared" si="8"/>
        <v>56</v>
      </c>
      <c r="C63" s="20" t="s">
        <v>2096</v>
      </c>
      <c r="D63" s="20" t="s">
        <v>2109</v>
      </c>
      <c r="E63" s="65">
        <v>11800</v>
      </c>
      <c r="F63" s="19" t="s">
        <v>2073</v>
      </c>
      <c r="G63" s="9">
        <v>5025</v>
      </c>
      <c r="H63" s="9">
        <v>139731.70958534992</v>
      </c>
      <c r="I63" s="9">
        <v>373</v>
      </c>
      <c r="J63" s="9">
        <v>3107.1224530600002</v>
      </c>
      <c r="K63" s="10">
        <v>74</v>
      </c>
      <c r="L63" s="10">
        <v>31144.857744290002</v>
      </c>
      <c r="M63" s="10">
        <v>0</v>
      </c>
      <c r="N63" s="10">
        <v>0</v>
      </c>
      <c r="O63" s="10">
        <v>57</v>
      </c>
      <c r="P63" s="10">
        <v>6958.7695652499997</v>
      </c>
      <c r="Q63" s="10">
        <v>4</v>
      </c>
      <c r="R63" s="10">
        <v>208.88224753999998</v>
      </c>
      <c r="S63" s="10">
        <v>2</v>
      </c>
      <c r="T63" s="10">
        <v>47.99884565</v>
      </c>
      <c r="U63" s="10">
        <v>1</v>
      </c>
      <c r="V63" s="10">
        <v>3.5543896500000001</v>
      </c>
      <c r="W63" s="10">
        <v>5</v>
      </c>
      <c r="X63" s="10">
        <v>1341.3032270399999</v>
      </c>
      <c r="Y63" s="10">
        <v>0</v>
      </c>
      <c r="Z63" s="10">
        <v>0</v>
      </c>
      <c r="AA63" s="10">
        <v>2</v>
      </c>
      <c r="AB63" s="10">
        <v>2931.5448581600003</v>
      </c>
      <c r="AC63" s="10">
        <v>1</v>
      </c>
      <c r="AD63" s="10">
        <v>34.691670359999996</v>
      </c>
      <c r="AE63" s="10">
        <v>1</v>
      </c>
      <c r="AF63" s="10">
        <v>235.38461534999999</v>
      </c>
      <c r="AG63" s="10">
        <v>0</v>
      </c>
      <c r="AH63" s="10">
        <v>0</v>
      </c>
      <c r="AI63" s="10">
        <v>1</v>
      </c>
      <c r="AJ63" s="10">
        <v>168.41754499999999</v>
      </c>
      <c r="AK63" s="10">
        <v>0</v>
      </c>
      <c r="AL63" s="10">
        <v>0</v>
      </c>
      <c r="AM63" s="10">
        <v>1771</v>
      </c>
      <c r="AN63" s="10">
        <v>30799.174718289956</v>
      </c>
      <c r="AO63" s="10">
        <v>3</v>
      </c>
      <c r="AP63" s="10">
        <v>48.850911979999999</v>
      </c>
      <c r="AQ63" s="10">
        <v>1540</v>
      </c>
      <c r="AR63" s="10">
        <v>26643.83594162999</v>
      </c>
      <c r="AS63" s="10">
        <v>189</v>
      </c>
      <c r="AT63" s="10">
        <v>1061.4374343300005</v>
      </c>
      <c r="AU63" s="10">
        <v>870</v>
      </c>
      <c r="AV63" s="10">
        <v>23116.110286460011</v>
      </c>
      <c r="AW63" s="10">
        <v>54</v>
      </c>
      <c r="AX63" s="10">
        <v>1027.5945573499998</v>
      </c>
      <c r="AY63" s="10">
        <v>611</v>
      </c>
      <c r="AZ63" s="10">
        <v>12906.524988119994</v>
      </c>
      <c r="BA63" s="10">
        <v>61</v>
      </c>
      <c r="BB63" s="10">
        <v>343.25600727999995</v>
      </c>
      <c r="BC63" s="10">
        <v>18</v>
      </c>
      <c r="BD63" s="10">
        <v>1333.4872412200002</v>
      </c>
      <c r="BE63" s="10">
        <v>4</v>
      </c>
      <c r="BF63" s="10">
        <v>3.6548228400000005</v>
      </c>
      <c r="BG63" s="10">
        <v>57</v>
      </c>
      <c r="BH63" s="10">
        <v>1865.0092656599993</v>
      </c>
      <c r="BI63" s="10">
        <v>41</v>
      </c>
      <c r="BJ63" s="10">
        <v>177.46606381000001</v>
      </c>
      <c r="BK63" s="10">
        <v>16</v>
      </c>
      <c r="BL63" s="10">
        <v>239.29074322999998</v>
      </c>
      <c r="BM63" s="10">
        <v>15</v>
      </c>
      <c r="BN63" s="10">
        <v>197.73434791999998</v>
      </c>
      <c r="BO63" s="18">
        <f t="shared" si="6"/>
        <v>0</v>
      </c>
      <c r="BP63" s="18">
        <f t="shared" si="7"/>
        <v>-4.581579560181126E-11</v>
      </c>
      <c r="BQ63" s="18">
        <f t="shared" si="4"/>
        <v>0</v>
      </c>
      <c r="BR63" s="18">
        <f t="shared" si="5"/>
        <v>-2.2737367544323206E-13</v>
      </c>
      <c r="BS63" s="18"/>
      <c r="BT63" s="18"/>
      <c r="BU63" s="18"/>
      <c r="BV63" s="18"/>
    </row>
    <row r="64" spans="1:74" s="11" customFormat="1" ht="27" customHeight="1" x14ac:dyDescent="0.25">
      <c r="A64" s="66" t="s">
        <v>30</v>
      </c>
      <c r="B64" s="1">
        <f t="shared" si="8"/>
        <v>57</v>
      </c>
      <c r="C64" s="20" t="s">
        <v>2096</v>
      </c>
      <c r="D64" s="20" t="s">
        <v>2111</v>
      </c>
      <c r="E64" s="65">
        <v>11801</v>
      </c>
      <c r="F64" s="19" t="s">
        <v>2064</v>
      </c>
      <c r="G64" s="9">
        <v>7217</v>
      </c>
      <c r="H64" s="9">
        <v>141285.01251536998</v>
      </c>
      <c r="I64" s="9">
        <v>576</v>
      </c>
      <c r="J64" s="9">
        <v>7825.7191238600008</v>
      </c>
      <c r="K64" s="10">
        <v>75</v>
      </c>
      <c r="L64" s="10">
        <v>16356.207149860005</v>
      </c>
      <c r="M64" s="10">
        <v>0</v>
      </c>
      <c r="N64" s="10">
        <v>0</v>
      </c>
      <c r="O64" s="10">
        <v>37</v>
      </c>
      <c r="P64" s="10">
        <v>3835.7129145900003</v>
      </c>
      <c r="Q64" s="10">
        <v>2</v>
      </c>
      <c r="R64" s="10">
        <v>200</v>
      </c>
      <c r="S64" s="10">
        <v>2</v>
      </c>
      <c r="T64" s="10">
        <v>76.976740039999996</v>
      </c>
      <c r="U64" s="10">
        <v>0</v>
      </c>
      <c r="V64" s="10">
        <v>0</v>
      </c>
      <c r="W64" s="10">
        <v>2</v>
      </c>
      <c r="X64" s="10">
        <v>27.327691219999998</v>
      </c>
      <c r="Y64" s="10">
        <v>1</v>
      </c>
      <c r="Z64" s="10">
        <v>13.508678789999999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1</v>
      </c>
      <c r="AJ64" s="10">
        <v>712.02308030999995</v>
      </c>
      <c r="AK64" s="10">
        <v>0</v>
      </c>
      <c r="AL64" s="10">
        <v>0</v>
      </c>
      <c r="AM64" s="10">
        <v>2486</v>
      </c>
      <c r="AN64" s="10">
        <v>37534.414741999935</v>
      </c>
      <c r="AO64" s="10">
        <v>13</v>
      </c>
      <c r="AP64" s="10">
        <v>179.26014007000001</v>
      </c>
      <c r="AQ64" s="10">
        <v>1772</v>
      </c>
      <c r="AR64" s="10">
        <v>29180.273813139993</v>
      </c>
      <c r="AS64" s="10">
        <v>299</v>
      </c>
      <c r="AT64" s="10">
        <v>4003.0395818500006</v>
      </c>
      <c r="AU64" s="10">
        <v>2226</v>
      </c>
      <c r="AV64" s="10">
        <v>45260.384572759991</v>
      </c>
      <c r="AW64" s="10">
        <v>167</v>
      </c>
      <c r="AX64" s="10">
        <v>2685.0183461799975</v>
      </c>
      <c r="AY64" s="10">
        <v>524</v>
      </c>
      <c r="AZ64" s="10">
        <v>6836.0863623299965</v>
      </c>
      <c r="BA64" s="10">
        <v>63</v>
      </c>
      <c r="BB64" s="10">
        <v>390.09489080999992</v>
      </c>
      <c r="BC64" s="10">
        <v>35</v>
      </c>
      <c r="BD64" s="10">
        <v>613.77791673000002</v>
      </c>
      <c r="BE64" s="10">
        <v>10</v>
      </c>
      <c r="BF64" s="10">
        <v>40.081826729999996</v>
      </c>
      <c r="BG64" s="10">
        <v>51</v>
      </c>
      <c r="BH64" s="10">
        <v>371.48230546999997</v>
      </c>
      <c r="BI64" s="10">
        <v>17</v>
      </c>
      <c r="BJ64" s="10">
        <v>130.80285586000002</v>
      </c>
      <c r="BK64" s="10">
        <v>6</v>
      </c>
      <c r="BL64" s="10">
        <v>480.34522692000002</v>
      </c>
      <c r="BM64" s="10">
        <v>4</v>
      </c>
      <c r="BN64" s="10">
        <v>183.91280356999999</v>
      </c>
      <c r="BO64" s="18">
        <f t="shared" si="6"/>
        <v>0</v>
      </c>
      <c r="BP64" s="18">
        <f t="shared" si="7"/>
        <v>5.4797055781818926E-11</v>
      </c>
      <c r="BQ64" s="18">
        <f t="shared" si="4"/>
        <v>0</v>
      </c>
      <c r="BR64" s="18">
        <f t="shared" si="5"/>
        <v>3.2400748750660568E-12</v>
      </c>
      <c r="BS64" s="18"/>
      <c r="BT64" s="18"/>
      <c r="BU64" s="18"/>
      <c r="BV64" s="18"/>
    </row>
    <row r="65" spans="1:74" s="11" customFormat="1" ht="27" customHeight="1" x14ac:dyDescent="0.25">
      <c r="A65" s="66" t="s">
        <v>34</v>
      </c>
      <c r="B65" s="1">
        <f t="shared" si="8"/>
        <v>58</v>
      </c>
      <c r="C65" s="20" t="s">
        <v>2135</v>
      </c>
      <c r="D65" s="20" t="s">
        <v>2138</v>
      </c>
      <c r="E65" s="65">
        <v>12090</v>
      </c>
      <c r="F65" s="19" t="s">
        <v>2043</v>
      </c>
      <c r="G65" s="9">
        <v>957</v>
      </c>
      <c r="H65" s="9">
        <v>81744.296334739978</v>
      </c>
      <c r="I65" s="9">
        <v>4</v>
      </c>
      <c r="J65" s="9">
        <v>452.86863115000006</v>
      </c>
      <c r="K65" s="10">
        <v>167</v>
      </c>
      <c r="L65" s="10">
        <v>53211.43777241998</v>
      </c>
      <c r="M65" s="10">
        <v>1</v>
      </c>
      <c r="N65" s="10">
        <v>383.00239523000005</v>
      </c>
      <c r="O65" s="10">
        <v>13</v>
      </c>
      <c r="P65" s="10">
        <v>1789.3332959199997</v>
      </c>
      <c r="Q65" s="10">
        <v>0</v>
      </c>
      <c r="R65" s="10">
        <v>0</v>
      </c>
      <c r="S65" s="10">
        <v>9</v>
      </c>
      <c r="T65" s="10">
        <v>256.25474005000001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412</v>
      </c>
      <c r="AN65" s="10">
        <v>22818.356984049991</v>
      </c>
      <c r="AO65" s="10">
        <v>1</v>
      </c>
      <c r="AP65" s="10">
        <v>6.96652951</v>
      </c>
      <c r="AQ65" s="10">
        <v>229</v>
      </c>
      <c r="AR65" s="10">
        <v>3249.35697979</v>
      </c>
      <c r="AS65" s="10">
        <v>2</v>
      </c>
      <c r="AT65" s="10">
        <v>62.899706409999993</v>
      </c>
      <c r="AU65" s="10">
        <v>125</v>
      </c>
      <c r="AV65" s="10">
        <v>307.92987451000016</v>
      </c>
      <c r="AW65" s="10">
        <v>0</v>
      </c>
      <c r="AX65" s="10">
        <v>0</v>
      </c>
      <c r="AY65" s="10">
        <v>2</v>
      </c>
      <c r="AZ65" s="10">
        <v>111.626688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8">
        <f t="shared" si="6"/>
        <v>0</v>
      </c>
      <c r="BP65" s="18">
        <f t="shared" si="7"/>
        <v>7.8443918027915061E-12</v>
      </c>
      <c r="BQ65" s="18">
        <f t="shared" si="4"/>
        <v>0</v>
      </c>
      <c r="BR65" s="18">
        <f t="shared" si="5"/>
        <v>1.4210854715202004E-14</v>
      </c>
      <c r="BS65" s="18"/>
      <c r="BT65" s="18"/>
      <c r="BU65" s="18"/>
      <c r="BV65" s="18"/>
    </row>
    <row r="66" spans="1:74" s="11" customFormat="1" ht="27" customHeight="1" x14ac:dyDescent="0.25">
      <c r="A66" s="66" t="s">
        <v>34</v>
      </c>
      <c r="B66" s="1">
        <f t="shared" si="8"/>
        <v>59</v>
      </c>
      <c r="C66" s="20" t="s">
        <v>2135</v>
      </c>
      <c r="D66" s="20" t="s">
        <v>2137</v>
      </c>
      <c r="E66" s="65">
        <v>12091</v>
      </c>
      <c r="F66" s="19" t="s">
        <v>2107</v>
      </c>
      <c r="G66" s="9">
        <v>337</v>
      </c>
      <c r="H66" s="9">
        <v>59225.595946550005</v>
      </c>
      <c r="I66" s="9">
        <v>3</v>
      </c>
      <c r="J66" s="9">
        <v>527.55602511999996</v>
      </c>
      <c r="K66" s="10">
        <v>45</v>
      </c>
      <c r="L66" s="10">
        <v>42609.527766049992</v>
      </c>
      <c r="M66" s="10">
        <v>0</v>
      </c>
      <c r="N66" s="10">
        <v>0</v>
      </c>
      <c r="O66" s="10">
        <v>5</v>
      </c>
      <c r="P66" s="10">
        <v>2732.0957015500003</v>
      </c>
      <c r="Q66" s="10">
        <v>0</v>
      </c>
      <c r="R66" s="10">
        <v>0</v>
      </c>
      <c r="S66" s="10">
        <v>4</v>
      </c>
      <c r="T66" s="10">
        <v>269.28421507999997</v>
      </c>
      <c r="U66" s="10">
        <v>0</v>
      </c>
      <c r="V66" s="10">
        <v>0</v>
      </c>
      <c r="W66" s="10">
        <v>5</v>
      </c>
      <c r="X66" s="10">
        <v>3476.3027537200001</v>
      </c>
      <c r="Y66" s="10">
        <v>1</v>
      </c>
      <c r="Z66" s="10">
        <v>400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156</v>
      </c>
      <c r="AN66" s="10">
        <v>6866.1648645700006</v>
      </c>
      <c r="AO66" s="10">
        <v>0</v>
      </c>
      <c r="AP66" s="10">
        <v>0</v>
      </c>
      <c r="AQ66" s="10">
        <v>72</v>
      </c>
      <c r="AR66" s="10">
        <v>1556.4667867599999</v>
      </c>
      <c r="AS66" s="10">
        <v>0</v>
      </c>
      <c r="AT66" s="10">
        <v>0</v>
      </c>
      <c r="AU66" s="10">
        <v>31</v>
      </c>
      <c r="AV66" s="10">
        <v>552.4160005599997</v>
      </c>
      <c r="AW66" s="10">
        <v>1</v>
      </c>
      <c r="AX66" s="10">
        <v>122.96728279999999</v>
      </c>
      <c r="AY66" s="10">
        <v>4</v>
      </c>
      <c r="AZ66" s="10">
        <v>76.675213169999992</v>
      </c>
      <c r="BA66" s="10">
        <v>1</v>
      </c>
      <c r="BB66" s="10">
        <v>4.5887423200000006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15</v>
      </c>
      <c r="BL66" s="10">
        <v>1086.6626450899998</v>
      </c>
      <c r="BM66" s="10">
        <v>0</v>
      </c>
      <c r="BN66" s="10">
        <v>0</v>
      </c>
      <c r="BO66" s="18">
        <f t="shared" si="6"/>
        <v>0</v>
      </c>
      <c r="BP66" s="18">
        <f t="shared" si="7"/>
        <v>1.2050804798491299E-11</v>
      </c>
      <c r="BQ66" s="18">
        <f t="shared" si="4"/>
        <v>0</v>
      </c>
      <c r="BR66" s="18">
        <f t="shared" si="5"/>
        <v>-3.4638958368304884E-14</v>
      </c>
      <c r="BS66" s="18"/>
      <c r="BT66" s="18"/>
      <c r="BU66" s="18"/>
      <c r="BV66" s="18"/>
    </row>
    <row r="67" spans="1:74" s="11" customFormat="1" ht="27" customHeight="1" x14ac:dyDescent="0.25">
      <c r="A67" s="66" t="s">
        <v>34</v>
      </c>
      <c r="B67" s="1">
        <f t="shared" si="8"/>
        <v>60</v>
      </c>
      <c r="C67" s="20" t="s">
        <v>2135</v>
      </c>
      <c r="D67" s="20" t="s">
        <v>2136</v>
      </c>
      <c r="E67" s="65">
        <v>12097</v>
      </c>
      <c r="F67" s="19" t="s">
        <v>2054</v>
      </c>
      <c r="G67" s="9">
        <v>448</v>
      </c>
      <c r="H67" s="9">
        <v>55725.910437890001</v>
      </c>
      <c r="I67" s="9">
        <v>17</v>
      </c>
      <c r="J67" s="9">
        <v>1339.46368538</v>
      </c>
      <c r="K67" s="10">
        <v>62</v>
      </c>
      <c r="L67" s="10">
        <v>38745.689060230034</v>
      </c>
      <c r="M67" s="10">
        <v>0</v>
      </c>
      <c r="N67" s="10">
        <v>0</v>
      </c>
      <c r="O67" s="10">
        <v>2</v>
      </c>
      <c r="P67" s="10">
        <v>447.77688745000006</v>
      </c>
      <c r="Q67" s="10">
        <v>0</v>
      </c>
      <c r="R67" s="10">
        <v>0</v>
      </c>
      <c r="S67" s="10">
        <v>8</v>
      </c>
      <c r="T67" s="10">
        <v>1076.7643363400002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1</v>
      </c>
      <c r="AB67" s="10">
        <v>637.67944176999993</v>
      </c>
      <c r="AC67" s="10">
        <v>1</v>
      </c>
      <c r="AD67" s="10">
        <v>637.67944176999993</v>
      </c>
      <c r="AE67" s="10">
        <v>0</v>
      </c>
      <c r="AF67" s="10">
        <v>0</v>
      </c>
      <c r="AG67" s="10">
        <v>0</v>
      </c>
      <c r="AH67" s="10">
        <v>0</v>
      </c>
      <c r="AI67" s="10">
        <v>4</v>
      </c>
      <c r="AJ67" s="10">
        <v>72.498337379999995</v>
      </c>
      <c r="AK67" s="10">
        <v>4</v>
      </c>
      <c r="AL67" s="10">
        <v>72.498337379999995</v>
      </c>
      <c r="AM67" s="10">
        <v>207</v>
      </c>
      <c r="AN67" s="10">
        <v>11547.024593250007</v>
      </c>
      <c r="AO67" s="10">
        <v>4</v>
      </c>
      <c r="AP67" s="10">
        <v>539.87878111999999</v>
      </c>
      <c r="AQ67" s="10">
        <v>119</v>
      </c>
      <c r="AR67" s="10">
        <v>1684.2760383900002</v>
      </c>
      <c r="AS67" s="10">
        <v>1</v>
      </c>
      <c r="AT67" s="10">
        <v>2.4499095400000002</v>
      </c>
      <c r="AU67" s="10">
        <v>5</v>
      </c>
      <c r="AV67" s="10">
        <v>29.083751339999996</v>
      </c>
      <c r="AW67" s="10">
        <v>1</v>
      </c>
      <c r="AX67" s="10">
        <v>2.9914363799999997</v>
      </c>
      <c r="AY67" s="10">
        <v>2</v>
      </c>
      <c r="AZ67" s="10">
        <v>190.79926082999998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38</v>
      </c>
      <c r="BL67" s="10">
        <v>1294.3187309099999</v>
      </c>
      <c r="BM67" s="10">
        <v>6</v>
      </c>
      <c r="BN67" s="10">
        <v>83.965779189999992</v>
      </c>
      <c r="BO67" s="18">
        <f t="shared" si="6"/>
        <v>0</v>
      </c>
      <c r="BP67" s="18">
        <f t="shared" si="7"/>
        <v>-4.0927261579781771E-11</v>
      </c>
      <c r="BQ67" s="18">
        <f t="shared" si="4"/>
        <v>0</v>
      </c>
      <c r="BR67" s="18">
        <f t="shared" si="5"/>
        <v>1.7053025658242404E-13</v>
      </c>
      <c r="BS67" s="18"/>
      <c r="BT67" s="18"/>
      <c r="BU67" s="18"/>
      <c r="BV67" s="18"/>
    </row>
    <row r="68" spans="1:74" s="11" customFormat="1" ht="27" customHeight="1" x14ac:dyDescent="0.25">
      <c r="A68" s="66" t="s">
        <v>42</v>
      </c>
      <c r="B68" s="1">
        <f t="shared" si="8"/>
        <v>61</v>
      </c>
      <c r="C68" s="20" t="s">
        <v>2118</v>
      </c>
      <c r="D68" s="20" t="s">
        <v>2122</v>
      </c>
      <c r="E68" s="65">
        <v>10818</v>
      </c>
      <c r="F68" s="19" t="s">
        <v>2035</v>
      </c>
      <c r="G68" s="9">
        <v>7613</v>
      </c>
      <c r="H68" s="9">
        <v>729748.76439393102</v>
      </c>
      <c r="I68" s="9">
        <v>1264</v>
      </c>
      <c r="J68" s="9">
        <v>68724.261299260019</v>
      </c>
      <c r="K68" s="10">
        <v>379</v>
      </c>
      <c r="L68" s="10">
        <v>60694.645965940021</v>
      </c>
      <c r="M68" s="10">
        <v>71</v>
      </c>
      <c r="N68" s="10">
        <v>7763.4159729100002</v>
      </c>
      <c r="O68" s="10">
        <v>676</v>
      </c>
      <c r="P68" s="10">
        <v>80247.502701009973</v>
      </c>
      <c r="Q68" s="10">
        <v>202</v>
      </c>
      <c r="R68" s="10">
        <v>18627.033285899994</v>
      </c>
      <c r="S68" s="10">
        <v>5</v>
      </c>
      <c r="T68" s="10">
        <v>5097.4221221600001</v>
      </c>
      <c r="U68" s="10">
        <v>0</v>
      </c>
      <c r="V68" s="10">
        <v>0</v>
      </c>
      <c r="W68" s="10">
        <v>19</v>
      </c>
      <c r="X68" s="10">
        <v>25663.258085819994</v>
      </c>
      <c r="Y68" s="10">
        <v>5</v>
      </c>
      <c r="Z68" s="10">
        <v>1433.2861001900001</v>
      </c>
      <c r="AA68" s="10">
        <v>33</v>
      </c>
      <c r="AB68" s="10">
        <v>38658.133558149988</v>
      </c>
      <c r="AC68" s="10">
        <v>1</v>
      </c>
      <c r="AD68" s="10">
        <v>367.73688439</v>
      </c>
      <c r="AE68" s="10">
        <v>6</v>
      </c>
      <c r="AF68" s="10">
        <v>34495.801601949999</v>
      </c>
      <c r="AG68" s="10">
        <v>1</v>
      </c>
      <c r="AH68" s="10">
        <v>1527.1316334800001</v>
      </c>
      <c r="AI68" s="10">
        <v>7</v>
      </c>
      <c r="AJ68" s="10">
        <v>31689.637545319998</v>
      </c>
      <c r="AK68" s="10">
        <v>1</v>
      </c>
      <c r="AL68" s="10">
        <v>49.638498439999999</v>
      </c>
      <c r="AM68" s="10">
        <v>1313</v>
      </c>
      <c r="AN68" s="10">
        <v>62394.545817549966</v>
      </c>
      <c r="AO68" s="10">
        <v>103</v>
      </c>
      <c r="AP68" s="10">
        <v>4214.1948386399999</v>
      </c>
      <c r="AQ68" s="10">
        <v>903</v>
      </c>
      <c r="AR68" s="10">
        <v>51410.745279969968</v>
      </c>
      <c r="AS68" s="10">
        <v>298</v>
      </c>
      <c r="AT68" s="10">
        <v>20804.262289450013</v>
      </c>
      <c r="AU68" s="10">
        <v>641</v>
      </c>
      <c r="AV68" s="10">
        <v>32457.265198730005</v>
      </c>
      <c r="AW68" s="10">
        <v>400</v>
      </c>
      <c r="AX68" s="10">
        <v>3101.0831406599991</v>
      </c>
      <c r="AY68" s="10">
        <v>439</v>
      </c>
      <c r="AZ68" s="10">
        <v>54384.424126800004</v>
      </c>
      <c r="BA68" s="10">
        <v>69</v>
      </c>
      <c r="BB68" s="10">
        <v>2250.1567951400007</v>
      </c>
      <c r="BC68" s="10">
        <v>229</v>
      </c>
      <c r="BD68" s="10">
        <v>43528.306387639939</v>
      </c>
      <c r="BE68" s="10">
        <v>7</v>
      </c>
      <c r="BF68" s="10">
        <v>1373.0921875899999</v>
      </c>
      <c r="BG68" s="10">
        <v>237</v>
      </c>
      <c r="BH68" s="10">
        <v>31795.556388370005</v>
      </c>
      <c r="BI68" s="10">
        <v>5</v>
      </c>
      <c r="BJ68" s="10">
        <v>1205.31666073</v>
      </c>
      <c r="BK68" s="10">
        <v>2726</v>
      </c>
      <c r="BL68" s="10">
        <v>177231.51961452141</v>
      </c>
      <c r="BM68" s="10">
        <v>101</v>
      </c>
      <c r="BN68" s="10">
        <v>6007.9130117399955</v>
      </c>
      <c r="BO68" s="18">
        <f t="shared" si="6"/>
        <v>0</v>
      </c>
      <c r="BP68" s="18">
        <f t="shared" si="7"/>
        <v>0</v>
      </c>
      <c r="BQ68" s="18">
        <f t="shared" si="4"/>
        <v>0</v>
      </c>
      <c r="BR68" s="18">
        <f t="shared" si="5"/>
        <v>2.0008883439004421E-11</v>
      </c>
      <c r="BS68" s="18"/>
      <c r="BT68" s="18"/>
      <c r="BU68" s="18"/>
      <c r="BV68" s="18"/>
    </row>
    <row r="69" spans="1:74" s="11" customFormat="1" ht="27" customHeight="1" x14ac:dyDescent="0.25">
      <c r="A69" s="66" t="s">
        <v>42</v>
      </c>
      <c r="B69" s="1">
        <f t="shared" si="8"/>
        <v>62</v>
      </c>
      <c r="C69" s="20" t="s">
        <v>2118</v>
      </c>
      <c r="D69" s="20" t="s">
        <v>2121</v>
      </c>
      <c r="E69" s="65">
        <v>10819</v>
      </c>
      <c r="F69" s="19" t="s">
        <v>2100</v>
      </c>
      <c r="G69" s="9">
        <v>5014</v>
      </c>
      <c r="H69" s="9">
        <v>277745.41809794999</v>
      </c>
      <c r="I69" s="9">
        <v>393</v>
      </c>
      <c r="J69" s="9">
        <v>13748.719431539999</v>
      </c>
      <c r="K69" s="10">
        <v>356</v>
      </c>
      <c r="L69" s="10">
        <v>63608.979318580008</v>
      </c>
      <c r="M69" s="10">
        <v>38</v>
      </c>
      <c r="N69" s="10">
        <v>4295.7833767700004</v>
      </c>
      <c r="O69" s="10">
        <v>340</v>
      </c>
      <c r="P69" s="10">
        <v>31067.233285200004</v>
      </c>
      <c r="Q69" s="10">
        <v>40</v>
      </c>
      <c r="R69" s="10">
        <v>2706.8303446999994</v>
      </c>
      <c r="S69" s="10">
        <v>7</v>
      </c>
      <c r="T69" s="10">
        <v>8760.9258360700005</v>
      </c>
      <c r="U69" s="10">
        <v>0</v>
      </c>
      <c r="V69" s="10">
        <v>0</v>
      </c>
      <c r="W69" s="10">
        <v>10</v>
      </c>
      <c r="X69" s="10">
        <v>6993.1558432499996</v>
      </c>
      <c r="Y69" s="10">
        <v>3</v>
      </c>
      <c r="Z69" s="10">
        <v>1454.06789037</v>
      </c>
      <c r="AA69" s="10">
        <v>7</v>
      </c>
      <c r="AB69" s="10">
        <v>3095.3544596300003</v>
      </c>
      <c r="AC69" s="10">
        <v>0</v>
      </c>
      <c r="AD69" s="10">
        <v>0</v>
      </c>
      <c r="AE69" s="10">
        <v>3</v>
      </c>
      <c r="AF69" s="10">
        <v>1860.1389020900001</v>
      </c>
      <c r="AG69" s="10">
        <v>0</v>
      </c>
      <c r="AH69" s="10">
        <v>0</v>
      </c>
      <c r="AI69" s="10">
        <v>2</v>
      </c>
      <c r="AJ69" s="10">
        <v>439.88131963000001</v>
      </c>
      <c r="AK69" s="10">
        <v>1</v>
      </c>
      <c r="AL69" s="10">
        <v>58.081319630000003</v>
      </c>
      <c r="AM69" s="10">
        <v>1701</v>
      </c>
      <c r="AN69" s="10">
        <v>60898.712346990069</v>
      </c>
      <c r="AO69" s="10">
        <v>56</v>
      </c>
      <c r="AP69" s="10">
        <v>1294.1644109400002</v>
      </c>
      <c r="AQ69" s="10">
        <v>994</v>
      </c>
      <c r="AR69" s="10">
        <v>25788.920534679983</v>
      </c>
      <c r="AS69" s="10">
        <v>77</v>
      </c>
      <c r="AT69" s="10">
        <v>2863.6634237800013</v>
      </c>
      <c r="AU69" s="10">
        <v>847</v>
      </c>
      <c r="AV69" s="10">
        <v>14321.12642071001</v>
      </c>
      <c r="AW69" s="10">
        <v>145</v>
      </c>
      <c r="AX69" s="10">
        <v>651.39418679999983</v>
      </c>
      <c r="AY69" s="10">
        <v>260</v>
      </c>
      <c r="AZ69" s="10">
        <v>20325.774587679996</v>
      </c>
      <c r="BA69" s="10">
        <v>26</v>
      </c>
      <c r="BB69" s="10">
        <v>65.576615710000013</v>
      </c>
      <c r="BC69" s="10">
        <v>180</v>
      </c>
      <c r="BD69" s="10">
        <v>26358.253521150007</v>
      </c>
      <c r="BE69" s="10">
        <v>0</v>
      </c>
      <c r="BF69" s="10">
        <v>0</v>
      </c>
      <c r="BG69" s="10">
        <v>7</v>
      </c>
      <c r="BH69" s="10">
        <v>1286.8669721700001</v>
      </c>
      <c r="BI69" s="10">
        <v>1</v>
      </c>
      <c r="BJ69" s="10">
        <v>251.13832572999999</v>
      </c>
      <c r="BK69" s="10">
        <v>300</v>
      </c>
      <c r="BL69" s="10">
        <v>12940.094750119995</v>
      </c>
      <c r="BM69" s="10">
        <v>6</v>
      </c>
      <c r="BN69" s="10">
        <v>108.01953711</v>
      </c>
      <c r="BO69" s="18">
        <f t="shared" si="6"/>
        <v>0</v>
      </c>
      <c r="BP69" s="18">
        <f t="shared" si="7"/>
        <v>-5.6388671509921551E-11</v>
      </c>
      <c r="BQ69" s="18">
        <f t="shared" si="4"/>
        <v>0</v>
      </c>
      <c r="BR69" s="18">
        <f t="shared" si="5"/>
        <v>-2.8848035071860068E-12</v>
      </c>
      <c r="BS69" s="18"/>
      <c r="BT69" s="18"/>
      <c r="BU69" s="18"/>
      <c r="BV69" s="18"/>
    </row>
    <row r="70" spans="1:74" s="11" customFormat="1" ht="27" customHeight="1" x14ac:dyDescent="0.25">
      <c r="A70" s="66" t="s">
        <v>42</v>
      </c>
      <c r="B70" s="1">
        <f t="shared" si="8"/>
        <v>63</v>
      </c>
      <c r="C70" s="20" t="s">
        <v>2118</v>
      </c>
      <c r="D70" s="20" t="s">
        <v>2120</v>
      </c>
      <c r="E70" s="65">
        <v>10820</v>
      </c>
      <c r="F70" s="19" t="s">
        <v>2039</v>
      </c>
      <c r="G70" s="9">
        <v>6503</v>
      </c>
      <c r="H70" s="9">
        <v>391108.70083299966</v>
      </c>
      <c r="I70" s="9">
        <v>1368</v>
      </c>
      <c r="J70" s="9">
        <v>52562.353774590039</v>
      </c>
      <c r="K70" s="10">
        <v>414</v>
      </c>
      <c r="L70" s="10">
        <v>42825.455364589987</v>
      </c>
      <c r="M70" s="10">
        <v>54</v>
      </c>
      <c r="N70" s="10">
        <v>5827.95</v>
      </c>
      <c r="O70" s="10">
        <v>474</v>
      </c>
      <c r="P70" s="10">
        <v>43289.063288059995</v>
      </c>
      <c r="Q70" s="10">
        <v>187</v>
      </c>
      <c r="R70" s="10">
        <v>16059.168166670002</v>
      </c>
      <c r="S70" s="10">
        <v>6</v>
      </c>
      <c r="T70" s="10">
        <v>11681.08770833</v>
      </c>
      <c r="U70" s="10">
        <v>3</v>
      </c>
      <c r="V70" s="10">
        <v>344.22659233000002</v>
      </c>
      <c r="W70" s="10">
        <v>3</v>
      </c>
      <c r="X70" s="10">
        <v>2867.8548928</v>
      </c>
      <c r="Y70" s="10">
        <v>0</v>
      </c>
      <c r="Z70" s="10">
        <v>0</v>
      </c>
      <c r="AA70" s="10">
        <v>18</v>
      </c>
      <c r="AB70" s="10">
        <v>16259.120839079998</v>
      </c>
      <c r="AC70" s="10">
        <v>0</v>
      </c>
      <c r="AD70" s="10">
        <v>0</v>
      </c>
      <c r="AE70" s="10">
        <v>2</v>
      </c>
      <c r="AF70" s="10">
        <v>3389.3053636400005</v>
      </c>
      <c r="AG70" s="10">
        <v>0</v>
      </c>
      <c r="AH70" s="10">
        <v>0</v>
      </c>
      <c r="AI70" s="10">
        <v>4</v>
      </c>
      <c r="AJ70" s="10">
        <v>19456.307946180001</v>
      </c>
      <c r="AK70" s="10">
        <v>1</v>
      </c>
      <c r="AL70" s="10">
        <v>108.07875799999999</v>
      </c>
      <c r="AM70" s="10">
        <v>2612</v>
      </c>
      <c r="AN70" s="10">
        <v>83803.116728840192</v>
      </c>
      <c r="AO70" s="10">
        <v>283</v>
      </c>
      <c r="AP70" s="10">
        <v>8905.8056424299957</v>
      </c>
      <c r="AQ70" s="10">
        <v>1260</v>
      </c>
      <c r="AR70" s="10">
        <v>48618.596919430078</v>
      </c>
      <c r="AS70" s="10">
        <v>441</v>
      </c>
      <c r="AT70" s="10">
        <v>16732.332929450007</v>
      </c>
      <c r="AU70" s="10">
        <v>558</v>
      </c>
      <c r="AV70" s="10">
        <v>11493.681079609993</v>
      </c>
      <c r="AW70" s="10">
        <v>308</v>
      </c>
      <c r="AX70" s="10">
        <v>2575.9495018200009</v>
      </c>
      <c r="AY70" s="10">
        <v>323</v>
      </c>
      <c r="AZ70" s="10">
        <v>24084.665040969987</v>
      </c>
      <c r="BA70" s="10">
        <v>46</v>
      </c>
      <c r="BB70" s="10">
        <v>825.77725639999971</v>
      </c>
      <c r="BC70" s="10">
        <v>244</v>
      </c>
      <c r="BD70" s="10">
        <v>49201.128640129995</v>
      </c>
      <c r="BE70" s="10">
        <v>7</v>
      </c>
      <c r="BF70" s="10">
        <v>531.62932289000003</v>
      </c>
      <c r="BG70" s="10">
        <v>26</v>
      </c>
      <c r="BH70" s="10">
        <v>2036.3186452499997</v>
      </c>
      <c r="BI70" s="10">
        <v>8</v>
      </c>
      <c r="BJ70" s="10">
        <v>9.0071983600000003</v>
      </c>
      <c r="BK70" s="10">
        <v>559</v>
      </c>
      <c r="BL70" s="10">
        <v>32102.998376089985</v>
      </c>
      <c r="BM70" s="10">
        <v>30</v>
      </c>
      <c r="BN70" s="10">
        <v>642.42840624000053</v>
      </c>
      <c r="BO70" s="18">
        <f t="shared" si="6"/>
        <v>0</v>
      </c>
      <c r="BP70" s="18">
        <f t="shared" si="7"/>
        <v>-5.893525667488575E-10</v>
      </c>
      <c r="BQ70" s="18">
        <f t="shared" si="4"/>
        <v>0</v>
      </c>
      <c r="BR70" s="18">
        <f t="shared" si="5"/>
        <v>3.4219738154206425E-11</v>
      </c>
      <c r="BS70" s="18"/>
      <c r="BT70" s="18"/>
      <c r="BU70" s="18"/>
      <c r="BV70" s="18"/>
    </row>
    <row r="71" spans="1:74" s="11" customFormat="1" ht="27" customHeight="1" x14ac:dyDescent="0.25">
      <c r="A71" s="66" t="s">
        <v>42</v>
      </c>
      <c r="B71" s="1">
        <f t="shared" si="8"/>
        <v>64</v>
      </c>
      <c r="C71" s="20" t="s">
        <v>2118</v>
      </c>
      <c r="D71" s="20" t="s">
        <v>2119</v>
      </c>
      <c r="E71" s="65">
        <v>12129</v>
      </c>
      <c r="F71" s="19" t="s">
        <v>2043</v>
      </c>
      <c r="G71" s="9">
        <v>2991</v>
      </c>
      <c r="H71" s="9">
        <v>188421.3084320302</v>
      </c>
      <c r="I71" s="9">
        <v>351</v>
      </c>
      <c r="J71" s="9">
        <v>17712.444775460001</v>
      </c>
      <c r="K71" s="10">
        <v>89</v>
      </c>
      <c r="L71" s="10">
        <v>13833.51438176</v>
      </c>
      <c r="M71" s="10">
        <v>3</v>
      </c>
      <c r="N71" s="10">
        <v>300</v>
      </c>
      <c r="O71" s="10">
        <v>539</v>
      </c>
      <c r="P71" s="10">
        <v>48725.881921430031</v>
      </c>
      <c r="Q71" s="10">
        <v>122</v>
      </c>
      <c r="R71" s="10">
        <v>10722.844596500003</v>
      </c>
      <c r="S71" s="10">
        <v>5</v>
      </c>
      <c r="T71" s="10">
        <v>3227.8850124300002</v>
      </c>
      <c r="U71" s="10">
        <v>2</v>
      </c>
      <c r="V71" s="10">
        <v>1557.99345113</v>
      </c>
      <c r="W71" s="10">
        <v>2</v>
      </c>
      <c r="X71" s="10">
        <v>2770.8333259999999</v>
      </c>
      <c r="Y71" s="10">
        <v>0</v>
      </c>
      <c r="Z71" s="10">
        <v>0</v>
      </c>
      <c r="AA71" s="10">
        <v>2</v>
      </c>
      <c r="AB71" s="10">
        <v>613.37083254999993</v>
      </c>
      <c r="AC71" s="10">
        <v>1</v>
      </c>
      <c r="AD71" s="10">
        <v>589.5788325499999</v>
      </c>
      <c r="AE71" s="10">
        <v>1</v>
      </c>
      <c r="AF71" s="10">
        <v>206</v>
      </c>
      <c r="AG71" s="10">
        <v>0</v>
      </c>
      <c r="AH71" s="10">
        <v>0</v>
      </c>
      <c r="AI71" s="10">
        <v>1</v>
      </c>
      <c r="AJ71" s="10">
        <v>52.196584119999997</v>
      </c>
      <c r="AK71" s="10">
        <v>0</v>
      </c>
      <c r="AL71" s="10">
        <v>0</v>
      </c>
      <c r="AM71" s="10">
        <v>964</v>
      </c>
      <c r="AN71" s="10">
        <v>39702.430120399971</v>
      </c>
      <c r="AO71" s="10">
        <v>25</v>
      </c>
      <c r="AP71" s="10">
        <v>1936.7121642699999</v>
      </c>
      <c r="AQ71" s="10">
        <v>549</v>
      </c>
      <c r="AR71" s="10">
        <v>9404.454850450009</v>
      </c>
      <c r="AS71" s="10">
        <v>66</v>
      </c>
      <c r="AT71" s="10">
        <v>930.98897719000013</v>
      </c>
      <c r="AU71" s="10">
        <v>227</v>
      </c>
      <c r="AV71" s="10">
        <v>6930.2879082700001</v>
      </c>
      <c r="AW71" s="10">
        <v>107</v>
      </c>
      <c r="AX71" s="10">
        <v>807.47791202000008</v>
      </c>
      <c r="AY71" s="10">
        <v>234</v>
      </c>
      <c r="AZ71" s="10">
        <v>27074.081860249989</v>
      </c>
      <c r="BA71" s="10">
        <v>15</v>
      </c>
      <c r="BB71" s="10">
        <v>324.71530431999997</v>
      </c>
      <c r="BC71" s="10">
        <v>103</v>
      </c>
      <c r="BD71" s="10">
        <v>16890.695172040003</v>
      </c>
      <c r="BE71" s="10">
        <v>0</v>
      </c>
      <c r="BF71" s="10">
        <v>0</v>
      </c>
      <c r="BG71" s="10">
        <v>3</v>
      </c>
      <c r="BH71" s="10">
        <v>333.30116998</v>
      </c>
      <c r="BI71" s="10">
        <v>0</v>
      </c>
      <c r="BJ71" s="10">
        <v>0</v>
      </c>
      <c r="BK71" s="10">
        <v>272</v>
      </c>
      <c r="BL71" s="10">
        <v>18656.375292349996</v>
      </c>
      <c r="BM71" s="10">
        <v>10</v>
      </c>
      <c r="BN71" s="10">
        <v>542.13353747999986</v>
      </c>
      <c r="BO71" s="18">
        <f t="shared" si="6"/>
        <v>0</v>
      </c>
      <c r="BP71" s="18">
        <f t="shared" ref="BP71:BP102" si="9">+H71-L71-P71-T71-X71-AB71-AF71-AJ71-AN71-AR71-AV71-AZ71-BD71-BH71-BL71</f>
        <v>1.964508555829525E-10</v>
      </c>
      <c r="BQ71" s="18">
        <f t="shared" ref="BQ71:BQ102" si="10">+I71-M71-Q71-U71-Y71-AC71-AG71-AK71-AO71-AS71-AW71-BA71-BE71-BI71-BM71</f>
        <v>0</v>
      </c>
      <c r="BR71" s="18">
        <f t="shared" ref="BR71:BR102" si="11">+J71-N71-R71-V71-Z71-AD71-AH71-AL71-AP71-AT71-AX71-BB71-BF71-BJ71-BN71</f>
        <v>-1.9326762412674725E-12</v>
      </c>
      <c r="BS71" s="18"/>
      <c r="BT71" s="18"/>
      <c r="BU71" s="18"/>
      <c r="BV71" s="18"/>
    </row>
    <row r="72" spans="1:74" s="11" customFormat="1" ht="27" customHeight="1" x14ac:dyDescent="0.25">
      <c r="A72" s="66" t="s">
        <v>42</v>
      </c>
      <c r="B72" s="1">
        <f t="shared" si="8"/>
        <v>65</v>
      </c>
      <c r="C72" s="20" t="s">
        <v>2118</v>
      </c>
      <c r="D72" s="20" t="s">
        <v>2230</v>
      </c>
      <c r="E72" s="65">
        <v>12213</v>
      </c>
      <c r="F72" s="19" t="s">
        <v>2066</v>
      </c>
      <c r="G72" s="9">
        <v>734</v>
      </c>
      <c r="H72" s="9">
        <v>36878.018087220007</v>
      </c>
      <c r="I72" s="9">
        <v>26</v>
      </c>
      <c r="J72" s="9">
        <v>1871.5112492200001</v>
      </c>
      <c r="K72" s="10">
        <v>64</v>
      </c>
      <c r="L72" s="10">
        <v>3975.3783332999997</v>
      </c>
      <c r="M72" s="10">
        <v>1</v>
      </c>
      <c r="N72" s="10">
        <v>62</v>
      </c>
      <c r="O72" s="10">
        <v>75</v>
      </c>
      <c r="P72" s="10">
        <v>6616.0510719599988</v>
      </c>
      <c r="Q72" s="10">
        <v>19</v>
      </c>
      <c r="R72" s="10">
        <v>1697.1764676399998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413</v>
      </c>
      <c r="AN72" s="10">
        <v>16007.842630770001</v>
      </c>
      <c r="AO72" s="10">
        <v>0</v>
      </c>
      <c r="AP72" s="10">
        <v>0</v>
      </c>
      <c r="AQ72" s="10">
        <v>1</v>
      </c>
      <c r="AR72" s="10">
        <v>25.832797719999999</v>
      </c>
      <c r="AS72" s="10">
        <v>0</v>
      </c>
      <c r="AT72" s="10">
        <v>0</v>
      </c>
      <c r="AU72" s="10">
        <v>1</v>
      </c>
      <c r="AV72" s="10">
        <v>322.77835829000003</v>
      </c>
      <c r="AW72" s="10">
        <v>0</v>
      </c>
      <c r="AX72" s="10">
        <v>0</v>
      </c>
      <c r="AY72" s="10">
        <v>4</v>
      </c>
      <c r="AZ72" s="10">
        <v>941.51002796</v>
      </c>
      <c r="BA72" s="10">
        <v>0</v>
      </c>
      <c r="BB72" s="10">
        <v>0</v>
      </c>
      <c r="BC72" s="10">
        <v>6</v>
      </c>
      <c r="BD72" s="10">
        <v>1568.2283787399997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170</v>
      </c>
      <c r="BL72" s="10">
        <v>7420.3964884799834</v>
      </c>
      <c r="BM72" s="10">
        <v>6</v>
      </c>
      <c r="BN72" s="10">
        <v>112.33478158</v>
      </c>
      <c r="BO72" s="18">
        <f t="shared" ref="BO72:BO102" si="12">+G72-K72-O72-S72-W72-AA72-AE72-AI72-AM72-AQ72-AU72-AY72-BC72-BG72-BK72</f>
        <v>0</v>
      </c>
      <c r="BP72" s="18">
        <f t="shared" si="9"/>
        <v>2.2737367544323206E-11</v>
      </c>
      <c r="BQ72" s="18">
        <f t="shared" si="10"/>
        <v>0</v>
      </c>
      <c r="BR72" s="18">
        <f t="shared" si="11"/>
        <v>2.5579538487363607E-13</v>
      </c>
      <c r="BS72" s="18"/>
      <c r="BT72" s="18"/>
      <c r="BU72" s="18"/>
      <c r="BV72" s="18"/>
    </row>
    <row r="73" spans="1:74" s="11" customFormat="1" ht="27" customHeight="1" x14ac:dyDescent="0.25">
      <c r="A73" s="66" t="s">
        <v>31</v>
      </c>
      <c r="B73" s="1">
        <f t="shared" ref="B73:B102" si="13">+B72+1</f>
        <v>66</v>
      </c>
      <c r="C73" s="20" t="s">
        <v>2123</v>
      </c>
      <c r="D73" s="20" t="s">
        <v>2124</v>
      </c>
      <c r="E73" s="65">
        <v>11291</v>
      </c>
      <c r="F73" s="19" t="s">
        <v>2107</v>
      </c>
      <c r="G73" s="9">
        <v>3679</v>
      </c>
      <c r="H73" s="9">
        <v>1240924.11007962</v>
      </c>
      <c r="I73" s="9">
        <v>16</v>
      </c>
      <c r="J73" s="9">
        <v>893.79948249999995</v>
      </c>
      <c r="K73" s="10">
        <v>149</v>
      </c>
      <c r="L73" s="10">
        <v>113338.39786920001</v>
      </c>
      <c r="M73" s="10">
        <v>1</v>
      </c>
      <c r="N73" s="10">
        <v>75.000000999999997</v>
      </c>
      <c r="O73" s="10">
        <v>37</v>
      </c>
      <c r="P73" s="10">
        <v>65471.642079849997</v>
      </c>
      <c r="Q73" s="10">
        <v>2</v>
      </c>
      <c r="R73" s="10">
        <v>130.27687885999998</v>
      </c>
      <c r="S73" s="10">
        <v>5</v>
      </c>
      <c r="T73" s="10">
        <v>2809.9626858299998</v>
      </c>
      <c r="U73" s="10">
        <v>1</v>
      </c>
      <c r="V73" s="10">
        <v>382.90762362999999</v>
      </c>
      <c r="W73" s="10">
        <v>10</v>
      </c>
      <c r="X73" s="10">
        <v>11635.518928449999</v>
      </c>
      <c r="Y73" s="10">
        <v>0</v>
      </c>
      <c r="Z73" s="10">
        <v>0</v>
      </c>
      <c r="AA73" s="10">
        <v>6</v>
      </c>
      <c r="AB73" s="10">
        <v>4126.9873451899994</v>
      </c>
      <c r="AC73" s="10">
        <v>0</v>
      </c>
      <c r="AD73" s="10">
        <v>0</v>
      </c>
      <c r="AE73" s="10">
        <v>4</v>
      </c>
      <c r="AF73" s="10">
        <v>19493.094907900002</v>
      </c>
      <c r="AG73" s="10">
        <v>1</v>
      </c>
      <c r="AH73" s="10">
        <v>52.866287310000004</v>
      </c>
      <c r="AI73" s="10">
        <v>7</v>
      </c>
      <c r="AJ73" s="10">
        <v>696434.11608714005</v>
      </c>
      <c r="AK73" s="10">
        <v>0</v>
      </c>
      <c r="AL73" s="10">
        <v>0</v>
      </c>
      <c r="AM73" s="10">
        <v>1852</v>
      </c>
      <c r="AN73" s="10">
        <v>241784.99361370041</v>
      </c>
      <c r="AO73" s="10">
        <v>0</v>
      </c>
      <c r="AP73" s="10">
        <v>0</v>
      </c>
      <c r="AQ73" s="10">
        <v>408</v>
      </c>
      <c r="AR73" s="10">
        <v>22251.686327219963</v>
      </c>
      <c r="AS73" s="10">
        <v>1</v>
      </c>
      <c r="AT73" s="10">
        <v>188.27769241999999</v>
      </c>
      <c r="AU73" s="10">
        <v>861</v>
      </c>
      <c r="AV73" s="10">
        <v>44721.888147489997</v>
      </c>
      <c r="AW73" s="10">
        <v>1</v>
      </c>
      <c r="AX73" s="10">
        <v>26.605681280000002</v>
      </c>
      <c r="AY73" s="10">
        <v>249</v>
      </c>
      <c r="AZ73" s="10">
        <v>8539.8234511599985</v>
      </c>
      <c r="BA73" s="10">
        <v>1</v>
      </c>
      <c r="BB73" s="10">
        <v>3.3715970400000002</v>
      </c>
      <c r="BC73" s="10">
        <v>46</v>
      </c>
      <c r="BD73" s="10">
        <v>6933.969150599999</v>
      </c>
      <c r="BE73" s="10">
        <v>0</v>
      </c>
      <c r="BF73" s="10">
        <v>0</v>
      </c>
      <c r="BG73" s="10">
        <v>31</v>
      </c>
      <c r="BH73" s="10">
        <v>1551.9804243399994</v>
      </c>
      <c r="BI73" s="10">
        <v>8</v>
      </c>
      <c r="BJ73" s="10">
        <v>34.49372095999999</v>
      </c>
      <c r="BK73" s="10">
        <v>14</v>
      </c>
      <c r="BL73" s="10">
        <v>1830.04906155</v>
      </c>
      <c r="BM73" s="10">
        <v>0</v>
      </c>
      <c r="BN73" s="10">
        <v>0</v>
      </c>
      <c r="BO73" s="18">
        <f t="shared" si="12"/>
        <v>0</v>
      </c>
      <c r="BP73" s="18">
        <f t="shared" si="9"/>
        <v>-2.2441781766247004E-10</v>
      </c>
      <c r="BQ73" s="18">
        <f t="shared" si="10"/>
        <v>0</v>
      </c>
      <c r="BR73" s="18">
        <f t="shared" si="11"/>
        <v>-4.2632564145606011E-14</v>
      </c>
      <c r="BS73" s="18"/>
      <c r="BT73" s="18"/>
      <c r="BU73" s="18"/>
      <c r="BV73" s="18"/>
    </row>
    <row r="74" spans="1:74" s="11" customFormat="1" ht="27" customHeight="1" x14ac:dyDescent="0.25">
      <c r="A74" s="66" t="s">
        <v>35</v>
      </c>
      <c r="B74" s="1">
        <f t="shared" si="13"/>
        <v>67</v>
      </c>
      <c r="C74" s="20" t="s">
        <v>2139</v>
      </c>
      <c r="D74" s="20" t="s">
        <v>2140</v>
      </c>
      <c r="E74" s="65">
        <v>11443</v>
      </c>
      <c r="F74" s="19" t="s">
        <v>2073</v>
      </c>
      <c r="G74" s="9">
        <v>2721</v>
      </c>
      <c r="H74" s="9">
        <v>156577.54228864997</v>
      </c>
      <c r="I74" s="9">
        <v>58</v>
      </c>
      <c r="J74" s="9">
        <v>1307.7760041099998</v>
      </c>
      <c r="K74" s="10">
        <v>121</v>
      </c>
      <c r="L74" s="10">
        <v>57901.802251370027</v>
      </c>
      <c r="M74" s="10">
        <v>0</v>
      </c>
      <c r="N74" s="10">
        <v>0</v>
      </c>
      <c r="O74" s="10">
        <v>81</v>
      </c>
      <c r="P74" s="10">
        <v>26808.814461039998</v>
      </c>
      <c r="Q74" s="10">
        <v>0</v>
      </c>
      <c r="R74" s="10">
        <v>0</v>
      </c>
      <c r="S74" s="10">
        <v>49</v>
      </c>
      <c r="T74" s="10">
        <v>5832.7512590900014</v>
      </c>
      <c r="U74" s="10">
        <v>1</v>
      </c>
      <c r="V74" s="10">
        <v>355.27947896000001</v>
      </c>
      <c r="W74" s="10">
        <v>6</v>
      </c>
      <c r="X74" s="10">
        <v>1081.8832695399999</v>
      </c>
      <c r="Y74" s="10">
        <v>1</v>
      </c>
      <c r="Z74" s="10">
        <v>242.26741441999999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1141</v>
      </c>
      <c r="AN74" s="10">
        <v>25405.886604360025</v>
      </c>
      <c r="AO74" s="10">
        <v>8</v>
      </c>
      <c r="AP74" s="10">
        <v>77.748683970000002</v>
      </c>
      <c r="AQ74" s="10">
        <v>627</v>
      </c>
      <c r="AR74" s="10">
        <v>15581.560016630014</v>
      </c>
      <c r="AS74" s="10">
        <v>15</v>
      </c>
      <c r="AT74" s="10">
        <v>261.60321634000002</v>
      </c>
      <c r="AU74" s="10">
        <v>548</v>
      </c>
      <c r="AV74" s="10">
        <v>13106.757842999967</v>
      </c>
      <c r="AW74" s="10">
        <v>33</v>
      </c>
      <c r="AX74" s="10">
        <v>370.87721042000004</v>
      </c>
      <c r="AY74" s="10">
        <v>116</v>
      </c>
      <c r="AZ74" s="10">
        <v>5488.4804836799985</v>
      </c>
      <c r="BA74" s="10">
        <v>0</v>
      </c>
      <c r="BB74" s="10">
        <v>0</v>
      </c>
      <c r="BC74" s="10">
        <v>30</v>
      </c>
      <c r="BD74" s="10">
        <v>5367.3992847999989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2</v>
      </c>
      <c r="BL74" s="10">
        <v>2.2068151399999998</v>
      </c>
      <c r="BM74" s="10">
        <v>0</v>
      </c>
      <c r="BN74" s="10">
        <v>0</v>
      </c>
      <c r="BO74" s="18">
        <f t="shared" si="12"/>
        <v>0</v>
      </c>
      <c r="BP74" s="18">
        <f t="shared" si="9"/>
        <v>-5.6498805633964366E-11</v>
      </c>
      <c r="BQ74" s="18">
        <f t="shared" si="10"/>
        <v>0</v>
      </c>
      <c r="BR74" s="18">
        <f t="shared" si="11"/>
        <v>-2.8421709430404007E-13</v>
      </c>
      <c r="BS74" s="18"/>
      <c r="BT74" s="18"/>
      <c r="BU74" s="18"/>
      <c r="BV74" s="18"/>
    </row>
    <row r="75" spans="1:74" s="11" customFormat="1" ht="27" customHeight="1" x14ac:dyDescent="0.25">
      <c r="A75" s="66" t="s">
        <v>35</v>
      </c>
      <c r="B75" s="1">
        <f t="shared" si="13"/>
        <v>68</v>
      </c>
      <c r="C75" s="20" t="s">
        <v>2139</v>
      </c>
      <c r="D75" s="20" t="s">
        <v>2141</v>
      </c>
      <c r="E75" s="65">
        <v>11444</v>
      </c>
      <c r="F75" s="19" t="s">
        <v>2039</v>
      </c>
      <c r="G75" s="9">
        <v>3633</v>
      </c>
      <c r="H75" s="9">
        <v>232159.55835134999</v>
      </c>
      <c r="I75" s="9">
        <v>86</v>
      </c>
      <c r="J75" s="9">
        <v>2008.1962950499997</v>
      </c>
      <c r="K75" s="10">
        <v>139</v>
      </c>
      <c r="L75" s="10">
        <v>73210.730425660033</v>
      </c>
      <c r="M75" s="10">
        <v>1</v>
      </c>
      <c r="N75" s="10">
        <v>94.129886120000009</v>
      </c>
      <c r="O75" s="10">
        <v>119</v>
      </c>
      <c r="P75" s="10">
        <v>38134.371248929994</v>
      </c>
      <c r="Q75" s="10">
        <v>2</v>
      </c>
      <c r="R75" s="10">
        <v>184.32125518000001</v>
      </c>
      <c r="S75" s="10">
        <v>43</v>
      </c>
      <c r="T75" s="10">
        <v>31724.376090330006</v>
      </c>
      <c r="U75" s="10">
        <v>2</v>
      </c>
      <c r="V75" s="10">
        <v>238.29843388</v>
      </c>
      <c r="W75" s="10">
        <v>9</v>
      </c>
      <c r="X75" s="10">
        <v>2653.1054615200001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1560</v>
      </c>
      <c r="AN75" s="10">
        <v>39266.882551240036</v>
      </c>
      <c r="AO75" s="10">
        <v>4</v>
      </c>
      <c r="AP75" s="10">
        <v>32.007596979999995</v>
      </c>
      <c r="AQ75" s="10">
        <v>1100</v>
      </c>
      <c r="AR75" s="10">
        <v>23795.667690189992</v>
      </c>
      <c r="AS75" s="10">
        <v>40</v>
      </c>
      <c r="AT75" s="10">
        <v>957.42843878000008</v>
      </c>
      <c r="AU75" s="10">
        <v>517</v>
      </c>
      <c r="AV75" s="10">
        <v>14689.196224170008</v>
      </c>
      <c r="AW75" s="10">
        <v>33</v>
      </c>
      <c r="AX75" s="10">
        <v>267.46685563</v>
      </c>
      <c r="AY75" s="10">
        <v>114</v>
      </c>
      <c r="AZ75" s="10">
        <v>3787.2422077599995</v>
      </c>
      <c r="BA75" s="10">
        <v>4</v>
      </c>
      <c r="BB75" s="10">
        <v>234.54382848000003</v>
      </c>
      <c r="BC75" s="10">
        <v>26</v>
      </c>
      <c r="BD75" s="10">
        <v>4738.2533023000005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6</v>
      </c>
      <c r="BL75" s="10">
        <v>159.73314925</v>
      </c>
      <c r="BM75" s="10">
        <v>0</v>
      </c>
      <c r="BN75" s="10">
        <v>0</v>
      </c>
      <c r="BO75" s="18">
        <f t="shared" si="12"/>
        <v>0</v>
      </c>
      <c r="BP75" s="18">
        <f t="shared" si="9"/>
        <v>-8.5719875642098486E-11</v>
      </c>
      <c r="BQ75" s="18">
        <f t="shared" si="10"/>
        <v>0</v>
      </c>
      <c r="BR75" s="18">
        <f t="shared" si="11"/>
        <v>-4.2632564145606011E-13</v>
      </c>
      <c r="BS75" s="18"/>
      <c r="BT75" s="18"/>
      <c r="BU75" s="18"/>
      <c r="BV75" s="18"/>
    </row>
    <row r="76" spans="1:74" s="11" customFormat="1" ht="27" customHeight="1" x14ac:dyDescent="0.25">
      <c r="A76" s="66" t="s">
        <v>35</v>
      </c>
      <c r="B76" s="1">
        <f t="shared" si="13"/>
        <v>69</v>
      </c>
      <c r="C76" s="20" t="s">
        <v>2139</v>
      </c>
      <c r="D76" s="20" t="s">
        <v>2142</v>
      </c>
      <c r="E76" s="65">
        <v>11445</v>
      </c>
      <c r="F76" s="19" t="s">
        <v>2049</v>
      </c>
      <c r="G76" s="9">
        <v>4730</v>
      </c>
      <c r="H76" s="9">
        <v>315686.70144726028</v>
      </c>
      <c r="I76" s="9">
        <v>131</v>
      </c>
      <c r="J76" s="9">
        <v>4171.5567117699984</v>
      </c>
      <c r="K76" s="10">
        <v>290</v>
      </c>
      <c r="L76" s="10">
        <v>89787.605403160138</v>
      </c>
      <c r="M76" s="10">
        <v>0</v>
      </c>
      <c r="N76" s="10">
        <v>0</v>
      </c>
      <c r="O76" s="10">
        <v>117</v>
      </c>
      <c r="P76" s="10">
        <v>38781.124526909989</v>
      </c>
      <c r="Q76" s="10">
        <v>4</v>
      </c>
      <c r="R76" s="10">
        <v>313.97110105000007</v>
      </c>
      <c r="S76" s="10">
        <v>75</v>
      </c>
      <c r="T76" s="10">
        <v>11155.065578150008</v>
      </c>
      <c r="U76" s="10">
        <v>2</v>
      </c>
      <c r="V76" s="10">
        <v>214.93772842000001</v>
      </c>
      <c r="W76" s="10">
        <v>3</v>
      </c>
      <c r="X76" s="10">
        <v>22.178118359999999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2237</v>
      </c>
      <c r="AN76" s="10">
        <v>70761.030690270039</v>
      </c>
      <c r="AO76" s="10">
        <v>17</v>
      </c>
      <c r="AP76" s="10">
        <v>582.67207410000003</v>
      </c>
      <c r="AQ76" s="10">
        <v>1009</v>
      </c>
      <c r="AR76" s="10">
        <v>42144.835841169937</v>
      </c>
      <c r="AS76" s="10">
        <v>49</v>
      </c>
      <c r="AT76" s="10">
        <v>2046.7620337799995</v>
      </c>
      <c r="AU76" s="10">
        <v>675</v>
      </c>
      <c r="AV76" s="10">
        <v>35444.602054760013</v>
      </c>
      <c r="AW76" s="10">
        <v>50</v>
      </c>
      <c r="AX76" s="10">
        <v>904.87024271999962</v>
      </c>
      <c r="AY76" s="10">
        <v>186</v>
      </c>
      <c r="AZ76" s="10">
        <v>10708.731944870007</v>
      </c>
      <c r="BA76" s="10">
        <v>8</v>
      </c>
      <c r="BB76" s="10">
        <v>92.509583580000012</v>
      </c>
      <c r="BC76" s="10">
        <v>133</v>
      </c>
      <c r="BD76" s="10">
        <v>16823.588979469994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5</v>
      </c>
      <c r="BL76" s="10">
        <v>57.938310139999999</v>
      </c>
      <c r="BM76" s="10">
        <v>1</v>
      </c>
      <c r="BN76" s="10">
        <v>15.833948119999999</v>
      </c>
      <c r="BO76" s="18">
        <f t="shared" si="12"/>
        <v>0</v>
      </c>
      <c r="BP76" s="18">
        <f t="shared" si="9"/>
        <v>1.3631051842821762E-10</v>
      </c>
      <c r="BQ76" s="18">
        <f t="shared" si="10"/>
        <v>0</v>
      </c>
      <c r="BR76" s="18">
        <f t="shared" si="11"/>
        <v>-6.0751403907488566E-13</v>
      </c>
      <c r="BS76" s="18"/>
      <c r="BT76" s="18"/>
      <c r="BU76" s="18"/>
      <c r="BV76" s="18"/>
    </row>
    <row r="77" spans="1:74" s="11" customFormat="1" ht="27" customHeight="1" x14ac:dyDescent="0.25">
      <c r="A77" s="66" t="s">
        <v>35</v>
      </c>
      <c r="B77" s="1">
        <f t="shared" si="13"/>
        <v>70</v>
      </c>
      <c r="C77" s="20" t="s">
        <v>2139</v>
      </c>
      <c r="D77" s="20" t="s">
        <v>2143</v>
      </c>
      <c r="E77" s="65">
        <v>11446</v>
      </c>
      <c r="F77" s="19" t="s">
        <v>2037</v>
      </c>
      <c r="G77" s="9">
        <v>3821</v>
      </c>
      <c r="H77" s="9">
        <v>227670.17571088977</v>
      </c>
      <c r="I77" s="9">
        <v>76</v>
      </c>
      <c r="J77" s="9">
        <v>1653.9582772100002</v>
      </c>
      <c r="K77" s="10">
        <v>256</v>
      </c>
      <c r="L77" s="10">
        <v>96449.238258659971</v>
      </c>
      <c r="M77" s="10">
        <v>0</v>
      </c>
      <c r="N77" s="10">
        <v>0</v>
      </c>
      <c r="O77" s="10">
        <v>128</v>
      </c>
      <c r="P77" s="10">
        <v>24989.411661289996</v>
      </c>
      <c r="Q77" s="10">
        <v>1</v>
      </c>
      <c r="R77" s="10">
        <v>118.78969001999999</v>
      </c>
      <c r="S77" s="10">
        <v>81</v>
      </c>
      <c r="T77" s="10">
        <v>8648.2709627300028</v>
      </c>
      <c r="U77" s="10">
        <v>1</v>
      </c>
      <c r="V77" s="10">
        <v>131.98154208</v>
      </c>
      <c r="W77" s="10">
        <v>7</v>
      </c>
      <c r="X77" s="10">
        <v>450.71010985999999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1577</v>
      </c>
      <c r="AN77" s="10">
        <v>43668.580609670003</v>
      </c>
      <c r="AO77" s="10">
        <v>6</v>
      </c>
      <c r="AP77" s="10">
        <v>111.35310985000001</v>
      </c>
      <c r="AQ77" s="10">
        <v>996</v>
      </c>
      <c r="AR77" s="10">
        <v>28542.142394250033</v>
      </c>
      <c r="AS77" s="10">
        <v>33</v>
      </c>
      <c r="AT77" s="10">
        <v>939.05670748999978</v>
      </c>
      <c r="AU77" s="10">
        <v>675</v>
      </c>
      <c r="AV77" s="10">
        <v>18906.586084590013</v>
      </c>
      <c r="AW77" s="10">
        <v>32</v>
      </c>
      <c r="AX77" s="10">
        <v>346.79852632000006</v>
      </c>
      <c r="AY77" s="10">
        <v>85</v>
      </c>
      <c r="AZ77" s="10">
        <v>4291.74836848</v>
      </c>
      <c r="BA77" s="10">
        <v>3</v>
      </c>
      <c r="BB77" s="10">
        <v>5.9787014499999991</v>
      </c>
      <c r="BC77" s="10">
        <v>16</v>
      </c>
      <c r="BD77" s="10">
        <v>1723.48726136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8">
        <f t="shared" si="12"/>
        <v>0</v>
      </c>
      <c r="BP77" s="18">
        <f t="shared" si="9"/>
        <v>-2.610249794088304E-10</v>
      </c>
      <c r="BQ77" s="18">
        <f t="shared" si="10"/>
        <v>0</v>
      </c>
      <c r="BR77" s="18">
        <f t="shared" si="11"/>
        <v>2.4513724383723456E-13</v>
      </c>
      <c r="BS77" s="18"/>
      <c r="BT77" s="18"/>
      <c r="BU77" s="18"/>
      <c r="BV77" s="18"/>
    </row>
    <row r="78" spans="1:74" s="11" customFormat="1" ht="27" customHeight="1" x14ac:dyDescent="0.25">
      <c r="A78" s="66" t="s">
        <v>35</v>
      </c>
      <c r="B78" s="1">
        <f t="shared" si="13"/>
        <v>71</v>
      </c>
      <c r="C78" s="20" t="s">
        <v>2139</v>
      </c>
      <c r="D78" s="20" t="s">
        <v>2144</v>
      </c>
      <c r="E78" s="65">
        <v>11447</v>
      </c>
      <c r="F78" s="19" t="s">
        <v>2047</v>
      </c>
      <c r="G78" s="9">
        <v>3806</v>
      </c>
      <c r="H78" s="9">
        <v>242111.96990988008</v>
      </c>
      <c r="I78" s="9">
        <v>108</v>
      </c>
      <c r="J78" s="9">
        <v>1123.8523095900002</v>
      </c>
      <c r="K78" s="10">
        <v>136</v>
      </c>
      <c r="L78" s="10">
        <v>114185.48619759007</v>
      </c>
      <c r="M78" s="10">
        <v>0</v>
      </c>
      <c r="N78" s="10">
        <v>0</v>
      </c>
      <c r="O78" s="10">
        <v>67</v>
      </c>
      <c r="P78" s="10">
        <v>23644.846546149998</v>
      </c>
      <c r="Q78" s="10">
        <v>0</v>
      </c>
      <c r="R78" s="10">
        <v>0</v>
      </c>
      <c r="S78" s="10">
        <v>22</v>
      </c>
      <c r="T78" s="10">
        <v>1656.8444018000002</v>
      </c>
      <c r="U78" s="10">
        <v>0</v>
      </c>
      <c r="V78" s="10">
        <v>0</v>
      </c>
      <c r="W78" s="10">
        <v>4</v>
      </c>
      <c r="X78" s="10">
        <v>269.75113585000003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1787</v>
      </c>
      <c r="AN78" s="10">
        <v>49239.247645749827</v>
      </c>
      <c r="AO78" s="10">
        <v>10</v>
      </c>
      <c r="AP78" s="10">
        <v>123.47912958000002</v>
      </c>
      <c r="AQ78" s="10">
        <v>961</v>
      </c>
      <c r="AR78" s="10">
        <v>25941.243003019979</v>
      </c>
      <c r="AS78" s="10">
        <v>36</v>
      </c>
      <c r="AT78" s="10">
        <v>439.40181877999993</v>
      </c>
      <c r="AU78" s="10">
        <v>652</v>
      </c>
      <c r="AV78" s="10">
        <v>16556.608379639991</v>
      </c>
      <c r="AW78" s="10">
        <v>56</v>
      </c>
      <c r="AX78" s="10">
        <v>453.26258337999997</v>
      </c>
      <c r="AY78" s="10">
        <v>129</v>
      </c>
      <c r="AZ78" s="10">
        <v>4170.6833586499997</v>
      </c>
      <c r="BA78" s="10">
        <v>5</v>
      </c>
      <c r="BB78" s="10">
        <v>29.372224039999999</v>
      </c>
      <c r="BC78" s="10">
        <v>47</v>
      </c>
      <c r="BD78" s="10">
        <v>6439.8033194499985</v>
      </c>
      <c r="BE78" s="10">
        <v>1</v>
      </c>
      <c r="BF78" s="10">
        <v>78.336553809999998</v>
      </c>
      <c r="BG78" s="10">
        <v>0</v>
      </c>
      <c r="BH78" s="10">
        <v>0</v>
      </c>
      <c r="BI78" s="10">
        <v>0</v>
      </c>
      <c r="BJ78" s="10">
        <v>0</v>
      </c>
      <c r="BK78" s="10">
        <v>1</v>
      </c>
      <c r="BL78" s="10">
        <v>7.4559219800000003</v>
      </c>
      <c r="BM78" s="10">
        <v>0</v>
      </c>
      <c r="BN78" s="10">
        <v>0</v>
      </c>
      <c r="BO78" s="18">
        <f t="shared" si="12"/>
        <v>0</v>
      </c>
      <c r="BP78" s="18">
        <f t="shared" si="9"/>
        <v>2.0312906912067774E-10</v>
      </c>
      <c r="BQ78" s="18">
        <f t="shared" si="10"/>
        <v>0</v>
      </c>
      <c r="BR78" s="18">
        <f t="shared" si="11"/>
        <v>2.2737367544323206E-13</v>
      </c>
      <c r="BS78" s="18"/>
      <c r="BT78" s="18"/>
      <c r="BU78" s="18"/>
      <c r="BV78" s="18"/>
    </row>
    <row r="79" spans="1:74" s="11" customFormat="1" ht="27" customHeight="1" x14ac:dyDescent="0.25">
      <c r="A79" s="66" t="s">
        <v>35</v>
      </c>
      <c r="B79" s="1">
        <f t="shared" si="13"/>
        <v>72</v>
      </c>
      <c r="C79" s="20" t="s">
        <v>2139</v>
      </c>
      <c r="D79" s="20" t="s">
        <v>2145</v>
      </c>
      <c r="E79" s="65">
        <v>11448</v>
      </c>
      <c r="F79" s="19" t="s">
        <v>2035</v>
      </c>
      <c r="G79" s="9">
        <v>3980</v>
      </c>
      <c r="H79" s="9">
        <v>166559.92925947995</v>
      </c>
      <c r="I79" s="9">
        <v>137</v>
      </c>
      <c r="J79" s="9">
        <v>3086.7157845399993</v>
      </c>
      <c r="K79" s="10">
        <v>119</v>
      </c>
      <c r="L79" s="10">
        <v>41251.23966662</v>
      </c>
      <c r="M79" s="10">
        <v>1</v>
      </c>
      <c r="N79" s="10">
        <v>100</v>
      </c>
      <c r="O79" s="10">
        <v>46</v>
      </c>
      <c r="P79" s="10">
        <v>28170.811879320001</v>
      </c>
      <c r="Q79" s="10">
        <v>1</v>
      </c>
      <c r="R79" s="10">
        <v>528.72833816000002</v>
      </c>
      <c r="S79" s="10">
        <v>28</v>
      </c>
      <c r="T79" s="10">
        <v>7956.4853879900011</v>
      </c>
      <c r="U79" s="10">
        <v>2</v>
      </c>
      <c r="V79" s="10">
        <v>771.14401168000006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2139</v>
      </c>
      <c r="AN79" s="10">
        <v>42134.256116630022</v>
      </c>
      <c r="AO79" s="10">
        <v>5</v>
      </c>
      <c r="AP79" s="10">
        <v>93.403000930000005</v>
      </c>
      <c r="AQ79" s="10">
        <v>938</v>
      </c>
      <c r="AR79" s="10">
        <v>22223.334670779961</v>
      </c>
      <c r="AS79" s="10">
        <v>60</v>
      </c>
      <c r="AT79" s="10">
        <v>878.4061716199999</v>
      </c>
      <c r="AU79" s="10">
        <v>592</v>
      </c>
      <c r="AV79" s="10">
        <v>17034.609348430011</v>
      </c>
      <c r="AW79" s="10">
        <v>58</v>
      </c>
      <c r="AX79" s="10">
        <v>681.07043812999984</v>
      </c>
      <c r="AY79" s="10">
        <v>92</v>
      </c>
      <c r="AZ79" s="10">
        <v>3934.9144320100022</v>
      </c>
      <c r="BA79" s="10">
        <v>10</v>
      </c>
      <c r="BB79" s="10">
        <v>33.963824020000004</v>
      </c>
      <c r="BC79" s="10">
        <v>26</v>
      </c>
      <c r="BD79" s="10">
        <v>3854.2777576999997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8">
        <f t="shared" si="12"/>
        <v>0</v>
      </c>
      <c r="BP79" s="18">
        <f t="shared" si="9"/>
        <v>-5.6388671509921551E-11</v>
      </c>
      <c r="BQ79" s="18">
        <f t="shared" si="10"/>
        <v>0</v>
      </c>
      <c r="BR79" s="18">
        <f t="shared" si="11"/>
        <v>-3.979039320256561E-13</v>
      </c>
      <c r="BS79" s="18"/>
      <c r="BT79" s="18"/>
      <c r="BU79" s="18"/>
      <c r="BV79" s="18"/>
    </row>
    <row r="80" spans="1:74" s="11" customFormat="1" ht="27" customHeight="1" x14ac:dyDescent="0.25">
      <c r="A80" s="66" t="s">
        <v>32</v>
      </c>
      <c r="B80" s="1">
        <f t="shared" si="13"/>
        <v>73</v>
      </c>
      <c r="C80" s="20" t="s">
        <v>2125</v>
      </c>
      <c r="D80" s="20" t="s">
        <v>2126</v>
      </c>
      <c r="E80" s="65">
        <v>12008</v>
      </c>
      <c r="F80" s="19" t="s">
        <v>2035</v>
      </c>
      <c r="G80" s="9">
        <v>10132</v>
      </c>
      <c r="H80" s="9">
        <v>1135696.2810732396</v>
      </c>
      <c r="I80" s="9">
        <v>1026</v>
      </c>
      <c r="J80" s="9">
        <v>417406.15494581999</v>
      </c>
      <c r="K80" s="10">
        <v>229</v>
      </c>
      <c r="L80" s="10">
        <v>152947.76239120992</v>
      </c>
      <c r="M80" s="10">
        <v>2</v>
      </c>
      <c r="N80" s="10">
        <v>200</v>
      </c>
      <c r="O80" s="10">
        <v>25</v>
      </c>
      <c r="P80" s="10">
        <v>3061.5351501299997</v>
      </c>
      <c r="Q80" s="10">
        <v>3</v>
      </c>
      <c r="R80" s="10">
        <v>289.83582464999995</v>
      </c>
      <c r="S80" s="10">
        <v>5</v>
      </c>
      <c r="T80" s="10">
        <v>46204.886513149992</v>
      </c>
      <c r="U80" s="10">
        <v>2</v>
      </c>
      <c r="V80" s="10">
        <v>29153.874984349997</v>
      </c>
      <c r="W80" s="10">
        <v>2</v>
      </c>
      <c r="X80" s="10">
        <v>2162.22281544</v>
      </c>
      <c r="Y80" s="10">
        <v>0</v>
      </c>
      <c r="Z80" s="10">
        <v>0</v>
      </c>
      <c r="AA80" s="10">
        <v>2</v>
      </c>
      <c r="AB80" s="10">
        <v>39164.952526269997</v>
      </c>
      <c r="AC80" s="10">
        <v>0</v>
      </c>
      <c r="AD80" s="10">
        <v>0</v>
      </c>
      <c r="AE80" s="10">
        <v>7</v>
      </c>
      <c r="AF80" s="10">
        <v>379048.26636030007</v>
      </c>
      <c r="AG80" s="10">
        <v>2</v>
      </c>
      <c r="AH80" s="10">
        <v>359589.79684938001</v>
      </c>
      <c r="AI80" s="10">
        <v>7</v>
      </c>
      <c r="AJ80" s="10">
        <v>71550.480754119999</v>
      </c>
      <c r="AK80" s="10">
        <v>1</v>
      </c>
      <c r="AL80" s="10">
        <v>17413.938647840001</v>
      </c>
      <c r="AM80" s="10">
        <v>2908</v>
      </c>
      <c r="AN80" s="10">
        <v>162336.59229685072</v>
      </c>
      <c r="AO80" s="10">
        <v>65</v>
      </c>
      <c r="AP80" s="10">
        <v>1095.0661771799998</v>
      </c>
      <c r="AQ80" s="10">
        <v>3838</v>
      </c>
      <c r="AR80" s="10">
        <v>56740.595708920046</v>
      </c>
      <c r="AS80" s="10">
        <v>702</v>
      </c>
      <c r="AT80" s="10">
        <v>6298.754599030005</v>
      </c>
      <c r="AU80" s="10">
        <v>1276</v>
      </c>
      <c r="AV80" s="10">
        <v>25221.092106109933</v>
      </c>
      <c r="AW80" s="10">
        <v>212</v>
      </c>
      <c r="AX80" s="10">
        <v>1410.8204819100006</v>
      </c>
      <c r="AY80" s="10">
        <v>266</v>
      </c>
      <c r="AZ80" s="10">
        <v>10776.051861060005</v>
      </c>
      <c r="BA80" s="10">
        <v>11</v>
      </c>
      <c r="BB80" s="10">
        <v>65.926455439999984</v>
      </c>
      <c r="BC80" s="10">
        <v>89</v>
      </c>
      <c r="BD80" s="10">
        <v>7911.1287368700032</v>
      </c>
      <c r="BE80" s="10">
        <v>5</v>
      </c>
      <c r="BF80" s="10">
        <v>91.576936000000003</v>
      </c>
      <c r="BG80" s="10">
        <v>511</v>
      </c>
      <c r="BH80" s="10">
        <v>78832.898564279967</v>
      </c>
      <c r="BI80" s="10">
        <v>2</v>
      </c>
      <c r="BJ80" s="10">
        <v>354.24755566000005</v>
      </c>
      <c r="BK80" s="10">
        <v>967</v>
      </c>
      <c r="BL80" s="10">
        <v>99737.815288530022</v>
      </c>
      <c r="BM80" s="10">
        <v>19</v>
      </c>
      <c r="BN80" s="10">
        <v>1442.3164343800004</v>
      </c>
      <c r="BO80" s="18">
        <f t="shared" si="12"/>
        <v>0</v>
      </c>
      <c r="BP80" s="18">
        <f t="shared" si="9"/>
        <v>-1.0622898116707802E-9</v>
      </c>
      <c r="BQ80" s="18">
        <f t="shared" si="10"/>
        <v>0</v>
      </c>
      <c r="BR80" s="18">
        <f t="shared" si="11"/>
        <v>-4.5019987737759948E-11</v>
      </c>
      <c r="BS80" s="18"/>
      <c r="BT80" s="18"/>
      <c r="BU80" s="18"/>
      <c r="BV80" s="18"/>
    </row>
    <row r="81" spans="1:74" s="11" customFormat="1" ht="27" customHeight="1" x14ac:dyDescent="0.25">
      <c r="A81" s="66" t="s">
        <v>36</v>
      </c>
      <c r="B81" s="1">
        <f t="shared" si="13"/>
        <v>74</v>
      </c>
      <c r="C81" s="20" t="s">
        <v>2146</v>
      </c>
      <c r="D81" s="20" t="s">
        <v>2147</v>
      </c>
      <c r="E81" s="65" t="s">
        <v>10</v>
      </c>
      <c r="F81" s="19" t="s">
        <v>2079</v>
      </c>
      <c r="G81" s="9">
        <v>4502</v>
      </c>
      <c r="H81" s="9">
        <v>664343.53710720898</v>
      </c>
      <c r="I81" s="9">
        <v>467</v>
      </c>
      <c r="J81" s="9">
        <v>7253.4210108749994</v>
      </c>
      <c r="K81" s="10">
        <v>352</v>
      </c>
      <c r="L81" s="10">
        <v>346622.03343906882</v>
      </c>
      <c r="M81" s="10">
        <v>0</v>
      </c>
      <c r="N81" s="10">
        <v>0</v>
      </c>
      <c r="O81" s="10">
        <v>217</v>
      </c>
      <c r="P81" s="10">
        <v>156305.43429307087</v>
      </c>
      <c r="Q81" s="10">
        <v>1</v>
      </c>
      <c r="R81" s="10">
        <v>232.47524750800002</v>
      </c>
      <c r="S81" s="10">
        <v>296</v>
      </c>
      <c r="T81" s="10">
        <v>32609.475838250801</v>
      </c>
      <c r="U81" s="10">
        <v>15</v>
      </c>
      <c r="V81" s="10">
        <v>1343.4383085170002</v>
      </c>
      <c r="W81" s="10">
        <v>33</v>
      </c>
      <c r="X81" s="10">
        <v>3264.5502605524002</v>
      </c>
      <c r="Y81" s="10">
        <v>2</v>
      </c>
      <c r="Z81" s="10">
        <v>108.16541336</v>
      </c>
      <c r="AA81" s="10">
        <v>12</v>
      </c>
      <c r="AB81" s="10">
        <v>11743.392860926</v>
      </c>
      <c r="AC81" s="10">
        <v>2</v>
      </c>
      <c r="AD81" s="10">
        <v>133.90772174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1450</v>
      </c>
      <c r="AN81" s="10">
        <v>31329.45097708</v>
      </c>
      <c r="AO81" s="10">
        <v>38</v>
      </c>
      <c r="AP81" s="10">
        <v>947.29529990999993</v>
      </c>
      <c r="AQ81" s="10">
        <v>1664</v>
      </c>
      <c r="AR81" s="10">
        <v>71637.54887009965</v>
      </c>
      <c r="AS81" s="10">
        <v>280</v>
      </c>
      <c r="AT81" s="10">
        <v>3169.0264369899987</v>
      </c>
      <c r="AU81" s="10">
        <v>382</v>
      </c>
      <c r="AV81" s="10">
        <v>9204.2151647200008</v>
      </c>
      <c r="AW81" s="10">
        <v>126</v>
      </c>
      <c r="AX81" s="10">
        <v>1267.8080029299999</v>
      </c>
      <c r="AY81" s="10">
        <v>75</v>
      </c>
      <c r="AZ81" s="10">
        <v>1485.5873225500004</v>
      </c>
      <c r="BA81" s="10">
        <v>3</v>
      </c>
      <c r="BB81" s="10">
        <v>51.304579920000002</v>
      </c>
      <c r="BC81" s="10">
        <v>15</v>
      </c>
      <c r="BD81" s="10">
        <v>134.91086750000002</v>
      </c>
      <c r="BE81" s="10">
        <v>0</v>
      </c>
      <c r="BF81" s="10">
        <v>0</v>
      </c>
      <c r="BG81" s="10">
        <v>6</v>
      </c>
      <c r="BH81" s="10">
        <v>6.9372133899999993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8">
        <f t="shared" si="12"/>
        <v>0</v>
      </c>
      <c r="BP81" s="18">
        <f t="shared" si="9"/>
        <v>4.3096992641267207E-10</v>
      </c>
      <c r="BQ81" s="18">
        <f t="shared" si="10"/>
        <v>0</v>
      </c>
      <c r="BR81" s="18">
        <f t="shared" si="11"/>
        <v>8.3133500083931722E-13</v>
      </c>
      <c r="BS81" s="18"/>
      <c r="BT81" s="18"/>
      <c r="BU81" s="18"/>
      <c r="BV81" s="18"/>
    </row>
    <row r="82" spans="1:74" s="11" customFormat="1" ht="27" customHeight="1" x14ac:dyDescent="0.25">
      <c r="A82" s="66" t="s">
        <v>33</v>
      </c>
      <c r="B82" s="1">
        <f t="shared" si="13"/>
        <v>75</v>
      </c>
      <c r="C82" s="20" t="s">
        <v>2127</v>
      </c>
      <c r="D82" s="20" t="s">
        <v>2128</v>
      </c>
      <c r="E82" s="65">
        <v>10502</v>
      </c>
      <c r="F82" s="19" t="s">
        <v>2087</v>
      </c>
      <c r="G82" s="9">
        <v>1725</v>
      </c>
      <c r="H82" s="9">
        <v>73742.580023610019</v>
      </c>
      <c r="I82" s="9">
        <v>125</v>
      </c>
      <c r="J82" s="9">
        <v>19596.377426519997</v>
      </c>
      <c r="K82" s="10">
        <v>38</v>
      </c>
      <c r="L82" s="10">
        <v>6211.5241890900015</v>
      </c>
      <c r="M82" s="10">
        <v>2</v>
      </c>
      <c r="N82" s="10">
        <v>200</v>
      </c>
      <c r="O82" s="10">
        <v>45</v>
      </c>
      <c r="P82" s="10">
        <v>4107.4543666700001</v>
      </c>
      <c r="Q82" s="10">
        <v>6</v>
      </c>
      <c r="R82" s="10">
        <v>1226.59181442</v>
      </c>
      <c r="S82" s="10">
        <v>9</v>
      </c>
      <c r="T82" s="10">
        <v>13208.533322649999</v>
      </c>
      <c r="U82" s="10">
        <v>2</v>
      </c>
      <c r="V82" s="10">
        <v>12451.154342049998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1016</v>
      </c>
      <c r="AN82" s="10">
        <v>21042.99129563004</v>
      </c>
      <c r="AO82" s="10">
        <v>50</v>
      </c>
      <c r="AP82" s="10">
        <v>838.41990505999991</v>
      </c>
      <c r="AQ82" s="10">
        <v>389</v>
      </c>
      <c r="AR82" s="10">
        <v>13747.282844659991</v>
      </c>
      <c r="AS82" s="10">
        <v>49</v>
      </c>
      <c r="AT82" s="10">
        <v>3529.9535700100009</v>
      </c>
      <c r="AU82" s="10">
        <v>130</v>
      </c>
      <c r="AV82" s="10">
        <v>10168.672364099995</v>
      </c>
      <c r="AW82" s="10">
        <v>10</v>
      </c>
      <c r="AX82" s="10">
        <v>1259.8080611899998</v>
      </c>
      <c r="AY82" s="10">
        <v>93</v>
      </c>
      <c r="AZ82" s="10">
        <v>5160.0659973300008</v>
      </c>
      <c r="BA82" s="10">
        <v>3</v>
      </c>
      <c r="BB82" s="10">
        <v>22.501109789999997</v>
      </c>
      <c r="BC82" s="10">
        <v>5</v>
      </c>
      <c r="BD82" s="10">
        <v>96.055643480000001</v>
      </c>
      <c r="BE82" s="10">
        <v>3</v>
      </c>
      <c r="BF82" s="10">
        <v>67.948623999999995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8">
        <f t="shared" si="12"/>
        <v>0</v>
      </c>
      <c r="BP82" s="18">
        <f t="shared" si="9"/>
        <v>-1.2661871551244985E-11</v>
      </c>
      <c r="BQ82" s="18">
        <f t="shared" si="10"/>
        <v>0</v>
      </c>
      <c r="BR82" s="18">
        <f t="shared" si="11"/>
        <v>-2.2879476091475226E-12</v>
      </c>
      <c r="BS82" s="18"/>
      <c r="BT82" s="18"/>
      <c r="BU82" s="18"/>
      <c r="BV82" s="18"/>
    </row>
    <row r="83" spans="1:74" s="11" customFormat="1" ht="27" customHeight="1" x14ac:dyDescent="0.25">
      <c r="A83" s="66" t="s">
        <v>33</v>
      </c>
      <c r="B83" s="1">
        <f t="shared" si="13"/>
        <v>76</v>
      </c>
      <c r="C83" s="20" t="s">
        <v>2127</v>
      </c>
      <c r="D83" s="20" t="s">
        <v>2129</v>
      </c>
      <c r="E83" s="65">
        <v>10507</v>
      </c>
      <c r="F83" s="19" t="s">
        <v>2130</v>
      </c>
      <c r="G83" s="9">
        <v>1917</v>
      </c>
      <c r="H83" s="9">
        <v>100892.45683941002</v>
      </c>
      <c r="I83" s="9">
        <v>202</v>
      </c>
      <c r="J83" s="9">
        <v>2305.5626361099999</v>
      </c>
      <c r="K83" s="10">
        <v>132</v>
      </c>
      <c r="L83" s="10">
        <v>33887.141323129996</v>
      </c>
      <c r="M83" s="10">
        <v>0</v>
      </c>
      <c r="N83" s="10">
        <v>0</v>
      </c>
      <c r="O83" s="10">
        <v>69</v>
      </c>
      <c r="P83" s="10">
        <v>16576.21783134</v>
      </c>
      <c r="Q83" s="10">
        <v>2</v>
      </c>
      <c r="R83" s="10">
        <v>937.60538699999995</v>
      </c>
      <c r="S83" s="10">
        <v>38</v>
      </c>
      <c r="T83" s="10">
        <v>3248.7427171000008</v>
      </c>
      <c r="U83" s="10">
        <v>0</v>
      </c>
      <c r="V83" s="10">
        <v>0</v>
      </c>
      <c r="W83" s="10">
        <v>6</v>
      </c>
      <c r="X83" s="10">
        <v>220.33890362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949</v>
      </c>
      <c r="AN83" s="10">
        <v>31815.293394380009</v>
      </c>
      <c r="AO83" s="10">
        <v>32</v>
      </c>
      <c r="AP83" s="10">
        <v>42.95764965</v>
      </c>
      <c r="AQ83" s="10">
        <v>564</v>
      </c>
      <c r="AR83" s="10">
        <v>10225.397504380007</v>
      </c>
      <c r="AS83" s="10">
        <v>165</v>
      </c>
      <c r="AT83" s="10">
        <v>1321.71987631</v>
      </c>
      <c r="AU83" s="10">
        <v>116</v>
      </c>
      <c r="AV83" s="10">
        <v>3869.3381261599993</v>
      </c>
      <c r="AW83" s="10">
        <v>3</v>
      </c>
      <c r="AX83" s="10">
        <v>3.2797231499999997</v>
      </c>
      <c r="AY83" s="10">
        <v>42</v>
      </c>
      <c r="AZ83" s="10">
        <v>1041.9902573500001</v>
      </c>
      <c r="BA83" s="10">
        <v>0</v>
      </c>
      <c r="BB83" s="10">
        <v>0</v>
      </c>
      <c r="BC83" s="10">
        <v>1</v>
      </c>
      <c r="BD83" s="10">
        <v>7.9967819499999999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8">
        <f t="shared" si="12"/>
        <v>0</v>
      </c>
      <c r="BP83" s="18">
        <f t="shared" si="9"/>
        <v>5.0155435360466072E-12</v>
      </c>
      <c r="BQ83" s="18">
        <f t="shared" si="10"/>
        <v>0</v>
      </c>
      <c r="BR83" s="18">
        <f t="shared" si="11"/>
        <v>-1.1812772982011666E-13</v>
      </c>
      <c r="BS83" s="18"/>
      <c r="BT83" s="18"/>
      <c r="BU83" s="18"/>
      <c r="BV83" s="18"/>
    </row>
    <row r="84" spans="1:74" s="11" customFormat="1" ht="27" customHeight="1" x14ac:dyDescent="0.25">
      <c r="A84" s="66" t="s">
        <v>33</v>
      </c>
      <c r="B84" s="1">
        <f t="shared" si="13"/>
        <v>77</v>
      </c>
      <c r="C84" s="20" t="s">
        <v>2127</v>
      </c>
      <c r="D84" s="20" t="s">
        <v>2131</v>
      </c>
      <c r="E84" s="65">
        <v>10508</v>
      </c>
      <c r="F84" s="19" t="s">
        <v>2041</v>
      </c>
      <c r="G84" s="9">
        <v>1317</v>
      </c>
      <c r="H84" s="9">
        <v>58012.276735479987</v>
      </c>
      <c r="I84" s="9">
        <v>83</v>
      </c>
      <c r="J84" s="9">
        <v>2621.3060691700002</v>
      </c>
      <c r="K84" s="10">
        <v>116</v>
      </c>
      <c r="L84" s="10">
        <v>21371.45849691</v>
      </c>
      <c r="M84" s="10">
        <v>1</v>
      </c>
      <c r="N84" s="10">
        <v>220.630303</v>
      </c>
      <c r="O84" s="10">
        <v>37</v>
      </c>
      <c r="P84" s="10">
        <v>6194.3063397099995</v>
      </c>
      <c r="Q84" s="10">
        <v>1</v>
      </c>
      <c r="R84" s="10">
        <v>1020.922</v>
      </c>
      <c r="S84" s="10">
        <v>4</v>
      </c>
      <c r="T84" s="10">
        <v>810.22112700000002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533</v>
      </c>
      <c r="AN84" s="10">
        <v>16723.195074469993</v>
      </c>
      <c r="AO84" s="10">
        <v>8</v>
      </c>
      <c r="AP84" s="10">
        <v>136.12010402999999</v>
      </c>
      <c r="AQ84" s="10">
        <v>424</v>
      </c>
      <c r="AR84" s="10">
        <v>7528.376215489995</v>
      </c>
      <c r="AS84" s="10">
        <v>64</v>
      </c>
      <c r="AT84" s="10">
        <v>710.57551354999998</v>
      </c>
      <c r="AU84" s="10">
        <v>109</v>
      </c>
      <c r="AV84" s="10">
        <v>2799.2079262800007</v>
      </c>
      <c r="AW84" s="10">
        <v>5</v>
      </c>
      <c r="AX84" s="10">
        <v>399.61943088000004</v>
      </c>
      <c r="AY84" s="10">
        <v>86</v>
      </c>
      <c r="AZ84" s="10">
        <v>2390.4057392499999</v>
      </c>
      <c r="BA84" s="10">
        <v>3</v>
      </c>
      <c r="BB84" s="10">
        <v>100.3009536</v>
      </c>
      <c r="BC84" s="10">
        <v>8</v>
      </c>
      <c r="BD84" s="10">
        <v>195.10581636999999</v>
      </c>
      <c r="BE84" s="10">
        <v>1</v>
      </c>
      <c r="BF84" s="10">
        <v>33.137764109999999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8">
        <f t="shared" si="12"/>
        <v>0</v>
      </c>
      <c r="BP84" s="18">
        <f t="shared" si="9"/>
        <v>3.6095570976613089E-12</v>
      </c>
      <c r="BQ84" s="18">
        <f t="shared" si="10"/>
        <v>0</v>
      </c>
      <c r="BR84" s="18">
        <f t="shared" si="11"/>
        <v>2.7711166694643907E-13</v>
      </c>
      <c r="BS84" s="18"/>
      <c r="BT84" s="18"/>
      <c r="BU84" s="18"/>
      <c r="BV84" s="18"/>
    </row>
    <row r="85" spans="1:74" s="11" customFormat="1" ht="27" customHeight="1" x14ac:dyDescent="0.25">
      <c r="A85" s="66" t="s">
        <v>33</v>
      </c>
      <c r="B85" s="1">
        <f t="shared" si="13"/>
        <v>78</v>
      </c>
      <c r="C85" s="20" t="s">
        <v>2127</v>
      </c>
      <c r="D85" s="20" t="s">
        <v>2132</v>
      </c>
      <c r="E85" s="65">
        <v>10510</v>
      </c>
      <c r="F85" s="19" t="s">
        <v>2133</v>
      </c>
      <c r="G85" s="9">
        <v>1214</v>
      </c>
      <c r="H85" s="9">
        <v>87338.940245290025</v>
      </c>
      <c r="I85" s="9">
        <v>113</v>
      </c>
      <c r="J85" s="9">
        <v>12317.4522263</v>
      </c>
      <c r="K85" s="10">
        <v>79</v>
      </c>
      <c r="L85" s="10">
        <v>26019.131548099995</v>
      </c>
      <c r="M85" s="10">
        <v>0</v>
      </c>
      <c r="N85" s="10">
        <v>0</v>
      </c>
      <c r="O85" s="10">
        <v>31</v>
      </c>
      <c r="P85" s="10">
        <v>6776.6038697100012</v>
      </c>
      <c r="Q85" s="10">
        <v>1</v>
      </c>
      <c r="R85" s="10">
        <v>228.79999900000001</v>
      </c>
      <c r="S85" s="10">
        <v>11</v>
      </c>
      <c r="T85" s="10">
        <v>1607.2469343799999</v>
      </c>
      <c r="U85" s="10">
        <v>2</v>
      </c>
      <c r="V85" s="10">
        <v>348.27333599999997</v>
      </c>
      <c r="W85" s="10">
        <v>0</v>
      </c>
      <c r="X85" s="10">
        <v>0</v>
      </c>
      <c r="Y85" s="10">
        <v>0</v>
      </c>
      <c r="Z85" s="10">
        <v>0</v>
      </c>
      <c r="AA85" s="10">
        <v>1</v>
      </c>
      <c r="AB85" s="10">
        <v>292.5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458</v>
      </c>
      <c r="AN85" s="10">
        <v>10306.413877310004</v>
      </c>
      <c r="AO85" s="10">
        <v>3</v>
      </c>
      <c r="AP85" s="10">
        <v>93.310556050000002</v>
      </c>
      <c r="AQ85" s="10">
        <v>419</v>
      </c>
      <c r="AR85" s="10">
        <v>30715.03303913998</v>
      </c>
      <c r="AS85" s="10">
        <v>102</v>
      </c>
      <c r="AT85" s="10">
        <v>11270.359948200008</v>
      </c>
      <c r="AU85" s="10">
        <v>139</v>
      </c>
      <c r="AV85" s="10">
        <v>5124.2789459400019</v>
      </c>
      <c r="AW85" s="10">
        <v>4</v>
      </c>
      <c r="AX85" s="10">
        <v>42.766331689999994</v>
      </c>
      <c r="AY85" s="10">
        <v>66</v>
      </c>
      <c r="AZ85" s="10">
        <v>3628.4725919199996</v>
      </c>
      <c r="BA85" s="10">
        <v>0</v>
      </c>
      <c r="BB85" s="10">
        <v>0</v>
      </c>
      <c r="BC85" s="10">
        <v>8</v>
      </c>
      <c r="BD85" s="10">
        <v>2216.5087515099999</v>
      </c>
      <c r="BE85" s="10">
        <v>1</v>
      </c>
      <c r="BF85" s="10">
        <v>333.94205536000004</v>
      </c>
      <c r="BG85" s="10">
        <v>2</v>
      </c>
      <c r="BH85" s="10">
        <v>652.75068727999997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8">
        <f t="shared" si="12"/>
        <v>0</v>
      </c>
      <c r="BP85" s="18">
        <f t="shared" si="9"/>
        <v>4.8657966544851661E-11</v>
      </c>
      <c r="BQ85" s="18">
        <f t="shared" si="10"/>
        <v>0</v>
      </c>
      <c r="BR85" s="18">
        <f t="shared" si="11"/>
        <v>-1.0004441719502211E-11</v>
      </c>
      <c r="BS85" s="18"/>
      <c r="BT85" s="18"/>
      <c r="BU85" s="18"/>
      <c r="BV85" s="18"/>
    </row>
    <row r="86" spans="1:74" s="11" customFormat="1" ht="27" customHeight="1" x14ac:dyDescent="0.25">
      <c r="A86" s="66" t="s">
        <v>33</v>
      </c>
      <c r="B86" s="1">
        <f t="shared" si="13"/>
        <v>79</v>
      </c>
      <c r="C86" s="20" t="s">
        <v>2127</v>
      </c>
      <c r="D86" s="20" t="s">
        <v>2134</v>
      </c>
      <c r="E86" s="65">
        <v>10729</v>
      </c>
      <c r="F86" s="19" t="s">
        <v>2035</v>
      </c>
      <c r="G86" s="9">
        <v>4335</v>
      </c>
      <c r="H86" s="9">
        <v>215721.39310963996</v>
      </c>
      <c r="I86" s="9">
        <v>544</v>
      </c>
      <c r="J86" s="9">
        <v>9007.50624221</v>
      </c>
      <c r="K86" s="10">
        <v>47</v>
      </c>
      <c r="L86" s="10">
        <v>59357.002039899991</v>
      </c>
      <c r="M86" s="10">
        <v>0</v>
      </c>
      <c r="N86" s="10">
        <v>0</v>
      </c>
      <c r="O86" s="10">
        <v>50</v>
      </c>
      <c r="P86" s="10">
        <v>24425.534715470003</v>
      </c>
      <c r="Q86" s="10">
        <v>4</v>
      </c>
      <c r="R86" s="10">
        <v>760</v>
      </c>
      <c r="S86" s="10">
        <v>3</v>
      </c>
      <c r="T86" s="10">
        <v>1582.8331740000001</v>
      </c>
      <c r="U86" s="10">
        <v>0</v>
      </c>
      <c r="V86" s="10">
        <v>0</v>
      </c>
      <c r="W86" s="10">
        <v>1</v>
      </c>
      <c r="X86" s="10">
        <v>1320.7383022199999</v>
      </c>
      <c r="Y86" s="10">
        <v>0</v>
      </c>
      <c r="Z86" s="10">
        <v>0</v>
      </c>
      <c r="AA86" s="10">
        <v>2</v>
      </c>
      <c r="AB86" s="10">
        <v>3592.5823220000002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25</v>
      </c>
      <c r="AJ86" s="10">
        <v>51331.994407819999</v>
      </c>
      <c r="AK86" s="10">
        <v>0</v>
      </c>
      <c r="AL86" s="10">
        <v>0</v>
      </c>
      <c r="AM86" s="10">
        <v>1815</v>
      </c>
      <c r="AN86" s="10">
        <v>37894.288750689986</v>
      </c>
      <c r="AO86" s="10">
        <v>37</v>
      </c>
      <c r="AP86" s="10">
        <v>527.22954608000009</v>
      </c>
      <c r="AQ86" s="10">
        <v>2120</v>
      </c>
      <c r="AR86" s="10">
        <v>27131.988767029994</v>
      </c>
      <c r="AS86" s="10">
        <v>493</v>
      </c>
      <c r="AT86" s="10">
        <v>7054.5420299800016</v>
      </c>
      <c r="AU86" s="10">
        <v>187</v>
      </c>
      <c r="AV86" s="10">
        <v>3787.6154003299998</v>
      </c>
      <c r="AW86" s="10">
        <v>8</v>
      </c>
      <c r="AX86" s="10">
        <v>478.20100207999997</v>
      </c>
      <c r="AY86" s="10">
        <v>61</v>
      </c>
      <c r="AZ86" s="10">
        <v>1424.6165697499998</v>
      </c>
      <c r="BA86" s="10">
        <v>1</v>
      </c>
      <c r="BB86" s="10">
        <v>9.9</v>
      </c>
      <c r="BC86" s="10">
        <v>1</v>
      </c>
      <c r="BD86" s="10">
        <v>12.35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23</v>
      </c>
      <c r="BL86" s="10">
        <v>3859.8486604299997</v>
      </c>
      <c r="BM86" s="10">
        <v>1</v>
      </c>
      <c r="BN86" s="10">
        <v>177.63366407000001</v>
      </c>
      <c r="BO86" s="18">
        <f t="shared" si="12"/>
        <v>0</v>
      </c>
      <c r="BP86" s="18">
        <f t="shared" si="9"/>
        <v>-2.5011104298755527E-11</v>
      </c>
      <c r="BQ86" s="18">
        <f t="shared" si="10"/>
        <v>0</v>
      </c>
      <c r="BR86" s="18">
        <f t="shared" si="11"/>
        <v>-1.2789769243681803E-12</v>
      </c>
      <c r="BS86" s="18"/>
      <c r="BT86" s="18"/>
      <c r="BU86" s="18"/>
      <c r="BV86" s="18"/>
    </row>
    <row r="87" spans="1:74" s="11" customFormat="1" ht="27" customHeight="1" x14ac:dyDescent="0.25">
      <c r="A87" s="66" t="s">
        <v>33</v>
      </c>
      <c r="B87" s="1">
        <f t="shared" si="13"/>
        <v>80</v>
      </c>
      <c r="C87" s="20" t="s">
        <v>2127</v>
      </c>
      <c r="D87" s="20" t="s">
        <v>2183</v>
      </c>
      <c r="E87" s="65">
        <v>12029</v>
      </c>
      <c r="F87" s="19" t="s">
        <v>2047</v>
      </c>
      <c r="G87" s="9">
        <v>941</v>
      </c>
      <c r="H87" s="9">
        <v>23834.018367949997</v>
      </c>
      <c r="I87" s="9">
        <v>11</v>
      </c>
      <c r="J87" s="9">
        <v>425.40390127000001</v>
      </c>
      <c r="K87" s="10">
        <v>42</v>
      </c>
      <c r="L87" s="10">
        <v>5733.5633997300001</v>
      </c>
      <c r="M87" s="10">
        <v>0</v>
      </c>
      <c r="N87" s="10">
        <v>0</v>
      </c>
      <c r="O87" s="10">
        <v>12</v>
      </c>
      <c r="P87" s="10">
        <v>1472.8203359200002</v>
      </c>
      <c r="Q87" s="10">
        <v>2</v>
      </c>
      <c r="R87" s="10">
        <v>212.60000199999999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843</v>
      </c>
      <c r="AN87" s="10">
        <v>15755.080613999997</v>
      </c>
      <c r="AO87" s="10">
        <v>8</v>
      </c>
      <c r="AP87" s="10">
        <v>212.38723027</v>
      </c>
      <c r="AQ87" s="10">
        <v>44</v>
      </c>
      <c r="AR87" s="10">
        <v>872.55401830000005</v>
      </c>
      <c r="AS87" s="10">
        <v>1</v>
      </c>
      <c r="AT87" s="10">
        <v>0.41666900000000001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8">
        <f t="shared" si="12"/>
        <v>0</v>
      </c>
      <c r="BP87" s="18">
        <f t="shared" si="9"/>
        <v>-6.8212102632969618E-13</v>
      </c>
      <c r="BQ87" s="18">
        <f t="shared" si="10"/>
        <v>0</v>
      </c>
      <c r="BR87" s="18">
        <f t="shared" si="11"/>
        <v>1.3045120539345589E-14</v>
      </c>
      <c r="BS87" s="18"/>
      <c r="BT87" s="18"/>
      <c r="BU87" s="18"/>
      <c r="BV87" s="18"/>
    </row>
    <row r="88" spans="1:74" s="11" customFormat="1" ht="27" customHeight="1" x14ac:dyDescent="0.25">
      <c r="A88" s="66" t="s">
        <v>37</v>
      </c>
      <c r="B88" s="1">
        <f t="shared" si="13"/>
        <v>81</v>
      </c>
      <c r="C88" s="20" t="s">
        <v>2148</v>
      </c>
      <c r="D88" s="20" t="s">
        <v>2149</v>
      </c>
      <c r="E88" s="65" t="s">
        <v>13</v>
      </c>
      <c r="F88" s="19" t="s">
        <v>2045</v>
      </c>
      <c r="G88" s="9">
        <v>8609</v>
      </c>
      <c r="H88" s="9">
        <v>478469.73563985026</v>
      </c>
      <c r="I88" s="9">
        <v>404</v>
      </c>
      <c r="J88" s="9">
        <v>30231.248992489996</v>
      </c>
      <c r="K88" s="10">
        <v>10</v>
      </c>
      <c r="L88" s="10">
        <v>7073.2226918200004</v>
      </c>
      <c r="M88" s="10">
        <v>0</v>
      </c>
      <c r="N88" s="10">
        <v>0</v>
      </c>
      <c r="O88" s="10">
        <v>22</v>
      </c>
      <c r="P88" s="10">
        <v>9720.1794007200024</v>
      </c>
      <c r="Q88" s="10">
        <v>5</v>
      </c>
      <c r="R88" s="10">
        <v>2406.9700100699997</v>
      </c>
      <c r="S88" s="10">
        <v>39</v>
      </c>
      <c r="T88" s="10">
        <v>23339.49147081</v>
      </c>
      <c r="U88" s="10">
        <v>5</v>
      </c>
      <c r="V88" s="10">
        <v>4750.5664188299997</v>
      </c>
      <c r="W88" s="10">
        <v>48</v>
      </c>
      <c r="X88" s="10">
        <v>10967.935864329998</v>
      </c>
      <c r="Y88" s="10">
        <v>7</v>
      </c>
      <c r="Z88" s="10">
        <v>2059.0615803299997</v>
      </c>
      <c r="AA88" s="10">
        <v>0</v>
      </c>
      <c r="AB88" s="10">
        <v>0</v>
      </c>
      <c r="AC88" s="10">
        <v>0</v>
      </c>
      <c r="AD88" s="10">
        <v>0</v>
      </c>
      <c r="AE88" s="10">
        <v>1</v>
      </c>
      <c r="AF88" s="10">
        <v>1373.09749074</v>
      </c>
      <c r="AG88" s="10">
        <v>1</v>
      </c>
      <c r="AH88" s="10">
        <v>1373.09749074</v>
      </c>
      <c r="AI88" s="10">
        <v>1</v>
      </c>
      <c r="AJ88" s="10">
        <v>8640</v>
      </c>
      <c r="AK88" s="10">
        <v>0</v>
      </c>
      <c r="AL88" s="10">
        <v>0</v>
      </c>
      <c r="AM88" s="10">
        <v>1030</v>
      </c>
      <c r="AN88" s="10">
        <v>118925.59352249991</v>
      </c>
      <c r="AO88" s="10">
        <v>33</v>
      </c>
      <c r="AP88" s="10">
        <v>1102.0825710499998</v>
      </c>
      <c r="AQ88" s="10">
        <v>1362</v>
      </c>
      <c r="AR88" s="10">
        <v>83833.753217150166</v>
      </c>
      <c r="AS88" s="10">
        <v>103</v>
      </c>
      <c r="AT88" s="10">
        <v>7345.094315260003</v>
      </c>
      <c r="AU88" s="10">
        <v>3967</v>
      </c>
      <c r="AV88" s="10">
        <v>91926.70473320056</v>
      </c>
      <c r="AW88" s="10">
        <v>182</v>
      </c>
      <c r="AX88" s="10">
        <v>5424.2156471400012</v>
      </c>
      <c r="AY88" s="10">
        <v>1123</v>
      </c>
      <c r="AZ88" s="10">
        <v>27895.519740839991</v>
      </c>
      <c r="BA88" s="10">
        <v>34</v>
      </c>
      <c r="BB88" s="10">
        <v>118.23880422000002</v>
      </c>
      <c r="BC88" s="10">
        <v>278</v>
      </c>
      <c r="BD88" s="10">
        <v>35546.117141160037</v>
      </c>
      <c r="BE88" s="10">
        <v>22</v>
      </c>
      <c r="BF88" s="10">
        <v>3985.7059844700002</v>
      </c>
      <c r="BG88" s="10">
        <v>28</v>
      </c>
      <c r="BH88" s="10">
        <v>3403.289892249999</v>
      </c>
      <c r="BI88" s="10">
        <v>1</v>
      </c>
      <c r="BJ88" s="10">
        <v>254.84188505</v>
      </c>
      <c r="BK88" s="10">
        <v>700</v>
      </c>
      <c r="BL88" s="10">
        <v>55824.830474329799</v>
      </c>
      <c r="BM88" s="10">
        <v>11</v>
      </c>
      <c r="BN88" s="10">
        <v>1411.37428533</v>
      </c>
      <c r="BO88" s="18">
        <f t="shared" si="12"/>
        <v>0</v>
      </c>
      <c r="BP88" s="18">
        <f t="shared" si="9"/>
        <v>-2.1100277081131935E-10</v>
      </c>
      <c r="BQ88" s="18">
        <f t="shared" si="10"/>
        <v>0</v>
      </c>
      <c r="BR88" s="18">
        <f t="shared" si="11"/>
        <v>-6.5938365878537297E-12</v>
      </c>
      <c r="BS88" s="18"/>
      <c r="BT88" s="18"/>
      <c r="BU88" s="18"/>
      <c r="BV88" s="18"/>
    </row>
    <row r="89" spans="1:74" s="11" customFormat="1" ht="27" customHeight="1" x14ac:dyDescent="0.25">
      <c r="A89" s="66" t="s">
        <v>37</v>
      </c>
      <c r="B89" s="1">
        <f t="shared" si="13"/>
        <v>82</v>
      </c>
      <c r="C89" s="20" t="s">
        <v>2148</v>
      </c>
      <c r="D89" s="20" t="s">
        <v>2150</v>
      </c>
      <c r="E89" s="65" t="s">
        <v>7</v>
      </c>
      <c r="F89" s="19" t="s">
        <v>2049</v>
      </c>
      <c r="G89" s="9">
        <v>31653</v>
      </c>
      <c r="H89" s="9">
        <v>1351085.7363151715</v>
      </c>
      <c r="I89" s="9">
        <v>2166</v>
      </c>
      <c r="J89" s="9">
        <v>42927.059748070023</v>
      </c>
      <c r="K89" s="10">
        <v>13</v>
      </c>
      <c r="L89" s="10">
        <v>4728.7040358699996</v>
      </c>
      <c r="M89" s="10">
        <v>0</v>
      </c>
      <c r="N89" s="10">
        <v>0</v>
      </c>
      <c r="O89" s="10">
        <v>42</v>
      </c>
      <c r="P89" s="10">
        <v>402635.32543458993</v>
      </c>
      <c r="Q89" s="10">
        <v>2</v>
      </c>
      <c r="R89" s="10">
        <v>323.84826463999997</v>
      </c>
      <c r="S89" s="10">
        <v>56</v>
      </c>
      <c r="T89" s="10">
        <v>4741.3480602499985</v>
      </c>
      <c r="U89" s="10">
        <v>0</v>
      </c>
      <c r="V89" s="10">
        <v>0</v>
      </c>
      <c r="W89" s="10">
        <v>26</v>
      </c>
      <c r="X89" s="10">
        <v>12760.683025790002</v>
      </c>
      <c r="Y89" s="10">
        <v>0</v>
      </c>
      <c r="Z89" s="10">
        <v>0</v>
      </c>
      <c r="AA89" s="10">
        <v>1</v>
      </c>
      <c r="AB89" s="10">
        <v>29.51469839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3</v>
      </c>
      <c r="AJ89" s="10">
        <v>107550.91463015</v>
      </c>
      <c r="AK89" s="10">
        <v>0</v>
      </c>
      <c r="AL89" s="10">
        <v>0</v>
      </c>
      <c r="AM89" s="10">
        <v>6106</v>
      </c>
      <c r="AN89" s="10">
        <v>258432.7457908795</v>
      </c>
      <c r="AO89" s="10">
        <v>180</v>
      </c>
      <c r="AP89" s="10">
        <v>8960.9247930700003</v>
      </c>
      <c r="AQ89" s="10">
        <v>5842</v>
      </c>
      <c r="AR89" s="10">
        <v>191363.78092012167</v>
      </c>
      <c r="AS89" s="10">
        <v>571</v>
      </c>
      <c r="AT89" s="10">
        <v>12659.208656190012</v>
      </c>
      <c r="AU89" s="10">
        <v>14507</v>
      </c>
      <c r="AV89" s="10">
        <v>229494.55426016936</v>
      </c>
      <c r="AW89" s="10">
        <v>1101</v>
      </c>
      <c r="AX89" s="10">
        <v>16059.994110140024</v>
      </c>
      <c r="AY89" s="10">
        <v>4094</v>
      </c>
      <c r="AZ89" s="10">
        <v>56662.67226825995</v>
      </c>
      <c r="BA89" s="10">
        <v>289</v>
      </c>
      <c r="BB89" s="10">
        <v>1751.3347594300001</v>
      </c>
      <c r="BC89" s="10">
        <v>469</v>
      </c>
      <c r="BD89" s="10">
        <v>36507.025126379915</v>
      </c>
      <c r="BE89" s="10">
        <v>9</v>
      </c>
      <c r="BF89" s="10">
        <v>1159.34583049</v>
      </c>
      <c r="BG89" s="10">
        <v>134</v>
      </c>
      <c r="BH89" s="10">
        <v>13367.556473060004</v>
      </c>
      <c r="BI89" s="10">
        <v>6</v>
      </c>
      <c r="BJ89" s="10">
        <v>966.03695726000012</v>
      </c>
      <c r="BK89" s="10">
        <v>360</v>
      </c>
      <c r="BL89" s="10">
        <v>32810.911591259981</v>
      </c>
      <c r="BM89" s="10">
        <v>8</v>
      </c>
      <c r="BN89" s="10">
        <v>1046.3663768499998</v>
      </c>
      <c r="BO89" s="18">
        <f t="shared" si="12"/>
        <v>0</v>
      </c>
      <c r="BP89" s="18">
        <f t="shared" si="9"/>
        <v>9.8953023552894592E-10</v>
      </c>
      <c r="BQ89" s="18">
        <f t="shared" si="10"/>
        <v>0</v>
      </c>
      <c r="BR89" s="18">
        <f t="shared" si="11"/>
        <v>-1.5688783605583012E-11</v>
      </c>
      <c r="BS89" s="18"/>
      <c r="BT89" s="18"/>
      <c r="BU89" s="18"/>
      <c r="BV89" s="18"/>
    </row>
    <row r="90" spans="1:74" s="11" customFormat="1" ht="27" customHeight="1" x14ac:dyDescent="0.25">
      <c r="A90" s="66" t="s">
        <v>37</v>
      </c>
      <c r="B90" s="1">
        <f t="shared" si="13"/>
        <v>83</v>
      </c>
      <c r="C90" s="20" t="s">
        <v>2148</v>
      </c>
      <c r="D90" s="20" t="s">
        <v>2151</v>
      </c>
      <c r="E90" s="65" t="s">
        <v>5</v>
      </c>
      <c r="F90" s="19" t="s">
        <v>2037</v>
      </c>
      <c r="G90" s="9">
        <v>9086</v>
      </c>
      <c r="H90" s="9">
        <v>225345.65029578991</v>
      </c>
      <c r="I90" s="9">
        <v>350</v>
      </c>
      <c r="J90" s="9">
        <v>3755.1797617899988</v>
      </c>
      <c r="K90" s="10">
        <v>15</v>
      </c>
      <c r="L90" s="10">
        <v>48977.268139440006</v>
      </c>
      <c r="M90" s="10">
        <v>0</v>
      </c>
      <c r="N90" s="10">
        <v>0</v>
      </c>
      <c r="O90" s="10">
        <v>39</v>
      </c>
      <c r="P90" s="10">
        <v>13035.057774470004</v>
      </c>
      <c r="Q90" s="10">
        <v>2</v>
      </c>
      <c r="R90" s="10">
        <v>1243.79247693</v>
      </c>
      <c r="S90" s="10">
        <v>29</v>
      </c>
      <c r="T90" s="10">
        <v>5579.0928560799994</v>
      </c>
      <c r="U90" s="10">
        <v>1</v>
      </c>
      <c r="V90" s="10">
        <v>144.29030468000002</v>
      </c>
      <c r="W90" s="10">
        <v>40</v>
      </c>
      <c r="X90" s="10">
        <v>3847.790208920002</v>
      </c>
      <c r="Y90" s="10">
        <v>0</v>
      </c>
      <c r="Z90" s="10">
        <v>0</v>
      </c>
      <c r="AA90" s="10">
        <v>31</v>
      </c>
      <c r="AB90" s="10">
        <v>4658.4447645599985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2</v>
      </c>
      <c r="AJ90" s="10">
        <v>68.624737879999998</v>
      </c>
      <c r="AK90" s="10">
        <v>2</v>
      </c>
      <c r="AL90" s="10">
        <v>68.624737879999998</v>
      </c>
      <c r="AM90" s="10">
        <v>957</v>
      </c>
      <c r="AN90" s="10">
        <v>27415.991785170041</v>
      </c>
      <c r="AO90" s="10">
        <v>7</v>
      </c>
      <c r="AP90" s="10">
        <v>183.91646743999996</v>
      </c>
      <c r="AQ90" s="10">
        <v>1302</v>
      </c>
      <c r="AR90" s="10">
        <v>35242.766367430027</v>
      </c>
      <c r="AS90" s="10">
        <v>55</v>
      </c>
      <c r="AT90" s="10">
        <v>733.6499008000003</v>
      </c>
      <c r="AU90" s="10">
        <v>4889</v>
      </c>
      <c r="AV90" s="10">
        <v>46292.995828019877</v>
      </c>
      <c r="AW90" s="10">
        <v>227</v>
      </c>
      <c r="AX90" s="10">
        <v>973.43096669000033</v>
      </c>
      <c r="AY90" s="10">
        <v>1300</v>
      </c>
      <c r="AZ90" s="10">
        <v>16796.890085279967</v>
      </c>
      <c r="BA90" s="10">
        <v>51</v>
      </c>
      <c r="BB90" s="10">
        <v>106.67826952</v>
      </c>
      <c r="BC90" s="10">
        <v>154</v>
      </c>
      <c r="BD90" s="10">
        <v>8228.8712955200026</v>
      </c>
      <c r="BE90" s="10">
        <v>0</v>
      </c>
      <c r="BF90" s="10">
        <v>0</v>
      </c>
      <c r="BG90" s="10">
        <v>113</v>
      </c>
      <c r="BH90" s="10">
        <v>10368.517398369999</v>
      </c>
      <c r="BI90" s="10">
        <v>2</v>
      </c>
      <c r="BJ90" s="10">
        <v>180.31101479000003</v>
      </c>
      <c r="BK90" s="10">
        <v>215</v>
      </c>
      <c r="BL90" s="10">
        <v>4833.3390546499995</v>
      </c>
      <c r="BM90" s="10">
        <v>3</v>
      </c>
      <c r="BN90" s="10">
        <v>120.48562306000001</v>
      </c>
      <c r="BO90" s="18">
        <f t="shared" si="12"/>
        <v>0</v>
      </c>
      <c r="BP90" s="18">
        <f t="shared" si="9"/>
        <v>-2.9103830456733704E-11</v>
      </c>
      <c r="BQ90" s="18">
        <f t="shared" si="10"/>
        <v>0</v>
      </c>
      <c r="BR90" s="18">
        <f t="shared" si="11"/>
        <v>-2.1174173525650986E-12</v>
      </c>
      <c r="BS90" s="18"/>
      <c r="BT90" s="18"/>
      <c r="BU90" s="18"/>
      <c r="BV90" s="18"/>
    </row>
    <row r="91" spans="1:74" s="11" customFormat="1" ht="27" customHeight="1" x14ac:dyDescent="0.25">
      <c r="A91" s="66" t="s">
        <v>37</v>
      </c>
      <c r="B91" s="1">
        <f t="shared" si="13"/>
        <v>84</v>
      </c>
      <c r="C91" s="20" t="s">
        <v>2148</v>
      </c>
      <c r="D91" s="20" t="s">
        <v>2152</v>
      </c>
      <c r="E91" s="65" t="s">
        <v>6</v>
      </c>
      <c r="F91" s="19" t="s">
        <v>2047</v>
      </c>
      <c r="G91" s="9">
        <v>12146</v>
      </c>
      <c r="H91" s="9">
        <v>481290.14955170057</v>
      </c>
      <c r="I91" s="9">
        <v>330</v>
      </c>
      <c r="J91" s="9">
        <v>9835.0875860699998</v>
      </c>
      <c r="K91" s="10">
        <v>22</v>
      </c>
      <c r="L91" s="10">
        <v>14884.141812119999</v>
      </c>
      <c r="M91" s="10">
        <v>0</v>
      </c>
      <c r="N91" s="10">
        <v>0</v>
      </c>
      <c r="O91" s="10">
        <v>28</v>
      </c>
      <c r="P91" s="10">
        <v>8225.8590574900009</v>
      </c>
      <c r="Q91" s="10">
        <v>0</v>
      </c>
      <c r="R91" s="10">
        <v>0</v>
      </c>
      <c r="S91" s="10">
        <v>30</v>
      </c>
      <c r="T91" s="10">
        <v>5034.1011236000004</v>
      </c>
      <c r="U91" s="10">
        <v>0</v>
      </c>
      <c r="V91" s="10">
        <v>0</v>
      </c>
      <c r="W91" s="10">
        <v>57</v>
      </c>
      <c r="X91" s="10">
        <v>10722.805910939996</v>
      </c>
      <c r="Y91" s="10">
        <v>13</v>
      </c>
      <c r="Z91" s="10">
        <v>3678.5178861400004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1</v>
      </c>
      <c r="AJ91" s="10">
        <v>61.070000149999998</v>
      </c>
      <c r="AK91" s="10">
        <v>0</v>
      </c>
      <c r="AL91" s="10">
        <v>0</v>
      </c>
      <c r="AM91" s="10">
        <v>1892</v>
      </c>
      <c r="AN91" s="10">
        <v>107238.68752586006</v>
      </c>
      <c r="AO91" s="10">
        <v>9</v>
      </c>
      <c r="AP91" s="10">
        <v>214.44122008000005</v>
      </c>
      <c r="AQ91" s="10">
        <v>2544</v>
      </c>
      <c r="AR91" s="10">
        <v>117177.73164769037</v>
      </c>
      <c r="AS91" s="10">
        <v>99</v>
      </c>
      <c r="AT91" s="10">
        <v>3144.0704356999991</v>
      </c>
      <c r="AU91" s="10">
        <v>5301</v>
      </c>
      <c r="AV91" s="10">
        <v>99096.487362529966</v>
      </c>
      <c r="AW91" s="10">
        <v>162</v>
      </c>
      <c r="AX91" s="10">
        <v>2263.0428159900016</v>
      </c>
      <c r="AY91" s="10">
        <v>1452</v>
      </c>
      <c r="AZ91" s="10">
        <v>21860.842116340053</v>
      </c>
      <c r="BA91" s="10">
        <v>42</v>
      </c>
      <c r="BB91" s="10">
        <v>58.625798669999995</v>
      </c>
      <c r="BC91" s="10">
        <v>292</v>
      </c>
      <c r="BD91" s="10">
        <v>30430.805909299987</v>
      </c>
      <c r="BE91" s="10">
        <v>1</v>
      </c>
      <c r="BF91" s="10">
        <v>4.3982476699999999</v>
      </c>
      <c r="BG91" s="10">
        <v>114</v>
      </c>
      <c r="BH91" s="10">
        <v>24768.918989500016</v>
      </c>
      <c r="BI91" s="10">
        <v>0</v>
      </c>
      <c r="BJ91" s="10">
        <v>0</v>
      </c>
      <c r="BK91" s="10">
        <v>413</v>
      </c>
      <c r="BL91" s="10">
        <v>41788.698096179927</v>
      </c>
      <c r="BM91" s="10">
        <v>4</v>
      </c>
      <c r="BN91" s="10">
        <v>471.99118182000001</v>
      </c>
      <c r="BO91" s="18">
        <f t="shared" si="12"/>
        <v>0</v>
      </c>
      <c r="BP91" s="18">
        <f t="shared" si="9"/>
        <v>2.6193447411060333E-10</v>
      </c>
      <c r="BQ91" s="18">
        <f t="shared" si="10"/>
        <v>0</v>
      </c>
      <c r="BR91" s="18">
        <f t="shared" si="11"/>
        <v>-5.6843418860808015E-13</v>
      </c>
      <c r="BS91" s="18"/>
      <c r="BT91" s="18"/>
      <c r="BU91" s="18"/>
      <c r="BV91" s="18"/>
    </row>
    <row r="92" spans="1:74" s="11" customFormat="1" ht="27" customHeight="1" x14ac:dyDescent="0.25">
      <c r="A92" s="66" t="s">
        <v>37</v>
      </c>
      <c r="B92" s="1">
        <f t="shared" si="13"/>
        <v>85</v>
      </c>
      <c r="C92" s="20" t="s">
        <v>2148</v>
      </c>
      <c r="D92" s="20" t="s">
        <v>2153</v>
      </c>
      <c r="E92" s="65" t="s">
        <v>4</v>
      </c>
      <c r="F92" s="19" t="s">
        <v>2060</v>
      </c>
      <c r="G92" s="9">
        <v>8761</v>
      </c>
      <c r="H92" s="9">
        <v>276006.22927310999</v>
      </c>
      <c r="I92" s="9">
        <v>266</v>
      </c>
      <c r="J92" s="9">
        <v>8577.6609383499999</v>
      </c>
      <c r="K92" s="10">
        <v>27</v>
      </c>
      <c r="L92" s="10">
        <v>14364.065405230003</v>
      </c>
      <c r="M92" s="10">
        <v>1</v>
      </c>
      <c r="N92" s="10">
        <v>144.12682258000001</v>
      </c>
      <c r="O92" s="10">
        <v>50</v>
      </c>
      <c r="P92" s="10">
        <v>8187.3599224499994</v>
      </c>
      <c r="Q92" s="10">
        <v>3</v>
      </c>
      <c r="R92" s="10">
        <v>300.54528185000004</v>
      </c>
      <c r="S92" s="10">
        <v>77</v>
      </c>
      <c r="T92" s="10">
        <v>13142.256447610001</v>
      </c>
      <c r="U92" s="10">
        <v>0</v>
      </c>
      <c r="V92" s="10">
        <v>0</v>
      </c>
      <c r="W92" s="10">
        <v>22</v>
      </c>
      <c r="X92" s="10">
        <v>17512.089086650001</v>
      </c>
      <c r="Y92" s="10">
        <v>1</v>
      </c>
      <c r="Z92" s="10">
        <v>1950</v>
      </c>
      <c r="AA92" s="10">
        <v>5</v>
      </c>
      <c r="AB92" s="10">
        <v>314.12037056999998</v>
      </c>
      <c r="AC92" s="10">
        <v>0</v>
      </c>
      <c r="AD92" s="10">
        <v>0</v>
      </c>
      <c r="AE92" s="10">
        <v>1</v>
      </c>
      <c r="AF92" s="10">
        <v>1744.6112189999999</v>
      </c>
      <c r="AG92" s="10">
        <v>1</v>
      </c>
      <c r="AH92" s="10">
        <v>1744.6112189999999</v>
      </c>
      <c r="AI92" s="10">
        <v>3</v>
      </c>
      <c r="AJ92" s="10">
        <v>260.98424385999999</v>
      </c>
      <c r="AK92" s="10">
        <v>0</v>
      </c>
      <c r="AL92" s="10">
        <v>0</v>
      </c>
      <c r="AM92" s="10">
        <v>1173</v>
      </c>
      <c r="AN92" s="10">
        <v>40588.310052989997</v>
      </c>
      <c r="AO92" s="10">
        <v>10</v>
      </c>
      <c r="AP92" s="10">
        <v>344.76938686999995</v>
      </c>
      <c r="AQ92" s="10">
        <v>1486</v>
      </c>
      <c r="AR92" s="10">
        <v>44144.34521470005</v>
      </c>
      <c r="AS92" s="10">
        <v>72</v>
      </c>
      <c r="AT92" s="10">
        <v>2136.5978524600005</v>
      </c>
      <c r="AU92" s="10">
        <v>3939</v>
      </c>
      <c r="AV92" s="10">
        <v>44483.713012579734</v>
      </c>
      <c r="AW92" s="10">
        <v>126</v>
      </c>
      <c r="AX92" s="10">
        <v>873.80020155999978</v>
      </c>
      <c r="AY92" s="10">
        <v>1503</v>
      </c>
      <c r="AZ92" s="10">
        <v>33053.257227089984</v>
      </c>
      <c r="BA92" s="10">
        <v>47</v>
      </c>
      <c r="BB92" s="10">
        <v>272.04799105000006</v>
      </c>
      <c r="BC92" s="10">
        <v>170</v>
      </c>
      <c r="BD92" s="10">
        <v>12191.438033099992</v>
      </c>
      <c r="BE92" s="10">
        <v>2</v>
      </c>
      <c r="BF92" s="10">
        <v>288.01307925999998</v>
      </c>
      <c r="BG92" s="10">
        <v>226</v>
      </c>
      <c r="BH92" s="10">
        <v>34786.690555710011</v>
      </c>
      <c r="BI92" s="10">
        <v>3</v>
      </c>
      <c r="BJ92" s="10">
        <v>523.14910372000008</v>
      </c>
      <c r="BK92" s="10">
        <v>79</v>
      </c>
      <c r="BL92" s="10">
        <v>11232.988481570004</v>
      </c>
      <c r="BM92" s="10">
        <v>0</v>
      </c>
      <c r="BN92" s="10">
        <v>0</v>
      </c>
      <c r="BO92" s="18">
        <f t="shared" si="12"/>
        <v>0</v>
      </c>
      <c r="BP92" s="18">
        <f t="shared" si="9"/>
        <v>1.837179297581315E-10</v>
      </c>
      <c r="BQ92" s="18">
        <f t="shared" si="10"/>
        <v>0</v>
      </c>
      <c r="BR92" s="18">
        <f t="shared" si="11"/>
        <v>0</v>
      </c>
      <c r="BS92" s="18"/>
      <c r="BT92" s="18"/>
      <c r="BU92" s="18"/>
      <c r="BV92" s="18"/>
    </row>
    <row r="93" spans="1:74" s="11" customFormat="1" ht="27" customHeight="1" x14ac:dyDescent="0.25">
      <c r="A93" s="66" t="s">
        <v>37</v>
      </c>
      <c r="B93" s="1">
        <f t="shared" si="13"/>
        <v>86</v>
      </c>
      <c r="C93" s="20" t="s">
        <v>2148</v>
      </c>
      <c r="D93" s="20" t="s">
        <v>2154</v>
      </c>
      <c r="E93" s="65" t="s">
        <v>9</v>
      </c>
      <c r="F93" s="19" t="s">
        <v>2041</v>
      </c>
      <c r="G93" s="9">
        <v>12180</v>
      </c>
      <c r="H93" s="9">
        <v>498614.10679260024</v>
      </c>
      <c r="I93" s="9">
        <v>539</v>
      </c>
      <c r="J93" s="9">
        <v>8783.8032716700018</v>
      </c>
      <c r="K93" s="10">
        <v>18</v>
      </c>
      <c r="L93" s="10">
        <v>9144.1971178099993</v>
      </c>
      <c r="M93" s="10">
        <v>0</v>
      </c>
      <c r="N93" s="10">
        <v>0</v>
      </c>
      <c r="O93" s="10">
        <v>18</v>
      </c>
      <c r="P93" s="10">
        <v>134926.43598736997</v>
      </c>
      <c r="Q93" s="10">
        <v>0</v>
      </c>
      <c r="R93" s="10">
        <v>0</v>
      </c>
      <c r="S93" s="10">
        <v>18</v>
      </c>
      <c r="T93" s="10">
        <v>5109.8288632600006</v>
      </c>
      <c r="U93" s="10">
        <v>0</v>
      </c>
      <c r="V93" s="10">
        <v>0</v>
      </c>
      <c r="W93" s="10">
        <v>26</v>
      </c>
      <c r="X93" s="10">
        <v>2395.6379107800003</v>
      </c>
      <c r="Y93" s="10">
        <v>0</v>
      </c>
      <c r="Z93" s="10">
        <v>0</v>
      </c>
      <c r="AA93" s="10">
        <v>2</v>
      </c>
      <c r="AB93" s="10">
        <v>244.07465726999999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1</v>
      </c>
      <c r="AJ93" s="10">
        <v>83316.100000000006</v>
      </c>
      <c r="AK93" s="10">
        <v>0</v>
      </c>
      <c r="AL93" s="10">
        <v>0</v>
      </c>
      <c r="AM93" s="10">
        <v>1254</v>
      </c>
      <c r="AN93" s="10">
        <v>41175.815621339898</v>
      </c>
      <c r="AO93" s="10">
        <v>3</v>
      </c>
      <c r="AP93" s="10">
        <v>59.511572090000001</v>
      </c>
      <c r="AQ93" s="10">
        <v>1776</v>
      </c>
      <c r="AR93" s="10">
        <v>40423.914418449916</v>
      </c>
      <c r="AS93" s="10">
        <v>70</v>
      </c>
      <c r="AT93" s="10">
        <v>923.14093493000018</v>
      </c>
      <c r="AU93" s="10">
        <v>6568</v>
      </c>
      <c r="AV93" s="10">
        <v>73394.042116169832</v>
      </c>
      <c r="AW93" s="10">
        <v>337</v>
      </c>
      <c r="AX93" s="10">
        <v>2806.5252719700015</v>
      </c>
      <c r="AY93" s="10">
        <v>1876</v>
      </c>
      <c r="AZ93" s="10">
        <v>31206.918658979979</v>
      </c>
      <c r="BA93" s="10">
        <v>97</v>
      </c>
      <c r="BB93" s="10">
        <v>497.24956756000006</v>
      </c>
      <c r="BC93" s="10">
        <v>116</v>
      </c>
      <c r="BD93" s="10">
        <v>15883.32358749</v>
      </c>
      <c r="BE93" s="10">
        <v>4</v>
      </c>
      <c r="BF93" s="10">
        <v>859.86998130999996</v>
      </c>
      <c r="BG93" s="10">
        <v>210</v>
      </c>
      <c r="BH93" s="10">
        <v>31633.067950569999</v>
      </c>
      <c r="BI93" s="10">
        <v>10</v>
      </c>
      <c r="BJ93" s="10">
        <v>1620.3843596499999</v>
      </c>
      <c r="BK93" s="10">
        <v>297</v>
      </c>
      <c r="BL93" s="10">
        <v>29760.749903109972</v>
      </c>
      <c r="BM93" s="10">
        <v>18</v>
      </c>
      <c r="BN93" s="10">
        <v>2017.1215841599994</v>
      </c>
      <c r="BO93" s="18">
        <f t="shared" si="12"/>
        <v>0</v>
      </c>
      <c r="BP93" s="18">
        <f t="shared" si="9"/>
        <v>6.8030203692615032E-10</v>
      </c>
      <c r="BQ93" s="18">
        <f t="shared" si="10"/>
        <v>0</v>
      </c>
      <c r="BR93" s="18">
        <f t="shared" si="11"/>
        <v>0</v>
      </c>
      <c r="BS93" s="18"/>
      <c r="BT93" s="18"/>
      <c r="BU93" s="18"/>
      <c r="BV93" s="18"/>
    </row>
    <row r="94" spans="1:74" s="11" customFormat="1" ht="27" customHeight="1" x14ac:dyDescent="0.25">
      <c r="A94" s="66" t="s">
        <v>37</v>
      </c>
      <c r="B94" s="1">
        <f t="shared" si="13"/>
        <v>87</v>
      </c>
      <c r="C94" s="20" t="s">
        <v>2148</v>
      </c>
      <c r="D94" s="20" t="s">
        <v>2155</v>
      </c>
      <c r="E94" s="65" t="s">
        <v>8</v>
      </c>
      <c r="F94" s="19" t="s">
        <v>2073</v>
      </c>
      <c r="G94" s="9">
        <v>4202</v>
      </c>
      <c r="H94" s="9">
        <v>139387.61363774995</v>
      </c>
      <c r="I94" s="9">
        <v>99</v>
      </c>
      <c r="J94" s="9">
        <v>2024.8917935600002</v>
      </c>
      <c r="K94" s="10">
        <v>7</v>
      </c>
      <c r="L94" s="10">
        <v>1488.6742397500002</v>
      </c>
      <c r="M94" s="10">
        <v>0</v>
      </c>
      <c r="N94" s="10">
        <v>0</v>
      </c>
      <c r="O94" s="10">
        <v>15</v>
      </c>
      <c r="P94" s="10">
        <v>1681.8746508899999</v>
      </c>
      <c r="Q94" s="10">
        <v>0</v>
      </c>
      <c r="R94" s="10">
        <v>0</v>
      </c>
      <c r="S94" s="10">
        <v>21</v>
      </c>
      <c r="T94" s="10">
        <v>2276.9100414600007</v>
      </c>
      <c r="U94" s="10">
        <v>2</v>
      </c>
      <c r="V94" s="10">
        <v>707.68304357000011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307</v>
      </c>
      <c r="AN94" s="10">
        <v>15017.759064869995</v>
      </c>
      <c r="AO94" s="10">
        <v>1</v>
      </c>
      <c r="AP94" s="10">
        <v>21.52</v>
      </c>
      <c r="AQ94" s="10">
        <v>532</v>
      </c>
      <c r="AR94" s="10">
        <v>10569.458494809975</v>
      </c>
      <c r="AS94" s="10">
        <v>28</v>
      </c>
      <c r="AT94" s="10">
        <v>404.1063846200002</v>
      </c>
      <c r="AU94" s="10">
        <v>2127</v>
      </c>
      <c r="AV94" s="10">
        <v>22053.007884819988</v>
      </c>
      <c r="AW94" s="10">
        <v>54</v>
      </c>
      <c r="AX94" s="10">
        <v>433.28164929999997</v>
      </c>
      <c r="AY94" s="10">
        <v>550</v>
      </c>
      <c r="AZ94" s="10">
        <v>9735.9501211199931</v>
      </c>
      <c r="BA94" s="10">
        <v>10</v>
      </c>
      <c r="BB94" s="10">
        <v>16.41192264</v>
      </c>
      <c r="BC94" s="10">
        <v>101</v>
      </c>
      <c r="BD94" s="10">
        <v>10106.27766202</v>
      </c>
      <c r="BE94" s="10">
        <v>0</v>
      </c>
      <c r="BF94" s="10">
        <v>0</v>
      </c>
      <c r="BG94" s="10">
        <v>7</v>
      </c>
      <c r="BH94" s="10">
        <v>669.9781719099999</v>
      </c>
      <c r="BI94" s="10">
        <v>0</v>
      </c>
      <c r="BJ94" s="10">
        <v>0</v>
      </c>
      <c r="BK94" s="10">
        <v>535</v>
      </c>
      <c r="BL94" s="10">
        <v>65787.723306099986</v>
      </c>
      <c r="BM94" s="10">
        <v>4</v>
      </c>
      <c r="BN94" s="10">
        <v>441.88879343000002</v>
      </c>
      <c r="BO94" s="18">
        <f t="shared" si="12"/>
        <v>0</v>
      </c>
      <c r="BP94" s="18">
        <f t="shared" si="9"/>
        <v>0</v>
      </c>
      <c r="BQ94" s="18">
        <f t="shared" si="10"/>
        <v>0</v>
      </c>
      <c r="BR94" s="18">
        <f t="shared" si="11"/>
        <v>0</v>
      </c>
      <c r="BS94" s="18"/>
      <c r="BT94" s="18"/>
      <c r="BU94" s="18"/>
      <c r="BV94" s="18"/>
    </row>
    <row r="95" spans="1:74" s="11" customFormat="1" ht="27" customHeight="1" x14ac:dyDescent="0.25">
      <c r="A95" s="66" t="s">
        <v>37</v>
      </c>
      <c r="B95" s="1">
        <f t="shared" si="13"/>
        <v>88</v>
      </c>
      <c r="C95" s="20" t="s">
        <v>2148</v>
      </c>
      <c r="D95" s="20" t="s">
        <v>2156</v>
      </c>
      <c r="E95" s="65" t="s">
        <v>3</v>
      </c>
      <c r="F95" s="19" t="s">
        <v>2107</v>
      </c>
      <c r="G95" s="9">
        <v>4122</v>
      </c>
      <c r="H95" s="9">
        <v>220851.43899553959</v>
      </c>
      <c r="I95" s="9">
        <v>125</v>
      </c>
      <c r="J95" s="9">
        <v>14047.31258765</v>
      </c>
      <c r="K95" s="10">
        <v>5</v>
      </c>
      <c r="L95" s="10">
        <v>9324.7531830200005</v>
      </c>
      <c r="M95" s="10">
        <v>0</v>
      </c>
      <c r="N95" s="10">
        <v>0</v>
      </c>
      <c r="O95" s="10">
        <v>8</v>
      </c>
      <c r="P95" s="10">
        <v>2576.7368854700007</v>
      </c>
      <c r="Q95" s="10">
        <v>0</v>
      </c>
      <c r="R95" s="10">
        <v>0</v>
      </c>
      <c r="S95" s="10">
        <v>29</v>
      </c>
      <c r="T95" s="10">
        <v>3442.58758223</v>
      </c>
      <c r="U95" s="10">
        <v>1</v>
      </c>
      <c r="V95" s="10">
        <v>55.02936382</v>
      </c>
      <c r="W95" s="10">
        <v>2</v>
      </c>
      <c r="X95" s="10">
        <v>598.70500002999995</v>
      </c>
      <c r="Y95" s="10">
        <v>0</v>
      </c>
      <c r="Z95" s="10">
        <v>0</v>
      </c>
      <c r="AA95" s="10">
        <v>2</v>
      </c>
      <c r="AB95" s="10">
        <v>11182.032340649999</v>
      </c>
      <c r="AC95" s="10">
        <v>1</v>
      </c>
      <c r="AD95" s="10">
        <v>11039.175197799999</v>
      </c>
      <c r="AE95" s="10">
        <v>2</v>
      </c>
      <c r="AF95" s="10">
        <v>686.01572432</v>
      </c>
      <c r="AG95" s="10">
        <v>2</v>
      </c>
      <c r="AH95" s="10">
        <v>686.01572432</v>
      </c>
      <c r="AI95" s="10">
        <v>1</v>
      </c>
      <c r="AJ95" s="10">
        <v>3778.5041580000002</v>
      </c>
      <c r="AK95" s="10">
        <v>0</v>
      </c>
      <c r="AL95" s="10">
        <v>0</v>
      </c>
      <c r="AM95" s="10">
        <v>534</v>
      </c>
      <c r="AN95" s="10">
        <v>50337.720787950042</v>
      </c>
      <c r="AO95" s="10">
        <v>18</v>
      </c>
      <c r="AP95" s="10">
        <v>323.25107908999996</v>
      </c>
      <c r="AQ95" s="10">
        <v>894</v>
      </c>
      <c r="AR95" s="10">
        <v>35176.754947849942</v>
      </c>
      <c r="AS95" s="10">
        <v>40</v>
      </c>
      <c r="AT95" s="10">
        <v>719.9140801100001</v>
      </c>
      <c r="AU95" s="10">
        <v>1517</v>
      </c>
      <c r="AV95" s="10">
        <v>32999.111553679999</v>
      </c>
      <c r="AW95" s="10">
        <v>45</v>
      </c>
      <c r="AX95" s="10">
        <v>748.63226823000036</v>
      </c>
      <c r="AY95" s="10">
        <v>577</v>
      </c>
      <c r="AZ95" s="10">
        <v>13772.37272376999</v>
      </c>
      <c r="BA95" s="10">
        <v>15</v>
      </c>
      <c r="BB95" s="10">
        <v>201.26873115999999</v>
      </c>
      <c r="BC95" s="10">
        <v>276</v>
      </c>
      <c r="BD95" s="10">
        <v>31940.116246270052</v>
      </c>
      <c r="BE95" s="10">
        <v>1</v>
      </c>
      <c r="BF95" s="10">
        <v>154.48873565</v>
      </c>
      <c r="BG95" s="10">
        <v>69</v>
      </c>
      <c r="BH95" s="10">
        <v>7598.4681463299994</v>
      </c>
      <c r="BI95" s="10">
        <v>0</v>
      </c>
      <c r="BJ95" s="10">
        <v>0</v>
      </c>
      <c r="BK95" s="10">
        <v>206</v>
      </c>
      <c r="BL95" s="10">
        <v>17437.559715970005</v>
      </c>
      <c r="BM95" s="10">
        <v>2</v>
      </c>
      <c r="BN95" s="10">
        <v>119.53740747000001</v>
      </c>
      <c r="BO95" s="18">
        <f t="shared" si="12"/>
        <v>0</v>
      </c>
      <c r="BP95" s="18">
        <f t="shared" si="9"/>
        <v>-3.8562575355172157E-10</v>
      </c>
      <c r="BQ95" s="18">
        <f t="shared" si="10"/>
        <v>0</v>
      </c>
      <c r="BR95" s="18">
        <f t="shared" si="11"/>
        <v>-3.1263880373444408E-13</v>
      </c>
      <c r="BS95" s="18"/>
      <c r="BT95" s="18"/>
      <c r="BU95" s="18"/>
      <c r="BV95" s="18"/>
    </row>
    <row r="96" spans="1:74" s="11" customFormat="1" ht="27" customHeight="1" x14ac:dyDescent="0.25">
      <c r="A96" s="66" t="s">
        <v>37</v>
      </c>
      <c r="B96" s="1">
        <f t="shared" si="13"/>
        <v>89</v>
      </c>
      <c r="C96" s="20" t="s">
        <v>2148</v>
      </c>
      <c r="D96" s="20" t="s">
        <v>2157</v>
      </c>
      <c r="E96" s="65" t="s">
        <v>2</v>
      </c>
      <c r="F96" s="19" t="s">
        <v>2035</v>
      </c>
      <c r="G96" s="9">
        <v>2578</v>
      </c>
      <c r="H96" s="9">
        <v>76705.423885089986</v>
      </c>
      <c r="I96" s="9">
        <v>81</v>
      </c>
      <c r="J96" s="9">
        <v>17417.635589229998</v>
      </c>
      <c r="K96" s="10">
        <v>0</v>
      </c>
      <c r="L96" s="10">
        <v>0</v>
      </c>
      <c r="M96" s="10">
        <v>0</v>
      </c>
      <c r="N96" s="10">
        <v>0</v>
      </c>
      <c r="O96" s="10">
        <v>1</v>
      </c>
      <c r="P96" s="10">
        <v>179.23152543999998</v>
      </c>
      <c r="Q96" s="10">
        <v>0</v>
      </c>
      <c r="R96" s="10">
        <v>0</v>
      </c>
      <c r="S96" s="10">
        <v>4</v>
      </c>
      <c r="T96" s="10">
        <v>465.15284530999998</v>
      </c>
      <c r="U96" s="10">
        <v>0</v>
      </c>
      <c r="V96" s="10">
        <v>0</v>
      </c>
      <c r="W96" s="10">
        <v>6</v>
      </c>
      <c r="X96" s="10">
        <v>602.75866415000007</v>
      </c>
      <c r="Y96" s="10">
        <v>1</v>
      </c>
      <c r="Z96" s="10">
        <v>235.25875862000001</v>
      </c>
      <c r="AA96" s="10">
        <v>3</v>
      </c>
      <c r="AB96" s="10">
        <v>15733.89360238</v>
      </c>
      <c r="AC96" s="10">
        <v>2</v>
      </c>
      <c r="AD96" s="10">
        <v>15665.14360238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197</v>
      </c>
      <c r="AN96" s="10">
        <v>8874.6469601999997</v>
      </c>
      <c r="AO96" s="10">
        <v>1</v>
      </c>
      <c r="AP96" s="10">
        <v>12.914317070000001</v>
      </c>
      <c r="AQ96" s="10">
        <v>449</v>
      </c>
      <c r="AR96" s="10">
        <v>8725.1167387599926</v>
      </c>
      <c r="AS96" s="10">
        <v>34</v>
      </c>
      <c r="AT96" s="10">
        <v>443.88293086999988</v>
      </c>
      <c r="AU96" s="10">
        <v>1283</v>
      </c>
      <c r="AV96" s="10">
        <v>21340.13468770004</v>
      </c>
      <c r="AW96" s="10">
        <v>35</v>
      </c>
      <c r="AX96" s="10">
        <v>563.72712325999998</v>
      </c>
      <c r="AY96" s="10">
        <v>527</v>
      </c>
      <c r="AZ96" s="10">
        <v>7954.3586339699968</v>
      </c>
      <c r="BA96" s="10">
        <v>5</v>
      </c>
      <c r="BB96" s="10">
        <v>6.8541802399999998</v>
      </c>
      <c r="BC96" s="10">
        <v>24</v>
      </c>
      <c r="BD96" s="10">
        <v>2359.8534925200001</v>
      </c>
      <c r="BE96" s="10">
        <v>0</v>
      </c>
      <c r="BF96" s="10">
        <v>0</v>
      </c>
      <c r="BG96" s="10">
        <v>83</v>
      </c>
      <c r="BH96" s="10">
        <v>10299.250474969997</v>
      </c>
      <c r="BI96" s="10">
        <v>3</v>
      </c>
      <c r="BJ96" s="10">
        <v>489.85467678999998</v>
      </c>
      <c r="BK96" s="10">
        <v>1</v>
      </c>
      <c r="BL96" s="10">
        <v>171.02625968999999</v>
      </c>
      <c r="BM96" s="10">
        <v>0</v>
      </c>
      <c r="BN96" s="10">
        <v>0</v>
      </c>
      <c r="BO96" s="18">
        <f t="shared" si="12"/>
        <v>0</v>
      </c>
      <c r="BP96" s="18">
        <f t="shared" si="9"/>
        <v>-3.8909320210223086E-11</v>
      </c>
      <c r="BQ96" s="18">
        <f t="shared" si="10"/>
        <v>0</v>
      </c>
      <c r="BR96" s="18">
        <f t="shared" si="11"/>
        <v>-3.4106051316484809E-13</v>
      </c>
      <c r="BS96" s="18"/>
      <c r="BT96" s="18"/>
      <c r="BU96" s="18"/>
      <c r="BV96" s="18"/>
    </row>
    <row r="97" spans="1:74" s="11" customFormat="1" ht="27" customHeight="1" x14ac:dyDescent="0.25">
      <c r="A97" s="66" t="s">
        <v>38</v>
      </c>
      <c r="B97" s="1">
        <f t="shared" si="13"/>
        <v>90</v>
      </c>
      <c r="C97" s="20" t="s">
        <v>2158</v>
      </c>
      <c r="D97" s="20" t="s">
        <v>2159</v>
      </c>
      <c r="E97" s="65">
        <v>11853</v>
      </c>
      <c r="F97" s="19" t="s">
        <v>2107</v>
      </c>
      <c r="G97" s="9">
        <v>420</v>
      </c>
      <c r="H97" s="9">
        <v>89658.161898060003</v>
      </c>
      <c r="I97" s="9">
        <v>0</v>
      </c>
      <c r="J97" s="9">
        <v>0</v>
      </c>
      <c r="K97" s="10">
        <v>59</v>
      </c>
      <c r="L97" s="10">
        <v>64618.838428480012</v>
      </c>
      <c r="M97" s="10">
        <v>0</v>
      </c>
      <c r="N97" s="10">
        <v>0</v>
      </c>
      <c r="O97" s="10">
        <v>18</v>
      </c>
      <c r="P97" s="10">
        <v>9117.0142903100023</v>
      </c>
      <c r="Q97" s="10">
        <v>0</v>
      </c>
      <c r="R97" s="10">
        <v>0</v>
      </c>
      <c r="S97" s="10">
        <v>5</v>
      </c>
      <c r="T97" s="10">
        <v>1574.7525069100002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177</v>
      </c>
      <c r="AN97" s="10">
        <v>12076.259278359992</v>
      </c>
      <c r="AO97" s="10">
        <v>0</v>
      </c>
      <c r="AP97" s="10">
        <v>0</v>
      </c>
      <c r="AQ97" s="10">
        <v>127</v>
      </c>
      <c r="AR97" s="10">
        <v>2043.7389905099999</v>
      </c>
      <c r="AS97" s="10">
        <v>0</v>
      </c>
      <c r="AT97" s="10">
        <v>0</v>
      </c>
      <c r="AU97" s="10">
        <v>33</v>
      </c>
      <c r="AV97" s="10">
        <v>226.44728848999998</v>
      </c>
      <c r="AW97" s="10">
        <v>0</v>
      </c>
      <c r="AX97" s="10">
        <v>0</v>
      </c>
      <c r="AY97" s="10">
        <v>1</v>
      </c>
      <c r="AZ97" s="10">
        <v>1.1111150000000001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8">
        <f t="shared" si="12"/>
        <v>0</v>
      </c>
      <c r="BP97" s="18">
        <f t="shared" si="9"/>
        <v>-4.2510439612897244E-12</v>
      </c>
      <c r="BQ97" s="18">
        <f t="shared" si="10"/>
        <v>0</v>
      </c>
      <c r="BR97" s="18">
        <f t="shared" si="11"/>
        <v>0</v>
      </c>
      <c r="BS97" s="18"/>
      <c r="BT97" s="18"/>
      <c r="BU97" s="18"/>
      <c r="BV97" s="18"/>
    </row>
    <row r="98" spans="1:74" s="11" customFormat="1" ht="27" customHeight="1" x14ac:dyDescent="0.25">
      <c r="A98" s="66" t="s">
        <v>41</v>
      </c>
      <c r="B98" s="1">
        <f t="shared" si="13"/>
        <v>91</v>
      </c>
      <c r="C98" s="20" t="s">
        <v>2164</v>
      </c>
      <c r="D98" s="20" t="s">
        <v>2164</v>
      </c>
      <c r="E98" s="65" t="s">
        <v>25</v>
      </c>
      <c r="F98" s="19" t="s">
        <v>2039</v>
      </c>
      <c r="G98" s="9">
        <v>3226</v>
      </c>
      <c r="H98" s="9">
        <v>587860.27545604238</v>
      </c>
      <c r="I98" s="9">
        <v>103</v>
      </c>
      <c r="J98" s="9">
        <v>38592.866554594999</v>
      </c>
      <c r="K98" s="10">
        <v>306</v>
      </c>
      <c r="L98" s="10">
        <v>157669.57583646401</v>
      </c>
      <c r="M98" s="10">
        <v>2</v>
      </c>
      <c r="N98" s="10">
        <v>1950</v>
      </c>
      <c r="O98" s="10">
        <v>227</v>
      </c>
      <c r="P98" s="10">
        <v>94919.354192673389</v>
      </c>
      <c r="Q98" s="10">
        <v>9</v>
      </c>
      <c r="R98" s="10">
        <v>9713.7389150420022</v>
      </c>
      <c r="S98" s="10">
        <v>88</v>
      </c>
      <c r="T98" s="10">
        <v>10066.782371770998</v>
      </c>
      <c r="U98" s="10">
        <v>1</v>
      </c>
      <c r="V98" s="10">
        <v>349.76491555900003</v>
      </c>
      <c r="W98" s="10">
        <v>22</v>
      </c>
      <c r="X98" s="10">
        <v>5391.3237910031994</v>
      </c>
      <c r="Y98" s="10">
        <v>5</v>
      </c>
      <c r="Z98" s="10">
        <v>1092.4389588439999</v>
      </c>
      <c r="AA98" s="10">
        <v>5</v>
      </c>
      <c r="AB98" s="10">
        <v>878.35760378999998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1023</v>
      </c>
      <c r="AN98" s="10">
        <v>144020.56803924998</v>
      </c>
      <c r="AO98" s="10">
        <v>8</v>
      </c>
      <c r="AP98" s="10">
        <v>2244.8589800700001</v>
      </c>
      <c r="AQ98" s="10">
        <v>986</v>
      </c>
      <c r="AR98" s="10">
        <v>142891.11385550009</v>
      </c>
      <c r="AS98" s="10">
        <v>52</v>
      </c>
      <c r="AT98" s="10">
        <v>19496.461306379995</v>
      </c>
      <c r="AU98" s="10">
        <v>422</v>
      </c>
      <c r="AV98" s="10">
        <v>25624.414135080002</v>
      </c>
      <c r="AW98" s="10">
        <v>22</v>
      </c>
      <c r="AX98" s="10">
        <v>3513.6731532200006</v>
      </c>
      <c r="AY98" s="10">
        <v>137</v>
      </c>
      <c r="AZ98" s="10">
        <v>5886.410565170002</v>
      </c>
      <c r="BA98" s="10">
        <v>4</v>
      </c>
      <c r="BB98" s="10">
        <v>231.93032548000002</v>
      </c>
      <c r="BC98" s="10">
        <v>10</v>
      </c>
      <c r="BD98" s="10">
        <v>512.37506533999999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8">
        <f t="shared" si="12"/>
        <v>0</v>
      </c>
      <c r="BP98" s="18">
        <f t="shared" si="9"/>
        <v>6.850768841104582E-10</v>
      </c>
      <c r="BQ98" s="18">
        <f t="shared" si="10"/>
        <v>0</v>
      </c>
      <c r="BR98" s="18">
        <f t="shared" si="11"/>
        <v>1.9895196601282805E-12</v>
      </c>
      <c r="BS98" s="18"/>
      <c r="BT98" s="18"/>
      <c r="BU98" s="18"/>
      <c r="BV98" s="18"/>
    </row>
    <row r="99" spans="1:74" s="11" customFormat="1" ht="27" customHeight="1" x14ac:dyDescent="0.25">
      <c r="A99" s="66" t="s">
        <v>39</v>
      </c>
      <c r="B99" s="1">
        <f t="shared" si="13"/>
        <v>92</v>
      </c>
      <c r="C99" s="20" t="s">
        <v>2160</v>
      </c>
      <c r="D99" s="20" t="s">
        <v>2161</v>
      </c>
      <c r="E99" s="65" t="s">
        <v>19</v>
      </c>
      <c r="F99" s="19" t="s">
        <v>2054</v>
      </c>
      <c r="G99" s="9">
        <v>1696</v>
      </c>
      <c r="H99" s="9">
        <v>523424.57653750014</v>
      </c>
      <c r="I99" s="9">
        <v>54</v>
      </c>
      <c r="J99" s="9">
        <v>25608.140864470002</v>
      </c>
      <c r="K99" s="10">
        <v>101</v>
      </c>
      <c r="L99" s="10">
        <v>43109.08264945999</v>
      </c>
      <c r="M99" s="10">
        <v>2</v>
      </c>
      <c r="N99" s="10">
        <v>2050.15</v>
      </c>
      <c r="O99" s="10">
        <v>46</v>
      </c>
      <c r="P99" s="10">
        <v>212021.94591929018</v>
      </c>
      <c r="Q99" s="10">
        <v>4</v>
      </c>
      <c r="R99" s="10">
        <v>5107.1000671499996</v>
      </c>
      <c r="S99" s="10">
        <v>45</v>
      </c>
      <c r="T99" s="10">
        <v>16050.559964760001</v>
      </c>
      <c r="U99" s="10">
        <v>5</v>
      </c>
      <c r="V99" s="10">
        <v>1471.90687224</v>
      </c>
      <c r="W99" s="10">
        <v>15</v>
      </c>
      <c r="X99" s="10">
        <v>4817.56563009</v>
      </c>
      <c r="Y99" s="10">
        <v>8</v>
      </c>
      <c r="Z99" s="10">
        <v>4181.8680643900007</v>
      </c>
      <c r="AA99" s="10">
        <v>2</v>
      </c>
      <c r="AB99" s="10">
        <v>7516.70534288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1</v>
      </c>
      <c r="AJ99" s="10">
        <v>937.76097712000001</v>
      </c>
      <c r="AK99" s="10">
        <v>0</v>
      </c>
      <c r="AL99" s="10">
        <v>0</v>
      </c>
      <c r="AM99" s="10">
        <v>443</v>
      </c>
      <c r="AN99" s="10">
        <v>55663.423438699989</v>
      </c>
      <c r="AO99" s="10">
        <v>1</v>
      </c>
      <c r="AP99" s="10">
        <v>286.43000897999997</v>
      </c>
      <c r="AQ99" s="10">
        <v>145</v>
      </c>
      <c r="AR99" s="10">
        <v>16769.902396040008</v>
      </c>
      <c r="AS99" s="10">
        <v>5</v>
      </c>
      <c r="AT99" s="10">
        <v>1158.37966893</v>
      </c>
      <c r="AU99" s="10">
        <v>624</v>
      </c>
      <c r="AV99" s="10">
        <v>117539.5068164</v>
      </c>
      <c r="AW99" s="10">
        <v>21</v>
      </c>
      <c r="AX99" s="10">
        <v>8906.2856831399986</v>
      </c>
      <c r="AY99" s="10">
        <v>262</v>
      </c>
      <c r="AZ99" s="10">
        <v>48182.826782699973</v>
      </c>
      <c r="BA99" s="10">
        <v>5</v>
      </c>
      <c r="BB99" s="10">
        <v>2183.5631275300002</v>
      </c>
      <c r="BC99" s="10">
        <v>5</v>
      </c>
      <c r="BD99" s="10">
        <v>663.42070670999999</v>
      </c>
      <c r="BE99" s="10">
        <v>1</v>
      </c>
      <c r="BF99" s="10">
        <v>236.96533844999999</v>
      </c>
      <c r="BG99" s="10">
        <v>0</v>
      </c>
      <c r="BH99" s="10">
        <v>0</v>
      </c>
      <c r="BI99" s="10">
        <v>0</v>
      </c>
      <c r="BJ99" s="10">
        <v>0</v>
      </c>
      <c r="BK99" s="10">
        <v>7</v>
      </c>
      <c r="BL99" s="10">
        <v>151.87591334999999</v>
      </c>
      <c r="BM99" s="10">
        <v>2</v>
      </c>
      <c r="BN99" s="10">
        <v>25.492033660000001</v>
      </c>
      <c r="BO99" s="18">
        <f t="shared" si="12"/>
        <v>0</v>
      </c>
      <c r="BP99" s="18">
        <f t="shared" si="9"/>
        <v>-1.4495071809506044E-12</v>
      </c>
      <c r="BQ99" s="18">
        <f t="shared" si="10"/>
        <v>0</v>
      </c>
      <c r="BR99" s="18">
        <f t="shared" si="11"/>
        <v>5.1514348342607263E-13</v>
      </c>
      <c r="BS99" s="18"/>
      <c r="BT99" s="18"/>
      <c r="BU99" s="18"/>
      <c r="BV99" s="18"/>
    </row>
    <row r="100" spans="1:74" s="11" customFormat="1" ht="27" customHeight="1" x14ac:dyDescent="0.25">
      <c r="A100" s="66" t="s">
        <v>39</v>
      </c>
      <c r="B100" s="1">
        <f t="shared" si="13"/>
        <v>93</v>
      </c>
      <c r="C100" s="20" t="s">
        <v>2160</v>
      </c>
      <c r="D100" s="20" t="s">
        <v>2162</v>
      </c>
      <c r="E100" s="65" t="s">
        <v>20</v>
      </c>
      <c r="F100" s="19" t="s">
        <v>2107</v>
      </c>
      <c r="G100" s="9">
        <v>1226</v>
      </c>
      <c r="H100" s="9">
        <v>249638.47371380994</v>
      </c>
      <c r="I100" s="9">
        <v>34</v>
      </c>
      <c r="J100" s="9">
        <v>21186.298452089999</v>
      </c>
      <c r="K100" s="10">
        <v>258</v>
      </c>
      <c r="L100" s="10">
        <v>56773.669479130011</v>
      </c>
      <c r="M100" s="10">
        <v>0</v>
      </c>
      <c r="N100" s="10">
        <v>0</v>
      </c>
      <c r="O100" s="10">
        <v>10</v>
      </c>
      <c r="P100" s="10">
        <v>17720.556920969997</v>
      </c>
      <c r="Q100" s="10">
        <v>0</v>
      </c>
      <c r="R100" s="10">
        <v>0</v>
      </c>
      <c r="S100" s="10">
        <v>13</v>
      </c>
      <c r="T100" s="10">
        <v>1634.6491485000008</v>
      </c>
      <c r="U100" s="10">
        <v>0</v>
      </c>
      <c r="V100" s="10">
        <v>0</v>
      </c>
      <c r="W100" s="10">
        <v>2</v>
      </c>
      <c r="X100" s="10">
        <v>13385.05456559</v>
      </c>
      <c r="Y100" s="10">
        <v>1</v>
      </c>
      <c r="Z100" s="10">
        <v>13168.865088370001</v>
      </c>
      <c r="AA100" s="10">
        <v>0</v>
      </c>
      <c r="AB100" s="10">
        <v>0</v>
      </c>
      <c r="AC100" s="10">
        <v>0</v>
      </c>
      <c r="AD100" s="10">
        <v>0</v>
      </c>
      <c r="AE100" s="10">
        <v>1</v>
      </c>
      <c r="AF100" s="10">
        <v>2484.2650257399996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592</v>
      </c>
      <c r="AN100" s="10">
        <v>81859.271956190074</v>
      </c>
      <c r="AO100" s="10">
        <v>15</v>
      </c>
      <c r="AP100" s="10">
        <v>2569.2733383899999</v>
      </c>
      <c r="AQ100" s="10">
        <v>77</v>
      </c>
      <c r="AR100" s="10">
        <v>18860.048324830001</v>
      </c>
      <c r="AS100" s="10">
        <v>0</v>
      </c>
      <c r="AT100" s="10">
        <v>0</v>
      </c>
      <c r="AU100" s="10">
        <v>180</v>
      </c>
      <c r="AV100" s="10">
        <v>40127.430134150018</v>
      </c>
      <c r="AW100" s="10">
        <v>16</v>
      </c>
      <c r="AX100" s="10">
        <v>5160.82238925</v>
      </c>
      <c r="AY100" s="10">
        <v>87</v>
      </c>
      <c r="AZ100" s="10">
        <v>16370.688548100001</v>
      </c>
      <c r="BA100" s="10">
        <v>1</v>
      </c>
      <c r="BB100" s="10">
        <v>287.06293102000001</v>
      </c>
      <c r="BC100" s="10">
        <v>3</v>
      </c>
      <c r="BD100" s="10">
        <v>325.79381047000004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3</v>
      </c>
      <c r="BL100" s="10">
        <v>97.045800139999997</v>
      </c>
      <c r="BM100" s="10">
        <v>1</v>
      </c>
      <c r="BN100" s="10">
        <v>0.27470506</v>
      </c>
      <c r="BO100" s="18">
        <f t="shared" si="12"/>
        <v>0</v>
      </c>
      <c r="BP100" s="18">
        <f t="shared" si="9"/>
        <v>-1.5019452348496998E-10</v>
      </c>
      <c r="BQ100" s="18">
        <f t="shared" si="10"/>
        <v>0</v>
      </c>
      <c r="BR100" s="18">
        <f t="shared" si="11"/>
        <v>-1.5609180614717388E-12</v>
      </c>
      <c r="BS100" s="18"/>
      <c r="BT100" s="18"/>
      <c r="BU100" s="18"/>
      <c r="BV100" s="18"/>
    </row>
    <row r="101" spans="1:74" s="11" customFormat="1" ht="27" customHeight="1" x14ac:dyDescent="0.25">
      <c r="A101" s="66" t="s">
        <v>40</v>
      </c>
      <c r="B101" s="1">
        <f t="shared" si="13"/>
        <v>94</v>
      </c>
      <c r="C101" s="20" t="s">
        <v>2163</v>
      </c>
      <c r="D101" s="20" t="s">
        <v>2163</v>
      </c>
      <c r="E101" s="65" t="s">
        <v>24</v>
      </c>
      <c r="F101" s="19" t="s">
        <v>2037</v>
      </c>
      <c r="G101" s="9">
        <v>61893</v>
      </c>
      <c r="H101" s="9">
        <v>604473.22436580446</v>
      </c>
      <c r="I101" s="9">
        <v>2948</v>
      </c>
      <c r="J101" s="9">
        <v>23451.427710921995</v>
      </c>
      <c r="K101" s="10">
        <v>23</v>
      </c>
      <c r="L101" s="10">
        <v>17685.061437960005</v>
      </c>
      <c r="M101" s="10">
        <v>0</v>
      </c>
      <c r="N101" s="10">
        <v>0</v>
      </c>
      <c r="O101" s="10">
        <v>260</v>
      </c>
      <c r="P101" s="10">
        <v>32718.483387317006</v>
      </c>
      <c r="Q101" s="10">
        <v>9</v>
      </c>
      <c r="R101" s="10">
        <v>1293.0496501520001</v>
      </c>
      <c r="S101" s="10">
        <v>1</v>
      </c>
      <c r="T101" s="10">
        <v>69.076412360000006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34701</v>
      </c>
      <c r="AN101" s="10">
        <v>383709.11433027161</v>
      </c>
      <c r="AO101" s="10">
        <v>426</v>
      </c>
      <c r="AP101" s="10">
        <v>4263.5688625400026</v>
      </c>
      <c r="AQ101" s="10">
        <v>21994</v>
      </c>
      <c r="AR101" s="10">
        <v>144052.36059806333</v>
      </c>
      <c r="AS101" s="10">
        <v>2271</v>
      </c>
      <c r="AT101" s="10">
        <v>15583.14236975992</v>
      </c>
      <c r="AU101" s="10">
        <v>4646</v>
      </c>
      <c r="AV101" s="10">
        <v>25836.746441420208</v>
      </c>
      <c r="AW101" s="10">
        <v>207</v>
      </c>
      <c r="AX101" s="10">
        <v>2144.0108496900002</v>
      </c>
      <c r="AY101" s="10">
        <v>266</v>
      </c>
      <c r="AZ101" s="10">
        <v>401.21877841999986</v>
      </c>
      <c r="BA101" s="10">
        <v>34</v>
      </c>
      <c r="BB101" s="10">
        <v>166.65497877999996</v>
      </c>
      <c r="BC101" s="10">
        <v>2</v>
      </c>
      <c r="BD101" s="10">
        <v>1.1629799999999999</v>
      </c>
      <c r="BE101" s="10">
        <v>1</v>
      </c>
      <c r="BF101" s="10">
        <v>1.0009999999999999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8">
        <f t="shared" si="12"/>
        <v>0</v>
      </c>
      <c r="BP101" s="18">
        <f t="shared" si="9"/>
        <v>-7.6936383930359398E-9</v>
      </c>
      <c r="BQ101" s="18">
        <f t="shared" si="10"/>
        <v>0</v>
      </c>
      <c r="BR101" s="18">
        <f t="shared" si="11"/>
        <v>7.1599171036496045E-11</v>
      </c>
      <c r="BS101" s="18"/>
      <c r="BT101" s="18"/>
      <c r="BU101" s="18"/>
      <c r="BV101" s="18"/>
    </row>
    <row r="102" spans="1:74" s="11" customFormat="1" ht="27" customHeight="1" x14ac:dyDescent="0.25">
      <c r="A102" s="66" t="s">
        <v>44</v>
      </c>
      <c r="B102" s="1">
        <f t="shared" si="13"/>
        <v>95</v>
      </c>
      <c r="C102" s="20" t="s">
        <v>2184</v>
      </c>
      <c r="D102" s="20" t="s">
        <v>2184</v>
      </c>
      <c r="E102" s="65" t="s">
        <v>43</v>
      </c>
      <c r="F102" s="19" t="s">
        <v>2047</v>
      </c>
      <c r="G102" s="9">
        <v>1406</v>
      </c>
      <c r="H102" s="9">
        <v>196161.64359571016</v>
      </c>
      <c r="I102" s="9">
        <v>106</v>
      </c>
      <c r="J102" s="9">
        <v>15821.518093770001</v>
      </c>
      <c r="K102" s="10">
        <v>465</v>
      </c>
      <c r="L102" s="10">
        <v>68034.334355870014</v>
      </c>
      <c r="M102" s="10">
        <v>11</v>
      </c>
      <c r="N102" s="10">
        <v>1807.6397625900001</v>
      </c>
      <c r="O102" s="10">
        <v>105</v>
      </c>
      <c r="P102" s="10">
        <v>12731.589779299997</v>
      </c>
      <c r="Q102" s="10">
        <v>19</v>
      </c>
      <c r="R102" s="10">
        <v>2215.8129741099997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827</v>
      </c>
      <c r="AN102" s="10">
        <v>114357.73134801009</v>
      </c>
      <c r="AO102" s="10">
        <v>76</v>
      </c>
      <c r="AP102" s="10">
        <v>11798.06535707</v>
      </c>
      <c r="AQ102" s="10">
        <v>9</v>
      </c>
      <c r="AR102" s="10">
        <v>1037.9881125300001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8">
        <f t="shared" si="12"/>
        <v>0</v>
      </c>
      <c r="BP102" s="18">
        <f t="shared" si="9"/>
        <v>7.4351191869936883E-11</v>
      </c>
      <c r="BQ102" s="18">
        <f t="shared" si="10"/>
        <v>0</v>
      </c>
      <c r="BR102" s="18">
        <f t="shared" si="11"/>
        <v>0</v>
      </c>
      <c r="BS102" s="18"/>
      <c r="BT102" s="18"/>
      <c r="BU102" s="18"/>
      <c r="BV102" s="18"/>
    </row>
    <row r="103" spans="1:74" x14ac:dyDescent="0.25"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</row>
  </sheetData>
  <mergeCells count="52">
    <mergeCell ref="B3:B6"/>
    <mergeCell ref="C3:C6"/>
    <mergeCell ref="D3:D6"/>
    <mergeCell ref="E3:E6"/>
    <mergeCell ref="F3:F6"/>
    <mergeCell ref="K3:AL3"/>
    <mergeCell ref="AM3:BN3"/>
    <mergeCell ref="K4:N4"/>
    <mergeCell ref="O4:R4"/>
    <mergeCell ref="S4:V4"/>
    <mergeCell ref="W4:Z4"/>
    <mergeCell ref="AA4:AD4"/>
    <mergeCell ref="BK4:BN4"/>
    <mergeCell ref="BG4:BJ4"/>
    <mergeCell ref="G5:H5"/>
    <mergeCell ref="I5:J5"/>
    <mergeCell ref="AU4:AX4"/>
    <mergeCell ref="AY4:BB4"/>
    <mergeCell ref="BC4:BF4"/>
    <mergeCell ref="AM4:AP4"/>
    <mergeCell ref="AQ4:AT4"/>
    <mergeCell ref="AE4:AH4"/>
    <mergeCell ref="AI4:AL4"/>
    <mergeCell ref="G3:J4"/>
    <mergeCell ref="AC5:AD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M5:AN5"/>
    <mergeCell ref="AO5:AP5"/>
    <mergeCell ref="AQ5:AR5"/>
    <mergeCell ref="AS5:AT5"/>
    <mergeCell ref="AE5:AF5"/>
    <mergeCell ref="AG5:AH5"/>
    <mergeCell ref="AI5:AJ5"/>
    <mergeCell ref="AK5:AL5"/>
    <mergeCell ref="BK5:BL5"/>
    <mergeCell ref="BM5:BN5"/>
    <mergeCell ref="BG5:BH5"/>
    <mergeCell ref="BI5:BJ5"/>
    <mergeCell ref="AU5:AV5"/>
    <mergeCell ref="AW5:AX5"/>
    <mergeCell ref="AY5:AZ5"/>
    <mergeCell ref="BA5:BB5"/>
    <mergeCell ref="BC5:BD5"/>
    <mergeCell ref="BE5:BF5"/>
  </mergeCells>
  <conditionalFormatting sqref="K8:BN102">
    <cfRule type="cellIs" dxfId="1" priority="1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17" fitToHeight="10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172F-2EC4-4280-B2B8-E97152031124}">
  <sheetPr>
    <tabColor rgb="FFFF0000"/>
    <pageSetUpPr fitToPage="1"/>
  </sheetPr>
  <dimension ref="A1:AP103"/>
  <sheetViews>
    <sheetView showZeros="0" view="pageBreakPreview" zoomScale="85" zoomScaleNormal="85" zoomScaleSheetLayoutView="85" workbookViewId="0">
      <pane xSplit="5" ySplit="7" topLeftCell="F8" activePane="bottomRight" state="frozen"/>
      <selection pane="topRight" activeCell="D1" sqref="D1"/>
      <selection pane="bottomLeft" activeCell="A8" sqref="A8"/>
      <selection pane="bottomRight" activeCell="F8" sqref="F8"/>
    </sheetView>
  </sheetViews>
  <sheetFormatPr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2.7109375" style="7" customWidth="1"/>
    <col min="8" max="8" width="14.85546875" style="7" customWidth="1"/>
    <col min="9" max="10" width="12.7109375" style="7" customWidth="1"/>
    <col min="11" max="11" width="10.7109375" style="7" customWidth="1"/>
    <col min="12" max="12" width="12.7109375" style="7" customWidth="1"/>
    <col min="13" max="13" width="10.7109375" style="7" customWidth="1"/>
    <col min="14" max="15" width="12.7109375" style="7" customWidth="1"/>
    <col min="16" max="16" width="14.42578125" style="7" customWidth="1"/>
    <col min="17" max="34" width="12.7109375" style="7" customWidth="1"/>
    <col min="35" max="35" width="11.5703125" style="7" customWidth="1"/>
    <col min="36" max="36" width="13.7109375" style="7" customWidth="1"/>
    <col min="37" max="37" width="8.140625" style="7" customWidth="1"/>
    <col min="38" max="38" width="12.28515625" style="7" customWidth="1"/>
    <col min="39" max="39" width="8.140625" style="7" customWidth="1"/>
    <col min="40" max="41" width="9.85546875" style="7" customWidth="1"/>
    <col min="42" max="42" width="11.7109375" style="7" customWidth="1"/>
    <col min="43" max="16384" width="9.140625" style="7"/>
  </cols>
  <sheetData>
    <row r="1" spans="1:42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pans="1:42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/>
      <c r="L2"/>
      <c r="M2"/>
      <c r="N2"/>
      <c r="O2"/>
      <c r="P2"/>
      <c r="Q2"/>
      <c r="R2"/>
      <c r="S2"/>
      <c r="T2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 t="s">
        <v>2187</v>
      </c>
    </row>
    <row r="3" spans="1:42" ht="26.25" customHeight="1" x14ac:dyDescent="0.25">
      <c r="B3" s="79" t="s">
        <v>0</v>
      </c>
      <c r="C3" s="80" t="s">
        <v>2188</v>
      </c>
      <c r="D3" s="80" t="s">
        <v>2009</v>
      </c>
      <c r="E3" s="80" t="s">
        <v>2010</v>
      </c>
      <c r="F3" s="80" t="s">
        <v>2011</v>
      </c>
      <c r="G3" s="79" t="s">
        <v>2025</v>
      </c>
      <c r="H3" s="79"/>
      <c r="I3" s="79"/>
      <c r="J3" s="79"/>
      <c r="K3" s="81" t="s">
        <v>2234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</row>
    <row r="4" spans="1:42" ht="26.25" customHeight="1" x14ac:dyDescent="0.25">
      <c r="B4" s="79"/>
      <c r="C4" s="80"/>
      <c r="D4" s="80"/>
      <c r="E4" s="80"/>
      <c r="F4" s="80"/>
      <c r="G4" s="79"/>
      <c r="H4" s="79"/>
      <c r="I4" s="79"/>
      <c r="J4" s="79"/>
      <c r="K4" s="79" t="s">
        <v>2256</v>
      </c>
      <c r="L4" s="79"/>
      <c r="M4" s="79"/>
      <c r="N4" s="79"/>
      <c r="O4" s="79" t="s">
        <v>2257</v>
      </c>
      <c r="P4" s="79"/>
      <c r="Q4" s="79"/>
      <c r="R4" s="79"/>
      <c r="S4" s="79" t="s">
        <v>2258</v>
      </c>
      <c r="T4" s="79"/>
      <c r="U4" s="79"/>
      <c r="V4" s="79"/>
      <c r="W4" s="79" t="s">
        <v>2259</v>
      </c>
      <c r="X4" s="79"/>
      <c r="Y4" s="79"/>
      <c r="Z4" s="79"/>
      <c r="AA4" s="81" t="s">
        <v>2260</v>
      </c>
      <c r="AB4" s="82"/>
      <c r="AC4" s="82"/>
      <c r="AD4" s="83"/>
      <c r="AE4" s="81" t="s">
        <v>2261</v>
      </c>
      <c r="AF4" s="82"/>
      <c r="AG4" s="82"/>
      <c r="AH4" s="83"/>
    </row>
    <row r="5" spans="1:42" ht="55.5" customHeight="1" x14ac:dyDescent="0.25">
      <c r="B5" s="79"/>
      <c r="C5" s="80"/>
      <c r="D5" s="80"/>
      <c r="E5" s="80"/>
      <c r="F5" s="80"/>
      <c r="G5" s="79" t="s">
        <v>2189</v>
      </c>
      <c r="H5" s="79"/>
      <c r="I5" s="79" t="s">
        <v>2190</v>
      </c>
      <c r="J5" s="79"/>
      <c r="K5" s="79" t="s">
        <v>2189</v>
      </c>
      <c r="L5" s="79"/>
      <c r="M5" s="79" t="s">
        <v>2190</v>
      </c>
      <c r="N5" s="79"/>
      <c r="O5" s="79" t="s">
        <v>2189</v>
      </c>
      <c r="P5" s="79"/>
      <c r="Q5" s="79" t="s">
        <v>2190</v>
      </c>
      <c r="R5" s="79"/>
      <c r="S5" s="79" t="s">
        <v>2189</v>
      </c>
      <c r="T5" s="79"/>
      <c r="U5" s="79" t="s">
        <v>2190</v>
      </c>
      <c r="V5" s="79"/>
      <c r="W5" s="79" t="s">
        <v>2189</v>
      </c>
      <c r="X5" s="79"/>
      <c r="Y5" s="79" t="s">
        <v>2190</v>
      </c>
      <c r="Z5" s="79"/>
      <c r="AA5" s="79" t="s">
        <v>2189</v>
      </c>
      <c r="AB5" s="79"/>
      <c r="AC5" s="79" t="s">
        <v>2190</v>
      </c>
      <c r="AD5" s="79"/>
      <c r="AE5" s="79" t="s">
        <v>2189</v>
      </c>
      <c r="AF5" s="79"/>
      <c r="AG5" s="79" t="s">
        <v>2190</v>
      </c>
      <c r="AH5" s="79"/>
    </row>
    <row r="6" spans="1:42" ht="27" customHeight="1" x14ac:dyDescent="0.25">
      <c r="B6" s="79"/>
      <c r="C6" s="80"/>
      <c r="D6" s="80"/>
      <c r="E6" s="80"/>
      <c r="F6" s="80"/>
      <c r="G6" s="2" t="s">
        <v>2029</v>
      </c>
      <c r="H6" s="2" t="s">
        <v>2191</v>
      </c>
      <c r="I6" s="2" t="s">
        <v>2029</v>
      </c>
      <c r="J6" s="2" t="s">
        <v>2191</v>
      </c>
      <c r="K6" s="2" t="s">
        <v>2029</v>
      </c>
      <c r="L6" s="2" t="s">
        <v>2191</v>
      </c>
      <c r="M6" s="2" t="s">
        <v>2029</v>
      </c>
      <c r="N6" s="2" t="s">
        <v>2191</v>
      </c>
      <c r="O6" s="2" t="s">
        <v>2029</v>
      </c>
      <c r="P6" s="2" t="s">
        <v>2191</v>
      </c>
      <c r="Q6" s="2" t="s">
        <v>2029</v>
      </c>
      <c r="R6" s="2" t="s">
        <v>2191</v>
      </c>
      <c r="S6" s="2" t="s">
        <v>2029</v>
      </c>
      <c r="T6" s="2" t="s">
        <v>2191</v>
      </c>
      <c r="U6" s="2" t="s">
        <v>2029</v>
      </c>
      <c r="V6" s="2" t="s">
        <v>2191</v>
      </c>
      <c r="W6" s="2" t="s">
        <v>2029</v>
      </c>
      <c r="X6" s="2" t="s">
        <v>2191</v>
      </c>
      <c r="Y6" s="2" t="s">
        <v>2029</v>
      </c>
      <c r="Z6" s="2" t="s">
        <v>2191</v>
      </c>
      <c r="AA6" s="2" t="s">
        <v>2029</v>
      </c>
      <c r="AB6" s="2" t="s">
        <v>2191</v>
      </c>
      <c r="AC6" s="2" t="s">
        <v>2029</v>
      </c>
      <c r="AD6" s="2" t="s">
        <v>2191</v>
      </c>
      <c r="AE6" s="2" t="s">
        <v>2029</v>
      </c>
      <c r="AF6" s="2" t="s">
        <v>2191</v>
      </c>
      <c r="AG6" s="2" t="s">
        <v>2029</v>
      </c>
      <c r="AH6" s="2" t="s">
        <v>2191</v>
      </c>
    </row>
    <row r="7" spans="1:42" ht="27" customHeight="1" x14ac:dyDescent="0.25">
      <c r="B7" s="2"/>
      <c r="C7" s="2"/>
      <c r="D7" s="3" t="s">
        <v>2025</v>
      </c>
      <c r="E7" s="3"/>
      <c r="F7" s="3"/>
      <c r="G7" s="6">
        <f>+SUM(G8:G102)</f>
        <v>504929</v>
      </c>
      <c r="H7" s="6">
        <f t="shared" ref="H7:J7" si="0">+SUM(H8:H102)</f>
        <v>29994262.715382215</v>
      </c>
      <c r="I7" s="6">
        <f t="shared" si="0"/>
        <v>30417</v>
      </c>
      <c r="J7" s="6">
        <f t="shared" si="0"/>
        <v>2215403.2142122416</v>
      </c>
      <c r="K7" s="6">
        <f t="shared" ref="K7:AH7" si="1">+SUM(K8:K102)</f>
        <v>20094</v>
      </c>
      <c r="L7" s="6">
        <f t="shared" si="1"/>
        <v>8787874.1379375122</v>
      </c>
      <c r="M7" s="6">
        <f t="shared" si="1"/>
        <v>1429</v>
      </c>
      <c r="N7" s="6">
        <f t="shared" si="1"/>
        <v>988172.54675446986</v>
      </c>
      <c r="O7" s="6">
        <f t="shared" ref="O7:R7" si="2">+SUM(O8:O102)</f>
        <v>482735</v>
      </c>
      <c r="P7" s="6">
        <f t="shared" si="2"/>
        <v>12599049.770124964</v>
      </c>
      <c r="Q7" s="6">
        <f t="shared" si="2"/>
        <v>28887</v>
      </c>
      <c r="R7" s="6">
        <f t="shared" si="2"/>
        <v>563798.60466269962</v>
      </c>
      <c r="S7" s="6">
        <f t="shared" si="1"/>
        <v>1992</v>
      </c>
      <c r="T7" s="6">
        <f t="shared" si="1"/>
        <v>5811512.7243910162</v>
      </c>
      <c r="U7" s="6">
        <f t="shared" si="1"/>
        <v>96</v>
      </c>
      <c r="V7" s="6">
        <f t="shared" si="1"/>
        <v>288603.90686709393</v>
      </c>
      <c r="W7" s="6">
        <f t="shared" si="1"/>
        <v>53</v>
      </c>
      <c r="X7" s="6">
        <f t="shared" si="1"/>
        <v>1518163.9938922231</v>
      </c>
      <c r="Y7" s="6">
        <f t="shared" si="1"/>
        <v>4</v>
      </c>
      <c r="Z7" s="6">
        <f t="shared" si="1"/>
        <v>374055.82224281802</v>
      </c>
      <c r="AA7" s="6">
        <f t="shared" si="1"/>
        <v>16</v>
      </c>
      <c r="AB7" s="6">
        <f t="shared" si="1"/>
        <v>7113.3313186200012</v>
      </c>
      <c r="AC7" s="6">
        <f t="shared" si="1"/>
        <v>1</v>
      </c>
      <c r="AD7" s="6">
        <f t="shared" si="1"/>
        <v>772.33368516000007</v>
      </c>
      <c r="AE7" s="6">
        <f t="shared" si="1"/>
        <v>39</v>
      </c>
      <c r="AF7" s="6">
        <f t="shared" si="1"/>
        <v>1270548.7577179298</v>
      </c>
      <c r="AG7" s="6">
        <f t="shared" si="1"/>
        <v>0</v>
      </c>
      <c r="AH7" s="6">
        <f t="shared" si="1"/>
        <v>0</v>
      </c>
      <c r="AI7" s="18">
        <f>+G7-K7-O7-S7-W7-AA7-AE7</f>
        <v>0</v>
      </c>
      <c r="AJ7" s="18">
        <f t="shared" ref="AJ7:AJ70" si="3">+H7-L7-P7-T7-X7-AB7-AF7</f>
        <v>-5.0989910960197449E-8</v>
      </c>
      <c r="AK7" s="18">
        <f t="shared" ref="AK7:AK70" si="4">+I7-M7-Q7-U7-Y7-AC7-AG7</f>
        <v>0</v>
      </c>
      <c r="AL7" s="18">
        <f t="shared" ref="AL7:AL70" si="5">+J7-N7-R7-V7-Z7-AD7-AH7</f>
        <v>1.4881607057759538E-10</v>
      </c>
      <c r="AM7" s="18"/>
      <c r="AN7" s="18"/>
      <c r="AO7" s="18"/>
      <c r="AP7" s="18"/>
    </row>
    <row r="8" spans="1:42" s="11" customFormat="1" ht="27" customHeight="1" x14ac:dyDescent="0.25">
      <c r="A8" s="66" t="s">
        <v>26</v>
      </c>
      <c r="B8" s="1">
        <v>1</v>
      </c>
      <c r="C8" s="20" t="s">
        <v>2033</v>
      </c>
      <c r="D8" s="20" t="s">
        <v>2044</v>
      </c>
      <c r="E8" s="65">
        <v>10014</v>
      </c>
      <c r="F8" s="19" t="s">
        <v>2045</v>
      </c>
      <c r="G8" s="9">
        <v>1546</v>
      </c>
      <c r="H8" s="9">
        <v>128222.12917500005</v>
      </c>
      <c r="I8" s="9">
        <v>105</v>
      </c>
      <c r="J8" s="9">
        <v>9370.4055959900015</v>
      </c>
      <c r="K8" s="10">
        <v>21</v>
      </c>
      <c r="L8" s="10">
        <v>1246.33613552</v>
      </c>
      <c r="M8" s="10">
        <v>16</v>
      </c>
      <c r="N8" s="10">
        <v>926.52001069999983</v>
      </c>
      <c r="O8" s="10">
        <v>1525</v>
      </c>
      <c r="P8" s="10">
        <v>126975.79303947996</v>
      </c>
      <c r="Q8" s="10">
        <v>89</v>
      </c>
      <c r="R8" s="10">
        <v>8443.8855852900033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8">
        <f t="shared" ref="AI8:AI71" si="6">+G8-K8-O8-S8-W8-AA8-AE8</f>
        <v>0</v>
      </c>
      <c r="AJ8" s="18">
        <f t="shared" si="3"/>
        <v>8.7311491370201111E-11</v>
      </c>
      <c r="AK8" s="18">
        <f t="shared" si="4"/>
        <v>0</v>
      </c>
      <c r="AL8" s="18">
        <f t="shared" si="5"/>
        <v>-1.8189894035458565E-12</v>
      </c>
      <c r="AM8" s="18"/>
      <c r="AN8" s="18"/>
      <c r="AO8" s="18"/>
      <c r="AP8" s="18"/>
    </row>
    <row r="9" spans="1:42" s="11" customFormat="1" ht="27" customHeight="1" x14ac:dyDescent="0.25">
      <c r="A9" s="66" t="s">
        <v>26</v>
      </c>
      <c r="B9" s="1">
        <f t="shared" ref="B9:B72" si="7">+B8+1</f>
        <v>2</v>
      </c>
      <c r="C9" s="20" t="s">
        <v>2033</v>
      </c>
      <c r="D9" s="20" t="s">
        <v>2046</v>
      </c>
      <c r="E9" s="65">
        <v>11141</v>
      </c>
      <c r="F9" s="19" t="s">
        <v>2047</v>
      </c>
      <c r="G9" s="9">
        <v>3065</v>
      </c>
      <c r="H9" s="9">
        <v>184253.43321603004</v>
      </c>
      <c r="I9" s="9">
        <v>12</v>
      </c>
      <c r="J9" s="9">
        <v>2168.2914355799999</v>
      </c>
      <c r="K9" s="10">
        <v>57</v>
      </c>
      <c r="L9" s="10">
        <v>10804.392468779999</v>
      </c>
      <c r="M9" s="10">
        <v>3</v>
      </c>
      <c r="N9" s="10">
        <v>1752.1393355599998</v>
      </c>
      <c r="O9" s="10">
        <v>3008</v>
      </c>
      <c r="P9" s="10">
        <v>173449.04074724999</v>
      </c>
      <c r="Q9" s="10">
        <v>9</v>
      </c>
      <c r="R9" s="10">
        <v>416.15210002000003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8">
        <f t="shared" si="6"/>
        <v>0</v>
      </c>
      <c r="AJ9" s="18">
        <f t="shared" si="3"/>
        <v>5.8207660913467407E-11</v>
      </c>
      <c r="AK9" s="18">
        <f t="shared" si="4"/>
        <v>0</v>
      </c>
      <c r="AL9" s="18">
        <f t="shared" si="5"/>
        <v>0</v>
      </c>
      <c r="AM9" s="18"/>
      <c r="AN9" s="18"/>
      <c r="AO9" s="18"/>
      <c r="AP9" s="18"/>
    </row>
    <row r="10" spans="1:42" s="11" customFormat="1" ht="27" customHeight="1" x14ac:dyDescent="0.25">
      <c r="A10" s="66" t="s">
        <v>26</v>
      </c>
      <c r="B10" s="1">
        <f t="shared" si="7"/>
        <v>3</v>
      </c>
      <c r="C10" s="20" t="s">
        <v>2033</v>
      </c>
      <c r="D10" s="20" t="s">
        <v>2048</v>
      </c>
      <c r="E10" s="65">
        <v>11142</v>
      </c>
      <c r="F10" s="19" t="s">
        <v>2049</v>
      </c>
      <c r="G10" s="9">
        <v>3061</v>
      </c>
      <c r="H10" s="9">
        <v>121709.99542655011</v>
      </c>
      <c r="I10" s="9">
        <v>98</v>
      </c>
      <c r="J10" s="9">
        <v>2915.2621212099993</v>
      </c>
      <c r="K10" s="10">
        <v>22</v>
      </c>
      <c r="L10" s="10">
        <v>4903.2130923199993</v>
      </c>
      <c r="M10" s="10">
        <v>2</v>
      </c>
      <c r="N10" s="10">
        <v>751.28712978999999</v>
      </c>
      <c r="O10" s="10">
        <v>3039</v>
      </c>
      <c r="P10" s="10">
        <v>116806.78233422978</v>
      </c>
      <c r="Q10" s="10">
        <v>96</v>
      </c>
      <c r="R10" s="10">
        <v>2163.9749914199997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8">
        <f t="shared" si="6"/>
        <v>0</v>
      </c>
      <c r="AJ10" s="18">
        <f t="shared" si="3"/>
        <v>3.3469405025243759E-10</v>
      </c>
      <c r="AK10" s="18">
        <f t="shared" si="4"/>
        <v>0</v>
      </c>
      <c r="AL10" s="18">
        <f t="shared" si="5"/>
        <v>-4.5474735088646412E-13</v>
      </c>
      <c r="AM10" s="18"/>
      <c r="AN10" s="18"/>
      <c r="AO10" s="18"/>
      <c r="AP10" s="18"/>
    </row>
    <row r="11" spans="1:42" s="11" customFormat="1" ht="27" customHeight="1" x14ac:dyDescent="0.25">
      <c r="A11" s="66" t="s">
        <v>26</v>
      </c>
      <c r="B11" s="1">
        <f t="shared" si="7"/>
        <v>4</v>
      </c>
      <c r="C11" s="20" t="s">
        <v>2033</v>
      </c>
      <c r="D11" s="20" t="s">
        <v>2042</v>
      </c>
      <c r="E11" s="65">
        <v>11183</v>
      </c>
      <c r="F11" s="19" t="s">
        <v>2043</v>
      </c>
      <c r="G11" s="9">
        <v>1990</v>
      </c>
      <c r="H11" s="9">
        <v>157910.81008602996</v>
      </c>
      <c r="I11" s="9">
        <v>150</v>
      </c>
      <c r="J11" s="9">
        <v>9746.7988024799997</v>
      </c>
      <c r="K11" s="10">
        <v>19</v>
      </c>
      <c r="L11" s="10">
        <v>7889.3209705599993</v>
      </c>
      <c r="M11" s="10">
        <v>5</v>
      </c>
      <c r="N11" s="10">
        <v>1555.2759111100002</v>
      </c>
      <c r="O11" s="10">
        <v>1971</v>
      </c>
      <c r="P11" s="10">
        <v>150021.48911546994</v>
      </c>
      <c r="Q11" s="10">
        <v>145</v>
      </c>
      <c r="R11" s="10">
        <v>8191.5228913700012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8">
        <f t="shared" si="6"/>
        <v>0</v>
      </c>
      <c r="AJ11" s="18">
        <f t="shared" si="3"/>
        <v>2.9103830456733704E-11</v>
      </c>
      <c r="AK11" s="18">
        <f t="shared" si="4"/>
        <v>0</v>
      </c>
      <c r="AL11" s="18">
        <f t="shared" si="5"/>
        <v>-1.8189894035458565E-12</v>
      </c>
      <c r="AM11" s="18"/>
      <c r="AN11" s="18"/>
      <c r="AO11" s="18"/>
      <c r="AP11" s="18"/>
    </row>
    <row r="12" spans="1:42" s="11" customFormat="1" ht="27" customHeight="1" x14ac:dyDescent="0.25">
      <c r="A12" s="66" t="s">
        <v>26</v>
      </c>
      <c r="B12" s="1">
        <f t="shared" si="7"/>
        <v>5</v>
      </c>
      <c r="C12" s="20" t="s">
        <v>2033</v>
      </c>
      <c r="D12" s="20" t="s">
        <v>2034</v>
      </c>
      <c r="E12" s="65">
        <v>11253</v>
      </c>
      <c r="F12" s="19" t="s">
        <v>2035</v>
      </c>
      <c r="G12" s="9">
        <v>13449</v>
      </c>
      <c r="H12" s="9">
        <v>851212.9901987795</v>
      </c>
      <c r="I12" s="9">
        <v>200</v>
      </c>
      <c r="J12" s="9">
        <v>88312.754302180008</v>
      </c>
      <c r="K12" s="10">
        <v>200</v>
      </c>
      <c r="L12" s="10">
        <v>123079.16581460997</v>
      </c>
      <c r="M12" s="10">
        <v>23</v>
      </c>
      <c r="N12" s="10">
        <v>58666.523018559994</v>
      </c>
      <c r="O12" s="10">
        <v>13229</v>
      </c>
      <c r="P12" s="10">
        <v>370281.57143795537</v>
      </c>
      <c r="Q12" s="10">
        <v>172</v>
      </c>
      <c r="R12" s="10">
        <v>4752.0335637899989</v>
      </c>
      <c r="S12" s="10">
        <v>17</v>
      </c>
      <c r="T12" s="10">
        <v>231227.77589566004</v>
      </c>
      <c r="U12" s="10">
        <v>5</v>
      </c>
      <c r="V12" s="10">
        <v>24894.197719830001</v>
      </c>
      <c r="W12" s="10">
        <v>1</v>
      </c>
      <c r="X12" s="10">
        <v>113342.06452818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2</v>
      </c>
      <c r="AF12" s="10">
        <v>13282.412522380002</v>
      </c>
      <c r="AG12" s="10">
        <v>0</v>
      </c>
      <c r="AH12" s="10">
        <v>0</v>
      </c>
      <c r="AI12" s="18">
        <f t="shared" si="6"/>
        <v>0</v>
      </c>
      <c r="AJ12" s="18">
        <f t="shared" si="3"/>
        <v>-5.8735167840495706E-9</v>
      </c>
      <c r="AK12" s="18">
        <f t="shared" si="4"/>
        <v>0</v>
      </c>
      <c r="AL12" s="18">
        <f t="shared" si="5"/>
        <v>1.4551915228366852E-11</v>
      </c>
      <c r="AM12" s="18"/>
      <c r="AN12" s="18"/>
      <c r="AO12" s="18"/>
      <c r="AP12" s="18"/>
    </row>
    <row r="13" spans="1:42" s="11" customFormat="1" ht="27" customHeight="1" x14ac:dyDescent="0.25">
      <c r="A13" s="66" t="s">
        <v>26</v>
      </c>
      <c r="B13" s="1">
        <f t="shared" si="7"/>
        <v>6</v>
      </c>
      <c r="C13" s="20" t="s">
        <v>2033</v>
      </c>
      <c r="D13" s="20" t="s">
        <v>2036</v>
      </c>
      <c r="E13" s="65">
        <v>11254</v>
      </c>
      <c r="F13" s="19" t="s">
        <v>2037</v>
      </c>
      <c r="G13" s="9">
        <v>5828</v>
      </c>
      <c r="H13" s="9">
        <v>283554.70602312952</v>
      </c>
      <c r="I13" s="9">
        <v>19</v>
      </c>
      <c r="J13" s="9">
        <v>1079.9514652600001</v>
      </c>
      <c r="K13" s="10">
        <v>106</v>
      </c>
      <c r="L13" s="10">
        <v>15973.295348260001</v>
      </c>
      <c r="M13" s="10">
        <v>2</v>
      </c>
      <c r="N13" s="10">
        <v>873.37876510000001</v>
      </c>
      <c r="O13" s="10">
        <v>5720</v>
      </c>
      <c r="P13" s="10">
        <v>175295.89192287024</v>
      </c>
      <c r="Q13" s="10">
        <v>17</v>
      </c>
      <c r="R13" s="10">
        <v>206.57270016000004</v>
      </c>
      <c r="S13" s="10">
        <v>1</v>
      </c>
      <c r="T13" s="10">
        <v>78733.714500000002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13551.804252</v>
      </c>
      <c r="AG13" s="10">
        <v>0</v>
      </c>
      <c r="AH13" s="10">
        <v>0</v>
      </c>
      <c r="AI13" s="18">
        <f t="shared" si="6"/>
        <v>0</v>
      </c>
      <c r="AJ13" s="18">
        <f t="shared" si="3"/>
        <v>-7.5488060247153044E-10</v>
      </c>
      <c r="AK13" s="18">
        <f t="shared" si="4"/>
        <v>0</v>
      </c>
      <c r="AL13" s="18">
        <f t="shared" si="5"/>
        <v>2.8421709430404007E-14</v>
      </c>
      <c r="AM13" s="18"/>
      <c r="AN13" s="18"/>
      <c r="AO13" s="18"/>
      <c r="AP13" s="18"/>
    </row>
    <row r="14" spans="1:42" s="11" customFormat="1" ht="27" customHeight="1" x14ac:dyDescent="0.25">
      <c r="A14" s="66" t="s">
        <v>26</v>
      </c>
      <c r="B14" s="1">
        <f t="shared" si="7"/>
        <v>7</v>
      </c>
      <c r="C14" s="20" t="s">
        <v>2033</v>
      </c>
      <c r="D14" s="20" t="s">
        <v>2038</v>
      </c>
      <c r="E14" s="65">
        <v>11255</v>
      </c>
      <c r="F14" s="19" t="s">
        <v>2039</v>
      </c>
      <c r="G14" s="9">
        <v>3025</v>
      </c>
      <c r="H14" s="9">
        <v>216847.11360840977</v>
      </c>
      <c r="I14" s="9">
        <v>26</v>
      </c>
      <c r="J14" s="9">
        <v>15161.629339430001</v>
      </c>
      <c r="K14" s="10">
        <v>120</v>
      </c>
      <c r="L14" s="10">
        <v>42732.695476940004</v>
      </c>
      <c r="M14" s="10">
        <v>2</v>
      </c>
      <c r="N14" s="10">
        <v>13736.261781069999</v>
      </c>
      <c r="O14" s="10">
        <v>2905</v>
      </c>
      <c r="P14" s="10">
        <v>174114.41813146893</v>
      </c>
      <c r="Q14" s="10">
        <v>24</v>
      </c>
      <c r="R14" s="10">
        <v>1425.3675583599997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8">
        <f t="shared" si="6"/>
        <v>0</v>
      </c>
      <c r="AJ14" s="18">
        <f t="shared" si="3"/>
        <v>8.149072527885437E-10</v>
      </c>
      <c r="AK14" s="18">
        <f t="shared" si="4"/>
        <v>0</v>
      </c>
      <c r="AL14" s="18">
        <f t="shared" si="5"/>
        <v>1.8189894035458565E-12</v>
      </c>
      <c r="AM14" s="18"/>
      <c r="AN14" s="18"/>
      <c r="AO14" s="18"/>
      <c r="AP14" s="18"/>
    </row>
    <row r="15" spans="1:42" s="11" customFormat="1" ht="27" customHeight="1" x14ac:dyDescent="0.25">
      <c r="A15" s="66" t="s">
        <v>26</v>
      </c>
      <c r="B15" s="1">
        <f t="shared" si="7"/>
        <v>8</v>
      </c>
      <c r="C15" s="20" t="s">
        <v>2033</v>
      </c>
      <c r="D15" s="20" t="s">
        <v>2040</v>
      </c>
      <c r="E15" s="65">
        <v>11256</v>
      </c>
      <c r="F15" s="19" t="s">
        <v>2041</v>
      </c>
      <c r="G15" s="9">
        <v>4887</v>
      </c>
      <c r="H15" s="9">
        <v>172085.3092976099</v>
      </c>
      <c r="I15" s="9">
        <v>30</v>
      </c>
      <c r="J15" s="9">
        <v>762.48946693000005</v>
      </c>
      <c r="K15" s="10">
        <v>161</v>
      </c>
      <c r="L15" s="10">
        <v>22646.999117679999</v>
      </c>
      <c r="M15" s="10">
        <v>4</v>
      </c>
      <c r="N15" s="10">
        <v>491.82058037999997</v>
      </c>
      <c r="O15" s="10">
        <v>4723</v>
      </c>
      <c r="P15" s="10">
        <v>129113.69275162999</v>
      </c>
      <c r="Q15" s="10">
        <v>26</v>
      </c>
      <c r="R15" s="10">
        <v>270.66888655000002</v>
      </c>
      <c r="S15" s="10">
        <v>3</v>
      </c>
      <c r="T15" s="10">
        <v>20324.6174283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8">
        <f t="shared" si="6"/>
        <v>0</v>
      </c>
      <c r="AJ15" s="18">
        <f t="shared" si="3"/>
        <v>-1.0186340659856796E-10</v>
      </c>
      <c r="AK15" s="18">
        <f t="shared" si="4"/>
        <v>0</v>
      </c>
      <c r="AL15" s="18">
        <f t="shared" si="5"/>
        <v>5.6843418860808015E-14</v>
      </c>
      <c r="AM15" s="18"/>
      <c r="AN15" s="18"/>
      <c r="AO15" s="18"/>
      <c r="AP15" s="18"/>
    </row>
    <row r="16" spans="1:42" s="11" customFormat="1" ht="27" customHeight="1" x14ac:dyDescent="0.25">
      <c r="A16" s="66" t="s">
        <v>26</v>
      </c>
      <c r="B16" s="1">
        <f t="shared" si="7"/>
        <v>9</v>
      </c>
      <c r="C16" s="20" t="s">
        <v>2033</v>
      </c>
      <c r="D16" s="20" t="s">
        <v>2181</v>
      </c>
      <c r="E16" s="65">
        <v>12174</v>
      </c>
      <c r="F16" s="19" t="s">
        <v>2049</v>
      </c>
      <c r="G16" s="9">
        <v>1268</v>
      </c>
      <c r="H16" s="9">
        <v>61508.460487889955</v>
      </c>
      <c r="I16" s="9">
        <v>0</v>
      </c>
      <c r="J16" s="9">
        <v>0</v>
      </c>
      <c r="K16" s="10">
        <v>0</v>
      </c>
      <c r="L16" s="10">
        <v>0</v>
      </c>
      <c r="M16" s="10">
        <v>0</v>
      </c>
      <c r="N16" s="10">
        <v>0</v>
      </c>
      <c r="O16" s="10">
        <v>1268</v>
      </c>
      <c r="P16" s="10">
        <v>61508.460487890006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8">
        <f t="shared" si="6"/>
        <v>0</v>
      </c>
      <c r="AJ16" s="18">
        <f t="shared" si="3"/>
        <v>-5.0931703299283981E-11</v>
      </c>
      <c r="AK16" s="18">
        <f t="shared" si="4"/>
        <v>0</v>
      </c>
      <c r="AL16" s="18">
        <f t="shared" si="5"/>
        <v>0</v>
      </c>
      <c r="AM16" s="18"/>
      <c r="AN16" s="18"/>
      <c r="AO16" s="18"/>
      <c r="AP16" s="18"/>
    </row>
    <row r="17" spans="1:42" s="11" customFormat="1" ht="27" customHeight="1" x14ac:dyDescent="0.25">
      <c r="A17" s="66" t="s">
        <v>26</v>
      </c>
      <c r="B17" s="1">
        <f t="shared" si="7"/>
        <v>10</v>
      </c>
      <c r="C17" s="20" t="s">
        <v>2033</v>
      </c>
      <c r="D17" s="20" t="s">
        <v>2182</v>
      </c>
      <c r="E17" s="65">
        <v>12190</v>
      </c>
      <c r="F17" s="19" t="s">
        <v>2049</v>
      </c>
      <c r="G17" s="9">
        <v>782</v>
      </c>
      <c r="H17" s="9">
        <v>34479.337470350009</v>
      </c>
      <c r="I17" s="9">
        <v>0</v>
      </c>
      <c r="J17" s="9">
        <v>0</v>
      </c>
      <c r="K17" s="10">
        <v>0</v>
      </c>
      <c r="L17" s="10">
        <v>0</v>
      </c>
      <c r="M17" s="10">
        <v>0</v>
      </c>
      <c r="N17" s="10">
        <v>0</v>
      </c>
      <c r="O17" s="10">
        <v>782</v>
      </c>
      <c r="P17" s="10">
        <v>34479.337470350001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8">
        <f t="shared" si="6"/>
        <v>0</v>
      </c>
      <c r="AJ17" s="18">
        <f t="shared" si="3"/>
        <v>7.2759576141834259E-12</v>
      </c>
      <c r="AK17" s="18">
        <f t="shared" si="4"/>
        <v>0</v>
      </c>
      <c r="AL17" s="18">
        <f t="shared" si="5"/>
        <v>0</v>
      </c>
      <c r="AM17" s="18"/>
      <c r="AN17" s="18"/>
      <c r="AO17" s="18"/>
      <c r="AP17" s="18"/>
    </row>
    <row r="18" spans="1:42" s="11" customFormat="1" ht="27" customHeight="1" x14ac:dyDescent="0.25">
      <c r="A18" s="66" t="s">
        <v>27</v>
      </c>
      <c r="B18" s="1">
        <f t="shared" si="7"/>
        <v>11</v>
      </c>
      <c r="C18" s="20" t="s">
        <v>2050</v>
      </c>
      <c r="D18" s="20" t="s">
        <v>2051</v>
      </c>
      <c r="E18" s="65">
        <v>11198</v>
      </c>
      <c r="F18" s="19" t="s">
        <v>2035</v>
      </c>
      <c r="G18" s="9">
        <v>4222</v>
      </c>
      <c r="H18" s="9">
        <v>1680206.3533397398</v>
      </c>
      <c r="I18" s="9">
        <v>309</v>
      </c>
      <c r="J18" s="9">
        <v>90384.884094739988</v>
      </c>
      <c r="K18" s="10">
        <v>114</v>
      </c>
      <c r="L18" s="10">
        <v>367463.1891493001</v>
      </c>
      <c r="M18" s="10">
        <v>26</v>
      </c>
      <c r="N18" s="10">
        <v>19051.087546390001</v>
      </c>
      <c r="O18" s="10">
        <v>4062</v>
      </c>
      <c r="P18" s="10">
        <v>116772.05668599007</v>
      </c>
      <c r="Q18" s="10">
        <v>274</v>
      </c>
      <c r="R18" s="10">
        <v>9181.1583248999996</v>
      </c>
      <c r="S18" s="10">
        <v>41</v>
      </c>
      <c r="T18" s="10">
        <v>464050.67304248002</v>
      </c>
      <c r="U18" s="10">
        <v>9</v>
      </c>
      <c r="V18" s="10">
        <v>62152.638223449998</v>
      </c>
      <c r="W18" s="10">
        <v>5</v>
      </c>
      <c r="X18" s="10">
        <v>731920.43446197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8">
        <f t="shared" si="6"/>
        <v>0</v>
      </c>
      <c r="AJ18" s="18">
        <f t="shared" si="3"/>
        <v>-2.3283064365386963E-10</v>
      </c>
      <c r="AK18" s="18">
        <f t="shared" si="4"/>
        <v>0</v>
      </c>
      <c r="AL18" s="18">
        <f t="shared" si="5"/>
        <v>-7.2759576141834259E-12</v>
      </c>
      <c r="AM18" s="18"/>
      <c r="AN18" s="18"/>
      <c r="AO18" s="18"/>
      <c r="AP18" s="18"/>
    </row>
    <row r="19" spans="1:42" s="11" customFormat="1" ht="27" customHeight="1" x14ac:dyDescent="0.25">
      <c r="A19" s="66" t="s">
        <v>27</v>
      </c>
      <c r="B19" s="1">
        <f t="shared" si="7"/>
        <v>12</v>
      </c>
      <c r="C19" s="20" t="s">
        <v>2050</v>
      </c>
      <c r="D19" s="20" t="s">
        <v>2055</v>
      </c>
      <c r="E19" s="65">
        <v>11199</v>
      </c>
      <c r="F19" s="19" t="s">
        <v>2037</v>
      </c>
      <c r="G19" s="9">
        <v>6756</v>
      </c>
      <c r="H19" s="9">
        <v>458067.70551814028</v>
      </c>
      <c r="I19" s="9">
        <v>377</v>
      </c>
      <c r="J19" s="9">
        <v>8651.2559452700043</v>
      </c>
      <c r="K19" s="10">
        <v>225</v>
      </c>
      <c r="L19" s="10">
        <v>207815.42548583</v>
      </c>
      <c r="M19" s="10">
        <v>10</v>
      </c>
      <c r="N19" s="10">
        <v>2864.5505380800005</v>
      </c>
      <c r="O19" s="10">
        <v>6524</v>
      </c>
      <c r="P19" s="10">
        <v>149267.21174195132</v>
      </c>
      <c r="Q19" s="10">
        <v>367</v>
      </c>
      <c r="R19" s="10">
        <v>5786.705407190002</v>
      </c>
      <c r="S19" s="10">
        <v>6</v>
      </c>
      <c r="T19" s="10">
        <v>95079.148684090018</v>
      </c>
      <c r="U19" s="10">
        <v>0</v>
      </c>
      <c r="V19" s="10">
        <v>0</v>
      </c>
      <c r="W19" s="10">
        <v>1</v>
      </c>
      <c r="X19" s="10">
        <v>5905.9196062700003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8">
        <f t="shared" si="6"/>
        <v>0</v>
      </c>
      <c r="AJ19" s="18">
        <f t="shared" si="3"/>
        <v>-1.0559233487583697E-9</v>
      </c>
      <c r="AK19" s="18">
        <f t="shared" si="4"/>
        <v>0</v>
      </c>
      <c r="AL19" s="18">
        <f t="shared" si="5"/>
        <v>1.8189894035458565E-12</v>
      </c>
      <c r="AM19" s="18"/>
      <c r="AN19" s="18"/>
      <c r="AO19" s="18"/>
      <c r="AP19" s="18"/>
    </row>
    <row r="20" spans="1:42" s="11" customFormat="1" ht="27" customHeight="1" x14ac:dyDescent="0.25">
      <c r="A20" s="66" t="s">
        <v>27</v>
      </c>
      <c r="B20" s="1">
        <f t="shared" si="7"/>
        <v>13</v>
      </c>
      <c r="C20" s="20" t="s">
        <v>2050</v>
      </c>
      <c r="D20" s="20" t="s">
        <v>2056</v>
      </c>
      <c r="E20" s="65">
        <v>11200</v>
      </c>
      <c r="F20" s="19" t="s">
        <v>2049</v>
      </c>
      <c r="G20" s="9">
        <v>6943</v>
      </c>
      <c r="H20" s="9">
        <v>454559.70979484025</v>
      </c>
      <c r="I20" s="9">
        <v>647</v>
      </c>
      <c r="J20" s="9">
        <v>42485.512606189986</v>
      </c>
      <c r="K20" s="10">
        <v>356</v>
      </c>
      <c r="L20" s="10">
        <v>78517.916952829997</v>
      </c>
      <c r="M20" s="10">
        <v>54</v>
      </c>
      <c r="N20" s="10">
        <v>20330.815397849994</v>
      </c>
      <c r="O20" s="10">
        <v>6496</v>
      </c>
      <c r="P20" s="10">
        <v>216784.58609464963</v>
      </c>
      <c r="Q20" s="10">
        <v>587</v>
      </c>
      <c r="R20" s="10">
        <v>19681.668379340026</v>
      </c>
      <c r="S20" s="10">
        <v>89</v>
      </c>
      <c r="T20" s="10">
        <v>130168.48761264002</v>
      </c>
      <c r="U20" s="10">
        <v>6</v>
      </c>
      <c r="V20" s="10">
        <v>2473.0288289999999</v>
      </c>
      <c r="W20" s="10">
        <v>2</v>
      </c>
      <c r="X20" s="10">
        <v>29088.719134720002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8">
        <f t="shared" si="6"/>
        <v>0</v>
      </c>
      <c r="AJ20" s="18">
        <f t="shared" si="3"/>
        <v>6.2209437601268291E-10</v>
      </c>
      <c r="AK20" s="18">
        <f t="shared" si="4"/>
        <v>0</v>
      </c>
      <c r="AL20" s="18">
        <f t="shared" si="5"/>
        <v>-3.3651303965598345E-11</v>
      </c>
      <c r="AM20" s="18"/>
      <c r="AN20" s="18"/>
      <c r="AO20" s="18"/>
      <c r="AP20" s="18"/>
    </row>
    <row r="21" spans="1:42" s="11" customFormat="1" ht="27" customHeight="1" x14ac:dyDescent="0.25">
      <c r="A21" s="66" t="s">
        <v>27</v>
      </c>
      <c r="B21" s="1">
        <f t="shared" si="7"/>
        <v>14</v>
      </c>
      <c r="C21" s="20" t="s">
        <v>2050</v>
      </c>
      <c r="D21" s="20" t="s">
        <v>2052</v>
      </c>
      <c r="E21" s="65">
        <v>11201</v>
      </c>
      <c r="F21" s="19" t="s">
        <v>2047</v>
      </c>
      <c r="G21" s="9">
        <v>7531</v>
      </c>
      <c r="H21" s="9">
        <v>445139.33470766013</v>
      </c>
      <c r="I21" s="9">
        <v>228</v>
      </c>
      <c r="J21" s="9">
        <v>3952.3128732499995</v>
      </c>
      <c r="K21" s="10">
        <v>189</v>
      </c>
      <c r="L21" s="10">
        <v>47131.937484680006</v>
      </c>
      <c r="M21" s="10">
        <v>2</v>
      </c>
      <c r="N21" s="10">
        <v>728.16251898000007</v>
      </c>
      <c r="O21" s="10">
        <v>7310</v>
      </c>
      <c r="P21" s="10">
        <v>235394.09540334964</v>
      </c>
      <c r="Q21" s="10">
        <v>226</v>
      </c>
      <c r="R21" s="10">
        <v>3224.1503542699984</v>
      </c>
      <c r="S21" s="10">
        <v>31</v>
      </c>
      <c r="T21" s="10">
        <v>109710.33221043997</v>
      </c>
      <c r="U21" s="10">
        <v>0</v>
      </c>
      <c r="V21" s="10">
        <v>0</v>
      </c>
      <c r="W21" s="10">
        <v>1</v>
      </c>
      <c r="X21" s="10">
        <v>52902.969609190004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8">
        <f t="shared" si="6"/>
        <v>0</v>
      </c>
      <c r="AJ21" s="18">
        <f t="shared" si="3"/>
        <v>5.4569682106375694E-10</v>
      </c>
      <c r="AK21" s="18">
        <f t="shared" si="4"/>
        <v>0</v>
      </c>
      <c r="AL21" s="18">
        <f t="shared" si="5"/>
        <v>9.0949470177292824E-13</v>
      </c>
      <c r="AM21" s="18"/>
      <c r="AN21" s="18"/>
      <c r="AO21" s="18"/>
      <c r="AP21" s="18"/>
    </row>
    <row r="22" spans="1:42" s="11" customFormat="1" ht="27" customHeight="1" x14ac:dyDescent="0.25">
      <c r="A22" s="66" t="s">
        <v>27</v>
      </c>
      <c r="B22" s="1">
        <f t="shared" si="7"/>
        <v>15</v>
      </c>
      <c r="C22" s="20" t="s">
        <v>2050</v>
      </c>
      <c r="D22" s="20" t="s">
        <v>2053</v>
      </c>
      <c r="E22" s="65">
        <v>11202</v>
      </c>
      <c r="F22" s="19" t="s">
        <v>2054</v>
      </c>
      <c r="G22" s="9">
        <v>5990</v>
      </c>
      <c r="H22" s="9">
        <v>319631.91950322001</v>
      </c>
      <c r="I22" s="9">
        <v>376</v>
      </c>
      <c r="J22" s="9">
        <v>25750.961610599999</v>
      </c>
      <c r="K22" s="10">
        <v>213</v>
      </c>
      <c r="L22" s="10">
        <v>52723.176153639986</v>
      </c>
      <c r="M22" s="10">
        <v>20</v>
      </c>
      <c r="N22" s="10">
        <v>11932.140341890001</v>
      </c>
      <c r="O22" s="10">
        <v>5706</v>
      </c>
      <c r="P22" s="10">
        <v>139626.21248814027</v>
      </c>
      <c r="Q22" s="10">
        <v>352</v>
      </c>
      <c r="R22" s="10">
        <v>5798.1551665000061</v>
      </c>
      <c r="S22" s="10">
        <v>71</v>
      </c>
      <c r="T22" s="10">
        <v>127282.53086144003</v>
      </c>
      <c r="U22" s="10">
        <v>4</v>
      </c>
      <c r="V22" s="10">
        <v>8020.6661022099997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8">
        <f t="shared" si="6"/>
        <v>0</v>
      </c>
      <c r="AJ22" s="18">
        <f t="shared" si="3"/>
        <v>-2.6193447411060333E-10</v>
      </c>
      <c r="AK22" s="18">
        <f t="shared" si="4"/>
        <v>0</v>
      </c>
      <c r="AL22" s="18">
        <f t="shared" si="5"/>
        <v>-7.2759576141834259E-12</v>
      </c>
      <c r="AM22" s="18"/>
      <c r="AN22" s="18"/>
      <c r="AO22" s="18"/>
      <c r="AP22" s="18"/>
    </row>
    <row r="23" spans="1:42" s="11" customFormat="1" ht="27" customHeight="1" x14ac:dyDescent="0.25">
      <c r="A23" s="66" t="s">
        <v>27</v>
      </c>
      <c r="B23" s="1">
        <f t="shared" si="7"/>
        <v>16</v>
      </c>
      <c r="C23" s="20" t="s">
        <v>2050</v>
      </c>
      <c r="D23" s="20" t="s">
        <v>2057</v>
      </c>
      <c r="E23" s="65">
        <v>11203</v>
      </c>
      <c r="F23" s="19" t="s">
        <v>2041</v>
      </c>
      <c r="G23" s="9">
        <v>5823</v>
      </c>
      <c r="H23" s="9">
        <v>181716.84315937001</v>
      </c>
      <c r="I23" s="9">
        <v>328</v>
      </c>
      <c r="J23" s="9">
        <v>15119.465598819996</v>
      </c>
      <c r="K23" s="10">
        <v>201</v>
      </c>
      <c r="L23" s="10">
        <v>34229.296529769992</v>
      </c>
      <c r="M23" s="10">
        <v>33</v>
      </c>
      <c r="N23" s="10">
        <v>8469.253266579999</v>
      </c>
      <c r="O23" s="10">
        <v>5580</v>
      </c>
      <c r="P23" s="10">
        <v>131070.42203603974</v>
      </c>
      <c r="Q23" s="10">
        <v>291</v>
      </c>
      <c r="R23" s="10">
        <v>5348.5263384900009</v>
      </c>
      <c r="S23" s="10">
        <v>42</v>
      </c>
      <c r="T23" s="10">
        <v>16417.124593560002</v>
      </c>
      <c r="U23" s="10">
        <v>4</v>
      </c>
      <c r="V23" s="10">
        <v>1301.6859937500001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8">
        <f t="shared" si="6"/>
        <v>0</v>
      </c>
      <c r="AJ23" s="18">
        <f t="shared" si="3"/>
        <v>2.7648638933897018E-10</v>
      </c>
      <c r="AK23" s="18">
        <f t="shared" si="4"/>
        <v>0</v>
      </c>
      <c r="AL23" s="18">
        <f t="shared" si="5"/>
        <v>-4.3200998334214091E-12</v>
      </c>
      <c r="AM23" s="18"/>
      <c r="AN23" s="18"/>
      <c r="AO23" s="18"/>
      <c r="AP23" s="18"/>
    </row>
    <row r="24" spans="1:42" s="11" customFormat="1" ht="27" customHeight="1" x14ac:dyDescent="0.25">
      <c r="A24" s="66" t="s">
        <v>28</v>
      </c>
      <c r="B24" s="1">
        <f t="shared" si="7"/>
        <v>17</v>
      </c>
      <c r="C24" s="20" t="s">
        <v>2058</v>
      </c>
      <c r="D24" s="20" t="s">
        <v>2059</v>
      </c>
      <c r="E24" s="65" t="s">
        <v>11</v>
      </c>
      <c r="F24" s="19" t="s">
        <v>2060</v>
      </c>
      <c r="G24" s="9">
        <v>6687</v>
      </c>
      <c r="H24" s="9">
        <v>268939.13785673003</v>
      </c>
      <c r="I24" s="9">
        <v>811</v>
      </c>
      <c r="J24" s="9">
        <v>23779.578477609997</v>
      </c>
      <c r="K24" s="10">
        <v>267</v>
      </c>
      <c r="L24" s="10">
        <v>79564.426309079965</v>
      </c>
      <c r="M24" s="10">
        <v>2</v>
      </c>
      <c r="N24" s="10">
        <v>199.14215802000001</v>
      </c>
      <c r="O24" s="10">
        <v>6413</v>
      </c>
      <c r="P24" s="10">
        <v>127617.44428991013</v>
      </c>
      <c r="Q24" s="10">
        <v>807</v>
      </c>
      <c r="R24" s="10">
        <v>13801.108031570007</v>
      </c>
      <c r="S24" s="10">
        <v>5</v>
      </c>
      <c r="T24" s="10">
        <v>61200.873779520007</v>
      </c>
      <c r="U24" s="10">
        <v>2</v>
      </c>
      <c r="V24" s="10">
        <v>9779.3282880200004</v>
      </c>
      <c r="W24" s="10">
        <v>0</v>
      </c>
      <c r="X24" s="10">
        <v>0</v>
      </c>
      <c r="Y24" s="10">
        <v>0</v>
      </c>
      <c r="Z24" s="10">
        <v>0</v>
      </c>
      <c r="AA24" s="10">
        <v>1</v>
      </c>
      <c r="AB24" s="10">
        <v>219.29270244</v>
      </c>
      <c r="AC24" s="10">
        <v>0</v>
      </c>
      <c r="AD24" s="10">
        <v>0</v>
      </c>
      <c r="AE24" s="10">
        <v>1</v>
      </c>
      <c r="AF24" s="10">
        <v>337.10077577999999</v>
      </c>
      <c r="AG24" s="10">
        <v>0</v>
      </c>
      <c r="AH24" s="10">
        <v>0</v>
      </c>
      <c r="AI24" s="18">
        <f t="shared" si="6"/>
        <v>0</v>
      </c>
      <c r="AJ24" s="18">
        <f t="shared" si="3"/>
        <v>-8.6004092736402526E-11</v>
      </c>
      <c r="AK24" s="18">
        <f t="shared" si="4"/>
        <v>0</v>
      </c>
      <c r="AL24" s="18">
        <f t="shared" si="5"/>
        <v>-1.0913936421275139E-11</v>
      </c>
      <c r="AM24" s="18"/>
      <c r="AN24" s="18"/>
      <c r="AO24" s="18"/>
      <c r="AP24" s="18"/>
    </row>
    <row r="25" spans="1:42" s="11" customFormat="1" ht="27" customHeight="1" x14ac:dyDescent="0.25">
      <c r="A25" s="66" t="s">
        <v>28</v>
      </c>
      <c r="B25" s="1">
        <f t="shared" si="7"/>
        <v>18</v>
      </c>
      <c r="C25" s="20" t="s">
        <v>2058</v>
      </c>
      <c r="D25" s="20" t="s">
        <v>2061</v>
      </c>
      <c r="E25" s="65" t="s">
        <v>21</v>
      </c>
      <c r="F25" s="19" t="s">
        <v>2062</v>
      </c>
      <c r="G25" s="9">
        <v>4415</v>
      </c>
      <c r="H25" s="9">
        <v>709524.65428023995</v>
      </c>
      <c r="I25" s="9">
        <v>187</v>
      </c>
      <c r="J25" s="9">
        <v>467282.87425629998</v>
      </c>
      <c r="K25" s="10">
        <v>495</v>
      </c>
      <c r="L25" s="10">
        <v>620236.26434325019</v>
      </c>
      <c r="M25" s="10">
        <v>35</v>
      </c>
      <c r="N25" s="10">
        <v>436567.13022338995</v>
      </c>
      <c r="O25" s="10">
        <v>3906</v>
      </c>
      <c r="P25" s="10">
        <v>57780.631280189795</v>
      </c>
      <c r="Q25" s="10">
        <v>149</v>
      </c>
      <c r="R25" s="10">
        <v>2071.3202501199999</v>
      </c>
      <c r="S25" s="10">
        <v>7</v>
      </c>
      <c r="T25" s="10">
        <v>28409.355753829994</v>
      </c>
      <c r="U25" s="10">
        <v>2</v>
      </c>
      <c r="V25" s="10">
        <v>27872.090097629996</v>
      </c>
      <c r="W25" s="10">
        <v>0</v>
      </c>
      <c r="X25" s="10">
        <v>0</v>
      </c>
      <c r="Y25" s="10">
        <v>0</v>
      </c>
      <c r="Z25" s="10">
        <v>0</v>
      </c>
      <c r="AA25" s="10">
        <v>3</v>
      </c>
      <c r="AB25" s="10">
        <v>1572.4994503000003</v>
      </c>
      <c r="AC25" s="10">
        <v>1</v>
      </c>
      <c r="AD25" s="10">
        <v>772.33368516000007</v>
      </c>
      <c r="AE25" s="10">
        <v>4</v>
      </c>
      <c r="AF25" s="10">
        <v>1525.90345267</v>
      </c>
      <c r="AG25" s="10">
        <v>0</v>
      </c>
      <c r="AH25" s="10">
        <v>0</v>
      </c>
      <c r="AI25" s="18">
        <f t="shared" si="6"/>
        <v>0</v>
      </c>
      <c r="AJ25" s="18">
        <f t="shared" si="3"/>
        <v>-3.3423930290155113E-11</v>
      </c>
      <c r="AK25" s="18">
        <f t="shared" si="4"/>
        <v>0</v>
      </c>
      <c r="AL25" s="18">
        <f t="shared" si="5"/>
        <v>3.9676706364843994E-11</v>
      </c>
      <c r="AM25" s="18"/>
      <c r="AN25" s="18"/>
      <c r="AO25" s="18"/>
      <c r="AP25" s="18"/>
    </row>
    <row r="26" spans="1:42" s="11" customFormat="1" ht="27" customHeight="1" x14ac:dyDescent="0.25">
      <c r="A26" s="66" t="s">
        <v>28</v>
      </c>
      <c r="B26" s="1">
        <f t="shared" si="7"/>
        <v>19</v>
      </c>
      <c r="C26" s="20" t="s">
        <v>2058</v>
      </c>
      <c r="D26" s="20" t="s">
        <v>2063</v>
      </c>
      <c r="E26" s="65" t="s">
        <v>14</v>
      </c>
      <c r="F26" s="19" t="s">
        <v>2064</v>
      </c>
      <c r="G26" s="9">
        <v>6852</v>
      </c>
      <c r="H26" s="9">
        <v>233729.72841591021</v>
      </c>
      <c r="I26" s="9">
        <v>159</v>
      </c>
      <c r="J26" s="9">
        <v>7146.4920657899993</v>
      </c>
      <c r="K26" s="10">
        <v>774</v>
      </c>
      <c r="L26" s="10">
        <v>134426.71907790005</v>
      </c>
      <c r="M26" s="10">
        <v>6</v>
      </c>
      <c r="N26" s="10">
        <v>3145.9260202699998</v>
      </c>
      <c r="O26" s="10">
        <v>6063</v>
      </c>
      <c r="P26" s="10">
        <v>93546.151116750174</v>
      </c>
      <c r="Q26" s="10">
        <v>151</v>
      </c>
      <c r="R26" s="10">
        <v>2553.1107983199981</v>
      </c>
      <c r="S26" s="10">
        <v>5</v>
      </c>
      <c r="T26" s="10">
        <v>1592.12341887</v>
      </c>
      <c r="U26" s="10">
        <v>2</v>
      </c>
      <c r="V26" s="10">
        <v>1447.4552472</v>
      </c>
      <c r="W26" s="10">
        <v>0</v>
      </c>
      <c r="X26" s="10">
        <v>0</v>
      </c>
      <c r="Y26" s="10">
        <v>0</v>
      </c>
      <c r="Z26" s="10">
        <v>0</v>
      </c>
      <c r="AA26" s="10">
        <v>1</v>
      </c>
      <c r="AB26" s="10">
        <v>159.5950679</v>
      </c>
      <c r="AC26" s="10">
        <v>0</v>
      </c>
      <c r="AD26" s="10">
        <v>0</v>
      </c>
      <c r="AE26" s="10">
        <v>9</v>
      </c>
      <c r="AF26" s="10">
        <v>4005.1397344900006</v>
      </c>
      <c r="AG26" s="10">
        <v>0</v>
      </c>
      <c r="AH26" s="10">
        <v>0</v>
      </c>
      <c r="AI26" s="18">
        <f t="shared" si="6"/>
        <v>0</v>
      </c>
      <c r="AJ26" s="18">
        <f t="shared" si="3"/>
        <v>-1.3642420526593924E-11</v>
      </c>
      <c r="AK26" s="18">
        <f t="shared" si="4"/>
        <v>0</v>
      </c>
      <c r="AL26" s="18">
        <f t="shared" si="5"/>
        <v>1.3642420526593924E-12</v>
      </c>
      <c r="AM26" s="18"/>
      <c r="AN26" s="18"/>
      <c r="AO26" s="18"/>
      <c r="AP26" s="18"/>
    </row>
    <row r="27" spans="1:42" s="11" customFormat="1" ht="27" customHeight="1" x14ac:dyDescent="0.25">
      <c r="A27" s="66" t="s">
        <v>28</v>
      </c>
      <c r="B27" s="1">
        <f t="shared" si="7"/>
        <v>20</v>
      </c>
      <c r="C27" s="20" t="s">
        <v>2058</v>
      </c>
      <c r="D27" s="20" t="s">
        <v>2065</v>
      </c>
      <c r="E27" s="65" t="s">
        <v>22</v>
      </c>
      <c r="F27" s="19" t="s">
        <v>2066</v>
      </c>
      <c r="G27" s="9">
        <v>10085</v>
      </c>
      <c r="H27" s="9">
        <v>426576.2158954101</v>
      </c>
      <c r="I27" s="9">
        <v>486</v>
      </c>
      <c r="J27" s="9">
        <v>10379.82516056</v>
      </c>
      <c r="K27" s="10">
        <v>865</v>
      </c>
      <c r="L27" s="10">
        <v>283261.70956429059</v>
      </c>
      <c r="M27" s="10">
        <v>17</v>
      </c>
      <c r="N27" s="10">
        <v>4317.9675506299991</v>
      </c>
      <c r="O27" s="10">
        <v>9206</v>
      </c>
      <c r="P27" s="10">
        <v>137960.97994243071</v>
      </c>
      <c r="Q27" s="10">
        <v>469</v>
      </c>
      <c r="R27" s="10">
        <v>6061.8576099299989</v>
      </c>
      <c r="S27" s="10">
        <v>2</v>
      </c>
      <c r="T27" s="10">
        <v>122.44348298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9</v>
      </c>
      <c r="AB27" s="10">
        <v>3886.0408882400002</v>
      </c>
      <c r="AC27" s="10">
        <v>0</v>
      </c>
      <c r="AD27" s="10">
        <v>0</v>
      </c>
      <c r="AE27" s="10">
        <v>3</v>
      </c>
      <c r="AF27" s="10">
        <v>1345.04201747</v>
      </c>
      <c r="AG27" s="10">
        <v>0</v>
      </c>
      <c r="AH27" s="10">
        <v>0</v>
      </c>
      <c r="AI27" s="18">
        <f t="shared" si="6"/>
        <v>0</v>
      </c>
      <c r="AJ27" s="18">
        <f t="shared" si="3"/>
        <v>-1.2016698747174814E-9</v>
      </c>
      <c r="AK27" s="18">
        <f t="shared" si="4"/>
        <v>0</v>
      </c>
      <c r="AL27" s="18">
        <f t="shared" si="5"/>
        <v>1.8189894035458565E-12</v>
      </c>
      <c r="AM27" s="18"/>
      <c r="AN27" s="18"/>
      <c r="AO27" s="18"/>
      <c r="AP27" s="18"/>
    </row>
    <row r="28" spans="1:42" s="11" customFormat="1" ht="27" customHeight="1" x14ac:dyDescent="0.25">
      <c r="A28" s="66" t="s">
        <v>28</v>
      </c>
      <c r="B28" s="1">
        <f t="shared" si="7"/>
        <v>21</v>
      </c>
      <c r="C28" s="20" t="s">
        <v>2058</v>
      </c>
      <c r="D28" s="20" t="s">
        <v>2067</v>
      </c>
      <c r="E28" s="65" t="s">
        <v>15</v>
      </c>
      <c r="F28" s="19" t="s">
        <v>2068</v>
      </c>
      <c r="G28" s="9">
        <v>4737</v>
      </c>
      <c r="H28" s="9">
        <v>349993.17702217994</v>
      </c>
      <c r="I28" s="9">
        <v>143</v>
      </c>
      <c r="J28" s="9">
        <v>3642.1679428400003</v>
      </c>
      <c r="K28" s="10">
        <v>540</v>
      </c>
      <c r="L28" s="10">
        <v>268268.93757622025</v>
      </c>
      <c r="M28" s="10">
        <v>7</v>
      </c>
      <c r="N28" s="10">
        <v>1348.4226776</v>
      </c>
      <c r="O28" s="10">
        <v>4190</v>
      </c>
      <c r="P28" s="10">
        <v>79367.615441459697</v>
      </c>
      <c r="Q28" s="10">
        <v>135</v>
      </c>
      <c r="R28" s="10">
        <v>1907.3135291899994</v>
      </c>
      <c r="S28" s="10">
        <v>5</v>
      </c>
      <c r="T28" s="10">
        <v>1202.8697665</v>
      </c>
      <c r="U28" s="10">
        <v>1</v>
      </c>
      <c r="V28" s="10">
        <v>386.43173604999998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2</v>
      </c>
      <c r="AF28" s="10">
        <v>1153.754238</v>
      </c>
      <c r="AG28" s="10">
        <v>0</v>
      </c>
      <c r="AH28" s="10">
        <v>0</v>
      </c>
      <c r="AI28" s="18">
        <f t="shared" si="6"/>
        <v>0</v>
      </c>
      <c r="AJ28" s="18">
        <f t="shared" si="3"/>
        <v>-1.3187673175707459E-11</v>
      </c>
      <c r="AK28" s="18">
        <f t="shared" si="4"/>
        <v>0</v>
      </c>
      <c r="AL28" s="18">
        <f t="shared" si="5"/>
        <v>8.5265128291212022E-13</v>
      </c>
      <c r="AM28" s="18"/>
      <c r="AN28" s="18"/>
      <c r="AO28" s="18"/>
      <c r="AP28" s="18"/>
    </row>
    <row r="29" spans="1:42" s="11" customFormat="1" ht="27" customHeight="1" x14ac:dyDescent="0.25">
      <c r="A29" s="66" t="s">
        <v>28</v>
      </c>
      <c r="B29" s="1">
        <f t="shared" si="7"/>
        <v>22</v>
      </c>
      <c r="C29" s="20" t="s">
        <v>2058</v>
      </c>
      <c r="D29" s="20" t="s">
        <v>2069</v>
      </c>
      <c r="E29" s="65" t="s">
        <v>23</v>
      </c>
      <c r="F29" s="19" t="s">
        <v>2070</v>
      </c>
      <c r="G29" s="9">
        <v>5074</v>
      </c>
      <c r="H29" s="9">
        <v>1121668.4587969801</v>
      </c>
      <c r="I29" s="9">
        <v>86</v>
      </c>
      <c r="J29" s="9">
        <v>1130.4237744599995</v>
      </c>
      <c r="K29" s="10">
        <v>156</v>
      </c>
      <c r="L29" s="10">
        <v>965773.98874588986</v>
      </c>
      <c r="M29" s="10">
        <v>1</v>
      </c>
      <c r="N29" s="10">
        <v>5.9323112300000007</v>
      </c>
      <c r="O29" s="10">
        <v>4915</v>
      </c>
      <c r="P29" s="10">
        <v>71890.131328679839</v>
      </c>
      <c r="Q29" s="10">
        <v>85</v>
      </c>
      <c r="R29" s="10">
        <v>1124.4914632299997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3</v>
      </c>
      <c r="AF29" s="10">
        <v>84004.338722410001</v>
      </c>
      <c r="AG29" s="10">
        <v>0</v>
      </c>
      <c r="AH29" s="10">
        <v>0</v>
      </c>
      <c r="AI29" s="18">
        <f t="shared" si="6"/>
        <v>0</v>
      </c>
      <c r="AJ29" s="18">
        <f t="shared" si="3"/>
        <v>3.92901711165905E-10</v>
      </c>
      <c r="AK29" s="18">
        <f t="shared" si="4"/>
        <v>0</v>
      </c>
      <c r="AL29" s="18">
        <f t="shared" si="5"/>
        <v>-2.2737367544323206E-13</v>
      </c>
      <c r="AM29" s="18"/>
      <c r="AN29" s="18"/>
      <c r="AO29" s="18"/>
      <c r="AP29" s="18"/>
    </row>
    <row r="30" spans="1:42" s="11" customFormat="1" ht="27" customHeight="1" x14ac:dyDescent="0.25">
      <c r="A30" s="66" t="s">
        <v>28</v>
      </c>
      <c r="B30" s="1">
        <f t="shared" si="7"/>
        <v>23</v>
      </c>
      <c r="C30" s="20" t="s">
        <v>2058</v>
      </c>
      <c r="D30" s="20" t="s">
        <v>2071</v>
      </c>
      <c r="E30" s="65" t="s">
        <v>16</v>
      </c>
      <c r="F30" s="19" t="s">
        <v>2035</v>
      </c>
      <c r="G30" s="9">
        <v>7407</v>
      </c>
      <c r="H30" s="9">
        <v>3505662.7165435702</v>
      </c>
      <c r="I30" s="9">
        <v>782</v>
      </c>
      <c r="J30" s="9">
        <v>43132.393528429995</v>
      </c>
      <c r="K30" s="10">
        <v>590</v>
      </c>
      <c r="L30" s="10">
        <v>1127639.5918973791</v>
      </c>
      <c r="M30" s="10">
        <v>26</v>
      </c>
      <c r="N30" s="10">
        <v>28558.013922420003</v>
      </c>
      <c r="O30" s="10">
        <v>6786</v>
      </c>
      <c r="P30" s="10">
        <v>143136.11765544966</v>
      </c>
      <c r="Q30" s="10">
        <v>754</v>
      </c>
      <c r="R30" s="10">
        <v>14097.631313189988</v>
      </c>
      <c r="S30" s="10">
        <v>25</v>
      </c>
      <c r="T30" s="10">
        <v>1100410.8729613</v>
      </c>
      <c r="U30" s="10">
        <v>2</v>
      </c>
      <c r="V30" s="10">
        <v>476.74829282000007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6</v>
      </c>
      <c r="AF30" s="10">
        <v>1134476.1340294399</v>
      </c>
      <c r="AG30" s="10">
        <v>0</v>
      </c>
      <c r="AH30" s="10">
        <v>0</v>
      </c>
      <c r="AI30" s="18">
        <f t="shared" si="6"/>
        <v>0</v>
      </c>
      <c r="AJ30" s="18">
        <f t="shared" si="3"/>
        <v>0</v>
      </c>
      <c r="AK30" s="18">
        <f t="shared" si="4"/>
        <v>0</v>
      </c>
      <c r="AL30" s="18">
        <f t="shared" si="5"/>
        <v>4.2064129956997931E-12</v>
      </c>
      <c r="AM30" s="18"/>
      <c r="AN30" s="18"/>
      <c r="AO30" s="18"/>
      <c r="AP30" s="18"/>
    </row>
    <row r="31" spans="1:42" s="11" customFormat="1" ht="27" customHeight="1" x14ac:dyDescent="0.25">
      <c r="A31" s="66" t="s">
        <v>28</v>
      </c>
      <c r="B31" s="1">
        <f t="shared" si="7"/>
        <v>24</v>
      </c>
      <c r="C31" s="20" t="s">
        <v>2058</v>
      </c>
      <c r="D31" s="20" t="s">
        <v>2072</v>
      </c>
      <c r="E31" s="65" t="s">
        <v>12</v>
      </c>
      <c r="F31" s="19" t="s">
        <v>2073</v>
      </c>
      <c r="G31" s="9">
        <v>5848</v>
      </c>
      <c r="H31" s="9">
        <v>182580.73983154001</v>
      </c>
      <c r="I31" s="9">
        <v>598</v>
      </c>
      <c r="J31" s="9">
        <v>19558.184871350004</v>
      </c>
      <c r="K31" s="10">
        <v>381</v>
      </c>
      <c r="L31" s="10">
        <v>83222.476256559981</v>
      </c>
      <c r="M31" s="10">
        <v>18</v>
      </c>
      <c r="N31" s="10">
        <v>9130.3035427899995</v>
      </c>
      <c r="O31" s="10">
        <v>5457</v>
      </c>
      <c r="P31" s="10">
        <v>94310.475766899603</v>
      </c>
      <c r="Q31" s="10">
        <v>578</v>
      </c>
      <c r="R31" s="10">
        <v>9009.163470579997</v>
      </c>
      <c r="S31" s="10">
        <v>8</v>
      </c>
      <c r="T31" s="10">
        <v>3722.1822363599995</v>
      </c>
      <c r="U31" s="10">
        <v>2</v>
      </c>
      <c r="V31" s="10">
        <v>1418.71785798</v>
      </c>
      <c r="W31" s="10">
        <v>0</v>
      </c>
      <c r="X31" s="10">
        <v>0</v>
      </c>
      <c r="Y31" s="10">
        <v>0</v>
      </c>
      <c r="Z31" s="10">
        <v>0</v>
      </c>
      <c r="AA31" s="10">
        <v>1</v>
      </c>
      <c r="AB31" s="10">
        <v>968.21208389000003</v>
      </c>
      <c r="AC31" s="10">
        <v>0</v>
      </c>
      <c r="AD31" s="10">
        <v>0</v>
      </c>
      <c r="AE31" s="10">
        <v>1</v>
      </c>
      <c r="AF31" s="10">
        <v>357.39348782999997</v>
      </c>
      <c r="AG31" s="10">
        <v>0</v>
      </c>
      <c r="AH31" s="10">
        <v>0</v>
      </c>
      <c r="AI31" s="18">
        <f t="shared" si="6"/>
        <v>0</v>
      </c>
      <c r="AJ31" s="18">
        <f t="shared" si="3"/>
        <v>4.2263081923010759E-10</v>
      </c>
      <c r="AK31" s="18">
        <f t="shared" si="4"/>
        <v>0</v>
      </c>
      <c r="AL31" s="18">
        <f t="shared" si="5"/>
        <v>7.503331289626658E-12</v>
      </c>
      <c r="AM31" s="18"/>
      <c r="AN31" s="18"/>
      <c r="AO31" s="18"/>
      <c r="AP31" s="18"/>
    </row>
    <row r="32" spans="1:42" s="11" customFormat="1" ht="27" customHeight="1" x14ac:dyDescent="0.25">
      <c r="A32" s="66" t="s">
        <v>28</v>
      </c>
      <c r="B32" s="1">
        <f t="shared" si="7"/>
        <v>25</v>
      </c>
      <c r="C32" s="20" t="s">
        <v>2058</v>
      </c>
      <c r="D32" s="20" t="s">
        <v>2074</v>
      </c>
      <c r="E32" s="65" t="s">
        <v>1</v>
      </c>
      <c r="F32" s="19" t="s">
        <v>2075</v>
      </c>
      <c r="G32" s="9">
        <v>7253</v>
      </c>
      <c r="H32" s="9">
        <v>288486.10829109984</v>
      </c>
      <c r="I32" s="9">
        <v>369</v>
      </c>
      <c r="J32" s="9">
        <v>5629.5927999300002</v>
      </c>
      <c r="K32" s="10">
        <v>421</v>
      </c>
      <c r="L32" s="10">
        <v>164002.50853313014</v>
      </c>
      <c r="M32" s="10">
        <v>9</v>
      </c>
      <c r="N32" s="10">
        <v>1525.8463718599999</v>
      </c>
      <c r="O32" s="10">
        <v>6825</v>
      </c>
      <c r="P32" s="10">
        <v>102253.67986072971</v>
      </c>
      <c r="Q32" s="10">
        <v>360</v>
      </c>
      <c r="R32" s="10">
        <v>4103.7464280700015</v>
      </c>
      <c r="S32" s="10">
        <v>1</v>
      </c>
      <c r="T32" s="10">
        <v>18593.988134570001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1</v>
      </c>
      <c r="AB32" s="10">
        <v>307.69112585000005</v>
      </c>
      <c r="AC32" s="10">
        <v>0</v>
      </c>
      <c r="AD32" s="10">
        <v>0</v>
      </c>
      <c r="AE32" s="10">
        <v>5</v>
      </c>
      <c r="AF32" s="10">
        <v>3328.24063682</v>
      </c>
      <c r="AG32" s="10">
        <v>0</v>
      </c>
      <c r="AH32" s="10">
        <v>0</v>
      </c>
      <c r="AI32" s="18">
        <f t="shared" si="6"/>
        <v>0</v>
      </c>
      <c r="AJ32" s="18">
        <f t="shared" si="3"/>
        <v>-1.1368683772161603E-11</v>
      </c>
      <c r="AK32" s="18">
        <f t="shared" si="4"/>
        <v>0</v>
      </c>
      <c r="AL32" s="18">
        <f t="shared" si="5"/>
        <v>-9.0949470177292824E-13</v>
      </c>
      <c r="AM32" s="18"/>
      <c r="AN32" s="18"/>
      <c r="AO32" s="18"/>
      <c r="AP32" s="18"/>
    </row>
    <row r="33" spans="1:42" s="11" customFormat="1" ht="27" customHeight="1" x14ac:dyDescent="0.25">
      <c r="A33" s="66" t="s">
        <v>28</v>
      </c>
      <c r="B33" s="1">
        <f t="shared" si="7"/>
        <v>26</v>
      </c>
      <c r="C33" s="20" t="s">
        <v>2058</v>
      </c>
      <c r="D33" s="20" t="s">
        <v>2076</v>
      </c>
      <c r="E33" s="65" t="s">
        <v>17</v>
      </c>
      <c r="F33" s="19" t="s">
        <v>2077</v>
      </c>
      <c r="G33" s="9">
        <v>6881</v>
      </c>
      <c r="H33" s="9">
        <v>287334.53682876989</v>
      </c>
      <c r="I33" s="9">
        <v>101</v>
      </c>
      <c r="J33" s="9">
        <v>5746.3539814899996</v>
      </c>
      <c r="K33" s="10">
        <v>269</v>
      </c>
      <c r="L33" s="10">
        <v>38233.511811009994</v>
      </c>
      <c r="M33" s="10">
        <v>1</v>
      </c>
      <c r="N33" s="10">
        <v>125.42066973</v>
      </c>
      <c r="O33" s="10">
        <v>6590</v>
      </c>
      <c r="P33" s="10">
        <v>133539.03373024997</v>
      </c>
      <c r="Q33" s="10">
        <v>98</v>
      </c>
      <c r="R33" s="10">
        <v>1060.2537982200006</v>
      </c>
      <c r="S33" s="10">
        <v>16</v>
      </c>
      <c r="T33" s="10">
        <v>79747.750230229998</v>
      </c>
      <c r="U33" s="10">
        <v>2</v>
      </c>
      <c r="V33" s="10">
        <v>4560.6795135399998</v>
      </c>
      <c r="W33" s="10">
        <v>6</v>
      </c>
      <c r="X33" s="10">
        <v>35814.24105728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8">
        <f t="shared" si="6"/>
        <v>0</v>
      </c>
      <c r="AJ33" s="18">
        <f t="shared" si="3"/>
        <v>-5.8207660913467407E-11</v>
      </c>
      <c r="AK33" s="18">
        <f t="shared" si="4"/>
        <v>0</v>
      </c>
      <c r="AL33" s="18">
        <f t="shared" si="5"/>
        <v>-9.0949470177292824E-13</v>
      </c>
      <c r="AM33" s="18"/>
      <c r="AN33" s="18"/>
      <c r="AO33" s="18"/>
      <c r="AP33" s="18"/>
    </row>
    <row r="34" spans="1:42" s="11" customFormat="1" ht="27" customHeight="1" x14ac:dyDescent="0.25">
      <c r="A34" s="66" t="s">
        <v>28</v>
      </c>
      <c r="B34" s="1">
        <f t="shared" si="7"/>
        <v>27</v>
      </c>
      <c r="C34" s="20" t="s">
        <v>2058</v>
      </c>
      <c r="D34" s="20" t="s">
        <v>2078</v>
      </c>
      <c r="E34" s="65" t="s">
        <v>18</v>
      </c>
      <c r="F34" s="19" t="s">
        <v>2079</v>
      </c>
      <c r="G34" s="9">
        <v>7696</v>
      </c>
      <c r="H34" s="9">
        <v>275719.57289698994</v>
      </c>
      <c r="I34" s="9">
        <v>1460</v>
      </c>
      <c r="J34" s="9">
        <v>22754.704294850002</v>
      </c>
      <c r="K34" s="10">
        <v>261</v>
      </c>
      <c r="L34" s="10">
        <v>114990.02025326004</v>
      </c>
      <c r="M34" s="10">
        <v>5</v>
      </c>
      <c r="N34" s="10">
        <v>603.10749336999993</v>
      </c>
      <c r="O34" s="10">
        <v>7433</v>
      </c>
      <c r="P34" s="10">
        <v>123198.9952208</v>
      </c>
      <c r="Q34" s="10">
        <v>1455</v>
      </c>
      <c r="R34" s="10">
        <v>22151.596801480024</v>
      </c>
      <c r="S34" s="10">
        <v>1</v>
      </c>
      <c r="T34" s="10">
        <v>36984.659990289998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545.89743264000003</v>
      </c>
      <c r="AG34" s="10">
        <v>0</v>
      </c>
      <c r="AH34" s="10">
        <v>0</v>
      </c>
      <c r="AI34" s="18">
        <f t="shared" si="6"/>
        <v>0</v>
      </c>
      <c r="AJ34" s="18">
        <f t="shared" si="3"/>
        <v>-1.0345502232667059E-10</v>
      </c>
      <c r="AK34" s="18">
        <f t="shared" si="4"/>
        <v>0</v>
      </c>
      <c r="AL34" s="18">
        <f t="shared" si="5"/>
        <v>-2.1827872842550278E-11</v>
      </c>
      <c r="AM34" s="18"/>
      <c r="AN34" s="18"/>
      <c r="AO34" s="18"/>
      <c r="AP34" s="18"/>
    </row>
    <row r="35" spans="1:42" s="11" customFormat="1" ht="27" customHeight="1" x14ac:dyDescent="0.25">
      <c r="A35" s="66" t="s">
        <v>29</v>
      </c>
      <c r="B35" s="1">
        <f t="shared" si="7"/>
        <v>28</v>
      </c>
      <c r="C35" s="20" t="s">
        <v>2080</v>
      </c>
      <c r="D35" s="20" t="s">
        <v>2092</v>
      </c>
      <c r="E35" s="65">
        <v>10443</v>
      </c>
      <c r="F35" s="19" t="s">
        <v>2047</v>
      </c>
      <c r="G35" s="9">
        <v>1432</v>
      </c>
      <c r="H35" s="9">
        <v>20070.410811699996</v>
      </c>
      <c r="I35" s="9">
        <v>279</v>
      </c>
      <c r="J35" s="9">
        <v>5405.5844088799995</v>
      </c>
      <c r="K35" s="10">
        <v>36</v>
      </c>
      <c r="L35" s="10">
        <v>2820.4172266099999</v>
      </c>
      <c r="M35" s="10">
        <v>7</v>
      </c>
      <c r="N35" s="10">
        <v>675.93782844999998</v>
      </c>
      <c r="O35" s="10">
        <v>1396</v>
      </c>
      <c r="P35" s="10">
        <v>17249.993585090004</v>
      </c>
      <c r="Q35" s="10">
        <v>272</v>
      </c>
      <c r="R35" s="10">
        <v>4729.6465804300014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8">
        <f t="shared" si="6"/>
        <v>0</v>
      </c>
      <c r="AJ35" s="18">
        <f t="shared" si="3"/>
        <v>-7.2759576141834259E-12</v>
      </c>
      <c r="AK35" s="18">
        <f t="shared" si="4"/>
        <v>0</v>
      </c>
      <c r="AL35" s="18">
        <f t="shared" si="5"/>
        <v>-1.8189894035458565E-12</v>
      </c>
      <c r="AM35" s="18"/>
      <c r="AN35" s="18"/>
      <c r="AO35" s="18"/>
      <c r="AP35" s="18"/>
    </row>
    <row r="36" spans="1:42" s="11" customFormat="1" ht="27" customHeight="1" x14ac:dyDescent="0.25">
      <c r="A36" s="66" t="s">
        <v>29</v>
      </c>
      <c r="B36" s="1">
        <f t="shared" si="7"/>
        <v>29</v>
      </c>
      <c r="C36" s="20" t="s">
        <v>2080</v>
      </c>
      <c r="D36" s="20" t="s">
        <v>2093</v>
      </c>
      <c r="E36" s="65">
        <v>10447</v>
      </c>
      <c r="F36" s="19" t="s">
        <v>2075</v>
      </c>
      <c r="G36" s="9">
        <v>2328</v>
      </c>
      <c r="H36" s="9">
        <v>38264.333268450027</v>
      </c>
      <c r="I36" s="9">
        <v>42</v>
      </c>
      <c r="J36" s="9">
        <v>773.76229042999978</v>
      </c>
      <c r="K36" s="10">
        <v>44</v>
      </c>
      <c r="L36" s="10">
        <v>3681.3851176900002</v>
      </c>
      <c r="M36" s="10">
        <v>0</v>
      </c>
      <c r="N36" s="10">
        <v>0</v>
      </c>
      <c r="O36" s="10">
        <v>2284</v>
      </c>
      <c r="P36" s="10">
        <v>34582.948150759963</v>
      </c>
      <c r="Q36" s="10">
        <v>42</v>
      </c>
      <c r="R36" s="10">
        <v>773.76229043000023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8">
        <f t="shared" si="6"/>
        <v>0</v>
      </c>
      <c r="AJ36" s="18">
        <f t="shared" si="3"/>
        <v>6.5483618527650833E-11</v>
      </c>
      <c r="AK36" s="18">
        <f t="shared" si="4"/>
        <v>0</v>
      </c>
      <c r="AL36" s="18">
        <f t="shared" si="5"/>
        <v>-4.5474735088646412E-13</v>
      </c>
      <c r="AM36" s="18"/>
      <c r="AN36" s="18"/>
      <c r="AO36" s="18"/>
      <c r="AP36" s="18"/>
    </row>
    <row r="37" spans="1:42" s="11" customFormat="1" ht="27" customHeight="1" x14ac:dyDescent="0.25">
      <c r="A37" s="66" t="s">
        <v>29</v>
      </c>
      <c r="B37" s="1">
        <f t="shared" si="7"/>
        <v>30</v>
      </c>
      <c r="C37" s="20" t="s">
        <v>2080</v>
      </c>
      <c r="D37" s="20" t="s">
        <v>2088</v>
      </c>
      <c r="E37" s="65">
        <v>11247</v>
      </c>
      <c r="F37" s="19" t="s">
        <v>2049</v>
      </c>
      <c r="G37" s="9">
        <v>1461</v>
      </c>
      <c r="H37" s="9">
        <v>28199.92720877998</v>
      </c>
      <c r="I37" s="9">
        <v>146</v>
      </c>
      <c r="J37" s="9">
        <v>5093.5497794299999</v>
      </c>
      <c r="K37" s="10">
        <v>25</v>
      </c>
      <c r="L37" s="10">
        <v>2481.0885506500008</v>
      </c>
      <c r="M37" s="10">
        <v>4</v>
      </c>
      <c r="N37" s="10">
        <v>352.19225834000002</v>
      </c>
      <c r="O37" s="10">
        <v>1436</v>
      </c>
      <c r="P37" s="10">
        <v>25718.838658129971</v>
      </c>
      <c r="Q37" s="10">
        <v>142</v>
      </c>
      <c r="R37" s="10">
        <v>4741.357521089998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8">
        <f t="shared" si="6"/>
        <v>0</v>
      </c>
      <c r="AJ37" s="18">
        <f t="shared" si="3"/>
        <v>7.2759576141834259E-12</v>
      </c>
      <c r="AK37" s="18">
        <f t="shared" si="4"/>
        <v>0</v>
      </c>
      <c r="AL37" s="18">
        <f t="shared" si="5"/>
        <v>1.8189894035458565E-12</v>
      </c>
      <c r="AM37" s="18"/>
      <c r="AN37" s="18"/>
      <c r="AO37" s="18"/>
      <c r="AP37" s="18"/>
    </row>
    <row r="38" spans="1:42" s="11" customFormat="1" ht="27" customHeight="1" x14ac:dyDescent="0.25">
      <c r="A38" s="66" t="s">
        <v>29</v>
      </c>
      <c r="B38" s="1">
        <f t="shared" si="7"/>
        <v>31</v>
      </c>
      <c r="C38" s="20" t="s">
        <v>2080</v>
      </c>
      <c r="D38" s="20" t="s">
        <v>2082</v>
      </c>
      <c r="E38" s="65">
        <v>11412</v>
      </c>
      <c r="F38" s="19" t="s">
        <v>2062</v>
      </c>
      <c r="G38" s="9">
        <v>4823</v>
      </c>
      <c r="H38" s="9">
        <v>242146.91792044006</v>
      </c>
      <c r="I38" s="9">
        <v>320</v>
      </c>
      <c r="J38" s="9">
        <v>8979.1863470600001</v>
      </c>
      <c r="K38" s="10">
        <v>132</v>
      </c>
      <c r="L38" s="10">
        <v>21790.70280395</v>
      </c>
      <c r="M38" s="10">
        <v>17</v>
      </c>
      <c r="N38" s="10">
        <v>3808.2565689200005</v>
      </c>
      <c r="O38" s="10">
        <v>4682</v>
      </c>
      <c r="P38" s="10">
        <v>63226.256559219968</v>
      </c>
      <c r="Q38" s="10">
        <v>303</v>
      </c>
      <c r="R38" s="10">
        <v>5170.9297781400001</v>
      </c>
      <c r="S38" s="10">
        <v>2</v>
      </c>
      <c r="T38" s="10">
        <v>19836.225710499999</v>
      </c>
      <c r="U38" s="10">
        <v>0</v>
      </c>
      <c r="V38" s="10">
        <v>0</v>
      </c>
      <c r="W38" s="10">
        <v>7</v>
      </c>
      <c r="X38" s="10">
        <v>137293.73284677003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8">
        <f t="shared" si="6"/>
        <v>0</v>
      </c>
      <c r="AJ38" s="18">
        <f t="shared" si="3"/>
        <v>5.8207660913467407E-11</v>
      </c>
      <c r="AK38" s="18">
        <f t="shared" si="4"/>
        <v>0</v>
      </c>
      <c r="AL38" s="18">
        <f t="shared" si="5"/>
        <v>0</v>
      </c>
      <c r="AM38" s="18"/>
      <c r="AN38" s="18"/>
      <c r="AO38" s="18"/>
      <c r="AP38" s="18"/>
    </row>
    <row r="39" spans="1:42" s="11" customFormat="1" ht="27" customHeight="1" x14ac:dyDescent="0.25">
      <c r="A39" s="66" t="s">
        <v>29</v>
      </c>
      <c r="B39" s="1">
        <f t="shared" si="7"/>
        <v>32</v>
      </c>
      <c r="C39" s="20" t="s">
        <v>2080</v>
      </c>
      <c r="D39" s="20" t="s">
        <v>2083</v>
      </c>
      <c r="E39" s="65">
        <v>11413</v>
      </c>
      <c r="F39" s="19" t="s">
        <v>2043</v>
      </c>
      <c r="G39" s="9">
        <v>2989</v>
      </c>
      <c r="H39" s="9">
        <v>97937.030442570103</v>
      </c>
      <c r="I39" s="9">
        <v>175</v>
      </c>
      <c r="J39" s="9">
        <v>3392.1991074800003</v>
      </c>
      <c r="K39" s="10">
        <v>201</v>
      </c>
      <c r="L39" s="10">
        <v>43673.489423389998</v>
      </c>
      <c r="M39" s="10">
        <v>8</v>
      </c>
      <c r="N39" s="10">
        <v>497.02398038000001</v>
      </c>
      <c r="O39" s="10">
        <v>2785</v>
      </c>
      <c r="P39" s="10">
        <v>48636.252602180022</v>
      </c>
      <c r="Q39" s="10">
        <v>167</v>
      </c>
      <c r="R39" s="10">
        <v>2895.1751271000016</v>
      </c>
      <c r="S39" s="10">
        <v>3</v>
      </c>
      <c r="T39" s="10">
        <v>5627.2884169999998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8">
        <f t="shared" si="6"/>
        <v>0</v>
      </c>
      <c r="AJ39" s="18">
        <f t="shared" si="3"/>
        <v>8.3673512563109398E-11</v>
      </c>
      <c r="AK39" s="18">
        <f t="shared" si="4"/>
        <v>0</v>
      </c>
      <c r="AL39" s="18">
        <f t="shared" si="5"/>
        <v>-1.3642420526593924E-12</v>
      </c>
      <c r="AM39" s="18"/>
      <c r="AN39" s="18"/>
      <c r="AO39" s="18"/>
      <c r="AP39" s="18"/>
    </row>
    <row r="40" spans="1:42" s="11" customFormat="1" ht="27" customHeight="1" x14ac:dyDescent="0.25">
      <c r="A40" s="66" t="s">
        <v>29</v>
      </c>
      <c r="B40" s="1">
        <f t="shared" si="7"/>
        <v>33</v>
      </c>
      <c r="C40" s="20" t="s">
        <v>2080</v>
      </c>
      <c r="D40" s="20" t="s">
        <v>2094</v>
      </c>
      <c r="E40" s="65">
        <v>11599</v>
      </c>
      <c r="F40" s="19" t="s">
        <v>2077</v>
      </c>
      <c r="G40" s="9">
        <v>616</v>
      </c>
      <c r="H40" s="9">
        <v>20905.232698210002</v>
      </c>
      <c r="I40" s="9">
        <v>6</v>
      </c>
      <c r="J40" s="9">
        <v>1963.0967254300001</v>
      </c>
      <c r="K40" s="10">
        <v>73</v>
      </c>
      <c r="L40" s="10">
        <v>6625.1157626499999</v>
      </c>
      <c r="M40" s="10">
        <v>0</v>
      </c>
      <c r="N40" s="10">
        <v>0</v>
      </c>
      <c r="O40" s="10">
        <v>543</v>
      </c>
      <c r="P40" s="10">
        <v>14280.116935559994</v>
      </c>
      <c r="Q40" s="10">
        <v>6</v>
      </c>
      <c r="R40" s="10">
        <v>1963.0967254299999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8">
        <f t="shared" si="6"/>
        <v>0</v>
      </c>
      <c r="AJ40" s="18">
        <f t="shared" si="3"/>
        <v>9.0949470177292824E-12</v>
      </c>
      <c r="AK40" s="18">
        <f t="shared" si="4"/>
        <v>0</v>
      </c>
      <c r="AL40" s="18">
        <f t="shared" si="5"/>
        <v>2.2737367544323206E-13</v>
      </c>
      <c r="AM40" s="18"/>
      <c r="AN40" s="18"/>
      <c r="AO40" s="18"/>
      <c r="AP40" s="18"/>
    </row>
    <row r="41" spans="1:42" s="11" customFormat="1" ht="27" customHeight="1" x14ac:dyDescent="0.25">
      <c r="A41" s="66" t="s">
        <v>29</v>
      </c>
      <c r="B41" s="1">
        <f t="shared" si="7"/>
        <v>34</v>
      </c>
      <c r="C41" s="20" t="s">
        <v>2080</v>
      </c>
      <c r="D41" s="20" t="s">
        <v>2085</v>
      </c>
      <c r="E41" s="65">
        <v>11785</v>
      </c>
      <c r="F41" s="19" t="s">
        <v>2077</v>
      </c>
      <c r="G41" s="9">
        <v>3688</v>
      </c>
      <c r="H41" s="9">
        <v>120892.16312989006</v>
      </c>
      <c r="I41" s="9">
        <v>35</v>
      </c>
      <c r="J41" s="9">
        <v>813.46805950999999</v>
      </c>
      <c r="K41" s="10">
        <v>309</v>
      </c>
      <c r="L41" s="10">
        <v>50389.890556069993</v>
      </c>
      <c r="M41" s="10">
        <v>4</v>
      </c>
      <c r="N41" s="10">
        <v>133.70715867000001</v>
      </c>
      <c r="O41" s="10">
        <v>3379</v>
      </c>
      <c r="P41" s="10">
        <v>70502.272573819995</v>
      </c>
      <c r="Q41" s="10">
        <v>31</v>
      </c>
      <c r="R41" s="10">
        <v>679.76090083999998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8">
        <f t="shared" si="6"/>
        <v>0</v>
      </c>
      <c r="AJ41" s="18">
        <f t="shared" si="3"/>
        <v>7.2759576141834259E-11</v>
      </c>
      <c r="AK41" s="18">
        <f t="shared" si="4"/>
        <v>0</v>
      </c>
      <c r="AL41" s="18">
        <f t="shared" si="5"/>
        <v>0</v>
      </c>
      <c r="AM41" s="18"/>
      <c r="AN41" s="18"/>
      <c r="AO41" s="18"/>
      <c r="AP41" s="18"/>
    </row>
    <row r="42" spans="1:42" s="11" customFormat="1" ht="27" customHeight="1" x14ac:dyDescent="0.25">
      <c r="A42" s="66" t="s">
        <v>29</v>
      </c>
      <c r="B42" s="1">
        <f t="shared" si="7"/>
        <v>35</v>
      </c>
      <c r="C42" s="20" t="s">
        <v>2080</v>
      </c>
      <c r="D42" s="20" t="s">
        <v>2081</v>
      </c>
      <c r="E42" s="65">
        <v>11786</v>
      </c>
      <c r="F42" s="19" t="s">
        <v>2035</v>
      </c>
      <c r="G42" s="9">
        <v>2020</v>
      </c>
      <c r="H42" s="9">
        <v>379053.64520527999</v>
      </c>
      <c r="I42" s="9">
        <v>250</v>
      </c>
      <c r="J42" s="9">
        <v>45254.826314759994</v>
      </c>
      <c r="K42" s="10">
        <v>76</v>
      </c>
      <c r="L42" s="10">
        <v>179697.78159441004</v>
      </c>
      <c r="M42" s="10">
        <v>12</v>
      </c>
      <c r="N42" s="10">
        <v>16443.948165560003</v>
      </c>
      <c r="O42" s="10">
        <v>1929</v>
      </c>
      <c r="P42" s="10">
        <v>80088.297536270009</v>
      </c>
      <c r="Q42" s="10">
        <v>236</v>
      </c>
      <c r="R42" s="10">
        <v>15651.361885780001</v>
      </c>
      <c r="S42" s="10">
        <v>14</v>
      </c>
      <c r="T42" s="10">
        <v>118785.44592204998</v>
      </c>
      <c r="U42" s="10">
        <v>2</v>
      </c>
      <c r="V42" s="10">
        <v>13159.516263420001</v>
      </c>
      <c r="W42" s="10">
        <v>1</v>
      </c>
      <c r="X42" s="10">
        <v>482.12015255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8">
        <f t="shared" si="6"/>
        <v>0</v>
      </c>
      <c r="AJ42" s="18">
        <f t="shared" si="3"/>
        <v>-5.0874859880423173E-11</v>
      </c>
      <c r="AK42" s="18">
        <f t="shared" si="4"/>
        <v>0</v>
      </c>
      <c r="AL42" s="18">
        <f t="shared" si="5"/>
        <v>-1.0913936421275139E-11</v>
      </c>
      <c r="AM42" s="18"/>
      <c r="AN42" s="18"/>
      <c r="AO42" s="18"/>
      <c r="AP42" s="18"/>
    </row>
    <row r="43" spans="1:42" s="11" customFormat="1" ht="27" customHeight="1" x14ac:dyDescent="0.25">
      <c r="A43" s="66" t="s">
        <v>29</v>
      </c>
      <c r="B43" s="1">
        <f t="shared" si="7"/>
        <v>36</v>
      </c>
      <c r="C43" s="20" t="s">
        <v>2080</v>
      </c>
      <c r="D43" s="20" t="s">
        <v>2084</v>
      </c>
      <c r="E43" s="65">
        <v>11787</v>
      </c>
      <c r="F43" s="19" t="s">
        <v>2068</v>
      </c>
      <c r="G43" s="9">
        <v>4143</v>
      </c>
      <c r="H43" s="9">
        <v>90573.786068950169</v>
      </c>
      <c r="I43" s="9">
        <v>321</v>
      </c>
      <c r="J43" s="9">
        <v>8699.0240126500012</v>
      </c>
      <c r="K43" s="10">
        <v>201</v>
      </c>
      <c r="L43" s="10">
        <v>25568.387152620002</v>
      </c>
      <c r="M43" s="10">
        <v>28</v>
      </c>
      <c r="N43" s="10">
        <v>4062.1042262600004</v>
      </c>
      <c r="O43" s="10">
        <v>3940</v>
      </c>
      <c r="P43" s="10">
        <v>61801.98552320007</v>
      </c>
      <c r="Q43" s="10">
        <v>293</v>
      </c>
      <c r="R43" s="10">
        <v>4636.9197863899981</v>
      </c>
      <c r="S43" s="10">
        <v>1</v>
      </c>
      <c r="T43" s="10">
        <v>476.09199999999998</v>
      </c>
      <c r="U43" s="10">
        <v>0</v>
      </c>
      <c r="V43" s="10">
        <v>0</v>
      </c>
      <c r="W43" s="10">
        <v>1</v>
      </c>
      <c r="X43" s="10">
        <v>2727.3213931300002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8">
        <f t="shared" si="6"/>
        <v>0</v>
      </c>
      <c r="AJ43" s="18">
        <f t="shared" si="3"/>
        <v>9.6406438387930393E-11</v>
      </c>
      <c r="AK43" s="18">
        <f t="shared" si="4"/>
        <v>0</v>
      </c>
      <c r="AL43" s="18">
        <f t="shared" si="5"/>
        <v>2.7284841053187847E-12</v>
      </c>
      <c r="AM43" s="18"/>
      <c r="AN43" s="18"/>
      <c r="AO43" s="18"/>
      <c r="AP43" s="18"/>
    </row>
    <row r="44" spans="1:42" s="11" customFormat="1" ht="27" customHeight="1" x14ac:dyDescent="0.25">
      <c r="A44" s="66" t="s">
        <v>29</v>
      </c>
      <c r="B44" s="1">
        <f t="shared" si="7"/>
        <v>37</v>
      </c>
      <c r="C44" s="20" t="s">
        <v>2080</v>
      </c>
      <c r="D44" s="20" t="s">
        <v>2086</v>
      </c>
      <c r="E44" s="65">
        <v>11943</v>
      </c>
      <c r="F44" s="19" t="s">
        <v>2087</v>
      </c>
      <c r="G44" s="9">
        <v>2257</v>
      </c>
      <c r="H44" s="9">
        <v>87583.860766960017</v>
      </c>
      <c r="I44" s="9">
        <v>405</v>
      </c>
      <c r="J44" s="9">
        <v>34994.602006000001</v>
      </c>
      <c r="K44" s="10">
        <v>128</v>
      </c>
      <c r="L44" s="10">
        <v>12724.44264601</v>
      </c>
      <c r="M44" s="10">
        <v>21</v>
      </c>
      <c r="N44" s="10">
        <v>4931.4672390700007</v>
      </c>
      <c r="O44" s="10">
        <v>2117</v>
      </c>
      <c r="P44" s="10">
        <v>41194.708803790054</v>
      </c>
      <c r="Q44" s="10">
        <v>375</v>
      </c>
      <c r="R44" s="10">
        <v>5612.2902236500031</v>
      </c>
      <c r="S44" s="10">
        <v>12</v>
      </c>
      <c r="T44" s="10">
        <v>33664.709317160006</v>
      </c>
      <c r="U44" s="10">
        <v>9</v>
      </c>
      <c r="V44" s="10">
        <v>24450.84454328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8">
        <f t="shared" si="6"/>
        <v>0</v>
      </c>
      <c r="AJ44" s="18">
        <f t="shared" si="3"/>
        <v>-3.637978807091713E-11</v>
      </c>
      <c r="AK44" s="18">
        <f t="shared" si="4"/>
        <v>0</v>
      </c>
      <c r="AL44" s="18">
        <f t="shared" si="5"/>
        <v>0</v>
      </c>
      <c r="AM44" s="18"/>
      <c r="AN44" s="18"/>
      <c r="AO44" s="18"/>
      <c r="AP44" s="18"/>
    </row>
    <row r="45" spans="1:42" s="11" customFormat="1" ht="27" customHeight="1" x14ac:dyDescent="0.25">
      <c r="A45" s="66" t="s">
        <v>29</v>
      </c>
      <c r="B45" s="1">
        <f t="shared" si="7"/>
        <v>38</v>
      </c>
      <c r="C45" s="20" t="s">
        <v>2080</v>
      </c>
      <c r="D45" s="20" t="s">
        <v>2095</v>
      </c>
      <c r="E45" s="65">
        <v>11978</v>
      </c>
      <c r="F45" s="19" t="s">
        <v>2060</v>
      </c>
      <c r="G45" s="9">
        <v>2383</v>
      </c>
      <c r="H45" s="9">
        <v>88766.81992822999</v>
      </c>
      <c r="I45" s="9">
        <v>65</v>
      </c>
      <c r="J45" s="9">
        <v>3837.5326707300001</v>
      </c>
      <c r="K45" s="10">
        <v>54</v>
      </c>
      <c r="L45" s="10">
        <v>6042.1544168499995</v>
      </c>
      <c r="M45" s="10">
        <v>0</v>
      </c>
      <c r="N45" s="10">
        <v>0</v>
      </c>
      <c r="O45" s="10">
        <v>2328</v>
      </c>
      <c r="P45" s="10">
        <v>45369.296961380074</v>
      </c>
      <c r="Q45" s="10">
        <v>65</v>
      </c>
      <c r="R45" s="10">
        <v>3837.5326707299996</v>
      </c>
      <c r="S45" s="10">
        <v>1</v>
      </c>
      <c r="T45" s="10">
        <v>37355.368549999999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8">
        <f t="shared" si="6"/>
        <v>0</v>
      </c>
      <c r="AJ45" s="18">
        <f t="shared" si="3"/>
        <v>-8.0035533756017685E-11</v>
      </c>
      <c r="AK45" s="18">
        <f t="shared" si="4"/>
        <v>0</v>
      </c>
      <c r="AL45" s="18">
        <f t="shared" si="5"/>
        <v>4.5474735088646412E-13</v>
      </c>
      <c r="AM45" s="18"/>
      <c r="AN45" s="18"/>
      <c r="AO45" s="18"/>
      <c r="AP45" s="18"/>
    </row>
    <row r="46" spans="1:42" s="11" customFormat="1" ht="27" customHeight="1" x14ac:dyDescent="0.25">
      <c r="A46" s="66" t="s">
        <v>30</v>
      </c>
      <c r="B46" s="1">
        <f t="shared" si="7"/>
        <v>39</v>
      </c>
      <c r="C46" s="20" t="s">
        <v>2096</v>
      </c>
      <c r="D46" s="20" t="s">
        <v>2105</v>
      </c>
      <c r="E46" s="65">
        <v>11349</v>
      </c>
      <c r="F46" s="19" t="s">
        <v>2079</v>
      </c>
      <c r="G46" s="9">
        <v>5320</v>
      </c>
      <c r="H46" s="9">
        <v>155044.88709701991</v>
      </c>
      <c r="I46" s="9">
        <v>225</v>
      </c>
      <c r="J46" s="9">
        <v>2651.3062672200003</v>
      </c>
      <c r="K46" s="10">
        <v>107</v>
      </c>
      <c r="L46" s="10">
        <v>29516.821154549994</v>
      </c>
      <c r="M46" s="10">
        <v>6</v>
      </c>
      <c r="N46" s="10">
        <v>535.40268842</v>
      </c>
      <c r="O46" s="10">
        <v>5175</v>
      </c>
      <c r="P46" s="10">
        <v>93386.648329139891</v>
      </c>
      <c r="Q46" s="10">
        <v>219</v>
      </c>
      <c r="R46" s="10">
        <v>2115.9035787999992</v>
      </c>
      <c r="S46" s="10">
        <v>38</v>
      </c>
      <c r="T46" s="10">
        <v>32141.417613330002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8">
        <f t="shared" si="6"/>
        <v>0</v>
      </c>
      <c r="AJ46" s="18">
        <f t="shared" si="3"/>
        <v>1.8189894035458565E-11</v>
      </c>
      <c r="AK46" s="18">
        <f t="shared" si="4"/>
        <v>0</v>
      </c>
      <c r="AL46" s="18">
        <f t="shared" si="5"/>
        <v>9.0949470177292824E-13</v>
      </c>
      <c r="AM46" s="18"/>
      <c r="AN46" s="18"/>
      <c r="AO46" s="18"/>
      <c r="AP46" s="18"/>
    </row>
    <row r="47" spans="1:42" s="11" customFormat="1" ht="27" customHeight="1" x14ac:dyDescent="0.25">
      <c r="A47" s="66" t="s">
        <v>30</v>
      </c>
      <c r="B47" s="1">
        <f t="shared" si="7"/>
        <v>40</v>
      </c>
      <c r="C47" s="20" t="s">
        <v>2096</v>
      </c>
      <c r="D47" s="20" t="s">
        <v>2097</v>
      </c>
      <c r="E47" s="65">
        <v>11385</v>
      </c>
      <c r="F47" s="19" t="s">
        <v>2043</v>
      </c>
      <c r="G47" s="9">
        <v>4707</v>
      </c>
      <c r="H47" s="9">
        <v>109436.08821556001</v>
      </c>
      <c r="I47" s="9">
        <v>280</v>
      </c>
      <c r="J47" s="9">
        <v>2913.9846055900007</v>
      </c>
      <c r="K47" s="10">
        <v>178</v>
      </c>
      <c r="L47" s="10">
        <v>31153.653746820004</v>
      </c>
      <c r="M47" s="10">
        <v>3</v>
      </c>
      <c r="N47" s="10">
        <v>69.796000000000006</v>
      </c>
      <c r="O47" s="10">
        <v>4519</v>
      </c>
      <c r="P47" s="10">
        <v>74233.520647790152</v>
      </c>
      <c r="Q47" s="10">
        <v>277</v>
      </c>
      <c r="R47" s="10">
        <v>2844.1886055900013</v>
      </c>
      <c r="S47" s="10">
        <v>10</v>
      </c>
      <c r="T47" s="10">
        <v>4048.9138209499997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8">
        <f t="shared" si="6"/>
        <v>0</v>
      </c>
      <c r="AJ47" s="18">
        <f t="shared" si="3"/>
        <v>-1.3642420526593924E-10</v>
      </c>
      <c r="AK47" s="18">
        <f t="shared" si="4"/>
        <v>0</v>
      </c>
      <c r="AL47" s="18">
        <f t="shared" si="5"/>
        <v>-4.5474735088646412E-13</v>
      </c>
      <c r="AM47" s="18"/>
      <c r="AN47" s="18"/>
      <c r="AO47" s="18"/>
      <c r="AP47" s="18"/>
    </row>
    <row r="48" spans="1:42" s="11" customFormat="1" ht="27" customHeight="1" x14ac:dyDescent="0.25">
      <c r="A48" s="66" t="s">
        <v>30</v>
      </c>
      <c r="B48" s="1">
        <f t="shared" si="7"/>
        <v>41</v>
      </c>
      <c r="C48" s="20" t="s">
        <v>2096</v>
      </c>
      <c r="D48" s="20" t="s">
        <v>2101</v>
      </c>
      <c r="E48" s="65">
        <v>11386</v>
      </c>
      <c r="F48" s="19" t="s">
        <v>2070</v>
      </c>
      <c r="G48" s="9">
        <v>5122</v>
      </c>
      <c r="H48" s="9">
        <v>266933.39151680993</v>
      </c>
      <c r="I48" s="9">
        <v>498</v>
      </c>
      <c r="J48" s="9">
        <v>142054.51914316</v>
      </c>
      <c r="K48" s="10">
        <v>103</v>
      </c>
      <c r="L48" s="10">
        <v>140948.19498573997</v>
      </c>
      <c r="M48" s="10">
        <v>11</v>
      </c>
      <c r="N48" s="10">
        <v>121544.90826045</v>
      </c>
      <c r="O48" s="10">
        <v>5010</v>
      </c>
      <c r="P48" s="10">
        <v>91389.034731220032</v>
      </c>
      <c r="Q48" s="10">
        <v>486</v>
      </c>
      <c r="R48" s="10">
        <v>6337.7725543599972</v>
      </c>
      <c r="S48" s="10">
        <v>8</v>
      </c>
      <c r="T48" s="10">
        <v>20424.3234715</v>
      </c>
      <c r="U48" s="10">
        <v>0</v>
      </c>
      <c r="V48" s="10">
        <v>0</v>
      </c>
      <c r="W48" s="10">
        <v>1</v>
      </c>
      <c r="X48" s="10">
        <v>14171.838328350001</v>
      </c>
      <c r="Y48" s="10">
        <v>1</v>
      </c>
      <c r="Z48" s="10">
        <v>14171.838328350001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8">
        <f t="shared" si="6"/>
        <v>0</v>
      </c>
      <c r="AJ48" s="18">
        <f t="shared" si="3"/>
        <v>-7.2759576141834259E-11</v>
      </c>
      <c r="AK48" s="18">
        <f t="shared" si="4"/>
        <v>0</v>
      </c>
      <c r="AL48" s="18">
        <f t="shared" si="5"/>
        <v>-1.8189894035458565E-12</v>
      </c>
      <c r="AM48" s="18"/>
      <c r="AN48" s="18"/>
      <c r="AO48" s="18"/>
      <c r="AP48" s="18"/>
    </row>
    <row r="49" spans="1:42" s="11" customFormat="1" ht="27" customHeight="1" x14ac:dyDescent="0.25">
      <c r="A49" s="66" t="s">
        <v>30</v>
      </c>
      <c r="B49" s="1">
        <f t="shared" si="7"/>
        <v>42</v>
      </c>
      <c r="C49" s="20" t="s">
        <v>2096</v>
      </c>
      <c r="D49" s="20" t="s">
        <v>2102</v>
      </c>
      <c r="E49" s="65">
        <v>11387</v>
      </c>
      <c r="F49" s="19" t="s">
        <v>2068</v>
      </c>
      <c r="G49" s="9">
        <v>3109</v>
      </c>
      <c r="H49" s="9">
        <v>88954.629553700011</v>
      </c>
      <c r="I49" s="9">
        <v>268</v>
      </c>
      <c r="J49" s="9">
        <v>22939.004950440001</v>
      </c>
      <c r="K49" s="10">
        <v>56</v>
      </c>
      <c r="L49" s="10">
        <v>7926.0524254900001</v>
      </c>
      <c r="M49" s="10">
        <v>0</v>
      </c>
      <c r="N49" s="10">
        <v>0</v>
      </c>
      <c r="O49" s="10">
        <v>3042</v>
      </c>
      <c r="P49" s="10">
        <v>47536.917612200035</v>
      </c>
      <c r="Q49" s="10">
        <v>267</v>
      </c>
      <c r="R49" s="10">
        <v>1514.8649504400005</v>
      </c>
      <c r="S49" s="10">
        <v>11</v>
      </c>
      <c r="T49" s="10">
        <v>33491.659516009997</v>
      </c>
      <c r="U49" s="10">
        <v>1</v>
      </c>
      <c r="V49" s="10">
        <v>21424.14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8">
        <f t="shared" si="6"/>
        <v>0</v>
      </c>
      <c r="AJ49" s="18">
        <f t="shared" si="3"/>
        <v>-1.4551915228366852E-11</v>
      </c>
      <c r="AK49" s="18">
        <f t="shared" si="4"/>
        <v>0</v>
      </c>
      <c r="AL49" s="18">
        <f t="shared" si="5"/>
        <v>0</v>
      </c>
      <c r="AM49" s="18"/>
      <c r="AN49" s="18"/>
      <c r="AO49" s="18"/>
      <c r="AP49" s="18"/>
    </row>
    <row r="50" spans="1:42" s="11" customFormat="1" ht="27" customHeight="1" x14ac:dyDescent="0.25">
      <c r="A50" s="66" t="s">
        <v>30</v>
      </c>
      <c r="B50" s="1">
        <f t="shared" si="7"/>
        <v>43</v>
      </c>
      <c r="C50" s="20" t="s">
        <v>2096</v>
      </c>
      <c r="D50" s="20" t="s">
        <v>2108</v>
      </c>
      <c r="E50" s="65">
        <v>11388</v>
      </c>
      <c r="F50" s="19" t="s">
        <v>2062</v>
      </c>
      <c r="G50" s="9">
        <v>4507</v>
      </c>
      <c r="H50" s="9">
        <v>73008.541276389995</v>
      </c>
      <c r="I50" s="9">
        <v>405</v>
      </c>
      <c r="J50" s="9">
        <v>5494.1949693900006</v>
      </c>
      <c r="K50" s="10">
        <v>89</v>
      </c>
      <c r="L50" s="10">
        <v>12198.058764700001</v>
      </c>
      <c r="M50" s="10">
        <v>7</v>
      </c>
      <c r="N50" s="10">
        <v>1792.6741620900002</v>
      </c>
      <c r="O50" s="10">
        <v>4406</v>
      </c>
      <c r="P50" s="10">
        <v>56725.724795260146</v>
      </c>
      <c r="Q50" s="10">
        <v>398</v>
      </c>
      <c r="R50" s="10">
        <v>3701.5208073000008</v>
      </c>
      <c r="S50" s="10">
        <v>12</v>
      </c>
      <c r="T50" s="10">
        <v>4084.7577164300005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8">
        <f t="shared" si="6"/>
        <v>0</v>
      </c>
      <c r="AJ50" s="18">
        <f t="shared" si="3"/>
        <v>-1.5143086784519255E-10</v>
      </c>
      <c r="AK50" s="18">
        <f t="shared" si="4"/>
        <v>0</v>
      </c>
      <c r="AL50" s="18">
        <f t="shared" si="5"/>
        <v>-4.5474735088646412E-13</v>
      </c>
      <c r="AM50" s="18"/>
      <c r="AN50" s="18"/>
      <c r="AO50" s="18"/>
      <c r="AP50" s="18"/>
    </row>
    <row r="51" spans="1:42" s="11" customFormat="1" ht="27" customHeight="1" x14ac:dyDescent="0.25">
      <c r="A51" s="66" t="s">
        <v>30</v>
      </c>
      <c r="B51" s="1">
        <f t="shared" si="7"/>
        <v>44</v>
      </c>
      <c r="C51" s="20" t="s">
        <v>2096</v>
      </c>
      <c r="D51" s="20" t="s">
        <v>2117</v>
      </c>
      <c r="E51" s="65">
        <v>11487</v>
      </c>
      <c r="F51" s="19" t="s">
        <v>2077</v>
      </c>
      <c r="G51" s="9">
        <v>5446</v>
      </c>
      <c r="H51" s="9">
        <v>151046.54853052998</v>
      </c>
      <c r="I51" s="9">
        <v>257</v>
      </c>
      <c r="J51" s="9">
        <v>1165.6189171499998</v>
      </c>
      <c r="K51" s="10">
        <v>140</v>
      </c>
      <c r="L51" s="10">
        <v>36893.663145670005</v>
      </c>
      <c r="M51" s="10">
        <v>1</v>
      </c>
      <c r="N51" s="10">
        <v>9.7527060299999988</v>
      </c>
      <c r="O51" s="10">
        <v>5297</v>
      </c>
      <c r="P51" s="10">
        <v>104638.02882133957</v>
      </c>
      <c r="Q51" s="10">
        <v>256</v>
      </c>
      <c r="R51" s="10">
        <v>1155.866211120001</v>
      </c>
      <c r="S51" s="10">
        <v>9</v>
      </c>
      <c r="T51" s="10">
        <v>9514.8565635200011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8">
        <f t="shared" si="6"/>
        <v>0</v>
      </c>
      <c r="AJ51" s="18">
        <f t="shared" si="3"/>
        <v>4.1291059460490942E-10</v>
      </c>
      <c r="AK51" s="18">
        <f t="shared" si="4"/>
        <v>0</v>
      </c>
      <c r="AL51" s="18">
        <f t="shared" si="5"/>
        <v>-1.1368683772161603E-12</v>
      </c>
      <c r="AM51" s="18"/>
      <c r="AN51" s="18"/>
      <c r="AO51" s="18"/>
      <c r="AP51" s="18"/>
    </row>
    <row r="52" spans="1:42" s="11" customFormat="1" ht="27" customHeight="1" x14ac:dyDescent="0.25">
      <c r="A52" s="66" t="s">
        <v>30</v>
      </c>
      <c r="B52" s="1">
        <f t="shared" si="7"/>
        <v>45</v>
      </c>
      <c r="C52" s="20" t="s">
        <v>2096</v>
      </c>
      <c r="D52" s="20" t="s">
        <v>2098</v>
      </c>
      <c r="E52" s="65">
        <v>11488</v>
      </c>
      <c r="F52" s="19" t="s">
        <v>2075</v>
      </c>
      <c r="G52" s="9">
        <v>3152</v>
      </c>
      <c r="H52" s="9">
        <v>72868.520766420013</v>
      </c>
      <c r="I52" s="9">
        <v>107</v>
      </c>
      <c r="J52" s="9">
        <v>886.06537436999986</v>
      </c>
      <c r="K52" s="10">
        <v>97</v>
      </c>
      <c r="L52" s="10">
        <v>16946.053882690008</v>
      </c>
      <c r="M52" s="10">
        <v>3</v>
      </c>
      <c r="N52" s="10">
        <v>141.80931581999999</v>
      </c>
      <c r="O52" s="10">
        <v>3050</v>
      </c>
      <c r="P52" s="10">
        <v>52694.274135890097</v>
      </c>
      <c r="Q52" s="10">
        <v>104</v>
      </c>
      <c r="R52" s="10">
        <v>744.25605855000038</v>
      </c>
      <c r="S52" s="10">
        <v>5</v>
      </c>
      <c r="T52" s="10">
        <v>3228.1927478400003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8">
        <f t="shared" si="6"/>
        <v>0</v>
      </c>
      <c r="AJ52" s="18">
        <f t="shared" si="3"/>
        <v>-9.1858964879065752E-11</v>
      </c>
      <c r="AK52" s="18">
        <f t="shared" si="4"/>
        <v>0</v>
      </c>
      <c r="AL52" s="18">
        <f t="shared" si="5"/>
        <v>-5.6843418860808015E-13</v>
      </c>
      <c r="AM52" s="18"/>
      <c r="AN52" s="18"/>
      <c r="AO52" s="18"/>
      <c r="AP52" s="18"/>
    </row>
    <row r="53" spans="1:42" s="11" customFormat="1" ht="27" customHeight="1" x14ac:dyDescent="0.25">
      <c r="A53" s="66" t="s">
        <v>30</v>
      </c>
      <c r="B53" s="1">
        <f t="shared" si="7"/>
        <v>46</v>
      </c>
      <c r="C53" s="20" t="s">
        <v>2096</v>
      </c>
      <c r="D53" s="20" t="s">
        <v>2116</v>
      </c>
      <c r="E53" s="65">
        <v>11489</v>
      </c>
      <c r="F53" s="19" t="s">
        <v>2066</v>
      </c>
      <c r="G53" s="9">
        <v>6081</v>
      </c>
      <c r="H53" s="9">
        <v>107704.93031629003</v>
      </c>
      <c r="I53" s="9">
        <v>312</v>
      </c>
      <c r="J53" s="9">
        <v>3601.6024484300001</v>
      </c>
      <c r="K53" s="10">
        <v>92</v>
      </c>
      <c r="L53" s="10">
        <v>11954.830413319996</v>
      </c>
      <c r="M53" s="10">
        <v>3</v>
      </c>
      <c r="N53" s="10">
        <v>1013.8306509199999</v>
      </c>
      <c r="O53" s="10">
        <v>5973</v>
      </c>
      <c r="P53" s="10">
        <v>86161.820550230041</v>
      </c>
      <c r="Q53" s="10">
        <v>309</v>
      </c>
      <c r="R53" s="10">
        <v>2587.7717975100036</v>
      </c>
      <c r="S53" s="10">
        <v>16</v>
      </c>
      <c r="T53" s="10">
        <v>9588.2793527399972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8">
        <f t="shared" si="6"/>
        <v>0</v>
      </c>
      <c r="AJ53" s="18">
        <f t="shared" si="3"/>
        <v>-5.4569682106375694E-12</v>
      </c>
      <c r="AK53" s="18">
        <f t="shared" si="4"/>
        <v>0</v>
      </c>
      <c r="AL53" s="18">
        <f t="shared" si="5"/>
        <v>-3.1832314562052488E-12</v>
      </c>
      <c r="AM53" s="18"/>
      <c r="AN53" s="18"/>
      <c r="AO53" s="18"/>
      <c r="AP53" s="18"/>
    </row>
    <row r="54" spans="1:42" s="11" customFormat="1" ht="27" customHeight="1" x14ac:dyDescent="0.25">
      <c r="A54" s="66" t="s">
        <v>30</v>
      </c>
      <c r="B54" s="1">
        <f t="shared" si="7"/>
        <v>47</v>
      </c>
      <c r="C54" s="20" t="s">
        <v>2096</v>
      </c>
      <c r="D54" s="20" t="s">
        <v>2104</v>
      </c>
      <c r="E54" s="65">
        <v>11490</v>
      </c>
      <c r="F54" s="19" t="s">
        <v>2054</v>
      </c>
      <c r="G54" s="9">
        <v>3958</v>
      </c>
      <c r="H54" s="9">
        <v>161989.07907502988</v>
      </c>
      <c r="I54" s="9">
        <v>290</v>
      </c>
      <c r="J54" s="9">
        <v>4447.6504222900003</v>
      </c>
      <c r="K54" s="10">
        <v>116</v>
      </c>
      <c r="L54" s="10">
        <v>27105.02146213</v>
      </c>
      <c r="M54" s="10">
        <v>5</v>
      </c>
      <c r="N54" s="10">
        <v>2291.1524454799996</v>
      </c>
      <c r="O54" s="10">
        <v>3811</v>
      </c>
      <c r="P54" s="10">
        <v>69390.859764829816</v>
      </c>
      <c r="Q54" s="10">
        <v>285</v>
      </c>
      <c r="R54" s="10">
        <v>2156.4979768100011</v>
      </c>
      <c r="S54" s="10">
        <v>31</v>
      </c>
      <c r="T54" s="10">
        <v>65493.197848069998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8">
        <f t="shared" si="6"/>
        <v>0</v>
      </c>
      <c r="AJ54" s="18">
        <f t="shared" si="3"/>
        <v>5.0931703299283981E-11</v>
      </c>
      <c r="AK54" s="18">
        <f t="shared" si="4"/>
        <v>0</v>
      </c>
      <c r="AL54" s="18">
        <f t="shared" si="5"/>
        <v>-4.5474735088646412E-13</v>
      </c>
      <c r="AM54" s="18"/>
      <c r="AN54" s="18"/>
      <c r="AO54" s="18"/>
      <c r="AP54" s="18"/>
    </row>
    <row r="55" spans="1:42" s="11" customFormat="1" ht="27" customHeight="1" x14ac:dyDescent="0.25">
      <c r="A55" s="66" t="s">
        <v>30</v>
      </c>
      <c r="B55" s="1">
        <f t="shared" si="7"/>
        <v>48</v>
      </c>
      <c r="C55" s="20" t="s">
        <v>2096</v>
      </c>
      <c r="D55" s="20" t="s">
        <v>2106</v>
      </c>
      <c r="E55" s="65">
        <v>11579</v>
      </c>
      <c r="F55" s="19" t="s">
        <v>2107</v>
      </c>
      <c r="G55" s="9">
        <v>4377</v>
      </c>
      <c r="H55" s="9">
        <v>307904.30674012995</v>
      </c>
      <c r="I55" s="9">
        <v>315</v>
      </c>
      <c r="J55" s="9">
        <v>6672.87105926</v>
      </c>
      <c r="K55" s="10">
        <v>130</v>
      </c>
      <c r="L55" s="10">
        <v>168237.43221596006</v>
      </c>
      <c r="M55" s="10">
        <v>6</v>
      </c>
      <c r="N55" s="10">
        <v>3685.4237879400002</v>
      </c>
      <c r="O55" s="10">
        <v>4188</v>
      </c>
      <c r="P55" s="10">
        <v>75879.749501549944</v>
      </c>
      <c r="Q55" s="10">
        <v>309</v>
      </c>
      <c r="R55" s="10">
        <v>2987.4472713200021</v>
      </c>
      <c r="S55" s="10">
        <v>59</v>
      </c>
      <c r="T55" s="10">
        <v>63787.125022620006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8">
        <f t="shared" si="6"/>
        <v>0</v>
      </c>
      <c r="AJ55" s="18">
        <f t="shared" si="3"/>
        <v>-5.8207660913467407E-11</v>
      </c>
      <c r="AK55" s="18">
        <f t="shared" si="4"/>
        <v>0</v>
      </c>
      <c r="AL55" s="18">
        <f t="shared" si="5"/>
        <v>-2.2737367544323206E-12</v>
      </c>
      <c r="AM55" s="18"/>
      <c r="AN55" s="18"/>
      <c r="AO55" s="18"/>
      <c r="AP55" s="18"/>
    </row>
    <row r="56" spans="1:42" s="11" customFormat="1" ht="27" customHeight="1" x14ac:dyDescent="0.25">
      <c r="A56" s="66" t="s">
        <v>30</v>
      </c>
      <c r="B56" s="1">
        <f t="shared" si="7"/>
        <v>49</v>
      </c>
      <c r="C56" s="20" t="s">
        <v>2096</v>
      </c>
      <c r="D56" s="20" t="s">
        <v>2110</v>
      </c>
      <c r="E56" s="65">
        <v>11580</v>
      </c>
      <c r="F56" s="19" t="s">
        <v>2047</v>
      </c>
      <c r="G56" s="9">
        <v>3262</v>
      </c>
      <c r="H56" s="9">
        <v>107476.40310984</v>
      </c>
      <c r="I56" s="9">
        <v>201</v>
      </c>
      <c r="J56" s="9">
        <v>1855.66151287</v>
      </c>
      <c r="K56" s="10">
        <v>105</v>
      </c>
      <c r="L56" s="10">
        <v>14882.24498886</v>
      </c>
      <c r="M56" s="10">
        <v>2</v>
      </c>
      <c r="N56" s="10">
        <v>67.577926059999996</v>
      </c>
      <c r="O56" s="10">
        <v>3110</v>
      </c>
      <c r="P56" s="10">
        <v>68054.456719019916</v>
      </c>
      <c r="Q56" s="10">
        <v>199</v>
      </c>
      <c r="R56" s="10">
        <v>1788.0835868100003</v>
      </c>
      <c r="S56" s="10">
        <v>47</v>
      </c>
      <c r="T56" s="10">
        <v>24539.701401960003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8">
        <f t="shared" si="6"/>
        <v>0</v>
      </c>
      <c r="AJ56" s="18">
        <f t="shared" si="3"/>
        <v>8.7311491370201111E-11</v>
      </c>
      <c r="AK56" s="18">
        <f t="shared" si="4"/>
        <v>0</v>
      </c>
      <c r="AL56" s="18">
        <f t="shared" si="5"/>
        <v>-2.2737367544323206E-13</v>
      </c>
      <c r="AM56" s="18"/>
      <c r="AN56" s="18"/>
      <c r="AO56" s="18"/>
      <c r="AP56" s="18"/>
    </row>
    <row r="57" spans="1:42" s="11" customFormat="1" ht="27" customHeight="1" x14ac:dyDescent="0.25">
      <c r="A57" s="66" t="s">
        <v>30</v>
      </c>
      <c r="B57" s="1">
        <f t="shared" si="7"/>
        <v>50</v>
      </c>
      <c r="C57" s="20" t="s">
        <v>2096</v>
      </c>
      <c r="D57" s="20" t="s">
        <v>2113</v>
      </c>
      <c r="E57" s="65">
        <v>11581</v>
      </c>
      <c r="F57" s="19" t="s">
        <v>2037</v>
      </c>
      <c r="G57" s="9">
        <v>6115</v>
      </c>
      <c r="H57" s="9">
        <v>96626.16961324001</v>
      </c>
      <c r="I57" s="9">
        <v>340</v>
      </c>
      <c r="J57" s="9">
        <v>3354.0285456500001</v>
      </c>
      <c r="K57" s="10">
        <v>85</v>
      </c>
      <c r="L57" s="10">
        <v>9027.5974417599973</v>
      </c>
      <c r="M57" s="10">
        <v>2</v>
      </c>
      <c r="N57" s="10">
        <v>200</v>
      </c>
      <c r="O57" s="10">
        <v>6024</v>
      </c>
      <c r="P57" s="10">
        <v>86253.928158519804</v>
      </c>
      <c r="Q57" s="10">
        <v>338</v>
      </c>
      <c r="R57" s="10">
        <v>3154.0285456499983</v>
      </c>
      <c r="S57" s="10">
        <v>6</v>
      </c>
      <c r="T57" s="10">
        <v>1344.6440129600001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8">
        <f t="shared" si="6"/>
        <v>0</v>
      </c>
      <c r="AJ57" s="18">
        <f t="shared" si="3"/>
        <v>2.1236701286397874E-10</v>
      </c>
      <c r="AK57" s="18">
        <f t="shared" si="4"/>
        <v>0</v>
      </c>
      <c r="AL57" s="18">
        <f t="shared" si="5"/>
        <v>1.8189894035458565E-12</v>
      </c>
      <c r="AM57" s="18"/>
      <c r="AN57" s="18"/>
      <c r="AO57" s="18"/>
      <c r="AP57" s="18"/>
    </row>
    <row r="58" spans="1:42" s="11" customFormat="1" ht="27" customHeight="1" x14ac:dyDescent="0.25">
      <c r="A58" s="66" t="s">
        <v>30</v>
      </c>
      <c r="B58" s="1">
        <f t="shared" si="7"/>
        <v>51</v>
      </c>
      <c r="C58" s="20" t="s">
        <v>2096</v>
      </c>
      <c r="D58" s="20" t="s">
        <v>2114</v>
      </c>
      <c r="E58" s="65">
        <v>11582</v>
      </c>
      <c r="F58" s="19" t="s">
        <v>2049</v>
      </c>
      <c r="G58" s="9">
        <v>3683</v>
      </c>
      <c r="H58" s="9">
        <v>97715.201359909988</v>
      </c>
      <c r="I58" s="9">
        <v>574</v>
      </c>
      <c r="J58" s="9">
        <v>2877.5347288000003</v>
      </c>
      <c r="K58" s="10">
        <v>106</v>
      </c>
      <c r="L58" s="10">
        <v>12544.738542170002</v>
      </c>
      <c r="M58" s="10">
        <v>1</v>
      </c>
      <c r="N58" s="10">
        <v>19.380470719999998</v>
      </c>
      <c r="O58" s="10">
        <v>3574</v>
      </c>
      <c r="P58" s="10">
        <v>83978.691112820001</v>
      </c>
      <c r="Q58" s="10">
        <v>573</v>
      </c>
      <c r="R58" s="10">
        <v>2858.1542580799965</v>
      </c>
      <c r="S58" s="10">
        <v>3</v>
      </c>
      <c r="T58" s="10">
        <v>1191.77170492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8">
        <f t="shared" si="6"/>
        <v>0</v>
      </c>
      <c r="AJ58" s="18">
        <f t="shared" si="3"/>
        <v>-1.4551915228366852E-11</v>
      </c>
      <c r="AK58" s="18">
        <f t="shared" si="4"/>
        <v>0</v>
      </c>
      <c r="AL58" s="18">
        <f t="shared" si="5"/>
        <v>3.637978807091713E-12</v>
      </c>
      <c r="AM58" s="18"/>
      <c r="AN58" s="18"/>
      <c r="AO58" s="18"/>
      <c r="AP58" s="18"/>
    </row>
    <row r="59" spans="1:42" s="11" customFormat="1" ht="27" customHeight="1" x14ac:dyDescent="0.25">
      <c r="A59" s="66" t="s">
        <v>30</v>
      </c>
      <c r="B59" s="1">
        <f t="shared" si="7"/>
        <v>52</v>
      </c>
      <c r="C59" s="20" t="s">
        <v>2096</v>
      </c>
      <c r="D59" s="20" t="s">
        <v>2099</v>
      </c>
      <c r="E59" s="65">
        <v>11633</v>
      </c>
      <c r="F59" s="19" t="s">
        <v>2100</v>
      </c>
      <c r="G59" s="9">
        <v>3643</v>
      </c>
      <c r="H59" s="9">
        <v>95824.996689899985</v>
      </c>
      <c r="I59" s="9">
        <v>321</v>
      </c>
      <c r="J59" s="9">
        <v>4280.5382675499995</v>
      </c>
      <c r="K59" s="10">
        <v>75</v>
      </c>
      <c r="L59" s="10">
        <v>36310.933281849997</v>
      </c>
      <c r="M59" s="10">
        <v>7</v>
      </c>
      <c r="N59" s="10">
        <v>870.04871662000005</v>
      </c>
      <c r="O59" s="10">
        <v>3562</v>
      </c>
      <c r="P59" s="10">
        <v>53546.14271028003</v>
      </c>
      <c r="Q59" s="10">
        <v>314</v>
      </c>
      <c r="R59" s="10">
        <v>3410.4895509300018</v>
      </c>
      <c r="S59" s="10">
        <v>6</v>
      </c>
      <c r="T59" s="10">
        <v>5967.9206977699996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8">
        <f t="shared" si="6"/>
        <v>0</v>
      </c>
      <c r="AJ59" s="18">
        <f t="shared" si="3"/>
        <v>-4.1836756281554699E-11</v>
      </c>
      <c r="AK59" s="18">
        <f t="shared" si="4"/>
        <v>0</v>
      </c>
      <c r="AL59" s="18">
        <f t="shared" si="5"/>
        <v>-2.2737367544323206E-12</v>
      </c>
      <c r="AM59" s="18"/>
      <c r="AN59" s="18"/>
      <c r="AO59" s="18"/>
      <c r="AP59" s="18"/>
    </row>
    <row r="60" spans="1:42" s="11" customFormat="1" ht="27" customHeight="1" x14ac:dyDescent="0.25">
      <c r="A60" s="66" t="s">
        <v>30</v>
      </c>
      <c r="B60" s="1">
        <f t="shared" si="7"/>
        <v>53</v>
      </c>
      <c r="C60" s="20" t="s">
        <v>2096</v>
      </c>
      <c r="D60" s="20" t="s">
        <v>2112</v>
      </c>
      <c r="E60" s="65">
        <v>11634</v>
      </c>
      <c r="F60" s="19" t="s">
        <v>2041</v>
      </c>
      <c r="G60" s="9">
        <v>3713</v>
      </c>
      <c r="H60" s="9">
        <v>70367.736331009961</v>
      </c>
      <c r="I60" s="9">
        <v>176</v>
      </c>
      <c r="J60" s="9">
        <v>1331.9379095800009</v>
      </c>
      <c r="K60" s="10">
        <v>134</v>
      </c>
      <c r="L60" s="10">
        <v>10111.341876190001</v>
      </c>
      <c r="M60" s="10">
        <v>0</v>
      </c>
      <c r="N60" s="10">
        <v>0</v>
      </c>
      <c r="O60" s="10">
        <v>3563</v>
      </c>
      <c r="P60" s="10">
        <v>56416.319698919862</v>
      </c>
      <c r="Q60" s="10">
        <v>176</v>
      </c>
      <c r="R60" s="10">
        <v>1331.9379095800005</v>
      </c>
      <c r="S60" s="10">
        <v>16</v>
      </c>
      <c r="T60" s="10">
        <v>3840.0747559000001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8">
        <f t="shared" si="6"/>
        <v>0</v>
      </c>
      <c r="AJ60" s="18">
        <f t="shared" si="3"/>
        <v>9.5496943686157465E-11</v>
      </c>
      <c r="AK60" s="18">
        <f t="shared" si="4"/>
        <v>0</v>
      </c>
      <c r="AL60" s="18">
        <f t="shared" si="5"/>
        <v>4.5474735088646412E-13</v>
      </c>
      <c r="AM60" s="18"/>
      <c r="AN60" s="18"/>
      <c r="AO60" s="18"/>
      <c r="AP60" s="18"/>
    </row>
    <row r="61" spans="1:42" s="11" customFormat="1" ht="27" customHeight="1" x14ac:dyDescent="0.25">
      <c r="A61" s="66" t="s">
        <v>30</v>
      </c>
      <c r="B61" s="1">
        <f t="shared" si="7"/>
        <v>54</v>
      </c>
      <c r="C61" s="20" t="s">
        <v>2096</v>
      </c>
      <c r="D61" s="20" t="s">
        <v>2115</v>
      </c>
      <c r="E61" s="65">
        <v>11782</v>
      </c>
      <c r="F61" s="19" t="s">
        <v>2087</v>
      </c>
      <c r="G61" s="9">
        <v>3387</v>
      </c>
      <c r="H61" s="9">
        <v>133532.83843421994</v>
      </c>
      <c r="I61" s="9">
        <v>156</v>
      </c>
      <c r="J61" s="9">
        <v>1417.0578757300002</v>
      </c>
      <c r="K61" s="10">
        <v>116</v>
      </c>
      <c r="L61" s="10">
        <v>13643.303260219998</v>
      </c>
      <c r="M61" s="10">
        <v>3</v>
      </c>
      <c r="N61" s="10">
        <v>32.710768170000001</v>
      </c>
      <c r="O61" s="10">
        <v>3248</v>
      </c>
      <c r="P61" s="10">
        <v>56285.54001038993</v>
      </c>
      <c r="Q61" s="10">
        <v>153</v>
      </c>
      <c r="R61" s="10">
        <v>1384.3471075600007</v>
      </c>
      <c r="S61" s="10">
        <v>23</v>
      </c>
      <c r="T61" s="10">
        <v>63603.995163609994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8">
        <f t="shared" si="6"/>
        <v>0</v>
      </c>
      <c r="AJ61" s="18">
        <f t="shared" si="3"/>
        <v>2.1827872842550278E-11</v>
      </c>
      <c r="AK61" s="18">
        <f t="shared" si="4"/>
        <v>0</v>
      </c>
      <c r="AL61" s="18">
        <f t="shared" si="5"/>
        <v>-4.5474735088646412E-13</v>
      </c>
      <c r="AM61" s="18"/>
      <c r="AN61" s="18"/>
      <c r="AO61" s="18"/>
      <c r="AP61" s="18"/>
    </row>
    <row r="62" spans="1:42" s="11" customFormat="1" ht="27" customHeight="1" x14ac:dyDescent="0.25">
      <c r="A62" s="66" t="s">
        <v>30</v>
      </c>
      <c r="B62" s="1">
        <f t="shared" si="7"/>
        <v>55</v>
      </c>
      <c r="C62" s="20" t="s">
        <v>2096</v>
      </c>
      <c r="D62" s="20" t="s">
        <v>2103</v>
      </c>
      <c r="E62" s="65">
        <v>11799</v>
      </c>
      <c r="F62" s="19" t="s">
        <v>2035</v>
      </c>
      <c r="G62" s="9">
        <v>5610</v>
      </c>
      <c r="H62" s="9">
        <v>240254.47646807006</v>
      </c>
      <c r="I62" s="9">
        <v>398</v>
      </c>
      <c r="J62" s="9">
        <v>46897.047364449994</v>
      </c>
      <c r="K62" s="10">
        <v>65</v>
      </c>
      <c r="L62" s="10">
        <v>49736.086826000006</v>
      </c>
      <c r="M62" s="10">
        <v>4</v>
      </c>
      <c r="N62" s="10">
        <v>5022.7548821599994</v>
      </c>
      <c r="O62" s="10">
        <v>5526</v>
      </c>
      <c r="P62" s="10">
        <v>131099.45989934023</v>
      </c>
      <c r="Q62" s="10">
        <v>391</v>
      </c>
      <c r="R62" s="10">
        <v>5381.7555808499928</v>
      </c>
      <c r="S62" s="10">
        <v>19</v>
      </c>
      <c r="T62" s="10">
        <v>59418.929742730004</v>
      </c>
      <c r="U62" s="10">
        <v>3</v>
      </c>
      <c r="V62" s="10">
        <v>36492.536901440006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8">
        <f t="shared" si="6"/>
        <v>0</v>
      </c>
      <c r="AJ62" s="18">
        <f t="shared" si="3"/>
        <v>-1.8917489796876907E-10</v>
      </c>
      <c r="AK62" s="18">
        <f t="shared" si="4"/>
        <v>0</v>
      </c>
      <c r="AL62" s="18">
        <f t="shared" si="5"/>
        <v>0</v>
      </c>
      <c r="AM62" s="18"/>
      <c r="AN62" s="18"/>
      <c r="AO62" s="18"/>
      <c r="AP62" s="18"/>
    </row>
    <row r="63" spans="1:42" s="11" customFormat="1" ht="27" customHeight="1" x14ac:dyDescent="0.25">
      <c r="A63" s="66" t="s">
        <v>30</v>
      </c>
      <c r="B63" s="1">
        <f t="shared" si="7"/>
        <v>56</v>
      </c>
      <c r="C63" s="20" t="s">
        <v>2096</v>
      </c>
      <c r="D63" s="20" t="s">
        <v>2109</v>
      </c>
      <c r="E63" s="65">
        <v>11800</v>
      </c>
      <c r="F63" s="19" t="s">
        <v>2073</v>
      </c>
      <c r="G63" s="9">
        <v>5025</v>
      </c>
      <c r="H63" s="9">
        <v>139731.70958534992</v>
      </c>
      <c r="I63" s="9">
        <v>373</v>
      </c>
      <c r="J63" s="9">
        <v>3107.1224530600002</v>
      </c>
      <c r="K63" s="10">
        <v>97</v>
      </c>
      <c r="L63" s="10">
        <v>23081.71392975999</v>
      </c>
      <c r="M63" s="10">
        <v>6</v>
      </c>
      <c r="N63" s="10">
        <v>247.12830754999999</v>
      </c>
      <c r="O63" s="10">
        <v>4883</v>
      </c>
      <c r="P63" s="10">
        <v>96903.433184610316</v>
      </c>
      <c r="Q63" s="10">
        <v>367</v>
      </c>
      <c r="R63" s="10">
        <v>2859.9941455100006</v>
      </c>
      <c r="S63" s="10">
        <v>45</v>
      </c>
      <c r="T63" s="10">
        <v>19746.562470979996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8">
        <f t="shared" si="6"/>
        <v>0</v>
      </c>
      <c r="AJ63" s="18">
        <f t="shared" si="3"/>
        <v>-3.8562575355172157E-10</v>
      </c>
      <c r="AK63" s="18">
        <f t="shared" si="4"/>
        <v>0</v>
      </c>
      <c r="AL63" s="18">
        <f t="shared" si="5"/>
        <v>-4.5474735088646412E-13</v>
      </c>
      <c r="AM63" s="18"/>
      <c r="AN63" s="18"/>
      <c r="AO63" s="18"/>
      <c r="AP63" s="18"/>
    </row>
    <row r="64" spans="1:42" s="11" customFormat="1" ht="27" customHeight="1" x14ac:dyDescent="0.25">
      <c r="A64" s="66" t="s">
        <v>30</v>
      </c>
      <c r="B64" s="1">
        <f t="shared" si="7"/>
        <v>57</v>
      </c>
      <c r="C64" s="20" t="s">
        <v>2096</v>
      </c>
      <c r="D64" s="20" t="s">
        <v>2111</v>
      </c>
      <c r="E64" s="65">
        <v>11801</v>
      </c>
      <c r="F64" s="19" t="s">
        <v>2064</v>
      </c>
      <c r="G64" s="9">
        <v>7217</v>
      </c>
      <c r="H64" s="9">
        <v>141285.01251536998</v>
      </c>
      <c r="I64" s="9">
        <v>576</v>
      </c>
      <c r="J64" s="9">
        <v>7825.7191238600008</v>
      </c>
      <c r="K64" s="10">
        <v>101</v>
      </c>
      <c r="L64" s="10">
        <v>13715.774780860005</v>
      </c>
      <c r="M64" s="10">
        <v>3</v>
      </c>
      <c r="N64" s="10">
        <v>213.50867879</v>
      </c>
      <c r="O64" s="10">
        <v>7100</v>
      </c>
      <c r="P64" s="10">
        <v>120276.76493934992</v>
      </c>
      <c r="Q64" s="10">
        <v>573</v>
      </c>
      <c r="R64" s="10">
        <v>7612.2104450699881</v>
      </c>
      <c r="S64" s="10">
        <v>16</v>
      </c>
      <c r="T64" s="10">
        <v>7292.4727951599998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8">
        <f t="shared" si="6"/>
        <v>0</v>
      </c>
      <c r="AJ64" s="18">
        <f t="shared" si="3"/>
        <v>5.0931703299283981E-11</v>
      </c>
      <c r="AK64" s="18">
        <f t="shared" si="4"/>
        <v>0</v>
      </c>
      <c r="AL64" s="18">
        <f t="shared" si="5"/>
        <v>1.2732925824820995E-11</v>
      </c>
      <c r="AM64" s="18"/>
      <c r="AN64" s="18"/>
      <c r="AO64" s="18"/>
      <c r="AP64" s="18"/>
    </row>
    <row r="65" spans="1:42" s="11" customFormat="1" ht="27" customHeight="1" x14ac:dyDescent="0.25">
      <c r="A65" s="66" t="s">
        <v>34</v>
      </c>
      <c r="B65" s="1">
        <f t="shared" si="7"/>
        <v>58</v>
      </c>
      <c r="C65" s="20" t="s">
        <v>2135</v>
      </c>
      <c r="D65" s="20" t="s">
        <v>2138</v>
      </c>
      <c r="E65" s="65">
        <v>12090</v>
      </c>
      <c r="F65" s="19" t="s">
        <v>2043</v>
      </c>
      <c r="G65" s="9">
        <v>957</v>
      </c>
      <c r="H65" s="9">
        <v>81744.296334739978</v>
      </c>
      <c r="I65" s="9">
        <v>4</v>
      </c>
      <c r="J65" s="9">
        <v>452.86863115000006</v>
      </c>
      <c r="K65" s="10">
        <v>188</v>
      </c>
      <c r="L65" s="10">
        <v>50031.916108389996</v>
      </c>
      <c r="M65" s="10">
        <v>1</v>
      </c>
      <c r="N65" s="10">
        <v>383.00239523000005</v>
      </c>
      <c r="O65" s="10">
        <v>768</v>
      </c>
      <c r="P65" s="10">
        <v>26487.270526349963</v>
      </c>
      <c r="Q65" s="10">
        <v>3</v>
      </c>
      <c r="R65" s="10">
        <v>69.866235920000008</v>
      </c>
      <c r="S65" s="10">
        <v>1</v>
      </c>
      <c r="T65" s="10">
        <v>5225.1097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8">
        <f t="shared" si="6"/>
        <v>0</v>
      </c>
      <c r="AJ65" s="18">
        <f t="shared" si="3"/>
        <v>1.9099388737231493E-11</v>
      </c>
      <c r="AK65" s="18">
        <f t="shared" si="4"/>
        <v>0</v>
      </c>
      <c r="AL65" s="18">
        <f t="shared" si="5"/>
        <v>0</v>
      </c>
      <c r="AM65" s="18"/>
      <c r="AN65" s="18"/>
      <c r="AO65" s="18"/>
      <c r="AP65" s="18"/>
    </row>
    <row r="66" spans="1:42" s="11" customFormat="1" ht="27" customHeight="1" x14ac:dyDescent="0.25">
      <c r="A66" s="66" t="s">
        <v>34</v>
      </c>
      <c r="B66" s="1">
        <f t="shared" si="7"/>
        <v>59</v>
      </c>
      <c r="C66" s="20" t="s">
        <v>2135</v>
      </c>
      <c r="D66" s="20" t="s">
        <v>2137</v>
      </c>
      <c r="E66" s="65">
        <v>12091</v>
      </c>
      <c r="F66" s="19" t="s">
        <v>2107</v>
      </c>
      <c r="G66" s="9">
        <v>337</v>
      </c>
      <c r="H66" s="9">
        <v>59225.595946550005</v>
      </c>
      <c r="I66" s="9">
        <v>3</v>
      </c>
      <c r="J66" s="9">
        <v>527.55602511999996</v>
      </c>
      <c r="K66" s="10">
        <v>55</v>
      </c>
      <c r="L66" s="10">
        <v>45763.496613060001</v>
      </c>
      <c r="M66" s="10">
        <v>1</v>
      </c>
      <c r="N66" s="10">
        <v>400</v>
      </c>
      <c r="O66" s="10">
        <v>278</v>
      </c>
      <c r="P66" s="10">
        <v>10138.385510150007</v>
      </c>
      <c r="Q66" s="10">
        <v>2</v>
      </c>
      <c r="R66" s="10">
        <v>127.55602512</v>
      </c>
      <c r="S66" s="10">
        <v>4</v>
      </c>
      <c r="T66" s="10">
        <v>3323.7138233400001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8">
        <f t="shared" si="6"/>
        <v>0</v>
      </c>
      <c r="AJ66" s="18">
        <f t="shared" si="3"/>
        <v>-1.8189894035458565E-12</v>
      </c>
      <c r="AK66" s="18">
        <f t="shared" si="4"/>
        <v>0</v>
      </c>
      <c r="AL66" s="18">
        <f t="shared" si="5"/>
        <v>-4.2632564145606011E-14</v>
      </c>
      <c r="AM66" s="18"/>
      <c r="AN66" s="18"/>
      <c r="AO66" s="18"/>
      <c r="AP66" s="18"/>
    </row>
    <row r="67" spans="1:42" s="11" customFormat="1" ht="27" customHeight="1" x14ac:dyDescent="0.25">
      <c r="A67" s="66" t="s">
        <v>34</v>
      </c>
      <c r="B67" s="1">
        <f t="shared" si="7"/>
        <v>60</v>
      </c>
      <c r="C67" s="20" t="s">
        <v>2135</v>
      </c>
      <c r="D67" s="20" t="s">
        <v>2136</v>
      </c>
      <c r="E67" s="65">
        <v>12097</v>
      </c>
      <c r="F67" s="19" t="s">
        <v>2054</v>
      </c>
      <c r="G67" s="9">
        <v>448</v>
      </c>
      <c r="H67" s="9">
        <v>55725.910437890001</v>
      </c>
      <c r="I67" s="9">
        <v>17</v>
      </c>
      <c r="J67" s="9">
        <v>1339.46368538</v>
      </c>
      <c r="K67" s="10">
        <v>77</v>
      </c>
      <c r="L67" s="10">
        <v>40980.408063170042</v>
      </c>
      <c r="M67" s="10">
        <v>5</v>
      </c>
      <c r="N67" s="10">
        <v>710.17777914999999</v>
      </c>
      <c r="O67" s="10">
        <v>371</v>
      </c>
      <c r="P67" s="10">
        <v>14745.502374720012</v>
      </c>
      <c r="Q67" s="10">
        <v>12</v>
      </c>
      <c r="R67" s="10">
        <v>629.28590623000002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8">
        <f t="shared" si="6"/>
        <v>0</v>
      </c>
      <c r="AJ67" s="18">
        <f t="shared" si="3"/>
        <v>-5.2750692702829838E-11</v>
      </c>
      <c r="AK67" s="18">
        <f t="shared" si="4"/>
        <v>0</v>
      </c>
      <c r="AL67" s="18">
        <f t="shared" si="5"/>
        <v>0</v>
      </c>
      <c r="AM67" s="18"/>
      <c r="AN67" s="18"/>
      <c r="AO67" s="18"/>
      <c r="AP67" s="18"/>
    </row>
    <row r="68" spans="1:42" s="11" customFormat="1" ht="27" customHeight="1" x14ac:dyDescent="0.25">
      <c r="A68" s="66" t="s">
        <v>42</v>
      </c>
      <c r="B68" s="1">
        <f t="shared" si="7"/>
        <v>61</v>
      </c>
      <c r="C68" s="20" t="s">
        <v>2118</v>
      </c>
      <c r="D68" s="20" t="s">
        <v>2122</v>
      </c>
      <c r="E68" s="65">
        <v>10818</v>
      </c>
      <c r="F68" s="19" t="s">
        <v>2035</v>
      </c>
      <c r="G68" s="9">
        <v>7613</v>
      </c>
      <c r="H68" s="9">
        <v>729748.76439393102</v>
      </c>
      <c r="I68" s="9">
        <v>1264</v>
      </c>
      <c r="J68" s="9">
        <v>68724.261299260019</v>
      </c>
      <c r="K68" s="10">
        <v>1110</v>
      </c>
      <c r="L68" s="10">
        <v>173705.41599520005</v>
      </c>
      <c r="M68" s="10">
        <v>280</v>
      </c>
      <c r="N68" s="10">
        <v>29700.24691586999</v>
      </c>
      <c r="O68" s="10">
        <v>6488</v>
      </c>
      <c r="P68" s="10">
        <v>453202.36281358148</v>
      </c>
      <c r="Q68" s="10">
        <v>983</v>
      </c>
      <c r="R68" s="10">
        <v>38956.018923949938</v>
      </c>
      <c r="S68" s="10">
        <v>15</v>
      </c>
      <c r="T68" s="10">
        <v>102840.98558515</v>
      </c>
      <c r="U68" s="10">
        <v>1</v>
      </c>
      <c r="V68" s="10">
        <v>67.995459439999991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8">
        <f t="shared" si="6"/>
        <v>0</v>
      </c>
      <c r="AJ68" s="18">
        <f t="shared" si="3"/>
        <v>-5.0931703299283981E-10</v>
      </c>
      <c r="AK68" s="18">
        <f t="shared" si="4"/>
        <v>0</v>
      </c>
      <c r="AL68" s="18">
        <f t="shared" si="5"/>
        <v>9.1517904365900904E-11</v>
      </c>
      <c r="AM68" s="18"/>
      <c r="AN68" s="18"/>
      <c r="AO68" s="18"/>
      <c r="AP68" s="18"/>
    </row>
    <row r="69" spans="1:42" s="11" customFormat="1" ht="27" customHeight="1" x14ac:dyDescent="0.25">
      <c r="A69" s="66" t="s">
        <v>42</v>
      </c>
      <c r="B69" s="1">
        <f t="shared" si="7"/>
        <v>62</v>
      </c>
      <c r="C69" s="20" t="s">
        <v>2118</v>
      </c>
      <c r="D69" s="20" t="s">
        <v>2121</v>
      </c>
      <c r="E69" s="65">
        <v>10819</v>
      </c>
      <c r="F69" s="19" t="s">
        <v>2100</v>
      </c>
      <c r="G69" s="9">
        <v>5014</v>
      </c>
      <c r="H69" s="9">
        <v>277745.41809794999</v>
      </c>
      <c r="I69" s="9">
        <v>393</v>
      </c>
      <c r="J69" s="9">
        <v>13748.719431539999</v>
      </c>
      <c r="K69" s="10">
        <v>716</v>
      </c>
      <c r="L69" s="10">
        <v>107535.70868283996</v>
      </c>
      <c r="M69" s="10">
        <v>81</v>
      </c>
      <c r="N69" s="10">
        <v>8456.6816118399984</v>
      </c>
      <c r="O69" s="10">
        <v>4289</v>
      </c>
      <c r="P69" s="10">
        <v>161919.7491335003</v>
      </c>
      <c r="Q69" s="10">
        <v>311</v>
      </c>
      <c r="R69" s="10">
        <v>5233.9565000699995</v>
      </c>
      <c r="S69" s="10">
        <v>9</v>
      </c>
      <c r="T69" s="10">
        <v>8289.9602816099996</v>
      </c>
      <c r="U69" s="10">
        <v>1</v>
      </c>
      <c r="V69" s="10">
        <v>58.081319630000003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8">
        <f t="shared" si="6"/>
        <v>0</v>
      </c>
      <c r="AJ69" s="18">
        <f t="shared" si="3"/>
        <v>-2.673914423212409E-10</v>
      </c>
      <c r="AK69" s="18">
        <f t="shared" si="4"/>
        <v>0</v>
      </c>
      <c r="AL69" s="18">
        <f t="shared" si="5"/>
        <v>1.4139800441625994E-12</v>
      </c>
      <c r="AM69" s="18"/>
      <c r="AN69" s="18"/>
      <c r="AO69" s="18"/>
      <c r="AP69" s="18"/>
    </row>
    <row r="70" spans="1:42" s="11" customFormat="1" ht="27" customHeight="1" x14ac:dyDescent="0.25">
      <c r="A70" s="66" t="s">
        <v>42</v>
      </c>
      <c r="B70" s="1">
        <f t="shared" si="7"/>
        <v>63</v>
      </c>
      <c r="C70" s="20" t="s">
        <v>2118</v>
      </c>
      <c r="D70" s="20" t="s">
        <v>2120</v>
      </c>
      <c r="E70" s="65">
        <v>10820</v>
      </c>
      <c r="F70" s="19" t="s">
        <v>2039</v>
      </c>
      <c r="G70" s="9">
        <v>6503</v>
      </c>
      <c r="H70" s="9">
        <v>391108.70083299966</v>
      </c>
      <c r="I70" s="9">
        <v>1368</v>
      </c>
      <c r="J70" s="9">
        <v>52562.353774590039</v>
      </c>
      <c r="K70" s="10">
        <v>916</v>
      </c>
      <c r="L70" s="10">
        <v>127339.68293640987</v>
      </c>
      <c r="M70" s="10">
        <v>245</v>
      </c>
      <c r="N70" s="10">
        <v>22339.423517000007</v>
      </c>
      <c r="O70" s="10">
        <v>5582</v>
      </c>
      <c r="P70" s="10">
        <v>251340.50543031958</v>
      </c>
      <c r="Q70" s="10">
        <v>1123</v>
      </c>
      <c r="R70" s="10">
        <v>30222.930257590029</v>
      </c>
      <c r="S70" s="10">
        <v>5</v>
      </c>
      <c r="T70" s="10">
        <v>12428.51246627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8">
        <f t="shared" si="6"/>
        <v>0</v>
      </c>
      <c r="AJ70" s="18">
        <f t="shared" si="3"/>
        <v>2.4374458007514477E-10</v>
      </c>
      <c r="AK70" s="18">
        <f t="shared" si="4"/>
        <v>0</v>
      </c>
      <c r="AL70" s="18">
        <f t="shared" si="5"/>
        <v>3.637978807091713E-12</v>
      </c>
      <c r="AM70" s="18"/>
      <c r="AN70" s="18"/>
      <c r="AO70" s="18"/>
      <c r="AP70" s="18"/>
    </row>
    <row r="71" spans="1:42" s="11" customFormat="1" ht="27" customHeight="1" x14ac:dyDescent="0.25">
      <c r="A71" s="66" t="s">
        <v>42</v>
      </c>
      <c r="B71" s="1">
        <f t="shared" si="7"/>
        <v>64</v>
      </c>
      <c r="C71" s="20" t="s">
        <v>2118</v>
      </c>
      <c r="D71" s="20" t="s">
        <v>2119</v>
      </c>
      <c r="E71" s="65">
        <v>12129</v>
      </c>
      <c r="F71" s="19" t="s">
        <v>2043</v>
      </c>
      <c r="G71" s="9">
        <v>2991</v>
      </c>
      <c r="H71" s="9">
        <v>188421.3084320302</v>
      </c>
      <c r="I71" s="9">
        <v>351</v>
      </c>
      <c r="J71" s="9">
        <v>17712.444775460001</v>
      </c>
      <c r="K71" s="10">
        <v>638</v>
      </c>
      <c r="L71" s="10">
        <v>68647.700948290018</v>
      </c>
      <c r="M71" s="10">
        <v>128</v>
      </c>
      <c r="N71" s="10">
        <v>13170.416880180001</v>
      </c>
      <c r="O71" s="10">
        <v>2352</v>
      </c>
      <c r="P71" s="10">
        <v>118991.6263737399</v>
      </c>
      <c r="Q71" s="10">
        <v>223</v>
      </c>
      <c r="R71" s="10">
        <v>4542.0278952800008</v>
      </c>
      <c r="S71" s="10">
        <v>1</v>
      </c>
      <c r="T71" s="10">
        <v>781.98110999999994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8">
        <f t="shared" si="6"/>
        <v>0</v>
      </c>
      <c r="AJ71" s="18">
        <f t="shared" ref="AJ71:AJ102" si="8">+H71-L71-P71-T71-X71-AB71-AF71</f>
        <v>2.8444446797948331E-10</v>
      </c>
      <c r="AK71" s="18">
        <f t="shared" ref="AK71:AK102" si="9">+I71-M71-Q71-U71-Y71-AC71-AG71</f>
        <v>0</v>
      </c>
      <c r="AL71" s="18">
        <f t="shared" ref="AL71:AL102" si="10">+J71-N71-R71-V71-Z71-AD71-AH71</f>
        <v>-9.0949470177292824E-13</v>
      </c>
      <c r="AM71" s="18"/>
      <c r="AN71" s="18"/>
      <c r="AO71" s="18"/>
      <c r="AP71" s="18"/>
    </row>
    <row r="72" spans="1:42" s="11" customFormat="1" ht="27" customHeight="1" x14ac:dyDescent="0.25">
      <c r="A72" s="66" t="s">
        <v>42</v>
      </c>
      <c r="B72" s="1">
        <f t="shared" si="7"/>
        <v>65</v>
      </c>
      <c r="C72" s="20" t="s">
        <v>2118</v>
      </c>
      <c r="D72" s="20" t="s">
        <v>2230</v>
      </c>
      <c r="E72" s="65">
        <v>12213</v>
      </c>
      <c r="F72" s="19" t="s">
        <v>2066</v>
      </c>
      <c r="G72" s="9">
        <v>734</v>
      </c>
      <c r="H72" s="9">
        <v>36878.018087220007</v>
      </c>
      <c r="I72" s="9">
        <v>26</v>
      </c>
      <c r="J72" s="9">
        <v>1871.5112492200001</v>
      </c>
      <c r="K72" s="10">
        <v>139</v>
      </c>
      <c r="L72" s="10">
        <v>10591.42940526</v>
      </c>
      <c r="M72" s="10">
        <v>20</v>
      </c>
      <c r="N72" s="10">
        <v>1759.1764676399998</v>
      </c>
      <c r="O72" s="10">
        <v>595</v>
      </c>
      <c r="P72" s="10">
        <v>26286.588681959962</v>
      </c>
      <c r="Q72" s="10">
        <v>6</v>
      </c>
      <c r="R72" s="10">
        <v>112.33478158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8">
        <f t="shared" ref="AI72:AI102" si="11">+G72-K72-O72-S72-W72-AA72-AE72</f>
        <v>0</v>
      </c>
      <c r="AJ72" s="18">
        <f t="shared" si="8"/>
        <v>4.3655745685100555E-11</v>
      </c>
      <c r="AK72" s="18">
        <f t="shared" si="9"/>
        <v>0</v>
      </c>
      <c r="AL72" s="18">
        <f t="shared" si="10"/>
        <v>2.5579538487363607E-13</v>
      </c>
      <c r="AM72" s="18"/>
      <c r="AN72" s="18"/>
      <c r="AO72" s="18"/>
      <c r="AP72" s="18"/>
    </row>
    <row r="73" spans="1:42" s="11" customFormat="1" ht="27" customHeight="1" x14ac:dyDescent="0.25">
      <c r="A73" s="66" t="s">
        <v>31</v>
      </c>
      <c r="B73" s="1">
        <f t="shared" ref="B73:B102" si="12">+B72+1</f>
        <v>66</v>
      </c>
      <c r="C73" s="20" t="s">
        <v>2123</v>
      </c>
      <c r="D73" s="20" t="s">
        <v>2124</v>
      </c>
      <c r="E73" s="65">
        <v>11291</v>
      </c>
      <c r="F73" s="19" t="s">
        <v>2107</v>
      </c>
      <c r="G73" s="9">
        <v>3679</v>
      </c>
      <c r="H73" s="9">
        <v>1240924.11007962</v>
      </c>
      <c r="I73" s="9">
        <v>16</v>
      </c>
      <c r="J73" s="9">
        <v>893.79948249999995</v>
      </c>
      <c r="K73" s="10">
        <v>201</v>
      </c>
      <c r="L73" s="10">
        <v>169405.39804266</v>
      </c>
      <c r="M73" s="10">
        <v>5</v>
      </c>
      <c r="N73" s="10">
        <v>641.05079080000007</v>
      </c>
      <c r="O73" s="10">
        <v>3461</v>
      </c>
      <c r="P73" s="10">
        <v>327614.39017605991</v>
      </c>
      <c r="Q73" s="10">
        <v>11</v>
      </c>
      <c r="R73" s="10">
        <v>252.74869169999999</v>
      </c>
      <c r="S73" s="10">
        <v>17</v>
      </c>
      <c r="T73" s="10">
        <v>743904.32186090003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8">
        <f t="shared" si="11"/>
        <v>0</v>
      </c>
      <c r="AJ73" s="18">
        <f t="shared" si="8"/>
        <v>1.1641532182693481E-10</v>
      </c>
      <c r="AK73" s="18">
        <f t="shared" si="9"/>
        <v>0</v>
      </c>
      <c r="AL73" s="18">
        <f t="shared" si="10"/>
        <v>-1.1368683772161603E-13</v>
      </c>
      <c r="AM73" s="18"/>
      <c r="AN73" s="18"/>
      <c r="AO73" s="18"/>
      <c r="AP73" s="18"/>
    </row>
    <row r="74" spans="1:42" s="11" customFormat="1" ht="27" customHeight="1" x14ac:dyDescent="0.25">
      <c r="A74" s="66" t="s">
        <v>35</v>
      </c>
      <c r="B74" s="1">
        <f t="shared" si="12"/>
        <v>67</v>
      </c>
      <c r="C74" s="20" t="s">
        <v>2139</v>
      </c>
      <c r="D74" s="20" t="s">
        <v>2140</v>
      </c>
      <c r="E74" s="65">
        <v>11443</v>
      </c>
      <c r="F74" s="19" t="s">
        <v>2073</v>
      </c>
      <c r="G74" s="9">
        <v>2721</v>
      </c>
      <c r="H74" s="9">
        <v>156577.54228864997</v>
      </c>
      <c r="I74" s="9">
        <v>58</v>
      </c>
      <c r="J74" s="9">
        <v>1307.7760041099998</v>
      </c>
      <c r="K74" s="10">
        <v>245</v>
      </c>
      <c r="L74" s="10">
        <v>59780.819698280036</v>
      </c>
      <c r="M74" s="10">
        <v>2</v>
      </c>
      <c r="N74" s="10">
        <v>597.54689338000003</v>
      </c>
      <c r="O74" s="10">
        <v>2464</v>
      </c>
      <c r="P74" s="10">
        <v>64952.291047609971</v>
      </c>
      <c r="Q74" s="10">
        <v>56</v>
      </c>
      <c r="R74" s="10">
        <v>710.22911073</v>
      </c>
      <c r="S74" s="10">
        <v>12</v>
      </c>
      <c r="T74" s="10">
        <v>31844.431542759998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8">
        <f t="shared" si="11"/>
        <v>0</v>
      </c>
      <c r="AJ74" s="18">
        <f t="shared" si="8"/>
        <v>-4.0017766878008842E-11</v>
      </c>
      <c r="AK74" s="18">
        <f t="shared" si="9"/>
        <v>0</v>
      </c>
      <c r="AL74" s="18">
        <f t="shared" si="10"/>
        <v>-2.2737367544323206E-13</v>
      </c>
      <c r="AM74" s="18"/>
      <c r="AN74" s="18"/>
      <c r="AO74" s="18"/>
      <c r="AP74" s="18"/>
    </row>
    <row r="75" spans="1:42" s="11" customFormat="1" ht="27" customHeight="1" x14ac:dyDescent="0.25">
      <c r="A75" s="66" t="s">
        <v>35</v>
      </c>
      <c r="B75" s="1">
        <f t="shared" si="12"/>
        <v>68</v>
      </c>
      <c r="C75" s="20" t="s">
        <v>2139</v>
      </c>
      <c r="D75" s="20" t="s">
        <v>2141</v>
      </c>
      <c r="E75" s="65">
        <v>11444</v>
      </c>
      <c r="F75" s="19" t="s">
        <v>2039</v>
      </c>
      <c r="G75" s="9">
        <v>3633</v>
      </c>
      <c r="H75" s="9">
        <v>232159.55835134999</v>
      </c>
      <c r="I75" s="9">
        <v>86</v>
      </c>
      <c r="J75" s="9">
        <v>2008.1962950499997</v>
      </c>
      <c r="K75" s="10">
        <v>198</v>
      </c>
      <c r="L75" s="10">
        <v>22445.581599099998</v>
      </c>
      <c r="M75" s="10">
        <v>5</v>
      </c>
      <c r="N75" s="10">
        <v>516.74957517999997</v>
      </c>
      <c r="O75" s="10">
        <v>3323</v>
      </c>
      <c r="P75" s="10">
        <v>86436.975124909775</v>
      </c>
      <c r="Q75" s="10">
        <v>81</v>
      </c>
      <c r="R75" s="10">
        <v>1491.4467198700008</v>
      </c>
      <c r="S75" s="10">
        <v>110</v>
      </c>
      <c r="T75" s="10">
        <v>122981.20734486997</v>
      </c>
      <c r="U75" s="10">
        <v>0</v>
      </c>
      <c r="V75" s="10">
        <v>0</v>
      </c>
      <c r="W75" s="10">
        <v>2</v>
      </c>
      <c r="X75" s="10">
        <v>295.79428246999998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8">
        <f t="shared" si="11"/>
        <v>0</v>
      </c>
      <c r="AJ75" s="18">
        <f t="shared" si="8"/>
        <v>2.4772361939540133E-10</v>
      </c>
      <c r="AK75" s="18">
        <f t="shared" si="9"/>
        <v>0</v>
      </c>
      <c r="AL75" s="18">
        <f t="shared" si="10"/>
        <v>-1.1368683772161603E-12</v>
      </c>
      <c r="AM75" s="18"/>
      <c r="AN75" s="18"/>
      <c r="AO75" s="18"/>
      <c r="AP75" s="18"/>
    </row>
    <row r="76" spans="1:42" s="11" customFormat="1" ht="27" customHeight="1" x14ac:dyDescent="0.25">
      <c r="A76" s="66" t="s">
        <v>35</v>
      </c>
      <c r="B76" s="1">
        <f t="shared" si="12"/>
        <v>69</v>
      </c>
      <c r="C76" s="20" t="s">
        <v>2139</v>
      </c>
      <c r="D76" s="20" t="s">
        <v>2142</v>
      </c>
      <c r="E76" s="65">
        <v>11445</v>
      </c>
      <c r="F76" s="19" t="s">
        <v>2049</v>
      </c>
      <c r="G76" s="9">
        <v>4730</v>
      </c>
      <c r="H76" s="9">
        <v>315686.70144726028</v>
      </c>
      <c r="I76" s="9">
        <v>131</v>
      </c>
      <c r="J76" s="9">
        <v>4171.5567117699984</v>
      </c>
      <c r="K76" s="10">
        <v>449</v>
      </c>
      <c r="L76" s="10">
        <v>87659.53784193004</v>
      </c>
      <c r="M76" s="10">
        <v>6</v>
      </c>
      <c r="N76" s="10">
        <v>528.90882947</v>
      </c>
      <c r="O76" s="10">
        <v>4245</v>
      </c>
      <c r="P76" s="10">
        <v>175940.72782067963</v>
      </c>
      <c r="Q76" s="10">
        <v>125</v>
      </c>
      <c r="R76" s="10">
        <v>3642.6478823000002</v>
      </c>
      <c r="S76" s="10">
        <v>32</v>
      </c>
      <c r="T76" s="10">
        <v>39274.15356798999</v>
      </c>
      <c r="U76" s="10">
        <v>0</v>
      </c>
      <c r="V76" s="10">
        <v>0</v>
      </c>
      <c r="W76" s="10">
        <v>4</v>
      </c>
      <c r="X76" s="10">
        <v>12812.28221666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8">
        <f t="shared" si="11"/>
        <v>0</v>
      </c>
      <c r="AJ76" s="18">
        <f t="shared" si="8"/>
        <v>5.9844751376658678E-10</v>
      </c>
      <c r="AK76" s="18">
        <f t="shared" si="9"/>
        <v>0</v>
      </c>
      <c r="AL76" s="18">
        <f t="shared" si="10"/>
        <v>-1.8189894035458565E-12</v>
      </c>
      <c r="AM76" s="18"/>
      <c r="AN76" s="18"/>
      <c r="AO76" s="18"/>
      <c r="AP76" s="18"/>
    </row>
    <row r="77" spans="1:42" s="11" customFormat="1" ht="27" customHeight="1" x14ac:dyDescent="0.25">
      <c r="A77" s="66" t="s">
        <v>35</v>
      </c>
      <c r="B77" s="1">
        <f t="shared" si="12"/>
        <v>70</v>
      </c>
      <c r="C77" s="20" t="s">
        <v>2139</v>
      </c>
      <c r="D77" s="20" t="s">
        <v>2143</v>
      </c>
      <c r="E77" s="65">
        <v>11446</v>
      </c>
      <c r="F77" s="19" t="s">
        <v>2037</v>
      </c>
      <c r="G77" s="9">
        <v>3821</v>
      </c>
      <c r="H77" s="9">
        <v>227670.17571088977</v>
      </c>
      <c r="I77" s="9">
        <v>76</v>
      </c>
      <c r="J77" s="9">
        <v>1653.9582772100002</v>
      </c>
      <c r="K77" s="10">
        <v>453</v>
      </c>
      <c r="L77" s="10">
        <v>109857.49666967994</v>
      </c>
      <c r="M77" s="10">
        <v>2</v>
      </c>
      <c r="N77" s="10">
        <v>250.77123209999999</v>
      </c>
      <c r="O77" s="10">
        <v>3349</v>
      </c>
      <c r="P77" s="10">
        <v>97132.544718350182</v>
      </c>
      <c r="Q77" s="10">
        <v>74</v>
      </c>
      <c r="R77" s="10">
        <v>1403.1870451099999</v>
      </c>
      <c r="S77" s="10">
        <v>14</v>
      </c>
      <c r="T77" s="10">
        <v>18448.594636750004</v>
      </c>
      <c r="U77" s="10">
        <v>0</v>
      </c>
      <c r="V77" s="10">
        <v>0</v>
      </c>
      <c r="W77" s="10">
        <v>5</v>
      </c>
      <c r="X77" s="10">
        <v>2231.5396861100003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8">
        <f t="shared" si="11"/>
        <v>0</v>
      </c>
      <c r="AJ77" s="18">
        <f t="shared" si="8"/>
        <v>-3.5151970223523676E-10</v>
      </c>
      <c r="AK77" s="18">
        <f t="shared" si="9"/>
        <v>0</v>
      </c>
      <c r="AL77" s="18">
        <f t="shared" si="10"/>
        <v>4.5474735088646412E-13</v>
      </c>
      <c r="AM77" s="18"/>
      <c r="AN77" s="18"/>
      <c r="AO77" s="18"/>
      <c r="AP77" s="18"/>
    </row>
    <row r="78" spans="1:42" s="11" customFormat="1" ht="27" customHeight="1" x14ac:dyDescent="0.25">
      <c r="A78" s="66" t="s">
        <v>35</v>
      </c>
      <c r="B78" s="1">
        <f t="shared" si="12"/>
        <v>71</v>
      </c>
      <c r="C78" s="20" t="s">
        <v>2139</v>
      </c>
      <c r="D78" s="20" t="s">
        <v>2144</v>
      </c>
      <c r="E78" s="65">
        <v>11447</v>
      </c>
      <c r="F78" s="19" t="s">
        <v>2047</v>
      </c>
      <c r="G78" s="9">
        <v>3806</v>
      </c>
      <c r="H78" s="9">
        <v>242111.96990988008</v>
      </c>
      <c r="I78" s="9">
        <v>108</v>
      </c>
      <c r="J78" s="9">
        <v>1123.8523095900002</v>
      </c>
      <c r="K78" s="10">
        <v>195</v>
      </c>
      <c r="L78" s="10">
        <v>83455.685193040146</v>
      </c>
      <c r="M78" s="10">
        <v>0</v>
      </c>
      <c r="N78" s="10">
        <v>0</v>
      </c>
      <c r="O78" s="10">
        <v>3577</v>
      </c>
      <c r="P78" s="10">
        <v>102355.04162849014</v>
      </c>
      <c r="Q78" s="10">
        <v>108</v>
      </c>
      <c r="R78" s="10">
        <v>1123.8523095900009</v>
      </c>
      <c r="S78" s="10">
        <v>32</v>
      </c>
      <c r="T78" s="10">
        <v>54874.438785479986</v>
      </c>
      <c r="U78" s="10">
        <v>0</v>
      </c>
      <c r="V78" s="10">
        <v>0</v>
      </c>
      <c r="W78" s="10">
        <v>2</v>
      </c>
      <c r="X78" s="10">
        <v>1426.8043028699999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8">
        <f t="shared" si="11"/>
        <v>0</v>
      </c>
      <c r="AJ78" s="18">
        <f t="shared" si="8"/>
        <v>-1.9872459233738482E-10</v>
      </c>
      <c r="AK78" s="18">
        <f t="shared" si="9"/>
        <v>0</v>
      </c>
      <c r="AL78" s="18">
        <f t="shared" si="10"/>
        <v>-6.8212102632969618E-13</v>
      </c>
      <c r="AM78" s="18"/>
      <c r="AN78" s="18"/>
      <c r="AO78" s="18"/>
      <c r="AP78" s="18"/>
    </row>
    <row r="79" spans="1:42" s="11" customFormat="1" ht="27" customHeight="1" x14ac:dyDescent="0.25">
      <c r="A79" s="66" t="s">
        <v>35</v>
      </c>
      <c r="B79" s="1">
        <f t="shared" si="12"/>
        <v>72</v>
      </c>
      <c r="C79" s="20" t="s">
        <v>2139</v>
      </c>
      <c r="D79" s="20" t="s">
        <v>2145</v>
      </c>
      <c r="E79" s="65">
        <v>11448</v>
      </c>
      <c r="F79" s="19" t="s">
        <v>2035</v>
      </c>
      <c r="G79" s="9">
        <v>3980</v>
      </c>
      <c r="H79" s="9">
        <v>166559.92925947995</v>
      </c>
      <c r="I79" s="9">
        <v>137</v>
      </c>
      <c r="J79" s="9">
        <v>3086.7157845399993</v>
      </c>
      <c r="K79" s="10">
        <v>168</v>
      </c>
      <c r="L79" s="10">
        <v>34340.056788389993</v>
      </c>
      <c r="M79" s="10">
        <v>4</v>
      </c>
      <c r="N79" s="10">
        <v>1399.87234984</v>
      </c>
      <c r="O79" s="10">
        <v>3787</v>
      </c>
      <c r="P79" s="10">
        <v>89181.392325549838</v>
      </c>
      <c r="Q79" s="10">
        <v>133</v>
      </c>
      <c r="R79" s="10">
        <v>1686.8434347000002</v>
      </c>
      <c r="S79" s="10">
        <v>22</v>
      </c>
      <c r="T79" s="10">
        <v>39231.835178340007</v>
      </c>
      <c r="U79" s="10">
        <v>0</v>
      </c>
      <c r="V79" s="10">
        <v>0</v>
      </c>
      <c r="W79" s="10">
        <v>3</v>
      </c>
      <c r="X79" s="10">
        <v>3806.6449671999999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8">
        <f t="shared" si="11"/>
        <v>0</v>
      </c>
      <c r="AJ79" s="18">
        <f t="shared" si="8"/>
        <v>9.6406438387930393E-11</v>
      </c>
      <c r="AK79" s="18">
        <f t="shared" si="9"/>
        <v>0</v>
      </c>
      <c r="AL79" s="18">
        <f t="shared" si="10"/>
        <v>-9.0949470177292824E-13</v>
      </c>
      <c r="AM79" s="18"/>
      <c r="AN79" s="18"/>
      <c r="AO79" s="18"/>
      <c r="AP79" s="18"/>
    </row>
    <row r="80" spans="1:42" s="11" customFormat="1" ht="27" customHeight="1" x14ac:dyDescent="0.25">
      <c r="A80" s="66" t="s">
        <v>32</v>
      </c>
      <c r="B80" s="1">
        <f t="shared" si="12"/>
        <v>73</v>
      </c>
      <c r="C80" s="20" t="s">
        <v>2125</v>
      </c>
      <c r="D80" s="20" t="s">
        <v>2126</v>
      </c>
      <c r="E80" s="65">
        <v>12008</v>
      </c>
      <c r="F80" s="19" t="s">
        <v>2035</v>
      </c>
      <c r="G80" s="9">
        <v>10132</v>
      </c>
      <c r="H80" s="9">
        <v>1135696.2810732396</v>
      </c>
      <c r="I80" s="9">
        <v>1026</v>
      </c>
      <c r="J80" s="9">
        <v>417406.15494581999</v>
      </c>
      <c r="K80" s="10">
        <v>233</v>
      </c>
      <c r="L80" s="10">
        <v>76942.146465390018</v>
      </c>
      <c r="M80" s="10">
        <v>7</v>
      </c>
      <c r="N80" s="10">
        <v>29643.710809</v>
      </c>
      <c r="O80" s="10">
        <v>9855</v>
      </c>
      <c r="P80" s="10">
        <v>441556.17456262215</v>
      </c>
      <c r="Q80" s="10">
        <v>1016</v>
      </c>
      <c r="R80" s="10">
        <v>10758.708639599969</v>
      </c>
      <c r="S80" s="10">
        <v>39</v>
      </c>
      <c r="T80" s="10">
        <v>235135.87908034003</v>
      </c>
      <c r="U80" s="10">
        <v>1</v>
      </c>
      <c r="V80" s="10">
        <v>17413.938647840001</v>
      </c>
      <c r="W80" s="10">
        <v>4</v>
      </c>
      <c r="X80" s="10">
        <v>369426.48454889003</v>
      </c>
      <c r="Y80" s="10">
        <v>2</v>
      </c>
      <c r="Z80" s="10">
        <v>359589.79684938001</v>
      </c>
      <c r="AA80" s="10">
        <v>0</v>
      </c>
      <c r="AB80" s="10">
        <v>0</v>
      </c>
      <c r="AC80" s="10">
        <v>0</v>
      </c>
      <c r="AD80" s="10">
        <v>0</v>
      </c>
      <c r="AE80" s="10">
        <v>1</v>
      </c>
      <c r="AF80" s="10">
        <v>12635.596416</v>
      </c>
      <c r="AG80" s="10">
        <v>0</v>
      </c>
      <c r="AH80" s="10">
        <v>0</v>
      </c>
      <c r="AI80" s="18">
        <f t="shared" si="11"/>
        <v>0</v>
      </c>
      <c r="AJ80" s="18">
        <f t="shared" si="8"/>
        <v>-2.5174813345074654E-9</v>
      </c>
      <c r="AK80" s="18">
        <f t="shared" si="9"/>
        <v>0</v>
      </c>
      <c r="AL80" s="18">
        <f t="shared" si="10"/>
        <v>0</v>
      </c>
      <c r="AM80" s="18"/>
      <c r="AN80" s="18"/>
      <c r="AO80" s="18"/>
      <c r="AP80" s="18"/>
    </row>
    <row r="81" spans="1:42" s="11" customFormat="1" ht="27" customHeight="1" x14ac:dyDescent="0.25">
      <c r="A81" s="66" t="s">
        <v>36</v>
      </c>
      <c r="B81" s="1">
        <f t="shared" si="12"/>
        <v>74</v>
      </c>
      <c r="C81" s="20" t="s">
        <v>2146</v>
      </c>
      <c r="D81" s="20" t="s">
        <v>2147</v>
      </c>
      <c r="E81" s="65" t="s">
        <v>10</v>
      </c>
      <c r="F81" s="19" t="s">
        <v>2079</v>
      </c>
      <c r="G81" s="9">
        <v>4502</v>
      </c>
      <c r="H81" s="9">
        <v>664343.53710720898</v>
      </c>
      <c r="I81" s="9">
        <v>467</v>
      </c>
      <c r="J81" s="9">
        <v>7253.4210108749994</v>
      </c>
      <c r="K81" s="10">
        <v>632</v>
      </c>
      <c r="L81" s="10">
        <v>418109.22274992015</v>
      </c>
      <c r="M81" s="10">
        <v>12</v>
      </c>
      <c r="N81" s="10">
        <v>861.50060479000012</v>
      </c>
      <c r="O81" s="10">
        <v>3592</v>
      </c>
      <c r="P81" s="10">
        <v>113798.65041534016</v>
      </c>
      <c r="Q81" s="10">
        <v>447</v>
      </c>
      <c r="R81" s="10">
        <v>5435.4343197499875</v>
      </c>
      <c r="S81" s="10">
        <v>274</v>
      </c>
      <c r="T81" s="10">
        <v>131053.36755777003</v>
      </c>
      <c r="U81" s="10">
        <v>8</v>
      </c>
      <c r="V81" s="10">
        <v>956.48608633499987</v>
      </c>
      <c r="W81" s="10">
        <v>4</v>
      </c>
      <c r="X81" s="10">
        <v>1382.2963841792002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8">
        <f t="shared" si="11"/>
        <v>0</v>
      </c>
      <c r="AJ81" s="18">
        <f t="shared" si="8"/>
        <v>-5.5979398894123733E-10</v>
      </c>
      <c r="AK81" s="18">
        <f t="shared" si="9"/>
        <v>0</v>
      </c>
      <c r="AL81" s="18">
        <f t="shared" si="10"/>
        <v>1.1482370609883219E-11</v>
      </c>
      <c r="AM81" s="18"/>
      <c r="AN81" s="18"/>
      <c r="AO81" s="18"/>
      <c r="AP81" s="18"/>
    </row>
    <row r="82" spans="1:42" s="11" customFormat="1" ht="27" customHeight="1" x14ac:dyDescent="0.25">
      <c r="A82" s="66" t="s">
        <v>33</v>
      </c>
      <c r="B82" s="1">
        <f t="shared" si="12"/>
        <v>75</v>
      </c>
      <c r="C82" s="20" t="s">
        <v>2127</v>
      </c>
      <c r="D82" s="20" t="s">
        <v>2128</v>
      </c>
      <c r="E82" s="65">
        <v>10502</v>
      </c>
      <c r="F82" s="19" t="s">
        <v>2087</v>
      </c>
      <c r="G82" s="9">
        <v>1725</v>
      </c>
      <c r="H82" s="9">
        <v>73742.580023610019</v>
      </c>
      <c r="I82" s="9">
        <v>125</v>
      </c>
      <c r="J82" s="9">
        <v>19596.377426519997</v>
      </c>
      <c r="K82" s="10">
        <v>92</v>
      </c>
      <c r="L82" s="10">
        <v>23527.511878410001</v>
      </c>
      <c r="M82" s="10">
        <v>10</v>
      </c>
      <c r="N82" s="10">
        <v>13877.746156469999</v>
      </c>
      <c r="O82" s="10">
        <v>1633</v>
      </c>
      <c r="P82" s="10">
        <v>50215.068145199941</v>
      </c>
      <c r="Q82" s="10">
        <v>115</v>
      </c>
      <c r="R82" s="10">
        <v>5718.6312700499957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8">
        <f t="shared" si="11"/>
        <v>0</v>
      </c>
      <c r="AJ82" s="18">
        <f t="shared" si="8"/>
        <v>7.2759576141834259E-11</v>
      </c>
      <c r="AK82" s="18">
        <f t="shared" si="9"/>
        <v>0</v>
      </c>
      <c r="AL82" s="18">
        <f t="shared" si="10"/>
        <v>2.7284841053187847E-12</v>
      </c>
      <c r="AM82" s="18"/>
      <c r="AN82" s="18"/>
      <c r="AO82" s="18"/>
      <c r="AP82" s="18"/>
    </row>
    <row r="83" spans="1:42" s="11" customFormat="1" ht="27" customHeight="1" x14ac:dyDescent="0.25">
      <c r="A83" s="66" t="s">
        <v>33</v>
      </c>
      <c r="B83" s="1">
        <f t="shared" si="12"/>
        <v>76</v>
      </c>
      <c r="C83" s="20" t="s">
        <v>2127</v>
      </c>
      <c r="D83" s="20" t="s">
        <v>2129</v>
      </c>
      <c r="E83" s="65">
        <v>10507</v>
      </c>
      <c r="F83" s="19" t="s">
        <v>2130</v>
      </c>
      <c r="G83" s="9">
        <v>1917</v>
      </c>
      <c r="H83" s="9">
        <v>100892.45683941002</v>
      </c>
      <c r="I83" s="9">
        <v>202</v>
      </c>
      <c r="J83" s="9">
        <v>2305.5626361099999</v>
      </c>
      <c r="K83" s="10">
        <v>245</v>
      </c>
      <c r="L83" s="10">
        <v>53932.440775190007</v>
      </c>
      <c r="M83" s="10">
        <v>2</v>
      </c>
      <c r="N83" s="10">
        <v>937.60538699999995</v>
      </c>
      <c r="O83" s="10">
        <v>1672</v>
      </c>
      <c r="P83" s="10">
        <v>46960.016064220086</v>
      </c>
      <c r="Q83" s="10">
        <v>200</v>
      </c>
      <c r="R83" s="10">
        <v>1367.95724911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8">
        <f t="shared" si="11"/>
        <v>0</v>
      </c>
      <c r="AJ83" s="18">
        <f t="shared" si="8"/>
        <v>-7.2759576141834259E-11</v>
      </c>
      <c r="AK83" s="18">
        <f t="shared" si="9"/>
        <v>0</v>
      </c>
      <c r="AL83" s="18">
        <f t="shared" si="10"/>
        <v>-2.2737367544323206E-13</v>
      </c>
      <c r="AM83" s="18"/>
      <c r="AN83" s="18"/>
      <c r="AO83" s="18"/>
      <c r="AP83" s="18"/>
    </row>
    <row r="84" spans="1:42" s="11" customFormat="1" ht="27" customHeight="1" x14ac:dyDescent="0.25">
      <c r="A84" s="66" t="s">
        <v>33</v>
      </c>
      <c r="B84" s="1">
        <f t="shared" si="12"/>
        <v>77</v>
      </c>
      <c r="C84" s="20" t="s">
        <v>2127</v>
      </c>
      <c r="D84" s="20" t="s">
        <v>2131</v>
      </c>
      <c r="E84" s="65">
        <v>10508</v>
      </c>
      <c r="F84" s="19" t="s">
        <v>2041</v>
      </c>
      <c r="G84" s="9">
        <v>1317</v>
      </c>
      <c r="H84" s="9">
        <v>58012.276735479987</v>
      </c>
      <c r="I84" s="9">
        <v>83</v>
      </c>
      <c r="J84" s="9">
        <v>2621.3060691700002</v>
      </c>
      <c r="K84" s="10">
        <v>157</v>
      </c>
      <c r="L84" s="10">
        <v>28375.985963620005</v>
      </c>
      <c r="M84" s="10">
        <v>2</v>
      </c>
      <c r="N84" s="10">
        <v>1241.5523029999999</v>
      </c>
      <c r="O84" s="10">
        <v>1160</v>
      </c>
      <c r="P84" s="10">
        <v>29636.290771859982</v>
      </c>
      <c r="Q84" s="10">
        <v>81</v>
      </c>
      <c r="R84" s="10">
        <v>1379.7537661700001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8">
        <f t="shared" si="11"/>
        <v>0</v>
      </c>
      <c r="AJ84" s="18">
        <f t="shared" si="8"/>
        <v>0</v>
      </c>
      <c r="AK84" s="18">
        <f t="shared" si="9"/>
        <v>0</v>
      </c>
      <c r="AL84" s="18">
        <f t="shared" si="10"/>
        <v>2.2737367544323206E-13</v>
      </c>
      <c r="AM84" s="18"/>
      <c r="AN84" s="18"/>
      <c r="AO84" s="18"/>
      <c r="AP84" s="18"/>
    </row>
    <row r="85" spans="1:42" s="11" customFormat="1" ht="27" customHeight="1" x14ac:dyDescent="0.25">
      <c r="A85" s="66" t="s">
        <v>33</v>
      </c>
      <c r="B85" s="1">
        <f t="shared" si="12"/>
        <v>78</v>
      </c>
      <c r="C85" s="20" t="s">
        <v>2127</v>
      </c>
      <c r="D85" s="20" t="s">
        <v>2132</v>
      </c>
      <c r="E85" s="65">
        <v>10510</v>
      </c>
      <c r="F85" s="19" t="s">
        <v>2133</v>
      </c>
      <c r="G85" s="9">
        <v>1214</v>
      </c>
      <c r="H85" s="9">
        <v>87338.940245290025</v>
      </c>
      <c r="I85" s="9">
        <v>113</v>
      </c>
      <c r="J85" s="9">
        <v>12317.4522263</v>
      </c>
      <c r="K85" s="10">
        <v>121</v>
      </c>
      <c r="L85" s="10">
        <v>34274.140932190006</v>
      </c>
      <c r="M85" s="10">
        <v>3</v>
      </c>
      <c r="N85" s="10">
        <v>577.07333500000004</v>
      </c>
      <c r="O85" s="10">
        <v>1092</v>
      </c>
      <c r="P85" s="10">
        <v>52643.457893099956</v>
      </c>
      <c r="Q85" s="10">
        <v>110</v>
      </c>
      <c r="R85" s="10">
        <v>11740.378891300008</v>
      </c>
      <c r="S85" s="10">
        <v>1</v>
      </c>
      <c r="T85" s="10">
        <v>421.34142000000003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8">
        <f t="shared" si="11"/>
        <v>0</v>
      </c>
      <c r="AJ85" s="18">
        <f t="shared" si="8"/>
        <v>6.2470917328028008E-11</v>
      </c>
      <c r="AK85" s="18">
        <f t="shared" si="9"/>
        <v>0</v>
      </c>
      <c r="AL85" s="18">
        <f t="shared" si="10"/>
        <v>-9.0949470177292824E-12</v>
      </c>
      <c r="AM85" s="18"/>
      <c r="AN85" s="18"/>
      <c r="AO85" s="18"/>
      <c r="AP85" s="18"/>
    </row>
    <row r="86" spans="1:42" s="11" customFormat="1" ht="27" customHeight="1" x14ac:dyDescent="0.25">
      <c r="A86" s="66" t="s">
        <v>33</v>
      </c>
      <c r="B86" s="1">
        <f t="shared" si="12"/>
        <v>79</v>
      </c>
      <c r="C86" s="20" t="s">
        <v>2127</v>
      </c>
      <c r="D86" s="20" t="s">
        <v>2134</v>
      </c>
      <c r="E86" s="65">
        <v>10729</v>
      </c>
      <c r="F86" s="19" t="s">
        <v>2035</v>
      </c>
      <c r="G86" s="9">
        <v>4335</v>
      </c>
      <c r="H86" s="9">
        <v>215721.39310963996</v>
      </c>
      <c r="I86" s="9">
        <v>544</v>
      </c>
      <c r="J86" s="9">
        <v>9007.50624221</v>
      </c>
      <c r="K86" s="10">
        <v>126</v>
      </c>
      <c r="L86" s="10">
        <v>103622.91376694999</v>
      </c>
      <c r="M86" s="10">
        <v>4</v>
      </c>
      <c r="N86" s="10">
        <v>760</v>
      </c>
      <c r="O86" s="10">
        <v>4207</v>
      </c>
      <c r="P86" s="10">
        <v>74110.708148230013</v>
      </c>
      <c r="Q86" s="10">
        <v>540</v>
      </c>
      <c r="R86" s="10">
        <v>8247.5062422100018</v>
      </c>
      <c r="S86" s="10">
        <v>2</v>
      </c>
      <c r="T86" s="10">
        <v>37987.771194460001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8">
        <f t="shared" si="11"/>
        <v>0</v>
      </c>
      <c r="AJ86" s="18">
        <f t="shared" si="8"/>
        <v>-4.3655745685100555E-11</v>
      </c>
      <c r="AK86" s="18">
        <f t="shared" si="9"/>
        <v>0</v>
      </c>
      <c r="AL86" s="18">
        <f t="shared" si="10"/>
        <v>-1.8189894035458565E-12</v>
      </c>
      <c r="AM86" s="18"/>
      <c r="AN86" s="18"/>
      <c r="AO86" s="18"/>
      <c r="AP86" s="18"/>
    </row>
    <row r="87" spans="1:42" s="11" customFormat="1" ht="27" customHeight="1" x14ac:dyDescent="0.25">
      <c r="A87" s="66" t="s">
        <v>33</v>
      </c>
      <c r="B87" s="1">
        <f t="shared" si="12"/>
        <v>80</v>
      </c>
      <c r="C87" s="20" t="s">
        <v>2127</v>
      </c>
      <c r="D87" s="20" t="s">
        <v>2183</v>
      </c>
      <c r="E87" s="65">
        <v>12029</v>
      </c>
      <c r="F87" s="19" t="s">
        <v>2047</v>
      </c>
      <c r="G87" s="9">
        <v>941</v>
      </c>
      <c r="H87" s="9">
        <v>23834.018367949997</v>
      </c>
      <c r="I87" s="9">
        <v>11</v>
      </c>
      <c r="J87" s="9">
        <v>425.40390127000001</v>
      </c>
      <c r="K87" s="10">
        <v>54</v>
      </c>
      <c r="L87" s="10">
        <v>7206.3837356500007</v>
      </c>
      <c r="M87" s="10">
        <v>2</v>
      </c>
      <c r="N87" s="10">
        <v>212.60000199999999</v>
      </c>
      <c r="O87" s="10">
        <v>887</v>
      </c>
      <c r="P87" s="10">
        <v>16627.634632299996</v>
      </c>
      <c r="Q87" s="10">
        <v>9</v>
      </c>
      <c r="R87" s="10">
        <v>212.80389927000002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8">
        <f t="shared" si="11"/>
        <v>0</v>
      </c>
      <c r="AJ87" s="18">
        <f t="shared" si="8"/>
        <v>0</v>
      </c>
      <c r="AK87" s="18">
        <f t="shared" si="9"/>
        <v>0</v>
      </c>
      <c r="AL87" s="18">
        <f t="shared" si="10"/>
        <v>0</v>
      </c>
      <c r="AM87" s="18"/>
      <c r="AN87" s="18"/>
      <c r="AO87" s="18"/>
      <c r="AP87" s="18"/>
    </row>
    <row r="88" spans="1:42" s="11" customFormat="1" ht="27" customHeight="1" x14ac:dyDescent="0.25">
      <c r="A88" s="66" t="s">
        <v>37</v>
      </c>
      <c r="B88" s="1">
        <f t="shared" si="12"/>
        <v>81</v>
      </c>
      <c r="C88" s="20" t="s">
        <v>2148</v>
      </c>
      <c r="D88" s="20" t="s">
        <v>2149</v>
      </c>
      <c r="E88" s="65" t="s">
        <v>13</v>
      </c>
      <c r="F88" s="19" t="s">
        <v>2045</v>
      </c>
      <c r="G88" s="9">
        <v>8609</v>
      </c>
      <c r="H88" s="9">
        <v>478469.73563985026</v>
      </c>
      <c r="I88" s="9">
        <v>404</v>
      </c>
      <c r="J88" s="9">
        <v>30231.248992489996</v>
      </c>
      <c r="K88" s="10">
        <v>112</v>
      </c>
      <c r="L88" s="10">
        <v>57758.446570509979</v>
      </c>
      <c r="M88" s="10">
        <v>18</v>
      </c>
      <c r="N88" s="10">
        <v>10589.695499969999</v>
      </c>
      <c r="O88" s="10">
        <v>8488</v>
      </c>
      <c r="P88" s="10">
        <v>417355.80872143363</v>
      </c>
      <c r="Q88" s="10">
        <v>386</v>
      </c>
      <c r="R88" s="10">
        <v>19641.553492519968</v>
      </c>
      <c r="S88" s="10">
        <v>9</v>
      </c>
      <c r="T88" s="10">
        <v>3355.4803479100005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8">
        <f t="shared" si="11"/>
        <v>0</v>
      </c>
      <c r="AJ88" s="18">
        <f t="shared" si="8"/>
        <v>-3.3537617127876729E-9</v>
      </c>
      <c r="AK88" s="18">
        <f t="shared" si="9"/>
        <v>0</v>
      </c>
      <c r="AL88" s="18">
        <f t="shared" si="10"/>
        <v>2.9103830456733704E-11</v>
      </c>
      <c r="AM88" s="18"/>
      <c r="AN88" s="18"/>
      <c r="AO88" s="18"/>
      <c r="AP88" s="18"/>
    </row>
    <row r="89" spans="1:42" s="11" customFormat="1" ht="27" customHeight="1" x14ac:dyDescent="0.25">
      <c r="A89" s="66" t="s">
        <v>37</v>
      </c>
      <c r="B89" s="1">
        <f t="shared" si="12"/>
        <v>82</v>
      </c>
      <c r="C89" s="20" t="s">
        <v>2148</v>
      </c>
      <c r="D89" s="20" t="s">
        <v>2150</v>
      </c>
      <c r="E89" s="65" t="s">
        <v>7</v>
      </c>
      <c r="F89" s="19" t="s">
        <v>2049</v>
      </c>
      <c r="G89" s="9">
        <v>31653</v>
      </c>
      <c r="H89" s="9">
        <v>1351085.7363151715</v>
      </c>
      <c r="I89" s="9">
        <v>2166</v>
      </c>
      <c r="J89" s="9">
        <v>42927.059748070023</v>
      </c>
      <c r="K89" s="10">
        <v>140</v>
      </c>
      <c r="L89" s="10">
        <v>137862.92140725002</v>
      </c>
      <c r="M89" s="10">
        <v>2</v>
      </c>
      <c r="N89" s="10">
        <v>323.84826463999997</v>
      </c>
      <c r="O89" s="10">
        <v>31512</v>
      </c>
      <c r="P89" s="10">
        <v>818639.24643012427</v>
      </c>
      <c r="Q89" s="10">
        <v>2164</v>
      </c>
      <c r="R89" s="10">
        <v>42603.211483429921</v>
      </c>
      <c r="S89" s="10">
        <v>1</v>
      </c>
      <c r="T89" s="10">
        <v>394583.56847778999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8">
        <f t="shared" si="11"/>
        <v>0</v>
      </c>
      <c r="AJ89" s="18">
        <f t="shared" si="8"/>
        <v>7.2177499532699585E-9</v>
      </c>
      <c r="AK89" s="18">
        <f t="shared" si="9"/>
        <v>0</v>
      </c>
      <c r="AL89" s="18">
        <f t="shared" si="10"/>
        <v>1.0186340659856796E-10</v>
      </c>
      <c r="AM89" s="18"/>
      <c r="AN89" s="18"/>
      <c r="AO89" s="18"/>
      <c r="AP89" s="18"/>
    </row>
    <row r="90" spans="1:42" s="11" customFormat="1" ht="27" customHeight="1" x14ac:dyDescent="0.25">
      <c r="A90" s="66" t="s">
        <v>37</v>
      </c>
      <c r="B90" s="1">
        <f t="shared" si="12"/>
        <v>83</v>
      </c>
      <c r="C90" s="20" t="s">
        <v>2148</v>
      </c>
      <c r="D90" s="20" t="s">
        <v>2151</v>
      </c>
      <c r="E90" s="65" t="s">
        <v>5</v>
      </c>
      <c r="F90" s="19" t="s">
        <v>2037</v>
      </c>
      <c r="G90" s="9">
        <v>9086</v>
      </c>
      <c r="H90" s="9">
        <v>225345.65029578991</v>
      </c>
      <c r="I90" s="9">
        <v>350</v>
      </c>
      <c r="J90" s="9">
        <v>3755.1797617899988</v>
      </c>
      <c r="K90" s="10">
        <v>155</v>
      </c>
      <c r="L90" s="10">
        <v>74202.398862329996</v>
      </c>
      <c r="M90" s="10">
        <v>5</v>
      </c>
      <c r="N90" s="10">
        <v>1456.7075194900003</v>
      </c>
      <c r="O90" s="10">
        <v>8930</v>
      </c>
      <c r="P90" s="10">
        <v>149179.37181443954</v>
      </c>
      <c r="Q90" s="10">
        <v>345</v>
      </c>
      <c r="R90" s="10">
        <v>2298.4722423000012</v>
      </c>
      <c r="S90" s="10">
        <v>1</v>
      </c>
      <c r="T90" s="10">
        <v>1963.8796190200001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8">
        <f t="shared" si="11"/>
        <v>0</v>
      </c>
      <c r="AJ90" s="18">
        <f t="shared" si="8"/>
        <v>3.865352482534945E-10</v>
      </c>
      <c r="AK90" s="18">
        <f t="shared" si="9"/>
        <v>0</v>
      </c>
      <c r="AL90" s="18">
        <f t="shared" si="10"/>
        <v>-2.7284841053187847E-12</v>
      </c>
      <c r="AM90" s="18"/>
      <c r="AN90" s="18"/>
      <c r="AO90" s="18"/>
      <c r="AP90" s="18"/>
    </row>
    <row r="91" spans="1:42" s="11" customFormat="1" ht="27" customHeight="1" x14ac:dyDescent="0.25">
      <c r="A91" s="66" t="s">
        <v>37</v>
      </c>
      <c r="B91" s="1">
        <f t="shared" si="12"/>
        <v>84</v>
      </c>
      <c r="C91" s="20" t="s">
        <v>2148</v>
      </c>
      <c r="D91" s="20" t="s">
        <v>2152</v>
      </c>
      <c r="E91" s="65" t="s">
        <v>6</v>
      </c>
      <c r="F91" s="19" t="s">
        <v>2047</v>
      </c>
      <c r="G91" s="9">
        <v>12146</v>
      </c>
      <c r="H91" s="9">
        <v>481290.14955170057</v>
      </c>
      <c r="I91" s="9">
        <v>330</v>
      </c>
      <c r="J91" s="9">
        <v>9835.0875860699998</v>
      </c>
      <c r="K91" s="10">
        <v>136</v>
      </c>
      <c r="L91" s="10">
        <v>38210.297779809989</v>
      </c>
      <c r="M91" s="10">
        <v>13</v>
      </c>
      <c r="N91" s="10">
        <v>3678.5178861400004</v>
      </c>
      <c r="O91" s="10">
        <v>12008</v>
      </c>
      <c r="P91" s="10">
        <v>442362.17164740182</v>
      </c>
      <c r="Q91" s="10">
        <v>317</v>
      </c>
      <c r="R91" s="10">
        <v>6156.5696999300017</v>
      </c>
      <c r="S91" s="10">
        <v>2</v>
      </c>
      <c r="T91" s="10">
        <v>717.68012449000003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8">
        <f t="shared" si="11"/>
        <v>0</v>
      </c>
      <c r="AJ91" s="18">
        <f t="shared" si="8"/>
        <v>-1.2244072422618046E-9</v>
      </c>
      <c r="AK91" s="18">
        <f t="shared" si="9"/>
        <v>0</v>
      </c>
      <c r="AL91" s="18">
        <f t="shared" si="10"/>
        <v>-1.8189894035458565E-12</v>
      </c>
      <c r="AM91" s="18"/>
      <c r="AN91" s="18"/>
      <c r="AO91" s="18"/>
      <c r="AP91" s="18"/>
    </row>
    <row r="92" spans="1:42" s="11" customFormat="1" ht="27" customHeight="1" x14ac:dyDescent="0.25">
      <c r="A92" s="66" t="s">
        <v>37</v>
      </c>
      <c r="B92" s="1">
        <f t="shared" si="12"/>
        <v>85</v>
      </c>
      <c r="C92" s="20" t="s">
        <v>2148</v>
      </c>
      <c r="D92" s="20" t="s">
        <v>2153</v>
      </c>
      <c r="E92" s="65" t="s">
        <v>4</v>
      </c>
      <c r="F92" s="19" t="s">
        <v>2060</v>
      </c>
      <c r="G92" s="9">
        <v>8761</v>
      </c>
      <c r="H92" s="9">
        <v>276006.22927310999</v>
      </c>
      <c r="I92" s="9">
        <v>266</v>
      </c>
      <c r="J92" s="9">
        <v>8577.6609383499999</v>
      </c>
      <c r="K92" s="10">
        <v>180</v>
      </c>
      <c r="L92" s="10">
        <v>32570.455134940014</v>
      </c>
      <c r="M92" s="10">
        <v>6</v>
      </c>
      <c r="N92" s="10">
        <v>4139.2833234299997</v>
      </c>
      <c r="O92" s="10">
        <v>8576</v>
      </c>
      <c r="P92" s="10">
        <v>220480.74257773976</v>
      </c>
      <c r="Q92" s="10">
        <v>260</v>
      </c>
      <c r="R92" s="10">
        <v>4438.3776149199957</v>
      </c>
      <c r="S92" s="10">
        <v>5</v>
      </c>
      <c r="T92" s="10">
        <v>22955.031560430001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8">
        <f t="shared" si="11"/>
        <v>0</v>
      </c>
      <c r="AJ92" s="18">
        <f t="shared" si="8"/>
        <v>2.1464074961841106E-10</v>
      </c>
      <c r="AK92" s="18">
        <f t="shared" si="9"/>
        <v>0</v>
      </c>
      <c r="AL92" s="18">
        <f t="shared" si="10"/>
        <v>4.5474735088646412E-12</v>
      </c>
      <c r="AM92" s="18"/>
      <c r="AN92" s="18"/>
      <c r="AO92" s="18"/>
      <c r="AP92" s="18"/>
    </row>
    <row r="93" spans="1:42" s="11" customFormat="1" ht="27" customHeight="1" x14ac:dyDescent="0.25">
      <c r="A93" s="66" t="s">
        <v>37</v>
      </c>
      <c r="B93" s="1">
        <f t="shared" si="12"/>
        <v>86</v>
      </c>
      <c r="C93" s="20" t="s">
        <v>2148</v>
      </c>
      <c r="D93" s="20" t="s">
        <v>2154</v>
      </c>
      <c r="E93" s="65" t="s">
        <v>9</v>
      </c>
      <c r="F93" s="19" t="s">
        <v>2041</v>
      </c>
      <c r="G93" s="9">
        <v>12180</v>
      </c>
      <c r="H93" s="9">
        <v>498614.10679260024</v>
      </c>
      <c r="I93" s="9">
        <v>539</v>
      </c>
      <c r="J93" s="9">
        <v>8783.8032716700018</v>
      </c>
      <c r="K93" s="10">
        <v>82</v>
      </c>
      <c r="L93" s="10">
        <v>151820.17453649</v>
      </c>
      <c r="M93" s="10">
        <v>0</v>
      </c>
      <c r="N93" s="10">
        <v>0</v>
      </c>
      <c r="O93" s="10">
        <v>12097</v>
      </c>
      <c r="P93" s="10">
        <v>263477.83225611149</v>
      </c>
      <c r="Q93" s="10">
        <v>539</v>
      </c>
      <c r="R93" s="10">
        <v>8783.8032716699963</v>
      </c>
      <c r="S93" s="10">
        <v>1</v>
      </c>
      <c r="T93" s="10">
        <v>83316.100000000006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8">
        <f t="shared" si="11"/>
        <v>0</v>
      </c>
      <c r="AJ93" s="18">
        <f t="shared" si="8"/>
        <v>-1.2514647096395493E-9</v>
      </c>
      <c r="AK93" s="18">
        <f t="shared" si="9"/>
        <v>0</v>
      </c>
      <c r="AL93" s="18">
        <f t="shared" si="10"/>
        <v>5.4569682106375694E-12</v>
      </c>
      <c r="AM93" s="18"/>
      <c r="AN93" s="18"/>
      <c r="AO93" s="18"/>
      <c r="AP93" s="18"/>
    </row>
    <row r="94" spans="1:42" s="11" customFormat="1" ht="27" customHeight="1" x14ac:dyDescent="0.25">
      <c r="A94" s="66" t="s">
        <v>37</v>
      </c>
      <c r="B94" s="1">
        <f t="shared" si="12"/>
        <v>87</v>
      </c>
      <c r="C94" s="20" t="s">
        <v>2148</v>
      </c>
      <c r="D94" s="20" t="s">
        <v>2155</v>
      </c>
      <c r="E94" s="65" t="s">
        <v>8</v>
      </c>
      <c r="F94" s="19" t="s">
        <v>2073</v>
      </c>
      <c r="G94" s="9">
        <v>4202</v>
      </c>
      <c r="H94" s="9">
        <v>139387.61363774995</v>
      </c>
      <c r="I94" s="9">
        <v>99</v>
      </c>
      <c r="J94" s="9">
        <v>2024.8917935600002</v>
      </c>
      <c r="K94" s="10">
        <v>43</v>
      </c>
      <c r="L94" s="10">
        <v>5447.4589320999985</v>
      </c>
      <c r="M94" s="10">
        <v>2</v>
      </c>
      <c r="N94" s="10">
        <v>707.68304357000011</v>
      </c>
      <c r="O94" s="10">
        <v>4159</v>
      </c>
      <c r="P94" s="10">
        <v>133940.15470565046</v>
      </c>
      <c r="Q94" s="10">
        <v>97</v>
      </c>
      <c r="R94" s="10">
        <v>1317.2087499900008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8">
        <f t="shared" si="11"/>
        <v>0</v>
      </c>
      <c r="AJ94" s="18">
        <f t="shared" si="8"/>
        <v>-5.2386894822120667E-10</v>
      </c>
      <c r="AK94" s="18">
        <f t="shared" si="9"/>
        <v>0</v>
      </c>
      <c r="AL94" s="18">
        <f t="shared" si="10"/>
        <v>-6.8212102632969618E-13</v>
      </c>
      <c r="AM94" s="18"/>
      <c r="AN94" s="18"/>
      <c r="AO94" s="18"/>
      <c r="AP94" s="18"/>
    </row>
    <row r="95" spans="1:42" s="11" customFormat="1" ht="27" customHeight="1" x14ac:dyDescent="0.25">
      <c r="A95" s="66" t="s">
        <v>37</v>
      </c>
      <c r="B95" s="1">
        <f t="shared" si="12"/>
        <v>88</v>
      </c>
      <c r="C95" s="20" t="s">
        <v>2148</v>
      </c>
      <c r="D95" s="20" t="s">
        <v>2156</v>
      </c>
      <c r="E95" s="65" t="s">
        <v>3</v>
      </c>
      <c r="F95" s="19" t="s">
        <v>2107</v>
      </c>
      <c r="G95" s="9">
        <v>4122</v>
      </c>
      <c r="H95" s="9">
        <v>220851.43899553959</v>
      </c>
      <c r="I95" s="9">
        <v>125</v>
      </c>
      <c r="J95" s="9">
        <v>14047.31258765</v>
      </c>
      <c r="K95" s="10">
        <v>43</v>
      </c>
      <c r="L95" s="10">
        <v>6515.5204967800009</v>
      </c>
      <c r="M95" s="10">
        <v>2</v>
      </c>
      <c r="N95" s="10">
        <v>118.21486845</v>
      </c>
      <c r="O95" s="10">
        <v>4073</v>
      </c>
      <c r="P95" s="10">
        <v>189262.1041218201</v>
      </c>
      <c r="Q95" s="10">
        <v>121</v>
      </c>
      <c r="R95" s="10">
        <v>2267.0923017100026</v>
      </c>
      <c r="S95" s="10">
        <v>6</v>
      </c>
      <c r="T95" s="10">
        <v>25073.814376939998</v>
      </c>
      <c r="U95" s="10">
        <v>2</v>
      </c>
      <c r="V95" s="10">
        <v>11662.00541749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8">
        <f t="shared" si="11"/>
        <v>0</v>
      </c>
      <c r="AJ95" s="18">
        <f t="shared" si="8"/>
        <v>-5.0204107537865639E-10</v>
      </c>
      <c r="AK95" s="18">
        <f t="shared" si="9"/>
        <v>0</v>
      </c>
      <c r="AL95" s="18">
        <f t="shared" si="10"/>
        <v>-3.637978807091713E-12</v>
      </c>
      <c r="AM95" s="18"/>
      <c r="AN95" s="18"/>
      <c r="AO95" s="18"/>
      <c r="AP95" s="18"/>
    </row>
    <row r="96" spans="1:42" s="11" customFormat="1" ht="27" customHeight="1" x14ac:dyDescent="0.25">
      <c r="A96" s="66" t="s">
        <v>37</v>
      </c>
      <c r="B96" s="1">
        <f t="shared" si="12"/>
        <v>89</v>
      </c>
      <c r="C96" s="20" t="s">
        <v>2148</v>
      </c>
      <c r="D96" s="20" t="s">
        <v>2157</v>
      </c>
      <c r="E96" s="65" t="s">
        <v>2</v>
      </c>
      <c r="F96" s="19" t="s">
        <v>2035</v>
      </c>
      <c r="G96" s="9">
        <v>2578</v>
      </c>
      <c r="H96" s="9">
        <v>76705.423885089986</v>
      </c>
      <c r="I96" s="9">
        <v>81</v>
      </c>
      <c r="J96" s="9">
        <v>17417.635589229998</v>
      </c>
      <c r="K96" s="10">
        <v>13</v>
      </c>
      <c r="L96" s="10">
        <v>11780.891654460002</v>
      </c>
      <c r="M96" s="10">
        <v>2</v>
      </c>
      <c r="N96" s="10">
        <v>10700.25737818</v>
      </c>
      <c r="O96" s="10">
        <v>2564</v>
      </c>
      <c r="P96" s="10">
        <v>59724.387247810038</v>
      </c>
      <c r="Q96" s="10">
        <v>78</v>
      </c>
      <c r="R96" s="10">
        <v>1517.2332282300003</v>
      </c>
      <c r="S96" s="10">
        <v>1</v>
      </c>
      <c r="T96" s="10">
        <v>5200.1449828199993</v>
      </c>
      <c r="U96" s="10">
        <v>1</v>
      </c>
      <c r="V96" s="10">
        <v>5200.1449828199993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8">
        <f t="shared" si="11"/>
        <v>0</v>
      </c>
      <c r="AJ96" s="18">
        <f t="shared" si="8"/>
        <v>-5.184119800105691E-11</v>
      </c>
      <c r="AK96" s="18">
        <f t="shared" si="9"/>
        <v>0</v>
      </c>
      <c r="AL96" s="18">
        <f t="shared" si="10"/>
        <v>-1.8189894035458565E-12</v>
      </c>
      <c r="AM96" s="18"/>
      <c r="AN96" s="18"/>
      <c r="AO96" s="18"/>
      <c r="AP96" s="18"/>
    </row>
    <row r="97" spans="1:42" s="11" customFormat="1" ht="27" customHeight="1" x14ac:dyDescent="0.25">
      <c r="A97" s="66" t="s">
        <v>38</v>
      </c>
      <c r="B97" s="1">
        <f t="shared" si="12"/>
        <v>90</v>
      </c>
      <c r="C97" s="20" t="s">
        <v>2158</v>
      </c>
      <c r="D97" s="20" t="s">
        <v>2159</v>
      </c>
      <c r="E97" s="65">
        <v>11853</v>
      </c>
      <c r="F97" s="19" t="s">
        <v>2107</v>
      </c>
      <c r="G97" s="9">
        <v>420</v>
      </c>
      <c r="H97" s="9">
        <v>89658.161898060003</v>
      </c>
      <c r="I97" s="9">
        <v>0</v>
      </c>
      <c r="J97" s="9">
        <v>0</v>
      </c>
      <c r="K97" s="10">
        <v>76</v>
      </c>
      <c r="L97" s="10">
        <v>47320.094265420004</v>
      </c>
      <c r="M97" s="10">
        <v>0</v>
      </c>
      <c r="N97" s="10">
        <v>0</v>
      </c>
      <c r="O97" s="10">
        <v>338</v>
      </c>
      <c r="P97" s="10">
        <v>14347.556672359997</v>
      </c>
      <c r="Q97" s="10">
        <v>0</v>
      </c>
      <c r="R97" s="10">
        <v>0</v>
      </c>
      <c r="S97" s="10">
        <v>6</v>
      </c>
      <c r="T97" s="10">
        <v>27990.51096028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8">
        <f t="shared" si="11"/>
        <v>0</v>
      </c>
      <c r="AJ97" s="18">
        <f t="shared" si="8"/>
        <v>0</v>
      </c>
      <c r="AK97" s="18">
        <f t="shared" si="9"/>
        <v>0</v>
      </c>
      <c r="AL97" s="18">
        <f t="shared" si="10"/>
        <v>0</v>
      </c>
      <c r="AM97" s="18"/>
      <c r="AN97" s="18"/>
      <c r="AO97" s="18"/>
      <c r="AP97" s="18"/>
    </row>
    <row r="98" spans="1:42" s="11" customFormat="1" ht="27" customHeight="1" x14ac:dyDescent="0.25">
      <c r="A98" s="66" t="s">
        <v>41</v>
      </c>
      <c r="B98" s="1">
        <f t="shared" si="12"/>
        <v>91</v>
      </c>
      <c r="C98" s="20" t="s">
        <v>2164</v>
      </c>
      <c r="D98" s="20" t="s">
        <v>2164</v>
      </c>
      <c r="E98" s="65" t="s">
        <v>25</v>
      </c>
      <c r="F98" s="19" t="s">
        <v>2039</v>
      </c>
      <c r="G98" s="9">
        <v>3226</v>
      </c>
      <c r="H98" s="9">
        <v>587860.27545604238</v>
      </c>
      <c r="I98" s="9">
        <v>103</v>
      </c>
      <c r="J98" s="9">
        <v>38592.866554594999</v>
      </c>
      <c r="K98" s="10">
        <v>350</v>
      </c>
      <c r="L98" s="10">
        <v>114068.12909384006</v>
      </c>
      <c r="M98" s="10">
        <v>6</v>
      </c>
      <c r="N98" s="10">
        <v>5063.9477072299997</v>
      </c>
      <c r="O98" s="10">
        <v>2578</v>
      </c>
      <c r="P98" s="10">
        <v>318934.88166033977</v>
      </c>
      <c r="Q98" s="10">
        <v>86</v>
      </c>
      <c r="R98" s="10">
        <v>25486.923765149986</v>
      </c>
      <c r="S98" s="10">
        <v>295</v>
      </c>
      <c r="T98" s="10">
        <v>151724.47831642817</v>
      </c>
      <c r="U98" s="10">
        <v>10</v>
      </c>
      <c r="V98" s="10">
        <v>7747.8080171270012</v>
      </c>
      <c r="W98" s="10">
        <v>3</v>
      </c>
      <c r="X98" s="10">
        <v>3132.7863854336001</v>
      </c>
      <c r="Y98" s="10">
        <v>1</v>
      </c>
      <c r="Z98" s="10">
        <v>294.187065088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8">
        <f t="shared" si="11"/>
        <v>0</v>
      </c>
      <c r="AJ98" s="18">
        <f t="shared" si="8"/>
        <v>7.5942807598039508E-10</v>
      </c>
      <c r="AK98" s="18">
        <f t="shared" si="9"/>
        <v>0</v>
      </c>
      <c r="AL98" s="18">
        <f t="shared" si="10"/>
        <v>1.1880274541908875E-11</v>
      </c>
      <c r="AM98" s="18"/>
      <c r="AN98" s="18"/>
      <c r="AO98" s="18"/>
      <c r="AP98" s="18"/>
    </row>
    <row r="99" spans="1:42" s="11" customFormat="1" ht="27" customHeight="1" x14ac:dyDescent="0.25">
      <c r="A99" s="66" t="s">
        <v>39</v>
      </c>
      <c r="B99" s="1">
        <f t="shared" si="12"/>
        <v>92</v>
      </c>
      <c r="C99" s="20" t="s">
        <v>2160</v>
      </c>
      <c r="D99" s="20" t="s">
        <v>2161</v>
      </c>
      <c r="E99" s="65" t="s">
        <v>19</v>
      </c>
      <c r="F99" s="19" t="s">
        <v>2054</v>
      </c>
      <c r="G99" s="9">
        <v>1696</v>
      </c>
      <c r="H99" s="9">
        <v>523424.57653750014</v>
      </c>
      <c r="I99" s="9">
        <v>54</v>
      </c>
      <c r="J99" s="9">
        <v>25608.140864470002</v>
      </c>
      <c r="K99" s="10">
        <v>166</v>
      </c>
      <c r="L99" s="10">
        <v>59187.183075310015</v>
      </c>
      <c r="M99" s="10">
        <v>11</v>
      </c>
      <c r="N99" s="10">
        <v>8772.9584628599987</v>
      </c>
      <c r="O99" s="10">
        <v>1486</v>
      </c>
      <c r="P99" s="10">
        <v>238970.95605390027</v>
      </c>
      <c r="Q99" s="10">
        <v>35</v>
      </c>
      <c r="R99" s="10">
        <v>12797.115860690003</v>
      </c>
      <c r="S99" s="10">
        <v>44</v>
      </c>
      <c r="T99" s="10">
        <v>225266.43740829019</v>
      </c>
      <c r="U99" s="10">
        <v>8</v>
      </c>
      <c r="V99" s="10">
        <v>4038.0665409200005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8">
        <f t="shared" si="11"/>
        <v>0</v>
      </c>
      <c r="AJ99" s="18">
        <f t="shared" si="8"/>
        <v>-3.4924596548080444E-10</v>
      </c>
      <c r="AK99" s="18">
        <f t="shared" si="9"/>
        <v>0</v>
      </c>
      <c r="AL99" s="18">
        <f t="shared" si="10"/>
        <v>4.5474735088646412E-13</v>
      </c>
      <c r="AM99" s="18"/>
      <c r="AN99" s="18"/>
      <c r="AO99" s="18"/>
      <c r="AP99" s="18"/>
    </row>
    <row r="100" spans="1:42" s="11" customFormat="1" ht="27" customHeight="1" x14ac:dyDescent="0.25">
      <c r="A100" s="66" t="s">
        <v>39</v>
      </c>
      <c r="B100" s="1">
        <f t="shared" si="12"/>
        <v>93</v>
      </c>
      <c r="C100" s="20" t="s">
        <v>2160</v>
      </c>
      <c r="D100" s="20" t="s">
        <v>2162</v>
      </c>
      <c r="E100" s="65" t="s">
        <v>20</v>
      </c>
      <c r="F100" s="19" t="s">
        <v>2107</v>
      </c>
      <c r="G100" s="9">
        <v>1226</v>
      </c>
      <c r="H100" s="9">
        <v>249638.47371380994</v>
      </c>
      <c r="I100" s="9">
        <v>34</v>
      </c>
      <c r="J100" s="9">
        <v>21186.298452089999</v>
      </c>
      <c r="K100" s="10">
        <v>283</v>
      </c>
      <c r="L100" s="10">
        <v>91310.346821119965</v>
      </c>
      <c r="M100" s="10">
        <v>1</v>
      </c>
      <c r="N100" s="10">
        <v>13168.865088370001</v>
      </c>
      <c r="O100" s="10">
        <v>942</v>
      </c>
      <c r="P100" s="10">
        <v>157640.27857387986</v>
      </c>
      <c r="Q100" s="10">
        <v>33</v>
      </c>
      <c r="R100" s="10">
        <v>8017.4333637199998</v>
      </c>
      <c r="S100" s="10">
        <v>1</v>
      </c>
      <c r="T100" s="10">
        <v>687.84831880999991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8">
        <f t="shared" si="11"/>
        <v>0</v>
      </c>
      <c r="AJ100" s="18">
        <f t="shared" si="8"/>
        <v>1.0913936421275139E-10</v>
      </c>
      <c r="AK100" s="18">
        <f t="shared" si="9"/>
        <v>0</v>
      </c>
      <c r="AL100" s="18">
        <f t="shared" si="10"/>
        <v>-1.8189894035458565E-12</v>
      </c>
      <c r="AM100" s="18"/>
      <c r="AN100" s="18"/>
      <c r="AO100" s="18"/>
      <c r="AP100" s="18"/>
    </row>
    <row r="101" spans="1:42" s="11" customFormat="1" ht="27" customHeight="1" x14ac:dyDescent="0.25">
      <c r="A101" s="66" t="s">
        <v>40</v>
      </c>
      <c r="B101" s="1">
        <f t="shared" si="12"/>
        <v>94</v>
      </c>
      <c r="C101" s="20" t="s">
        <v>2163</v>
      </c>
      <c r="D101" s="20" t="s">
        <v>2163</v>
      </c>
      <c r="E101" s="65" t="s">
        <v>24</v>
      </c>
      <c r="F101" s="19" t="s">
        <v>2037</v>
      </c>
      <c r="G101" s="9">
        <v>61893</v>
      </c>
      <c r="H101" s="9">
        <v>604473.22436580446</v>
      </c>
      <c r="I101" s="9">
        <v>2948</v>
      </c>
      <c r="J101" s="9">
        <v>23451.427710921995</v>
      </c>
      <c r="K101" s="10">
        <v>43</v>
      </c>
      <c r="L101" s="10">
        <v>23317.927394630005</v>
      </c>
      <c r="M101" s="10">
        <v>1</v>
      </c>
      <c r="N101" s="10">
        <v>144.37486428</v>
      </c>
      <c r="O101" s="10">
        <v>61609</v>
      </c>
      <c r="P101" s="10">
        <v>554000.6031282047</v>
      </c>
      <c r="Q101" s="10">
        <v>2939</v>
      </c>
      <c r="R101" s="10">
        <v>22158.378060769926</v>
      </c>
      <c r="S101" s="10">
        <v>241</v>
      </c>
      <c r="T101" s="10">
        <v>27154.693843006997</v>
      </c>
      <c r="U101" s="10">
        <v>8</v>
      </c>
      <c r="V101" s="10">
        <v>1148.6747858720003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8">
        <f t="shared" si="11"/>
        <v>0</v>
      </c>
      <c r="AJ101" s="18">
        <f t="shared" si="8"/>
        <v>-3.7278368836268783E-8</v>
      </c>
      <c r="AK101" s="18">
        <f t="shared" si="9"/>
        <v>0</v>
      </c>
      <c r="AL101" s="18">
        <f t="shared" si="10"/>
        <v>6.9803718361072242E-11</v>
      </c>
      <c r="AM101" s="18"/>
      <c r="AN101" s="18"/>
      <c r="AO101" s="18"/>
      <c r="AP101" s="18"/>
    </row>
    <row r="102" spans="1:42" s="11" customFormat="1" ht="27" customHeight="1" x14ac:dyDescent="0.25">
      <c r="A102" s="66" t="s">
        <v>44</v>
      </c>
      <c r="B102" s="1">
        <f t="shared" si="12"/>
        <v>95</v>
      </c>
      <c r="C102" s="20" t="s">
        <v>2184</v>
      </c>
      <c r="D102" s="20" t="s">
        <v>2184</v>
      </c>
      <c r="E102" s="65" t="s">
        <v>43</v>
      </c>
      <c r="F102" s="19" t="s">
        <v>2047</v>
      </c>
      <c r="G102" s="9">
        <v>1406</v>
      </c>
      <c r="H102" s="9">
        <v>196161.64359571016</v>
      </c>
      <c r="I102" s="9">
        <v>106</v>
      </c>
      <c r="J102" s="9">
        <v>15821.518093770001</v>
      </c>
      <c r="K102" s="10">
        <v>570</v>
      </c>
      <c r="L102" s="10">
        <v>80765.924135170004</v>
      </c>
      <c r="M102" s="10">
        <v>30</v>
      </c>
      <c r="N102" s="10">
        <v>4023.4527367000001</v>
      </c>
      <c r="O102" s="10">
        <v>836</v>
      </c>
      <c r="P102" s="10">
        <v>115395.7194605401</v>
      </c>
      <c r="Q102" s="10">
        <v>76</v>
      </c>
      <c r="R102" s="10">
        <v>11798.06535707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8">
        <f t="shared" si="11"/>
        <v>0</v>
      </c>
      <c r="AJ102" s="18">
        <f t="shared" si="8"/>
        <v>5.8207660913467407E-11</v>
      </c>
      <c r="AK102" s="18">
        <f t="shared" si="9"/>
        <v>0</v>
      </c>
      <c r="AL102" s="18">
        <f t="shared" si="10"/>
        <v>1.8189894035458565E-12</v>
      </c>
      <c r="AM102" s="18"/>
      <c r="AN102" s="18"/>
      <c r="AO102" s="18"/>
      <c r="AP102" s="18"/>
    </row>
    <row r="103" spans="1:42" x14ac:dyDescent="0.25"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</row>
  </sheetData>
  <mergeCells count="27">
    <mergeCell ref="G3:J4"/>
    <mergeCell ref="G5:H5"/>
    <mergeCell ref="I5:J5"/>
    <mergeCell ref="B3:B6"/>
    <mergeCell ref="C3:C6"/>
    <mergeCell ref="D3:D6"/>
    <mergeCell ref="E3:E6"/>
    <mergeCell ref="F3:F6"/>
    <mergeCell ref="K3:AH3"/>
    <mergeCell ref="K4:N4"/>
    <mergeCell ref="S4:V4"/>
    <mergeCell ref="W4:Z4"/>
    <mergeCell ref="AA4:AD4"/>
    <mergeCell ref="AE4:AH4"/>
    <mergeCell ref="O4:R4"/>
    <mergeCell ref="AE5:AF5"/>
    <mergeCell ref="AG5:AH5"/>
    <mergeCell ref="K5:L5"/>
    <mergeCell ref="M5:N5"/>
    <mergeCell ref="S5:T5"/>
    <mergeCell ref="U5:V5"/>
    <mergeCell ref="W5:X5"/>
    <mergeCell ref="Y5:Z5"/>
    <mergeCell ref="O5:P5"/>
    <mergeCell ref="Q5:R5"/>
    <mergeCell ref="AA5:AB5"/>
    <mergeCell ref="AC5:AD5"/>
  </mergeCells>
  <conditionalFormatting sqref="K8:AH102">
    <cfRule type="cellIs" dxfId="0" priority="1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32" fitToHeight="10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C238-E00C-41C3-82BF-CFF9546E65DC}">
  <sheetPr>
    <tabColor rgb="FFFF0000"/>
    <pageSetUpPr fitToPage="1"/>
  </sheetPr>
  <dimension ref="A1:AH102"/>
  <sheetViews>
    <sheetView showZeros="0" view="pageBreakPreview" zoomScale="85" zoomScaleNormal="85" zoomScaleSheetLayoutView="85" workbookViewId="0">
      <pane xSplit="5" ySplit="6" topLeftCell="F7" activePane="bottomRight" state="frozen"/>
      <selection pane="topRight" activeCell="D1" sqref="D1"/>
      <selection pane="bottomLeft" activeCell="A8" sqref="A8"/>
      <selection pane="bottomRight" activeCell="F7" sqref="F7"/>
    </sheetView>
  </sheetViews>
  <sheetFormatPr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8" width="16.7109375" style="7" customWidth="1"/>
    <col min="9" max="9" width="11.28515625" style="7" customWidth="1"/>
    <col min="10" max="10" width="13.7109375" style="7" customWidth="1"/>
    <col min="11" max="11" width="11.28515625" style="7" customWidth="1"/>
    <col min="12" max="12" width="13.7109375" style="7" customWidth="1"/>
    <col min="13" max="15" width="14.7109375" style="7" customWidth="1"/>
    <col min="16" max="25" width="12.7109375" style="7" customWidth="1"/>
    <col min="26" max="26" width="14" style="7" customWidth="1"/>
    <col min="27" max="31" width="8.140625" style="7" customWidth="1"/>
    <col min="32" max="33" width="9.85546875" style="7" customWidth="1"/>
    <col min="34" max="34" width="11.7109375" style="7" customWidth="1"/>
    <col min="35" max="16384" width="9.140625" style="7"/>
  </cols>
  <sheetData>
    <row r="1" spans="1:34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34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7" t="s">
        <v>2187</v>
      </c>
    </row>
    <row r="3" spans="1:34" ht="26.25" customHeight="1" x14ac:dyDescent="0.25">
      <c r="B3" s="79" t="s">
        <v>0</v>
      </c>
      <c r="C3" s="80" t="s">
        <v>2188</v>
      </c>
      <c r="D3" s="80" t="s">
        <v>2009</v>
      </c>
      <c r="E3" s="80" t="s">
        <v>2010</v>
      </c>
      <c r="F3" s="80" t="s">
        <v>2011</v>
      </c>
      <c r="G3" s="79" t="s">
        <v>2262</v>
      </c>
      <c r="H3" s="79"/>
      <c r="I3" s="84" t="s">
        <v>2263</v>
      </c>
      <c r="J3" s="85"/>
      <c r="K3" s="84" t="s">
        <v>2264</v>
      </c>
      <c r="L3" s="85"/>
      <c r="M3" s="81" t="s">
        <v>2234</v>
      </c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34" ht="81" customHeight="1" x14ac:dyDescent="0.25">
      <c r="B4" s="79"/>
      <c r="C4" s="80"/>
      <c r="D4" s="80"/>
      <c r="E4" s="80"/>
      <c r="F4" s="80"/>
      <c r="G4" s="79"/>
      <c r="H4" s="79"/>
      <c r="I4" s="86"/>
      <c r="J4" s="87"/>
      <c r="K4" s="86"/>
      <c r="L4" s="87"/>
      <c r="M4" s="81" t="s">
        <v>2265</v>
      </c>
      <c r="N4" s="83"/>
      <c r="O4" s="81" t="s">
        <v>2266</v>
      </c>
      <c r="P4" s="83"/>
      <c r="Q4" s="81" t="s">
        <v>2267</v>
      </c>
      <c r="R4" s="83"/>
      <c r="S4" s="81" t="s">
        <v>2268</v>
      </c>
      <c r="T4" s="83"/>
      <c r="U4" s="81" t="s">
        <v>2269</v>
      </c>
      <c r="V4" s="83"/>
      <c r="W4" s="81" t="s">
        <v>2270</v>
      </c>
      <c r="X4" s="83"/>
      <c r="Y4" s="81" t="s">
        <v>2271</v>
      </c>
      <c r="Z4" s="83"/>
    </row>
    <row r="5" spans="1:34" ht="27" customHeight="1" x14ac:dyDescent="0.25">
      <c r="B5" s="79"/>
      <c r="C5" s="80"/>
      <c r="D5" s="80"/>
      <c r="E5" s="80"/>
      <c r="F5" s="80"/>
      <c r="G5" s="2" t="s">
        <v>2029</v>
      </c>
      <c r="H5" s="2" t="s">
        <v>2191</v>
      </c>
      <c r="I5" s="2" t="s">
        <v>2029</v>
      </c>
      <c r="J5" s="2" t="s">
        <v>2191</v>
      </c>
      <c r="K5" s="2" t="s">
        <v>2029</v>
      </c>
      <c r="L5" s="2" t="s">
        <v>2191</v>
      </c>
      <c r="M5" s="2" t="s">
        <v>2029</v>
      </c>
      <c r="N5" s="2" t="s">
        <v>2191</v>
      </c>
      <c r="O5" s="2" t="s">
        <v>2029</v>
      </c>
      <c r="P5" s="2" t="s">
        <v>2191</v>
      </c>
      <c r="Q5" s="2" t="s">
        <v>2029</v>
      </c>
      <c r="R5" s="2" t="s">
        <v>2191</v>
      </c>
      <c r="S5" s="2" t="s">
        <v>2029</v>
      </c>
      <c r="T5" s="2" t="s">
        <v>2191</v>
      </c>
      <c r="U5" s="2" t="s">
        <v>2029</v>
      </c>
      <c r="V5" s="2" t="s">
        <v>2191</v>
      </c>
      <c r="W5" s="2" t="s">
        <v>2029</v>
      </c>
      <c r="X5" s="2" t="s">
        <v>2191</v>
      </c>
      <c r="Y5" s="2" t="s">
        <v>2029</v>
      </c>
      <c r="Z5" s="2" t="s">
        <v>2191</v>
      </c>
    </row>
    <row r="6" spans="1:34" ht="27" customHeight="1" x14ac:dyDescent="0.25">
      <c r="B6" s="2"/>
      <c r="C6" s="2"/>
      <c r="D6" s="3" t="s">
        <v>2025</v>
      </c>
      <c r="E6" s="3"/>
      <c r="F6" s="3"/>
      <c r="G6" s="6">
        <f t="shared" ref="G6:N6" si="0">+SUM(G7:G101)</f>
        <v>30389</v>
      </c>
      <c r="H6" s="6">
        <f t="shared" si="0"/>
        <v>1175630.0006577624</v>
      </c>
      <c r="I6" s="6">
        <f t="shared" si="0"/>
        <v>4300</v>
      </c>
      <c r="J6" s="6">
        <f t="shared" si="0"/>
        <v>59783.883553604981</v>
      </c>
      <c r="K6" s="6">
        <f t="shared" si="0"/>
        <v>26089</v>
      </c>
      <c r="L6" s="6">
        <f t="shared" si="0"/>
        <v>1115846.1171041564</v>
      </c>
      <c r="M6" s="6">
        <f t="shared" si="0"/>
        <v>5709</v>
      </c>
      <c r="N6" s="6">
        <f t="shared" si="0"/>
        <v>177212.77040351997</v>
      </c>
      <c r="O6" s="6">
        <f t="shared" ref="O6" si="1">+SUM(O7:O101)</f>
        <v>7124</v>
      </c>
      <c r="P6" s="6">
        <f>+SUM(P7:P101)</f>
        <v>307887.21361072903</v>
      </c>
      <c r="Q6" s="6">
        <f t="shared" ref="Q6" si="2">+SUM(Q7:Q101)</f>
        <v>12797</v>
      </c>
      <c r="R6" s="6">
        <f>+SUM(R7:R101)</f>
        <v>499008.25992593792</v>
      </c>
      <c r="S6" s="6">
        <f t="shared" ref="S6:T6" si="3">+SUM(S7:S101)</f>
        <v>33</v>
      </c>
      <c r="T6" s="6">
        <f t="shared" si="3"/>
        <v>13767.318276909999</v>
      </c>
      <c r="U6" s="6">
        <f t="shared" ref="U6:Y6" si="4">+SUM(U7:U101)</f>
        <v>16</v>
      </c>
      <c r="V6" s="6">
        <f t="shared" si="4"/>
        <v>104242.68459726001</v>
      </c>
      <c r="W6" s="6">
        <f t="shared" si="4"/>
        <v>31</v>
      </c>
      <c r="X6" s="6">
        <f t="shared" si="4"/>
        <v>4840.8653953800003</v>
      </c>
      <c r="Y6" s="6">
        <f t="shared" si="4"/>
        <v>379</v>
      </c>
      <c r="Z6" s="6">
        <f>+SUM(Z7:Z101)</f>
        <v>8887.0048944199989</v>
      </c>
      <c r="AA6" s="18"/>
      <c r="AB6" s="18"/>
      <c r="AC6" s="18"/>
      <c r="AD6" s="18"/>
      <c r="AE6" s="18"/>
      <c r="AF6" s="18"/>
      <c r="AG6" s="18"/>
      <c r="AH6" s="18"/>
    </row>
    <row r="7" spans="1:34" s="11" customFormat="1" ht="27" customHeight="1" x14ac:dyDescent="0.25">
      <c r="A7" s="66" t="s">
        <v>26</v>
      </c>
      <c r="B7" s="1">
        <v>1</v>
      </c>
      <c r="C7" s="20" t="s">
        <v>2033</v>
      </c>
      <c r="D7" s="20" t="s">
        <v>2044</v>
      </c>
      <c r="E7" s="65">
        <v>10014</v>
      </c>
      <c r="F7" s="19" t="s">
        <v>2045</v>
      </c>
      <c r="G7" s="9">
        <v>105</v>
      </c>
      <c r="H7" s="9">
        <v>9370.4055959899961</v>
      </c>
      <c r="I7" s="9">
        <v>23</v>
      </c>
      <c r="J7" s="9">
        <v>2862.9557724600004</v>
      </c>
      <c r="K7" s="9">
        <v>82</v>
      </c>
      <c r="L7" s="9">
        <v>6507.4498235299989</v>
      </c>
      <c r="M7" s="9">
        <v>0</v>
      </c>
      <c r="N7" s="9">
        <v>0</v>
      </c>
      <c r="O7" s="9">
        <v>6</v>
      </c>
      <c r="P7" s="9">
        <v>48.535719229999998</v>
      </c>
      <c r="Q7" s="9">
        <v>61</v>
      </c>
      <c r="R7" s="9">
        <v>5671.3863168299995</v>
      </c>
      <c r="S7" s="9">
        <v>0</v>
      </c>
      <c r="T7" s="9">
        <v>0</v>
      </c>
      <c r="U7" s="9">
        <v>0</v>
      </c>
      <c r="V7" s="9">
        <v>0</v>
      </c>
      <c r="W7" s="9">
        <v>15</v>
      </c>
      <c r="X7" s="9">
        <v>787.52778746999979</v>
      </c>
      <c r="Y7" s="9">
        <v>0</v>
      </c>
      <c r="Z7" s="9">
        <v>0</v>
      </c>
      <c r="AA7" s="18"/>
      <c r="AB7" s="18"/>
      <c r="AC7" s="18"/>
      <c r="AD7" s="18"/>
      <c r="AE7" s="18"/>
      <c r="AF7" s="18"/>
      <c r="AG7" s="18"/>
      <c r="AH7" s="18"/>
    </row>
    <row r="8" spans="1:34" s="11" customFormat="1" ht="27" customHeight="1" x14ac:dyDescent="0.25">
      <c r="A8" s="66" t="s">
        <v>26</v>
      </c>
      <c r="B8" s="1">
        <f t="shared" ref="B8:B71" si="5">+B7+1</f>
        <v>2</v>
      </c>
      <c r="C8" s="20" t="s">
        <v>2033</v>
      </c>
      <c r="D8" s="20" t="s">
        <v>2046</v>
      </c>
      <c r="E8" s="65">
        <v>11141</v>
      </c>
      <c r="F8" s="19" t="s">
        <v>2047</v>
      </c>
      <c r="G8" s="9">
        <v>12</v>
      </c>
      <c r="H8" s="9">
        <v>2168.2914355799999</v>
      </c>
      <c r="I8" s="9">
        <v>1</v>
      </c>
      <c r="J8" s="9">
        <v>5.5555440000000003</v>
      </c>
      <c r="K8" s="9">
        <v>11</v>
      </c>
      <c r="L8" s="9">
        <v>2162.73589158</v>
      </c>
      <c r="M8" s="9">
        <v>0</v>
      </c>
      <c r="N8" s="9">
        <v>0</v>
      </c>
      <c r="O8" s="9">
        <v>1</v>
      </c>
      <c r="P8" s="9">
        <v>189.56433557</v>
      </c>
      <c r="Q8" s="9">
        <v>9</v>
      </c>
      <c r="R8" s="9">
        <v>420.59655601000003</v>
      </c>
      <c r="S8" s="9">
        <v>1</v>
      </c>
      <c r="T8" s="9">
        <v>1552.575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18"/>
      <c r="AB8" s="18"/>
      <c r="AC8" s="18"/>
      <c r="AD8" s="18"/>
      <c r="AE8" s="18"/>
      <c r="AF8" s="18"/>
      <c r="AG8" s="18"/>
      <c r="AH8" s="18"/>
    </row>
    <row r="9" spans="1:34" s="11" customFormat="1" ht="27" customHeight="1" x14ac:dyDescent="0.25">
      <c r="A9" s="66" t="s">
        <v>26</v>
      </c>
      <c r="B9" s="1">
        <f t="shared" si="5"/>
        <v>3</v>
      </c>
      <c r="C9" s="20" t="s">
        <v>2033</v>
      </c>
      <c r="D9" s="20" t="s">
        <v>2048</v>
      </c>
      <c r="E9" s="65">
        <v>11142</v>
      </c>
      <c r="F9" s="19" t="s">
        <v>2049</v>
      </c>
      <c r="G9" s="9">
        <v>98</v>
      </c>
      <c r="H9" s="9">
        <v>2915.2621212100016</v>
      </c>
      <c r="I9" s="9">
        <v>4</v>
      </c>
      <c r="J9" s="9">
        <v>10.587518429999999</v>
      </c>
      <c r="K9" s="9">
        <v>94</v>
      </c>
      <c r="L9" s="9">
        <v>2904.6746027800004</v>
      </c>
      <c r="M9" s="9">
        <v>4</v>
      </c>
      <c r="N9" s="9">
        <v>143.66741649000002</v>
      </c>
      <c r="O9" s="9">
        <v>17</v>
      </c>
      <c r="P9" s="9">
        <v>467.89911321000005</v>
      </c>
      <c r="Q9" s="9">
        <v>73</v>
      </c>
      <c r="R9" s="9">
        <v>2293.1080730800004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18"/>
      <c r="AB9" s="18"/>
      <c r="AC9" s="18"/>
      <c r="AD9" s="18"/>
      <c r="AE9" s="18"/>
      <c r="AF9" s="18"/>
      <c r="AG9" s="18"/>
      <c r="AH9" s="18"/>
    </row>
    <row r="10" spans="1:34" s="11" customFormat="1" ht="27" customHeight="1" x14ac:dyDescent="0.25">
      <c r="A10" s="66" t="s">
        <v>26</v>
      </c>
      <c r="B10" s="1">
        <f t="shared" si="5"/>
        <v>4</v>
      </c>
      <c r="C10" s="20" t="s">
        <v>2033</v>
      </c>
      <c r="D10" s="20" t="s">
        <v>2042</v>
      </c>
      <c r="E10" s="65">
        <v>11183</v>
      </c>
      <c r="F10" s="19" t="s">
        <v>2043</v>
      </c>
      <c r="G10" s="9">
        <v>150</v>
      </c>
      <c r="H10" s="9">
        <v>9746.7988024799943</v>
      </c>
      <c r="I10" s="9">
        <v>12</v>
      </c>
      <c r="J10" s="9">
        <v>622.76104044999988</v>
      </c>
      <c r="K10" s="9">
        <v>138</v>
      </c>
      <c r="L10" s="9">
        <v>9124.0377620299987</v>
      </c>
      <c r="M10" s="9">
        <v>0</v>
      </c>
      <c r="N10" s="9">
        <v>0</v>
      </c>
      <c r="O10" s="9">
        <v>54</v>
      </c>
      <c r="P10" s="9">
        <v>2974.8387668099999</v>
      </c>
      <c r="Q10" s="9">
        <v>79</v>
      </c>
      <c r="R10" s="9">
        <v>6113.651755169999</v>
      </c>
      <c r="S10" s="9">
        <v>5</v>
      </c>
      <c r="T10" s="9">
        <v>35.547240049999999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18"/>
      <c r="AB10" s="18"/>
      <c r="AC10" s="18"/>
      <c r="AD10" s="18"/>
      <c r="AE10" s="18"/>
      <c r="AF10" s="18"/>
      <c r="AG10" s="18"/>
      <c r="AH10" s="18"/>
    </row>
    <row r="11" spans="1:34" s="11" customFormat="1" ht="27" customHeight="1" x14ac:dyDescent="0.25">
      <c r="A11" s="66" t="s">
        <v>26</v>
      </c>
      <c r="B11" s="1">
        <f t="shared" si="5"/>
        <v>5</v>
      </c>
      <c r="C11" s="20" t="s">
        <v>2033</v>
      </c>
      <c r="D11" s="20" t="s">
        <v>2034</v>
      </c>
      <c r="E11" s="65">
        <v>11253</v>
      </c>
      <c r="F11" s="19" t="s">
        <v>2035</v>
      </c>
      <c r="G11" s="9">
        <v>196</v>
      </c>
      <c r="H11" s="9">
        <v>39558.920608769993</v>
      </c>
      <c r="I11" s="9">
        <v>37</v>
      </c>
      <c r="J11" s="9">
        <v>1733.1826219300001</v>
      </c>
      <c r="K11" s="9">
        <v>159</v>
      </c>
      <c r="L11" s="9">
        <v>37825.737986840002</v>
      </c>
      <c r="M11" s="9">
        <v>0</v>
      </c>
      <c r="N11" s="9">
        <v>0</v>
      </c>
      <c r="O11" s="9">
        <v>99</v>
      </c>
      <c r="P11" s="9">
        <v>13904.053425819999</v>
      </c>
      <c r="Q11" s="9">
        <v>55</v>
      </c>
      <c r="R11" s="9">
        <v>15548.788915520003</v>
      </c>
      <c r="S11" s="9">
        <v>0</v>
      </c>
      <c r="T11" s="9">
        <v>0</v>
      </c>
      <c r="U11" s="9">
        <v>1</v>
      </c>
      <c r="V11" s="9">
        <v>7231.4872235000003</v>
      </c>
      <c r="W11" s="9">
        <v>4</v>
      </c>
      <c r="X11" s="9">
        <v>1141.408422</v>
      </c>
      <c r="Y11" s="9">
        <v>0</v>
      </c>
      <c r="Z11" s="9">
        <v>0</v>
      </c>
      <c r="AA11" s="18"/>
      <c r="AB11" s="18"/>
      <c r="AC11" s="18"/>
      <c r="AD11" s="18"/>
      <c r="AE11" s="18"/>
      <c r="AF11" s="18"/>
      <c r="AG11" s="18"/>
      <c r="AH11" s="18"/>
    </row>
    <row r="12" spans="1:34" s="11" customFormat="1" ht="27" customHeight="1" x14ac:dyDescent="0.25">
      <c r="A12" s="66" t="s">
        <v>26</v>
      </c>
      <c r="B12" s="1">
        <f t="shared" si="5"/>
        <v>6</v>
      </c>
      <c r="C12" s="20" t="s">
        <v>2033</v>
      </c>
      <c r="D12" s="20" t="s">
        <v>2036</v>
      </c>
      <c r="E12" s="65">
        <v>11254</v>
      </c>
      <c r="F12" s="19" t="s">
        <v>2037</v>
      </c>
      <c r="G12" s="9">
        <v>19</v>
      </c>
      <c r="H12" s="9">
        <v>1079.9514652600003</v>
      </c>
      <c r="I12" s="9">
        <v>0</v>
      </c>
      <c r="J12" s="9">
        <v>0</v>
      </c>
      <c r="K12" s="9">
        <v>19</v>
      </c>
      <c r="L12" s="9">
        <v>1079.9514652600001</v>
      </c>
      <c r="M12" s="9">
        <v>1</v>
      </c>
      <c r="N12" s="9">
        <v>1.55421169</v>
      </c>
      <c r="O12" s="9">
        <v>12</v>
      </c>
      <c r="P12" s="9">
        <v>247.52857702</v>
      </c>
      <c r="Q12" s="9">
        <v>6</v>
      </c>
      <c r="R12" s="9">
        <v>830.86867655000003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18"/>
      <c r="AB12" s="18"/>
      <c r="AC12" s="18"/>
      <c r="AD12" s="18"/>
      <c r="AE12" s="18"/>
      <c r="AF12" s="18"/>
      <c r="AG12" s="18"/>
      <c r="AH12" s="18"/>
    </row>
    <row r="13" spans="1:34" s="11" customFormat="1" ht="27" customHeight="1" x14ac:dyDescent="0.25">
      <c r="A13" s="66" t="s">
        <v>26</v>
      </c>
      <c r="B13" s="1">
        <f t="shared" si="5"/>
        <v>7</v>
      </c>
      <c r="C13" s="20" t="s">
        <v>2033</v>
      </c>
      <c r="D13" s="20" t="s">
        <v>2038</v>
      </c>
      <c r="E13" s="65">
        <v>11255</v>
      </c>
      <c r="F13" s="19" t="s">
        <v>2039</v>
      </c>
      <c r="G13" s="9">
        <v>26</v>
      </c>
      <c r="H13" s="9">
        <v>15161.629339429999</v>
      </c>
      <c r="I13" s="9">
        <v>3</v>
      </c>
      <c r="J13" s="9">
        <v>194.07806069999998</v>
      </c>
      <c r="K13" s="9">
        <v>23</v>
      </c>
      <c r="L13" s="9">
        <v>14967.551278730001</v>
      </c>
      <c r="M13" s="9">
        <v>4</v>
      </c>
      <c r="N13" s="9">
        <v>65.63484837</v>
      </c>
      <c r="O13" s="9">
        <v>2</v>
      </c>
      <c r="P13" s="9">
        <v>459.29086818000002</v>
      </c>
      <c r="Q13" s="9">
        <v>17</v>
      </c>
      <c r="R13" s="9">
        <v>14442.625562180001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18"/>
      <c r="AB13" s="18"/>
      <c r="AC13" s="18"/>
      <c r="AD13" s="18"/>
      <c r="AE13" s="18"/>
      <c r="AF13" s="18"/>
      <c r="AG13" s="18"/>
      <c r="AH13" s="18"/>
    </row>
    <row r="14" spans="1:34" s="11" customFormat="1" ht="27" customHeight="1" x14ac:dyDescent="0.25">
      <c r="A14" s="66" t="s">
        <v>26</v>
      </c>
      <c r="B14" s="1">
        <f t="shared" si="5"/>
        <v>8</v>
      </c>
      <c r="C14" s="20" t="s">
        <v>2033</v>
      </c>
      <c r="D14" s="20" t="s">
        <v>2040</v>
      </c>
      <c r="E14" s="65">
        <v>11256</v>
      </c>
      <c r="F14" s="19" t="s">
        <v>2041</v>
      </c>
      <c r="G14" s="9">
        <v>30</v>
      </c>
      <c r="H14" s="9">
        <v>762.48946693000005</v>
      </c>
      <c r="I14" s="9">
        <v>1</v>
      </c>
      <c r="J14" s="9">
        <v>9.4034879399999998</v>
      </c>
      <c r="K14" s="9">
        <v>29</v>
      </c>
      <c r="L14" s="9">
        <v>753.08597899000006</v>
      </c>
      <c r="M14" s="9">
        <v>0</v>
      </c>
      <c r="N14" s="9">
        <v>0</v>
      </c>
      <c r="O14" s="9">
        <v>2</v>
      </c>
      <c r="P14" s="9">
        <v>27.790781879999997</v>
      </c>
      <c r="Q14" s="9">
        <v>27</v>
      </c>
      <c r="R14" s="9">
        <v>725.29519711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18"/>
      <c r="AB14" s="18"/>
      <c r="AC14" s="18"/>
      <c r="AD14" s="18"/>
      <c r="AE14" s="18"/>
      <c r="AF14" s="18"/>
      <c r="AG14" s="18"/>
      <c r="AH14" s="18"/>
    </row>
    <row r="15" spans="1:34" s="11" customFormat="1" ht="27" customHeight="1" x14ac:dyDescent="0.25">
      <c r="A15" s="66" t="s">
        <v>26</v>
      </c>
      <c r="B15" s="1">
        <f t="shared" si="5"/>
        <v>9</v>
      </c>
      <c r="C15" s="20" t="s">
        <v>2033</v>
      </c>
      <c r="D15" s="20" t="s">
        <v>2181</v>
      </c>
      <c r="E15" s="65">
        <v>12174</v>
      </c>
      <c r="F15" s="19" t="s">
        <v>2049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18"/>
      <c r="AB15" s="18"/>
      <c r="AC15" s="18"/>
      <c r="AD15" s="18"/>
      <c r="AE15" s="18"/>
      <c r="AF15" s="18"/>
      <c r="AG15" s="18"/>
      <c r="AH15" s="18"/>
    </row>
    <row r="16" spans="1:34" s="11" customFormat="1" ht="27" customHeight="1" x14ac:dyDescent="0.25">
      <c r="A16" s="66" t="s">
        <v>26</v>
      </c>
      <c r="B16" s="1">
        <f t="shared" si="5"/>
        <v>10</v>
      </c>
      <c r="C16" s="20" t="s">
        <v>2033</v>
      </c>
      <c r="D16" s="20" t="s">
        <v>2182</v>
      </c>
      <c r="E16" s="65">
        <v>12190</v>
      </c>
      <c r="F16" s="19" t="s">
        <v>2049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18"/>
      <c r="AB16" s="18"/>
      <c r="AC16" s="18"/>
      <c r="AD16" s="18"/>
      <c r="AE16" s="18"/>
      <c r="AF16" s="18"/>
      <c r="AG16" s="18"/>
      <c r="AH16" s="18"/>
    </row>
    <row r="17" spans="1:34" s="11" customFormat="1" ht="27" customHeight="1" x14ac:dyDescent="0.25">
      <c r="A17" s="66" t="s">
        <v>27</v>
      </c>
      <c r="B17" s="1">
        <f t="shared" si="5"/>
        <v>11</v>
      </c>
      <c r="C17" s="20" t="s">
        <v>2050</v>
      </c>
      <c r="D17" s="20" t="s">
        <v>2051</v>
      </c>
      <c r="E17" s="65">
        <v>11198</v>
      </c>
      <c r="F17" s="19" t="s">
        <v>2035</v>
      </c>
      <c r="G17" s="9">
        <v>308</v>
      </c>
      <c r="H17" s="9">
        <v>79400.030938190059</v>
      </c>
      <c r="I17" s="9">
        <v>0</v>
      </c>
      <c r="J17" s="9">
        <v>0</v>
      </c>
      <c r="K17" s="9">
        <v>308</v>
      </c>
      <c r="L17" s="9">
        <v>79400.030938190001</v>
      </c>
      <c r="M17" s="9">
        <v>216</v>
      </c>
      <c r="N17" s="9">
        <v>7842.2114863800007</v>
      </c>
      <c r="O17" s="9">
        <v>77</v>
      </c>
      <c r="P17" s="9">
        <v>10425.601660540004</v>
      </c>
      <c r="Q17" s="9">
        <v>13</v>
      </c>
      <c r="R17" s="9">
        <v>4540.43684467</v>
      </c>
      <c r="S17" s="9">
        <v>0</v>
      </c>
      <c r="T17" s="9">
        <v>0</v>
      </c>
      <c r="U17" s="9">
        <v>2</v>
      </c>
      <c r="V17" s="9">
        <v>56591.780946599996</v>
      </c>
      <c r="W17" s="9">
        <v>0</v>
      </c>
      <c r="X17" s="9">
        <v>0</v>
      </c>
      <c r="Y17" s="9">
        <v>0</v>
      </c>
      <c r="Z17" s="9">
        <v>0</v>
      </c>
      <c r="AA17" s="18"/>
      <c r="AB17" s="18"/>
      <c r="AC17" s="18"/>
      <c r="AD17" s="18"/>
      <c r="AE17" s="18"/>
      <c r="AF17" s="18"/>
      <c r="AG17" s="18"/>
      <c r="AH17" s="18"/>
    </row>
    <row r="18" spans="1:34" s="11" customFormat="1" ht="27" customHeight="1" x14ac:dyDescent="0.25">
      <c r="A18" s="66" t="s">
        <v>27</v>
      </c>
      <c r="B18" s="1">
        <f t="shared" si="5"/>
        <v>12</v>
      </c>
      <c r="C18" s="20" t="s">
        <v>2050</v>
      </c>
      <c r="D18" s="20" t="s">
        <v>2055</v>
      </c>
      <c r="E18" s="65">
        <v>11199</v>
      </c>
      <c r="F18" s="19" t="s">
        <v>2037</v>
      </c>
      <c r="G18" s="9">
        <v>377</v>
      </c>
      <c r="H18" s="9">
        <v>8651.2559452700007</v>
      </c>
      <c r="I18" s="9">
        <v>31</v>
      </c>
      <c r="J18" s="9">
        <v>419.16595762999998</v>
      </c>
      <c r="K18" s="9">
        <v>346</v>
      </c>
      <c r="L18" s="9">
        <v>8232.0899876399999</v>
      </c>
      <c r="M18" s="9">
        <v>88</v>
      </c>
      <c r="N18" s="9">
        <v>2233.8895578399997</v>
      </c>
      <c r="O18" s="9">
        <v>199</v>
      </c>
      <c r="P18" s="9">
        <v>4653.5669163200009</v>
      </c>
      <c r="Q18" s="9">
        <v>59</v>
      </c>
      <c r="R18" s="9">
        <v>1344.6335134800001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18"/>
      <c r="AB18" s="18"/>
      <c r="AC18" s="18"/>
      <c r="AD18" s="18"/>
      <c r="AE18" s="18"/>
      <c r="AF18" s="18"/>
      <c r="AG18" s="18"/>
      <c r="AH18" s="18"/>
    </row>
    <row r="19" spans="1:34" s="11" customFormat="1" ht="27" customHeight="1" x14ac:dyDescent="0.25">
      <c r="A19" s="66" t="s">
        <v>27</v>
      </c>
      <c r="B19" s="1">
        <f t="shared" si="5"/>
        <v>13</v>
      </c>
      <c r="C19" s="20" t="s">
        <v>2050</v>
      </c>
      <c r="D19" s="20" t="s">
        <v>2056</v>
      </c>
      <c r="E19" s="65">
        <v>11200</v>
      </c>
      <c r="F19" s="19" t="s">
        <v>2049</v>
      </c>
      <c r="G19" s="9">
        <v>647</v>
      </c>
      <c r="H19" s="9">
        <v>42485.512606189994</v>
      </c>
      <c r="I19" s="9">
        <v>0</v>
      </c>
      <c r="J19" s="9">
        <v>0</v>
      </c>
      <c r="K19" s="9">
        <v>647</v>
      </c>
      <c r="L19" s="9">
        <v>42485.512606190008</v>
      </c>
      <c r="M19" s="9">
        <v>561</v>
      </c>
      <c r="N19" s="9">
        <v>29616.321428780004</v>
      </c>
      <c r="O19" s="9">
        <v>72</v>
      </c>
      <c r="P19" s="9">
        <v>5816.8536283500007</v>
      </c>
      <c r="Q19" s="9">
        <v>14</v>
      </c>
      <c r="R19" s="9">
        <v>7052.3375490599992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18"/>
      <c r="AB19" s="18"/>
      <c r="AC19" s="18"/>
      <c r="AD19" s="18"/>
      <c r="AE19" s="18"/>
      <c r="AF19" s="18"/>
      <c r="AG19" s="18"/>
      <c r="AH19" s="18"/>
    </row>
    <row r="20" spans="1:34" s="11" customFormat="1" ht="27" customHeight="1" x14ac:dyDescent="0.25">
      <c r="A20" s="66" t="s">
        <v>27</v>
      </c>
      <c r="B20" s="1">
        <f t="shared" si="5"/>
        <v>14</v>
      </c>
      <c r="C20" s="20" t="s">
        <v>2050</v>
      </c>
      <c r="D20" s="20" t="s">
        <v>2052</v>
      </c>
      <c r="E20" s="65">
        <v>11201</v>
      </c>
      <c r="F20" s="19" t="s">
        <v>2047</v>
      </c>
      <c r="G20" s="9">
        <v>228</v>
      </c>
      <c r="H20" s="9">
        <v>3952.3128732499986</v>
      </c>
      <c r="I20" s="9">
        <v>0</v>
      </c>
      <c r="J20" s="9">
        <v>0</v>
      </c>
      <c r="K20" s="9">
        <v>228</v>
      </c>
      <c r="L20" s="9">
        <v>3952.3128732499995</v>
      </c>
      <c r="M20" s="9">
        <v>201</v>
      </c>
      <c r="N20" s="9">
        <v>2990.9807175199994</v>
      </c>
      <c r="O20" s="9">
        <v>27</v>
      </c>
      <c r="P20" s="9">
        <v>961.33215573000007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18"/>
      <c r="AB20" s="18"/>
      <c r="AC20" s="18"/>
      <c r="AD20" s="18"/>
      <c r="AE20" s="18"/>
      <c r="AF20" s="18"/>
      <c r="AG20" s="18"/>
      <c r="AH20" s="18"/>
    </row>
    <row r="21" spans="1:34" s="11" customFormat="1" ht="27" customHeight="1" x14ac:dyDescent="0.25">
      <c r="A21" s="66" t="s">
        <v>27</v>
      </c>
      <c r="B21" s="1">
        <f t="shared" si="5"/>
        <v>15</v>
      </c>
      <c r="C21" s="20" t="s">
        <v>2050</v>
      </c>
      <c r="D21" s="20" t="s">
        <v>2053</v>
      </c>
      <c r="E21" s="65">
        <v>11202</v>
      </c>
      <c r="F21" s="19" t="s">
        <v>2054</v>
      </c>
      <c r="G21" s="9">
        <v>376</v>
      </c>
      <c r="H21" s="9">
        <v>25750.961610599963</v>
      </c>
      <c r="I21" s="9">
        <v>0</v>
      </c>
      <c r="J21" s="9">
        <v>0</v>
      </c>
      <c r="K21" s="9">
        <v>376</v>
      </c>
      <c r="L21" s="9">
        <v>25750.961610600003</v>
      </c>
      <c r="M21" s="9">
        <v>329</v>
      </c>
      <c r="N21" s="9">
        <v>5751.0737417000037</v>
      </c>
      <c r="O21" s="9">
        <v>38</v>
      </c>
      <c r="P21" s="9">
        <v>4844.3470787000015</v>
      </c>
      <c r="Q21" s="9">
        <v>8</v>
      </c>
      <c r="R21" s="9">
        <v>11742.671199959999</v>
      </c>
      <c r="S21" s="9">
        <v>0</v>
      </c>
      <c r="T21" s="9">
        <v>0</v>
      </c>
      <c r="U21" s="9">
        <v>1</v>
      </c>
      <c r="V21" s="9">
        <v>3412.86959024</v>
      </c>
      <c r="W21" s="9">
        <v>0</v>
      </c>
      <c r="X21" s="9">
        <v>0</v>
      </c>
      <c r="Y21" s="9">
        <v>0</v>
      </c>
      <c r="Z21" s="9">
        <v>0</v>
      </c>
      <c r="AA21" s="18"/>
      <c r="AB21" s="18"/>
      <c r="AC21" s="18"/>
      <c r="AD21" s="18"/>
      <c r="AE21" s="18"/>
      <c r="AF21" s="18"/>
      <c r="AG21" s="18"/>
      <c r="AH21" s="18"/>
    </row>
    <row r="22" spans="1:34" s="11" customFormat="1" ht="27" customHeight="1" x14ac:dyDescent="0.25">
      <c r="A22" s="66" t="s">
        <v>27</v>
      </c>
      <c r="B22" s="1">
        <f t="shared" si="5"/>
        <v>16</v>
      </c>
      <c r="C22" s="20" t="s">
        <v>2050</v>
      </c>
      <c r="D22" s="20" t="s">
        <v>2057</v>
      </c>
      <c r="E22" s="65">
        <v>11203</v>
      </c>
      <c r="F22" s="19" t="s">
        <v>2041</v>
      </c>
      <c r="G22" s="9">
        <v>328</v>
      </c>
      <c r="H22" s="9">
        <v>15119.465598820016</v>
      </c>
      <c r="I22" s="9">
        <v>0</v>
      </c>
      <c r="J22" s="9">
        <v>0</v>
      </c>
      <c r="K22" s="9">
        <v>328</v>
      </c>
      <c r="L22" s="9">
        <v>15119.465598819997</v>
      </c>
      <c r="M22" s="9">
        <v>193</v>
      </c>
      <c r="N22" s="9">
        <v>6328.2003700199948</v>
      </c>
      <c r="O22" s="9">
        <v>124</v>
      </c>
      <c r="P22" s="9">
        <v>8267.6721324900027</v>
      </c>
      <c r="Q22" s="9">
        <v>11</v>
      </c>
      <c r="R22" s="9">
        <v>523.59309630999996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18"/>
      <c r="AB22" s="18"/>
      <c r="AC22" s="18"/>
      <c r="AD22" s="18"/>
      <c r="AE22" s="18"/>
      <c r="AF22" s="18"/>
      <c r="AG22" s="18"/>
      <c r="AH22" s="18"/>
    </row>
    <row r="23" spans="1:34" s="11" customFormat="1" ht="27" customHeight="1" x14ac:dyDescent="0.25">
      <c r="A23" s="66" t="s">
        <v>28</v>
      </c>
      <c r="B23" s="1">
        <f t="shared" si="5"/>
        <v>17</v>
      </c>
      <c r="C23" s="20" t="s">
        <v>2058</v>
      </c>
      <c r="D23" s="20" t="s">
        <v>2059</v>
      </c>
      <c r="E23" s="65" t="s">
        <v>11</v>
      </c>
      <c r="F23" s="19" t="s">
        <v>2060</v>
      </c>
      <c r="G23" s="9">
        <v>811</v>
      </c>
      <c r="H23" s="9">
        <v>23779.578477610004</v>
      </c>
      <c r="I23" s="9">
        <v>128</v>
      </c>
      <c r="J23" s="9">
        <v>1794.5519131599999</v>
      </c>
      <c r="K23" s="9">
        <v>683</v>
      </c>
      <c r="L23" s="9">
        <v>21985.026564450003</v>
      </c>
      <c r="M23" s="9">
        <v>0</v>
      </c>
      <c r="N23" s="9">
        <v>0</v>
      </c>
      <c r="O23" s="9">
        <v>312</v>
      </c>
      <c r="P23" s="9">
        <v>5592.1020039299992</v>
      </c>
      <c r="Q23" s="9">
        <v>370</v>
      </c>
      <c r="R23" s="9">
        <v>10900.550142300004</v>
      </c>
      <c r="S23" s="9">
        <v>1</v>
      </c>
      <c r="T23" s="9">
        <v>5492.3744182199998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18"/>
      <c r="AB23" s="18"/>
      <c r="AC23" s="18"/>
      <c r="AD23" s="18"/>
      <c r="AE23" s="18"/>
      <c r="AF23" s="18"/>
      <c r="AG23" s="18"/>
      <c r="AH23" s="18"/>
    </row>
    <row r="24" spans="1:34" s="11" customFormat="1" ht="27" customHeight="1" x14ac:dyDescent="0.25">
      <c r="A24" s="66" t="s">
        <v>28</v>
      </c>
      <c r="B24" s="1">
        <f t="shared" si="5"/>
        <v>18</v>
      </c>
      <c r="C24" s="20" t="s">
        <v>2058</v>
      </c>
      <c r="D24" s="20" t="s">
        <v>2061</v>
      </c>
      <c r="E24" s="65" t="s">
        <v>21</v>
      </c>
      <c r="F24" s="19" t="s">
        <v>2062</v>
      </c>
      <c r="G24" s="9">
        <v>178</v>
      </c>
      <c r="H24" s="9">
        <v>23401.691166050012</v>
      </c>
      <c r="I24" s="9">
        <v>15</v>
      </c>
      <c r="J24" s="9">
        <v>1614.04843663</v>
      </c>
      <c r="K24" s="9">
        <v>163</v>
      </c>
      <c r="L24" s="9">
        <v>21787.64272942</v>
      </c>
      <c r="M24" s="9">
        <v>0</v>
      </c>
      <c r="N24" s="9">
        <v>0</v>
      </c>
      <c r="O24" s="9">
        <v>0</v>
      </c>
      <c r="P24" s="9">
        <v>0</v>
      </c>
      <c r="Q24" s="9">
        <v>162</v>
      </c>
      <c r="R24" s="9">
        <v>11621.939708799999</v>
      </c>
      <c r="S24" s="9">
        <v>0</v>
      </c>
      <c r="T24" s="9">
        <v>0</v>
      </c>
      <c r="U24" s="9">
        <v>1</v>
      </c>
      <c r="V24" s="9">
        <v>10165.703020620002</v>
      </c>
      <c r="W24" s="9">
        <v>0</v>
      </c>
      <c r="X24" s="9">
        <v>0</v>
      </c>
      <c r="Y24" s="9">
        <v>0</v>
      </c>
      <c r="Z24" s="9">
        <v>0</v>
      </c>
      <c r="AA24" s="18"/>
      <c r="AB24" s="18"/>
      <c r="AC24" s="18"/>
      <c r="AD24" s="18"/>
      <c r="AE24" s="18"/>
      <c r="AF24" s="18"/>
      <c r="AG24" s="18"/>
      <c r="AH24" s="18"/>
    </row>
    <row r="25" spans="1:34" s="11" customFormat="1" ht="27" customHeight="1" x14ac:dyDescent="0.25">
      <c r="A25" s="66" t="s">
        <v>28</v>
      </c>
      <c r="B25" s="1">
        <f t="shared" si="5"/>
        <v>19</v>
      </c>
      <c r="C25" s="20" t="s">
        <v>2058</v>
      </c>
      <c r="D25" s="20" t="s">
        <v>2063</v>
      </c>
      <c r="E25" s="65" t="s">
        <v>14</v>
      </c>
      <c r="F25" s="19" t="s">
        <v>2064</v>
      </c>
      <c r="G25" s="9">
        <v>159</v>
      </c>
      <c r="H25" s="9">
        <v>7146.4920657900066</v>
      </c>
      <c r="I25" s="9">
        <v>4</v>
      </c>
      <c r="J25" s="9">
        <v>49.303897589999998</v>
      </c>
      <c r="K25" s="9">
        <v>155</v>
      </c>
      <c r="L25" s="9">
        <v>7097.1881682000003</v>
      </c>
      <c r="M25" s="9">
        <v>18</v>
      </c>
      <c r="N25" s="9">
        <v>540.72949840000013</v>
      </c>
      <c r="O25" s="9">
        <v>0</v>
      </c>
      <c r="P25" s="9">
        <v>0</v>
      </c>
      <c r="Q25" s="9">
        <v>135</v>
      </c>
      <c r="R25" s="9">
        <v>5063.1330661400007</v>
      </c>
      <c r="S25" s="9">
        <v>0</v>
      </c>
      <c r="T25" s="9">
        <v>0</v>
      </c>
      <c r="U25" s="9">
        <v>2</v>
      </c>
      <c r="V25" s="9">
        <v>1493.3256036600001</v>
      </c>
      <c r="W25" s="9">
        <v>0</v>
      </c>
      <c r="X25" s="9">
        <v>0</v>
      </c>
      <c r="Y25" s="9">
        <v>0</v>
      </c>
      <c r="Z25" s="9">
        <v>0</v>
      </c>
      <c r="AA25" s="18"/>
      <c r="AB25" s="18"/>
      <c r="AC25" s="18"/>
      <c r="AD25" s="18"/>
      <c r="AE25" s="18"/>
      <c r="AF25" s="18"/>
      <c r="AG25" s="18"/>
      <c r="AH25" s="18"/>
    </row>
    <row r="26" spans="1:34" s="11" customFormat="1" ht="27" customHeight="1" x14ac:dyDescent="0.25">
      <c r="A26" s="66" t="s">
        <v>28</v>
      </c>
      <c r="B26" s="1">
        <f t="shared" si="5"/>
        <v>20</v>
      </c>
      <c r="C26" s="20" t="s">
        <v>2058</v>
      </c>
      <c r="D26" s="20" t="s">
        <v>2065</v>
      </c>
      <c r="E26" s="65" t="s">
        <v>22</v>
      </c>
      <c r="F26" s="19" t="s">
        <v>2066</v>
      </c>
      <c r="G26" s="9">
        <v>486</v>
      </c>
      <c r="H26" s="9">
        <v>10379.825160559991</v>
      </c>
      <c r="I26" s="9">
        <v>0</v>
      </c>
      <c r="J26" s="9">
        <v>0</v>
      </c>
      <c r="K26" s="9">
        <v>486</v>
      </c>
      <c r="L26" s="9">
        <v>10379.825160559998</v>
      </c>
      <c r="M26" s="9">
        <v>97</v>
      </c>
      <c r="N26" s="9">
        <v>5143.7080292000001</v>
      </c>
      <c r="O26" s="9">
        <v>0</v>
      </c>
      <c r="P26" s="9">
        <v>0</v>
      </c>
      <c r="Q26" s="9">
        <v>389</v>
      </c>
      <c r="R26" s="9">
        <v>5236.1171313599989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18"/>
      <c r="AB26" s="18"/>
      <c r="AC26" s="18"/>
      <c r="AD26" s="18"/>
      <c r="AE26" s="18"/>
      <c r="AF26" s="18"/>
      <c r="AG26" s="18"/>
      <c r="AH26" s="18"/>
    </row>
    <row r="27" spans="1:34" s="11" customFormat="1" ht="27" customHeight="1" x14ac:dyDescent="0.25">
      <c r="A27" s="66" t="s">
        <v>28</v>
      </c>
      <c r="B27" s="1">
        <f t="shared" si="5"/>
        <v>21</v>
      </c>
      <c r="C27" s="20" t="s">
        <v>2058</v>
      </c>
      <c r="D27" s="20" t="s">
        <v>2067</v>
      </c>
      <c r="E27" s="65" t="s">
        <v>15</v>
      </c>
      <c r="F27" s="19" t="s">
        <v>2068</v>
      </c>
      <c r="G27" s="9">
        <v>143</v>
      </c>
      <c r="H27" s="9">
        <v>3642.1679428400003</v>
      </c>
      <c r="I27" s="9">
        <v>1</v>
      </c>
      <c r="J27" s="9">
        <v>14.025000009999999</v>
      </c>
      <c r="K27" s="9">
        <v>142</v>
      </c>
      <c r="L27" s="9">
        <v>3628.1429428299998</v>
      </c>
      <c r="M27" s="9">
        <v>0</v>
      </c>
      <c r="N27" s="9">
        <v>0</v>
      </c>
      <c r="O27" s="9">
        <v>35</v>
      </c>
      <c r="P27" s="9">
        <v>702.66752268000005</v>
      </c>
      <c r="Q27" s="9">
        <v>107</v>
      </c>
      <c r="R27" s="9">
        <v>2925.47542015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18"/>
      <c r="AB27" s="18"/>
      <c r="AC27" s="18"/>
      <c r="AD27" s="18"/>
      <c r="AE27" s="18"/>
      <c r="AF27" s="18"/>
      <c r="AG27" s="18"/>
      <c r="AH27" s="18"/>
    </row>
    <row r="28" spans="1:34" s="11" customFormat="1" ht="27" customHeight="1" x14ac:dyDescent="0.25">
      <c r="A28" s="66" t="s">
        <v>28</v>
      </c>
      <c r="B28" s="1">
        <f t="shared" si="5"/>
        <v>22</v>
      </c>
      <c r="C28" s="20" t="s">
        <v>2058</v>
      </c>
      <c r="D28" s="20" t="s">
        <v>2069</v>
      </c>
      <c r="E28" s="65" t="s">
        <v>23</v>
      </c>
      <c r="F28" s="19" t="s">
        <v>2070</v>
      </c>
      <c r="G28" s="9">
        <v>86</v>
      </c>
      <c r="H28" s="9">
        <v>1130.4237744599998</v>
      </c>
      <c r="I28" s="9">
        <v>0</v>
      </c>
      <c r="J28" s="9">
        <v>0</v>
      </c>
      <c r="K28" s="9">
        <v>86</v>
      </c>
      <c r="L28" s="9">
        <v>1130.4237744599998</v>
      </c>
      <c r="M28" s="9">
        <v>5</v>
      </c>
      <c r="N28" s="9">
        <v>54.984205020000005</v>
      </c>
      <c r="O28" s="9">
        <v>0</v>
      </c>
      <c r="P28" s="9">
        <v>0</v>
      </c>
      <c r="Q28" s="9">
        <v>76</v>
      </c>
      <c r="R28" s="9">
        <v>999.81642349999993</v>
      </c>
      <c r="S28" s="9">
        <v>2</v>
      </c>
      <c r="T28" s="9">
        <v>52.611845900000006</v>
      </c>
      <c r="U28" s="9">
        <v>3</v>
      </c>
      <c r="V28" s="9">
        <v>23.011300039999998</v>
      </c>
      <c r="W28" s="9">
        <v>0</v>
      </c>
      <c r="X28" s="9">
        <v>0</v>
      </c>
      <c r="Y28" s="9">
        <v>0</v>
      </c>
      <c r="Z28" s="9">
        <v>0</v>
      </c>
      <c r="AA28" s="18"/>
      <c r="AB28" s="18"/>
      <c r="AC28" s="18"/>
      <c r="AD28" s="18"/>
      <c r="AE28" s="18"/>
      <c r="AF28" s="18"/>
      <c r="AG28" s="18"/>
      <c r="AH28" s="18"/>
    </row>
    <row r="29" spans="1:34" s="11" customFormat="1" ht="27" customHeight="1" x14ac:dyDescent="0.25">
      <c r="A29" s="66" t="s">
        <v>28</v>
      </c>
      <c r="B29" s="1">
        <f t="shared" si="5"/>
        <v>23</v>
      </c>
      <c r="C29" s="20" t="s">
        <v>2058</v>
      </c>
      <c r="D29" s="20" t="s">
        <v>2071</v>
      </c>
      <c r="E29" s="65" t="s">
        <v>16</v>
      </c>
      <c r="F29" s="19" t="s">
        <v>2035</v>
      </c>
      <c r="G29" s="9">
        <v>782</v>
      </c>
      <c r="H29" s="9">
        <v>43132.393528429981</v>
      </c>
      <c r="I29" s="9">
        <v>3</v>
      </c>
      <c r="J29" s="9">
        <v>16.35903987</v>
      </c>
      <c r="K29" s="9">
        <v>779</v>
      </c>
      <c r="L29" s="9">
        <v>43116.034488559977</v>
      </c>
      <c r="M29" s="9">
        <v>155</v>
      </c>
      <c r="N29" s="9">
        <v>28513.516752569994</v>
      </c>
      <c r="O29" s="9">
        <v>29</v>
      </c>
      <c r="P29" s="9">
        <v>427.33492254999993</v>
      </c>
      <c r="Q29" s="9">
        <v>594</v>
      </c>
      <c r="R29" s="9">
        <v>14075.182813439988</v>
      </c>
      <c r="S29" s="9">
        <v>1</v>
      </c>
      <c r="T29" s="9">
        <v>100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18"/>
      <c r="AB29" s="18"/>
      <c r="AC29" s="18"/>
      <c r="AD29" s="18"/>
      <c r="AE29" s="18"/>
      <c r="AF29" s="18"/>
      <c r="AG29" s="18"/>
      <c r="AH29" s="18"/>
    </row>
    <row r="30" spans="1:34" s="11" customFormat="1" ht="27" customHeight="1" x14ac:dyDescent="0.25">
      <c r="A30" s="66" t="s">
        <v>28</v>
      </c>
      <c r="B30" s="1">
        <f t="shared" si="5"/>
        <v>24</v>
      </c>
      <c r="C30" s="20" t="s">
        <v>2058</v>
      </c>
      <c r="D30" s="20" t="s">
        <v>2072</v>
      </c>
      <c r="E30" s="65" t="s">
        <v>12</v>
      </c>
      <c r="F30" s="19" t="s">
        <v>2073</v>
      </c>
      <c r="G30" s="9">
        <v>598</v>
      </c>
      <c r="H30" s="9">
        <v>19558.184871349978</v>
      </c>
      <c r="I30" s="9">
        <v>0</v>
      </c>
      <c r="J30" s="9">
        <v>0</v>
      </c>
      <c r="K30" s="9">
        <v>598</v>
      </c>
      <c r="L30" s="9">
        <v>19558.184871349989</v>
      </c>
      <c r="M30" s="9">
        <v>0</v>
      </c>
      <c r="N30" s="9">
        <v>0</v>
      </c>
      <c r="O30" s="9">
        <v>10</v>
      </c>
      <c r="P30" s="9">
        <v>263.09797881999998</v>
      </c>
      <c r="Q30" s="9">
        <v>588</v>
      </c>
      <c r="R30" s="9">
        <v>19295.086892529991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18"/>
      <c r="AB30" s="18"/>
      <c r="AC30" s="18"/>
      <c r="AD30" s="18"/>
      <c r="AE30" s="18"/>
      <c r="AF30" s="18"/>
      <c r="AG30" s="18"/>
      <c r="AH30" s="18"/>
    </row>
    <row r="31" spans="1:34" s="11" customFormat="1" ht="27" customHeight="1" x14ac:dyDescent="0.25">
      <c r="A31" s="66" t="s">
        <v>28</v>
      </c>
      <c r="B31" s="1">
        <f t="shared" si="5"/>
        <v>25</v>
      </c>
      <c r="C31" s="20" t="s">
        <v>2058</v>
      </c>
      <c r="D31" s="20" t="s">
        <v>2074</v>
      </c>
      <c r="E31" s="65" t="s">
        <v>1</v>
      </c>
      <c r="F31" s="19" t="s">
        <v>2075</v>
      </c>
      <c r="G31" s="9">
        <v>369</v>
      </c>
      <c r="H31" s="9">
        <v>5629.5927999300011</v>
      </c>
      <c r="I31" s="9">
        <v>164</v>
      </c>
      <c r="J31" s="9">
        <v>1289.4375133699998</v>
      </c>
      <c r="K31" s="9">
        <v>205</v>
      </c>
      <c r="L31" s="9">
        <v>4340.1552865600024</v>
      </c>
      <c r="M31" s="9">
        <v>0</v>
      </c>
      <c r="N31" s="9">
        <v>0</v>
      </c>
      <c r="O31" s="9">
        <v>0</v>
      </c>
      <c r="P31" s="9">
        <v>0</v>
      </c>
      <c r="Q31" s="9">
        <v>202</v>
      </c>
      <c r="R31" s="9">
        <v>3872.001726970002</v>
      </c>
      <c r="S31" s="9">
        <v>0</v>
      </c>
      <c r="T31" s="9">
        <v>0</v>
      </c>
      <c r="U31" s="9">
        <v>3</v>
      </c>
      <c r="V31" s="9">
        <v>468.15355959000004</v>
      </c>
      <c r="W31" s="9">
        <v>0</v>
      </c>
      <c r="X31" s="9">
        <v>0</v>
      </c>
      <c r="Y31" s="9">
        <v>0</v>
      </c>
      <c r="Z31" s="9">
        <v>0</v>
      </c>
      <c r="AA31" s="18"/>
      <c r="AB31" s="18"/>
      <c r="AC31" s="18"/>
      <c r="AD31" s="18"/>
      <c r="AE31" s="18"/>
      <c r="AF31" s="18"/>
      <c r="AG31" s="18"/>
      <c r="AH31" s="18"/>
    </row>
    <row r="32" spans="1:34" s="11" customFormat="1" ht="27" customHeight="1" x14ac:dyDescent="0.25">
      <c r="A32" s="66" t="s">
        <v>28</v>
      </c>
      <c r="B32" s="1">
        <f t="shared" si="5"/>
        <v>26</v>
      </c>
      <c r="C32" s="20" t="s">
        <v>2058</v>
      </c>
      <c r="D32" s="20" t="s">
        <v>2076</v>
      </c>
      <c r="E32" s="65" t="s">
        <v>17</v>
      </c>
      <c r="F32" s="19" t="s">
        <v>2077</v>
      </c>
      <c r="G32" s="9">
        <v>101</v>
      </c>
      <c r="H32" s="9">
        <v>5746.3539814899968</v>
      </c>
      <c r="I32" s="9">
        <v>11</v>
      </c>
      <c r="J32" s="9">
        <v>93.220579839999985</v>
      </c>
      <c r="K32" s="9">
        <v>90</v>
      </c>
      <c r="L32" s="9">
        <v>5653.1334016499986</v>
      </c>
      <c r="M32" s="9">
        <v>0</v>
      </c>
      <c r="N32" s="9">
        <v>0</v>
      </c>
      <c r="O32" s="9">
        <v>38</v>
      </c>
      <c r="P32" s="9">
        <v>281.88443805999992</v>
      </c>
      <c r="Q32" s="9">
        <v>52</v>
      </c>
      <c r="R32" s="9">
        <v>5371.2489635899983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18"/>
      <c r="AB32" s="18"/>
      <c r="AC32" s="18"/>
      <c r="AD32" s="18"/>
      <c r="AE32" s="18"/>
      <c r="AF32" s="18"/>
      <c r="AG32" s="18"/>
      <c r="AH32" s="18"/>
    </row>
    <row r="33" spans="1:34" s="11" customFormat="1" ht="27" customHeight="1" x14ac:dyDescent="0.25">
      <c r="A33" s="66" t="s">
        <v>28</v>
      </c>
      <c r="B33" s="1">
        <f t="shared" si="5"/>
        <v>27</v>
      </c>
      <c r="C33" s="20" t="s">
        <v>2058</v>
      </c>
      <c r="D33" s="20" t="s">
        <v>2078</v>
      </c>
      <c r="E33" s="65" t="s">
        <v>18</v>
      </c>
      <c r="F33" s="19" t="s">
        <v>2079</v>
      </c>
      <c r="G33" s="9">
        <v>1460</v>
      </c>
      <c r="H33" s="9">
        <v>22754.704294850017</v>
      </c>
      <c r="I33" s="9">
        <v>0</v>
      </c>
      <c r="J33" s="9">
        <v>0</v>
      </c>
      <c r="K33" s="9">
        <v>1460</v>
      </c>
      <c r="L33" s="9">
        <v>22754.704294850024</v>
      </c>
      <c r="M33" s="9">
        <v>0</v>
      </c>
      <c r="N33" s="9">
        <v>0</v>
      </c>
      <c r="O33" s="9">
        <v>110</v>
      </c>
      <c r="P33" s="9">
        <v>993.86979435999979</v>
      </c>
      <c r="Q33" s="9">
        <v>1350</v>
      </c>
      <c r="R33" s="9">
        <v>21760.834500490026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18"/>
      <c r="AB33" s="18"/>
      <c r="AC33" s="18"/>
      <c r="AD33" s="18"/>
      <c r="AE33" s="18"/>
      <c r="AF33" s="18"/>
      <c r="AG33" s="18"/>
      <c r="AH33" s="18"/>
    </row>
    <row r="34" spans="1:34" s="11" customFormat="1" ht="27" customHeight="1" x14ac:dyDescent="0.25">
      <c r="A34" s="66" t="s">
        <v>29</v>
      </c>
      <c r="B34" s="1">
        <f t="shared" si="5"/>
        <v>28</v>
      </c>
      <c r="C34" s="20" t="s">
        <v>2080</v>
      </c>
      <c r="D34" s="20" t="s">
        <v>2092</v>
      </c>
      <c r="E34" s="65">
        <v>10443</v>
      </c>
      <c r="F34" s="19" t="s">
        <v>2047</v>
      </c>
      <c r="G34" s="9">
        <v>279</v>
      </c>
      <c r="H34" s="9">
        <v>5405.5844088800031</v>
      </c>
      <c r="I34" s="9">
        <v>0</v>
      </c>
      <c r="J34" s="9">
        <v>0</v>
      </c>
      <c r="K34" s="9">
        <v>279</v>
      </c>
      <c r="L34" s="9">
        <v>5405.5844088799995</v>
      </c>
      <c r="M34" s="9">
        <v>119</v>
      </c>
      <c r="N34" s="9">
        <v>1340.2206258799997</v>
      </c>
      <c r="O34" s="9">
        <v>144</v>
      </c>
      <c r="P34" s="9">
        <v>3673.5277554399995</v>
      </c>
      <c r="Q34" s="9">
        <v>16</v>
      </c>
      <c r="R34" s="9">
        <v>391.83602755999999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18"/>
      <c r="AB34" s="18"/>
      <c r="AC34" s="18"/>
      <c r="AD34" s="18"/>
      <c r="AE34" s="18"/>
      <c r="AF34" s="18"/>
      <c r="AG34" s="18"/>
      <c r="AH34" s="18"/>
    </row>
    <row r="35" spans="1:34" s="11" customFormat="1" ht="27" customHeight="1" x14ac:dyDescent="0.25">
      <c r="A35" s="66" t="s">
        <v>29</v>
      </c>
      <c r="B35" s="1">
        <f t="shared" si="5"/>
        <v>29</v>
      </c>
      <c r="C35" s="20" t="s">
        <v>2080</v>
      </c>
      <c r="D35" s="20" t="s">
        <v>2093</v>
      </c>
      <c r="E35" s="65">
        <v>10447</v>
      </c>
      <c r="F35" s="19" t="s">
        <v>2075</v>
      </c>
      <c r="G35" s="9">
        <v>42</v>
      </c>
      <c r="H35" s="9">
        <v>773.76229043000023</v>
      </c>
      <c r="I35" s="9">
        <v>4</v>
      </c>
      <c r="J35" s="9">
        <v>90.437407680000007</v>
      </c>
      <c r="K35" s="9">
        <v>38</v>
      </c>
      <c r="L35" s="9">
        <v>683.32488275000014</v>
      </c>
      <c r="M35" s="9">
        <v>0</v>
      </c>
      <c r="N35" s="9">
        <v>0</v>
      </c>
      <c r="O35" s="9">
        <v>2</v>
      </c>
      <c r="P35" s="9">
        <v>57</v>
      </c>
      <c r="Q35" s="9">
        <v>36</v>
      </c>
      <c r="R35" s="9">
        <v>626.32488275000014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18"/>
      <c r="AB35" s="18"/>
      <c r="AC35" s="18"/>
      <c r="AD35" s="18"/>
      <c r="AE35" s="18"/>
      <c r="AF35" s="18"/>
      <c r="AG35" s="18"/>
      <c r="AH35" s="18"/>
    </row>
    <row r="36" spans="1:34" s="11" customFormat="1" ht="27" customHeight="1" x14ac:dyDescent="0.25">
      <c r="A36" s="66" t="s">
        <v>29</v>
      </c>
      <c r="B36" s="1">
        <f t="shared" si="5"/>
        <v>30</v>
      </c>
      <c r="C36" s="20" t="s">
        <v>2080</v>
      </c>
      <c r="D36" s="20" t="s">
        <v>2088</v>
      </c>
      <c r="E36" s="65">
        <v>11247</v>
      </c>
      <c r="F36" s="19" t="s">
        <v>2049</v>
      </c>
      <c r="G36" s="9">
        <v>146</v>
      </c>
      <c r="H36" s="9">
        <v>5093.549779429999</v>
      </c>
      <c r="I36" s="9">
        <v>0</v>
      </c>
      <c r="J36" s="9">
        <v>0</v>
      </c>
      <c r="K36" s="9">
        <v>146</v>
      </c>
      <c r="L36" s="9">
        <v>5093.5497794299981</v>
      </c>
      <c r="M36" s="9">
        <v>6</v>
      </c>
      <c r="N36" s="9">
        <v>87.00855602</v>
      </c>
      <c r="O36" s="9">
        <v>3</v>
      </c>
      <c r="P36" s="9">
        <v>118.2942448</v>
      </c>
      <c r="Q36" s="9">
        <v>136</v>
      </c>
      <c r="R36" s="9">
        <v>4620.0469786099984</v>
      </c>
      <c r="S36" s="9">
        <v>1</v>
      </c>
      <c r="T36" s="9">
        <v>268.2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18"/>
      <c r="AB36" s="18"/>
      <c r="AC36" s="18"/>
      <c r="AD36" s="18"/>
      <c r="AE36" s="18"/>
      <c r="AF36" s="18"/>
      <c r="AG36" s="18"/>
      <c r="AH36" s="18"/>
    </row>
    <row r="37" spans="1:34" s="11" customFormat="1" ht="27" customHeight="1" x14ac:dyDescent="0.25">
      <c r="A37" s="66" t="s">
        <v>29</v>
      </c>
      <c r="B37" s="1">
        <f t="shared" si="5"/>
        <v>31</v>
      </c>
      <c r="C37" s="20" t="s">
        <v>2080</v>
      </c>
      <c r="D37" s="20" t="s">
        <v>2082</v>
      </c>
      <c r="E37" s="65">
        <v>11412</v>
      </c>
      <c r="F37" s="19" t="s">
        <v>2062</v>
      </c>
      <c r="G37" s="9">
        <v>320</v>
      </c>
      <c r="H37" s="9">
        <v>8979.1863470599965</v>
      </c>
      <c r="I37" s="9">
        <v>0</v>
      </c>
      <c r="J37" s="9">
        <v>0</v>
      </c>
      <c r="K37" s="9">
        <v>320</v>
      </c>
      <c r="L37" s="9">
        <v>8979.1863470600019</v>
      </c>
      <c r="M37" s="9">
        <v>0</v>
      </c>
      <c r="N37" s="9">
        <v>0</v>
      </c>
      <c r="O37" s="9">
        <v>88</v>
      </c>
      <c r="P37" s="9">
        <v>1476.3280099700007</v>
      </c>
      <c r="Q37" s="9">
        <v>232</v>
      </c>
      <c r="R37" s="9">
        <v>7502.8583370900005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18"/>
      <c r="AB37" s="18"/>
      <c r="AC37" s="18"/>
      <c r="AD37" s="18"/>
      <c r="AE37" s="18"/>
      <c r="AF37" s="18"/>
      <c r="AG37" s="18"/>
      <c r="AH37" s="18"/>
    </row>
    <row r="38" spans="1:34" s="11" customFormat="1" ht="27" customHeight="1" x14ac:dyDescent="0.25">
      <c r="A38" s="66" t="s">
        <v>29</v>
      </c>
      <c r="B38" s="1">
        <f t="shared" si="5"/>
        <v>32</v>
      </c>
      <c r="C38" s="20" t="s">
        <v>2080</v>
      </c>
      <c r="D38" s="20" t="s">
        <v>2083</v>
      </c>
      <c r="E38" s="65">
        <v>11413</v>
      </c>
      <c r="F38" s="19" t="s">
        <v>2043</v>
      </c>
      <c r="G38" s="9">
        <v>175</v>
      </c>
      <c r="H38" s="9">
        <v>3392.1991074800026</v>
      </c>
      <c r="I38" s="9">
        <v>0</v>
      </c>
      <c r="J38" s="9">
        <v>0</v>
      </c>
      <c r="K38" s="9">
        <v>175</v>
      </c>
      <c r="L38" s="9">
        <v>3392.1991074800017</v>
      </c>
      <c r="M38" s="9">
        <v>5</v>
      </c>
      <c r="N38" s="9">
        <v>11.866109719999999</v>
      </c>
      <c r="O38" s="9">
        <v>29</v>
      </c>
      <c r="P38" s="9">
        <v>565.01408148999997</v>
      </c>
      <c r="Q38" s="9">
        <v>141</v>
      </c>
      <c r="R38" s="9">
        <v>2815.3189162700014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18"/>
      <c r="AB38" s="18"/>
      <c r="AC38" s="18"/>
      <c r="AD38" s="18"/>
      <c r="AE38" s="18"/>
      <c r="AF38" s="18"/>
      <c r="AG38" s="18"/>
      <c r="AH38" s="18"/>
    </row>
    <row r="39" spans="1:34" s="11" customFormat="1" ht="27" customHeight="1" x14ac:dyDescent="0.25">
      <c r="A39" s="66" t="s">
        <v>29</v>
      </c>
      <c r="B39" s="1">
        <f t="shared" si="5"/>
        <v>33</v>
      </c>
      <c r="C39" s="20" t="s">
        <v>2080</v>
      </c>
      <c r="D39" s="20" t="s">
        <v>2094</v>
      </c>
      <c r="E39" s="65">
        <v>11599</v>
      </c>
      <c r="F39" s="19" t="s">
        <v>2077</v>
      </c>
      <c r="G39" s="9">
        <v>6</v>
      </c>
      <c r="H39" s="9">
        <v>1963.0967254299999</v>
      </c>
      <c r="I39" s="9">
        <v>0</v>
      </c>
      <c r="J39" s="9">
        <v>0</v>
      </c>
      <c r="K39" s="9">
        <v>6</v>
      </c>
      <c r="L39" s="9">
        <v>1963.0967254299999</v>
      </c>
      <c r="M39" s="9">
        <v>0</v>
      </c>
      <c r="N39" s="9">
        <v>0</v>
      </c>
      <c r="O39" s="9">
        <v>2</v>
      </c>
      <c r="P39" s="9">
        <v>494.87355276000005</v>
      </c>
      <c r="Q39" s="9">
        <v>4</v>
      </c>
      <c r="R39" s="9">
        <v>1468.2231726699999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18"/>
      <c r="AB39" s="18"/>
      <c r="AC39" s="18"/>
      <c r="AD39" s="18"/>
      <c r="AE39" s="18"/>
      <c r="AF39" s="18"/>
      <c r="AG39" s="18"/>
      <c r="AH39" s="18"/>
    </row>
    <row r="40" spans="1:34" s="11" customFormat="1" ht="27" customHeight="1" x14ac:dyDescent="0.25">
      <c r="A40" s="66" t="s">
        <v>29</v>
      </c>
      <c r="B40" s="1">
        <f t="shared" si="5"/>
        <v>34</v>
      </c>
      <c r="C40" s="20" t="s">
        <v>2080</v>
      </c>
      <c r="D40" s="20" t="s">
        <v>2085</v>
      </c>
      <c r="E40" s="65">
        <v>11785</v>
      </c>
      <c r="F40" s="19" t="s">
        <v>2077</v>
      </c>
      <c r="G40" s="9">
        <v>35</v>
      </c>
      <c r="H40" s="9">
        <v>813.4680595100001</v>
      </c>
      <c r="I40" s="9">
        <v>0</v>
      </c>
      <c r="J40" s="9">
        <v>0</v>
      </c>
      <c r="K40" s="9">
        <v>35</v>
      </c>
      <c r="L40" s="9">
        <v>813.46805950999999</v>
      </c>
      <c r="M40" s="9">
        <v>0</v>
      </c>
      <c r="N40" s="9">
        <v>0</v>
      </c>
      <c r="O40" s="9">
        <v>2</v>
      </c>
      <c r="P40" s="9">
        <v>28.26895841</v>
      </c>
      <c r="Q40" s="9">
        <v>33</v>
      </c>
      <c r="R40" s="9">
        <v>785.19910110000001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18"/>
      <c r="AB40" s="18"/>
      <c r="AC40" s="18"/>
      <c r="AD40" s="18"/>
      <c r="AE40" s="18"/>
      <c r="AF40" s="18"/>
      <c r="AG40" s="18"/>
      <c r="AH40" s="18"/>
    </row>
    <row r="41" spans="1:34" s="11" customFormat="1" ht="27" customHeight="1" x14ac:dyDescent="0.25">
      <c r="A41" s="66" t="s">
        <v>29</v>
      </c>
      <c r="B41" s="1">
        <f t="shared" si="5"/>
        <v>35</v>
      </c>
      <c r="C41" s="20" t="s">
        <v>2080</v>
      </c>
      <c r="D41" s="20" t="s">
        <v>2081</v>
      </c>
      <c r="E41" s="65">
        <v>11786</v>
      </c>
      <c r="F41" s="19" t="s">
        <v>2035</v>
      </c>
      <c r="G41" s="9">
        <v>250</v>
      </c>
      <c r="H41" s="9">
        <v>45254.826314759994</v>
      </c>
      <c r="I41" s="9">
        <v>0</v>
      </c>
      <c r="J41" s="9">
        <v>0</v>
      </c>
      <c r="K41" s="9">
        <v>250</v>
      </c>
      <c r="L41" s="9">
        <v>45254.826314760037</v>
      </c>
      <c r="M41" s="9">
        <v>1</v>
      </c>
      <c r="N41" s="9">
        <v>342.9</v>
      </c>
      <c r="O41" s="9">
        <v>4</v>
      </c>
      <c r="P41" s="9">
        <v>311.30338926999997</v>
      </c>
      <c r="Q41" s="9">
        <v>240</v>
      </c>
      <c r="R41" s="9">
        <v>35888.421500290031</v>
      </c>
      <c r="S41" s="9">
        <v>2</v>
      </c>
      <c r="T41" s="9">
        <v>1163.2099900000001</v>
      </c>
      <c r="U41" s="9">
        <v>2</v>
      </c>
      <c r="V41" s="9">
        <v>3432.2133530100004</v>
      </c>
      <c r="W41" s="9">
        <v>0</v>
      </c>
      <c r="X41" s="9">
        <v>0</v>
      </c>
      <c r="Y41" s="9">
        <v>1</v>
      </c>
      <c r="Z41" s="9">
        <v>4116.7780821899996</v>
      </c>
      <c r="AA41" s="18"/>
      <c r="AB41" s="18"/>
      <c r="AC41" s="18"/>
      <c r="AD41" s="18"/>
      <c r="AE41" s="18"/>
      <c r="AF41" s="18"/>
      <c r="AG41" s="18"/>
      <c r="AH41" s="18"/>
    </row>
    <row r="42" spans="1:34" s="11" customFormat="1" ht="27" customHeight="1" x14ac:dyDescent="0.25">
      <c r="A42" s="66" t="s">
        <v>29</v>
      </c>
      <c r="B42" s="1">
        <f t="shared" si="5"/>
        <v>36</v>
      </c>
      <c r="C42" s="20" t="s">
        <v>2080</v>
      </c>
      <c r="D42" s="20" t="s">
        <v>2084</v>
      </c>
      <c r="E42" s="65">
        <v>11787</v>
      </c>
      <c r="F42" s="19" t="s">
        <v>2068</v>
      </c>
      <c r="G42" s="9">
        <v>321</v>
      </c>
      <c r="H42" s="9">
        <v>8699.0240126499957</v>
      </c>
      <c r="I42" s="9">
        <v>0</v>
      </c>
      <c r="J42" s="9">
        <v>0</v>
      </c>
      <c r="K42" s="9">
        <v>321</v>
      </c>
      <c r="L42" s="9">
        <v>8699.0240126499957</v>
      </c>
      <c r="M42" s="9">
        <v>0</v>
      </c>
      <c r="N42" s="9">
        <v>0</v>
      </c>
      <c r="O42" s="9">
        <v>1</v>
      </c>
      <c r="P42" s="9">
        <v>59.753748610000002</v>
      </c>
      <c r="Q42" s="9">
        <v>320</v>
      </c>
      <c r="R42" s="9">
        <v>8639.2702640399966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18"/>
      <c r="AB42" s="18"/>
      <c r="AC42" s="18"/>
      <c r="AD42" s="18"/>
      <c r="AE42" s="18"/>
      <c r="AF42" s="18"/>
      <c r="AG42" s="18"/>
      <c r="AH42" s="18"/>
    </row>
    <row r="43" spans="1:34" s="11" customFormat="1" ht="27" customHeight="1" x14ac:dyDescent="0.25">
      <c r="A43" s="66" t="s">
        <v>29</v>
      </c>
      <c r="B43" s="1">
        <f t="shared" si="5"/>
        <v>37</v>
      </c>
      <c r="C43" s="20" t="s">
        <v>2080</v>
      </c>
      <c r="D43" s="20" t="s">
        <v>2086</v>
      </c>
      <c r="E43" s="65">
        <v>11943</v>
      </c>
      <c r="F43" s="19" t="s">
        <v>2087</v>
      </c>
      <c r="G43" s="9">
        <v>405</v>
      </c>
      <c r="H43" s="9">
        <v>34994.602005999986</v>
      </c>
      <c r="I43" s="9">
        <v>0</v>
      </c>
      <c r="J43" s="9">
        <v>0</v>
      </c>
      <c r="K43" s="9">
        <v>405</v>
      </c>
      <c r="L43" s="9">
        <v>34994.602005999994</v>
      </c>
      <c r="M43" s="9">
        <v>65</v>
      </c>
      <c r="N43" s="9">
        <v>2765.9139955400005</v>
      </c>
      <c r="O43" s="9">
        <v>213</v>
      </c>
      <c r="P43" s="9">
        <v>3720.8737452199989</v>
      </c>
      <c r="Q43" s="9">
        <v>126</v>
      </c>
      <c r="R43" s="9">
        <v>26990.692951769997</v>
      </c>
      <c r="S43" s="9">
        <v>1</v>
      </c>
      <c r="T43" s="9">
        <v>1517.1213134700001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18"/>
      <c r="AB43" s="18"/>
      <c r="AC43" s="18"/>
      <c r="AD43" s="18"/>
      <c r="AE43" s="18"/>
      <c r="AF43" s="18"/>
      <c r="AG43" s="18"/>
      <c r="AH43" s="18"/>
    </row>
    <row r="44" spans="1:34" s="11" customFormat="1" ht="27" customHeight="1" x14ac:dyDescent="0.25">
      <c r="A44" s="66" t="s">
        <v>29</v>
      </c>
      <c r="B44" s="1">
        <f t="shared" si="5"/>
        <v>38</v>
      </c>
      <c r="C44" s="20" t="s">
        <v>2080</v>
      </c>
      <c r="D44" s="20" t="s">
        <v>2095</v>
      </c>
      <c r="E44" s="65">
        <v>11978</v>
      </c>
      <c r="F44" s="19" t="s">
        <v>2060</v>
      </c>
      <c r="G44" s="9">
        <v>65</v>
      </c>
      <c r="H44" s="9">
        <v>3837.5326707299996</v>
      </c>
      <c r="I44" s="9">
        <v>0</v>
      </c>
      <c r="J44" s="9">
        <v>0</v>
      </c>
      <c r="K44" s="9">
        <v>65</v>
      </c>
      <c r="L44" s="9">
        <v>3837.5326707300001</v>
      </c>
      <c r="M44" s="9">
        <v>23</v>
      </c>
      <c r="N44" s="9">
        <v>1164.3442291000001</v>
      </c>
      <c r="O44" s="9">
        <v>17</v>
      </c>
      <c r="P44" s="9">
        <v>1439.0472312299999</v>
      </c>
      <c r="Q44" s="9">
        <v>25</v>
      </c>
      <c r="R44" s="9">
        <v>1234.1412104000001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18"/>
      <c r="AB44" s="18"/>
      <c r="AC44" s="18"/>
      <c r="AD44" s="18"/>
      <c r="AE44" s="18"/>
      <c r="AF44" s="18"/>
      <c r="AG44" s="18"/>
      <c r="AH44" s="18"/>
    </row>
    <row r="45" spans="1:34" s="11" customFormat="1" ht="27" customHeight="1" x14ac:dyDescent="0.25">
      <c r="A45" s="66" t="s">
        <v>30</v>
      </c>
      <c r="B45" s="1">
        <f t="shared" si="5"/>
        <v>39</v>
      </c>
      <c r="C45" s="20" t="s">
        <v>2096</v>
      </c>
      <c r="D45" s="20" t="s">
        <v>2105</v>
      </c>
      <c r="E45" s="65">
        <v>11349</v>
      </c>
      <c r="F45" s="19" t="s">
        <v>2079</v>
      </c>
      <c r="G45" s="9">
        <v>225</v>
      </c>
      <c r="H45" s="9">
        <v>2651.3062672200017</v>
      </c>
      <c r="I45" s="9">
        <v>0</v>
      </c>
      <c r="J45" s="9">
        <v>0</v>
      </c>
      <c r="K45" s="9">
        <v>225</v>
      </c>
      <c r="L45" s="9">
        <v>2651.3062672199994</v>
      </c>
      <c r="M45" s="9">
        <v>79</v>
      </c>
      <c r="N45" s="9">
        <v>418.90928500999996</v>
      </c>
      <c r="O45" s="9">
        <v>107</v>
      </c>
      <c r="P45" s="9">
        <v>959.57287374999953</v>
      </c>
      <c r="Q45" s="9">
        <v>38</v>
      </c>
      <c r="R45" s="9">
        <v>1126.4957112500001</v>
      </c>
      <c r="S45" s="9">
        <v>1</v>
      </c>
      <c r="T45" s="9">
        <v>146.32839721000002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18"/>
      <c r="AB45" s="18"/>
      <c r="AC45" s="18"/>
      <c r="AD45" s="18"/>
      <c r="AE45" s="18"/>
      <c r="AF45" s="18"/>
      <c r="AG45" s="18"/>
      <c r="AH45" s="18"/>
    </row>
    <row r="46" spans="1:34" s="11" customFormat="1" ht="27" customHeight="1" x14ac:dyDescent="0.25">
      <c r="A46" s="66" t="s">
        <v>30</v>
      </c>
      <c r="B46" s="1">
        <f t="shared" si="5"/>
        <v>40</v>
      </c>
      <c r="C46" s="20" t="s">
        <v>2096</v>
      </c>
      <c r="D46" s="20" t="s">
        <v>2097</v>
      </c>
      <c r="E46" s="65">
        <v>11385</v>
      </c>
      <c r="F46" s="19" t="s">
        <v>2043</v>
      </c>
      <c r="G46" s="9">
        <v>280</v>
      </c>
      <c r="H46" s="9">
        <v>2913.9846055900016</v>
      </c>
      <c r="I46" s="9">
        <v>34</v>
      </c>
      <c r="J46" s="9">
        <v>203.87355450000007</v>
      </c>
      <c r="K46" s="9">
        <v>246</v>
      </c>
      <c r="L46" s="9">
        <v>2710.1110510900012</v>
      </c>
      <c r="M46" s="9">
        <v>134</v>
      </c>
      <c r="N46" s="9">
        <v>1009.6719563600001</v>
      </c>
      <c r="O46" s="9">
        <v>0</v>
      </c>
      <c r="P46" s="9">
        <v>0</v>
      </c>
      <c r="Q46" s="9">
        <v>112</v>
      </c>
      <c r="R46" s="9">
        <v>1700.439094730001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18"/>
      <c r="AB46" s="18"/>
      <c r="AC46" s="18"/>
      <c r="AD46" s="18"/>
      <c r="AE46" s="18"/>
      <c r="AF46" s="18"/>
      <c r="AG46" s="18"/>
      <c r="AH46" s="18"/>
    </row>
    <row r="47" spans="1:34" s="11" customFormat="1" ht="27" customHeight="1" x14ac:dyDescent="0.25">
      <c r="A47" s="66" t="s">
        <v>30</v>
      </c>
      <c r="B47" s="1">
        <f t="shared" si="5"/>
        <v>41</v>
      </c>
      <c r="C47" s="20" t="s">
        <v>2096</v>
      </c>
      <c r="D47" s="20" t="s">
        <v>2101</v>
      </c>
      <c r="E47" s="65">
        <v>11386</v>
      </c>
      <c r="F47" s="19" t="s">
        <v>2070</v>
      </c>
      <c r="G47" s="9">
        <v>490</v>
      </c>
      <c r="H47" s="9">
        <v>7096.001704669995</v>
      </c>
      <c r="I47" s="9">
        <v>379</v>
      </c>
      <c r="J47" s="9">
        <v>2231.2555851700017</v>
      </c>
      <c r="K47" s="9">
        <v>111</v>
      </c>
      <c r="L47" s="9">
        <v>4864.7461194999987</v>
      </c>
      <c r="M47" s="9">
        <v>42</v>
      </c>
      <c r="N47" s="9">
        <v>505.80948840000002</v>
      </c>
      <c r="O47" s="9">
        <v>56</v>
      </c>
      <c r="P47" s="9">
        <v>2443.1382179899988</v>
      </c>
      <c r="Q47" s="9">
        <v>12</v>
      </c>
      <c r="R47" s="9">
        <v>1826.2476550799997</v>
      </c>
      <c r="S47" s="9">
        <v>1</v>
      </c>
      <c r="T47" s="9">
        <v>89.550758029999997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18"/>
      <c r="AB47" s="18"/>
      <c r="AC47" s="18"/>
      <c r="AD47" s="18"/>
      <c r="AE47" s="18"/>
      <c r="AF47" s="18"/>
      <c r="AG47" s="18"/>
      <c r="AH47" s="18"/>
    </row>
    <row r="48" spans="1:34" s="11" customFormat="1" ht="27" customHeight="1" x14ac:dyDescent="0.25">
      <c r="A48" s="66" t="s">
        <v>30</v>
      </c>
      <c r="B48" s="1">
        <f t="shared" si="5"/>
        <v>42</v>
      </c>
      <c r="C48" s="20" t="s">
        <v>2096</v>
      </c>
      <c r="D48" s="20" t="s">
        <v>2102</v>
      </c>
      <c r="E48" s="65">
        <v>11387</v>
      </c>
      <c r="F48" s="19" t="s">
        <v>2068</v>
      </c>
      <c r="G48" s="9">
        <v>268</v>
      </c>
      <c r="H48" s="9">
        <v>22939.00495043999</v>
      </c>
      <c r="I48" s="9">
        <v>127</v>
      </c>
      <c r="J48" s="9">
        <v>585.45688477999954</v>
      </c>
      <c r="K48" s="9">
        <v>141</v>
      </c>
      <c r="L48" s="9">
        <v>22353.548065659998</v>
      </c>
      <c r="M48" s="9">
        <v>138</v>
      </c>
      <c r="N48" s="9">
        <v>922.18797943999982</v>
      </c>
      <c r="O48" s="9">
        <v>1</v>
      </c>
      <c r="P48" s="9">
        <v>2.8945723999999999</v>
      </c>
      <c r="Q48" s="9">
        <v>1</v>
      </c>
      <c r="R48" s="9">
        <v>4.3255138200000003</v>
      </c>
      <c r="S48" s="9">
        <v>0</v>
      </c>
      <c r="T48" s="9">
        <v>0</v>
      </c>
      <c r="U48" s="9">
        <v>1</v>
      </c>
      <c r="V48" s="9">
        <v>21424.14</v>
      </c>
      <c r="W48" s="9">
        <v>0</v>
      </c>
      <c r="X48" s="9">
        <v>0</v>
      </c>
      <c r="Y48" s="9">
        <v>0</v>
      </c>
      <c r="Z48" s="9">
        <v>0</v>
      </c>
      <c r="AA48" s="18"/>
      <c r="AB48" s="18"/>
      <c r="AC48" s="18"/>
      <c r="AD48" s="18"/>
      <c r="AE48" s="18"/>
      <c r="AF48" s="18"/>
      <c r="AG48" s="18"/>
      <c r="AH48" s="18"/>
    </row>
    <row r="49" spans="1:34" s="11" customFormat="1" ht="27" customHeight="1" x14ac:dyDescent="0.25">
      <c r="A49" s="66" t="s">
        <v>30</v>
      </c>
      <c r="B49" s="1">
        <f t="shared" si="5"/>
        <v>43</v>
      </c>
      <c r="C49" s="20" t="s">
        <v>2096</v>
      </c>
      <c r="D49" s="20" t="s">
        <v>2108</v>
      </c>
      <c r="E49" s="65">
        <v>11388</v>
      </c>
      <c r="F49" s="19" t="s">
        <v>2062</v>
      </c>
      <c r="G49" s="9">
        <v>405</v>
      </c>
      <c r="H49" s="9">
        <v>5494.1949693900033</v>
      </c>
      <c r="I49" s="9">
        <v>0</v>
      </c>
      <c r="J49" s="9">
        <v>0</v>
      </c>
      <c r="K49" s="9">
        <v>405</v>
      </c>
      <c r="L49" s="9">
        <v>5494.1949693900015</v>
      </c>
      <c r="M49" s="9">
        <v>185</v>
      </c>
      <c r="N49" s="9">
        <v>773.95806632999984</v>
      </c>
      <c r="O49" s="9">
        <v>199</v>
      </c>
      <c r="P49" s="9">
        <v>2778.8442620500014</v>
      </c>
      <c r="Q49" s="9">
        <v>21</v>
      </c>
      <c r="R49" s="9">
        <v>1941.3926410100005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18"/>
      <c r="AB49" s="18"/>
      <c r="AC49" s="18"/>
      <c r="AD49" s="18"/>
      <c r="AE49" s="18"/>
      <c r="AF49" s="18"/>
      <c r="AG49" s="18"/>
      <c r="AH49" s="18"/>
    </row>
    <row r="50" spans="1:34" s="11" customFormat="1" ht="27" customHeight="1" x14ac:dyDescent="0.25">
      <c r="A50" s="66" t="s">
        <v>30</v>
      </c>
      <c r="B50" s="1">
        <f t="shared" si="5"/>
        <v>44</v>
      </c>
      <c r="C50" s="20" t="s">
        <v>2096</v>
      </c>
      <c r="D50" s="20" t="s">
        <v>2117</v>
      </c>
      <c r="E50" s="65">
        <v>11487</v>
      </c>
      <c r="F50" s="19" t="s">
        <v>2077</v>
      </c>
      <c r="G50" s="9">
        <v>257</v>
      </c>
      <c r="H50" s="9">
        <v>1165.6189171500014</v>
      </c>
      <c r="I50" s="9">
        <v>0</v>
      </c>
      <c r="J50" s="9">
        <v>0</v>
      </c>
      <c r="K50" s="9">
        <v>257</v>
      </c>
      <c r="L50" s="9">
        <v>1165.6189171500002</v>
      </c>
      <c r="M50" s="9">
        <v>6</v>
      </c>
      <c r="N50" s="9">
        <v>10.09182607</v>
      </c>
      <c r="O50" s="9">
        <v>19</v>
      </c>
      <c r="P50" s="9">
        <v>89.811275040000041</v>
      </c>
      <c r="Q50" s="9">
        <v>232</v>
      </c>
      <c r="R50" s="9">
        <v>1065.7158160400002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18"/>
      <c r="AB50" s="18"/>
      <c r="AC50" s="18"/>
      <c r="AD50" s="18"/>
      <c r="AE50" s="18"/>
      <c r="AF50" s="18"/>
      <c r="AG50" s="18"/>
      <c r="AH50" s="18"/>
    </row>
    <row r="51" spans="1:34" s="11" customFormat="1" ht="27" customHeight="1" x14ac:dyDescent="0.25">
      <c r="A51" s="66" t="s">
        <v>30</v>
      </c>
      <c r="B51" s="1">
        <f t="shared" si="5"/>
        <v>45</v>
      </c>
      <c r="C51" s="20" t="s">
        <v>2096</v>
      </c>
      <c r="D51" s="20" t="s">
        <v>2098</v>
      </c>
      <c r="E51" s="65">
        <v>11488</v>
      </c>
      <c r="F51" s="19" t="s">
        <v>2075</v>
      </c>
      <c r="G51" s="9">
        <v>107</v>
      </c>
      <c r="H51" s="9">
        <v>886.06537437000031</v>
      </c>
      <c r="I51" s="9">
        <v>36</v>
      </c>
      <c r="J51" s="9">
        <v>144.50913088000001</v>
      </c>
      <c r="K51" s="9">
        <v>71</v>
      </c>
      <c r="L51" s="9">
        <v>741.55624349000004</v>
      </c>
      <c r="M51" s="9">
        <v>51</v>
      </c>
      <c r="N51" s="9">
        <v>398.43643015000009</v>
      </c>
      <c r="O51" s="9">
        <v>9</v>
      </c>
      <c r="P51" s="9">
        <v>103.39982726999999</v>
      </c>
      <c r="Q51" s="9">
        <v>11</v>
      </c>
      <c r="R51" s="9">
        <v>239.71998606999998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18"/>
      <c r="AB51" s="18"/>
      <c r="AC51" s="18"/>
      <c r="AD51" s="18"/>
      <c r="AE51" s="18"/>
      <c r="AF51" s="18"/>
      <c r="AG51" s="18"/>
      <c r="AH51" s="18"/>
    </row>
    <row r="52" spans="1:34" s="11" customFormat="1" ht="27" customHeight="1" x14ac:dyDescent="0.25">
      <c r="A52" s="66" t="s">
        <v>30</v>
      </c>
      <c r="B52" s="1">
        <f t="shared" si="5"/>
        <v>46</v>
      </c>
      <c r="C52" s="20" t="s">
        <v>2096</v>
      </c>
      <c r="D52" s="20" t="s">
        <v>2116</v>
      </c>
      <c r="E52" s="65">
        <v>11489</v>
      </c>
      <c r="F52" s="19" t="s">
        <v>2066</v>
      </c>
      <c r="G52" s="9">
        <v>312</v>
      </c>
      <c r="H52" s="9">
        <v>3601.6024484300037</v>
      </c>
      <c r="I52" s="9">
        <v>17</v>
      </c>
      <c r="J52" s="9">
        <v>132.95463307999998</v>
      </c>
      <c r="K52" s="9">
        <v>295</v>
      </c>
      <c r="L52" s="9">
        <v>3468.647815350002</v>
      </c>
      <c r="M52" s="9">
        <v>68</v>
      </c>
      <c r="N52" s="9">
        <v>675.31945931000052</v>
      </c>
      <c r="O52" s="9">
        <v>23</v>
      </c>
      <c r="P52" s="9">
        <v>97.789333860000013</v>
      </c>
      <c r="Q52" s="9">
        <v>204</v>
      </c>
      <c r="R52" s="9">
        <v>2695.5390221800017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18"/>
      <c r="AB52" s="18"/>
      <c r="AC52" s="18"/>
      <c r="AD52" s="18"/>
      <c r="AE52" s="18"/>
      <c r="AF52" s="18"/>
      <c r="AG52" s="18"/>
      <c r="AH52" s="18"/>
    </row>
    <row r="53" spans="1:34" s="11" customFormat="1" ht="27" customHeight="1" x14ac:dyDescent="0.25">
      <c r="A53" s="66" t="s">
        <v>30</v>
      </c>
      <c r="B53" s="1">
        <f t="shared" si="5"/>
        <v>47</v>
      </c>
      <c r="C53" s="20" t="s">
        <v>2096</v>
      </c>
      <c r="D53" s="20" t="s">
        <v>2104</v>
      </c>
      <c r="E53" s="65">
        <v>11490</v>
      </c>
      <c r="F53" s="19" t="s">
        <v>2054</v>
      </c>
      <c r="G53" s="9">
        <v>290</v>
      </c>
      <c r="H53" s="9">
        <v>4447.6504222900003</v>
      </c>
      <c r="I53" s="9">
        <v>83</v>
      </c>
      <c r="J53" s="9">
        <v>454.36291611000001</v>
      </c>
      <c r="K53" s="9">
        <v>207</v>
      </c>
      <c r="L53" s="9">
        <v>3993.2875061800005</v>
      </c>
      <c r="M53" s="9">
        <v>184</v>
      </c>
      <c r="N53" s="9">
        <v>1497.8502558099997</v>
      </c>
      <c r="O53" s="9">
        <v>22</v>
      </c>
      <c r="P53" s="9">
        <v>2441.2926977200004</v>
      </c>
      <c r="Q53" s="9">
        <v>1</v>
      </c>
      <c r="R53" s="9">
        <v>54.144552650000001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18"/>
      <c r="AB53" s="18"/>
      <c r="AC53" s="18"/>
      <c r="AD53" s="18"/>
      <c r="AE53" s="18"/>
      <c r="AF53" s="18"/>
      <c r="AG53" s="18"/>
      <c r="AH53" s="18"/>
    </row>
    <row r="54" spans="1:34" s="11" customFormat="1" ht="27" customHeight="1" x14ac:dyDescent="0.25">
      <c r="A54" s="66" t="s">
        <v>30</v>
      </c>
      <c r="B54" s="1">
        <f t="shared" si="5"/>
        <v>48</v>
      </c>
      <c r="C54" s="20" t="s">
        <v>2096</v>
      </c>
      <c r="D54" s="20" t="s">
        <v>2106</v>
      </c>
      <c r="E54" s="65">
        <v>11579</v>
      </c>
      <c r="F54" s="19" t="s">
        <v>2107</v>
      </c>
      <c r="G54" s="9">
        <v>315</v>
      </c>
      <c r="H54" s="9">
        <v>6672.8710592599964</v>
      </c>
      <c r="I54" s="9">
        <v>0</v>
      </c>
      <c r="J54" s="9">
        <v>0</v>
      </c>
      <c r="K54" s="9">
        <v>315</v>
      </c>
      <c r="L54" s="9">
        <v>6672.8710592600019</v>
      </c>
      <c r="M54" s="9">
        <v>39</v>
      </c>
      <c r="N54" s="9">
        <v>21.948116529999997</v>
      </c>
      <c r="O54" s="9">
        <v>243</v>
      </c>
      <c r="P54" s="9">
        <v>2918.0130168699998</v>
      </c>
      <c r="Q54" s="9">
        <v>33</v>
      </c>
      <c r="R54" s="9">
        <v>3732.9099258600022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18"/>
      <c r="AB54" s="18"/>
      <c r="AC54" s="18"/>
      <c r="AD54" s="18"/>
      <c r="AE54" s="18"/>
      <c r="AF54" s="18"/>
      <c r="AG54" s="18"/>
      <c r="AH54" s="18"/>
    </row>
    <row r="55" spans="1:34" s="11" customFormat="1" ht="27" customHeight="1" x14ac:dyDescent="0.25">
      <c r="A55" s="66" t="s">
        <v>30</v>
      </c>
      <c r="B55" s="1">
        <f t="shared" si="5"/>
        <v>49</v>
      </c>
      <c r="C55" s="20" t="s">
        <v>2096</v>
      </c>
      <c r="D55" s="20" t="s">
        <v>2110</v>
      </c>
      <c r="E55" s="65">
        <v>11580</v>
      </c>
      <c r="F55" s="19" t="s">
        <v>2047</v>
      </c>
      <c r="G55" s="9">
        <v>201</v>
      </c>
      <c r="H55" s="9">
        <v>1855.6615128700007</v>
      </c>
      <c r="I55" s="9">
        <v>0</v>
      </c>
      <c r="J55" s="9">
        <v>0</v>
      </c>
      <c r="K55" s="9">
        <v>201</v>
      </c>
      <c r="L55" s="9">
        <v>1855.6615128700007</v>
      </c>
      <c r="M55" s="9">
        <v>0</v>
      </c>
      <c r="N55" s="9">
        <v>0</v>
      </c>
      <c r="O55" s="9">
        <v>0</v>
      </c>
      <c r="P55" s="9">
        <v>0</v>
      </c>
      <c r="Q55" s="9">
        <v>201</v>
      </c>
      <c r="R55" s="9">
        <v>1855.6615128700007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18"/>
      <c r="AB55" s="18"/>
      <c r="AC55" s="18"/>
      <c r="AD55" s="18"/>
      <c r="AE55" s="18"/>
      <c r="AF55" s="18"/>
      <c r="AG55" s="18"/>
      <c r="AH55" s="18"/>
    </row>
    <row r="56" spans="1:34" s="11" customFormat="1" ht="27" customHeight="1" x14ac:dyDescent="0.25">
      <c r="A56" s="66" t="s">
        <v>30</v>
      </c>
      <c r="B56" s="1">
        <f t="shared" si="5"/>
        <v>50</v>
      </c>
      <c r="C56" s="20" t="s">
        <v>2096</v>
      </c>
      <c r="D56" s="20" t="s">
        <v>2113</v>
      </c>
      <c r="E56" s="65">
        <v>11581</v>
      </c>
      <c r="F56" s="19" t="s">
        <v>2037</v>
      </c>
      <c r="G56" s="9">
        <v>340</v>
      </c>
      <c r="H56" s="9">
        <v>3354.0285456499983</v>
      </c>
      <c r="I56" s="9">
        <v>46</v>
      </c>
      <c r="J56" s="9">
        <v>296.99101358000001</v>
      </c>
      <c r="K56" s="9">
        <v>294</v>
      </c>
      <c r="L56" s="9">
        <v>3057.0375320699973</v>
      </c>
      <c r="M56" s="9">
        <v>35</v>
      </c>
      <c r="N56" s="9">
        <v>335.02201098000006</v>
      </c>
      <c r="O56" s="9">
        <v>220</v>
      </c>
      <c r="P56" s="9">
        <v>2335.855824689997</v>
      </c>
      <c r="Q56" s="9">
        <v>39</v>
      </c>
      <c r="R56" s="9">
        <v>386.15969639999997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18"/>
      <c r="AB56" s="18"/>
      <c r="AC56" s="18"/>
      <c r="AD56" s="18"/>
      <c r="AE56" s="18"/>
      <c r="AF56" s="18"/>
      <c r="AG56" s="18"/>
      <c r="AH56" s="18"/>
    </row>
    <row r="57" spans="1:34" s="11" customFormat="1" ht="27" customHeight="1" x14ac:dyDescent="0.25">
      <c r="A57" s="66" t="s">
        <v>30</v>
      </c>
      <c r="B57" s="1">
        <f t="shared" si="5"/>
        <v>51</v>
      </c>
      <c r="C57" s="20" t="s">
        <v>2096</v>
      </c>
      <c r="D57" s="20" t="s">
        <v>2114</v>
      </c>
      <c r="E57" s="65">
        <v>11582</v>
      </c>
      <c r="F57" s="19" t="s">
        <v>2049</v>
      </c>
      <c r="G57" s="9">
        <v>574</v>
      </c>
      <c r="H57" s="9">
        <v>2877.5347287999957</v>
      </c>
      <c r="I57" s="9">
        <v>317</v>
      </c>
      <c r="J57" s="9">
        <v>1270.0555653100002</v>
      </c>
      <c r="K57" s="9">
        <v>257</v>
      </c>
      <c r="L57" s="9">
        <v>1607.4791634900009</v>
      </c>
      <c r="M57" s="9">
        <v>236</v>
      </c>
      <c r="N57" s="9">
        <v>1264.7131377200012</v>
      </c>
      <c r="O57" s="9">
        <v>7</v>
      </c>
      <c r="P57" s="9">
        <v>38.927165869999996</v>
      </c>
      <c r="Q57" s="9">
        <v>13</v>
      </c>
      <c r="R57" s="9">
        <v>301.88493802999994</v>
      </c>
      <c r="S57" s="9">
        <v>1</v>
      </c>
      <c r="T57" s="9">
        <v>1.9539218700000001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18"/>
      <c r="AB57" s="18"/>
      <c r="AC57" s="18"/>
      <c r="AD57" s="18"/>
      <c r="AE57" s="18"/>
      <c r="AF57" s="18"/>
      <c r="AG57" s="18"/>
      <c r="AH57" s="18"/>
    </row>
    <row r="58" spans="1:34" s="11" customFormat="1" ht="27" customHeight="1" x14ac:dyDescent="0.25">
      <c r="A58" s="66" t="s">
        <v>30</v>
      </c>
      <c r="B58" s="1">
        <f t="shared" si="5"/>
        <v>52</v>
      </c>
      <c r="C58" s="20" t="s">
        <v>2096</v>
      </c>
      <c r="D58" s="20" t="s">
        <v>2099</v>
      </c>
      <c r="E58" s="65">
        <v>11633</v>
      </c>
      <c r="F58" s="19" t="s">
        <v>2100</v>
      </c>
      <c r="G58" s="9">
        <v>321</v>
      </c>
      <c r="H58" s="9">
        <v>4280.5382675500023</v>
      </c>
      <c r="I58" s="9">
        <v>22</v>
      </c>
      <c r="J58" s="9">
        <v>77.969166829999992</v>
      </c>
      <c r="K58" s="9">
        <v>299</v>
      </c>
      <c r="L58" s="9">
        <v>4202.5691007200003</v>
      </c>
      <c r="M58" s="9">
        <v>44</v>
      </c>
      <c r="N58" s="9">
        <v>365.27449610000002</v>
      </c>
      <c r="O58" s="9">
        <v>49</v>
      </c>
      <c r="P58" s="9">
        <v>475.67502118999994</v>
      </c>
      <c r="Q58" s="9">
        <v>200</v>
      </c>
      <c r="R58" s="9">
        <v>2493.5708668100006</v>
      </c>
      <c r="S58" s="9">
        <v>0</v>
      </c>
      <c r="T58" s="9">
        <v>0</v>
      </c>
      <c r="U58" s="9">
        <v>0</v>
      </c>
      <c r="V58" s="9">
        <v>0</v>
      </c>
      <c r="W58" s="9">
        <v>6</v>
      </c>
      <c r="X58" s="9">
        <v>868.04871662000005</v>
      </c>
      <c r="Y58" s="9">
        <v>0</v>
      </c>
      <c r="Z58" s="9">
        <v>0</v>
      </c>
      <c r="AA58" s="18"/>
      <c r="AB58" s="18"/>
      <c r="AC58" s="18"/>
      <c r="AD58" s="18"/>
      <c r="AE58" s="18"/>
      <c r="AF58" s="18"/>
      <c r="AG58" s="18"/>
      <c r="AH58" s="18"/>
    </row>
    <row r="59" spans="1:34" s="11" customFormat="1" ht="27" customHeight="1" x14ac:dyDescent="0.25">
      <c r="A59" s="66" t="s">
        <v>30</v>
      </c>
      <c r="B59" s="1">
        <f t="shared" si="5"/>
        <v>53</v>
      </c>
      <c r="C59" s="20" t="s">
        <v>2096</v>
      </c>
      <c r="D59" s="20" t="s">
        <v>2112</v>
      </c>
      <c r="E59" s="65">
        <v>11634</v>
      </c>
      <c r="F59" s="19" t="s">
        <v>2041</v>
      </c>
      <c r="G59" s="9">
        <v>176</v>
      </c>
      <c r="H59" s="9">
        <v>1331.9379095800005</v>
      </c>
      <c r="I59" s="9">
        <v>0</v>
      </c>
      <c r="J59" s="9">
        <v>0</v>
      </c>
      <c r="K59" s="9">
        <v>176</v>
      </c>
      <c r="L59" s="9">
        <v>1331.9379095800005</v>
      </c>
      <c r="M59" s="9">
        <v>36</v>
      </c>
      <c r="N59" s="9">
        <v>232.22290801999998</v>
      </c>
      <c r="O59" s="9">
        <v>69</v>
      </c>
      <c r="P59" s="9">
        <v>489.74138038000012</v>
      </c>
      <c r="Q59" s="9">
        <v>71</v>
      </c>
      <c r="R59" s="9">
        <v>609.97362118000024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18"/>
      <c r="AB59" s="18"/>
      <c r="AC59" s="18"/>
      <c r="AD59" s="18"/>
      <c r="AE59" s="18"/>
      <c r="AF59" s="18"/>
      <c r="AG59" s="18"/>
      <c r="AH59" s="18"/>
    </row>
    <row r="60" spans="1:34" s="11" customFormat="1" ht="27" customHeight="1" x14ac:dyDescent="0.25">
      <c r="A60" s="66" t="s">
        <v>30</v>
      </c>
      <c r="B60" s="1">
        <f t="shared" si="5"/>
        <v>54</v>
      </c>
      <c r="C60" s="20" t="s">
        <v>2096</v>
      </c>
      <c r="D60" s="20" t="s">
        <v>2115</v>
      </c>
      <c r="E60" s="65">
        <v>11782</v>
      </c>
      <c r="F60" s="19" t="s">
        <v>2087</v>
      </c>
      <c r="G60" s="9">
        <v>156</v>
      </c>
      <c r="H60" s="9">
        <v>1417.0578757300004</v>
      </c>
      <c r="I60" s="9">
        <v>14</v>
      </c>
      <c r="J60" s="9">
        <v>134.59416629</v>
      </c>
      <c r="K60" s="9">
        <v>142</v>
      </c>
      <c r="L60" s="9">
        <v>1282.46370944</v>
      </c>
      <c r="M60" s="9">
        <v>4</v>
      </c>
      <c r="N60" s="9">
        <v>27.787859399999999</v>
      </c>
      <c r="O60" s="9">
        <v>44</v>
      </c>
      <c r="P60" s="9">
        <v>588.12211639000009</v>
      </c>
      <c r="Q60" s="9">
        <v>94</v>
      </c>
      <c r="R60" s="9">
        <v>666.55373364999991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18"/>
      <c r="AB60" s="18"/>
      <c r="AC60" s="18"/>
      <c r="AD60" s="18"/>
      <c r="AE60" s="18"/>
      <c r="AF60" s="18"/>
      <c r="AG60" s="18"/>
      <c r="AH60" s="18"/>
    </row>
    <row r="61" spans="1:34" s="11" customFormat="1" ht="27" customHeight="1" x14ac:dyDescent="0.25">
      <c r="A61" s="66" t="s">
        <v>30</v>
      </c>
      <c r="B61" s="1">
        <f t="shared" si="5"/>
        <v>55</v>
      </c>
      <c r="C61" s="20" t="s">
        <v>2096</v>
      </c>
      <c r="D61" s="20" t="s">
        <v>2103</v>
      </c>
      <c r="E61" s="65">
        <v>11799</v>
      </c>
      <c r="F61" s="19" t="s">
        <v>2035</v>
      </c>
      <c r="G61" s="9">
        <v>398</v>
      </c>
      <c r="H61" s="9">
        <v>46897.047364449965</v>
      </c>
      <c r="I61" s="9">
        <v>84</v>
      </c>
      <c r="J61" s="9">
        <v>493.49665382000006</v>
      </c>
      <c r="K61" s="9">
        <v>314</v>
      </c>
      <c r="L61" s="9">
        <v>46403.550710629992</v>
      </c>
      <c r="M61" s="9">
        <v>0</v>
      </c>
      <c r="N61" s="9">
        <v>0</v>
      </c>
      <c r="O61" s="9">
        <v>249</v>
      </c>
      <c r="P61" s="9">
        <v>7600.2215603599971</v>
      </c>
      <c r="Q61" s="9">
        <v>63</v>
      </c>
      <c r="R61" s="9">
        <v>38760.429150269993</v>
      </c>
      <c r="S61" s="9">
        <v>2</v>
      </c>
      <c r="T61" s="9">
        <v>42.9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18"/>
      <c r="AB61" s="18"/>
      <c r="AC61" s="18"/>
      <c r="AD61" s="18"/>
      <c r="AE61" s="18"/>
      <c r="AF61" s="18"/>
      <c r="AG61" s="18"/>
      <c r="AH61" s="18"/>
    </row>
    <row r="62" spans="1:34" s="11" customFormat="1" ht="27" customHeight="1" x14ac:dyDescent="0.25">
      <c r="A62" s="66" t="s">
        <v>30</v>
      </c>
      <c r="B62" s="1">
        <f t="shared" si="5"/>
        <v>56</v>
      </c>
      <c r="C62" s="20" t="s">
        <v>2096</v>
      </c>
      <c r="D62" s="20" t="s">
        <v>2109</v>
      </c>
      <c r="E62" s="65">
        <v>11800</v>
      </c>
      <c r="F62" s="19" t="s">
        <v>2073</v>
      </c>
      <c r="G62" s="9">
        <v>373</v>
      </c>
      <c r="H62" s="9">
        <v>3107.1224530599984</v>
      </c>
      <c r="I62" s="9">
        <v>54</v>
      </c>
      <c r="J62" s="9">
        <v>192.16856710999991</v>
      </c>
      <c r="K62" s="9">
        <v>319</v>
      </c>
      <c r="L62" s="9">
        <v>2914.9538859500008</v>
      </c>
      <c r="M62" s="9">
        <v>186</v>
      </c>
      <c r="N62" s="9">
        <v>1016.0375113500004</v>
      </c>
      <c r="O62" s="9">
        <v>32</v>
      </c>
      <c r="P62" s="9">
        <v>212.26432503000004</v>
      </c>
      <c r="Q62" s="9">
        <v>101</v>
      </c>
      <c r="R62" s="9">
        <v>1686.6520495700001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18"/>
      <c r="AB62" s="18"/>
      <c r="AC62" s="18"/>
      <c r="AD62" s="18"/>
      <c r="AE62" s="18"/>
      <c r="AF62" s="18"/>
      <c r="AG62" s="18"/>
      <c r="AH62" s="18"/>
    </row>
    <row r="63" spans="1:34" s="11" customFormat="1" ht="27" customHeight="1" x14ac:dyDescent="0.25">
      <c r="A63" s="66" t="s">
        <v>30</v>
      </c>
      <c r="B63" s="1">
        <f t="shared" si="5"/>
        <v>57</v>
      </c>
      <c r="C63" s="20" t="s">
        <v>2096</v>
      </c>
      <c r="D63" s="20" t="s">
        <v>2111</v>
      </c>
      <c r="E63" s="65">
        <v>11801</v>
      </c>
      <c r="F63" s="19" t="s">
        <v>2064</v>
      </c>
      <c r="G63" s="9">
        <v>576</v>
      </c>
      <c r="H63" s="9">
        <v>7825.719123859988</v>
      </c>
      <c r="I63" s="9">
        <v>483</v>
      </c>
      <c r="J63" s="9">
        <v>5698.12796100999</v>
      </c>
      <c r="K63" s="9">
        <v>93</v>
      </c>
      <c r="L63" s="9">
        <v>2127.5911628500003</v>
      </c>
      <c r="M63" s="9">
        <v>0</v>
      </c>
      <c r="N63" s="9">
        <v>0</v>
      </c>
      <c r="O63" s="9">
        <v>21</v>
      </c>
      <c r="P63" s="9">
        <v>363.10288605999995</v>
      </c>
      <c r="Q63" s="9">
        <v>72</v>
      </c>
      <c r="R63" s="9">
        <v>1764.4882767900003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18"/>
      <c r="AB63" s="18"/>
      <c r="AC63" s="18"/>
      <c r="AD63" s="18"/>
      <c r="AE63" s="18"/>
      <c r="AF63" s="18"/>
      <c r="AG63" s="18"/>
      <c r="AH63" s="18"/>
    </row>
    <row r="64" spans="1:34" s="11" customFormat="1" ht="27" customHeight="1" x14ac:dyDescent="0.25">
      <c r="A64" s="66" t="s">
        <v>34</v>
      </c>
      <c r="B64" s="1">
        <f t="shared" si="5"/>
        <v>58</v>
      </c>
      <c r="C64" s="20" t="s">
        <v>2135</v>
      </c>
      <c r="D64" s="20" t="s">
        <v>2138</v>
      </c>
      <c r="E64" s="65">
        <v>12090</v>
      </c>
      <c r="F64" s="19" t="s">
        <v>2043</v>
      </c>
      <c r="G64" s="9">
        <v>4</v>
      </c>
      <c r="H64" s="9">
        <v>452.86863115</v>
      </c>
      <c r="I64" s="9">
        <v>0</v>
      </c>
      <c r="J64" s="9">
        <v>0</v>
      </c>
      <c r="K64" s="9">
        <v>4</v>
      </c>
      <c r="L64" s="9">
        <v>452.86863115</v>
      </c>
      <c r="M64" s="9">
        <v>0</v>
      </c>
      <c r="N64" s="9">
        <v>0</v>
      </c>
      <c r="O64" s="9">
        <v>3</v>
      </c>
      <c r="P64" s="9">
        <v>445.81176564999998</v>
      </c>
      <c r="Q64" s="9">
        <v>1</v>
      </c>
      <c r="R64" s="9">
        <v>7.0568654999999998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18"/>
      <c r="AB64" s="18"/>
      <c r="AC64" s="18"/>
      <c r="AD64" s="18"/>
      <c r="AE64" s="18"/>
      <c r="AF64" s="18"/>
      <c r="AG64" s="18"/>
      <c r="AH64" s="18"/>
    </row>
    <row r="65" spans="1:34" s="11" customFormat="1" ht="27" customHeight="1" x14ac:dyDescent="0.25">
      <c r="A65" s="66" t="s">
        <v>34</v>
      </c>
      <c r="B65" s="1">
        <f t="shared" si="5"/>
        <v>59</v>
      </c>
      <c r="C65" s="20" t="s">
        <v>2135</v>
      </c>
      <c r="D65" s="20" t="s">
        <v>2137</v>
      </c>
      <c r="E65" s="65">
        <v>12091</v>
      </c>
      <c r="F65" s="19" t="s">
        <v>2107</v>
      </c>
      <c r="G65" s="9">
        <v>3</v>
      </c>
      <c r="H65" s="9">
        <v>527.55602511999996</v>
      </c>
      <c r="I65" s="9">
        <v>0</v>
      </c>
      <c r="J65" s="9">
        <v>0</v>
      </c>
      <c r="K65" s="9">
        <v>3</v>
      </c>
      <c r="L65" s="9">
        <v>527.55602511999996</v>
      </c>
      <c r="M65" s="9">
        <v>0</v>
      </c>
      <c r="N65" s="9">
        <v>0</v>
      </c>
      <c r="O65" s="9">
        <v>0</v>
      </c>
      <c r="P65" s="9">
        <v>0</v>
      </c>
      <c r="Q65" s="9">
        <v>3</v>
      </c>
      <c r="R65" s="9">
        <v>527.55602511999996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18"/>
      <c r="AB65" s="18"/>
      <c r="AC65" s="18"/>
      <c r="AD65" s="18"/>
      <c r="AE65" s="18"/>
      <c r="AF65" s="18"/>
      <c r="AG65" s="18"/>
      <c r="AH65" s="18"/>
    </row>
    <row r="66" spans="1:34" s="11" customFormat="1" ht="27" customHeight="1" x14ac:dyDescent="0.25">
      <c r="A66" s="66" t="s">
        <v>34</v>
      </c>
      <c r="B66" s="1">
        <f t="shared" si="5"/>
        <v>60</v>
      </c>
      <c r="C66" s="20" t="s">
        <v>2135</v>
      </c>
      <c r="D66" s="20" t="s">
        <v>2136</v>
      </c>
      <c r="E66" s="65">
        <v>12097</v>
      </c>
      <c r="F66" s="19" t="s">
        <v>2054</v>
      </c>
      <c r="G66" s="9">
        <v>17</v>
      </c>
      <c r="H66" s="9">
        <v>1339.46368538</v>
      </c>
      <c r="I66" s="9">
        <v>0</v>
      </c>
      <c r="J66" s="9">
        <v>0</v>
      </c>
      <c r="K66" s="9">
        <v>17</v>
      </c>
      <c r="L66" s="9">
        <v>1339.4636853800002</v>
      </c>
      <c r="M66" s="9">
        <v>0</v>
      </c>
      <c r="N66" s="9">
        <v>0</v>
      </c>
      <c r="O66" s="9">
        <v>4</v>
      </c>
      <c r="P66" s="9">
        <v>539.87878111999999</v>
      </c>
      <c r="Q66" s="9">
        <v>10</v>
      </c>
      <c r="R66" s="9">
        <v>729.87088213000004</v>
      </c>
      <c r="S66" s="9">
        <v>3</v>
      </c>
      <c r="T66" s="9">
        <v>69.714022129999989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18"/>
      <c r="AB66" s="18"/>
      <c r="AC66" s="18"/>
      <c r="AD66" s="18"/>
      <c r="AE66" s="18"/>
      <c r="AF66" s="18"/>
      <c r="AG66" s="18"/>
      <c r="AH66" s="18"/>
    </row>
    <row r="67" spans="1:34" s="11" customFormat="1" ht="27" customHeight="1" x14ac:dyDescent="0.25">
      <c r="A67" s="66" t="s">
        <v>42</v>
      </c>
      <c r="B67" s="1">
        <f t="shared" si="5"/>
        <v>61</v>
      </c>
      <c r="C67" s="20" t="s">
        <v>2118</v>
      </c>
      <c r="D67" s="20" t="s">
        <v>2122</v>
      </c>
      <c r="E67" s="65">
        <v>10818</v>
      </c>
      <c r="F67" s="19" t="s">
        <v>2035</v>
      </c>
      <c r="G67" s="9">
        <v>1290</v>
      </c>
      <c r="H67" s="9">
        <v>70595.772548480643</v>
      </c>
      <c r="I67" s="9">
        <v>55</v>
      </c>
      <c r="J67" s="9">
        <v>7013.6462650299936</v>
      </c>
      <c r="K67" s="9">
        <v>1235</v>
      </c>
      <c r="L67" s="9">
        <v>63582.126283449958</v>
      </c>
      <c r="M67" s="9">
        <v>1042</v>
      </c>
      <c r="N67" s="9">
        <v>35898.128708269949</v>
      </c>
      <c r="O67" s="9">
        <v>188</v>
      </c>
      <c r="P67" s="9">
        <v>27358.928334930009</v>
      </c>
      <c r="Q67" s="9">
        <v>5</v>
      </c>
      <c r="R67" s="9">
        <v>325.06924025000001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18"/>
      <c r="AB67" s="18"/>
      <c r="AC67" s="18"/>
      <c r="AD67" s="18"/>
      <c r="AE67" s="18"/>
      <c r="AF67" s="18"/>
      <c r="AG67" s="18"/>
      <c r="AH67" s="18"/>
    </row>
    <row r="68" spans="1:34" s="11" customFormat="1" ht="27" customHeight="1" x14ac:dyDescent="0.25">
      <c r="A68" s="66" t="s">
        <v>42</v>
      </c>
      <c r="B68" s="1">
        <f t="shared" si="5"/>
        <v>62</v>
      </c>
      <c r="C68" s="20" t="s">
        <v>2118</v>
      </c>
      <c r="D68" s="20" t="s">
        <v>2121</v>
      </c>
      <c r="E68" s="65">
        <v>10819</v>
      </c>
      <c r="F68" s="19" t="s">
        <v>2100</v>
      </c>
      <c r="G68" s="9">
        <v>393</v>
      </c>
      <c r="H68" s="9">
        <v>13748.719431539997</v>
      </c>
      <c r="I68" s="9">
        <v>32</v>
      </c>
      <c r="J68" s="9">
        <v>263.3455022</v>
      </c>
      <c r="K68" s="9">
        <v>361</v>
      </c>
      <c r="L68" s="9">
        <v>13485.373929339994</v>
      </c>
      <c r="M68" s="9">
        <v>161</v>
      </c>
      <c r="N68" s="9">
        <v>5202.014499869998</v>
      </c>
      <c r="O68" s="9">
        <v>200</v>
      </c>
      <c r="P68" s="9">
        <v>8283.359429469996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18"/>
      <c r="AB68" s="18"/>
      <c r="AC68" s="18"/>
      <c r="AD68" s="18"/>
      <c r="AE68" s="18"/>
      <c r="AF68" s="18"/>
      <c r="AG68" s="18"/>
      <c r="AH68" s="18"/>
    </row>
    <row r="69" spans="1:34" s="11" customFormat="1" ht="27" customHeight="1" x14ac:dyDescent="0.25">
      <c r="A69" s="66" t="s">
        <v>42</v>
      </c>
      <c r="B69" s="1">
        <f t="shared" si="5"/>
        <v>63</v>
      </c>
      <c r="C69" s="20" t="s">
        <v>2118</v>
      </c>
      <c r="D69" s="20" t="s">
        <v>2120</v>
      </c>
      <c r="E69" s="65">
        <v>10820</v>
      </c>
      <c r="F69" s="19" t="s">
        <v>2039</v>
      </c>
      <c r="G69" s="9">
        <v>1368</v>
      </c>
      <c r="H69" s="9">
        <v>52562.353774589988</v>
      </c>
      <c r="I69" s="9">
        <v>297</v>
      </c>
      <c r="J69" s="9">
        <v>9449.0649999300022</v>
      </c>
      <c r="K69" s="9">
        <v>1071</v>
      </c>
      <c r="L69" s="9">
        <v>43113.288774660017</v>
      </c>
      <c r="M69" s="9">
        <v>777</v>
      </c>
      <c r="N69" s="9">
        <v>21793.900570240025</v>
      </c>
      <c r="O69" s="9">
        <v>272</v>
      </c>
      <c r="P69" s="9">
        <v>16603.565866359997</v>
      </c>
      <c r="Q69" s="9">
        <v>22</v>
      </c>
      <c r="R69" s="9">
        <v>4715.8223380599993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18"/>
      <c r="AB69" s="18"/>
      <c r="AC69" s="18"/>
      <c r="AD69" s="18"/>
      <c r="AE69" s="18"/>
      <c r="AF69" s="18"/>
      <c r="AG69" s="18"/>
      <c r="AH69" s="18"/>
    </row>
    <row r="70" spans="1:34" s="11" customFormat="1" ht="27" customHeight="1" x14ac:dyDescent="0.25">
      <c r="A70" s="66" t="s">
        <v>42</v>
      </c>
      <c r="B70" s="1">
        <f t="shared" si="5"/>
        <v>64</v>
      </c>
      <c r="C70" s="20" t="s">
        <v>2118</v>
      </c>
      <c r="D70" s="20" t="s">
        <v>2119</v>
      </c>
      <c r="E70" s="65">
        <v>12129</v>
      </c>
      <c r="F70" s="19" t="s">
        <v>2043</v>
      </c>
      <c r="G70" s="9">
        <v>351</v>
      </c>
      <c r="H70" s="9">
        <v>17712.444775460011</v>
      </c>
      <c r="I70" s="9">
        <v>131</v>
      </c>
      <c r="J70" s="9">
        <v>2242.1700182399991</v>
      </c>
      <c r="K70" s="9">
        <v>220</v>
      </c>
      <c r="L70" s="9">
        <v>15470.274757220002</v>
      </c>
      <c r="M70" s="9">
        <v>122</v>
      </c>
      <c r="N70" s="9">
        <v>5318.3367732300003</v>
      </c>
      <c r="O70" s="9">
        <v>94</v>
      </c>
      <c r="P70" s="9">
        <v>9033.075265630001</v>
      </c>
      <c r="Q70" s="9">
        <v>4</v>
      </c>
      <c r="R70" s="9">
        <v>1118.8627183599999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18"/>
      <c r="AB70" s="18"/>
      <c r="AC70" s="18"/>
      <c r="AD70" s="18"/>
      <c r="AE70" s="18"/>
      <c r="AF70" s="18"/>
      <c r="AG70" s="18"/>
      <c r="AH70" s="18"/>
    </row>
    <row r="71" spans="1:34" s="11" customFormat="1" ht="27" customHeight="1" x14ac:dyDescent="0.25">
      <c r="A71" s="66" t="s">
        <v>42</v>
      </c>
      <c r="B71" s="1">
        <f t="shared" si="5"/>
        <v>65</v>
      </c>
      <c r="C71" s="20" t="s">
        <v>2118</v>
      </c>
      <c r="D71" s="20" t="s">
        <v>2230</v>
      </c>
      <c r="E71" s="65">
        <v>12213</v>
      </c>
      <c r="F71" s="19" t="s">
        <v>2066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18"/>
      <c r="AB71" s="18"/>
      <c r="AC71" s="18"/>
      <c r="AD71" s="18"/>
      <c r="AE71" s="18"/>
      <c r="AF71" s="18"/>
      <c r="AG71" s="18"/>
      <c r="AH71" s="18"/>
    </row>
    <row r="72" spans="1:34" s="11" customFormat="1" ht="27" customHeight="1" x14ac:dyDescent="0.25">
      <c r="A72" s="66" t="s">
        <v>31</v>
      </c>
      <c r="B72" s="1">
        <f t="shared" ref="B72:B101" si="6">+B71+1</f>
        <v>66</v>
      </c>
      <c r="C72" s="20" t="s">
        <v>2123</v>
      </c>
      <c r="D72" s="20" t="s">
        <v>2124</v>
      </c>
      <c r="E72" s="65">
        <v>11291</v>
      </c>
      <c r="F72" s="19" t="s">
        <v>2107</v>
      </c>
      <c r="G72" s="9">
        <v>16</v>
      </c>
      <c r="H72" s="9">
        <v>893.79948249999984</v>
      </c>
      <c r="I72" s="9">
        <v>6</v>
      </c>
      <c r="J72" s="9">
        <v>16.363306129999998</v>
      </c>
      <c r="K72" s="9">
        <v>10</v>
      </c>
      <c r="L72" s="9">
        <v>877.43617636999988</v>
      </c>
      <c r="M72" s="9">
        <v>0</v>
      </c>
      <c r="N72" s="9">
        <v>0</v>
      </c>
      <c r="O72" s="9">
        <v>1</v>
      </c>
      <c r="P72" s="9">
        <v>75.000000999999997</v>
      </c>
      <c r="Q72" s="9">
        <v>9</v>
      </c>
      <c r="R72" s="9">
        <v>802.43617536999989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18"/>
      <c r="AB72" s="18"/>
      <c r="AC72" s="18"/>
      <c r="AD72" s="18"/>
      <c r="AE72" s="18"/>
      <c r="AF72" s="18"/>
      <c r="AG72" s="18"/>
      <c r="AH72" s="18"/>
    </row>
    <row r="73" spans="1:34" s="11" customFormat="1" ht="27" customHeight="1" x14ac:dyDescent="0.25">
      <c r="A73" s="66" t="s">
        <v>35</v>
      </c>
      <c r="B73" s="1">
        <f t="shared" si="6"/>
        <v>67</v>
      </c>
      <c r="C73" s="20" t="s">
        <v>2139</v>
      </c>
      <c r="D73" s="20" t="s">
        <v>2140</v>
      </c>
      <c r="E73" s="65">
        <v>11443</v>
      </c>
      <c r="F73" s="19" t="s">
        <v>2073</v>
      </c>
      <c r="G73" s="9">
        <v>58</v>
      </c>
      <c r="H73" s="9">
        <v>1307.7760041100005</v>
      </c>
      <c r="I73" s="9">
        <v>7</v>
      </c>
      <c r="J73" s="9">
        <v>59.668778859999996</v>
      </c>
      <c r="K73" s="9">
        <v>51</v>
      </c>
      <c r="L73" s="9">
        <v>1248.1072252500003</v>
      </c>
      <c r="M73" s="9">
        <v>0</v>
      </c>
      <c r="N73" s="9">
        <v>0</v>
      </c>
      <c r="O73" s="9">
        <v>5</v>
      </c>
      <c r="P73" s="9">
        <v>20.745646140000002</v>
      </c>
      <c r="Q73" s="9">
        <v>46</v>
      </c>
      <c r="R73" s="9">
        <v>1227.3615791100003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18"/>
      <c r="AB73" s="18"/>
      <c r="AC73" s="18"/>
      <c r="AD73" s="18"/>
      <c r="AE73" s="18"/>
      <c r="AF73" s="18"/>
      <c r="AG73" s="18"/>
      <c r="AH73" s="18"/>
    </row>
    <row r="74" spans="1:34" s="11" customFormat="1" ht="27" customHeight="1" x14ac:dyDescent="0.25">
      <c r="A74" s="66" t="s">
        <v>35</v>
      </c>
      <c r="B74" s="1">
        <f t="shared" si="6"/>
        <v>68</v>
      </c>
      <c r="C74" s="20" t="s">
        <v>2139</v>
      </c>
      <c r="D74" s="20" t="s">
        <v>2141</v>
      </c>
      <c r="E74" s="65">
        <v>11444</v>
      </c>
      <c r="F74" s="19" t="s">
        <v>2039</v>
      </c>
      <c r="G74" s="9">
        <v>86</v>
      </c>
      <c r="H74" s="9">
        <v>2008.1962950500008</v>
      </c>
      <c r="I74" s="9">
        <v>9</v>
      </c>
      <c r="J74" s="9">
        <v>238.01271695</v>
      </c>
      <c r="K74" s="9">
        <v>77</v>
      </c>
      <c r="L74" s="9">
        <v>1770.1835781</v>
      </c>
      <c r="M74" s="9">
        <v>0</v>
      </c>
      <c r="N74" s="9">
        <v>0</v>
      </c>
      <c r="O74" s="9">
        <v>25</v>
      </c>
      <c r="P74" s="9">
        <v>752.48427922999974</v>
      </c>
      <c r="Q74" s="9">
        <v>52</v>
      </c>
      <c r="R74" s="9">
        <v>1017.6992988700003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18"/>
      <c r="AB74" s="18"/>
      <c r="AC74" s="18"/>
      <c r="AD74" s="18"/>
      <c r="AE74" s="18"/>
      <c r="AF74" s="18"/>
      <c r="AG74" s="18"/>
      <c r="AH74" s="18"/>
    </row>
    <row r="75" spans="1:34" s="11" customFormat="1" ht="27" customHeight="1" x14ac:dyDescent="0.25">
      <c r="A75" s="66" t="s">
        <v>35</v>
      </c>
      <c r="B75" s="1">
        <f t="shared" si="6"/>
        <v>69</v>
      </c>
      <c r="C75" s="20" t="s">
        <v>2139</v>
      </c>
      <c r="D75" s="20" t="s">
        <v>2142</v>
      </c>
      <c r="E75" s="65">
        <v>11445</v>
      </c>
      <c r="F75" s="19" t="s">
        <v>2049</v>
      </c>
      <c r="G75" s="9">
        <v>131</v>
      </c>
      <c r="H75" s="9">
        <v>4171.5567117700002</v>
      </c>
      <c r="I75" s="9">
        <v>19</v>
      </c>
      <c r="J75" s="9">
        <v>615.13067331000002</v>
      </c>
      <c r="K75" s="9">
        <v>112</v>
      </c>
      <c r="L75" s="9">
        <v>3556.4260384600002</v>
      </c>
      <c r="M75" s="9">
        <v>0</v>
      </c>
      <c r="N75" s="9">
        <v>0</v>
      </c>
      <c r="O75" s="9">
        <v>38</v>
      </c>
      <c r="P75" s="9">
        <v>1834.1823732100002</v>
      </c>
      <c r="Q75" s="9">
        <v>74</v>
      </c>
      <c r="R75" s="9">
        <v>1722.24366525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18"/>
      <c r="AB75" s="18"/>
      <c r="AC75" s="18"/>
      <c r="AD75" s="18"/>
      <c r="AE75" s="18"/>
      <c r="AF75" s="18"/>
      <c r="AG75" s="18"/>
      <c r="AH75" s="18"/>
    </row>
    <row r="76" spans="1:34" s="11" customFormat="1" ht="27" customHeight="1" x14ac:dyDescent="0.25">
      <c r="A76" s="66" t="s">
        <v>35</v>
      </c>
      <c r="B76" s="1">
        <f t="shared" si="6"/>
        <v>70</v>
      </c>
      <c r="C76" s="20" t="s">
        <v>2139</v>
      </c>
      <c r="D76" s="20" t="s">
        <v>2143</v>
      </c>
      <c r="E76" s="65">
        <v>11446</v>
      </c>
      <c r="F76" s="19" t="s">
        <v>2037</v>
      </c>
      <c r="G76" s="9">
        <v>76</v>
      </c>
      <c r="H76" s="9">
        <v>1653.9582772100002</v>
      </c>
      <c r="I76" s="9">
        <v>0</v>
      </c>
      <c r="J76" s="9">
        <v>0</v>
      </c>
      <c r="K76" s="9">
        <v>76</v>
      </c>
      <c r="L76" s="9">
        <v>1653.9582772099998</v>
      </c>
      <c r="M76" s="9">
        <v>0</v>
      </c>
      <c r="N76" s="9">
        <v>0</v>
      </c>
      <c r="O76" s="9">
        <v>40</v>
      </c>
      <c r="P76" s="9">
        <v>1080.7626587099999</v>
      </c>
      <c r="Q76" s="9">
        <v>36</v>
      </c>
      <c r="R76" s="9">
        <v>573.19561849999991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18"/>
      <c r="AB76" s="18"/>
      <c r="AC76" s="18"/>
      <c r="AD76" s="18"/>
      <c r="AE76" s="18"/>
      <c r="AF76" s="18"/>
      <c r="AG76" s="18"/>
      <c r="AH76" s="18"/>
    </row>
    <row r="77" spans="1:34" s="11" customFormat="1" ht="27" customHeight="1" x14ac:dyDescent="0.25">
      <c r="A77" s="66" t="s">
        <v>35</v>
      </c>
      <c r="B77" s="1">
        <f t="shared" si="6"/>
        <v>71</v>
      </c>
      <c r="C77" s="20" t="s">
        <v>2139</v>
      </c>
      <c r="D77" s="20" t="s">
        <v>2144</v>
      </c>
      <c r="E77" s="65">
        <v>11447</v>
      </c>
      <c r="F77" s="19" t="s">
        <v>2047</v>
      </c>
      <c r="G77" s="9">
        <v>108</v>
      </c>
      <c r="H77" s="9">
        <v>1123.8523095900009</v>
      </c>
      <c r="I77" s="9">
        <v>0</v>
      </c>
      <c r="J77" s="9">
        <v>0</v>
      </c>
      <c r="K77" s="9">
        <v>108</v>
      </c>
      <c r="L77" s="9">
        <v>1123.8523095899998</v>
      </c>
      <c r="M77" s="9">
        <v>0</v>
      </c>
      <c r="N77" s="9">
        <v>0</v>
      </c>
      <c r="O77" s="9">
        <v>65</v>
      </c>
      <c r="P77" s="9">
        <v>568.56912526999997</v>
      </c>
      <c r="Q77" s="9">
        <v>43</v>
      </c>
      <c r="R77" s="9">
        <v>555.2831843199998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18"/>
      <c r="AB77" s="18"/>
      <c r="AC77" s="18"/>
      <c r="AD77" s="18"/>
      <c r="AE77" s="18"/>
      <c r="AF77" s="18"/>
      <c r="AG77" s="18"/>
      <c r="AH77" s="18"/>
    </row>
    <row r="78" spans="1:34" s="11" customFormat="1" ht="27" customHeight="1" x14ac:dyDescent="0.25">
      <c r="A78" s="66" t="s">
        <v>35</v>
      </c>
      <c r="B78" s="1">
        <f t="shared" si="6"/>
        <v>72</v>
      </c>
      <c r="C78" s="20" t="s">
        <v>2139</v>
      </c>
      <c r="D78" s="20" t="s">
        <v>2145</v>
      </c>
      <c r="E78" s="65">
        <v>11448</v>
      </c>
      <c r="F78" s="19" t="s">
        <v>2035</v>
      </c>
      <c r="G78" s="9">
        <v>137</v>
      </c>
      <c r="H78" s="9">
        <v>3086.715784540002</v>
      </c>
      <c r="I78" s="9">
        <v>0</v>
      </c>
      <c r="J78" s="9">
        <v>0</v>
      </c>
      <c r="K78" s="9">
        <v>137</v>
      </c>
      <c r="L78" s="9">
        <v>3086.7157845400006</v>
      </c>
      <c r="M78" s="9">
        <v>0</v>
      </c>
      <c r="N78" s="9">
        <v>0</v>
      </c>
      <c r="O78" s="9">
        <v>71</v>
      </c>
      <c r="P78" s="9">
        <v>2243.6745339300005</v>
      </c>
      <c r="Q78" s="9">
        <v>66</v>
      </c>
      <c r="R78" s="9">
        <v>843.04125060999991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18"/>
      <c r="AB78" s="18"/>
      <c r="AC78" s="18"/>
      <c r="AD78" s="18"/>
      <c r="AE78" s="18"/>
      <c r="AF78" s="18"/>
      <c r="AG78" s="18"/>
      <c r="AH78" s="18"/>
    </row>
    <row r="79" spans="1:34" s="11" customFormat="1" ht="27" customHeight="1" x14ac:dyDescent="0.25">
      <c r="A79" s="66" t="s">
        <v>32</v>
      </c>
      <c r="B79" s="1">
        <f t="shared" si="6"/>
        <v>73</v>
      </c>
      <c r="C79" s="20" t="s">
        <v>2125</v>
      </c>
      <c r="D79" s="20" t="s">
        <v>2126</v>
      </c>
      <c r="E79" s="65">
        <v>12008</v>
      </c>
      <c r="F79" s="19" t="s">
        <v>2035</v>
      </c>
      <c r="G79" s="9">
        <v>1022</v>
      </c>
      <c r="H79" s="9">
        <v>28662.483112090027</v>
      </c>
      <c r="I79" s="9">
        <v>0</v>
      </c>
      <c r="J79" s="9">
        <v>0</v>
      </c>
      <c r="K79" s="9">
        <v>1022</v>
      </c>
      <c r="L79" s="9">
        <v>28662.483112090005</v>
      </c>
      <c r="M79" s="9">
        <v>23</v>
      </c>
      <c r="N79" s="9">
        <v>0.11306008999999999</v>
      </c>
      <c r="O79" s="9">
        <v>337</v>
      </c>
      <c r="P79" s="9">
        <v>17608.11038154002</v>
      </c>
      <c r="Q79" s="9">
        <v>659</v>
      </c>
      <c r="R79" s="9">
        <v>10760.007508309984</v>
      </c>
      <c r="S79" s="9">
        <v>3</v>
      </c>
      <c r="T79" s="9">
        <v>294.25216215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18"/>
      <c r="AB79" s="18"/>
      <c r="AC79" s="18"/>
      <c r="AD79" s="18"/>
      <c r="AE79" s="18"/>
      <c r="AF79" s="18"/>
      <c r="AG79" s="18"/>
      <c r="AH79" s="18"/>
    </row>
    <row r="80" spans="1:34" s="11" customFormat="1" ht="27" customHeight="1" x14ac:dyDescent="0.25">
      <c r="A80" s="66" t="s">
        <v>36</v>
      </c>
      <c r="B80" s="1">
        <f t="shared" si="6"/>
        <v>74</v>
      </c>
      <c r="C80" s="20" t="s">
        <v>2146</v>
      </c>
      <c r="D80" s="20" t="s">
        <v>2147</v>
      </c>
      <c r="E80" s="65" t="s">
        <v>10</v>
      </c>
      <c r="F80" s="19" t="s">
        <v>2079</v>
      </c>
      <c r="G80" s="9">
        <v>467</v>
      </c>
      <c r="H80" s="9">
        <v>7253.4210108749903</v>
      </c>
      <c r="I80" s="9">
        <v>11</v>
      </c>
      <c r="J80" s="9">
        <v>14.436014459999999</v>
      </c>
      <c r="K80" s="9">
        <v>456</v>
      </c>
      <c r="L80" s="9">
        <v>7238.9849964149989</v>
      </c>
      <c r="M80" s="9">
        <v>0</v>
      </c>
      <c r="N80" s="9">
        <v>0</v>
      </c>
      <c r="O80" s="9">
        <v>81</v>
      </c>
      <c r="P80" s="9">
        <v>3245.3421448270001</v>
      </c>
      <c r="Q80" s="9">
        <v>375</v>
      </c>
      <c r="R80" s="9">
        <v>3993.6428515879988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18"/>
      <c r="AB80" s="18"/>
      <c r="AC80" s="18"/>
      <c r="AD80" s="18"/>
      <c r="AE80" s="18"/>
      <c r="AF80" s="18"/>
      <c r="AG80" s="18"/>
      <c r="AH80" s="18"/>
    </row>
    <row r="81" spans="1:34" s="11" customFormat="1" ht="27" customHeight="1" x14ac:dyDescent="0.25">
      <c r="A81" s="66" t="s">
        <v>33</v>
      </c>
      <c r="B81" s="1">
        <f t="shared" si="6"/>
        <v>75</v>
      </c>
      <c r="C81" s="20" t="s">
        <v>2127</v>
      </c>
      <c r="D81" s="20" t="s">
        <v>2128</v>
      </c>
      <c r="E81" s="65">
        <v>10502</v>
      </c>
      <c r="F81" s="19" t="s">
        <v>2087</v>
      </c>
      <c r="G81" s="9">
        <v>123</v>
      </c>
      <c r="H81" s="9">
        <v>7145.2230844699961</v>
      </c>
      <c r="I81" s="9">
        <v>103</v>
      </c>
      <c r="J81" s="9">
        <v>2003.9490408399997</v>
      </c>
      <c r="K81" s="9">
        <v>20</v>
      </c>
      <c r="L81" s="9">
        <v>5141.2740436299991</v>
      </c>
      <c r="M81" s="9">
        <v>1</v>
      </c>
      <c r="N81" s="9">
        <v>518.20606099999998</v>
      </c>
      <c r="O81" s="9">
        <v>1</v>
      </c>
      <c r="P81" s="9">
        <v>251.92954962000002</v>
      </c>
      <c r="Q81" s="9">
        <v>18</v>
      </c>
      <c r="R81" s="9">
        <v>4371.1384330099991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18"/>
      <c r="AB81" s="18"/>
      <c r="AC81" s="18"/>
      <c r="AD81" s="18"/>
      <c r="AE81" s="18"/>
      <c r="AF81" s="18"/>
      <c r="AG81" s="18"/>
      <c r="AH81" s="18"/>
    </row>
    <row r="82" spans="1:34" s="11" customFormat="1" ht="27" customHeight="1" x14ac:dyDescent="0.25">
      <c r="A82" s="66" t="s">
        <v>33</v>
      </c>
      <c r="B82" s="1">
        <f t="shared" si="6"/>
        <v>76</v>
      </c>
      <c r="C82" s="20" t="s">
        <v>2127</v>
      </c>
      <c r="D82" s="20" t="s">
        <v>2129</v>
      </c>
      <c r="E82" s="65">
        <v>10507</v>
      </c>
      <c r="F82" s="19" t="s">
        <v>2130</v>
      </c>
      <c r="G82" s="9">
        <v>202</v>
      </c>
      <c r="H82" s="9">
        <v>2305.5626361100003</v>
      </c>
      <c r="I82" s="9">
        <v>200</v>
      </c>
      <c r="J82" s="9">
        <v>1436.7174193899998</v>
      </c>
      <c r="K82" s="9">
        <v>2</v>
      </c>
      <c r="L82" s="9">
        <v>868.84521672000005</v>
      </c>
      <c r="M82" s="9">
        <v>0</v>
      </c>
      <c r="N82" s="9">
        <v>0</v>
      </c>
      <c r="O82" s="9">
        <v>0</v>
      </c>
      <c r="P82" s="9">
        <v>0</v>
      </c>
      <c r="Q82" s="9">
        <v>2</v>
      </c>
      <c r="R82" s="9">
        <v>868.84521672000005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18"/>
      <c r="AB82" s="18"/>
      <c r="AC82" s="18"/>
      <c r="AD82" s="18"/>
      <c r="AE82" s="18"/>
      <c r="AF82" s="18"/>
      <c r="AG82" s="18"/>
      <c r="AH82" s="18"/>
    </row>
    <row r="83" spans="1:34" s="11" customFormat="1" ht="27" customHeight="1" x14ac:dyDescent="0.25">
      <c r="A83" s="66" t="s">
        <v>33</v>
      </c>
      <c r="B83" s="1">
        <f t="shared" si="6"/>
        <v>77</v>
      </c>
      <c r="C83" s="20" t="s">
        <v>2127</v>
      </c>
      <c r="D83" s="20" t="s">
        <v>2131</v>
      </c>
      <c r="E83" s="65">
        <v>10508</v>
      </c>
      <c r="F83" s="19" t="s">
        <v>2041</v>
      </c>
      <c r="G83" s="9">
        <v>83</v>
      </c>
      <c r="H83" s="9">
        <v>2621.3060691699998</v>
      </c>
      <c r="I83" s="9">
        <v>77</v>
      </c>
      <c r="J83" s="9">
        <v>717.04314153000018</v>
      </c>
      <c r="K83" s="9">
        <v>6</v>
      </c>
      <c r="L83" s="9">
        <v>1904.2629276399998</v>
      </c>
      <c r="M83" s="9">
        <v>0</v>
      </c>
      <c r="N83" s="9">
        <v>0</v>
      </c>
      <c r="O83" s="9">
        <v>0</v>
      </c>
      <c r="P83" s="9">
        <v>0</v>
      </c>
      <c r="Q83" s="9">
        <v>6</v>
      </c>
      <c r="R83" s="9">
        <v>1904.2629276399998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18"/>
      <c r="AB83" s="18"/>
      <c r="AC83" s="18"/>
      <c r="AD83" s="18"/>
      <c r="AE83" s="18"/>
      <c r="AF83" s="18"/>
      <c r="AG83" s="18"/>
      <c r="AH83" s="18"/>
    </row>
    <row r="84" spans="1:34" s="11" customFormat="1" ht="27" customHeight="1" x14ac:dyDescent="0.25">
      <c r="A84" s="66" t="s">
        <v>33</v>
      </c>
      <c r="B84" s="1">
        <f t="shared" si="6"/>
        <v>78</v>
      </c>
      <c r="C84" s="20" t="s">
        <v>2127</v>
      </c>
      <c r="D84" s="20" t="s">
        <v>2132</v>
      </c>
      <c r="E84" s="65">
        <v>10510</v>
      </c>
      <c r="F84" s="19" t="s">
        <v>2133</v>
      </c>
      <c r="G84" s="9">
        <v>113</v>
      </c>
      <c r="H84" s="9">
        <v>12317.452226300009</v>
      </c>
      <c r="I84" s="9">
        <v>73</v>
      </c>
      <c r="J84" s="9">
        <v>2349.8971444199997</v>
      </c>
      <c r="K84" s="9">
        <v>40</v>
      </c>
      <c r="L84" s="9">
        <v>9967.5550818799984</v>
      </c>
      <c r="M84" s="9">
        <v>0</v>
      </c>
      <c r="N84" s="9">
        <v>0</v>
      </c>
      <c r="O84" s="9">
        <v>0</v>
      </c>
      <c r="P84" s="9">
        <v>0</v>
      </c>
      <c r="Q84" s="9">
        <v>40</v>
      </c>
      <c r="R84" s="9">
        <v>9967.5550818799984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18"/>
      <c r="AB84" s="18"/>
      <c r="AC84" s="18"/>
      <c r="AD84" s="18"/>
      <c r="AE84" s="18"/>
      <c r="AF84" s="18"/>
      <c r="AG84" s="18"/>
      <c r="AH84" s="18"/>
    </row>
    <row r="85" spans="1:34" s="11" customFormat="1" ht="27" customHeight="1" x14ac:dyDescent="0.25">
      <c r="A85" s="66" t="s">
        <v>33</v>
      </c>
      <c r="B85" s="1">
        <f t="shared" si="6"/>
        <v>79</v>
      </c>
      <c r="C85" s="20" t="s">
        <v>2127</v>
      </c>
      <c r="D85" s="20" t="s">
        <v>2134</v>
      </c>
      <c r="E85" s="65">
        <v>10729</v>
      </c>
      <c r="F85" s="19" t="s">
        <v>2035</v>
      </c>
      <c r="G85" s="9">
        <v>544</v>
      </c>
      <c r="H85" s="9">
        <v>9007.5062422099872</v>
      </c>
      <c r="I85" s="9">
        <v>521</v>
      </c>
      <c r="J85" s="9">
        <v>3753.9463008100024</v>
      </c>
      <c r="K85" s="9">
        <v>23</v>
      </c>
      <c r="L85" s="9">
        <v>5253.5599414000008</v>
      </c>
      <c r="M85" s="9">
        <v>0</v>
      </c>
      <c r="N85" s="9">
        <v>0</v>
      </c>
      <c r="O85" s="9">
        <v>0</v>
      </c>
      <c r="P85" s="9">
        <v>0</v>
      </c>
      <c r="Q85" s="9">
        <v>23</v>
      </c>
      <c r="R85" s="9">
        <v>5253.5599414000008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18"/>
      <c r="AB85" s="18"/>
      <c r="AC85" s="18"/>
      <c r="AD85" s="18"/>
      <c r="AE85" s="18"/>
      <c r="AF85" s="18"/>
      <c r="AG85" s="18"/>
      <c r="AH85" s="18"/>
    </row>
    <row r="86" spans="1:34" s="11" customFormat="1" ht="27" customHeight="1" x14ac:dyDescent="0.25">
      <c r="A86" s="66" t="s">
        <v>33</v>
      </c>
      <c r="B86" s="1">
        <f t="shared" si="6"/>
        <v>80</v>
      </c>
      <c r="C86" s="20" t="s">
        <v>2127</v>
      </c>
      <c r="D86" s="20" t="s">
        <v>2183</v>
      </c>
      <c r="E86" s="65">
        <v>12029</v>
      </c>
      <c r="F86" s="19" t="s">
        <v>2047</v>
      </c>
      <c r="G86" s="9">
        <v>11</v>
      </c>
      <c r="H86" s="9">
        <v>425.40390127000001</v>
      </c>
      <c r="I86" s="9">
        <v>9</v>
      </c>
      <c r="J86" s="9">
        <v>212.80389927000002</v>
      </c>
      <c r="K86" s="9">
        <v>2</v>
      </c>
      <c r="L86" s="9">
        <v>212.60000199999999</v>
      </c>
      <c r="M86" s="9">
        <v>0</v>
      </c>
      <c r="N86" s="9">
        <v>0</v>
      </c>
      <c r="O86" s="9">
        <v>0</v>
      </c>
      <c r="P86" s="9">
        <v>0</v>
      </c>
      <c r="Q86" s="9">
        <v>2</v>
      </c>
      <c r="R86" s="9">
        <v>212.60000199999999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18"/>
      <c r="AB86" s="18"/>
      <c r="AC86" s="18"/>
      <c r="AD86" s="18"/>
      <c r="AE86" s="18"/>
      <c r="AF86" s="18"/>
      <c r="AG86" s="18"/>
      <c r="AH86" s="18"/>
    </row>
    <row r="87" spans="1:34" s="11" customFormat="1" ht="27" customHeight="1" x14ac:dyDescent="0.25">
      <c r="A87" s="66" t="s">
        <v>37</v>
      </c>
      <c r="B87" s="1">
        <f t="shared" si="6"/>
        <v>81</v>
      </c>
      <c r="C87" s="20" t="s">
        <v>2148</v>
      </c>
      <c r="D87" s="20" t="s">
        <v>2149</v>
      </c>
      <c r="E87" s="65" t="s">
        <v>13</v>
      </c>
      <c r="F87" s="19" t="s">
        <v>2045</v>
      </c>
      <c r="G87" s="9">
        <v>404</v>
      </c>
      <c r="H87" s="9">
        <v>30231.248992489971</v>
      </c>
      <c r="I87" s="9">
        <v>94</v>
      </c>
      <c r="J87" s="9">
        <v>629.32155119000004</v>
      </c>
      <c r="K87" s="9">
        <v>310</v>
      </c>
      <c r="L87" s="9">
        <v>29601.927441300002</v>
      </c>
      <c r="M87" s="9">
        <v>0</v>
      </c>
      <c r="N87" s="9">
        <v>0</v>
      </c>
      <c r="O87" s="9">
        <v>209</v>
      </c>
      <c r="P87" s="9">
        <v>17607.687260029998</v>
      </c>
      <c r="Q87" s="9">
        <v>60</v>
      </c>
      <c r="R87" s="9">
        <v>9142.1812383100041</v>
      </c>
      <c r="S87" s="9">
        <v>0</v>
      </c>
      <c r="T87" s="9">
        <v>0</v>
      </c>
      <c r="U87" s="9">
        <v>0</v>
      </c>
      <c r="V87" s="9">
        <v>0</v>
      </c>
      <c r="W87" s="9">
        <v>6</v>
      </c>
      <c r="X87" s="9">
        <v>2043.8804692900001</v>
      </c>
      <c r="Y87" s="9">
        <v>35</v>
      </c>
      <c r="Z87" s="9">
        <v>808.17847366999979</v>
      </c>
      <c r="AA87" s="18"/>
      <c r="AB87" s="18"/>
      <c r="AC87" s="18"/>
      <c r="AD87" s="18"/>
      <c r="AE87" s="18"/>
      <c r="AF87" s="18"/>
      <c r="AG87" s="18"/>
      <c r="AH87" s="18"/>
    </row>
    <row r="88" spans="1:34" s="11" customFormat="1" ht="27" customHeight="1" x14ac:dyDescent="0.25">
      <c r="A88" s="66" t="s">
        <v>37</v>
      </c>
      <c r="B88" s="1">
        <f t="shared" si="6"/>
        <v>82</v>
      </c>
      <c r="C88" s="20" t="s">
        <v>2148</v>
      </c>
      <c r="D88" s="20" t="s">
        <v>2150</v>
      </c>
      <c r="E88" s="65" t="s">
        <v>7</v>
      </c>
      <c r="F88" s="19" t="s">
        <v>2049</v>
      </c>
      <c r="G88" s="9">
        <v>2166</v>
      </c>
      <c r="H88" s="9">
        <v>42927.059748069922</v>
      </c>
      <c r="I88" s="9">
        <v>376</v>
      </c>
      <c r="J88" s="9">
        <v>1273.8093652999989</v>
      </c>
      <c r="K88" s="9">
        <v>1790</v>
      </c>
      <c r="L88" s="9">
        <v>41653.25038277002</v>
      </c>
      <c r="M88" s="9">
        <v>0</v>
      </c>
      <c r="N88" s="9">
        <v>0</v>
      </c>
      <c r="O88" s="9">
        <v>846</v>
      </c>
      <c r="P88" s="9">
        <v>20471.711773750019</v>
      </c>
      <c r="Q88" s="9">
        <v>601</v>
      </c>
      <c r="R88" s="9">
        <v>17219.490270459999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343</v>
      </c>
      <c r="Z88" s="9">
        <v>3962.0483385599987</v>
      </c>
      <c r="AA88" s="18"/>
      <c r="AB88" s="18"/>
      <c r="AC88" s="18"/>
      <c r="AD88" s="18"/>
      <c r="AE88" s="18"/>
      <c r="AF88" s="18"/>
      <c r="AG88" s="18"/>
      <c r="AH88" s="18"/>
    </row>
    <row r="89" spans="1:34" s="11" customFormat="1" ht="27" customHeight="1" x14ac:dyDescent="0.25">
      <c r="A89" s="66" t="s">
        <v>37</v>
      </c>
      <c r="B89" s="1">
        <f t="shared" si="6"/>
        <v>83</v>
      </c>
      <c r="C89" s="20" t="s">
        <v>2148</v>
      </c>
      <c r="D89" s="20" t="s">
        <v>2151</v>
      </c>
      <c r="E89" s="65" t="s">
        <v>5</v>
      </c>
      <c r="F89" s="19" t="s">
        <v>2037</v>
      </c>
      <c r="G89" s="9">
        <v>350</v>
      </c>
      <c r="H89" s="9">
        <v>3755.1797617900015</v>
      </c>
      <c r="I89" s="9">
        <v>0</v>
      </c>
      <c r="J89" s="9">
        <v>0</v>
      </c>
      <c r="K89" s="9">
        <v>350</v>
      </c>
      <c r="L89" s="9">
        <v>3755.1797617900011</v>
      </c>
      <c r="M89" s="9">
        <v>0</v>
      </c>
      <c r="N89" s="9">
        <v>0</v>
      </c>
      <c r="O89" s="9">
        <v>297</v>
      </c>
      <c r="P89" s="9">
        <v>3431.5975786500012</v>
      </c>
      <c r="Q89" s="9">
        <v>53</v>
      </c>
      <c r="R89" s="9">
        <v>323.58218313999993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18"/>
      <c r="AB89" s="18"/>
      <c r="AC89" s="18"/>
      <c r="AD89" s="18"/>
      <c r="AE89" s="18"/>
      <c r="AF89" s="18"/>
      <c r="AG89" s="18"/>
      <c r="AH89" s="18"/>
    </row>
    <row r="90" spans="1:34" s="11" customFormat="1" ht="27" customHeight="1" x14ac:dyDescent="0.25">
      <c r="A90" s="66" t="s">
        <v>37</v>
      </c>
      <c r="B90" s="1">
        <f t="shared" si="6"/>
        <v>84</v>
      </c>
      <c r="C90" s="20" t="s">
        <v>2148</v>
      </c>
      <c r="D90" s="20" t="s">
        <v>2152</v>
      </c>
      <c r="E90" s="65" t="s">
        <v>6</v>
      </c>
      <c r="F90" s="19" t="s">
        <v>2047</v>
      </c>
      <c r="G90" s="9">
        <v>330</v>
      </c>
      <c r="H90" s="9">
        <v>9835.0875860700053</v>
      </c>
      <c r="I90" s="9">
        <v>0</v>
      </c>
      <c r="J90" s="9">
        <v>0</v>
      </c>
      <c r="K90" s="9">
        <v>330</v>
      </c>
      <c r="L90" s="9">
        <v>9835.0875860699998</v>
      </c>
      <c r="M90" s="9">
        <v>0</v>
      </c>
      <c r="N90" s="9">
        <v>0</v>
      </c>
      <c r="O90" s="9">
        <v>16</v>
      </c>
      <c r="P90" s="9">
        <v>4661.6426373299992</v>
      </c>
      <c r="Q90" s="9">
        <v>314</v>
      </c>
      <c r="R90" s="9">
        <v>5173.4449487400007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18"/>
      <c r="AB90" s="18"/>
      <c r="AC90" s="18"/>
      <c r="AD90" s="18"/>
      <c r="AE90" s="18"/>
      <c r="AF90" s="18"/>
      <c r="AG90" s="18"/>
      <c r="AH90" s="18"/>
    </row>
    <row r="91" spans="1:34" s="11" customFormat="1" ht="27" customHeight="1" x14ac:dyDescent="0.25">
      <c r="A91" s="66" t="s">
        <v>37</v>
      </c>
      <c r="B91" s="1">
        <f t="shared" si="6"/>
        <v>85</v>
      </c>
      <c r="C91" s="20" t="s">
        <v>2148</v>
      </c>
      <c r="D91" s="20" t="s">
        <v>2153</v>
      </c>
      <c r="E91" s="65" t="s">
        <v>4</v>
      </c>
      <c r="F91" s="19" t="s">
        <v>2060</v>
      </c>
      <c r="G91" s="9">
        <v>266</v>
      </c>
      <c r="H91" s="9">
        <v>8577.6609383500017</v>
      </c>
      <c r="I91" s="9">
        <v>0</v>
      </c>
      <c r="J91" s="9">
        <v>0</v>
      </c>
      <c r="K91" s="9">
        <v>266</v>
      </c>
      <c r="L91" s="9">
        <v>8577.6609383500017</v>
      </c>
      <c r="M91" s="9">
        <v>0</v>
      </c>
      <c r="N91" s="9">
        <v>0</v>
      </c>
      <c r="O91" s="9">
        <v>230</v>
      </c>
      <c r="P91" s="9">
        <v>7984.5445417700012</v>
      </c>
      <c r="Q91" s="9">
        <v>36</v>
      </c>
      <c r="R91" s="9">
        <v>593.11639658000013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18"/>
      <c r="AB91" s="18"/>
      <c r="AC91" s="18"/>
      <c r="AD91" s="18"/>
      <c r="AE91" s="18"/>
      <c r="AF91" s="18"/>
      <c r="AG91" s="18"/>
      <c r="AH91" s="18"/>
    </row>
    <row r="92" spans="1:34" s="11" customFormat="1" ht="27" customHeight="1" x14ac:dyDescent="0.25">
      <c r="A92" s="66" t="s">
        <v>37</v>
      </c>
      <c r="B92" s="1">
        <f t="shared" si="6"/>
        <v>86</v>
      </c>
      <c r="C92" s="20" t="s">
        <v>2148</v>
      </c>
      <c r="D92" s="20" t="s">
        <v>2154</v>
      </c>
      <c r="E92" s="65" t="s">
        <v>9</v>
      </c>
      <c r="F92" s="19" t="s">
        <v>2041</v>
      </c>
      <c r="G92" s="9">
        <v>539</v>
      </c>
      <c r="H92" s="9">
        <v>8783.8032716699963</v>
      </c>
      <c r="I92" s="9">
        <v>0</v>
      </c>
      <c r="J92" s="9">
        <v>0</v>
      </c>
      <c r="K92" s="9">
        <v>539</v>
      </c>
      <c r="L92" s="9">
        <v>8783.80327167</v>
      </c>
      <c r="M92" s="9">
        <v>0</v>
      </c>
      <c r="N92" s="9">
        <v>0</v>
      </c>
      <c r="O92" s="9">
        <v>456</v>
      </c>
      <c r="P92" s="9">
        <v>7051.6891649599993</v>
      </c>
      <c r="Q92" s="9">
        <v>83</v>
      </c>
      <c r="R92" s="9">
        <v>1732.1141067100007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18"/>
      <c r="AB92" s="18"/>
      <c r="AC92" s="18"/>
      <c r="AD92" s="18"/>
      <c r="AE92" s="18"/>
      <c r="AF92" s="18"/>
      <c r="AG92" s="18"/>
      <c r="AH92" s="18"/>
    </row>
    <row r="93" spans="1:34" s="11" customFormat="1" ht="27" customHeight="1" x14ac:dyDescent="0.25">
      <c r="A93" s="66" t="s">
        <v>37</v>
      </c>
      <c r="B93" s="1">
        <f t="shared" si="6"/>
        <v>87</v>
      </c>
      <c r="C93" s="20" t="s">
        <v>2148</v>
      </c>
      <c r="D93" s="20" t="s">
        <v>2155</v>
      </c>
      <c r="E93" s="65" t="s">
        <v>8</v>
      </c>
      <c r="F93" s="19" t="s">
        <v>2073</v>
      </c>
      <c r="G93" s="9">
        <v>99</v>
      </c>
      <c r="H93" s="9">
        <v>2024.8917935600002</v>
      </c>
      <c r="I93" s="9">
        <v>0</v>
      </c>
      <c r="J93" s="9">
        <v>0</v>
      </c>
      <c r="K93" s="9">
        <v>99</v>
      </c>
      <c r="L93" s="9">
        <v>2024.8917935600005</v>
      </c>
      <c r="M93" s="9">
        <v>0</v>
      </c>
      <c r="N93" s="9">
        <v>0</v>
      </c>
      <c r="O93" s="9">
        <v>12</v>
      </c>
      <c r="P93" s="9">
        <v>252.89528044000002</v>
      </c>
      <c r="Q93" s="9">
        <v>87</v>
      </c>
      <c r="R93" s="9">
        <v>1771.9965131200004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18"/>
      <c r="AB93" s="18"/>
      <c r="AC93" s="18"/>
      <c r="AD93" s="18"/>
      <c r="AE93" s="18"/>
      <c r="AF93" s="18"/>
      <c r="AG93" s="18"/>
      <c r="AH93" s="18"/>
    </row>
    <row r="94" spans="1:34" s="11" customFormat="1" ht="27" customHeight="1" x14ac:dyDescent="0.25">
      <c r="A94" s="66" t="s">
        <v>37</v>
      </c>
      <c r="B94" s="1">
        <f t="shared" si="6"/>
        <v>88</v>
      </c>
      <c r="C94" s="20" t="s">
        <v>2148</v>
      </c>
      <c r="D94" s="20" t="s">
        <v>2156</v>
      </c>
      <c r="E94" s="65" t="s">
        <v>3</v>
      </c>
      <c r="F94" s="19" t="s">
        <v>2107</v>
      </c>
      <c r="G94" s="9">
        <v>125</v>
      </c>
      <c r="H94" s="9">
        <v>14047.312587649993</v>
      </c>
      <c r="I94" s="9">
        <v>0</v>
      </c>
      <c r="J94" s="9">
        <v>0</v>
      </c>
      <c r="K94" s="9">
        <v>125</v>
      </c>
      <c r="L94" s="9">
        <v>14047.312587649993</v>
      </c>
      <c r="M94" s="9">
        <v>0</v>
      </c>
      <c r="N94" s="9">
        <v>0</v>
      </c>
      <c r="O94" s="9">
        <v>0</v>
      </c>
      <c r="P94" s="9">
        <v>0</v>
      </c>
      <c r="Q94" s="9">
        <v>125</v>
      </c>
      <c r="R94" s="9">
        <v>14047.312587649993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18"/>
      <c r="AB94" s="18"/>
      <c r="AC94" s="18"/>
      <c r="AD94" s="18"/>
      <c r="AE94" s="18"/>
      <c r="AF94" s="18"/>
      <c r="AG94" s="18"/>
      <c r="AH94" s="18"/>
    </row>
    <row r="95" spans="1:34" s="11" customFormat="1" ht="27" customHeight="1" x14ac:dyDescent="0.25">
      <c r="A95" s="66" t="s">
        <v>37</v>
      </c>
      <c r="B95" s="1">
        <f t="shared" si="6"/>
        <v>89</v>
      </c>
      <c r="C95" s="20" t="s">
        <v>2148</v>
      </c>
      <c r="D95" s="20" t="s">
        <v>2157</v>
      </c>
      <c r="E95" s="65" t="s">
        <v>2</v>
      </c>
      <c r="F95" s="19" t="s">
        <v>2035</v>
      </c>
      <c r="G95" s="9">
        <v>81</v>
      </c>
      <c r="H95" s="9">
        <v>17417.635589229994</v>
      </c>
      <c r="I95" s="9">
        <v>0</v>
      </c>
      <c r="J95" s="9">
        <v>0</v>
      </c>
      <c r="K95" s="9">
        <v>81</v>
      </c>
      <c r="L95" s="9">
        <v>17417.635589229994</v>
      </c>
      <c r="M95" s="9">
        <v>0</v>
      </c>
      <c r="N95" s="9">
        <v>0</v>
      </c>
      <c r="O95" s="9">
        <v>8</v>
      </c>
      <c r="P95" s="9">
        <v>5273.1305519999987</v>
      </c>
      <c r="Q95" s="9">
        <v>73</v>
      </c>
      <c r="R95" s="9">
        <v>12144.505037229996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18"/>
      <c r="AB95" s="18"/>
      <c r="AC95" s="18"/>
      <c r="AD95" s="18"/>
      <c r="AE95" s="18"/>
      <c r="AF95" s="18"/>
      <c r="AG95" s="18"/>
      <c r="AH95" s="18"/>
    </row>
    <row r="96" spans="1:34" s="11" customFormat="1" ht="27" customHeight="1" x14ac:dyDescent="0.25">
      <c r="A96" s="66" t="s">
        <v>38</v>
      </c>
      <c r="B96" s="1">
        <f t="shared" si="6"/>
        <v>90</v>
      </c>
      <c r="C96" s="20" t="s">
        <v>2158</v>
      </c>
      <c r="D96" s="20" t="s">
        <v>2159</v>
      </c>
      <c r="E96" s="65">
        <v>11853</v>
      </c>
      <c r="F96" s="19" t="s">
        <v>2107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18"/>
      <c r="AB96" s="18"/>
      <c r="AC96" s="18"/>
      <c r="AD96" s="18"/>
      <c r="AE96" s="18"/>
      <c r="AF96" s="18"/>
      <c r="AG96" s="18"/>
      <c r="AH96" s="18"/>
    </row>
    <row r="97" spans="1:34" s="11" customFormat="1" ht="27" customHeight="1" x14ac:dyDescent="0.25">
      <c r="A97" s="66" t="s">
        <v>41</v>
      </c>
      <c r="B97" s="1">
        <f t="shared" si="6"/>
        <v>91</v>
      </c>
      <c r="C97" s="20" t="s">
        <v>2164</v>
      </c>
      <c r="D97" s="20" t="s">
        <v>2164</v>
      </c>
      <c r="E97" s="65" t="s">
        <v>25</v>
      </c>
      <c r="F97" s="19" t="s">
        <v>2039</v>
      </c>
      <c r="G97" s="9">
        <v>103</v>
      </c>
      <c r="H97" s="9">
        <v>38592.866554594999</v>
      </c>
      <c r="I97" s="9">
        <v>17</v>
      </c>
      <c r="J97" s="9">
        <v>3464.8880321950001</v>
      </c>
      <c r="K97" s="9">
        <v>86</v>
      </c>
      <c r="L97" s="9">
        <v>35127.978522399993</v>
      </c>
      <c r="M97" s="9">
        <v>3</v>
      </c>
      <c r="N97" s="9">
        <v>668.69236319000004</v>
      </c>
      <c r="O97" s="9">
        <v>33</v>
      </c>
      <c r="P97" s="9">
        <v>13848.629655512997</v>
      </c>
      <c r="Q97" s="9">
        <v>50</v>
      </c>
      <c r="R97" s="9">
        <v>20610.656503696995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18"/>
      <c r="AB97" s="18"/>
      <c r="AC97" s="18"/>
      <c r="AD97" s="18"/>
      <c r="AE97" s="18"/>
      <c r="AF97" s="18"/>
      <c r="AG97" s="18"/>
      <c r="AH97" s="18"/>
    </row>
    <row r="98" spans="1:34" s="11" customFormat="1" ht="27" customHeight="1" x14ac:dyDescent="0.25">
      <c r="A98" s="66" t="s">
        <v>39</v>
      </c>
      <c r="B98" s="1">
        <f t="shared" si="6"/>
        <v>92</v>
      </c>
      <c r="C98" s="20" t="s">
        <v>2160</v>
      </c>
      <c r="D98" s="20" t="s">
        <v>2161</v>
      </c>
      <c r="E98" s="65" t="s">
        <v>19</v>
      </c>
      <c r="F98" s="19" t="s">
        <v>2054</v>
      </c>
      <c r="G98" s="9">
        <v>54</v>
      </c>
      <c r="H98" s="9">
        <v>25608.140864469995</v>
      </c>
      <c r="I98" s="9">
        <v>0</v>
      </c>
      <c r="J98" s="9">
        <v>0</v>
      </c>
      <c r="K98" s="9">
        <v>54</v>
      </c>
      <c r="L98" s="9">
        <v>25608.140864470002</v>
      </c>
      <c r="M98" s="9">
        <v>1</v>
      </c>
      <c r="N98" s="9">
        <v>250.15</v>
      </c>
      <c r="O98" s="9">
        <v>23</v>
      </c>
      <c r="P98" s="9">
        <v>7906.0096769599977</v>
      </c>
      <c r="Q98" s="9">
        <v>27</v>
      </c>
      <c r="R98" s="9">
        <v>16049.862125620006</v>
      </c>
      <c r="S98" s="9">
        <v>3</v>
      </c>
      <c r="T98" s="9">
        <v>1402.1190618899998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18"/>
      <c r="AB98" s="18"/>
      <c r="AC98" s="18"/>
      <c r="AD98" s="18"/>
      <c r="AE98" s="18"/>
      <c r="AF98" s="18"/>
      <c r="AG98" s="18"/>
      <c r="AH98" s="18"/>
    </row>
    <row r="99" spans="1:34" s="11" customFormat="1" ht="27" customHeight="1" x14ac:dyDescent="0.25">
      <c r="A99" s="66" t="s">
        <v>39</v>
      </c>
      <c r="B99" s="1">
        <f t="shared" si="6"/>
        <v>93</v>
      </c>
      <c r="C99" s="20" t="s">
        <v>2160</v>
      </c>
      <c r="D99" s="20" t="s">
        <v>2162</v>
      </c>
      <c r="E99" s="65" t="s">
        <v>20</v>
      </c>
      <c r="F99" s="19" t="s">
        <v>2107</v>
      </c>
      <c r="G99" s="9">
        <v>34</v>
      </c>
      <c r="H99" s="9">
        <v>21186.298452090003</v>
      </c>
      <c r="I99" s="9">
        <v>0</v>
      </c>
      <c r="J99" s="9">
        <v>0</v>
      </c>
      <c r="K99" s="9">
        <v>34</v>
      </c>
      <c r="L99" s="9">
        <v>21186.298452089995</v>
      </c>
      <c r="M99" s="9">
        <v>0</v>
      </c>
      <c r="N99" s="9">
        <v>0</v>
      </c>
      <c r="O99" s="9">
        <v>23</v>
      </c>
      <c r="P99" s="9">
        <v>17777.391115439998</v>
      </c>
      <c r="Q99" s="9">
        <v>6</v>
      </c>
      <c r="R99" s="9">
        <v>1870.0471906600001</v>
      </c>
      <c r="S99" s="9">
        <v>5</v>
      </c>
      <c r="T99" s="9">
        <v>1538.8601459899999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18"/>
      <c r="AB99" s="18"/>
      <c r="AC99" s="18"/>
      <c r="AD99" s="18"/>
      <c r="AE99" s="18"/>
      <c r="AF99" s="18"/>
      <c r="AG99" s="18"/>
      <c r="AH99" s="18"/>
    </row>
    <row r="100" spans="1:34" s="11" customFormat="1" ht="27" customHeight="1" x14ac:dyDescent="0.25">
      <c r="A100" s="66" t="s">
        <v>40</v>
      </c>
      <c r="B100" s="1">
        <f t="shared" si="6"/>
        <v>94</v>
      </c>
      <c r="C100" s="20" t="s">
        <v>2163</v>
      </c>
      <c r="D100" s="20" t="s">
        <v>2163</v>
      </c>
      <c r="E100" s="65" t="s">
        <v>24</v>
      </c>
      <c r="F100" s="19" t="s">
        <v>2037</v>
      </c>
      <c r="G100" s="9">
        <v>2948</v>
      </c>
      <c r="H100" s="9">
        <v>23451.427710921958</v>
      </c>
      <c r="I100" s="9">
        <v>125</v>
      </c>
      <c r="J100" s="9">
        <v>1294.7797933899997</v>
      </c>
      <c r="K100" s="9">
        <v>2823</v>
      </c>
      <c r="L100" s="9">
        <v>22156.647917531922</v>
      </c>
      <c r="M100" s="9">
        <v>0</v>
      </c>
      <c r="N100" s="9">
        <v>0</v>
      </c>
      <c r="O100" s="9">
        <v>327</v>
      </c>
      <c r="P100" s="9">
        <v>2358.0255747490023</v>
      </c>
      <c r="Q100" s="9">
        <v>2496</v>
      </c>
      <c r="R100" s="9">
        <v>19798.622342782921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18"/>
      <c r="AB100" s="18"/>
      <c r="AC100" s="18"/>
      <c r="AD100" s="18"/>
      <c r="AE100" s="18"/>
      <c r="AF100" s="18"/>
      <c r="AG100" s="18"/>
      <c r="AH100" s="18"/>
    </row>
    <row r="101" spans="1:34" s="11" customFormat="1" ht="27" customHeight="1" x14ac:dyDescent="0.25">
      <c r="A101" s="66" t="s">
        <v>44</v>
      </c>
      <c r="B101" s="1">
        <f t="shared" si="6"/>
        <v>95</v>
      </c>
      <c r="C101" s="20" t="s">
        <v>2184</v>
      </c>
      <c r="D101" s="20" t="s">
        <v>2184</v>
      </c>
      <c r="E101" s="65" t="s">
        <v>43</v>
      </c>
      <c r="F101" s="19" t="s">
        <v>2047</v>
      </c>
      <c r="G101" s="9">
        <v>106</v>
      </c>
      <c r="H101" s="9">
        <v>15821.518093769999</v>
      </c>
      <c r="I101" s="9">
        <v>0</v>
      </c>
      <c r="J101" s="9">
        <v>0</v>
      </c>
      <c r="K101" s="9">
        <v>106</v>
      </c>
      <c r="L101" s="9">
        <v>15821.518093770004</v>
      </c>
      <c r="M101" s="9">
        <v>21</v>
      </c>
      <c r="N101" s="9">
        <v>3149.26180041</v>
      </c>
      <c r="O101" s="9">
        <v>80</v>
      </c>
      <c r="P101" s="9">
        <v>11884.055768130003</v>
      </c>
      <c r="Q101" s="9">
        <v>5</v>
      </c>
      <c r="R101" s="9">
        <v>788.20052523000004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18"/>
      <c r="AB101" s="18"/>
      <c r="AC101" s="18"/>
      <c r="AD101" s="18"/>
      <c r="AE101" s="18"/>
      <c r="AF101" s="18"/>
      <c r="AG101" s="18"/>
      <c r="AH101" s="18"/>
    </row>
    <row r="102" spans="1:34" x14ac:dyDescent="0.25"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</sheetData>
  <mergeCells count="16">
    <mergeCell ref="M3:Z3"/>
    <mergeCell ref="G3:H4"/>
    <mergeCell ref="M4:N4"/>
    <mergeCell ref="O4:P4"/>
    <mergeCell ref="Q4:R4"/>
    <mergeCell ref="I3:J4"/>
    <mergeCell ref="K3:L4"/>
    <mergeCell ref="S4:T4"/>
    <mergeCell ref="U4:V4"/>
    <mergeCell ref="W4:X4"/>
    <mergeCell ref="Y4:Z4"/>
    <mergeCell ref="B3:B5"/>
    <mergeCell ref="C3:C5"/>
    <mergeCell ref="D3:D5"/>
    <mergeCell ref="E3:E5"/>
    <mergeCell ref="F3:F5"/>
  </mergeCells>
  <printOptions horizontalCentered="1"/>
  <pageMargins left="0.19685039370078741" right="0.19685039370078741" top="0.59055118110236227" bottom="0.39370078740157483" header="0" footer="0"/>
  <pageSetup paperSize="9" scale="40" fitToHeight="10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1DC-B5BC-4F88-8F23-41788EF769F4}">
  <sheetPr>
    <tabColor rgb="FFFF0000"/>
    <pageSetUpPr fitToPage="1"/>
  </sheetPr>
  <dimension ref="A1:AT102"/>
  <sheetViews>
    <sheetView showZeros="0" view="pageBreakPreview" zoomScale="85" zoomScaleNormal="85" zoomScaleSheetLayoutView="85" workbookViewId="0">
      <pane xSplit="5" ySplit="6" topLeftCell="F7" activePane="bottomRight" state="frozen"/>
      <selection pane="topRight" activeCell="D1" sqref="D1"/>
      <selection pane="bottomLeft" activeCell="A8" sqref="A8"/>
      <selection pane="bottomRight" activeCell="F7" sqref="F7"/>
    </sheetView>
  </sheetViews>
  <sheetFormatPr defaultRowHeight="18.75" x14ac:dyDescent="0.25"/>
  <cols>
    <col min="1" max="1" width="4.140625" style="7" bestFit="1" customWidth="1"/>
    <col min="2" max="2" width="4.85546875" style="7" customWidth="1"/>
    <col min="3" max="4" width="25.5703125" style="7" customWidth="1"/>
    <col min="5" max="5" width="10.42578125" style="7" customWidth="1"/>
    <col min="6" max="6" width="27.5703125" style="7" customWidth="1"/>
    <col min="7" max="7" width="11.28515625" style="7" customWidth="1"/>
    <col min="8" max="8" width="13.7109375" style="7" customWidth="1"/>
    <col min="9" max="27" width="14.7109375" style="7" customWidth="1"/>
    <col min="28" max="37" width="12.7109375" style="7" customWidth="1"/>
    <col min="38" max="38" width="14" style="7" customWidth="1"/>
    <col min="39" max="43" width="8.140625" style="7" customWidth="1"/>
    <col min="44" max="45" width="9.85546875" style="7" customWidth="1"/>
    <col min="46" max="46" width="11.7109375" style="7" customWidth="1"/>
    <col min="47" max="16384" width="9.140625" style="7"/>
  </cols>
  <sheetData>
    <row r="1" spans="1:46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46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7" t="s">
        <v>2187</v>
      </c>
    </row>
    <row r="3" spans="1:46" ht="26.25" customHeight="1" x14ac:dyDescent="0.25">
      <c r="B3" s="79" t="s">
        <v>0</v>
      </c>
      <c r="C3" s="80" t="s">
        <v>2188</v>
      </c>
      <c r="D3" s="80" t="s">
        <v>2009</v>
      </c>
      <c r="E3" s="80" t="s">
        <v>2010</v>
      </c>
      <c r="F3" s="80" t="s">
        <v>2011</v>
      </c>
      <c r="G3" s="90" t="s">
        <v>2272</v>
      </c>
      <c r="H3" s="90"/>
      <c r="I3" s="90" t="s">
        <v>2234</v>
      </c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</row>
    <row r="4" spans="1:46" ht="81" customHeight="1" x14ac:dyDescent="0.25">
      <c r="B4" s="79"/>
      <c r="C4" s="80"/>
      <c r="D4" s="80"/>
      <c r="E4" s="80"/>
      <c r="F4" s="80"/>
      <c r="G4" s="90"/>
      <c r="H4" s="90"/>
      <c r="I4" s="88" t="s">
        <v>2273</v>
      </c>
      <c r="J4" s="89"/>
      <c r="K4" s="88" t="s">
        <v>2274</v>
      </c>
      <c r="L4" s="89"/>
      <c r="M4" s="88" t="s">
        <v>2275</v>
      </c>
      <c r="N4" s="89"/>
      <c r="O4" s="88" t="s">
        <v>2276</v>
      </c>
      <c r="P4" s="89"/>
      <c r="Q4" s="88" t="s">
        <v>2277</v>
      </c>
      <c r="R4" s="89"/>
      <c r="S4" s="88" t="s">
        <v>2278</v>
      </c>
      <c r="T4" s="89"/>
      <c r="U4" s="88" t="s">
        <v>2279</v>
      </c>
      <c r="V4" s="89"/>
      <c r="W4" s="88" t="s">
        <v>2280</v>
      </c>
      <c r="X4" s="89"/>
      <c r="Y4" s="88" t="s">
        <v>2281</v>
      </c>
      <c r="Z4" s="89"/>
      <c r="AA4" s="88" t="s">
        <v>2282</v>
      </c>
      <c r="AB4" s="89"/>
      <c r="AC4" s="88" t="s">
        <v>2283</v>
      </c>
      <c r="AD4" s="89"/>
      <c r="AE4" s="88" t="s">
        <v>2284</v>
      </c>
      <c r="AF4" s="89"/>
      <c r="AG4" s="88" t="s">
        <v>2285</v>
      </c>
      <c r="AH4" s="89"/>
      <c r="AI4" s="88" t="s">
        <v>2286</v>
      </c>
      <c r="AJ4" s="89"/>
      <c r="AK4" s="88" t="s">
        <v>2287</v>
      </c>
      <c r="AL4" s="89"/>
    </row>
    <row r="5" spans="1:46" ht="27" customHeight="1" x14ac:dyDescent="0.25">
      <c r="B5" s="79"/>
      <c r="C5" s="80"/>
      <c r="D5" s="80"/>
      <c r="E5" s="80"/>
      <c r="F5" s="80"/>
      <c r="G5" s="2" t="s">
        <v>2029</v>
      </c>
      <c r="H5" s="2" t="s">
        <v>2191</v>
      </c>
      <c r="I5" s="46" t="s">
        <v>2029</v>
      </c>
      <c r="J5" s="46" t="s">
        <v>2191</v>
      </c>
      <c r="K5" s="46" t="s">
        <v>2029</v>
      </c>
      <c r="L5" s="46" t="s">
        <v>2191</v>
      </c>
      <c r="M5" s="46" t="s">
        <v>2029</v>
      </c>
      <c r="N5" s="46" t="s">
        <v>2191</v>
      </c>
      <c r="O5" s="46" t="s">
        <v>2029</v>
      </c>
      <c r="P5" s="46" t="s">
        <v>2191</v>
      </c>
      <c r="Q5" s="46" t="s">
        <v>2029</v>
      </c>
      <c r="R5" s="46" t="s">
        <v>2191</v>
      </c>
      <c r="S5" s="46" t="s">
        <v>2029</v>
      </c>
      <c r="T5" s="46" t="s">
        <v>2191</v>
      </c>
      <c r="U5" s="46" t="s">
        <v>2029</v>
      </c>
      <c r="V5" s="46" t="s">
        <v>2191</v>
      </c>
      <c r="W5" s="46" t="s">
        <v>2029</v>
      </c>
      <c r="X5" s="46" t="s">
        <v>2191</v>
      </c>
      <c r="Y5" s="46" t="s">
        <v>2029</v>
      </c>
      <c r="Z5" s="46" t="s">
        <v>2191</v>
      </c>
      <c r="AA5" s="46" t="s">
        <v>2029</v>
      </c>
      <c r="AB5" s="46" t="s">
        <v>2191</v>
      </c>
      <c r="AC5" s="46" t="s">
        <v>2029</v>
      </c>
      <c r="AD5" s="46" t="s">
        <v>2191</v>
      </c>
      <c r="AE5" s="46" t="s">
        <v>2029</v>
      </c>
      <c r="AF5" s="46" t="s">
        <v>2191</v>
      </c>
      <c r="AG5" s="46" t="s">
        <v>2029</v>
      </c>
      <c r="AH5" s="46" t="s">
        <v>2191</v>
      </c>
      <c r="AI5" s="46" t="s">
        <v>2029</v>
      </c>
      <c r="AJ5" s="46" t="s">
        <v>2191</v>
      </c>
      <c r="AK5" s="46" t="s">
        <v>2029</v>
      </c>
      <c r="AL5" s="46" t="s">
        <v>2191</v>
      </c>
    </row>
    <row r="6" spans="1:46" ht="27" customHeight="1" x14ac:dyDescent="0.25">
      <c r="B6" s="2"/>
      <c r="C6" s="2"/>
      <c r="D6" s="3" t="s">
        <v>2025</v>
      </c>
      <c r="E6" s="3"/>
      <c r="F6" s="3"/>
      <c r="G6" s="6">
        <f>+SUM(G7:G101)</f>
        <v>3718</v>
      </c>
      <c r="H6" s="6">
        <f>+SUM(H7:H101)</f>
        <v>81324.335482380033</v>
      </c>
      <c r="I6" s="6">
        <f>+SUM(I7:I101)</f>
        <v>1962</v>
      </c>
      <c r="J6" s="6">
        <f t="shared" ref="J6:AL6" si="0">+SUM(J7:J101)</f>
        <v>49097.241389890063</v>
      </c>
      <c r="K6" s="6">
        <f t="shared" si="0"/>
        <v>429</v>
      </c>
      <c r="L6" s="6">
        <f t="shared" si="0"/>
        <v>10289.820546940002</v>
      </c>
      <c r="M6" s="6">
        <f t="shared" si="0"/>
        <v>367</v>
      </c>
      <c r="N6" s="6">
        <f t="shared" si="0"/>
        <v>5797.4666720800014</v>
      </c>
      <c r="O6" s="6">
        <f t="shared" si="0"/>
        <v>212</v>
      </c>
      <c r="P6" s="6">
        <f t="shared" si="0"/>
        <v>5418.2732590600008</v>
      </c>
      <c r="Q6" s="6">
        <f t="shared" si="0"/>
        <v>90</v>
      </c>
      <c r="R6" s="6">
        <f t="shared" si="0"/>
        <v>1770.90428281</v>
      </c>
      <c r="S6" s="6">
        <f t="shared" si="0"/>
        <v>73</v>
      </c>
      <c r="T6" s="6">
        <f t="shared" si="0"/>
        <v>1591.8526009200007</v>
      </c>
      <c r="U6" s="6">
        <f t="shared" si="0"/>
        <v>226</v>
      </c>
      <c r="V6" s="6">
        <f t="shared" si="0"/>
        <v>3635.8516347799996</v>
      </c>
      <c r="W6" s="6">
        <f t="shared" si="0"/>
        <v>121</v>
      </c>
      <c r="X6" s="6">
        <f t="shared" si="0"/>
        <v>971.54844181000021</v>
      </c>
      <c r="Y6" s="6">
        <f t="shared" si="0"/>
        <v>61</v>
      </c>
      <c r="Z6" s="6">
        <f t="shared" si="0"/>
        <v>900.36682806000022</v>
      </c>
      <c r="AA6" s="6">
        <f t="shared" si="0"/>
        <v>50</v>
      </c>
      <c r="AB6" s="6">
        <f t="shared" si="0"/>
        <v>404.13928139999996</v>
      </c>
      <c r="AC6" s="6">
        <f t="shared" si="0"/>
        <v>58</v>
      </c>
      <c r="AD6" s="6">
        <f t="shared" si="0"/>
        <v>396.21425048000003</v>
      </c>
      <c r="AE6" s="6">
        <f t="shared" si="0"/>
        <v>22</v>
      </c>
      <c r="AF6" s="6">
        <f t="shared" si="0"/>
        <v>390.63814007000002</v>
      </c>
      <c r="AG6" s="6">
        <f t="shared" si="0"/>
        <v>26</v>
      </c>
      <c r="AH6" s="6">
        <f t="shared" si="0"/>
        <v>303.46378464999998</v>
      </c>
      <c r="AI6" s="6">
        <f t="shared" si="0"/>
        <v>9</v>
      </c>
      <c r="AJ6" s="6">
        <f t="shared" si="0"/>
        <v>193.12698738</v>
      </c>
      <c r="AK6" s="6">
        <f t="shared" si="0"/>
        <v>12</v>
      </c>
      <c r="AL6" s="6">
        <f t="shared" si="0"/>
        <v>163.42738204999998</v>
      </c>
      <c r="AM6" s="18"/>
      <c r="AN6" s="18"/>
      <c r="AO6" s="18"/>
      <c r="AP6" s="18"/>
      <c r="AQ6" s="18"/>
      <c r="AR6" s="18"/>
      <c r="AS6" s="18"/>
      <c r="AT6" s="18"/>
    </row>
    <row r="7" spans="1:46" s="11" customFormat="1" ht="27" customHeight="1" x14ac:dyDescent="0.25">
      <c r="A7" s="66" t="s">
        <v>26</v>
      </c>
      <c r="B7" s="1">
        <v>1</v>
      </c>
      <c r="C7" s="20" t="s">
        <v>2033</v>
      </c>
      <c r="D7" s="20" t="s">
        <v>2044</v>
      </c>
      <c r="E7" s="65">
        <v>10014</v>
      </c>
      <c r="F7" s="19" t="s">
        <v>2045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18"/>
      <c r="AN7" s="18"/>
      <c r="AO7" s="18"/>
      <c r="AP7" s="18"/>
      <c r="AQ7" s="18"/>
      <c r="AR7" s="18"/>
      <c r="AS7" s="18"/>
      <c r="AT7" s="18"/>
    </row>
    <row r="8" spans="1:46" s="11" customFormat="1" ht="27" customHeight="1" x14ac:dyDescent="0.25">
      <c r="A8" s="66" t="s">
        <v>26</v>
      </c>
      <c r="B8" s="1">
        <f t="shared" ref="B8:B71" si="1">+B7+1</f>
        <v>2</v>
      </c>
      <c r="C8" s="20" t="s">
        <v>2033</v>
      </c>
      <c r="D8" s="20" t="s">
        <v>2046</v>
      </c>
      <c r="E8" s="65">
        <v>11141</v>
      </c>
      <c r="F8" s="19" t="s">
        <v>2047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18"/>
      <c r="AN8" s="18"/>
      <c r="AO8" s="18"/>
      <c r="AP8" s="18"/>
      <c r="AQ8" s="18"/>
      <c r="AR8" s="18"/>
      <c r="AS8" s="18"/>
      <c r="AT8" s="18"/>
    </row>
    <row r="9" spans="1:46" s="11" customFormat="1" ht="27" customHeight="1" x14ac:dyDescent="0.25">
      <c r="A9" s="66" t="s">
        <v>26</v>
      </c>
      <c r="B9" s="1">
        <f t="shared" si="1"/>
        <v>3</v>
      </c>
      <c r="C9" s="20" t="s">
        <v>2033</v>
      </c>
      <c r="D9" s="20" t="s">
        <v>2048</v>
      </c>
      <c r="E9" s="65">
        <v>11142</v>
      </c>
      <c r="F9" s="19" t="s">
        <v>2049</v>
      </c>
      <c r="G9" s="9">
        <v>35</v>
      </c>
      <c r="H9" s="9">
        <v>1310.0143274400002</v>
      </c>
      <c r="I9" s="9">
        <v>25</v>
      </c>
      <c r="J9" s="9">
        <v>867.41919920000009</v>
      </c>
      <c r="K9" s="9">
        <v>5</v>
      </c>
      <c r="L9" s="9">
        <v>70.115300689999998</v>
      </c>
      <c r="M9" s="9">
        <v>0</v>
      </c>
      <c r="N9" s="9">
        <v>0</v>
      </c>
      <c r="O9" s="9">
        <v>0</v>
      </c>
      <c r="P9" s="9">
        <v>0</v>
      </c>
      <c r="Q9" s="9">
        <v>3</v>
      </c>
      <c r="R9" s="9">
        <v>343.27684726000001</v>
      </c>
      <c r="S9" s="9">
        <v>0</v>
      </c>
      <c r="T9" s="9">
        <v>0</v>
      </c>
      <c r="U9" s="9">
        <v>2</v>
      </c>
      <c r="V9" s="9">
        <v>29.202980289999999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18"/>
      <c r="AN9" s="18"/>
      <c r="AO9" s="18"/>
      <c r="AP9" s="18"/>
      <c r="AQ9" s="18"/>
      <c r="AR9" s="18"/>
      <c r="AS9" s="18"/>
      <c r="AT9" s="18"/>
    </row>
    <row r="10" spans="1:46" s="11" customFormat="1" ht="27" customHeight="1" x14ac:dyDescent="0.25">
      <c r="A10" s="66" t="s">
        <v>26</v>
      </c>
      <c r="B10" s="1">
        <f t="shared" si="1"/>
        <v>4</v>
      </c>
      <c r="C10" s="20" t="s">
        <v>2033</v>
      </c>
      <c r="D10" s="20" t="s">
        <v>2042</v>
      </c>
      <c r="E10" s="65">
        <v>11183</v>
      </c>
      <c r="F10" s="19" t="s">
        <v>2043</v>
      </c>
      <c r="G10" s="9">
        <v>22</v>
      </c>
      <c r="H10" s="9">
        <v>1499.81681557</v>
      </c>
      <c r="I10" s="9">
        <v>0</v>
      </c>
      <c r="J10" s="9">
        <v>0</v>
      </c>
      <c r="K10" s="9">
        <v>4</v>
      </c>
      <c r="L10" s="9">
        <v>602.43452509000008</v>
      </c>
      <c r="M10" s="9">
        <v>0</v>
      </c>
      <c r="N10" s="9">
        <v>0</v>
      </c>
      <c r="O10" s="9">
        <v>1</v>
      </c>
      <c r="P10" s="9">
        <v>474</v>
      </c>
      <c r="Q10" s="9">
        <v>0</v>
      </c>
      <c r="R10" s="9">
        <v>0</v>
      </c>
      <c r="S10" s="9">
        <v>1</v>
      </c>
      <c r="T10" s="9">
        <v>34.7764983</v>
      </c>
      <c r="U10" s="9">
        <v>1</v>
      </c>
      <c r="V10" s="9">
        <v>15.769908619999999</v>
      </c>
      <c r="W10" s="9">
        <v>14</v>
      </c>
      <c r="X10" s="9">
        <v>343.58762421999995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29.248259340000001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18"/>
      <c r="AN10" s="18"/>
      <c r="AO10" s="18"/>
      <c r="AP10" s="18"/>
      <c r="AQ10" s="18"/>
      <c r="AR10" s="18"/>
      <c r="AS10" s="18"/>
      <c r="AT10" s="18"/>
    </row>
    <row r="11" spans="1:46" s="11" customFormat="1" ht="27" customHeight="1" x14ac:dyDescent="0.25">
      <c r="A11" s="66" t="s">
        <v>26</v>
      </c>
      <c r="B11" s="1">
        <f t="shared" si="1"/>
        <v>5</v>
      </c>
      <c r="C11" s="20" t="s">
        <v>2033</v>
      </c>
      <c r="D11" s="20" t="s">
        <v>2034</v>
      </c>
      <c r="E11" s="65">
        <v>11253</v>
      </c>
      <c r="F11" s="19" t="s">
        <v>2035</v>
      </c>
      <c r="G11" s="9">
        <v>30</v>
      </c>
      <c r="H11" s="9">
        <v>1007.0650786299998</v>
      </c>
      <c r="I11" s="9">
        <v>13</v>
      </c>
      <c r="J11" s="9">
        <v>599.75449200000003</v>
      </c>
      <c r="K11" s="9">
        <v>3</v>
      </c>
      <c r="L11" s="9">
        <v>162.12514715999998</v>
      </c>
      <c r="M11" s="9">
        <v>0</v>
      </c>
      <c r="N11" s="9">
        <v>0</v>
      </c>
      <c r="O11" s="9">
        <v>3</v>
      </c>
      <c r="P11" s="9">
        <v>55.497353430000004</v>
      </c>
      <c r="Q11" s="9">
        <v>0</v>
      </c>
      <c r="R11" s="9">
        <v>0</v>
      </c>
      <c r="S11" s="9">
        <v>3</v>
      </c>
      <c r="T11" s="9">
        <v>57.200927180000001</v>
      </c>
      <c r="U11" s="9">
        <v>7</v>
      </c>
      <c r="V11" s="9">
        <v>125.01483280999999</v>
      </c>
      <c r="W11" s="9">
        <v>0</v>
      </c>
      <c r="X11" s="9">
        <v>0</v>
      </c>
      <c r="Y11" s="9">
        <v>1</v>
      </c>
      <c r="Z11" s="9">
        <v>7.4723260499999995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18"/>
      <c r="AN11" s="18"/>
      <c r="AO11" s="18"/>
      <c r="AP11" s="18"/>
      <c r="AQ11" s="18"/>
      <c r="AR11" s="18"/>
      <c r="AS11" s="18"/>
      <c r="AT11" s="18"/>
    </row>
    <row r="12" spans="1:46" s="11" customFormat="1" ht="27" customHeight="1" x14ac:dyDescent="0.25">
      <c r="A12" s="66" t="s">
        <v>26</v>
      </c>
      <c r="B12" s="1">
        <f t="shared" si="1"/>
        <v>6</v>
      </c>
      <c r="C12" s="20" t="s">
        <v>2033</v>
      </c>
      <c r="D12" s="20" t="s">
        <v>2036</v>
      </c>
      <c r="E12" s="65">
        <v>11254</v>
      </c>
      <c r="F12" s="19" t="s">
        <v>2037</v>
      </c>
      <c r="G12" s="9">
        <v>1</v>
      </c>
      <c r="H12" s="9">
        <v>94.290695420000006</v>
      </c>
      <c r="I12" s="9">
        <v>1</v>
      </c>
      <c r="J12" s="9">
        <v>94.290695420000006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18"/>
      <c r="AN12" s="18"/>
      <c r="AO12" s="18"/>
      <c r="AP12" s="18"/>
      <c r="AQ12" s="18"/>
      <c r="AR12" s="18"/>
      <c r="AS12" s="18"/>
      <c r="AT12" s="18"/>
    </row>
    <row r="13" spans="1:46" s="11" customFormat="1" ht="27" customHeight="1" x14ac:dyDescent="0.25">
      <c r="A13" s="66" t="s">
        <v>26</v>
      </c>
      <c r="B13" s="1">
        <f t="shared" si="1"/>
        <v>7</v>
      </c>
      <c r="C13" s="20" t="s">
        <v>2033</v>
      </c>
      <c r="D13" s="20" t="s">
        <v>2038</v>
      </c>
      <c r="E13" s="65">
        <v>11255</v>
      </c>
      <c r="F13" s="19" t="s">
        <v>2039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18"/>
      <c r="AN13" s="18"/>
      <c r="AO13" s="18"/>
      <c r="AP13" s="18"/>
      <c r="AQ13" s="18"/>
      <c r="AR13" s="18"/>
      <c r="AS13" s="18"/>
      <c r="AT13" s="18"/>
    </row>
    <row r="14" spans="1:46" s="11" customFormat="1" ht="27" customHeight="1" x14ac:dyDescent="0.25">
      <c r="A14" s="66" t="s">
        <v>26</v>
      </c>
      <c r="B14" s="1">
        <f t="shared" si="1"/>
        <v>8</v>
      </c>
      <c r="C14" s="20" t="s">
        <v>2033</v>
      </c>
      <c r="D14" s="20" t="s">
        <v>2040</v>
      </c>
      <c r="E14" s="65">
        <v>11256</v>
      </c>
      <c r="F14" s="19" t="s">
        <v>2041</v>
      </c>
      <c r="G14" s="9">
        <v>2</v>
      </c>
      <c r="H14" s="9">
        <v>13.036539079999999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10.2457572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2.7907818799999999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18"/>
      <c r="AN14" s="18"/>
      <c r="AO14" s="18"/>
      <c r="AP14" s="18"/>
      <c r="AQ14" s="18"/>
      <c r="AR14" s="18"/>
      <c r="AS14" s="18"/>
      <c r="AT14" s="18"/>
    </row>
    <row r="15" spans="1:46" s="11" customFormat="1" ht="27" customHeight="1" x14ac:dyDescent="0.25">
      <c r="A15" s="66" t="s">
        <v>26</v>
      </c>
      <c r="B15" s="1">
        <f t="shared" si="1"/>
        <v>9</v>
      </c>
      <c r="C15" s="20" t="s">
        <v>2033</v>
      </c>
      <c r="D15" s="20" t="s">
        <v>2181</v>
      </c>
      <c r="E15" s="65">
        <v>12174</v>
      </c>
      <c r="F15" s="19" t="s">
        <v>2049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18"/>
      <c r="AN15" s="18"/>
      <c r="AO15" s="18"/>
      <c r="AP15" s="18"/>
      <c r="AQ15" s="18"/>
      <c r="AR15" s="18"/>
      <c r="AS15" s="18"/>
      <c r="AT15" s="18"/>
    </row>
    <row r="16" spans="1:46" s="11" customFormat="1" ht="27" customHeight="1" x14ac:dyDescent="0.25">
      <c r="A16" s="66" t="s">
        <v>26</v>
      </c>
      <c r="B16" s="1">
        <f t="shared" si="1"/>
        <v>10</v>
      </c>
      <c r="C16" s="20" t="s">
        <v>2033</v>
      </c>
      <c r="D16" s="20" t="s">
        <v>2182</v>
      </c>
      <c r="E16" s="65">
        <v>12190</v>
      </c>
      <c r="F16" s="19" t="s">
        <v>2049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18"/>
      <c r="AN16" s="18"/>
      <c r="AO16" s="18"/>
      <c r="AP16" s="18"/>
      <c r="AQ16" s="18"/>
      <c r="AR16" s="18"/>
      <c r="AS16" s="18"/>
      <c r="AT16" s="18"/>
    </row>
    <row r="17" spans="1:46" s="11" customFormat="1" ht="27" customHeight="1" x14ac:dyDescent="0.25">
      <c r="A17" s="66" t="s">
        <v>27</v>
      </c>
      <c r="B17" s="1">
        <f t="shared" si="1"/>
        <v>11</v>
      </c>
      <c r="C17" s="20" t="s">
        <v>2050</v>
      </c>
      <c r="D17" s="20" t="s">
        <v>2051</v>
      </c>
      <c r="E17" s="65">
        <v>11198</v>
      </c>
      <c r="F17" s="19" t="s">
        <v>2035</v>
      </c>
      <c r="G17" s="9">
        <v>98</v>
      </c>
      <c r="H17" s="9">
        <v>3873.8737078899994</v>
      </c>
      <c r="I17" s="9">
        <v>52</v>
      </c>
      <c r="J17" s="9">
        <v>3122.5504411399988</v>
      </c>
      <c r="K17" s="9">
        <v>7</v>
      </c>
      <c r="L17" s="9">
        <v>333.20162557999998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2</v>
      </c>
      <c r="T17" s="9">
        <v>14.58613482</v>
      </c>
      <c r="U17" s="9">
        <v>5</v>
      </c>
      <c r="V17" s="9">
        <v>195.99563164999998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32</v>
      </c>
      <c r="AD17" s="9">
        <v>207.53987469999998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18"/>
      <c r="AN17" s="18"/>
      <c r="AO17" s="18"/>
      <c r="AP17" s="18"/>
      <c r="AQ17" s="18"/>
      <c r="AR17" s="18"/>
      <c r="AS17" s="18"/>
      <c r="AT17" s="18"/>
    </row>
    <row r="18" spans="1:46" s="11" customFormat="1" ht="27" customHeight="1" x14ac:dyDescent="0.25">
      <c r="A18" s="66" t="s">
        <v>27</v>
      </c>
      <c r="B18" s="1">
        <f t="shared" si="1"/>
        <v>12</v>
      </c>
      <c r="C18" s="20" t="s">
        <v>2050</v>
      </c>
      <c r="D18" s="20" t="s">
        <v>2055</v>
      </c>
      <c r="E18" s="65">
        <v>11199</v>
      </c>
      <c r="F18" s="19" t="s">
        <v>2037</v>
      </c>
      <c r="G18" s="9">
        <v>61</v>
      </c>
      <c r="H18" s="9">
        <v>1011.66453856</v>
      </c>
      <c r="I18" s="9">
        <v>3</v>
      </c>
      <c r="J18" s="9">
        <v>183.98149376000001</v>
      </c>
      <c r="K18" s="9">
        <v>2</v>
      </c>
      <c r="L18" s="9">
        <v>42.553960150000009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1</v>
      </c>
      <c r="V18" s="9">
        <v>13.002446000000001</v>
      </c>
      <c r="W18" s="9">
        <v>0</v>
      </c>
      <c r="X18" s="9">
        <v>0</v>
      </c>
      <c r="Y18" s="9">
        <v>32</v>
      </c>
      <c r="Z18" s="9">
        <v>509.52900749000008</v>
      </c>
      <c r="AA18" s="9">
        <v>23</v>
      </c>
      <c r="AB18" s="9">
        <v>262.59763115999999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18"/>
      <c r="AN18" s="18"/>
      <c r="AO18" s="18"/>
      <c r="AP18" s="18"/>
      <c r="AQ18" s="18"/>
      <c r="AR18" s="18"/>
      <c r="AS18" s="18"/>
      <c r="AT18" s="18"/>
    </row>
    <row r="19" spans="1:46" s="11" customFormat="1" ht="27" customHeight="1" x14ac:dyDescent="0.25">
      <c r="A19" s="66" t="s">
        <v>27</v>
      </c>
      <c r="B19" s="1">
        <f t="shared" si="1"/>
        <v>13</v>
      </c>
      <c r="C19" s="20" t="s">
        <v>2050</v>
      </c>
      <c r="D19" s="20" t="s">
        <v>2056</v>
      </c>
      <c r="E19" s="65">
        <v>11200</v>
      </c>
      <c r="F19" s="19" t="s">
        <v>2049</v>
      </c>
      <c r="G19" s="9">
        <v>295</v>
      </c>
      <c r="H19" s="9">
        <v>11955.037766579999</v>
      </c>
      <c r="I19" s="9">
        <v>216</v>
      </c>
      <c r="J19" s="9">
        <v>10636.121122000008</v>
      </c>
      <c r="K19" s="9">
        <v>5</v>
      </c>
      <c r="L19" s="9">
        <v>130.10276523000002</v>
      </c>
      <c r="M19" s="9">
        <v>0</v>
      </c>
      <c r="N19" s="9">
        <v>0</v>
      </c>
      <c r="O19" s="9">
        <v>7</v>
      </c>
      <c r="P19" s="9">
        <v>191.16447685</v>
      </c>
      <c r="Q19" s="9">
        <v>58</v>
      </c>
      <c r="R19" s="9">
        <v>667.36807857999997</v>
      </c>
      <c r="S19" s="9">
        <v>1</v>
      </c>
      <c r="T19" s="9">
        <v>6.7287163699999999</v>
      </c>
      <c r="U19" s="9">
        <v>5</v>
      </c>
      <c r="V19" s="9">
        <v>297.36975901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3</v>
      </c>
      <c r="AF19" s="9">
        <v>26.182848539999998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18"/>
      <c r="AN19" s="18"/>
      <c r="AO19" s="18"/>
      <c r="AP19" s="18"/>
      <c r="AQ19" s="18"/>
      <c r="AR19" s="18"/>
      <c r="AS19" s="18"/>
      <c r="AT19" s="18"/>
    </row>
    <row r="20" spans="1:46" s="11" customFormat="1" ht="27" customHeight="1" x14ac:dyDescent="0.25">
      <c r="A20" s="66" t="s">
        <v>27</v>
      </c>
      <c r="B20" s="1">
        <f t="shared" si="1"/>
        <v>14</v>
      </c>
      <c r="C20" s="20" t="s">
        <v>2050</v>
      </c>
      <c r="D20" s="20" t="s">
        <v>2052</v>
      </c>
      <c r="E20" s="65">
        <v>11201</v>
      </c>
      <c r="F20" s="19" t="s">
        <v>2047</v>
      </c>
      <c r="G20" s="9">
        <v>85</v>
      </c>
      <c r="H20" s="9">
        <v>482.19380799000015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1</v>
      </c>
      <c r="V20" s="9">
        <v>73.915732009999999</v>
      </c>
      <c r="W20" s="9">
        <v>83</v>
      </c>
      <c r="X20" s="9">
        <v>404.27103218000013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1</v>
      </c>
      <c r="AF20" s="9">
        <v>4.0070437999999999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18"/>
      <c r="AN20" s="18"/>
      <c r="AO20" s="18"/>
      <c r="AP20" s="18"/>
      <c r="AQ20" s="18"/>
      <c r="AR20" s="18"/>
      <c r="AS20" s="18"/>
      <c r="AT20" s="18"/>
    </row>
    <row r="21" spans="1:46" s="11" customFormat="1" ht="27" customHeight="1" x14ac:dyDescent="0.25">
      <c r="A21" s="66" t="s">
        <v>27</v>
      </c>
      <c r="B21" s="1">
        <f t="shared" si="1"/>
        <v>15</v>
      </c>
      <c r="C21" s="20" t="s">
        <v>2050</v>
      </c>
      <c r="D21" s="20" t="s">
        <v>2053</v>
      </c>
      <c r="E21" s="65">
        <v>11202</v>
      </c>
      <c r="F21" s="19" t="s">
        <v>2054</v>
      </c>
      <c r="G21" s="9">
        <v>5</v>
      </c>
      <c r="H21" s="9">
        <v>135.73051970000003</v>
      </c>
      <c r="I21" s="9">
        <v>0</v>
      </c>
      <c r="J21" s="9">
        <v>0</v>
      </c>
      <c r="K21" s="9">
        <v>1</v>
      </c>
      <c r="L21" s="9">
        <v>14.49517827</v>
      </c>
      <c r="M21" s="9">
        <v>0</v>
      </c>
      <c r="N21" s="9">
        <v>0</v>
      </c>
      <c r="O21" s="9">
        <v>2</v>
      </c>
      <c r="P21" s="9">
        <v>92.418570510000009</v>
      </c>
      <c r="Q21" s="9">
        <v>0</v>
      </c>
      <c r="R21" s="9">
        <v>0</v>
      </c>
      <c r="S21" s="9">
        <v>0</v>
      </c>
      <c r="T21" s="9">
        <v>0</v>
      </c>
      <c r="U21" s="9">
        <v>2</v>
      </c>
      <c r="V21" s="9">
        <v>28.816770920000003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18"/>
      <c r="AN21" s="18"/>
      <c r="AO21" s="18"/>
      <c r="AP21" s="18"/>
      <c r="AQ21" s="18"/>
      <c r="AR21" s="18"/>
      <c r="AS21" s="18"/>
      <c r="AT21" s="18"/>
    </row>
    <row r="22" spans="1:46" s="11" customFormat="1" ht="27" customHeight="1" x14ac:dyDescent="0.25">
      <c r="A22" s="66" t="s">
        <v>27</v>
      </c>
      <c r="B22" s="1">
        <f t="shared" si="1"/>
        <v>16</v>
      </c>
      <c r="C22" s="20" t="s">
        <v>2050</v>
      </c>
      <c r="D22" s="20" t="s">
        <v>2057</v>
      </c>
      <c r="E22" s="65">
        <v>11203</v>
      </c>
      <c r="F22" s="19" t="s">
        <v>2041</v>
      </c>
      <c r="G22" s="9">
        <v>27</v>
      </c>
      <c r="H22" s="9">
        <v>1038.38943793</v>
      </c>
      <c r="I22" s="9">
        <v>0</v>
      </c>
      <c r="J22" s="9">
        <v>0</v>
      </c>
      <c r="K22" s="9">
        <v>10</v>
      </c>
      <c r="L22" s="9">
        <v>374.82200125000003</v>
      </c>
      <c r="M22" s="9">
        <v>8</v>
      </c>
      <c r="N22" s="9">
        <v>438.68021635000002</v>
      </c>
      <c r="O22" s="9">
        <v>2</v>
      </c>
      <c r="P22" s="9">
        <v>52.868873379999997</v>
      </c>
      <c r="Q22" s="9">
        <v>0</v>
      </c>
      <c r="R22" s="9">
        <v>0</v>
      </c>
      <c r="S22" s="9">
        <v>0</v>
      </c>
      <c r="T22" s="9">
        <v>0</v>
      </c>
      <c r="U22" s="9">
        <v>6</v>
      </c>
      <c r="V22" s="9">
        <v>165.71803872999999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</v>
      </c>
      <c r="AD22" s="9">
        <v>6.3003082199999998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18"/>
      <c r="AN22" s="18"/>
      <c r="AO22" s="18"/>
      <c r="AP22" s="18"/>
      <c r="AQ22" s="18"/>
      <c r="AR22" s="18"/>
      <c r="AS22" s="18"/>
      <c r="AT22" s="18"/>
    </row>
    <row r="23" spans="1:46" s="11" customFormat="1" ht="27" customHeight="1" x14ac:dyDescent="0.25">
      <c r="A23" s="66" t="s">
        <v>28</v>
      </c>
      <c r="B23" s="1">
        <f t="shared" si="1"/>
        <v>17</v>
      </c>
      <c r="C23" s="20" t="s">
        <v>2058</v>
      </c>
      <c r="D23" s="20" t="s">
        <v>2059</v>
      </c>
      <c r="E23" s="65" t="s">
        <v>11</v>
      </c>
      <c r="F23" s="19" t="s">
        <v>2060</v>
      </c>
      <c r="G23" s="9">
        <v>154</v>
      </c>
      <c r="H23" s="9">
        <v>2974.1001515099993</v>
      </c>
      <c r="I23" s="9">
        <v>87</v>
      </c>
      <c r="J23" s="9">
        <v>1870.0729962400001</v>
      </c>
      <c r="K23" s="9">
        <v>20</v>
      </c>
      <c r="L23" s="9">
        <v>358.69790385000005</v>
      </c>
      <c r="M23" s="9">
        <v>0</v>
      </c>
      <c r="N23" s="9">
        <v>0</v>
      </c>
      <c r="O23" s="9">
        <v>9</v>
      </c>
      <c r="P23" s="9">
        <v>136.44894425999999</v>
      </c>
      <c r="Q23" s="9">
        <v>3</v>
      </c>
      <c r="R23" s="9">
        <v>146.06465659000003</v>
      </c>
      <c r="S23" s="9">
        <v>4</v>
      </c>
      <c r="T23" s="9">
        <v>86.78143845999999</v>
      </c>
      <c r="U23" s="9">
        <v>11</v>
      </c>
      <c r="V23" s="9">
        <v>179.84444342</v>
      </c>
      <c r="W23" s="9">
        <v>0</v>
      </c>
      <c r="X23" s="9">
        <v>0</v>
      </c>
      <c r="Y23" s="9">
        <v>11</v>
      </c>
      <c r="Z23" s="9">
        <v>119.16406092</v>
      </c>
      <c r="AA23" s="9">
        <v>8</v>
      </c>
      <c r="AB23" s="9">
        <v>50.790402050000004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26.235305719999999</v>
      </c>
      <c r="AI23" s="9">
        <v>0</v>
      </c>
      <c r="AJ23" s="9">
        <v>0</v>
      </c>
      <c r="AK23" s="9">
        <v>0</v>
      </c>
      <c r="AL23" s="9">
        <v>0</v>
      </c>
      <c r="AM23" s="18"/>
      <c r="AN23" s="18"/>
      <c r="AO23" s="18"/>
      <c r="AP23" s="18"/>
      <c r="AQ23" s="18"/>
      <c r="AR23" s="18"/>
      <c r="AS23" s="18"/>
      <c r="AT23" s="18"/>
    </row>
    <row r="24" spans="1:46" s="11" customFormat="1" ht="27" customHeight="1" x14ac:dyDescent="0.25">
      <c r="A24" s="66" t="s">
        <v>28</v>
      </c>
      <c r="B24" s="1">
        <f t="shared" si="1"/>
        <v>18</v>
      </c>
      <c r="C24" s="20" t="s">
        <v>2058</v>
      </c>
      <c r="D24" s="20" t="s">
        <v>2061</v>
      </c>
      <c r="E24" s="65" t="s">
        <v>21</v>
      </c>
      <c r="F24" s="19" t="s">
        <v>2062</v>
      </c>
      <c r="G24" s="9">
        <v>11</v>
      </c>
      <c r="H24" s="9">
        <v>226.43729293999999</v>
      </c>
      <c r="I24" s="9">
        <v>0</v>
      </c>
      <c r="J24" s="9">
        <v>0</v>
      </c>
      <c r="K24" s="9">
        <v>2</v>
      </c>
      <c r="L24" s="9">
        <v>33.478063140000003</v>
      </c>
      <c r="M24" s="9">
        <v>0</v>
      </c>
      <c r="N24" s="9">
        <v>0</v>
      </c>
      <c r="O24" s="9">
        <v>2</v>
      </c>
      <c r="P24" s="9">
        <v>24.073422349999998</v>
      </c>
      <c r="Q24" s="9">
        <v>0</v>
      </c>
      <c r="R24" s="9">
        <v>0</v>
      </c>
      <c r="S24" s="9">
        <v>3</v>
      </c>
      <c r="T24" s="9">
        <v>134.00552954</v>
      </c>
      <c r="U24" s="9">
        <v>3</v>
      </c>
      <c r="V24" s="9">
        <v>20.051388939999999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1</v>
      </c>
      <c r="AD24" s="9">
        <v>14.828888970000001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18"/>
      <c r="AN24" s="18"/>
      <c r="AO24" s="18"/>
      <c r="AP24" s="18"/>
      <c r="AQ24" s="18"/>
      <c r="AR24" s="18"/>
      <c r="AS24" s="18"/>
      <c r="AT24" s="18"/>
    </row>
    <row r="25" spans="1:46" s="11" customFormat="1" ht="27" customHeight="1" x14ac:dyDescent="0.25">
      <c r="A25" s="66" t="s">
        <v>28</v>
      </c>
      <c r="B25" s="1">
        <f t="shared" si="1"/>
        <v>19</v>
      </c>
      <c r="C25" s="20" t="s">
        <v>2058</v>
      </c>
      <c r="D25" s="20" t="s">
        <v>2063</v>
      </c>
      <c r="E25" s="65" t="s">
        <v>14</v>
      </c>
      <c r="F25" s="19" t="s">
        <v>2064</v>
      </c>
      <c r="G25" s="9">
        <v>11</v>
      </c>
      <c r="H25" s="9">
        <v>146.98202522999998</v>
      </c>
      <c r="I25" s="9">
        <v>2</v>
      </c>
      <c r="J25" s="9">
        <v>8.7612080500000005</v>
      </c>
      <c r="K25" s="9">
        <v>4</v>
      </c>
      <c r="L25" s="9">
        <v>39.975246420000005</v>
      </c>
      <c r="M25" s="9">
        <v>0</v>
      </c>
      <c r="N25" s="9">
        <v>0</v>
      </c>
      <c r="O25" s="9">
        <v>2</v>
      </c>
      <c r="P25" s="9">
        <v>31.447774149999997</v>
      </c>
      <c r="Q25" s="9">
        <v>0</v>
      </c>
      <c r="R25" s="9">
        <v>0</v>
      </c>
      <c r="S25" s="9">
        <v>0</v>
      </c>
      <c r="T25" s="9">
        <v>0</v>
      </c>
      <c r="U25" s="9">
        <v>1</v>
      </c>
      <c r="V25" s="9">
        <v>18.324376000000001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2</v>
      </c>
      <c r="AJ25" s="9">
        <v>48.473420609999998</v>
      </c>
      <c r="AK25" s="9">
        <v>0</v>
      </c>
      <c r="AL25" s="9">
        <v>0</v>
      </c>
      <c r="AM25" s="18"/>
      <c r="AN25" s="18"/>
      <c r="AO25" s="18"/>
      <c r="AP25" s="18"/>
      <c r="AQ25" s="18"/>
      <c r="AR25" s="18"/>
      <c r="AS25" s="18"/>
      <c r="AT25" s="18"/>
    </row>
    <row r="26" spans="1:46" s="11" customFormat="1" ht="27" customHeight="1" x14ac:dyDescent="0.25">
      <c r="A26" s="66" t="s">
        <v>28</v>
      </c>
      <c r="B26" s="1">
        <f t="shared" si="1"/>
        <v>20</v>
      </c>
      <c r="C26" s="20" t="s">
        <v>2058</v>
      </c>
      <c r="D26" s="20" t="s">
        <v>2065</v>
      </c>
      <c r="E26" s="65" t="s">
        <v>22</v>
      </c>
      <c r="F26" s="19" t="s">
        <v>2066</v>
      </c>
      <c r="G26" s="9">
        <v>60</v>
      </c>
      <c r="H26" s="9">
        <v>333.17882714000012</v>
      </c>
      <c r="I26" s="9">
        <v>0</v>
      </c>
      <c r="J26" s="9">
        <v>0</v>
      </c>
      <c r="K26" s="9">
        <v>30</v>
      </c>
      <c r="L26" s="9">
        <v>106.42810573999998</v>
      </c>
      <c r="M26" s="9">
        <v>5</v>
      </c>
      <c r="N26" s="9">
        <v>48.915058949999995</v>
      </c>
      <c r="O26" s="9">
        <v>12</v>
      </c>
      <c r="P26" s="9">
        <v>94.420865710000029</v>
      </c>
      <c r="Q26" s="9">
        <v>0</v>
      </c>
      <c r="R26" s="9">
        <v>0</v>
      </c>
      <c r="S26" s="9">
        <v>0</v>
      </c>
      <c r="T26" s="9">
        <v>0</v>
      </c>
      <c r="U26" s="9">
        <v>9</v>
      </c>
      <c r="V26" s="9">
        <v>63.202823989999999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2</v>
      </c>
      <c r="AD26" s="9">
        <v>7.7327633800000006</v>
      </c>
      <c r="AE26" s="9">
        <v>1</v>
      </c>
      <c r="AF26" s="9">
        <v>11.87495</v>
      </c>
      <c r="AG26" s="9">
        <v>0</v>
      </c>
      <c r="AH26" s="9">
        <v>0</v>
      </c>
      <c r="AI26" s="9">
        <v>1</v>
      </c>
      <c r="AJ26" s="9">
        <v>0.60425936999999996</v>
      </c>
      <c r="AK26" s="9">
        <v>0</v>
      </c>
      <c r="AL26" s="9">
        <v>0</v>
      </c>
      <c r="AM26" s="18"/>
      <c r="AN26" s="18"/>
      <c r="AO26" s="18"/>
      <c r="AP26" s="18"/>
      <c r="AQ26" s="18"/>
      <c r="AR26" s="18"/>
      <c r="AS26" s="18"/>
      <c r="AT26" s="18"/>
    </row>
    <row r="27" spans="1:46" s="11" customFormat="1" ht="27" customHeight="1" x14ac:dyDescent="0.25">
      <c r="A27" s="66" t="s">
        <v>28</v>
      </c>
      <c r="B27" s="1">
        <f t="shared" si="1"/>
        <v>21</v>
      </c>
      <c r="C27" s="20" t="s">
        <v>2058</v>
      </c>
      <c r="D27" s="20" t="s">
        <v>2067</v>
      </c>
      <c r="E27" s="65" t="s">
        <v>15</v>
      </c>
      <c r="F27" s="19" t="s">
        <v>2068</v>
      </c>
      <c r="G27" s="9">
        <v>25</v>
      </c>
      <c r="H27" s="9">
        <v>470.41387586000002</v>
      </c>
      <c r="I27" s="9">
        <v>17</v>
      </c>
      <c r="J27" s="9">
        <v>339.47771578000004</v>
      </c>
      <c r="K27" s="9">
        <v>1</v>
      </c>
      <c r="L27" s="9">
        <v>9.2177915099999996</v>
      </c>
      <c r="M27" s="9">
        <v>0</v>
      </c>
      <c r="N27" s="9">
        <v>0</v>
      </c>
      <c r="O27" s="9">
        <v>2</v>
      </c>
      <c r="P27" s="9">
        <v>62.720801770000001</v>
      </c>
      <c r="Q27" s="9">
        <v>0</v>
      </c>
      <c r="R27" s="9">
        <v>0</v>
      </c>
      <c r="S27" s="9">
        <v>0</v>
      </c>
      <c r="T27" s="9">
        <v>0</v>
      </c>
      <c r="U27" s="9">
        <v>2</v>
      </c>
      <c r="V27" s="9">
        <v>30.883069560000003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2</v>
      </c>
      <c r="AD27" s="9">
        <v>25.228519679999998</v>
      </c>
      <c r="AE27" s="9">
        <v>1</v>
      </c>
      <c r="AF27" s="9">
        <v>2.8859775600000002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18"/>
      <c r="AN27" s="18"/>
      <c r="AO27" s="18"/>
      <c r="AP27" s="18"/>
      <c r="AQ27" s="18"/>
      <c r="AR27" s="18"/>
      <c r="AS27" s="18"/>
      <c r="AT27" s="18"/>
    </row>
    <row r="28" spans="1:46" s="11" customFormat="1" ht="27" customHeight="1" x14ac:dyDescent="0.25">
      <c r="A28" s="66" t="s">
        <v>28</v>
      </c>
      <c r="B28" s="1">
        <f t="shared" si="1"/>
        <v>22</v>
      </c>
      <c r="C28" s="20" t="s">
        <v>2058</v>
      </c>
      <c r="D28" s="20" t="s">
        <v>2069</v>
      </c>
      <c r="E28" s="65" t="s">
        <v>23</v>
      </c>
      <c r="F28" s="19" t="s">
        <v>2070</v>
      </c>
      <c r="G28" s="9">
        <v>7</v>
      </c>
      <c r="H28" s="9">
        <v>75.972839919999998</v>
      </c>
      <c r="I28" s="9">
        <v>0</v>
      </c>
      <c r="J28" s="9">
        <v>0</v>
      </c>
      <c r="K28" s="9">
        <v>4</v>
      </c>
      <c r="L28" s="9">
        <v>6.7488765200000005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2</v>
      </c>
      <c r="V28" s="9">
        <v>39.723963399999995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1</v>
      </c>
      <c r="AL28" s="9">
        <v>29.5</v>
      </c>
      <c r="AM28" s="18"/>
      <c r="AN28" s="18"/>
      <c r="AO28" s="18"/>
      <c r="AP28" s="18"/>
      <c r="AQ28" s="18"/>
      <c r="AR28" s="18"/>
      <c r="AS28" s="18"/>
      <c r="AT28" s="18"/>
    </row>
    <row r="29" spans="1:46" s="11" customFormat="1" ht="27" customHeight="1" x14ac:dyDescent="0.25">
      <c r="A29" s="66" t="s">
        <v>28</v>
      </c>
      <c r="B29" s="1">
        <f t="shared" si="1"/>
        <v>23</v>
      </c>
      <c r="C29" s="20" t="s">
        <v>2058</v>
      </c>
      <c r="D29" s="20" t="s">
        <v>2071</v>
      </c>
      <c r="E29" s="65" t="s">
        <v>16</v>
      </c>
      <c r="F29" s="19" t="s">
        <v>2035</v>
      </c>
      <c r="G29" s="9">
        <v>54</v>
      </c>
      <c r="H29" s="9">
        <v>1593.05033071</v>
      </c>
      <c r="I29" s="9">
        <v>18</v>
      </c>
      <c r="J29" s="9">
        <v>894.16621607000002</v>
      </c>
      <c r="K29" s="9">
        <v>15</v>
      </c>
      <c r="L29" s="9">
        <v>250.25672888</v>
      </c>
      <c r="M29" s="9">
        <v>0</v>
      </c>
      <c r="N29" s="9">
        <v>0</v>
      </c>
      <c r="O29" s="9">
        <v>10</v>
      </c>
      <c r="P29" s="9">
        <v>236.19697723000002</v>
      </c>
      <c r="Q29" s="9">
        <v>0</v>
      </c>
      <c r="R29" s="9">
        <v>0</v>
      </c>
      <c r="S29" s="9">
        <v>2</v>
      </c>
      <c r="T29" s="9">
        <v>58.839962</v>
      </c>
      <c r="U29" s="9">
        <v>5</v>
      </c>
      <c r="V29" s="9">
        <v>101.18757518000001</v>
      </c>
      <c r="W29" s="9">
        <v>0</v>
      </c>
      <c r="X29" s="9">
        <v>0</v>
      </c>
      <c r="Y29" s="9">
        <v>1</v>
      </c>
      <c r="Z29" s="9">
        <v>36.925275999999997</v>
      </c>
      <c r="AA29" s="9">
        <v>0</v>
      </c>
      <c r="AB29" s="9">
        <v>0</v>
      </c>
      <c r="AC29" s="9">
        <v>0</v>
      </c>
      <c r="AD29" s="9">
        <v>0</v>
      </c>
      <c r="AE29" s="9">
        <v>1</v>
      </c>
      <c r="AF29" s="9">
        <v>5.0576702500000001</v>
      </c>
      <c r="AG29" s="9">
        <v>0</v>
      </c>
      <c r="AH29" s="9">
        <v>0</v>
      </c>
      <c r="AI29" s="9">
        <v>2</v>
      </c>
      <c r="AJ29" s="9">
        <v>10.419925100000002</v>
      </c>
      <c r="AK29" s="9">
        <v>0</v>
      </c>
      <c r="AL29" s="9">
        <v>0</v>
      </c>
      <c r="AM29" s="18"/>
      <c r="AN29" s="18"/>
      <c r="AO29" s="18"/>
      <c r="AP29" s="18"/>
      <c r="AQ29" s="18"/>
      <c r="AR29" s="18"/>
      <c r="AS29" s="18"/>
      <c r="AT29" s="18"/>
    </row>
    <row r="30" spans="1:46" s="11" customFormat="1" ht="27" customHeight="1" x14ac:dyDescent="0.25">
      <c r="A30" s="66" t="s">
        <v>28</v>
      </c>
      <c r="B30" s="1">
        <f t="shared" si="1"/>
        <v>24</v>
      </c>
      <c r="C30" s="20" t="s">
        <v>2058</v>
      </c>
      <c r="D30" s="20" t="s">
        <v>2072</v>
      </c>
      <c r="E30" s="65" t="s">
        <v>12</v>
      </c>
      <c r="F30" s="19" t="s">
        <v>2073</v>
      </c>
      <c r="G30" s="9">
        <v>27</v>
      </c>
      <c r="H30" s="9">
        <v>364.36253612000007</v>
      </c>
      <c r="I30" s="9">
        <v>0</v>
      </c>
      <c r="J30" s="9">
        <v>0</v>
      </c>
      <c r="K30" s="9">
        <v>7</v>
      </c>
      <c r="L30" s="9">
        <v>68.594584689999991</v>
      </c>
      <c r="M30" s="9">
        <v>0</v>
      </c>
      <c r="N30" s="9">
        <v>0</v>
      </c>
      <c r="O30" s="9">
        <v>10</v>
      </c>
      <c r="P30" s="9">
        <v>204.38414671999999</v>
      </c>
      <c r="Q30" s="9">
        <v>0</v>
      </c>
      <c r="R30" s="9">
        <v>0</v>
      </c>
      <c r="S30" s="9">
        <v>1</v>
      </c>
      <c r="T30" s="9">
        <v>5.3811346899999997</v>
      </c>
      <c r="U30" s="9">
        <v>7</v>
      </c>
      <c r="V30" s="9">
        <v>71.502670019999996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1</v>
      </c>
      <c r="AD30" s="9">
        <v>9.5</v>
      </c>
      <c r="AE30" s="9">
        <v>0</v>
      </c>
      <c r="AF30" s="9">
        <v>0</v>
      </c>
      <c r="AG30" s="9">
        <v>1</v>
      </c>
      <c r="AH30" s="9">
        <v>5</v>
      </c>
      <c r="AI30" s="9">
        <v>0</v>
      </c>
      <c r="AJ30" s="9">
        <v>0</v>
      </c>
      <c r="AK30" s="9">
        <v>0</v>
      </c>
      <c r="AL30" s="9">
        <v>0</v>
      </c>
      <c r="AM30" s="18"/>
      <c r="AN30" s="18"/>
      <c r="AO30" s="18"/>
      <c r="AP30" s="18"/>
      <c r="AQ30" s="18"/>
      <c r="AR30" s="18"/>
      <c r="AS30" s="18"/>
      <c r="AT30" s="18"/>
    </row>
    <row r="31" spans="1:46" s="11" customFormat="1" ht="27" customHeight="1" x14ac:dyDescent="0.25">
      <c r="A31" s="66" t="s">
        <v>28</v>
      </c>
      <c r="B31" s="1">
        <f t="shared" si="1"/>
        <v>25</v>
      </c>
      <c r="C31" s="20" t="s">
        <v>2058</v>
      </c>
      <c r="D31" s="20" t="s">
        <v>2074</v>
      </c>
      <c r="E31" s="65" t="s">
        <v>1</v>
      </c>
      <c r="F31" s="19" t="s">
        <v>2075</v>
      </c>
      <c r="G31" s="9">
        <v>27</v>
      </c>
      <c r="H31" s="9">
        <v>299.82936187000007</v>
      </c>
      <c r="I31" s="9">
        <v>0</v>
      </c>
      <c r="J31" s="9">
        <v>0</v>
      </c>
      <c r="K31" s="9">
        <v>6</v>
      </c>
      <c r="L31" s="9">
        <v>45.767344819999998</v>
      </c>
      <c r="M31" s="9">
        <v>0</v>
      </c>
      <c r="N31" s="9">
        <v>0</v>
      </c>
      <c r="O31" s="9">
        <v>5</v>
      </c>
      <c r="P31" s="9">
        <v>44.158985940000001</v>
      </c>
      <c r="Q31" s="9">
        <v>0</v>
      </c>
      <c r="R31" s="9">
        <v>0</v>
      </c>
      <c r="S31" s="9">
        <v>4</v>
      </c>
      <c r="T31" s="9">
        <v>56.480311200000003</v>
      </c>
      <c r="U31" s="9">
        <v>3</v>
      </c>
      <c r="V31" s="9">
        <v>48.440134519999994</v>
      </c>
      <c r="W31" s="9">
        <v>7</v>
      </c>
      <c r="X31" s="9">
        <v>56.005477429999999</v>
      </c>
      <c r="Y31" s="9">
        <v>0</v>
      </c>
      <c r="Z31" s="9">
        <v>0</v>
      </c>
      <c r="AA31" s="9">
        <v>0</v>
      </c>
      <c r="AB31" s="9">
        <v>0</v>
      </c>
      <c r="AC31" s="9">
        <v>1</v>
      </c>
      <c r="AD31" s="9">
        <v>19.11417823</v>
      </c>
      <c r="AE31" s="9">
        <v>0</v>
      </c>
      <c r="AF31" s="9">
        <v>0</v>
      </c>
      <c r="AG31" s="9">
        <v>1</v>
      </c>
      <c r="AH31" s="9">
        <v>29.862929729999998</v>
      </c>
      <c r="AI31" s="9">
        <v>0</v>
      </c>
      <c r="AJ31" s="9">
        <v>0</v>
      </c>
      <c r="AK31" s="9">
        <v>0</v>
      </c>
      <c r="AL31" s="9">
        <v>0</v>
      </c>
      <c r="AM31" s="18"/>
      <c r="AN31" s="18"/>
      <c r="AO31" s="18"/>
      <c r="AP31" s="18"/>
      <c r="AQ31" s="18"/>
      <c r="AR31" s="18"/>
      <c r="AS31" s="18"/>
      <c r="AT31" s="18"/>
    </row>
    <row r="32" spans="1:46" s="11" customFormat="1" ht="27" customHeight="1" x14ac:dyDescent="0.25">
      <c r="A32" s="66" t="s">
        <v>28</v>
      </c>
      <c r="B32" s="1">
        <f t="shared" si="1"/>
        <v>26</v>
      </c>
      <c r="C32" s="20" t="s">
        <v>2058</v>
      </c>
      <c r="D32" s="20" t="s">
        <v>2076</v>
      </c>
      <c r="E32" s="65" t="s">
        <v>17</v>
      </c>
      <c r="F32" s="19" t="s">
        <v>2077</v>
      </c>
      <c r="G32" s="9">
        <v>12</v>
      </c>
      <c r="H32" s="9">
        <v>57.910959009999999</v>
      </c>
      <c r="I32" s="9">
        <v>0</v>
      </c>
      <c r="J32" s="9">
        <v>0</v>
      </c>
      <c r="K32" s="9">
        <v>5</v>
      </c>
      <c r="L32" s="9">
        <v>13.954701740000003</v>
      </c>
      <c r="M32" s="9">
        <v>0</v>
      </c>
      <c r="N32" s="9">
        <v>0</v>
      </c>
      <c r="O32" s="9">
        <v>6</v>
      </c>
      <c r="P32" s="9">
        <v>43.575662029999997</v>
      </c>
      <c r="Q32" s="9">
        <v>0</v>
      </c>
      <c r="R32" s="9">
        <v>0</v>
      </c>
      <c r="S32" s="9">
        <v>1</v>
      </c>
      <c r="T32" s="9">
        <v>0.38059524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18"/>
      <c r="AN32" s="18"/>
      <c r="AO32" s="18"/>
      <c r="AP32" s="18"/>
      <c r="AQ32" s="18"/>
      <c r="AR32" s="18"/>
      <c r="AS32" s="18"/>
      <c r="AT32" s="18"/>
    </row>
    <row r="33" spans="1:46" s="11" customFormat="1" ht="27" customHeight="1" x14ac:dyDescent="0.25">
      <c r="A33" s="66" t="s">
        <v>28</v>
      </c>
      <c r="B33" s="1">
        <f t="shared" si="1"/>
        <v>27</v>
      </c>
      <c r="C33" s="20" t="s">
        <v>2058</v>
      </c>
      <c r="D33" s="20" t="s">
        <v>2078</v>
      </c>
      <c r="E33" s="65" t="s">
        <v>18</v>
      </c>
      <c r="F33" s="19" t="s">
        <v>2079</v>
      </c>
      <c r="G33" s="9">
        <v>58</v>
      </c>
      <c r="H33" s="9">
        <v>582.56171874000017</v>
      </c>
      <c r="I33" s="9">
        <v>0</v>
      </c>
      <c r="J33" s="9">
        <v>0</v>
      </c>
      <c r="K33" s="9">
        <v>16</v>
      </c>
      <c r="L33" s="9">
        <v>141.51138963999998</v>
      </c>
      <c r="M33" s="9">
        <v>0</v>
      </c>
      <c r="N33" s="9">
        <v>0</v>
      </c>
      <c r="O33" s="9">
        <v>19</v>
      </c>
      <c r="P33" s="9">
        <v>117.46926045999997</v>
      </c>
      <c r="Q33" s="9">
        <v>0</v>
      </c>
      <c r="R33" s="9">
        <v>0</v>
      </c>
      <c r="S33" s="9">
        <v>1</v>
      </c>
      <c r="T33" s="9">
        <v>4.0192592099999995</v>
      </c>
      <c r="U33" s="9">
        <v>17</v>
      </c>
      <c r="V33" s="9">
        <v>214.93994094999999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1</v>
      </c>
      <c r="AD33" s="9">
        <v>0.67036695999999996</v>
      </c>
      <c r="AE33" s="9">
        <v>1</v>
      </c>
      <c r="AF33" s="9">
        <v>14.79917053</v>
      </c>
      <c r="AG33" s="9">
        <v>2</v>
      </c>
      <c r="AH33" s="9">
        <v>32.771826339999997</v>
      </c>
      <c r="AI33" s="9">
        <v>1</v>
      </c>
      <c r="AJ33" s="9">
        <v>56.380504649999999</v>
      </c>
      <c r="AK33" s="9">
        <v>0</v>
      </c>
      <c r="AL33" s="9">
        <v>0</v>
      </c>
      <c r="AM33" s="18"/>
      <c r="AN33" s="18"/>
      <c r="AO33" s="18"/>
      <c r="AP33" s="18"/>
      <c r="AQ33" s="18"/>
      <c r="AR33" s="18"/>
      <c r="AS33" s="18"/>
      <c r="AT33" s="18"/>
    </row>
    <row r="34" spans="1:46" s="11" customFormat="1" ht="27" customHeight="1" x14ac:dyDescent="0.25">
      <c r="A34" s="66" t="s">
        <v>29</v>
      </c>
      <c r="B34" s="1">
        <f t="shared" si="1"/>
        <v>28</v>
      </c>
      <c r="C34" s="20" t="s">
        <v>2080</v>
      </c>
      <c r="D34" s="20" t="s">
        <v>2092</v>
      </c>
      <c r="E34" s="65">
        <v>10443</v>
      </c>
      <c r="F34" s="19" t="s">
        <v>2047</v>
      </c>
      <c r="G34" s="9">
        <v>3</v>
      </c>
      <c r="H34" s="9">
        <v>41.506660259999997</v>
      </c>
      <c r="I34" s="9">
        <v>0</v>
      </c>
      <c r="J34" s="9">
        <v>0</v>
      </c>
      <c r="K34" s="9">
        <v>1</v>
      </c>
      <c r="L34" s="9">
        <v>27.863206250000001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1</v>
      </c>
      <c r="V34" s="9">
        <v>5.05168237</v>
      </c>
      <c r="W34" s="9">
        <v>1</v>
      </c>
      <c r="X34" s="9">
        <v>8.591771640000001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18"/>
      <c r="AN34" s="18"/>
      <c r="AO34" s="18"/>
      <c r="AP34" s="18"/>
      <c r="AQ34" s="18"/>
      <c r="AR34" s="18"/>
      <c r="AS34" s="18"/>
      <c r="AT34" s="18"/>
    </row>
    <row r="35" spans="1:46" s="11" customFormat="1" ht="27" customHeight="1" x14ac:dyDescent="0.25">
      <c r="A35" s="66" t="s">
        <v>29</v>
      </c>
      <c r="B35" s="1">
        <f t="shared" si="1"/>
        <v>29</v>
      </c>
      <c r="C35" s="20" t="s">
        <v>2080</v>
      </c>
      <c r="D35" s="20" t="s">
        <v>2093</v>
      </c>
      <c r="E35" s="65">
        <v>10447</v>
      </c>
      <c r="F35" s="19" t="s">
        <v>2075</v>
      </c>
      <c r="G35" s="9">
        <v>1</v>
      </c>
      <c r="H35" s="9">
        <v>9.8084932299999998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1</v>
      </c>
      <c r="V35" s="9">
        <v>9.8084932299999998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18"/>
      <c r="AN35" s="18"/>
      <c r="AO35" s="18"/>
      <c r="AP35" s="18"/>
      <c r="AQ35" s="18"/>
      <c r="AR35" s="18"/>
      <c r="AS35" s="18"/>
      <c r="AT35" s="18"/>
    </row>
    <row r="36" spans="1:46" s="11" customFormat="1" ht="27" customHeight="1" x14ac:dyDescent="0.25">
      <c r="A36" s="66" t="s">
        <v>29</v>
      </c>
      <c r="B36" s="1">
        <f t="shared" si="1"/>
        <v>30</v>
      </c>
      <c r="C36" s="20" t="s">
        <v>2080</v>
      </c>
      <c r="D36" s="20" t="s">
        <v>2088</v>
      </c>
      <c r="E36" s="65">
        <v>11247</v>
      </c>
      <c r="F36" s="19" t="s">
        <v>2049</v>
      </c>
      <c r="G36" s="9">
        <v>11</v>
      </c>
      <c r="H36" s="9">
        <v>169.97432961999999</v>
      </c>
      <c r="I36" s="9">
        <v>8</v>
      </c>
      <c r="J36" s="9">
        <v>152.3817483</v>
      </c>
      <c r="K36" s="9">
        <v>1</v>
      </c>
      <c r="L36" s="9">
        <v>12.965799000000001</v>
      </c>
      <c r="M36" s="9">
        <v>0</v>
      </c>
      <c r="N36" s="9">
        <v>0</v>
      </c>
      <c r="O36" s="9">
        <v>1</v>
      </c>
      <c r="P36" s="9">
        <v>1.6379063200000001</v>
      </c>
      <c r="Q36" s="9">
        <v>0</v>
      </c>
      <c r="R36" s="9">
        <v>0</v>
      </c>
      <c r="S36" s="9">
        <v>0</v>
      </c>
      <c r="T36" s="9">
        <v>0</v>
      </c>
      <c r="U36" s="9">
        <v>1</v>
      </c>
      <c r="V36" s="9">
        <v>2.9888759999999999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18"/>
      <c r="AN36" s="18"/>
      <c r="AO36" s="18"/>
      <c r="AP36" s="18"/>
      <c r="AQ36" s="18"/>
      <c r="AR36" s="18"/>
      <c r="AS36" s="18"/>
      <c r="AT36" s="18"/>
    </row>
    <row r="37" spans="1:46" s="11" customFormat="1" ht="27" customHeight="1" x14ac:dyDescent="0.25">
      <c r="A37" s="66" t="s">
        <v>29</v>
      </c>
      <c r="B37" s="1">
        <f t="shared" si="1"/>
        <v>31</v>
      </c>
      <c r="C37" s="20" t="s">
        <v>2080</v>
      </c>
      <c r="D37" s="20" t="s">
        <v>2082</v>
      </c>
      <c r="E37" s="65">
        <v>11412</v>
      </c>
      <c r="F37" s="19" t="s">
        <v>2062</v>
      </c>
      <c r="G37" s="9">
        <v>7</v>
      </c>
      <c r="H37" s="9">
        <v>89.460475000000002</v>
      </c>
      <c r="I37" s="9">
        <v>0</v>
      </c>
      <c r="J37" s="9">
        <v>0</v>
      </c>
      <c r="K37" s="9">
        <v>4</v>
      </c>
      <c r="L37" s="9">
        <v>48.321793330000006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1</v>
      </c>
      <c r="T37" s="9">
        <v>10</v>
      </c>
      <c r="U37" s="9">
        <v>2</v>
      </c>
      <c r="V37" s="9">
        <v>31.138681669999997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18"/>
      <c r="AN37" s="18"/>
      <c r="AO37" s="18"/>
      <c r="AP37" s="18"/>
      <c r="AQ37" s="18"/>
      <c r="AR37" s="18"/>
      <c r="AS37" s="18"/>
      <c r="AT37" s="18"/>
    </row>
    <row r="38" spans="1:46" s="11" customFormat="1" ht="27" customHeight="1" x14ac:dyDescent="0.25">
      <c r="A38" s="66" t="s">
        <v>29</v>
      </c>
      <c r="B38" s="1">
        <f t="shared" si="1"/>
        <v>32</v>
      </c>
      <c r="C38" s="20" t="s">
        <v>2080</v>
      </c>
      <c r="D38" s="20" t="s">
        <v>2083</v>
      </c>
      <c r="E38" s="65">
        <v>11413</v>
      </c>
      <c r="F38" s="19" t="s">
        <v>2043</v>
      </c>
      <c r="G38" s="9">
        <v>5</v>
      </c>
      <c r="H38" s="9">
        <v>81.967775849999995</v>
      </c>
      <c r="I38" s="9">
        <v>0</v>
      </c>
      <c r="J38" s="9">
        <v>0</v>
      </c>
      <c r="K38" s="9">
        <v>3</v>
      </c>
      <c r="L38" s="9">
        <v>29.322598839999998</v>
      </c>
      <c r="M38" s="9">
        <v>0</v>
      </c>
      <c r="N38" s="9">
        <v>0</v>
      </c>
      <c r="O38" s="9">
        <v>1</v>
      </c>
      <c r="P38" s="9">
        <v>23.35516376</v>
      </c>
      <c r="Q38" s="9">
        <v>0</v>
      </c>
      <c r="R38" s="9">
        <v>0</v>
      </c>
      <c r="S38" s="9">
        <v>0</v>
      </c>
      <c r="T38" s="9">
        <v>0</v>
      </c>
      <c r="U38" s="9">
        <v>1</v>
      </c>
      <c r="V38" s="9">
        <v>29.290013250000001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18"/>
      <c r="AN38" s="18"/>
      <c r="AO38" s="18"/>
      <c r="AP38" s="18"/>
      <c r="AQ38" s="18"/>
      <c r="AR38" s="18"/>
      <c r="AS38" s="18"/>
      <c r="AT38" s="18"/>
    </row>
    <row r="39" spans="1:46" s="11" customFormat="1" ht="27" customHeight="1" x14ac:dyDescent="0.25">
      <c r="A39" s="66" t="s">
        <v>29</v>
      </c>
      <c r="B39" s="1">
        <f t="shared" si="1"/>
        <v>33</v>
      </c>
      <c r="C39" s="20" t="s">
        <v>2080</v>
      </c>
      <c r="D39" s="20" t="s">
        <v>2094</v>
      </c>
      <c r="E39" s="65">
        <v>11599</v>
      </c>
      <c r="F39" s="19" t="s">
        <v>2077</v>
      </c>
      <c r="G39" s="9">
        <v>1</v>
      </c>
      <c r="H39" s="9">
        <v>260.52888279000001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</v>
      </c>
      <c r="T39" s="9">
        <v>260.52888279000001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18"/>
      <c r="AN39" s="18"/>
      <c r="AO39" s="18"/>
      <c r="AP39" s="18"/>
      <c r="AQ39" s="18"/>
      <c r="AR39" s="18"/>
      <c r="AS39" s="18"/>
      <c r="AT39" s="18"/>
    </row>
    <row r="40" spans="1:46" s="11" customFormat="1" ht="27" customHeight="1" x14ac:dyDescent="0.25">
      <c r="A40" s="66" t="s">
        <v>29</v>
      </c>
      <c r="B40" s="1">
        <f t="shared" si="1"/>
        <v>34</v>
      </c>
      <c r="C40" s="20" t="s">
        <v>2080</v>
      </c>
      <c r="D40" s="20" t="s">
        <v>2085</v>
      </c>
      <c r="E40" s="65">
        <v>11785</v>
      </c>
      <c r="F40" s="19" t="s">
        <v>2077</v>
      </c>
      <c r="G40" s="9">
        <v>2</v>
      </c>
      <c r="H40" s="9">
        <v>39.309051799999999</v>
      </c>
      <c r="I40" s="9">
        <v>0</v>
      </c>
      <c r="J40" s="9">
        <v>0</v>
      </c>
      <c r="K40" s="9">
        <v>1</v>
      </c>
      <c r="L40" s="9">
        <v>28.85737048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1</v>
      </c>
      <c r="V40" s="9">
        <v>10.45168132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18"/>
      <c r="AN40" s="18"/>
      <c r="AO40" s="18"/>
      <c r="AP40" s="18"/>
      <c r="AQ40" s="18"/>
      <c r="AR40" s="18"/>
      <c r="AS40" s="18"/>
      <c r="AT40" s="18"/>
    </row>
    <row r="41" spans="1:46" s="11" customFormat="1" ht="27" customHeight="1" x14ac:dyDescent="0.25">
      <c r="A41" s="66" t="s">
        <v>29</v>
      </c>
      <c r="B41" s="1">
        <f t="shared" si="1"/>
        <v>35</v>
      </c>
      <c r="C41" s="20" t="s">
        <v>2080</v>
      </c>
      <c r="D41" s="20" t="s">
        <v>2081</v>
      </c>
      <c r="E41" s="65">
        <v>11786</v>
      </c>
      <c r="F41" s="19" t="s">
        <v>2035</v>
      </c>
      <c r="G41" s="9">
        <v>8</v>
      </c>
      <c r="H41" s="9">
        <v>124.15892819</v>
      </c>
      <c r="I41" s="9">
        <v>0</v>
      </c>
      <c r="J41" s="9">
        <v>0</v>
      </c>
      <c r="K41" s="9">
        <v>3</v>
      </c>
      <c r="L41" s="9">
        <v>35.715483690000006</v>
      </c>
      <c r="M41" s="9">
        <v>0</v>
      </c>
      <c r="N41" s="9">
        <v>0</v>
      </c>
      <c r="O41" s="9">
        <v>2</v>
      </c>
      <c r="P41" s="9">
        <v>33.83395582</v>
      </c>
      <c r="Q41" s="9">
        <v>0</v>
      </c>
      <c r="R41" s="9">
        <v>0</v>
      </c>
      <c r="S41" s="9">
        <v>1</v>
      </c>
      <c r="T41" s="9">
        <v>8.4996447100000001</v>
      </c>
      <c r="U41" s="9">
        <v>2</v>
      </c>
      <c r="V41" s="9">
        <v>46.10984397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18"/>
      <c r="AN41" s="18"/>
      <c r="AO41" s="18"/>
      <c r="AP41" s="18"/>
      <c r="AQ41" s="18"/>
      <c r="AR41" s="18"/>
      <c r="AS41" s="18"/>
      <c r="AT41" s="18"/>
    </row>
    <row r="42" spans="1:46" s="11" customFormat="1" ht="27" customHeight="1" x14ac:dyDescent="0.25">
      <c r="A42" s="66" t="s">
        <v>29</v>
      </c>
      <c r="B42" s="1">
        <f t="shared" si="1"/>
        <v>36</v>
      </c>
      <c r="C42" s="20" t="s">
        <v>2080</v>
      </c>
      <c r="D42" s="20" t="s">
        <v>2084</v>
      </c>
      <c r="E42" s="65">
        <v>11787</v>
      </c>
      <c r="F42" s="19" t="s">
        <v>2068</v>
      </c>
      <c r="G42" s="9">
        <v>16</v>
      </c>
      <c r="H42" s="9">
        <v>257.36265845999998</v>
      </c>
      <c r="I42" s="9">
        <v>3</v>
      </c>
      <c r="J42" s="9">
        <v>60.371276389999998</v>
      </c>
      <c r="K42" s="9">
        <v>7</v>
      </c>
      <c r="L42" s="9">
        <v>92.57439789</v>
      </c>
      <c r="M42" s="9">
        <v>1</v>
      </c>
      <c r="N42" s="9">
        <v>13.733617669999999</v>
      </c>
      <c r="O42" s="9">
        <v>3</v>
      </c>
      <c r="P42" s="9">
        <v>39.72132002</v>
      </c>
      <c r="Q42" s="9">
        <v>0</v>
      </c>
      <c r="R42" s="9">
        <v>0</v>
      </c>
      <c r="S42" s="9">
        <v>0</v>
      </c>
      <c r="T42" s="9">
        <v>0</v>
      </c>
      <c r="U42" s="9">
        <v>2</v>
      </c>
      <c r="V42" s="9">
        <v>50.962046489999999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18"/>
      <c r="AN42" s="18"/>
      <c r="AO42" s="18"/>
      <c r="AP42" s="18"/>
      <c r="AQ42" s="18"/>
      <c r="AR42" s="18"/>
      <c r="AS42" s="18"/>
      <c r="AT42" s="18"/>
    </row>
    <row r="43" spans="1:46" s="11" customFormat="1" ht="27" customHeight="1" x14ac:dyDescent="0.25">
      <c r="A43" s="66" t="s">
        <v>29</v>
      </c>
      <c r="B43" s="1">
        <f t="shared" si="1"/>
        <v>37</v>
      </c>
      <c r="C43" s="20" t="s">
        <v>2080</v>
      </c>
      <c r="D43" s="20" t="s">
        <v>2086</v>
      </c>
      <c r="E43" s="65">
        <v>11943</v>
      </c>
      <c r="F43" s="19" t="s">
        <v>2087</v>
      </c>
      <c r="G43" s="9">
        <v>11</v>
      </c>
      <c r="H43" s="9">
        <v>143.48328849000001</v>
      </c>
      <c r="I43" s="9">
        <v>0</v>
      </c>
      <c r="J43" s="9">
        <v>0</v>
      </c>
      <c r="K43" s="9">
        <v>4</v>
      </c>
      <c r="L43" s="9">
        <v>40.007103239999992</v>
      </c>
      <c r="M43" s="9">
        <v>0</v>
      </c>
      <c r="N43" s="9">
        <v>0</v>
      </c>
      <c r="O43" s="9">
        <v>3</v>
      </c>
      <c r="P43" s="9">
        <v>42.151435419999999</v>
      </c>
      <c r="Q43" s="9">
        <v>0</v>
      </c>
      <c r="R43" s="9">
        <v>0</v>
      </c>
      <c r="S43" s="9">
        <v>0</v>
      </c>
      <c r="T43" s="9">
        <v>0</v>
      </c>
      <c r="U43" s="9">
        <v>4</v>
      </c>
      <c r="V43" s="9">
        <v>61.324749830000016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18"/>
      <c r="AN43" s="18"/>
      <c r="AO43" s="18"/>
      <c r="AP43" s="18"/>
      <c r="AQ43" s="18"/>
      <c r="AR43" s="18"/>
      <c r="AS43" s="18"/>
      <c r="AT43" s="18"/>
    </row>
    <row r="44" spans="1:46" s="11" customFormat="1" ht="27" customHeight="1" x14ac:dyDescent="0.25">
      <c r="A44" s="66" t="s">
        <v>29</v>
      </c>
      <c r="B44" s="1">
        <f t="shared" si="1"/>
        <v>38</v>
      </c>
      <c r="C44" s="20" t="s">
        <v>2080</v>
      </c>
      <c r="D44" s="20" t="s">
        <v>2095</v>
      </c>
      <c r="E44" s="65">
        <v>11978</v>
      </c>
      <c r="F44" s="19" t="s">
        <v>2060</v>
      </c>
      <c r="G44" s="9">
        <v>6</v>
      </c>
      <c r="H44" s="9">
        <v>310.01662278999999</v>
      </c>
      <c r="I44" s="9">
        <v>2</v>
      </c>
      <c r="J44" s="9">
        <v>48.093661689999998</v>
      </c>
      <c r="K44" s="9">
        <v>2</v>
      </c>
      <c r="L44" s="9">
        <v>4.3991354600000001</v>
      </c>
      <c r="M44" s="9">
        <v>0</v>
      </c>
      <c r="N44" s="9">
        <v>0</v>
      </c>
      <c r="O44" s="9">
        <v>1</v>
      </c>
      <c r="P44" s="9">
        <v>255.03800000000001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1</v>
      </c>
      <c r="AB44" s="9">
        <v>2.4858256400000003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18"/>
      <c r="AN44" s="18"/>
      <c r="AO44" s="18"/>
      <c r="AP44" s="18"/>
      <c r="AQ44" s="18"/>
      <c r="AR44" s="18"/>
      <c r="AS44" s="18"/>
      <c r="AT44" s="18"/>
    </row>
    <row r="45" spans="1:46" s="11" customFormat="1" ht="27" customHeight="1" x14ac:dyDescent="0.25">
      <c r="A45" s="66" t="s">
        <v>30</v>
      </c>
      <c r="B45" s="1">
        <f t="shared" si="1"/>
        <v>39</v>
      </c>
      <c r="C45" s="20" t="s">
        <v>2096</v>
      </c>
      <c r="D45" s="20" t="s">
        <v>2105</v>
      </c>
      <c r="E45" s="65">
        <v>11349</v>
      </c>
      <c r="F45" s="19" t="s">
        <v>2079</v>
      </c>
      <c r="G45" s="9">
        <v>11</v>
      </c>
      <c r="H45" s="9">
        <v>76.558262810000002</v>
      </c>
      <c r="I45" s="9">
        <v>0</v>
      </c>
      <c r="J45" s="9">
        <v>0</v>
      </c>
      <c r="K45" s="9">
        <v>6</v>
      </c>
      <c r="L45" s="9">
        <v>56.186000200000002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2</v>
      </c>
      <c r="T45" s="9">
        <v>8.8885714999999994</v>
      </c>
      <c r="U45" s="9">
        <v>3</v>
      </c>
      <c r="V45" s="9">
        <v>11.483691109999999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18"/>
      <c r="AN45" s="18"/>
      <c r="AO45" s="18"/>
      <c r="AP45" s="18"/>
      <c r="AQ45" s="18"/>
      <c r="AR45" s="18"/>
      <c r="AS45" s="18"/>
      <c r="AT45" s="18"/>
    </row>
    <row r="46" spans="1:46" s="11" customFormat="1" ht="27" customHeight="1" x14ac:dyDescent="0.25">
      <c r="A46" s="66" t="s">
        <v>30</v>
      </c>
      <c r="B46" s="1">
        <f t="shared" si="1"/>
        <v>40</v>
      </c>
      <c r="C46" s="20" t="s">
        <v>2096</v>
      </c>
      <c r="D46" s="20" t="s">
        <v>2097</v>
      </c>
      <c r="E46" s="65">
        <v>11385</v>
      </c>
      <c r="F46" s="19" t="s">
        <v>2043</v>
      </c>
      <c r="G46" s="9">
        <v>10</v>
      </c>
      <c r="H46" s="9">
        <v>189.25703659000001</v>
      </c>
      <c r="I46" s="9">
        <v>0</v>
      </c>
      <c r="J46" s="9">
        <v>0</v>
      </c>
      <c r="K46" s="9">
        <v>6</v>
      </c>
      <c r="L46" s="9">
        <v>137.97929694000001</v>
      </c>
      <c r="M46" s="9">
        <v>0</v>
      </c>
      <c r="N46" s="9">
        <v>0</v>
      </c>
      <c r="O46" s="9">
        <v>1</v>
      </c>
      <c r="P46" s="9">
        <v>3.0113034500000002</v>
      </c>
      <c r="Q46" s="9">
        <v>0</v>
      </c>
      <c r="R46" s="9">
        <v>0</v>
      </c>
      <c r="S46" s="9">
        <v>1</v>
      </c>
      <c r="T46" s="9">
        <v>14.189330269999999</v>
      </c>
      <c r="U46" s="9">
        <v>2</v>
      </c>
      <c r="V46" s="9">
        <v>34.077105930000002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18"/>
      <c r="AN46" s="18"/>
      <c r="AO46" s="18"/>
      <c r="AP46" s="18"/>
      <c r="AQ46" s="18"/>
      <c r="AR46" s="18"/>
      <c r="AS46" s="18"/>
      <c r="AT46" s="18"/>
    </row>
    <row r="47" spans="1:46" s="11" customFormat="1" ht="27" customHeight="1" x14ac:dyDescent="0.25">
      <c r="A47" s="66" t="s">
        <v>30</v>
      </c>
      <c r="B47" s="1">
        <f t="shared" si="1"/>
        <v>41</v>
      </c>
      <c r="C47" s="20" t="s">
        <v>2096</v>
      </c>
      <c r="D47" s="20" t="s">
        <v>2101</v>
      </c>
      <c r="E47" s="65">
        <v>11386</v>
      </c>
      <c r="F47" s="19" t="s">
        <v>2070</v>
      </c>
      <c r="G47" s="9">
        <v>23</v>
      </c>
      <c r="H47" s="9">
        <v>1735.0040913000003</v>
      </c>
      <c r="I47" s="9">
        <v>0</v>
      </c>
      <c r="J47" s="9">
        <v>0</v>
      </c>
      <c r="K47" s="9">
        <v>16</v>
      </c>
      <c r="L47" s="9">
        <v>1336.8815028900003</v>
      </c>
      <c r="M47" s="9">
        <v>0</v>
      </c>
      <c r="N47" s="9">
        <v>0</v>
      </c>
      <c r="O47" s="9">
        <v>2</v>
      </c>
      <c r="P47" s="9">
        <v>19.380883910000001</v>
      </c>
      <c r="Q47" s="9">
        <v>0</v>
      </c>
      <c r="R47" s="9">
        <v>0</v>
      </c>
      <c r="S47" s="9">
        <v>1</v>
      </c>
      <c r="T47" s="9">
        <v>345.45482497</v>
      </c>
      <c r="U47" s="9">
        <v>4</v>
      </c>
      <c r="V47" s="9">
        <v>33.28687953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18"/>
      <c r="AN47" s="18"/>
      <c r="AO47" s="18"/>
      <c r="AP47" s="18"/>
      <c r="AQ47" s="18"/>
      <c r="AR47" s="18"/>
      <c r="AS47" s="18"/>
      <c r="AT47" s="18"/>
    </row>
    <row r="48" spans="1:46" s="11" customFormat="1" ht="27" customHeight="1" x14ac:dyDescent="0.25">
      <c r="A48" s="66" t="s">
        <v>30</v>
      </c>
      <c r="B48" s="1">
        <f t="shared" si="1"/>
        <v>42</v>
      </c>
      <c r="C48" s="20" t="s">
        <v>2096</v>
      </c>
      <c r="D48" s="20" t="s">
        <v>2102</v>
      </c>
      <c r="E48" s="65">
        <v>11387</v>
      </c>
      <c r="F48" s="19" t="s">
        <v>2068</v>
      </c>
      <c r="G48" s="9">
        <v>14</v>
      </c>
      <c r="H48" s="9">
        <v>76.581594659999979</v>
      </c>
      <c r="I48" s="9">
        <v>1</v>
      </c>
      <c r="J48" s="9">
        <v>26.801015750000001</v>
      </c>
      <c r="K48" s="9">
        <v>9</v>
      </c>
      <c r="L48" s="9">
        <v>34.482988929999998</v>
      </c>
      <c r="M48" s="9">
        <v>0</v>
      </c>
      <c r="N48" s="9">
        <v>0</v>
      </c>
      <c r="O48" s="9">
        <v>1</v>
      </c>
      <c r="P48" s="9">
        <v>0.91592187000000003</v>
      </c>
      <c r="Q48" s="9">
        <v>0</v>
      </c>
      <c r="R48" s="9">
        <v>0</v>
      </c>
      <c r="S48" s="9">
        <v>0</v>
      </c>
      <c r="T48" s="9">
        <v>0</v>
      </c>
      <c r="U48" s="9">
        <v>3</v>
      </c>
      <c r="V48" s="9">
        <v>14.381668110000001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18"/>
      <c r="AN48" s="18"/>
      <c r="AO48" s="18"/>
      <c r="AP48" s="18"/>
      <c r="AQ48" s="18"/>
      <c r="AR48" s="18"/>
      <c r="AS48" s="18"/>
      <c r="AT48" s="18"/>
    </row>
    <row r="49" spans="1:46" s="11" customFormat="1" ht="27" customHeight="1" x14ac:dyDescent="0.25">
      <c r="A49" s="66" t="s">
        <v>30</v>
      </c>
      <c r="B49" s="1">
        <f t="shared" si="1"/>
        <v>43</v>
      </c>
      <c r="C49" s="20" t="s">
        <v>2096</v>
      </c>
      <c r="D49" s="20" t="s">
        <v>2108</v>
      </c>
      <c r="E49" s="65">
        <v>11388</v>
      </c>
      <c r="F49" s="19" t="s">
        <v>2062</v>
      </c>
      <c r="G49" s="9">
        <v>25</v>
      </c>
      <c r="H49" s="9">
        <v>104.64858461000001</v>
      </c>
      <c r="I49" s="9">
        <v>0</v>
      </c>
      <c r="J49" s="9">
        <v>0</v>
      </c>
      <c r="K49" s="9">
        <v>16</v>
      </c>
      <c r="L49" s="9">
        <v>80.105086550000024</v>
      </c>
      <c r="M49" s="9">
        <v>0</v>
      </c>
      <c r="N49" s="9">
        <v>0</v>
      </c>
      <c r="O49" s="9">
        <v>5</v>
      </c>
      <c r="P49" s="9">
        <v>12.910408480000001</v>
      </c>
      <c r="Q49" s="9">
        <v>0</v>
      </c>
      <c r="R49" s="9">
        <v>0</v>
      </c>
      <c r="S49" s="9">
        <v>1</v>
      </c>
      <c r="T49" s="9">
        <v>4.4000000000000004</v>
      </c>
      <c r="U49" s="9">
        <v>2</v>
      </c>
      <c r="V49" s="9">
        <v>4.4339177100000002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1</v>
      </c>
      <c r="AD49" s="9">
        <v>2.7991718699999999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18"/>
      <c r="AN49" s="18"/>
      <c r="AO49" s="18"/>
      <c r="AP49" s="18"/>
      <c r="AQ49" s="18"/>
      <c r="AR49" s="18"/>
      <c r="AS49" s="18"/>
      <c r="AT49" s="18"/>
    </row>
    <row r="50" spans="1:46" s="11" customFormat="1" ht="27" customHeight="1" x14ac:dyDescent="0.25">
      <c r="A50" s="66" t="s">
        <v>30</v>
      </c>
      <c r="B50" s="1">
        <f t="shared" si="1"/>
        <v>44</v>
      </c>
      <c r="C50" s="20" t="s">
        <v>2096</v>
      </c>
      <c r="D50" s="20" t="s">
        <v>2117</v>
      </c>
      <c r="E50" s="65">
        <v>11487</v>
      </c>
      <c r="F50" s="19" t="s">
        <v>2077</v>
      </c>
      <c r="G50" s="9">
        <v>4</v>
      </c>
      <c r="H50" s="9">
        <v>50.119383229999997</v>
      </c>
      <c r="I50" s="9">
        <v>0</v>
      </c>
      <c r="J50" s="9">
        <v>0</v>
      </c>
      <c r="K50" s="9">
        <v>1</v>
      </c>
      <c r="L50" s="9">
        <v>24.979763339999998</v>
      </c>
      <c r="M50" s="9">
        <v>0</v>
      </c>
      <c r="N50" s="9">
        <v>0</v>
      </c>
      <c r="O50" s="9">
        <v>1</v>
      </c>
      <c r="P50" s="9">
        <v>4.9621700599999992</v>
      </c>
      <c r="Q50" s="9">
        <v>0</v>
      </c>
      <c r="R50" s="9">
        <v>0</v>
      </c>
      <c r="S50" s="9">
        <v>0</v>
      </c>
      <c r="T50" s="9">
        <v>0</v>
      </c>
      <c r="U50" s="9">
        <v>2</v>
      </c>
      <c r="V50" s="9">
        <v>20.17744983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18"/>
      <c r="AN50" s="18"/>
      <c r="AO50" s="18"/>
      <c r="AP50" s="18"/>
      <c r="AQ50" s="18"/>
      <c r="AR50" s="18"/>
      <c r="AS50" s="18"/>
      <c r="AT50" s="18"/>
    </row>
    <row r="51" spans="1:46" s="11" customFormat="1" ht="27" customHeight="1" x14ac:dyDescent="0.25">
      <c r="A51" s="66" t="s">
        <v>30</v>
      </c>
      <c r="B51" s="1">
        <f t="shared" si="1"/>
        <v>45</v>
      </c>
      <c r="C51" s="20" t="s">
        <v>2096</v>
      </c>
      <c r="D51" s="20" t="s">
        <v>2098</v>
      </c>
      <c r="E51" s="65">
        <v>11488</v>
      </c>
      <c r="F51" s="19" t="s">
        <v>2075</v>
      </c>
      <c r="G51" s="9">
        <v>5</v>
      </c>
      <c r="H51" s="9">
        <v>114.9266722</v>
      </c>
      <c r="I51" s="9">
        <v>0</v>
      </c>
      <c r="J51" s="9">
        <v>0</v>
      </c>
      <c r="K51" s="9">
        <v>2</v>
      </c>
      <c r="L51" s="9">
        <v>69.715954109999998</v>
      </c>
      <c r="M51" s="9">
        <v>0</v>
      </c>
      <c r="N51" s="9">
        <v>0</v>
      </c>
      <c r="O51" s="9">
        <v>2</v>
      </c>
      <c r="P51" s="9">
        <v>23.325509509999996</v>
      </c>
      <c r="Q51" s="9">
        <v>0</v>
      </c>
      <c r="R51" s="9">
        <v>0</v>
      </c>
      <c r="S51" s="9">
        <v>0</v>
      </c>
      <c r="T51" s="9">
        <v>0</v>
      </c>
      <c r="U51" s="9">
        <v>1</v>
      </c>
      <c r="V51" s="9">
        <v>21.885208579999997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18"/>
      <c r="AN51" s="18"/>
      <c r="AO51" s="18"/>
      <c r="AP51" s="18"/>
      <c r="AQ51" s="18"/>
      <c r="AR51" s="18"/>
      <c r="AS51" s="18"/>
      <c r="AT51" s="18"/>
    </row>
    <row r="52" spans="1:46" s="11" customFormat="1" ht="27" customHeight="1" x14ac:dyDescent="0.25">
      <c r="A52" s="66" t="s">
        <v>30</v>
      </c>
      <c r="B52" s="1">
        <f t="shared" si="1"/>
        <v>46</v>
      </c>
      <c r="C52" s="20" t="s">
        <v>2096</v>
      </c>
      <c r="D52" s="20" t="s">
        <v>2116</v>
      </c>
      <c r="E52" s="65">
        <v>11489</v>
      </c>
      <c r="F52" s="19" t="s">
        <v>2066</v>
      </c>
      <c r="G52" s="9">
        <v>11</v>
      </c>
      <c r="H52" s="9">
        <v>96.790231529999986</v>
      </c>
      <c r="I52" s="9">
        <v>0</v>
      </c>
      <c r="J52" s="9">
        <v>0</v>
      </c>
      <c r="K52" s="9">
        <v>5</v>
      </c>
      <c r="L52" s="9">
        <v>34.985840719999999</v>
      </c>
      <c r="M52" s="9">
        <v>0</v>
      </c>
      <c r="N52" s="9">
        <v>0</v>
      </c>
      <c r="O52" s="9">
        <v>3</v>
      </c>
      <c r="P52" s="9">
        <v>38.681705809999997</v>
      </c>
      <c r="Q52" s="9">
        <v>0</v>
      </c>
      <c r="R52" s="9">
        <v>0</v>
      </c>
      <c r="S52" s="9">
        <v>1</v>
      </c>
      <c r="T52" s="9">
        <v>14.28872829</v>
      </c>
      <c r="U52" s="9">
        <v>1</v>
      </c>
      <c r="V52" s="9">
        <v>4.1859917400000004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1</v>
      </c>
      <c r="AH52" s="9">
        <v>4.6479649699999994</v>
      </c>
      <c r="AI52" s="9">
        <v>0</v>
      </c>
      <c r="AJ52" s="9">
        <v>0</v>
      </c>
      <c r="AK52" s="9">
        <v>0</v>
      </c>
      <c r="AL52" s="9">
        <v>0</v>
      </c>
      <c r="AM52" s="18"/>
      <c r="AN52" s="18"/>
      <c r="AO52" s="18"/>
      <c r="AP52" s="18"/>
      <c r="AQ52" s="18"/>
      <c r="AR52" s="18"/>
      <c r="AS52" s="18"/>
      <c r="AT52" s="18"/>
    </row>
    <row r="53" spans="1:46" s="11" customFormat="1" ht="27" customHeight="1" x14ac:dyDescent="0.25">
      <c r="A53" s="66" t="s">
        <v>30</v>
      </c>
      <c r="B53" s="1">
        <f t="shared" si="1"/>
        <v>47</v>
      </c>
      <c r="C53" s="20" t="s">
        <v>2096</v>
      </c>
      <c r="D53" s="20" t="s">
        <v>2104</v>
      </c>
      <c r="E53" s="65">
        <v>11490</v>
      </c>
      <c r="F53" s="19" t="s">
        <v>2054</v>
      </c>
      <c r="G53" s="9">
        <v>26</v>
      </c>
      <c r="H53" s="9">
        <v>191.80463673000006</v>
      </c>
      <c r="I53" s="9">
        <v>0</v>
      </c>
      <c r="J53" s="9">
        <v>0</v>
      </c>
      <c r="K53" s="9">
        <v>7</v>
      </c>
      <c r="L53" s="9">
        <v>29.3002927</v>
      </c>
      <c r="M53" s="9">
        <v>0</v>
      </c>
      <c r="N53" s="9">
        <v>0</v>
      </c>
      <c r="O53" s="9">
        <v>10</v>
      </c>
      <c r="P53" s="9">
        <v>28.882187230000007</v>
      </c>
      <c r="Q53" s="9">
        <v>0</v>
      </c>
      <c r="R53" s="9">
        <v>0</v>
      </c>
      <c r="S53" s="9">
        <v>0</v>
      </c>
      <c r="T53" s="9">
        <v>0</v>
      </c>
      <c r="U53" s="9">
        <v>8</v>
      </c>
      <c r="V53" s="9">
        <v>70.19330346000001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1</v>
      </c>
      <c r="AJ53" s="9">
        <v>63.428853340000003</v>
      </c>
      <c r="AK53" s="9">
        <v>0</v>
      </c>
      <c r="AL53" s="9">
        <v>0</v>
      </c>
      <c r="AM53" s="18"/>
      <c r="AN53" s="18"/>
      <c r="AO53" s="18"/>
      <c r="AP53" s="18"/>
      <c r="AQ53" s="18"/>
      <c r="AR53" s="18"/>
      <c r="AS53" s="18"/>
      <c r="AT53" s="18"/>
    </row>
    <row r="54" spans="1:46" s="11" customFormat="1" ht="27" customHeight="1" x14ac:dyDescent="0.25">
      <c r="A54" s="66" t="s">
        <v>30</v>
      </c>
      <c r="B54" s="1">
        <f t="shared" si="1"/>
        <v>48</v>
      </c>
      <c r="C54" s="20" t="s">
        <v>2096</v>
      </c>
      <c r="D54" s="20" t="s">
        <v>2106</v>
      </c>
      <c r="E54" s="65">
        <v>11579</v>
      </c>
      <c r="F54" s="19" t="s">
        <v>2107</v>
      </c>
      <c r="G54" s="9">
        <v>11</v>
      </c>
      <c r="H54" s="9">
        <v>50.118446150000004</v>
      </c>
      <c r="I54" s="9">
        <v>0</v>
      </c>
      <c r="J54" s="9">
        <v>0</v>
      </c>
      <c r="K54" s="9">
        <v>7</v>
      </c>
      <c r="L54" s="9">
        <v>35.033098289999998</v>
      </c>
      <c r="M54" s="9">
        <v>0</v>
      </c>
      <c r="N54" s="9">
        <v>0</v>
      </c>
      <c r="O54" s="9">
        <v>1</v>
      </c>
      <c r="P54" s="9">
        <v>5.3140473899999998</v>
      </c>
      <c r="Q54" s="9">
        <v>0</v>
      </c>
      <c r="R54" s="9">
        <v>0</v>
      </c>
      <c r="S54" s="9">
        <v>1</v>
      </c>
      <c r="T54" s="9">
        <v>3.2356026600000001</v>
      </c>
      <c r="U54" s="9">
        <v>2</v>
      </c>
      <c r="V54" s="9">
        <v>6.5356978100000003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18"/>
      <c r="AN54" s="18"/>
      <c r="AO54" s="18"/>
      <c r="AP54" s="18"/>
      <c r="AQ54" s="18"/>
      <c r="AR54" s="18"/>
      <c r="AS54" s="18"/>
      <c r="AT54" s="18"/>
    </row>
    <row r="55" spans="1:46" s="11" customFormat="1" ht="27" customHeight="1" x14ac:dyDescent="0.25">
      <c r="A55" s="66" t="s">
        <v>30</v>
      </c>
      <c r="B55" s="1">
        <f t="shared" si="1"/>
        <v>49</v>
      </c>
      <c r="C55" s="20" t="s">
        <v>2096</v>
      </c>
      <c r="D55" s="20" t="s">
        <v>2110</v>
      </c>
      <c r="E55" s="65">
        <v>11580</v>
      </c>
      <c r="F55" s="19" t="s">
        <v>2047</v>
      </c>
      <c r="G55" s="9">
        <v>6</v>
      </c>
      <c r="H55" s="9">
        <v>97.763653840000003</v>
      </c>
      <c r="I55" s="9">
        <v>0</v>
      </c>
      <c r="J55" s="9">
        <v>0</v>
      </c>
      <c r="K55" s="9">
        <v>2</v>
      </c>
      <c r="L55" s="9">
        <v>4.6820744399999992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2</v>
      </c>
      <c r="V55" s="9">
        <v>68.793207370000005</v>
      </c>
      <c r="W55" s="9">
        <v>2</v>
      </c>
      <c r="X55" s="9">
        <v>24.288372029999998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18"/>
      <c r="AN55" s="18"/>
      <c r="AO55" s="18"/>
      <c r="AP55" s="18"/>
      <c r="AQ55" s="18"/>
      <c r="AR55" s="18"/>
      <c r="AS55" s="18"/>
      <c r="AT55" s="18"/>
    </row>
    <row r="56" spans="1:46" s="11" customFormat="1" ht="27" customHeight="1" x14ac:dyDescent="0.25">
      <c r="A56" s="66" t="s">
        <v>30</v>
      </c>
      <c r="B56" s="1">
        <f t="shared" si="1"/>
        <v>50</v>
      </c>
      <c r="C56" s="20" t="s">
        <v>2096</v>
      </c>
      <c r="D56" s="20" t="s">
        <v>2113</v>
      </c>
      <c r="E56" s="65">
        <v>11581</v>
      </c>
      <c r="F56" s="19" t="s">
        <v>2037</v>
      </c>
      <c r="G56" s="9">
        <v>15</v>
      </c>
      <c r="H56" s="9">
        <v>227.69180131999994</v>
      </c>
      <c r="I56" s="9">
        <v>1</v>
      </c>
      <c r="J56" s="9">
        <v>0.99915412000000003</v>
      </c>
      <c r="K56" s="9">
        <v>8</v>
      </c>
      <c r="L56" s="9">
        <v>135.99187846000001</v>
      </c>
      <c r="M56" s="9">
        <v>0</v>
      </c>
      <c r="N56" s="9">
        <v>0</v>
      </c>
      <c r="O56" s="9">
        <v>3</v>
      </c>
      <c r="P56" s="9">
        <v>51.663965259999998</v>
      </c>
      <c r="Q56" s="9">
        <v>0</v>
      </c>
      <c r="R56" s="9">
        <v>0</v>
      </c>
      <c r="S56" s="9">
        <v>0</v>
      </c>
      <c r="T56" s="9">
        <v>0</v>
      </c>
      <c r="U56" s="9">
        <v>1</v>
      </c>
      <c r="V56" s="9">
        <v>3.7383814100000001</v>
      </c>
      <c r="W56" s="9">
        <v>0</v>
      </c>
      <c r="X56" s="9">
        <v>0</v>
      </c>
      <c r="Y56" s="9">
        <v>2</v>
      </c>
      <c r="Z56" s="9">
        <v>35.298422070000001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18"/>
      <c r="AN56" s="18"/>
      <c r="AO56" s="18"/>
      <c r="AP56" s="18"/>
      <c r="AQ56" s="18"/>
      <c r="AR56" s="18"/>
      <c r="AS56" s="18"/>
      <c r="AT56" s="18"/>
    </row>
    <row r="57" spans="1:46" s="11" customFormat="1" ht="27" customHeight="1" x14ac:dyDescent="0.25">
      <c r="A57" s="66" t="s">
        <v>30</v>
      </c>
      <c r="B57" s="1">
        <f t="shared" si="1"/>
        <v>51</v>
      </c>
      <c r="C57" s="20" t="s">
        <v>2096</v>
      </c>
      <c r="D57" s="20" t="s">
        <v>2114</v>
      </c>
      <c r="E57" s="65">
        <v>11582</v>
      </c>
      <c r="F57" s="19" t="s">
        <v>2049</v>
      </c>
      <c r="G57" s="9">
        <v>20</v>
      </c>
      <c r="H57" s="9">
        <v>115.69437653999999</v>
      </c>
      <c r="I57" s="9">
        <v>8</v>
      </c>
      <c r="J57" s="9">
        <v>38.74143428</v>
      </c>
      <c r="K57" s="9">
        <v>4</v>
      </c>
      <c r="L57" s="9">
        <v>12.815300120000002</v>
      </c>
      <c r="M57" s="9">
        <v>0</v>
      </c>
      <c r="N57" s="9">
        <v>0</v>
      </c>
      <c r="O57" s="9">
        <v>4</v>
      </c>
      <c r="P57" s="9">
        <v>16.610989500000002</v>
      </c>
      <c r="Q57" s="9">
        <v>0</v>
      </c>
      <c r="R57" s="9">
        <v>0</v>
      </c>
      <c r="S57" s="9">
        <v>0</v>
      </c>
      <c r="T57" s="9">
        <v>0</v>
      </c>
      <c r="U57" s="9">
        <v>4</v>
      </c>
      <c r="V57" s="9">
        <v>47.526652640000002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18"/>
      <c r="AN57" s="18"/>
      <c r="AO57" s="18"/>
      <c r="AP57" s="18"/>
      <c r="AQ57" s="18"/>
      <c r="AR57" s="18"/>
      <c r="AS57" s="18"/>
      <c r="AT57" s="18"/>
    </row>
    <row r="58" spans="1:46" s="11" customFormat="1" ht="27" customHeight="1" x14ac:dyDescent="0.25">
      <c r="A58" s="66" t="s">
        <v>30</v>
      </c>
      <c r="B58" s="1">
        <f t="shared" si="1"/>
        <v>52</v>
      </c>
      <c r="C58" s="20" t="s">
        <v>2096</v>
      </c>
      <c r="D58" s="20" t="s">
        <v>2099</v>
      </c>
      <c r="E58" s="65">
        <v>11633</v>
      </c>
      <c r="F58" s="19" t="s">
        <v>2100</v>
      </c>
      <c r="G58" s="9">
        <v>20</v>
      </c>
      <c r="H58" s="9">
        <v>299.83584135000001</v>
      </c>
      <c r="I58" s="9">
        <v>0</v>
      </c>
      <c r="J58" s="9">
        <v>0</v>
      </c>
      <c r="K58" s="9">
        <v>6</v>
      </c>
      <c r="L58" s="9">
        <v>54.831859560000005</v>
      </c>
      <c r="M58" s="9">
        <v>0</v>
      </c>
      <c r="N58" s="9">
        <v>0</v>
      </c>
      <c r="O58" s="9">
        <v>5</v>
      </c>
      <c r="P58" s="9">
        <v>52.931778190000003</v>
      </c>
      <c r="Q58" s="9">
        <v>0</v>
      </c>
      <c r="R58" s="9">
        <v>0</v>
      </c>
      <c r="S58" s="9">
        <v>3</v>
      </c>
      <c r="T58" s="9">
        <v>154.92504814999998</v>
      </c>
      <c r="U58" s="9">
        <v>2</v>
      </c>
      <c r="V58" s="9">
        <v>15.52961857</v>
      </c>
      <c r="W58" s="9">
        <v>0</v>
      </c>
      <c r="X58" s="9">
        <v>0</v>
      </c>
      <c r="Y58" s="9">
        <v>0</v>
      </c>
      <c r="Z58" s="9">
        <v>0</v>
      </c>
      <c r="AA58" s="9">
        <v>1</v>
      </c>
      <c r="AB58" s="9">
        <v>2.47372953</v>
      </c>
      <c r="AC58" s="9">
        <v>0</v>
      </c>
      <c r="AD58" s="9">
        <v>0</v>
      </c>
      <c r="AE58" s="9">
        <v>1</v>
      </c>
      <c r="AF58" s="9">
        <v>4.3059371500000001</v>
      </c>
      <c r="AG58" s="9">
        <v>0</v>
      </c>
      <c r="AH58" s="9">
        <v>0</v>
      </c>
      <c r="AI58" s="9">
        <v>1</v>
      </c>
      <c r="AJ58" s="9">
        <v>5.2900288199999999</v>
      </c>
      <c r="AK58" s="9">
        <v>1</v>
      </c>
      <c r="AL58" s="9">
        <v>9.5478413800000013</v>
      </c>
      <c r="AM58" s="18"/>
      <c r="AN58" s="18"/>
      <c r="AO58" s="18"/>
      <c r="AP58" s="18"/>
      <c r="AQ58" s="18"/>
      <c r="AR58" s="18"/>
      <c r="AS58" s="18"/>
      <c r="AT58" s="18"/>
    </row>
    <row r="59" spans="1:46" s="11" customFormat="1" ht="27" customHeight="1" x14ac:dyDescent="0.25">
      <c r="A59" s="66" t="s">
        <v>30</v>
      </c>
      <c r="B59" s="1">
        <f t="shared" si="1"/>
        <v>53</v>
      </c>
      <c r="C59" s="20" t="s">
        <v>2096</v>
      </c>
      <c r="D59" s="20" t="s">
        <v>2112</v>
      </c>
      <c r="E59" s="65">
        <v>11634</v>
      </c>
      <c r="F59" s="19" t="s">
        <v>2041</v>
      </c>
      <c r="G59" s="9">
        <v>9</v>
      </c>
      <c r="H59" s="9">
        <v>48.022350809999999</v>
      </c>
      <c r="I59" s="9">
        <v>0</v>
      </c>
      <c r="J59" s="9">
        <v>0</v>
      </c>
      <c r="K59" s="9">
        <v>3</v>
      </c>
      <c r="L59" s="9">
        <v>6.0574061299999986</v>
      </c>
      <c r="M59" s="9">
        <v>0</v>
      </c>
      <c r="N59" s="9">
        <v>0</v>
      </c>
      <c r="O59" s="9">
        <v>1</v>
      </c>
      <c r="P59" s="9">
        <v>1.3699681100000001</v>
      </c>
      <c r="Q59" s="9">
        <v>0</v>
      </c>
      <c r="R59" s="9">
        <v>0</v>
      </c>
      <c r="S59" s="9">
        <v>0</v>
      </c>
      <c r="T59" s="9">
        <v>0</v>
      </c>
      <c r="U59" s="9">
        <v>4</v>
      </c>
      <c r="V59" s="9">
        <v>34.399317000000003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1</v>
      </c>
      <c r="AL59" s="9">
        <v>6.1956595700000001</v>
      </c>
      <c r="AM59" s="18"/>
      <c r="AN59" s="18"/>
      <c r="AO59" s="18"/>
      <c r="AP59" s="18"/>
      <c r="AQ59" s="18"/>
      <c r="AR59" s="18"/>
      <c r="AS59" s="18"/>
      <c r="AT59" s="18"/>
    </row>
    <row r="60" spans="1:46" s="11" customFormat="1" ht="27" customHeight="1" x14ac:dyDescent="0.25">
      <c r="A60" s="66" t="s">
        <v>30</v>
      </c>
      <c r="B60" s="1">
        <f t="shared" si="1"/>
        <v>54</v>
      </c>
      <c r="C60" s="20" t="s">
        <v>2096</v>
      </c>
      <c r="D60" s="20" t="s">
        <v>2115</v>
      </c>
      <c r="E60" s="65">
        <v>11782</v>
      </c>
      <c r="F60" s="19" t="s">
        <v>2087</v>
      </c>
      <c r="G60" s="9">
        <v>12</v>
      </c>
      <c r="H60" s="9">
        <v>87.349437999999992</v>
      </c>
      <c r="I60" s="9">
        <v>0</v>
      </c>
      <c r="J60" s="9">
        <v>0</v>
      </c>
      <c r="K60" s="9">
        <v>1</v>
      </c>
      <c r="L60" s="9">
        <v>32.640196000000003</v>
      </c>
      <c r="M60" s="9">
        <v>0</v>
      </c>
      <c r="N60" s="9">
        <v>0</v>
      </c>
      <c r="O60" s="9">
        <v>2</v>
      </c>
      <c r="P60" s="9">
        <v>14.79537287</v>
      </c>
      <c r="Q60" s="9">
        <v>0</v>
      </c>
      <c r="R60" s="9">
        <v>0</v>
      </c>
      <c r="S60" s="9">
        <v>3</v>
      </c>
      <c r="T60" s="9">
        <v>26.075364610000005</v>
      </c>
      <c r="U60" s="9">
        <v>6</v>
      </c>
      <c r="V60" s="9">
        <v>13.838504519999999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18"/>
      <c r="AN60" s="18"/>
      <c r="AO60" s="18"/>
      <c r="AP60" s="18"/>
      <c r="AQ60" s="18"/>
      <c r="AR60" s="18"/>
      <c r="AS60" s="18"/>
      <c r="AT60" s="18"/>
    </row>
    <row r="61" spans="1:46" s="11" customFormat="1" ht="27" customHeight="1" x14ac:dyDescent="0.25">
      <c r="A61" s="66" t="s">
        <v>30</v>
      </c>
      <c r="B61" s="1">
        <f t="shared" si="1"/>
        <v>55</v>
      </c>
      <c r="C61" s="20" t="s">
        <v>2096</v>
      </c>
      <c r="D61" s="20" t="s">
        <v>2103</v>
      </c>
      <c r="E61" s="65">
        <v>11799</v>
      </c>
      <c r="F61" s="19" t="s">
        <v>2035</v>
      </c>
      <c r="G61" s="9">
        <v>16</v>
      </c>
      <c r="H61" s="9">
        <v>270.16363251000001</v>
      </c>
      <c r="I61" s="9">
        <v>1</v>
      </c>
      <c r="J61" s="9">
        <v>4.1900000000000004</v>
      </c>
      <c r="K61" s="9">
        <v>6</v>
      </c>
      <c r="L61" s="9">
        <v>207.55128411999999</v>
      </c>
      <c r="M61" s="9">
        <v>0</v>
      </c>
      <c r="N61" s="9">
        <v>0</v>
      </c>
      <c r="O61" s="9">
        <v>5</v>
      </c>
      <c r="P61" s="9">
        <v>32.954813469999998</v>
      </c>
      <c r="Q61" s="9">
        <v>0</v>
      </c>
      <c r="R61" s="9">
        <v>0</v>
      </c>
      <c r="S61" s="9">
        <v>2</v>
      </c>
      <c r="T61" s="9">
        <v>4.92279512</v>
      </c>
      <c r="U61" s="9">
        <v>1</v>
      </c>
      <c r="V61" s="9">
        <v>10.900239800000001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1</v>
      </c>
      <c r="AD61" s="9">
        <v>9.6445000000000007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18"/>
      <c r="AN61" s="18"/>
      <c r="AO61" s="18"/>
      <c r="AP61" s="18"/>
      <c r="AQ61" s="18"/>
      <c r="AR61" s="18"/>
      <c r="AS61" s="18"/>
      <c r="AT61" s="18"/>
    </row>
    <row r="62" spans="1:46" s="11" customFormat="1" ht="27" customHeight="1" x14ac:dyDescent="0.25">
      <c r="A62" s="66" t="s">
        <v>30</v>
      </c>
      <c r="B62" s="1">
        <f t="shared" si="1"/>
        <v>56</v>
      </c>
      <c r="C62" s="20" t="s">
        <v>2096</v>
      </c>
      <c r="D62" s="20" t="s">
        <v>2109</v>
      </c>
      <c r="E62" s="65">
        <v>11800</v>
      </c>
      <c r="F62" s="19" t="s">
        <v>2073</v>
      </c>
      <c r="G62" s="9">
        <v>18</v>
      </c>
      <c r="H62" s="9">
        <v>346.82030793000001</v>
      </c>
      <c r="I62" s="9">
        <v>0</v>
      </c>
      <c r="J62" s="9">
        <v>0</v>
      </c>
      <c r="K62" s="9">
        <v>2</v>
      </c>
      <c r="L62" s="9">
        <v>54.322820610000001</v>
      </c>
      <c r="M62" s="9">
        <v>0</v>
      </c>
      <c r="N62" s="9">
        <v>0</v>
      </c>
      <c r="O62" s="9">
        <v>4</v>
      </c>
      <c r="P62" s="9">
        <v>40.38915789</v>
      </c>
      <c r="Q62" s="9">
        <v>0</v>
      </c>
      <c r="R62" s="9">
        <v>0</v>
      </c>
      <c r="S62" s="9">
        <v>4</v>
      </c>
      <c r="T62" s="9">
        <v>37.365888190000007</v>
      </c>
      <c r="U62" s="9">
        <v>4</v>
      </c>
      <c r="V62" s="9">
        <v>208.89687539999997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4</v>
      </c>
      <c r="AL62" s="9">
        <v>5.845565839999999</v>
      </c>
      <c r="AM62" s="18"/>
      <c r="AN62" s="18"/>
      <c r="AO62" s="18"/>
      <c r="AP62" s="18"/>
      <c r="AQ62" s="18"/>
      <c r="AR62" s="18"/>
      <c r="AS62" s="18"/>
      <c r="AT62" s="18"/>
    </row>
    <row r="63" spans="1:46" s="11" customFormat="1" ht="27" customHeight="1" x14ac:dyDescent="0.25">
      <c r="A63" s="66" t="s">
        <v>30</v>
      </c>
      <c r="B63" s="1">
        <f t="shared" si="1"/>
        <v>57</v>
      </c>
      <c r="C63" s="20" t="s">
        <v>2096</v>
      </c>
      <c r="D63" s="20" t="s">
        <v>2111</v>
      </c>
      <c r="E63" s="65">
        <v>11801</v>
      </c>
      <c r="F63" s="19" t="s">
        <v>2064</v>
      </c>
      <c r="G63" s="9">
        <v>46</v>
      </c>
      <c r="H63" s="9">
        <v>655.23976200000004</v>
      </c>
      <c r="I63" s="9">
        <v>1</v>
      </c>
      <c r="J63" s="9">
        <v>54.45862485</v>
      </c>
      <c r="K63" s="9">
        <v>31</v>
      </c>
      <c r="L63" s="9">
        <v>377.22430584</v>
      </c>
      <c r="M63" s="9">
        <v>0</v>
      </c>
      <c r="N63" s="9">
        <v>0</v>
      </c>
      <c r="O63" s="9">
        <v>5</v>
      </c>
      <c r="P63" s="9">
        <v>96.167540800000012</v>
      </c>
      <c r="Q63" s="9">
        <v>0</v>
      </c>
      <c r="R63" s="9">
        <v>0</v>
      </c>
      <c r="S63" s="9">
        <v>0</v>
      </c>
      <c r="T63" s="9">
        <v>0</v>
      </c>
      <c r="U63" s="9">
        <v>8</v>
      </c>
      <c r="V63" s="9">
        <v>123.07690845999998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1</v>
      </c>
      <c r="AF63" s="9">
        <v>4.3123820500000001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18"/>
      <c r="AN63" s="18"/>
      <c r="AO63" s="18"/>
      <c r="AP63" s="18"/>
      <c r="AQ63" s="18"/>
      <c r="AR63" s="18"/>
      <c r="AS63" s="18"/>
      <c r="AT63" s="18"/>
    </row>
    <row r="64" spans="1:46" s="11" customFormat="1" ht="27" customHeight="1" x14ac:dyDescent="0.25">
      <c r="A64" s="66" t="s">
        <v>34</v>
      </c>
      <c r="B64" s="1">
        <f t="shared" si="1"/>
        <v>58</v>
      </c>
      <c r="C64" s="20" t="s">
        <v>2135</v>
      </c>
      <c r="D64" s="20" t="s">
        <v>2138</v>
      </c>
      <c r="E64" s="65">
        <v>12090</v>
      </c>
      <c r="F64" s="19" t="s">
        <v>2043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18"/>
      <c r="AN64" s="18"/>
      <c r="AO64" s="18"/>
      <c r="AP64" s="18"/>
      <c r="AQ64" s="18"/>
      <c r="AR64" s="18"/>
      <c r="AS64" s="18"/>
      <c r="AT64" s="18"/>
    </row>
    <row r="65" spans="1:46" s="11" customFormat="1" ht="27" customHeight="1" x14ac:dyDescent="0.25">
      <c r="A65" s="66" t="s">
        <v>34</v>
      </c>
      <c r="B65" s="1">
        <f t="shared" si="1"/>
        <v>59</v>
      </c>
      <c r="C65" s="20" t="s">
        <v>2135</v>
      </c>
      <c r="D65" s="20" t="s">
        <v>2137</v>
      </c>
      <c r="E65" s="65">
        <v>12091</v>
      </c>
      <c r="F65" s="19" t="s">
        <v>2107</v>
      </c>
      <c r="G65" s="9">
        <v>1</v>
      </c>
      <c r="H65" s="9">
        <v>122.96728279999999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9">
        <v>122.96728279999999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18"/>
      <c r="AN65" s="18"/>
      <c r="AO65" s="18"/>
      <c r="AP65" s="18"/>
      <c r="AQ65" s="18"/>
      <c r="AR65" s="18"/>
      <c r="AS65" s="18"/>
      <c r="AT65" s="18"/>
    </row>
    <row r="66" spans="1:46" s="11" customFormat="1" ht="27" customHeight="1" x14ac:dyDescent="0.25">
      <c r="A66" s="66" t="s">
        <v>34</v>
      </c>
      <c r="B66" s="1">
        <f t="shared" si="1"/>
        <v>60</v>
      </c>
      <c r="C66" s="20" t="s">
        <v>2135</v>
      </c>
      <c r="D66" s="20" t="s">
        <v>2136</v>
      </c>
      <c r="E66" s="65">
        <v>12097</v>
      </c>
      <c r="F66" s="19" t="s">
        <v>2054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18"/>
      <c r="AN66" s="18"/>
      <c r="AO66" s="18"/>
      <c r="AP66" s="18"/>
      <c r="AQ66" s="18"/>
      <c r="AR66" s="18"/>
      <c r="AS66" s="18"/>
      <c r="AT66" s="18"/>
    </row>
    <row r="67" spans="1:46" s="11" customFormat="1" ht="27" customHeight="1" x14ac:dyDescent="0.25">
      <c r="A67" s="66" t="s">
        <v>42</v>
      </c>
      <c r="B67" s="1">
        <f t="shared" si="1"/>
        <v>61</v>
      </c>
      <c r="C67" s="20" t="s">
        <v>2118</v>
      </c>
      <c r="D67" s="20" t="s">
        <v>2122</v>
      </c>
      <c r="E67" s="65">
        <v>10818</v>
      </c>
      <c r="F67" s="19" t="s">
        <v>2035</v>
      </c>
      <c r="G67" s="9">
        <v>88</v>
      </c>
      <c r="H67" s="9">
        <v>4612.4098776599994</v>
      </c>
      <c r="I67" s="9">
        <v>43</v>
      </c>
      <c r="J67" s="9">
        <v>2591.0587946300002</v>
      </c>
      <c r="K67" s="9">
        <v>11</v>
      </c>
      <c r="L67" s="9">
        <v>337.06173823</v>
      </c>
      <c r="M67" s="9">
        <v>8</v>
      </c>
      <c r="N67" s="9">
        <v>269.72970380999999</v>
      </c>
      <c r="O67" s="9">
        <v>10</v>
      </c>
      <c r="P67" s="9">
        <v>776.65109278000011</v>
      </c>
      <c r="Q67" s="9">
        <v>2</v>
      </c>
      <c r="R67" s="9">
        <v>51.216431149999998</v>
      </c>
      <c r="S67" s="9">
        <v>1</v>
      </c>
      <c r="T67" s="9">
        <v>28.268414499999999</v>
      </c>
      <c r="U67" s="9">
        <v>8</v>
      </c>
      <c r="V67" s="9">
        <v>192.95957424000002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1</v>
      </c>
      <c r="AD67" s="9">
        <v>4.4160000000000004</v>
      </c>
      <c r="AE67" s="9">
        <v>1</v>
      </c>
      <c r="AF67" s="9">
        <v>264.9818593</v>
      </c>
      <c r="AG67" s="9">
        <v>1</v>
      </c>
      <c r="AH67" s="9">
        <v>1.7150000000000001</v>
      </c>
      <c r="AI67" s="9">
        <v>1</v>
      </c>
      <c r="AJ67" s="9">
        <v>8.529995490000001</v>
      </c>
      <c r="AK67" s="9">
        <v>1</v>
      </c>
      <c r="AL67" s="9">
        <v>85.821273529999999</v>
      </c>
      <c r="AM67" s="18"/>
      <c r="AN67" s="18"/>
      <c r="AO67" s="18"/>
      <c r="AP67" s="18"/>
      <c r="AQ67" s="18"/>
      <c r="AR67" s="18"/>
      <c r="AS67" s="18"/>
      <c r="AT67" s="18"/>
    </row>
    <row r="68" spans="1:46" s="11" customFormat="1" ht="27" customHeight="1" x14ac:dyDescent="0.25">
      <c r="A68" s="66" t="s">
        <v>42</v>
      </c>
      <c r="B68" s="1">
        <f t="shared" si="1"/>
        <v>62</v>
      </c>
      <c r="C68" s="20" t="s">
        <v>2118</v>
      </c>
      <c r="D68" s="20" t="s">
        <v>2121</v>
      </c>
      <c r="E68" s="65">
        <v>10819</v>
      </c>
      <c r="F68" s="19" t="s">
        <v>2100</v>
      </c>
      <c r="G68" s="9">
        <v>85</v>
      </c>
      <c r="H68" s="9">
        <v>2171.8591005799994</v>
      </c>
      <c r="I68" s="9">
        <v>62</v>
      </c>
      <c r="J68" s="9">
        <v>1472.2695627799992</v>
      </c>
      <c r="K68" s="9">
        <v>7</v>
      </c>
      <c r="L68" s="9">
        <v>334.04530761000001</v>
      </c>
      <c r="M68" s="9">
        <v>0</v>
      </c>
      <c r="N68" s="9">
        <v>0</v>
      </c>
      <c r="O68" s="9">
        <v>4</v>
      </c>
      <c r="P68" s="9">
        <v>91.561755700000006</v>
      </c>
      <c r="Q68" s="9">
        <v>6</v>
      </c>
      <c r="R68" s="9">
        <v>214.86489533999998</v>
      </c>
      <c r="S68" s="9">
        <v>0</v>
      </c>
      <c r="T68" s="9">
        <v>0</v>
      </c>
      <c r="U68" s="9">
        <v>2</v>
      </c>
      <c r="V68" s="9">
        <v>53.845382619999995</v>
      </c>
      <c r="W68" s="9">
        <v>0</v>
      </c>
      <c r="X68" s="9">
        <v>0</v>
      </c>
      <c r="Y68" s="9">
        <v>0</v>
      </c>
      <c r="Z68" s="9">
        <v>0</v>
      </c>
      <c r="AA68" s="9">
        <v>4</v>
      </c>
      <c r="AB68" s="9">
        <v>5.2721965300000004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18"/>
      <c r="AN68" s="18"/>
      <c r="AO68" s="18"/>
      <c r="AP68" s="18"/>
      <c r="AQ68" s="18"/>
      <c r="AR68" s="18"/>
      <c r="AS68" s="18"/>
      <c r="AT68" s="18"/>
    </row>
    <row r="69" spans="1:46" s="11" customFormat="1" ht="27" customHeight="1" x14ac:dyDescent="0.25">
      <c r="A69" s="66" t="s">
        <v>42</v>
      </c>
      <c r="B69" s="1">
        <f t="shared" si="1"/>
        <v>63</v>
      </c>
      <c r="C69" s="20" t="s">
        <v>2118</v>
      </c>
      <c r="D69" s="20" t="s">
        <v>2120</v>
      </c>
      <c r="E69" s="65">
        <v>10820</v>
      </c>
      <c r="F69" s="19" t="s">
        <v>2039</v>
      </c>
      <c r="G69" s="9">
        <v>28</v>
      </c>
      <c r="H69" s="9">
        <v>1256.8857973500001</v>
      </c>
      <c r="I69" s="9">
        <v>0</v>
      </c>
      <c r="J69" s="9">
        <v>0</v>
      </c>
      <c r="K69" s="9">
        <v>13</v>
      </c>
      <c r="L69" s="9">
        <v>778.51077099000008</v>
      </c>
      <c r="M69" s="9">
        <v>0</v>
      </c>
      <c r="N69" s="9">
        <v>0</v>
      </c>
      <c r="O69" s="9">
        <v>5</v>
      </c>
      <c r="P69" s="9">
        <v>307.54386817</v>
      </c>
      <c r="Q69" s="9">
        <v>0</v>
      </c>
      <c r="R69" s="9">
        <v>0</v>
      </c>
      <c r="S69" s="9">
        <v>0</v>
      </c>
      <c r="T69" s="9">
        <v>0</v>
      </c>
      <c r="U69" s="9">
        <v>9</v>
      </c>
      <c r="V69" s="9">
        <v>158.04600771999998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1</v>
      </c>
      <c r="AD69" s="9">
        <v>12.785150470000001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18"/>
      <c r="AN69" s="18"/>
      <c r="AO69" s="18"/>
      <c r="AP69" s="18"/>
      <c r="AQ69" s="18"/>
      <c r="AR69" s="18"/>
      <c r="AS69" s="18"/>
      <c r="AT69" s="18"/>
    </row>
    <row r="70" spans="1:46" s="11" customFormat="1" ht="27" customHeight="1" x14ac:dyDescent="0.25">
      <c r="A70" s="66" t="s">
        <v>42</v>
      </c>
      <c r="B70" s="1">
        <f t="shared" si="1"/>
        <v>64</v>
      </c>
      <c r="C70" s="20" t="s">
        <v>2118</v>
      </c>
      <c r="D70" s="20" t="s">
        <v>2119</v>
      </c>
      <c r="E70" s="65">
        <v>12129</v>
      </c>
      <c r="F70" s="19" t="s">
        <v>2043</v>
      </c>
      <c r="G70" s="9">
        <v>11</v>
      </c>
      <c r="H70" s="9">
        <v>265.55439142</v>
      </c>
      <c r="I70" s="9">
        <v>1</v>
      </c>
      <c r="J70" s="9">
        <v>12.384162999999999</v>
      </c>
      <c r="K70" s="9">
        <v>4</v>
      </c>
      <c r="L70" s="9">
        <v>221.10430495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1</v>
      </c>
      <c r="V70" s="9">
        <v>15</v>
      </c>
      <c r="W70" s="9">
        <v>5</v>
      </c>
      <c r="X70" s="9">
        <v>17.065923469999998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18"/>
      <c r="AN70" s="18"/>
      <c r="AO70" s="18"/>
      <c r="AP70" s="18"/>
      <c r="AQ70" s="18"/>
      <c r="AR70" s="18"/>
      <c r="AS70" s="18"/>
      <c r="AT70" s="18"/>
    </row>
    <row r="71" spans="1:46" s="11" customFormat="1" ht="27" customHeight="1" x14ac:dyDescent="0.25">
      <c r="A71" s="66" t="s">
        <v>42</v>
      </c>
      <c r="B71" s="1">
        <f t="shared" si="1"/>
        <v>65</v>
      </c>
      <c r="C71" s="20" t="s">
        <v>2118</v>
      </c>
      <c r="D71" s="20" t="s">
        <v>2230</v>
      </c>
      <c r="E71" s="65">
        <v>12213</v>
      </c>
      <c r="F71" s="19" t="s">
        <v>2066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18"/>
      <c r="AN71" s="18"/>
      <c r="AO71" s="18"/>
      <c r="AP71" s="18"/>
      <c r="AQ71" s="18"/>
      <c r="AR71" s="18"/>
      <c r="AS71" s="18"/>
      <c r="AT71" s="18"/>
    </row>
    <row r="72" spans="1:46" s="11" customFormat="1" ht="27" customHeight="1" x14ac:dyDescent="0.25">
      <c r="A72" s="66" t="s">
        <v>31</v>
      </c>
      <c r="B72" s="1">
        <f t="shared" ref="B72:B101" si="2">+B71+1</f>
        <v>66</v>
      </c>
      <c r="C72" s="20" t="s">
        <v>2123</v>
      </c>
      <c r="D72" s="20" t="s">
        <v>2124</v>
      </c>
      <c r="E72" s="65">
        <v>11291</v>
      </c>
      <c r="F72" s="19" t="s">
        <v>2107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18"/>
      <c r="AN72" s="18"/>
      <c r="AO72" s="18"/>
      <c r="AP72" s="18"/>
      <c r="AQ72" s="18"/>
      <c r="AR72" s="18"/>
      <c r="AS72" s="18"/>
      <c r="AT72" s="18"/>
    </row>
    <row r="73" spans="1:46" s="11" customFormat="1" ht="27" customHeight="1" x14ac:dyDescent="0.25">
      <c r="A73" s="66" t="s">
        <v>35</v>
      </c>
      <c r="B73" s="1">
        <f t="shared" si="2"/>
        <v>67</v>
      </c>
      <c r="C73" s="20" t="s">
        <v>2139</v>
      </c>
      <c r="D73" s="20" t="s">
        <v>2140</v>
      </c>
      <c r="E73" s="65">
        <v>11443</v>
      </c>
      <c r="F73" s="19" t="s">
        <v>2073</v>
      </c>
      <c r="G73" s="9">
        <v>5</v>
      </c>
      <c r="H73" s="9">
        <v>64.26311041000001</v>
      </c>
      <c r="I73" s="9">
        <v>0</v>
      </c>
      <c r="J73" s="9">
        <v>0</v>
      </c>
      <c r="K73" s="9">
        <v>3</v>
      </c>
      <c r="L73" s="9">
        <v>41.297119430000009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2</v>
      </c>
      <c r="V73" s="9">
        <v>22.965990980000001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18"/>
      <c r="AN73" s="18"/>
      <c r="AO73" s="18"/>
      <c r="AP73" s="18"/>
      <c r="AQ73" s="18"/>
      <c r="AR73" s="18"/>
      <c r="AS73" s="18"/>
      <c r="AT73" s="18"/>
    </row>
    <row r="74" spans="1:46" s="11" customFormat="1" ht="27" customHeight="1" x14ac:dyDescent="0.25">
      <c r="A74" s="66" t="s">
        <v>35</v>
      </c>
      <c r="B74" s="1">
        <f t="shared" si="2"/>
        <v>68</v>
      </c>
      <c r="C74" s="20" t="s">
        <v>2139</v>
      </c>
      <c r="D74" s="20" t="s">
        <v>2141</v>
      </c>
      <c r="E74" s="65">
        <v>11444</v>
      </c>
      <c r="F74" s="19" t="s">
        <v>2039</v>
      </c>
      <c r="G74" s="9">
        <v>8</v>
      </c>
      <c r="H74" s="9">
        <v>124.78535826</v>
      </c>
      <c r="I74" s="9">
        <v>0</v>
      </c>
      <c r="J74" s="9">
        <v>0</v>
      </c>
      <c r="K74" s="9">
        <v>2</v>
      </c>
      <c r="L74" s="9">
        <v>60.623345810000004</v>
      </c>
      <c r="M74" s="9">
        <v>0</v>
      </c>
      <c r="N74" s="9">
        <v>0</v>
      </c>
      <c r="O74" s="9">
        <v>3</v>
      </c>
      <c r="P74" s="9">
        <v>49.960502170000005</v>
      </c>
      <c r="Q74" s="9">
        <v>0</v>
      </c>
      <c r="R74" s="9">
        <v>0</v>
      </c>
      <c r="S74" s="9">
        <v>0</v>
      </c>
      <c r="T74" s="9">
        <v>0</v>
      </c>
      <c r="U74" s="9">
        <v>3</v>
      </c>
      <c r="V74" s="9">
        <v>14.201510280000001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18"/>
      <c r="AN74" s="18"/>
      <c r="AO74" s="18"/>
      <c r="AP74" s="18"/>
      <c r="AQ74" s="18"/>
      <c r="AR74" s="18"/>
      <c r="AS74" s="18"/>
      <c r="AT74" s="18"/>
    </row>
    <row r="75" spans="1:46" s="11" customFormat="1" ht="27" customHeight="1" x14ac:dyDescent="0.25">
      <c r="A75" s="66" t="s">
        <v>35</v>
      </c>
      <c r="B75" s="1">
        <f t="shared" si="2"/>
        <v>69</v>
      </c>
      <c r="C75" s="20" t="s">
        <v>2139</v>
      </c>
      <c r="D75" s="20" t="s">
        <v>2142</v>
      </c>
      <c r="E75" s="65">
        <v>11445</v>
      </c>
      <c r="F75" s="19" t="s">
        <v>2049</v>
      </c>
      <c r="G75" s="9">
        <v>58</v>
      </c>
      <c r="H75" s="9">
        <v>1355.6617205200009</v>
      </c>
      <c r="I75" s="9">
        <v>48</v>
      </c>
      <c r="J75" s="9">
        <v>1133.6984164700007</v>
      </c>
      <c r="K75" s="9">
        <v>2</v>
      </c>
      <c r="L75" s="9">
        <v>80.482993229999991</v>
      </c>
      <c r="M75" s="9">
        <v>0</v>
      </c>
      <c r="N75" s="9">
        <v>0</v>
      </c>
      <c r="O75" s="9">
        <v>2</v>
      </c>
      <c r="P75" s="9">
        <v>19.453400240000001</v>
      </c>
      <c r="Q75" s="9">
        <v>3</v>
      </c>
      <c r="R75" s="9">
        <v>48.955968859999999</v>
      </c>
      <c r="S75" s="9">
        <v>0</v>
      </c>
      <c r="T75" s="9">
        <v>0</v>
      </c>
      <c r="U75" s="9">
        <v>2</v>
      </c>
      <c r="V75" s="9">
        <v>44.013212469999999</v>
      </c>
      <c r="W75" s="9">
        <v>0</v>
      </c>
      <c r="X75" s="9">
        <v>0</v>
      </c>
      <c r="Y75" s="9">
        <v>0</v>
      </c>
      <c r="Z75" s="9">
        <v>0</v>
      </c>
      <c r="AA75" s="9">
        <v>1</v>
      </c>
      <c r="AB75" s="9">
        <v>29.057729250000001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18"/>
      <c r="AN75" s="18"/>
      <c r="AO75" s="18"/>
      <c r="AP75" s="18"/>
      <c r="AQ75" s="18"/>
      <c r="AR75" s="18"/>
      <c r="AS75" s="18"/>
      <c r="AT75" s="18"/>
    </row>
    <row r="76" spans="1:46" s="11" customFormat="1" ht="27" customHeight="1" x14ac:dyDescent="0.25">
      <c r="A76" s="66" t="s">
        <v>35</v>
      </c>
      <c r="B76" s="1">
        <f t="shared" si="2"/>
        <v>70</v>
      </c>
      <c r="C76" s="20" t="s">
        <v>2139</v>
      </c>
      <c r="D76" s="20" t="s">
        <v>2143</v>
      </c>
      <c r="E76" s="65">
        <v>11446</v>
      </c>
      <c r="F76" s="19" t="s">
        <v>2037</v>
      </c>
      <c r="G76" s="9">
        <v>19</v>
      </c>
      <c r="H76" s="9">
        <v>322.27933575999998</v>
      </c>
      <c r="I76" s="9">
        <v>9</v>
      </c>
      <c r="J76" s="9">
        <v>54.866600009999999</v>
      </c>
      <c r="K76" s="9">
        <v>3</v>
      </c>
      <c r="L76" s="9">
        <v>92.261190980000009</v>
      </c>
      <c r="M76" s="9">
        <v>0</v>
      </c>
      <c r="N76" s="9">
        <v>0</v>
      </c>
      <c r="O76" s="9">
        <v>1</v>
      </c>
      <c r="P76" s="9">
        <v>10.87603236</v>
      </c>
      <c r="Q76" s="9">
        <v>0</v>
      </c>
      <c r="R76" s="9">
        <v>0</v>
      </c>
      <c r="S76" s="9">
        <v>1</v>
      </c>
      <c r="T76" s="9">
        <v>46.326582439999996</v>
      </c>
      <c r="U76" s="9">
        <v>0</v>
      </c>
      <c r="V76" s="9">
        <v>0</v>
      </c>
      <c r="W76" s="9">
        <v>0</v>
      </c>
      <c r="X76" s="9">
        <v>0</v>
      </c>
      <c r="Y76" s="9">
        <v>4</v>
      </c>
      <c r="Z76" s="9">
        <v>107.68271505</v>
      </c>
      <c r="AA76" s="9">
        <v>1</v>
      </c>
      <c r="AB76" s="9">
        <v>10.266214919999999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18"/>
      <c r="AN76" s="18"/>
      <c r="AO76" s="18"/>
      <c r="AP76" s="18"/>
      <c r="AQ76" s="18"/>
      <c r="AR76" s="18"/>
      <c r="AS76" s="18"/>
      <c r="AT76" s="18"/>
    </row>
    <row r="77" spans="1:46" s="11" customFormat="1" ht="27" customHeight="1" x14ac:dyDescent="0.25">
      <c r="A77" s="66" t="s">
        <v>35</v>
      </c>
      <c r="B77" s="1">
        <f t="shared" si="2"/>
        <v>71</v>
      </c>
      <c r="C77" s="20" t="s">
        <v>2139</v>
      </c>
      <c r="D77" s="20" t="s">
        <v>2144</v>
      </c>
      <c r="E77" s="65">
        <v>11447</v>
      </c>
      <c r="F77" s="19" t="s">
        <v>2047</v>
      </c>
      <c r="G77" s="9">
        <v>16</v>
      </c>
      <c r="H77" s="9">
        <v>307.31394659000011</v>
      </c>
      <c r="I77" s="9">
        <v>1</v>
      </c>
      <c r="J77" s="9">
        <v>6.8128691799999999</v>
      </c>
      <c r="K77" s="9">
        <v>10</v>
      </c>
      <c r="L77" s="9">
        <v>251.03301966000006</v>
      </c>
      <c r="M77" s="9">
        <v>0</v>
      </c>
      <c r="N77" s="9">
        <v>0</v>
      </c>
      <c r="O77" s="9">
        <v>1</v>
      </c>
      <c r="P77" s="9">
        <v>3.3173091700000001</v>
      </c>
      <c r="Q77" s="9">
        <v>0</v>
      </c>
      <c r="R77" s="9">
        <v>0</v>
      </c>
      <c r="S77" s="9">
        <v>2</v>
      </c>
      <c r="T77" s="9">
        <v>32.229965100000001</v>
      </c>
      <c r="U77" s="9">
        <v>1</v>
      </c>
      <c r="V77" s="9">
        <v>10.3</v>
      </c>
      <c r="W77" s="9">
        <v>1</v>
      </c>
      <c r="X77" s="9">
        <v>3.6207834800000001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18"/>
      <c r="AN77" s="18"/>
      <c r="AO77" s="18"/>
      <c r="AP77" s="18"/>
      <c r="AQ77" s="18"/>
      <c r="AR77" s="18"/>
      <c r="AS77" s="18"/>
      <c r="AT77" s="18"/>
    </row>
    <row r="78" spans="1:46" s="11" customFormat="1" ht="27" customHeight="1" x14ac:dyDescent="0.25">
      <c r="A78" s="66" t="s">
        <v>35</v>
      </c>
      <c r="B78" s="1">
        <f t="shared" si="2"/>
        <v>72</v>
      </c>
      <c r="C78" s="20" t="s">
        <v>2139</v>
      </c>
      <c r="D78" s="20" t="s">
        <v>2145</v>
      </c>
      <c r="E78" s="65">
        <v>11448</v>
      </c>
      <c r="F78" s="19" t="s">
        <v>2035</v>
      </c>
      <c r="G78" s="9">
        <v>25</v>
      </c>
      <c r="H78" s="9">
        <v>478.77339336999989</v>
      </c>
      <c r="I78" s="9">
        <v>4</v>
      </c>
      <c r="J78" s="9">
        <v>101.74517147</v>
      </c>
      <c r="K78" s="9">
        <v>9</v>
      </c>
      <c r="L78" s="9">
        <v>148.26711309999999</v>
      </c>
      <c r="M78" s="9">
        <v>1</v>
      </c>
      <c r="N78" s="9">
        <v>4.0284906300000003</v>
      </c>
      <c r="O78" s="9">
        <v>3</v>
      </c>
      <c r="P78" s="9">
        <v>54.211754310000003</v>
      </c>
      <c r="Q78" s="9">
        <v>4</v>
      </c>
      <c r="R78" s="9">
        <v>90.737860420000004</v>
      </c>
      <c r="S78" s="9">
        <v>0</v>
      </c>
      <c r="T78" s="9">
        <v>0</v>
      </c>
      <c r="U78" s="9">
        <v>4</v>
      </c>
      <c r="V78" s="9">
        <v>79.783003440000002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18"/>
      <c r="AN78" s="18"/>
      <c r="AO78" s="18"/>
      <c r="AP78" s="18"/>
      <c r="AQ78" s="18"/>
      <c r="AR78" s="18"/>
      <c r="AS78" s="18"/>
      <c r="AT78" s="18"/>
    </row>
    <row r="79" spans="1:46" s="11" customFormat="1" ht="27" customHeight="1" x14ac:dyDescent="0.25">
      <c r="A79" s="66" t="s">
        <v>32</v>
      </c>
      <c r="B79" s="1">
        <f t="shared" si="2"/>
        <v>73</v>
      </c>
      <c r="C79" s="20" t="s">
        <v>2125</v>
      </c>
      <c r="D79" s="20" t="s">
        <v>2126</v>
      </c>
      <c r="E79" s="65">
        <v>12008</v>
      </c>
      <c r="F79" s="19" t="s">
        <v>2035</v>
      </c>
      <c r="G79" s="9">
        <v>132</v>
      </c>
      <c r="H79" s="9">
        <v>1522.0946745700007</v>
      </c>
      <c r="I79" s="9">
        <v>79</v>
      </c>
      <c r="J79" s="9">
        <v>956.99618369000041</v>
      </c>
      <c r="K79" s="9">
        <v>13</v>
      </c>
      <c r="L79" s="9">
        <v>167.02015414000005</v>
      </c>
      <c r="M79" s="9">
        <v>0</v>
      </c>
      <c r="N79" s="9">
        <v>0</v>
      </c>
      <c r="O79" s="9">
        <v>10</v>
      </c>
      <c r="P79" s="9">
        <v>128.17161453999998</v>
      </c>
      <c r="Q79" s="9">
        <v>8</v>
      </c>
      <c r="R79" s="9">
        <v>41.302161990000002</v>
      </c>
      <c r="S79" s="9">
        <v>1</v>
      </c>
      <c r="T79" s="9">
        <v>13.1798386</v>
      </c>
      <c r="U79" s="9">
        <v>7</v>
      </c>
      <c r="V79" s="9">
        <v>116.98110816000001</v>
      </c>
      <c r="W79" s="9">
        <v>0</v>
      </c>
      <c r="X79" s="9">
        <v>0</v>
      </c>
      <c r="Y79" s="9">
        <v>4</v>
      </c>
      <c r="Z79" s="9">
        <v>0.90308281999999984</v>
      </c>
      <c r="AA79" s="9">
        <v>5</v>
      </c>
      <c r="AB79" s="9">
        <v>4.2460941199999995</v>
      </c>
      <c r="AC79" s="9">
        <v>2</v>
      </c>
      <c r="AD79" s="9">
        <v>40.012990000000002</v>
      </c>
      <c r="AE79" s="9">
        <v>0</v>
      </c>
      <c r="AF79" s="9">
        <v>0</v>
      </c>
      <c r="AG79" s="9">
        <v>3</v>
      </c>
      <c r="AH79" s="9">
        <v>53.281446509999995</v>
      </c>
      <c r="AI79" s="9">
        <v>0</v>
      </c>
      <c r="AJ79" s="9">
        <v>0</v>
      </c>
      <c r="AK79" s="9">
        <v>0</v>
      </c>
      <c r="AL79" s="9">
        <v>0</v>
      </c>
      <c r="AM79" s="18"/>
      <c r="AN79" s="18"/>
      <c r="AO79" s="18"/>
      <c r="AP79" s="18"/>
      <c r="AQ79" s="18"/>
      <c r="AR79" s="18"/>
      <c r="AS79" s="18"/>
      <c r="AT79" s="18"/>
    </row>
    <row r="80" spans="1:46" s="11" customFormat="1" ht="27" customHeight="1" x14ac:dyDescent="0.25">
      <c r="A80" s="66" t="s">
        <v>36</v>
      </c>
      <c r="B80" s="1">
        <f t="shared" si="2"/>
        <v>74</v>
      </c>
      <c r="C80" s="20" t="s">
        <v>2146</v>
      </c>
      <c r="D80" s="20" t="s">
        <v>2147</v>
      </c>
      <c r="E80" s="65" t="s">
        <v>10</v>
      </c>
      <c r="F80" s="19" t="s">
        <v>2079</v>
      </c>
      <c r="G80" s="9">
        <v>17</v>
      </c>
      <c r="H80" s="9">
        <v>109.41784570999998</v>
      </c>
      <c r="I80" s="9">
        <v>0</v>
      </c>
      <c r="J80" s="9">
        <v>0</v>
      </c>
      <c r="K80" s="9">
        <v>9</v>
      </c>
      <c r="L80" s="9">
        <v>82.977366839999988</v>
      </c>
      <c r="M80" s="9">
        <v>0</v>
      </c>
      <c r="N80" s="9">
        <v>0</v>
      </c>
      <c r="O80" s="9">
        <v>1</v>
      </c>
      <c r="P80" s="9">
        <v>6.497928E-2</v>
      </c>
      <c r="Q80" s="9">
        <v>0</v>
      </c>
      <c r="R80" s="9">
        <v>0</v>
      </c>
      <c r="S80" s="9">
        <v>1</v>
      </c>
      <c r="T80" s="9">
        <v>9.3333333199999995</v>
      </c>
      <c r="U80" s="9">
        <v>5</v>
      </c>
      <c r="V80" s="9">
        <v>14.792193920000001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1</v>
      </c>
      <c r="AF80" s="9">
        <v>2.2499723500000002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18"/>
      <c r="AN80" s="18"/>
      <c r="AO80" s="18"/>
      <c r="AP80" s="18"/>
      <c r="AQ80" s="18"/>
      <c r="AR80" s="18"/>
      <c r="AS80" s="18"/>
      <c r="AT80" s="18"/>
    </row>
    <row r="81" spans="1:46" s="11" customFormat="1" ht="27" customHeight="1" x14ac:dyDescent="0.25">
      <c r="A81" s="66" t="s">
        <v>33</v>
      </c>
      <c r="B81" s="1">
        <f t="shared" si="2"/>
        <v>75</v>
      </c>
      <c r="C81" s="20" t="s">
        <v>2127</v>
      </c>
      <c r="D81" s="20" t="s">
        <v>2128</v>
      </c>
      <c r="E81" s="65">
        <v>10502</v>
      </c>
      <c r="F81" s="19" t="s">
        <v>2087</v>
      </c>
      <c r="G81" s="9">
        <v>3</v>
      </c>
      <c r="H81" s="9">
        <v>686.00648201000001</v>
      </c>
      <c r="I81" s="9">
        <v>0</v>
      </c>
      <c r="J81" s="9">
        <v>0</v>
      </c>
      <c r="K81" s="9">
        <v>2</v>
      </c>
      <c r="L81" s="9">
        <v>660.86759200999995</v>
      </c>
      <c r="M81" s="9">
        <v>0</v>
      </c>
      <c r="N81" s="9">
        <v>0</v>
      </c>
      <c r="O81" s="9">
        <v>1</v>
      </c>
      <c r="P81" s="9">
        <v>25.13889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18"/>
      <c r="AN81" s="18"/>
      <c r="AO81" s="18"/>
      <c r="AP81" s="18"/>
      <c r="AQ81" s="18"/>
      <c r="AR81" s="18"/>
      <c r="AS81" s="18"/>
      <c r="AT81" s="18"/>
    </row>
    <row r="82" spans="1:46" s="11" customFormat="1" ht="27" customHeight="1" x14ac:dyDescent="0.25">
      <c r="A82" s="66" t="s">
        <v>33</v>
      </c>
      <c r="B82" s="1">
        <f t="shared" si="2"/>
        <v>76</v>
      </c>
      <c r="C82" s="20" t="s">
        <v>2127</v>
      </c>
      <c r="D82" s="20" t="s">
        <v>2129</v>
      </c>
      <c r="E82" s="65">
        <v>10507</v>
      </c>
      <c r="F82" s="19" t="s">
        <v>2130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18"/>
      <c r="AN82" s="18"/>
      <c r="AO82" s="18"/>
      <c r="AP82" s="18"/>
      <c r="AQ82" s="18"/>
      <c r="AR82" s="18"/>
      <c r="AS82" s="18"/>
      <c r="AT82" s="18"/>
    </row>
    <row r="83" spans="1:46" s="11" customFormat="1" ht="27" customHeight="1" x14ac:dyDescent="0.25">
      <c r="A83" s="66" t="s">
        <v>33</v>
      </c>
      <c r="B83" s="1">
        <f t="shared" si="2"/>
        <v>77</v>
      </c>
      <c r="C83" s="20" t="s">
        <v>2127</v>
      </c>
      <c r="D83" s="20" t="s">
        <v>2131</v>
      </c>
      <c r="E83" s="65">
        <v>10508</v>
      </c>
      <c r="F83" s="19" t="s">
        <v>2041</v>
      </c>
      <c r="G83" s="9">
        <v>14</v>
      </c>
      <c r="H83" s="9">
        <v>70.789515719999997</v>
      </c>
      <c r="I83" s="9">
        <v>0</v>
      </c>
      <c r="J83" s="9">
        <v>0</v>
      </c>
      <c r="K83" s="9">
        <v>2</v>
      </c>
      <c r="L83" s="9">
        <v>0.48809399999999997</v>
      </c>
      <c r="M83" s="9">
        <v>0</v>
      </c>
      <c r="N83" s="9">
        <v>0</v>
      </c>
      <c r="O83" s="9">
        <v>1</v>
      </c>
      <c r="P83" s="9">
        <v>34.659883719999996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11</v>
      </c>
      <c r="AD83" s="9">
        <v>35.641537999999997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18"/>
      <c r="AN83" s="18"/>
      <c r="AO83" s="18"/>
      <c r="AP83" s="18"/>
      <c r="AQ83" s="18"/>
      <c r="AR83" s="18"/>
      <c r="AS83" s="18"/>
      <c r="AT83" s="18"/>
    </row>
    <row r="84" spans="1:46" s="11" customFormat="1" ht="27" customHeight="1" x14ac:dyDescent="0.25">
      <c r="A84" s="66" t="s">
        <v>33</v>
      </c>
      <c r="B84" s="1">
        <f t="shared" si="2"/>
        <v>78</v>
      </c>
      <c r="C84" s="20" t="s">
        <v>2127</v>
      </c>
      <c r="D84" s="20" t="s">
        <v>2132</v>
      </c>
      <c r="E84" s="65">
        <v>10510</v>
      </c>
      <c r="F84" s="19" t="s">
        <v>2133</v>
      </c>
      <c r="G84" s="9">
        <v>6</v>
      </c>
      <c r="H84" s="9">
        <v>283.80337694000002</v>
      </c>
      <c r="I84" s="9">
        <v>0</v>
      </c>
      <c r="J84" s="9">
        <v>0</v>
      </c>
      <c r="K84" s="9">
        <v>1</v>
      </c>
      <c r="L84" s="9">
        <v>9.3499979999999994</v>
      </c>
      <c r="M84" s="9">
        <v>0</v>
      </c>
      <c r="N84" s="9">
        <v>0</v>
      </c>
      <c r="O84" s="9">
        <v>1</v>
      </c>
      <c r="P84" s="9">
        <v>264.28308680000004</v>
      </c>
      <c r="Q84" s="9">
        <v>0</v>
      </c>
      <c r="R84" s="9">
        <v>0</v>
      </c>
      <c r="S84" s="9">
        <v>0</v>
      </c>
      <c r="T84" s="9">
        <v>0</v>
      </c>
      <c r="U84" s="9">
        <v>4</v>
      </c>
      <c r="V84" s="9">
        <v>10.170292140000001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18"/>
      <c r="AN84" s="18"/>
      <c r="AO84" s="18"/>
      <c r="AP84" s="18"/>
      <c r="AQ84" s="18"/>
      <c r="AR84" s="18"/>
      <c r="AS84" s="18"/>
      <c r="AT84" s="18"/>
    </row>
    <row r="85" spans="1:46" s="11" customFormat="1" ht="27" customHeight="1" x14ac:dyDescent="0.25">
      <c r="A85" s="66" t="s">
        <v>33</v>
      </c>
      <c r="B85" s="1">
        <f t="shared" si="2"/>
        <v>79</v>
      </c>
      <c r="C85" s="20" t="s">
        <v>2127</v>
      </c>
      <c r="D85" s="20" t="s">
        <v>2134</v>
      </c>
      <c r="E85" s="65">
        <v>10729</v>
      </c>
      <c r="F85" s="19" t="s">
        <v>2035</v>
      </c>
      <c r="G85" s="9">
        <v>108</v>
      </c>
      <c r="H85" s="9">
        <v>816.28841555000008</v>
      </c>
      <c r="I85" s="9">
        <v>52</v>
      </c>
      <c r="J85" s="9">
        <v>361.37082909000003</v>
      </c>
      <c r="K85" s="9">
        <v>14</v>
      </c>
      <c r="L85" s="9">
        <v>262.59923906</v>
      </c>
      <c r="M85" s="9">
        <v>0</v>
      </c>
      <c r="N85" s="9">
        <v>0</v>
      </c>
      <c r="O85" s="9">
        <v>6</v>
      </c>
      <c r="P85" s="9">
        <v>4.33639609</v>
      </c>
      <c r="Q85" s="9">
        <v>0</v>
      </c>
      <c r="R85" s="9">
        <v>0</v>
      </c>
      <c r="S85" s="9">
        <v>21</v>
      </c>
      <c r="T85" s="9">
        <v>107.76849680999999</v>
      </c>
      <c r="U85" s="9">
        <v>10</v>
      </c>
      <c r="V85" s="9">
        <v>51.471189869999996</v>
      </c>
      <c r="W85" s="9">
        <v>0</v>
      </c>
      <c r="X85" s="9">
        <v>0</v>
      </c>
      <c r="Y85" s="9">
        <v>0</v>
      </c>
      <c r="Z85" s="9">
        <v>0</v>
      </c>
      <c r="AA85" s="9">
        <v>1</v>
      </c>
      <c r="AB85" s="9">
        <v>2.2252228999999999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4</v>
      </c>
      <c r="AL85" s="9">
        <v>26.517041729999999</v>
      </c>
      <c r="AM85" s="18"/>
      <c r="AN85" s="18"/>
      <c r="AO85" s="18"/>
      <c r="AP85" s="18"/>
      <c r="AQ85" s="18"/>
      <c r="AR85" s="18"/>
      <c r="AS85" s="18"/>
      <c r="AT85" s="18"/>
    </row>
    <row r="86" spans="1:46" s="11" customFormat="1" ht="27" customHeight="1" x14ac:dyDescent="0.25">
      <c r="A86" s="66" t="s">
        <v>33</v>
      </c>
      <c r="B86" s="1">
        <f t="shared" si="2"/>
        <v>80</v>
      </c>
      <c r="C86" s="20" t="s">
        <v>2127</v>
      </c>
      <c r="D86" s="20" t="s">
        <v>2183</v>
      </c>
      <c r="E86" s="65">
        <v>12029</v>
      </c>
      <c r="F86" s="19" t="s">
        <v>2047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18"/>
      <c r="AN86" s="18"/>
      <c r="AO86" s="18"/>
      <c r="AP86" s="18"/>
      <c r="AQ86" s="18"/>
      <c r="AR86" s="18"/>
      <c r="AS86" s="18"/>
      <c r="AT86" s="18"/>
    </row>
    <row r="87" spans="1:46" s="11" customFormat="1" ht="27" customHeight="1" x14ac:dyDescent="0.25">
      <c r="A87" s="66" t="s">
        <v>37</v>
      </c>
      <c r="B87" s="1">
        <f t="shared" si="2"/>
        <v>81</v>
      </c>
      <c r="C87" s="20" t="s">
        <v>2148</v>
      </c>
      <c r="D87" s="20" t="s">
        <v>2149</v>
      </c>
      <c r="E87" s="65" t="s">
        <v>13</v>
      </c>
      <c r="F87" s="19" t="s">
        <v>2045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18"/>
      <c r="AN87" s="18"/>
      <c r="AO87" s="18"/>
      <c r="AP87" s="18"/>
      <c r="AQ87" s="18"/>
      <c r="AR87" s="18"/>
      <c r="AS87" s="18"/>
      <c r="AT87" s="18"/>
    </row>
    <row r="88" spans="1:46" s="11" customFormat="1" ht="27" customHeight="1" x14ac:dyDescent="0.25">
      <c r="A88" s="66" t="s">
        <v>37</v>
      </c>
      <c r="B88" s="1">
        <f t="shared" si="2"/>
        <v>82</v>
      </c>
      <c r="C88" s="20" t="s">
        <v>2148</v>
      </c>
      <c r="D88" s="20" t="s">
        <v>2150</v>
      </c>
      <c r="E88" s="65" t="s">
        <v>7</v>
      </c>
      <c r="F88" s="19" t="s">
        <v>2049</v>
      </c>
      <c r="G88" s="9">
        <v>1113</v>
      </c>
      <c r="H88" s="9">
        <v>21051.136205500061</v>
      </c>
      <c r="I88" s="9">
        <v>1113</v>
      </c>
      <c r="J88" s="9">
        <v>21051.136205500061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18"/>
      <c r="AN88" s="18"/>
      <c r="AO88" s="18"/>
      <c r="AP88" s="18"/>
      <c r="AQ88" s="18"/>
      <c r="AR88" s="18"/>
      <c r="AS88" s="18"/>
      <c r="AT88" s="18"/>
    </row>
    <row r="89" spans="1:46" s="11" customFormat="1" ht="27" customHeight="1" x14ac:dyDescent="0.25">
      <c r="A89" s="66" t="s">
        <v>37</v>
      </c>
      <c r="B89" s="1">
        <f t="shared" si="2"/>
        <v>83</v>
      </c>
      <c r="C89" s="20" t="s">
        <v>2148</v>
      </c>
      <c r="D89" s="20" t="s">
        <v>2151</v>
      </c>
      <c r="E89" s="65" t="s">
        <v>5</v>
      </c>
      <c r="F89" s="19" t="s">
        <v>2037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18"/>
      <c r="AN89" s="18"/>
      <c r="AO89" s="18"/>
      <c r="AP89" s="18"/>
      <c r="AQ89" s="18"/>
      <c r="AR89" s="18"/>
      <c r="AS89" s="18"/>
      <c r="AT89" s="18"/>
    </row>
    <row r="90" spans="1:46" s="11" customFormat="1" ht="27" customHeight="1" x14ac:dyDescent="0.25">
      <c r="A90" s="66" t="s">
        <v>37</v>
      </c>
      <c r="B90" s="1">
        <f t="shared" si="2"/>
        <v>84</v>
      </c>
      <c r="C90" s="20" t="s">
        <v>2148</v>
      </c>
      <c r="D90" s="20" t="s">
        <v>2152</v>
      </c>
      <c r="E90" s="65" t="s">
        <v>6</v>
      </c>
      <c r="F90" s="19" t="s">
        <v>2047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18"/>
      <c r="AN90" s="18"/>
      <c r="AO90" s="18"/>
      <c r="AP90" s="18"/>
      <c r="AQ90" s="18"/>
      <c r="AR90" s="18"/>
      <c r="AS90" s="18"/>
      <c r="AT90" s="18"/>
    </row>
    <row r="91" spans="1:46" s="11" customFormat="1" ht="27" customHeight="1" x14ac:dyDescent="0.25">
      <c r="A91" s="66" t="s">
        <v>37</v>
      </c>
      <c r="B91" s="1">
        <f t="shared" si="2"/>
        <v>85</v>
      </c>
      <c r="C91" s="20" t="s">
        <v>2148</v>
      </c>
      <c r="D91" s="20" t="s">
        <v>2153</v>
      </c>
      <c r="E91" s="65" t="s">
        <v>4</v>
      </c>
      <c r="F91" s="19" t="s">
        <v>2060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18"/>
      <c r="AN91" s="18"/>
      <c r="AO91" s="18"/>
      <c r="AP91" s="18"/>
      <c r="AQ91" s="18"/>
      <c r="AR91" s="18"/>
      <c r="AS91" s="18"/>
      <c r="AT91" s="18"/>
    </row>
    <row r="92" spans="1:46" s="11" customFormat="1" ht="27" customHeight="1" x14ac:dyDescent="0.25">
      <c r="A92" s="66" t="s">
        <v>37</v>
      </c>
      <c r="B92" s="1">
        <f t="shared" si="2"/>
        <v>86</v>
      </c>
      <c r="C92" s="20" t="s">
        <v>2148</v>
      </c>
      <c r="D92" s="20" t="s">
        <v>2154</v>
      </c>
      <c r="E92" s="65" t="s">
        <v>9</v>
      </c>
      <c r="F92" s="19" t="s">
        <v>2041</v>
      </c>
      <c r="G92" s="9">
        <v>343</v>
      </c>
      <c r="H92" s="9">
        <v>5012.1338274700011</v>
      </c>
      <c r="I92" s="9">
        <v>0</v>
      </c>
      <c r="J92" s="9">
        <v>0</v>
      </c>
      <c r="K92" s="9">
        <v>0</v>
      </c>
      <c r="L92" s="9">
        <v>0</v>
      </c>
      <c r="M92" s="9">
        <v>343</v>
      </c>
      <c r="N92" s="9">
        <v>5012.1338274700011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18"/>
      <c r="AN92" s="18"/>
      <c r="AO92" s="18"/>
      <c r="AP92" s="18"/>
      <c r="AQ92" s="18"/>
      <c r="AR92" s="18"/>
      <c r="AS92" s="18"/>
      <c r="AT92" s="18"/>
    </row>
    <row r="93" spans="1:46" s="11" customFormat="1" ht="27" customHeight="1" x14ac:dyDescent="0.25">
      <c r="A93" s="66" t="s">
        <v>37</v>
      </c>
      <c r="B93" s="1">
        <f t="shared" si="2"/>
        <v>87</v>
      </c>
      <c r="C93" s="20" t="s">
        <v>2148</v>
      </c>
      <c r="D93" s="20" t="s">
        <v>2155</v>
      </c>
      <c r="E93" s="65" t="s">
        <v>8</v>
      </c>
      <c r="F93" s="19" t="s">
        <v>2073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18"/>
      <c r="AN93" s="18"/>
      <c r="AO93" s="18"/>
      <c r="AP93" s="18"/>
      <c r="AQ93" s="18"/>
      <c r="AR93" s="18"/>
      <c r="AS93" s="18"/>
      <c r="AT93" s="18"/>
    </row>
    <row r="94" spans="1:46" s="11" customFormat="1" ht="27" customHeight="1" x14ac:dyDescent="0.25">
      <c r="A94" s="66" t="s">
        <v>37</v>
      </c>
      <c r="B94" s="1">
        <f t="shared" si="2"/>
        <v>88</v>
      </c>
      <c r="C94" s="20" t="s">
        <v>2148</v>
      </c>
      <c r="D94" s="20" t="s">
        <v>2156</v>
      </c>
      <c r="E94" s="65" t="s">
        <v>3</v>
      </c>
      <c r="F94" s="19" t="s">
        <v>2107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18"/>
      <c r="AN94" s="18"/>
      <c r="AO94" s="18"/>
      <c r="AP94" s="18"/>
      <c r="AQ94" s="18"/>
      <c r="AR94" s="18"/>
      <c r="AS94" s="18"/>
      <c r="AT94" s="18"/>
    </row>
    <row r="95" spans="1:46" s="11" customFormat="1" ht="27" customHeight="1" x14ac:dyDescent="0.25">
      <c r="A95" s="66" t="s">
        <v>37</v>
      </c>
      <c r="B95" s="1">
        <f t="shared" si="2"/>
        <v>89</v>
      </c>
      <c r="C95" s="20" t="s">
        <v>2148</v>
      </c>
      <c r="D95" s="20" t="s">
        <v>2157</v>
      </c>
      <c r="E95" s="65" t="s">
        <v>2</v>
      </c>
      <c r="F95" s="19" t="s">
        <v>2035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18"/>
      <c r="AN95" s="18"/>
      <c r="AO95" s="18"/>
      <c r="AP95" s="18"/>
      <c r="AQ95" s="18"/>
      <c r="AR95" s="18"/>
      <c r="AS95" s="18"/>
      <c r="AT95" s="18"/>
    </row>
    <row r="96" spans="1:46" s="11" customFormat="1" ht="27" customHeight="1" x14ac:dyDescent="0.25">
      <c r="A96" s="66" t="s">
        <v>38</v>
      </c>
      <c r="B96" s="1">
        <f t="shared" si="2"/>
        <v>90</v>
      </c>
      <c r="C96" s="20" t="s">
        <v>2158</v>
      </c>
      <c r="D96" s="20" t="s">
        <v>2159</v>
      </c>
      <c r="E96" s="65">
        <v>11853</v>
      </c>
      <c r="F96" s="19" t="s">
        <v>2107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18"/>
      <c r="AN96" s="18"/>
      <c r="AO96" s="18"/>
      <c r="AP96" s="18"/>
      <c r="AQ96" s="18"/>
      <c r="AR96" s="18"/>
      <c r="AS96" s="18"/>
      <c r="AT96" s="18"/>
    </row>
    <row r="97" spans="1:46" s="11" customFormat="1" ht="27" customHeight="1" x14ac:dyDescent="0.25">
      <c r="A97" s="66" t="s">
        <v>41</v>
      </c>
      <c r="B97" s="1">
        <f t="shared" si="2"/>
        <v>91</v>
      </c>
      <c r="C97" s="20" t="s">
        <v>2164</v>
      </c>
      <c r="D97" s="20" t="s">
        <v>2164</v>
      </c>
      <c r="E97" s="65" t="s">
        <v>25</v>
      </c>
      <c r="F97" s="19" t="s">
        <v>2039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18"/>
      <c r="AN97" s="18"/>
      <c r="AO97" s="18"/>
      <c r="AP97" s="18"/>
      <c r="AQ97" s="18"/>
      <c r="AR97" s="18"/>
      <c r="AS97" s="18"/>
      <c r="AT97" s="18"/>
    </row>
    <row r="98" spans="1:46" s="11" customFormat="1" ht="27" customHeight="1" x14ac:dyDescent="0.25">
      <c r="A98" s="66" t="s">
        <v>39</v>
      </c>
      <c r="B98" s="1">
        <f t="shared" si="2"/>
        <v>92</v>
      </c>
      <c r="C98" s="20" t="s">
        <v>2160</v>
      </c>
      <c r="D98" s="20" t="s">
        <v>2161</v>
      </c>
      <c r="E98" s="65" t="s">
        <v>19</v>
      </c>
      <c r="F98" s="19" t="s">
        <v>2054</v>
      </c>
      <c r="G98" s="9">
        <v>2</v>
      </c>
      <c r="H98" s="9">
        <v>798.51269223999998</v>
      </c>
      <c r="I98" s="9">
        <v>0</v>
      </c>
      <c r="J98" s="9">
        <v>0</v>
      </c>
      <c r="K98" s="9">
        <v>1</v>
      </c>
      <c r="L98" s="9">
        <v>380.03525411999999</v>
      </c>
      <c r="M98" s="9">
        <v>0</v>
      </c>
      <c r="N98" s="9">
        <v>0</v>
      </c>
      <c r="O98" s="9">
        <v>1</v>
      </c>
      <c r="P98" s="9">
        <v>418.47743811999999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18"/>
      <c r="AN98" s="18"/>
      <c r="AO98" s="18"/>
      <c r="AP98" s="18"/>
      <c r="AQ98" s="18"/>
      <c r="AR98" s="18"/>
      <c r="AS98" s="18"/>
      <c r="AT98" s="18"/>
    </row>
    <row r="99" spans="1:46" s="11" customFormat="1" ht="27" customHeight="1" x14ac:dyDescent="0.25">
      <c r="A99" s="66" t="s">
        <v>39</v>
      </c>
      <c r="B99" s="1">
        <f t="shared" si="2"/>
        <v>93</v>
      </c>
      <c r="C99" s="20" t="s">
        <v>2160</v>
      </c>
      <c r="D99" s="20" t="s">
        <v>2162</v>
      </c>
      <c r="E99" s="65" t="s">
        <v>20</v>
      </c>
      <c r="F99" s="19" t="s">
        <v>2107</v>
      </c>
      <c r="G99" s="9">
        <v>2</v>
      </c>
      <c r="H99" s="9">
        <v>702.11672237000005</v>
      </c>
      <c r="I99" s="9">
        <v>0</v>
      </c>
      <c r="J99" s="9">
        <v>0</v>
      </c>
      <c r="K99" s="9">
        <v>1</v>
      </c>
      <c r="L99" s="9">
        <v>259.81555564000001</v>
      </c>
      <c r="M99" s="9">
        <v>0</v>
      </c>
      <c r="N99" s="9">
        <v>0</v>
      </c>
      <c r="O99" s="9">
        <v>1</v>
      </c>
      <c r="P99" s="9">
        <v>442.30116673000003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18"/>
      <c r="AN99" s="18"/>
      <c r="AO99" s="18"/>
      <c r="AP99" s="18"/>
      <c r="AQ99" s="18"/>
      <c r="AR99" s="18"/>
      <c r="AS99" s="18"/>
      <c r="AT99" s="18"/>
    </row>
    <row r="100" spans="1:46" s="11" customFormat="1" ht="27" customHeight="1" x14ac:dyDescent="0.25">
      <c r="A100" s="66" t="s">
        <v>40</v>
      </c>
      <c r="B100" s="1">
        <f t="shared" si="2"/>
        <v>94</v>
      </c>
      <c r="C100" s="20" t="s">
        <v>2163</v>
      </c>
      <c r="D100" s="20" t="s">
        <v>2163</v>
      </c>
      <c r="E100" s="65" t="s">
        <v>24</v>
      </c>
      <c r="F100" s="19" t="s">
        <v>2037</v>
      </c>
      <c r="G100" s="9">
        <v>154</v>
      </c>
      <c r="H100" s="9">
        <v>3281.4019851499997</v>
      </c>
      <c r="I100" s="9">
        <v>91</v>
      </c>
      <c r="J100" s="9">
        <v>2352.2700990299995</v>
      </c>
      <c r="K100" s="9">
        <v>11</v>
      </c>
      <c r="L100" s="9">
        <v>271.70531064000005</v>
      </c>
      <c r="M100" s="9">
        <v>0</v>
      </c>
      <c r="N100" s="9">
        <v>0</v>
      </c>
      <c r="O100" s="9">
        <v>3</v>
      </c>
      <c r="P100" s="9">
        <v>86.412468950000004</v>
      </c>
      <c r="Q100" s="9">
        <v>3</v>
      </c>
      <c r="R100" s="9">
        <v>167.11738262</v>
      </c>
      <c r="S100" s="9">
        <v>0</v>
      </c>
      <c r="T100" s="9">
        <v>0</v>
      </c>
      <c r="U100" s="9">
        <v>2</v>
      </c>
      <c r="V100" s="9">
        <v>0.98171301</v>
      </c>
      <c r="W100" s="9">
        <v>8</v>
      </c>
      <c r="X100" s="9">
        <v>114.11745735999999</v>
      </c>
      <c r="Y100" s="9">
        <v>6</v>
      </c>
      <c r="Z100" s="9">
        <v>83.391937659999996</v>
      </c>
      <c r="AA100" s="9">
        <v>5</v>
      </c>
      <c r="AB100" s="9">
        <v>34.724235299999997</v>
      </c>
      <c r="AC100" s="9">
        <v>0</v>
      </c>
      <c r="AD100" s="9">
        <v>0</v>
      </c>
      <c r="AE100" s="9">
        <v>9</v>
      </c>
      <c r="AF100" s="9">
        <v>20.732069199999998</v>
      </c>
      <c r="AG100" s="9">
        <v>16</v>
      </c>
      <c r="AH100" s="9">
        <v>149.94931137999998</v>
      </c>
      <c r="AI100" s="9">
        <v>0</v>
      </c>
      <c r="AJ100" s="9">
        <v>0</v>
      </c>
      <c r="AK100" s="9">
        <v>0</v>
      </c>
      <c r="AL100" s="9">
        <v>0</v>
      </c>
      <c r="AM100" s="18"/>
      <c r="AN100" s="18"/>
      <c r="AO100" s="18"/>
      <c r="AP100" s="18"/>
      <c r="AQ100" s="18"/>
      <c r="AR100" s="18"/>
      <c r="AS100" s="18"/>
      <c r="AT100" s="18"/>
    </row>
    <row r="101" spans="1:46" s="11" customFormat="1" ht="27" customHeight="1" x14ac:dyDescent="0.25">
      <c r="A101" s="66" t="s">
        <v>44</v>
      </c>
      <c r="B101" s="1">
        <f t="shared" si="2"/>
        <v>95</v>
      </c>
      <c r="C101" s="20" t="s">
        <v>2184</v>
      </c>
      <c r="D101" s="20" t="s">
        <v>2184</v>
      </c>
      <c r="E101" s="65" t="s">
        <v>43</v>
      </c>
      <c r="F101" s="19" t="s">
        <v>2047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18"/>
      <c r="AN101" s="18"/>
      <c r="AO101" s="18"/>
      <c r="AP101" s="18"/>
      <c r="AQ101" s="18"/>
      <c r="AR101" s="18"/>
      <c r="AS101" s="18"/>
      <c r="AT101" s="18"/>
    </row>
    <row r="102" spans="1:46" x14ac:dyDescent="0.25"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</row>
  </sheetData>
  <mergeCells count="22">
    <mergeCell ref="S4:T4"/>
    <mergeCell ref="B3:B5"/>
    <mergeCell ref="C3:C5"/>
    <mergeCell ref="D3:D5"/>
    <mergeCell ref="E3:E5"/>
    <mergeCell ref="F3:F5"/>
    <mergeCell ref="U4:V4"/>
    <mergeCell ref="G3:H4"/>
    <mergeCell ref="I3:AL3"/>
    <mergeCell ref="I4:J4"/>
    <mergeCell ref="AA4:AB4"/>
    <mergeCell ref="AC4:AD4"/>
    <mergeCell ref="AE4:AF4"/>
    <mergeCell ref="AG4:AH4"/>
    <mergeCell ref="AI4:AJ4"/>
    <mergeCell ref="AK4:AL4"/>
    <mergeCell ref="W4:X4"/>
    <mergeCell ref="Y4:Z4"/>
    <mergeCell ref="K4:L4"/>
    <mergeCell ref="M4:N4"/>
    <mergeCell ref="O4:P4"/>
    <mergeCell ref="Q4:R4"/>
  </mergeCells>
  <printOptions horizontalCentered="1"/>
  <pageMargins left="0.19685039370078741" right="0.19685039370078741" top="0.59055118110236227" bottom="0.39370078740157483" header="0" footer="0"/>
  <pageSetup paperSize="9" scale="27" fitToHeight="10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D0BC-98C9-4A4D-9E18-9016F8604495}">
  <sheetPr>
    <tabColor rgb="FF92D050"/>
  </sheetPr>
  <dimension ref="A1:AX1059"/>
  <sheetViews>
    <sheetView tabSelected="1" zoomScale="70" zoomScaleNormal="70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I6" sqref="I6"/>
    </sheetView>
  </sheetViews>
  <sheetFormatPr defaultRowHeight="15.75" x14ac:dyDescent="0.25"/>
  <cols>
    <col min="1" max="1" width="6.42578125" style="48" customWidth="1"/>
    <col min="2" max="2" width="15.140625" style="48" customWidth="1"/>
    <col min="3" max="3" width="9.28515625" style="48" customWidth="1"/>
    <col min="4" max="4" width="21.42578125" style="48" customWidth="1"/>
    <col min="5" max="5" width="9.28515625" style="48" customWidth="1"/>
    <col min="6" max="6" width="38.85546875" style="48" customWidth="1"/>
    <col min="7" max="7" width="9.28515625" style="48" bestFit="1" customWidth="1"/>
    <col min="8" max="8" width="42.7109375" style="48" customWidth="1"/>
    <col min="9" max="9" width="12.7109375" style="48" customWidth="1"/>
    <col min="10" max="10" width="9.5703125" style="48" customWidth="1"/>
    <col min="11" max="11" width="25.85546875" style="48" customWidth="1"/>
    <col min="12" max="12" width="22.5703125" style="48" bestFit="1" customWidth="1"/>
    <col min="13" max="13" width="9.28515625" style="48" customWidth="1"/>
    <col min="14" max="14" width="20.5703125" style="48" customWidth="1"/>
    <col min="15" max="15" width="19.5703125" style="48" customWidth="1"/>
    <col min="16" max="16" width="23.140625" style="48" customWidth="1"/>
    <col min="17" max="17" width="12.85546875" style="48" customWidth="1"/>
    <col min="18" max="18" width="12.42578125" style="48" customWidth="1"/>
    <col min="19" max="19" width="9.28515625" style="48" customWidth="1"/>
    <col min="20" max="20" width="12.140625" style="48" customWidth="1"/>
    <col min="21" max="21" width="21.7109375" style="48" customWidth="1"/>
    <col min="22" max="22" width="22" style="48" customWidth="1"/>
    <col min="23" max="23" width="19.7109375" style="48" customWidth="1"/>
    <col min="24" max="24" width="15.5703125" style="51" customWidth="1"/>
    <col min="25" max="26" width="18.140625" style="48" customWidth="1"/>
    <col min="27" max="27" width="15.5703125" style="48" customWidth="1"/>
    <col min="28" max="29" width="18" style="48" customWidth="1"/>
    <col min="30" max="32" width="15.5703125" style="48" customWidth="1"/>
    <col min="33" max="33" width="16.140625" style="48" customWidth="1"/>
    <col min="34" max="34" width="16" style="48" customWidth="1"/>
    <col min="35" max="35" width="12.28515625" style="48" customWidth="1"/>
    <col min="36" max="37" width="15.5703125" style="48" customWidth="1"/>
    <col min="38" max="38" width="23.5703125" style="48" customWidth="1"/>
    <col min="39" max="39" width="26" style="48" customWidth="1"/>
    <col min="40" max="40" width="22.85546875" style="48" customWidth="1"/>
    <col min="41" max="41" width="20.7109375" style="48" customWidth="1"/>
    <col min="42" max="42" width="19.140625" style="48" customWidth="1"/>
    <col min="43" max="43" width="12.7109375" style="48" customWidth="1"/>
    <col min="44" max="44" width="21.7109375" style="48" customWidth="1"/>
    <col min="45" max="45" width="12.7109375" style="48" customWidth="1"/>
    <col min="46" max="46" width="21.7109375" style="48" customWidth="1"/>
    <col min="47" max="47" width="12.7109375" style="48" customWidth="1"/>
    <col min="48" max="48" width="21.7109375" style="48" customWidth="1"/>
    <col min="49" max="49" width="12.7109375" style="48" customWidth="1"/>
    <col min="50" max="50" width="21.7109375" style="48" customWidth="1"/>
    <col min="51" max="16384" width="9.140625" style="48"/>
  </cols>
  <sheetData>
    <row r="1" spans="1:50" ht="27" x14ac:dyDescent="0.35">
      <c r="A1" s="47" t="s">
        <v>2288</v>
      </c>
      <c r="U1" s="49">
        <f>+SUM(U6:U1059)</f>
        <v>6430064744912.9883</v>
      </c>
      <c r="X1" s="48"/>
      <c r="AA1" s="50"/>
      <c r="AM1" s="48">
        <v>1756.89</v>
      </c>
      <c r="AN1" s="48">
        <v>12199.1</v>
      </c>
      <c r="AO1" s="48">
        <v>887798</v>
      </c>
      <c r="AP1" s="48">
        <f>+AO1*AN1</f>
        <v>10830336581.800001</v>
      </c>
      <c r="AQ1" s="49">
        <f t="shared" ref="AQ1:AX1" si="0">+SUBTOTAL(9,AQ6:AQ1059)</f>
        <v>22195</v>
      </c>
      <c r="AR1" s="49">
        <f t="shared" si="0"/>
        <v>1711770563.2099943</v>
      </c>
      <c r="AS1" s="49">
        <f t="shared" si="0"/>
        <v>13024</v>
      </c>
      <c r="AT1" s="49">
        <f t="shared" si="0"/>
        <v>829219836.08000112</v>
      </c>
      <c r="AU1" s="49">
        <f t="shared" si="0"/>
        <v>27478</v>
      </c>
      <c r="AV1" s="49">
        <f t="shared" si="0"/>
        <v>12176790191.949995</v>
      </c>
      <c r="AW1" s="49">
        <f t="shared" si="0"/>
        <v>14596</v>
      </c>
      <c r="AX1" s="49">
        <f t="shared" si="0"/>
        <v>20172490912.619976</v>
      </c>
    </row>
    <row r="2" spans="1:50" ht="56.25" customHeight="1" x14ac:dyDescent="0.25">
      <c r="A2" s="91" t="s">
        <v>0</v>
      </c>
      <c r="B2" s="91" t="s">
        <v>2289</v>
      </c>
      <c r="C2" s="91" t="s">
        <v>2290</v>
      </c>
      <c r="D2" s="91" t="s">
        <v>2291</v>
      </c>
      <c r="E2" s="91" t="s">
        <v>2292</v>
      </c>
      <c r="F2" s="91" t="s">
        <v>2009</v>
      </c>
      <c r="G2" s="91" t="s">
        <v>2293</v>
      </c>
      <c r="H2" s="91" t="s">
        <v>2294</v>
      </c>
      <c r="I2" s="91" t="s">
        <v>2295</v>
      </c>
      <c r="J2" s="91" t="s">
        <v>2296</v>
      </c>
      <c r="K2" s="91" t="s">
        <v>2297</v>
      </c>
      <c r="L2" s="91" t="s">
        <v>2298</v>
      </c>
      <c r="M2" s="91" t="s">
        <v>2299</v>
      </c>
      <c r="N2" s="91" t="s">
        <v>2300</v>
      </c>
      <c r="O2" s="91" t="s">
        <v>2301</v>
      </c>
      <c r="P2" s="91" t="s">
        <v>2302</v>
      </c>
      <c r="Q2" s="91" t="s">
        <v>2303</v>
      </c>
      <c r="R2" s="91" t="s">
        <v>2304</v>
      </c>
      <c r="S2" s="91" t="s">
        <v>2305</v>
      </c>
      <c r="T2" s="91" t="s">
        <v>2306</v>
      </c>
      <c r="U2" s="91" t="s">
        <v>2307</v>
      </c>
      <c r="V2" s="92" t="s">
        <v>2234</v>
      </c>
      <c r="W2" s="92"/>
      <c r="X2" s="92"/>
      <c r="Y2" s="92"/>
      <c r="Z2" s="92"/>
      <c r="AA2" s="91" t="s">
        <v>2308</v>
      </c>
      <c r="AB2" s="91" t="s">
        <v>2309</v>
      </c>
      <c r="AC2" s="91" t="s">
        <v>2310</v>
      </c>
      <c r="AD2" s="94" t="s">
        <v>2311</v>
      </c>
      <c r="AE2" s="94"/>
      <c r="AF2" s="94"/>
      <c r="AG2" s="94"/>
      <c r="AH2" s="94"/>
      <c r="AI2" s="94"/>
      <c r="AJ2" s="94" t="s">
        <v>2312</v>
      </c>
      <c r="AK2" s="94" t="s">
        <v>2313</v>
      </c>
      <c r="AL2" s="91" t="s">
        <v>2314</v>
      </c>
      <c r="AM2" s="91" t="s">
        <v>2315</v>
      </c>
      <c r="AN2" s="91" t="s">
        <v>2316</v>
      </c>
      <c r="AO2" s="91" t="s">
        <v>2317</v>
      </c>
      <c r="AP2" s="91" t="s">
        <v>2318</v>
      </c>
      <c r="AQ2" s="91" t="s">
        <v>2319</v>
      </c>
      <c r="AR2" s="91"/>
      <c r="AS2" s="91"/>
      <c r="AT2" s="91"/>
      <c r="AU2" s="91" t="s">
        <v>2320</v>
      </c>
      <c r="AV2" s="91"/>
      <c r="AW2" s="91"/>
      <c r="AX2" s="91"/>
    </row>
    <row r="3" spans="1:50" ht="71.2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 t="s">
        <v>2321</v>
      </c>
      <c r="W3" s="92" t="s">
        <v>2322</v>
      </c>
      <c r="X3" s="93" t="s">
        <v>2323</v>
      </c>
      <c r="Y3" s="92" t="s">
        <v>2324</v>
      </c>
      <c r="Z3" s="93" t="s">
        <v>2325</v>
      </c>
      <c r="AA3" s="91"/>
      <c r="AB3" s="91"/>
      <c r="AC3" s="91"/>
      <c r="AD3" s="94" t="s">
        <v>2326</v>
      </c>
      <c r="AE3" s="94" t="s">
        <v>2327</v>
      </c>
      <c r="AF3" s="94" t="s">
        <v>2328</v>
      </c>
      <c r="AG3" s="94" t="s">
        <v>2329</v>
      </c>
      <c r="AH3" s="94">
        <v>91501</v>
      </c>
      <c r="AI3" s="94">
        <v>91503</v>
      </c>
      <c r="AJ3" s="94"/>
      <c r="AK3" s="94"/>
      <c r="AL3" s="91"/>
      <c r="AM3" s="91"/>
      <c r="AN3" s="91"/>
      <c r="AO3" s="91"/>
      <c r="AP3" s="91"/>
      <c r="AQ3" s="91" t="s">
        <v>2330</v>
      </c>
      <c r="AR3" s="91"/>
      <c r="AS3" s="91" t="s">
        <v>2331</v>
      </c>
      <c r="AT3" s="91"/>
      <c r="AU3" s="91" t="s">
        <v>2330</v>
      </c>
      <c r="AV3" s="91"/>
      <c r="AW3" s="91" t="s">
        <v>2331</v>
      </c>
      <c r="AX3" s="91"/>
    </row>
    <row r="4" spans="1:50" ht="71.25" customHeight="1" x14ac:dyDescent="0.25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92"/>
      <c r="X4" s="93"/>
      <c r="Y4" s="92"/>
      <c r="Z4" s="93"/>
      <c r="AA4" s="91"/>
      <c r="AB4" s="91"/>
      <c r="AC4" s="91"/>
      <c r="AD4" s="94"/>
      <c r="AE4" s="94"/>
      <c r="AF4" s="94"/>
      <c r="AG4" s="94"/>
      <c r="AH4" s="94"/>
      <c r="AI4" s="94"/>
      <c r="AJ4" s="94"/>
      <c r="AK4" s="94"/>
      <c r="AL4" s="91"/>
      <c r="AM4" s="91"/>
      <c r="AN4" s="91"/>
      <c r="AO4" s="91"/>
      <c r="AP4" s="91"/>
      <c r="AQ4" s="63" t="s">
        <v>2029</v>
      </c>
      <c r="AR4" s="63" t="s">
        <v>2332</v>
      </c>
      <c r="AS4" s="63" t="s">
        <v>2029</v>
      </c>
      <c r="AT4" s="63" t="s">
        <v>2332</v>
      </c>
      <c r="AU4" s="63" t="s">
        <v>2029</v>
      </c>
      <c r="AV4" s="63" t="s">
        <v>2332</v>
      </c>
      <c r="AW4" s="63" t="s">
        <v>2029</v>
      </c>
      <c r="AX4" s="63" t="s">
        <v>2332</v>
      </c>
    </row>
    <row r="5" spans="1:50" x14ac:dyDescent="0.25">
      <c r="A5" s="63" t="s">
        <v>2333</v>
      </c>
      <c r="B5" s="63">
        <v>0</v>
      </c>
      <c r="C5" s="63">
        <v>1</v>
      </c>
      <c r="D5" s="63">
        <f>+C5+1</f>
        <v>2</v>
      </c>
      <c r="E5" s="63">
        <f t="shared" ref="E5:AP5" si="1">+D5+1</f>
        <v>3</v>
      </c>
      <c r="F5" s="63">
        <f t="shared" si="1"/>
        <v>4</v>
      </c>
      <c r="G5" s="63">
        <f t="shared" si="1"/>
        <v>5</v>
      </c>
      <c r="H5" s="63">
        <f t="shared" si="1"/>
        <v>6</v>
      </c>
      <c r="I5" s="63">
        <f t="shared" si="1"/>
        <v>7</v>
      </c>
      <c r="J5" s="63">
        <f t="shared" si="1"/>
        <v>8</v>
      </c>
      <c r="K5" s="63">
        <f t="shared" si="1"/>
        <v>9</v>
      </c>
      <c r="L5" s="63">
        <f t="shared" si="1"/>
        <v>10</v>
      </c>
      <c r="M5" s="63">
        <f t="shared" si="1"/>
        <v>11</v>
      </c>
      <c r="N5" s="63">
        <f t="shared" si="1"/>
        <v>12</v>
      </c>
      <c r="O5" s="63">
        <f t="shared" si="1"/>
        <v>13</v>
      </c>
      <c r="P5" s="63">
        <f t="shared" si="1"/>
        <v>14</v>
      </c>
      <c r="Q5" s="63">
        <f t="shared" si="1"/>
        <v>15</v>
      </c>
      <c r="R5" s="63">
        <f t="shared" si="1"/>
        <v>16</v>
      </c>
      <c r="S5" s="63">
        <f t="shared" si="1"/>
        <v>17</v>
      </c>
      <c r="T5" s="63">
        <f t="shared" si="1"/>
        <v>18</v>
      </c>
      <c r="U5" s="63">
        <f t="shared" si="1"/>
        <v>19</v>
      </c>
      <c r="V5" s="63">
        <f t="shared" si="1"/>
        <v>20</v>
      </c>
      <c r="W5" s="63">
        <f t="shared" si="1"/>
        <v>21</v>
      </c>
      <c r="X5" s="63">
        <f t="shared" si="1"/>
        <v>22</v>
      </c>
      <c r="Y5" s="63">
        <f t="shared" si="1"/>
        <v>23</v>
      </c>
      <c r="Z5" s="63">
        <f t="shared" si="1"/>
        <v>24</v>
      </c>
      <c r="AA5" s="63">
        <f t="shared" si="1"/>
        <v>25</v>
      </c>
      <c r="AB5" s="63">
        <f t="shared" si="1"/>
        <v>26</v>
      </c>
      <c r="AC5" s="63">
        <f t="shared" si="1"/>
        <v>27</v>
      </c>
      <c r="AD5" s="63">
        <f t="shared" si="1"/>
        <v>28</v>
      </c>
      <c r="AE5" s="63">
        <f t="shared" si="1"/>
        <v>29</v>
      </c>
      <c r="AF5" s="63">
        <f t="shared" si="1"/>
        <v>30</v>
      </c>
      <c r="AG5" s="63">
        <f t="shared" si="1"/>
        <v>31</v>
      </c>
      <c r="AH5" s="63">
        <f t="shared" si="1"/>
        <v>32</v>
      </c>
      <c r="AI5" s="63">
        <f t="shared" si="1"/>
        <v>33</v>
      </c>
      <c r="AJ5" s="63">
        <f t="shared" si="1"/>
        <v>34</v>
      </c>
      <c r="AK5" s="63">
        <f t="shared" si="1"/>
        <v>35</v>
      </c>
      <c r="AL5" s="63">
        <f t="shared" si="1"/>
        <v>36</v>
      </c>
      <c r="AM5" s="63">
        <f t="shared" si="1"/>
        <v>37</v>
      </c>
      <c r="AN5" s="63">
        <f t="shared" si="1"/>
        <v>38</v>
      </c>
      <c r="AO5" s="63">
        <f t="shared" si="1"/>
        <v>39</v>
      </c>
      <c r="AP5" s="63">
        <f t="shared" si="1"/>
        <v>40</v>
      </c>
      <c r="AQ5" s="63">
        <f t="shared" ref="AQ5" si="2">+AP5+1</f>
        <v>41</v>
      </c>
      <c r="AR5" s="63">
        <f t="shared" ref="AR5" si="3">+AQ5+1</f>
        <v>42</v>
      </c>
      <c r="AS5" s="63">
        <f t="shared" ref="AS5" si="4">+AR5+1</f>
        <v>43</v>
      </c>
      <c r="AT5" s="63">
        <f t="shared" ref="AT5" si="5">+AS5+1</f>
        <v>44</v>
      </c>
      <c r="AU5" s="63">
        <f t="shared" ref="AU5" si="6">+AT5+1</f>
        <v>45</v>
      </c>
      <c r="AV5" s="63">
        <f t="shared" ref="AV5" si="7">+AU5+1</f>
        <v>46</v>
      </c>
      <c r="AW5" s="63">
        <f t="shared" ref="AW5" si="8">+AV5+1</f>
        <v>47</v>
      </c>
      <c r="AX5" s="63">
        <f t="shared" ref="AX5" si="9">+AW5+1</f>
        <v>48</v>
      </c>
    </row>
    <row r="6" spans="1:50" x14ac:dyDescent="0.25">
      <c r="A6" s="52">
        <v>1</v>
      </c>
      <c r="B6" s="60" t="str">
        <f t="shared" ref="B6:B60" si="10">+E6&amp;J6</f>
        <v>00450878348</v>
      </c>
      <c r="C6" s="55" t="s">
        <v>26</v>
      </c>
      <c r="D6" s="53" t="s">
        <v>2033</v>
      </c>
      <c r="E6" s="55" t="s">
        <v>46</v>
      </c>
      <c r="F6" s="53" t="s">
        <v>2048</v>
      </c>
      <c r="G6" s="55">
        <v>11142</v>
      </c>
      <c r="H6" s="53" t="s">
        <v>2334</v>
      </c>
      <c r="I6" s="55">
        <v>309981404</v>
      </c>
      <c r="J6" s="55" t="s">
        <v>47</v>
      </c>
      <c r="K6" s="55" t="s">
        <v>48</v>
      </c>
      <c r="L6" s="53" t="s">
        <v>2049</v>
      </c>
      <c r="M6" s="55" t="s">
        <v>49</v>
      </c>
      <c r="N6" s="52">
        <v>1100000000</v>
      </c>
      <c r="O6" s="52">
        <v>1100000000</v>
      </c>
      <c r="P6" s="52">
        <v>1100000000</v>
      </c>
      <c r="Q6" s="57">
        <v>45085</v>
      </c>
      <c r="R6" s="57">
        <v>47554</v>
      </c>
      <c r="S6" s="56">
        <v>14</v>
      </c>
      <c r="T6" s="54">
        <v>14</v>
      </c>
      <c r="U6" s="52">
        <v>1099900460.9000001</v>
      </c>
      <c r="V6" s="52">
        <v>1099900460.9000001</v>
      </c>
      <c r="W6" s="52">
        <v>0</v>
      </c>
      <c r="X6" s="57"/>
      <c r="Y6" s="52">
        <v>0</v>
      </c>
      <c r="Z6" s="52">
        <v>0</v>
      </c>
      <c r="AA6" s="52">
        <v>1</v>
      </c>
      <c r="AB6" s="52">
        <v>0</v>
      </c>
      <c r="AC6" s="52">
        <v>11811941.26</v>
      </c>
      <c r="AD6" s="52">
        <v>11811941.26</v>
      </c>
      <c r="AE6" s="52">
        <v>0</v>
      </c>
      <c r="AF6" s="52">
        <v>0</v>
      </c>
      <c r="AG6" s="52">
        <v>0</v>
      </c>
      <c r="AH6" s="52">
        <v>0</v>
      </c>
      <c r="AI6" s="52">
        <v>0</v>
      </c>
      <c r="AJ6" s="52">
        <v>2</v>
      </c>
      <c r="AK6" s="52"/>
      <c r="AL6" s="52">
        <v>0</v>
      </c>
      <c r="AM6" s="52">
        <v>0</v>
      </c>
      <c r="AN6" s="52">
        <v>1375000000</v>
      </c>
      <c r="AO6" s="52">
        <v>518418000</v>
      </c>
      <c r="AP6" s="52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</row>
    <row r="7" spans="1:50" x14ac:dyDescent="0.25">
      <c r="A7" s="52">
        <f>+A6+1</f>
        <v>2</v>
      </c>
      <c r="B7" s="60" t="str">
        <f t="shared" si="10"/>
        <v>00450609627</v>
      </c>
      <c r="C7" s="55" t="s">
        <v>26</v>
      </c>
      <c r="D7" s="53" t="s">
        <v>2033</v>
      </c>
      <c r="E7" s="55" t="s">
        <v>46</v>
      </c>
      <c r="F7" s="53" t="s">
        <v>2042</v>
      </c>
      <c r="G7" s="55">
        <v>11183</v>
      </c>
      <c r="H7" s="53" t="s">
        <v>50</v>
      </c>
      <c r="I7" s="55">
        <v>302774831</v>
      </c>
      <c r="J7" s="55" t="s">
        <v>51</v>
      </c>
      <c r="K7" s="55" t="s">
        <v>52</v>
      </c>
      <c r="L7" s="53" t="s">
        <v>2043</v>
      </c>
      <c r="M7" s="55" t="s">
        <v>49</v>
      </c>
      <c r="N7" s="52">
        <v>1400000000</v>
      </c>
      <c r="O7" s="52">
        <v>1400000000</v>
      </c>
      <c r="P7" s="52">
        <v>1400000000</v>
      </c>
      <c r="Q7" s="57">
        <v>44545</v>
      </c>
      <c r="R7" s="57">
        <v>46368</v>
      </c>
      <c r="S7" s="56">
        <v>14</v>
      </c>
      <c r="T7" s="54">
        <v>12</v>
      </c>
      <c r="U7" s="52">
        <v>1300000000</v>
      </c>
      <c r="V7" s="52">
        <v>468500000</v>
      </c>
      <c r="W7" s="52">
        <v>831500000</v>
      </c>
      <c r="X7" s="57">
        <v>45671</v>
      </c>
      <c r="Y7" s="52">
        <v>0</v>
      </c>
      <c r="Z7" s="52">
        <v>0</v>
      </c>
      <c r="AA7" s="52">
        <v>5</v>
      </c>
      <c r="AB7" s="52">
        <v>1300000000</v>
      </c>
      <c r="AC7" s="52">
        <v>692911856.17000008</v>
      </c>
      <c r="AD7" s="52">
        <v>45461376.710000001</v>
      </c>
      <c r="AE7" s="52">
        <v>0</v>
      </c>
      <c r="AF7" s="52">
        <v>0</v>
      </c>
      <c r="AG7" s="52">
        <v>647450479.46000004</v>
      </c>
      <c r="AH7" s="52">
        <v>0</v>
      </c>
      <c r="AI7" s="52">
        <v>0</v>
      </c>
      <c r="AJ7" s="52">
        <v>2</v>
      </c>
      <c r="AK7" s="52"/>
      <c r="AL7" s="52">
        <v>98904652605</v>
      </c>
      <c r="AM7" s="52">
        <v>98358979453</v>
      </c>
      <c r="AN7" s="52">
        <v>1750000000</v>
      </c>
      <c r="AO7" s="52">
        <v>852413553</v>
      </c>
      <c r="AP7" s="52">
        <v>852413553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58">
        <v>0</v>
      </c>
      <c r="AX7" s="58">
        <v>0</v>
      </c>
    </row>
    <row r="8" spans="1:50" x14ac:dyDescent="0.25">
      <c r="A8" s="52">
        <f t="shared" ref="A8:A71" si="11">+A7+1</f>
        <v>3</v>
      </c>
      <c r="B8" s="60" t="str">
        <f t="shared" si="10"/>
        <v>00450616248</v>
      </c>
      <c r="C8" s="55" t="s">
        <v>26</v>
      </c>
      <c r="D8" s="53" t="s">
        <v>2033</v>
      </c>
      <c r="E8" s="55" t="s">
        <v>46</v>
      </c>
      <c r="F8" s="53" t="s">
        <v>2042</v>
      </c>
      <c r="G8" s="55">
        <v>11183</v>
      </c>
      <c r="H8" s="53" t="s">
        <v>53</v>
      </c>
      <c r="I8" s="55">
        <v>309600006</v>
      </c>
      <c r="J8" s="55" t="s">
        <v>54</v>
      </c>
      <c r="K8" s="55" t="s">
        <v>55</v>
      </c>
      <c r="L8" s="53" t="s">
        <v>2043</v>
      </c>
      <c r="M8" s="55" t="s">
        <v>49</v>
      </c>
      <c r="N8" s="52">
        <v>747021654</v>
      </c>
      <c r="O8" s="52">
        <v>747021654</v>
      </c>
      <c r="P8" s="52">
        <v>747021654</v>
      </c>
      <c r="Q8" s="57">
        <v>44791</v>
      </c>
      <c r="R8" s="57">
        <v>49568</v>
      </c>
      <c r="S8" s="56">
        <v>0</v>
      </c>
      <c r="T8" s="54">
        <v>36</v>
      </c>
      <c r="U8" s="52">
        <v>747021654</v>
      </c>
      <c r="V8" s="52">
        <v>747021654</v>
      </c>
      <c r="W8" s="52">
        <v>0</v>
      </c>
      <c r="X8" s="57"/>
      <c r="Y8" s="52">
        <v>0</v>
      </c>
      <c r="Z8" s="52">
        <v>0</v>
      </c>
      <c r="AA8" s="52">
        <v>2</v>
      </c>
      <c r="AB8" s="52">
        <v>74702165.400000006</v>
      </c>
      <c r="AC8" s="52">
        <v>164629216.81999999</v>
      </c>
      <c r="AD8" s="52">
        <v>0</v>
      </c>
      <c r="AE8" s="52">
        <v>0</v>
      </c>
      <c r="AF8" s="52">
        <v>164629216.81999999</v>
      </c>
      <c r="AG8" s="52">
        <v>0</v>
      </c>
      <c r="AH8" s="52">
        <v>0</v>
      </c>
      <c r="AI8" s="52">
        <v>0</v>
      </c>
      <c r="AJ8" s="52">
        <v>2</v>
      </c>
      <c r="AK8" s="52"/>
      <c r="AL8" s="52">
        <v>0</v>
      </c>
      <c r="AM8" s="52">
        <v>0</v>
      </c>
      <c r="AN8" s="52">
        <v>0</v>
      </c>
      <c r="AO8" s="52">
        <v>0</v>
      </c>
      <c r="AP8" s="52">
        <v>0</v>
      </c>
      <c r="AQ8" s="58">
        <v>0</v>
      </c>
      <c r="AR8" s="58">
        <v>0</v>
      </c>
      <c r="AS8" s="58">
        <v>0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</row>
    <row r="9" spans="1:50" x14ac:dyDescent="0.25">
      <c r="A9" s="52">
        <f t="shared" si="11"/>
        <v>4</v>
      </c>
      <c r="B9" s="60" t="str">
        <f t="shared" si="10"/>
        <v>00450616251</v>
      </c>
      <c r="C9" s="55" t="s">
        <v>26</v>
      </c>
      <c r="D9" s="53" t="s">
        <v>2033</v>
      </c>
      <c r="E9" s="55" t="s">
        <v>46</v>
      </c>
      <c r="F9" s="53" t="s">
        <v>2042</v>
      </c>
      <c r="G9" s="55">
        <v>11183</v>
      </c>
      <c r="H9" s="53" t="s">
        <v>53</v>
      </c>
      <c r="I9" s="55">
        <v>309600006</v>
      </c>
      <c r="J9" s="55" t="s">
        <v>56</v>
      </c>
      <c r="K9" s="55" t="s">
        <v>57</v>
      </c>
      <c r="L9" s="53" t="s">
        <v>2043</v>
      </c>
      <c r="M9" s="55" t="s">
        <v>49</v>
      </c>
      <c r="N9" s="52">
        <v>650000000</v>
      </c>
      <c r="O9" s="52">
        <v>650000000</v>
      </c>
      <c r="P9" s="52">
        <v>650000000</v>
      </c>
      <c r="Q9" s="57">
        <v>44791</v>
      </c>
      <c r="R9" s="57">
        <v>49141</v>
      </c>
      <c r="S9" s="56">
        <v>0</v>
      </c>
      <c r="T9" s="54">
        <v>36</v>
      </c>
      <c r="U9" s="52">
        <v>650000000</v>
      </c>
      <c r="V9" s="52">
        <v>650000000</v>
      </c>
      <c r="W9" s="52">
        <v>0</v>
      </c>
      <c r="X9" s="57"/>
      <c r="Y9" s="52">
        <v>0</v>
      </c>
      <c r="Z9" s="52">
        <v>0</v>
      </c>
      <c r="AA9" s="52">
        <v>2</v>
      </c>
      <c r="AB9" s="52">
        <v>65000000</v>
      </c>
      <c r="AC9" s="52">
        <v>176180060.88</v>
      </c>
      <c r="AD9" s="52">
        <v>0</v>
      </c>
      <c r="AE9" s="52">
        <v>0</v>
      </c>
      <c r="AF9" s="52">
        <v>176180060.88</v>
      </c>
      <c r="AG9" s="52">
        <v>0</v>
      </c>
      <c r="AH9" s="52">
        <v>0</v>
      </c>
      <c r="AI9" s="52">
        <v>0</v>
      </c>
      <c r="AJ9" s="52">
        <v>2</v>
      </c>
      <c r="AK9" s="52"/>
      <c r="AL9" s="52">
        <v>0</v>
      </c>
      <c r="AM9" s="52">
        <v>0</v>
      </c>
      <c r="AN9" s="52">
        <v>0</v>
      </c>
      <c r="AO9" s="52">
        <v>0</v>
      </c>
      <c r="AP9" s="52">
        <v>0</v>
      </c>
      <c r="AQ9" s="58">
        <v>0</v>
      </c>
      <c r="AR9" s="58">
        <v>0</v>
      </c>
      <c r="AS9" s="58">
        <v>0</v>
      </c>
      <c r="AT9" s="58">
        <v>0</v>
      </c>
      <c r="AU9" s="58">
        <v>0</v>
      </c>
      <c r="AV9" s="58">
        <v>0</v>
      </c>
      <c r="AW9" s="58">
        <v>0</v>
      </c>
      <c r="AX9" s="58">
        <v>0</v>
      </c>
    </row>
    <row r="10" spans="1:50" x14ac:dyDescent="0.25">
      <c r="A10" s="52">
        <f t="shared" si="11"/>
        <v>5</v>
      </c>
      <c r="B10" s="60" t="str">
        <f t="shared" si="10"/>
        <v>00450616269</v>
      </c>
      <c r="C10" s="55" t="s">
        <v>26</v>
      </c>
      <c r="D10" s="53" t="s">
        <v>2033</v>
      </c>
      <c r="E10" s="55" t="s">
        <v>46</v>
      </c>
      <c r="F10" s="53" t="s">
        <v>2042</v>
      </c>
      <c r="G10" s="55">
        <v>11183</v>
      </c>
      <c r="H10" s="53" t="s">
        <v>53</v>
      </c>
      <c r="I10" s="55">
        <v>309600006</v>
      </c>
      <c r="J10" s="55" t="s">
        <v>58</v>
      </c>
      <c r="K10" s="55" t="s">
        <v>59</v>
      </c>
      <c r="L10" s="53" t="s">
        <v>2043</v>
      </c>
      <c r="M10" s="55" t="s">
        <v>49</v>
      </c>
      <c r="N10" s="52">
        <v>593750000</v>
      </c>
      <c r="O10" s="52">
        <v>593750000</v>
      </c>
      <c r="P10" s="52">
        <v>593750000</v>
      </c>
      <c r="Q10" s="57">
        <v>44796</v>
      </c>
      <c r="R10" s="57">
        <v>48504</v>
      </c>
      <c r="S10" s="56">
        <v>0</v>
      </c>
      <c r="T10" s="54">
        <v>36</v>
      </c>
      <c r="U10" s="52">
        <v>593750000</v>
      </c>
      <c r="V10" s="52">
        <v>593750000</v>
      </c>
      <c r="W10" s="52">
        <v>0</v>
      </c>
      <c r="X10" s="57"/>
      <c r="Y10" s="52">
        <v>0</v>
      </c>
      <c r="Z10" s="52">
        <v>0</v>
      </c>
      <c r="AA10" s="52">
        <v>2</v>
      </c>
      <c r="AB10" s="52">
        <v>59375000</v>
      </c>
      <c r="AC10" s="52">
        <v>250664300.61000001</v>
      </c>
      <c r="AD10" s="52">
        <v>0</v>
      </c>
      <c r="AE10" s="52">
        <v>0</v>
      </c>
      <c r="AF10" s="52">
        <v>250664300.61000001</v>
      </c>
      <c r="AG10" s="52">
        <v>0</v>
      </c>
      <c r="AH10" s="52">
        <v>0</v>
      </c>
      <c r="AI10" s="52">
        <v>0</v>
      </c>
      <c r="AJ10" s="52">
        <v>2</v>
      </c>
      <c r="AK10" s="52"/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8">
        <v>0</v>
      </c>
      <c r="AR10" s="58">
        <v>0</v>
      </c>
      <c r="AS10" s="58">
        <v>0</v>
      </c>
      <c r="AT10" s="58">
        <v>0</v>
      </c>
      <c r="AU10" s="58">
        <v>0</v>
      </c>
      <c r="AV10" s="58">
        <v>0</v>
      </c>
      <c r="AW10" s="58">
        <v>0</v>
      </c>
      <c r="AX10" s="58">
        <v>0</v>
      </c>
    </row>
    <row r="11" spans="1:50" x14ac:dyDescent="0.25">
      <c r="A11" s="52">
        <f t="shared" si="11"/>
        <v>6</v>
      </c>
      <c r="B11" s="60" t="str">
        <f t="shared" si="10"/>
        <v>00450616247</v>
      </c>
      <c r="C11" s="55" t="s">
        <v>26</v>
      </c>
      <c r="D11" s="53" t="s">
        <v>2033</v>
      </c>
      <c r="E11" s="55" t="s">
        <v>46</v>
      </c>
      <c r="F11" s="53" t="s">
        <v>2042</v>
      </c>
      <c r="G11" s="55">
        <v>11183</v>
      </c>
      <c r="H11" s="53" t="s">
        <v>53</v>
      </c>
      <c r="I11" s="55">
        <v>309600006</v>
      </c>
      <c r="J11" s="55" t="s">
        <v>60</v>
      </c>
      <c r="K11" s="55" t="s">
        <v>61</v>
      </c>
      <c r="L11" s="53" t="s">
        <v>2043</v>
      </c>
      <c r="M11" s="55" t="s">
        <v>49</v>
      </c>
      <c r="N11" s="52">
        <v>574000000</v>
      </c>
      <c r="O11" s="52">
        <v>574000000</v>
      </c>
      <c r="P11" s="52">
        <v>574000000</v>
      </c>
      <c r="Q11" s="57">
        <v>44791</v>
      </c>
      <c r="R11" s="57">
        <v>48473</v>
      </c>
      <c r="S11" s="56">
        <v>0</v>
      </c>
      <c r="T11" s="54">
        <v>36</v>
      </c>
      <c r="U11" s="52">
        <v>574000000</v>
      </c>
      <c r="V11" s="52">
        <v>574000000</v>
      </c>
      <c r="W11" s="52">
        <v>0</v>
      </c>
      <c r="X11" s="57"/>
      <c r="Y11" s="52">
        <v>0</v>
      </c>
      <c r="Z11" s="52">
        <v>0</v>
      </c>
      <c r="AA11" s="52">
        <v>2</v>
      </c>
      <c r="AB11" s="52">
        <v>57400000</v>
      </c>
      <c r="AC11" s="52">
        <v>190120006.66</v>
      </c>
      <c r="AD11" s="52">
        <v>0</v>
      </c>
      <c r="AE11" s="52">
        <v>0</v>
      </c>
      <c r="AF11" s="52">
        <v>190120006.66</v>
      </c>
      <c r="AG11" s="52">
        <v>0</v>
      </c>
      <c r="AH11" s="52">
        <v>0</v>
      </c>
      <c r="AI11" s="52">
        <v>0</v>
      </c>
      <c r="AJ11" s="52">
        <v>2</v>
      </c>
      <c r="AK11" s="52"/>
      <c r="AL11" s="52">
        <v>0</v>
      </c>
      <c r="AM11" s="52">
        <v>0</v>
      </c>
      <c r="AN11" s="52">
        <v>0</v>
      </c>
      <c r="AO11" s="52">
        <v>0</v>
      </c>
      <c r="AP11" s="52">
        <v>0</v>
      </c>
      <c r="AQ11" s="58">
        <v>0</v>
      </c>
      <c r="AR11" s="58">
        <v>0</v>
      </c>
      <c r="AS11" s="58">
        <v>0</v>
      </c>
      <c r="AT11" s="58">
        <v>0</v>
      </c>
      <c r="AU11" s="58">
        <v>0</v>
      </c>
      <c r="AV11" s="58">
        <v>0</v>
      </c>
      <c r="AW11" s="58">
        <v>0</v>
      </c>
      <c r="AX11" s="58">
        <v>0</v>
      </c>
    </row>
    <row r="12" spans="1:50" x14ac:dyDescent="0.25">
      <c r="A12" s="52">
        <f t="shared" si="11"/>
        <v>7</v>
      </c>
      <c r="B12" s="60" t="str">
        <f t="shared" si="10"/>
        <v>00450616245</v>
      </c>
      <c r="C12" s="55" t="s">
        <v>26</v>
      </c>
      <c r="D12" s="53" t="s">
        <v>2033</v>
      </c>
      <c r="E12" s="55" t="s">
        <v>46</v>
      </c>
      <c r="F12" s="53" t="s">
        <v>2042</v>
      </c>
      <c r="G12" s="55">
        <v>11183</v>
      </c>
      <c r="H12" s="53" t="s">
        <v>53</v>
      </c>
      <c r="I12" s="55">
        <v>309600006</v>
      </c>
      <c r="J12" s="55" t="s">
        <v>62</v>
      </c>
      <c r="K12" s="55" t="s">
        <v>63</v>
      </c>
      <c r="L12" s="53" t="s">
        <v>2043</v>
      </c>
      <c r="M12" s="55" t="s">
        <v>49</v>
      </c>
      <c r="N12" s="52">
        <v>496436543</v>
      </c>
      <c r="O12" s="52">
        <v>496436543</v>
      </c>
      <c r="P12" s="52">
        <v>496436543</v>
      </c>
      <c r="Q12" s="57">
        <v>44791</v>
      </c>
      <c r="R12" s="57">
        <v>48595</v>
      </c>
      <c r="S12" s="56">
        <v>0</v>
      </c>
      <c r="T12" s="54">
        <v>36</v>
      </c>
      <c r="U12" s="52">
        <v>496436543</v>
      </c>
      <c r="V12" s="52">
        <v>496436543</v>
      </c>
      <c r="W12" s="52">
        <v>0</v>
      </c>
      <c r="X12" s="57"/>
      <c r="Y12" s="52">
        <v>0</v>
      </c>
      <c r="Z12" s="52">
        <v>0</v>
      </c>
      <c r="AA12" s="52">
        <v>2</v>
      </c>
      <c r="AB12" s="52">
        <v>49643654.299999997</v>
      </c>
      <c r="AC12" s="52">
        <v>161421267.36000001</v>
      </c>
      <c r="AD12" s="52">
        <v>0</v>
      </c>
      <c r="AE12" s="52">
        <v>0</v>
      </c>
      <c r="AF12" s="52">
        <v>161421267.36000001</v>
      </c>
      <c r="AG12" s="52">
        <v>0</v>
      </c>
      <c r="AH12" s="52">
        <v>0</v>
      </c>
      <c r="AI12" s="52">
        <v>0</v>
      </c>
      <c r="AJ12" s="52">
        <v>2</v>
      </c>
      <c r="AK12" s="52"/>
      <c r="AL12" s="52">
        <v>0</v>
      </c>
      <c r="AM12" s="52">
        <v>0</v>
      </c>
      <c r="AN12" s="52">
        <v>0</v>
      </c>
      <c r="AO12" s="52">
        <v>0</v>
      </c>
      <c r="AP12" s="52">
        <v>0</v>
      </c>
      <c r="AQ12" s="58">
        <v>0</v>
      </c>
      <c r="AR12" s="58">
        <v>0</v>
      </c>
      <c r="AS12" s="58">
        <v>0</v>
      </c>
      <c r="AT12" s="58">
        <v>0</v>
      </c>
      <c r="AU12" s="58">
        <v>0</v>
      </c>
      <c r="AV12" s="58">
        <v>0</v>
      </c>
      <c r="AW12" s="58">
        <v>0</v>
      </c>
      <c r="AX12" s="58">
        <v>0</v>
      </c>
    </row>
    <row r="13" spans="1:50" x14ac:dyDescent="0.25">
      <c r="A13" s="52">
        <f t="shared" si="11"/>
        <v>8</v>
      </c>
      <c r="B13" s="60" t="str">
        <f t="shared" si="10"/>
        <v>00450616266</v>
      </c>
      <c r="C13" s="55" t="s">
        <v>26</v>
      </c>
      <c r="D13" s="53" t="s">
        <v>2033</v>
      </c>
      <c r="E13" s="55" t="s">
        <v>46</v>
      </c>
      <c r="F13" s="53" t="s">
        <v>2042</v>
      </c>
      <c r="G13" s="55">
        <v>11183</v>
      </c>
      <c r="H13" s="53" t="s">
        <v>53</v>
      </c>
      <c r="I13" s="55">
        <v>309600006</v>
      </c>
      <c r="J13" s="55" t="s">
        <v>64</v>
      </c>
      <c r="K13" s="55" t="s">
        <v>65</v>
      </c>
      <c r="L13" s="53" t="s">
        <v>2043</v>
      </c>
      <c r="M13" s="55" t="s">
        <v>49</v>
      </c>
      <c r="N13" s="52">
        <v>496250000</v>
      </c>
      <c r="O13" s="52">
        <v>496250000</v>
      </c>
      <c r="P13" s="52">
        <v>496250000</v>
      </c>
      <c r="Q13" s="57">
        <v>44795</v>
      </c>
      <c r="R13" s="57">
        <v>48747</v>
      </c>
      <c r="S13" s="56">
        <v>0</v>
      </c>
      <c r="T13" s="54">
        <v>36</v>
      </c>
      <c r="U13" s="52">
        <v>496250000</v>
      </c>
      <c r="V13" s="52">
        <v>496250000</v>
      </c>
      <c r="W13" s="52">
        <v>0</v>
      </c>
      <c r="X13" s="57"/>
      <c r="Y13" s="52">
        <v>0</v>
      </c>
      <c r="Z13" s="52">
        <v>0</v>
      </c>
      <c r="AA13" s="52">
        <v>2</v>
      </c>
      <c r="AB13" s="52">
        <v>49625000</v>
      </c>
      <c r="AC13" s="52">
        <v>189703537.09999999</v>
      </c>
      <c r="AD13" s="52">
        <v>0</v>
      </c>
      <c r="AE13" s="52">
        <v>0</v>
      </c>
      <c r="AF13" s="52">
        <v>189703537.09999999</v>
      </c>
      <c r="AG13" s="52">
        <v>0</v>
      </c>
      <c r="AH13" s="52">
        <v>0</v>
      </c>
      <c r="AI13" s="52">
        <v>0</v>
      </c>
      <c r="AJ13" s="52">
        <v>2</v>
      </c>
      <c r="AK13" s="52"/>
      <c r="AL13" s="52">
        <v>0</v>
      </c>
      <c r="AM13" s="52">
        <v>0</v>
      </c>
      <c r="AN13" s="52">
        <v>0</v>
      </c>
      <c r="AO13" s="52">
        <v>0</v>
      </c>
      <c r="AP13" s="52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0</v>
      </c>
      <c r="AV13" s="58">
        <v>0</v>
      </c>
      <c r="AW13" s="58">
        <v>0</v>
      </c>
      <c r="AX13" s="58">
        <v>0</v>
      </c>
    </row>
    <row r="14" spans="1:50" x14ac:dyDescent="0.25">
      <c r="A14" s="52">
        <f t="shared" si="11"/>
        <v>9</v>
      </c>
      <c r="B14" s="60" t="str">
        <f t="shared" si="10"/>
        <v>00450616262</v>
      </c>
      <c r="C14" s="55" t="s">
        <v>26</v>
      </c>
      <c r="D14" s="53" t="s">
        <v>2033</v>
      </c>
      <c r="E14" s="55" t="s">
        <v>46</v>
      </c>
      <c r="F14" s="53" t="s">
        <v>2042</v>
      </c>
      <c r="G14" s="55">
        <v>11183</v>
      </c>
      <c r="H14" s="53" t="s">
        <v>53</v>
      </c>
      <c r="I14" s="55">
        <v>309600006</v>
      </c>
      <c r="J14" s="55" t="s">
        <v>66</v>
      </c>
      <c r="K14" s="55" t="s">
        <v>67</v>
      </c>
      <c r="L14" s="53" t="s">
        <v>2043</v>
      </c>
      <c r="M14" s="55" t="s">
        <v>49</v>
      </c>
      <c r="N14" s="52">
        <v>450000000</v>
      </c>
      <c r="O14" s="52">
        <v>450000000</v>
      </c>
      <c r="P14" s="52">
        <v>450000000</v>
      </c>
      <c r="Q14" s="57">
        <v>44795</v>
      </c>
      <c r="R14" s="57">
        <v>49234</v>
      </c>
      <c r="S14" s="56">
        <v>0</v>
      </c>
      <c r="T14" s="54">
        <v>36</v>
      </c>
      <c r="U14" s="52">
        <v>450000000</v>
      </c>
      <c r="V14" s="52">
        <v>450000000</v>
      </c>
      <c r="W14" s="52">
        <v>0</v>
      </c>
      <c r="X14" s="57"/>
      <c r="Y14" s="52">
        <v>0</v>
      </c>
      <c r="Z14" s="52">
        <v>0</v>
      </c>
      <c r="AA14" s="52">
        <v>2</v>
      </c>
      <c r="AB14" s="52">
        <v>45000000</v>
      </c>
      <c r="AC14" s="52">
        <v>181555520.19999999</v>
      </c>
      <c r="AD14" s="52">
        <v>0</v>
      </c>
      <c r="AE14" s="52">
        <v>0</v>
      </c>
      <c r="AF14" s="52">
        <v>181555520.19999999</v>
      </c>
      <c r="AG14" s="52">
        <v>0</v>
      </c>
      <c r="AH14" s="52">
        <v>0</v>
      </c>
      <c r="AI14" s="52">
        <v>0</v>
      </c>
      <c r="AJ14" s="52">
        <v>2</v>
      </c>
      <c r="AK14" s="52"/>
      <c r="AL14" s="52">
        <v>0</v>
      </c>
      <c r="AM14" s="52">
        <v>0</v>
      </c>
      <c r="AN14" s="52">
        <v>0</v>
      </c>
      <c r="AO14" s="52">
        <v>0</v>
      </c>
      <c r="AP14" s="52">
        <v>0</v>
      </c>
      <c r="AQ14" s="58">
        <v>0</v>
      </c>
      <c r="AR14" s="58">
        <v>0</v>
      </c>
      <c r="AS14" s="58">
        <v>0</v>
      </c>
      <c r="AT14" s="58">
        <v>0</v>
      </c>
      <c r="AU14" s="58">
        <v>0</v>
      </c>
      <c r="AV14" s="58">
        <v>0</v>
      </c>
      <c r="AW14" s="58">
        <v>0</v>
      </c>
      <c r="AX14" s="58">
        <v>0</v>
      </c>
    </row>
    <row r="15" spans="1:50" x14ac:dyDescent="0.25">
      <c r="A15" s="52">
        <f t="shared" si="11"/>
        <v>10</v>
      </c>
      <c r="B15" s="60" t="str">
        <f t="shared" si="10"/>
        <v>00450606979</v>
      </c>
      <c r="C15" s="55" t="s">
        <v>26</v>
      </c>
      <c r="D15" s="53" t="s">
        <v>2033</v>
      </c>
      <c r="E15" s="55" t="s">
        <v>46</v>
      </c>
      <c r="F15" s="53" t="s">
        <v>2034</v>
      </c>
      <c r="G15" s="55">
        <v>11253</v>
      </c>
      <c r="H15" s="53" t="s">
        <v>68</v>
      </c>
      <c r="I15" s="55">
        <v>304448364</v>
      </c>
      <c r="J15" s="55" t="s">
        <v>69</v>
      </c>
      <c r="K15" s="55" t="s">
        <v>70</v>
      </c>
      <c r="L15" s="53" t="s">
        <v>2041</v>
      </c>
      <c r="M15" s="55" t="s">
        <v>71</v>
      </c>
      <c r="N15" s="52">
        <v>12540000</v>
      </c>
      <c r="O15" s="52">
        <v>177328140000</v>
      </c>
      <c r="P15" s="52">
        <f>+O15</f>
        <v>177328140000</v>
      </c>
      <c r="Q15" s="57">
        <v>44146</v>
      </c>
      <c r="R15" s="57">
        <v>46558</v>
      </c>
      <c r="S15" s="56">
        <v>5.51</v>
      </c>
      <c r="T15" s="54">
        <v>0</v>
      </c>
      <c r="U15" s="52">
        <v>98301326932.899994</v>
      </c>
      <c r="V15" s="52">
        <v>98301326932.899994</v>
      </c>
      <c r="W15" s="52">
        <v>0</v>
      </c>
      <c r="X15" s="57"/>
      <c r="Y15" s="52">
        <v>0</v>
      </c>
      <c r="Z15" s="52">
        <v>0</v>
      </c>
      <c r="AA15" s="52">
        <v>1</v>
      </c>
      <c r="AB15" s="52">
        <v>0</v>
      </c>
      <c r="AC15" s="52">
        <v>181310722.81999999</v>
      </c>
      <c r="AD15" s="52">
        <v>181310722.81999999</v>
      </c>
      <c r="AE15" s="52">
        <v>0</v>
      </c>
      <c r="AF15" s="52">
        <v>0</v>
      </c>
      <c r="AG15" s="52">
        <v>0</v>
      </c>
      <c r="AH15" s="52">
        <v>0</v>
      </c>
      <c r="AI15" s="52">
        <v>0</v>
      </c>
      <c r="AJ15" s="52">
        <v>2</v>
      </c>
      <c r="AK15" s="52"/>
      <c r="AL15" s="52">
        <v>263882835507</v>
      </c>
      <c r="AM15" s="52">
        <v>0</v>
      </c>
      <c r="AN15" s="52">
        <v>2896087690</v>
      </c>
      <c r="AO15" s="52">
        <v>151377655873</v>
      </c>
      <c r="AP15" s="52">
        <v>503565870</v>
      </c>
      <c r="AQ15" s="58">
        <v>10</v>
      </c>
      <c r="AR15" s="58">
        <v>102528.33</v>
      </c>
      <c r="AS15" s="58">
        <v>98</v>
      </c>
      <c r="AT15" s="58">
        <v>915120.81000000029</v>
      </c>
      <c r="AU15" s="58">
        <v>0</v>
      </c>
      <c r="AV15" s="58">
        <v>0</v>
      </c>
      <c r="AW15" s="58">
        <v>3</v>
      </c>
      <c r="AX15" s="58">
        <v>1494501.82</v>
      </c>
    </row>
    <row r="16" spans="1:50" x14ac:dyDescent="0.25">
      <c r="A16" s="52">
        <f t="shared" si="11"/>
        <v>11</v>
      </c>
      <c r="B16" s="60" t="str">
        <f t="shared" si="10"/>
        <v>00450601448</v>
      </c>
      <c r="C16" s="55" t="s">
        <v>26</v>
      </c>
      <c r="D16" s="53" t="s">
        <v>2033</v>
      </c>
      <c r="E16" s="55" t="s">
        <v>46</v>
      </c>
      <c r="F16" s="53" t="s">
        <v>2034</v>
      </c>
      <c r="G16" s="55">
        <v>11253</v>
      </c>
      <c r="H16" s="53" t="s">
        <v>72</v>
      </c>
      <c r="I16" s="55">
        <v>304575982</v>
      </c>
      <c r="J16" s="55" t="s">
        <v>73</v>
      </c>
      <c r="K16" s="55" t="s">
        <v>74</v>
      </c>
      <c r="L16" s="53" t="s">
        <v>2035</v>
      </c>
      <c r="M16" s="55" t="s">
        <v>75</v>
      </c>
      <c r="N16" s="52">
        <v>23086586</v>
      </c>
      <c r="O16" s="52">
        <v>278603379067.35999</v>
      </c>
      <c r="P16" s="52">
        <f>+O16</f>
        <v>278603379067.35999</v>
      </c>
      <c r="Q16" s="57">
        <v>43460</v>
      </c>
      <c r="R16" s="57">
        <v>46407</v>
      </c>
      <c r="S16" s="56">
        <v>7.18</v>
      </c>
      <c r="T16" s="54">
        <v>36</v>
      </c>
      <c r="U16" s="52">
        <v>75970990241.220001</v>
      </c>
      <c r="V16" s="52">
        <v>75970990241.220001</v>
      </c>
      <c r="W16" s="52">
        <v>0</v>
      </c>
      <c r="X16" s="57"/>
      <c r="Y16" s="52">
        <v>0</v>
      </c>
      <c r="Z16" s="52">
        <v>0</v>
      </c>
      <c r="AA16" s="52">
        <v>1</v>
      </c>
      <c r="AB16" s="52">
        <v>0</v>
      </c>
      <c r="AC16" s="52">
        <v>2554381016.1600003</v>
      </c>
      <c r="AD16" s="52">
        <v>193025139.40000001</v>
      </c>
      <c r="AE16" s="52">
        <v>0</v>
      </c>
      <c r="AF16" s="52">
        <v>0</v>
      </c>
      <c r="AG16" s="52">
        <v>2361355876.7600002</v>
      </c>
      <c r="AH16" s="52">
        <v>0</v>
      </c>
      <c r="AI16" s="52">
        <v>0</v>
      </c>
      <c r="AJ16" s="52">
        <v>2</v>
      </c>
      <c r="AK16" s="52"/>
      <c r="AL16" s="52">
        <v>0</v>
      </c>
      <c r="AM16" s="52">
        <v>0</v>
      </c>
      <c r="AN16" s="52">
        <v>30018100</v>
      </c>
      <c r="AO16" s="52">
        <v>151377655873</v>
      </c>
      <c r="AP16" s="52">
        <v>503565870</v>
      </c>
      <c r="AQ16" s="58">
        <v>0</v>
      </c>
      <c r="AR16" s="58">
        <v>0</v>
      </c>
      <c r="AS16" s="58">
        <v>328</v>
      </c>
      <c r="AT16" s="58">
        <v>62735438.379999995</v>
      </c>
      <c r="AU16" s="58">
        <v>0</v>
      </c>
      <c r="AV16" s="58">
        <v>0</v>
      </c>
      <c r="AW16" s="58">
        <v>102</v>
      </c>
      <c r="AX16" s="58">
        <v>9187135.1799999997</v>
      </c>
    </row>
    <row r="17" spans="1:50" x14ac:dyDescent="0.25">
      <c r="A17" s="52">
        <f t="shared" si="11"/>
        <v>12</v>
      </c>
      <c r="B17" s="60" t="str">
        <f t="shared" si="10"/>
        <v>00450601484</v>
      </c>
      <c r="C17" s="55" t="s">
        <v>26</v>
      </c>
      <c r="D17" s="53" t="s">
        <v>2033</v>
      </c>
      <c r="E17" s="55" t="s">
        <v>46</v>
      </c>
      <c r="F17" s="53" t="s">
        <v>2034</v>
      </c>
      <c r="G17" s="55">
        <v>11253</v>
      </c>
      <c r="H17" s="53" t="s">
        <v>76</v>
      </c>
      <c r="I17" s="55">
        <v>302999005</v>
      </c>
      <c r="J17" s="55" t="s">
        <v>77</v>
      </c>
      <c r="K17" s="55" t="s">
        <v>78</v>
      </c>
      <c r="L17" s="53" t="s">
        <v>2035</v>
      </c>
      <c r="M17" s="55" t="s">
        <v>75</v>
      </c>
      <c r="N17" s="52">
        <v>5954880</v>
      </c>
      <c r="O17" s="52">
        <v>71862062668.800003</v>
      </c>
      <c r="P17" s="52">
        <v>5954880</v>
      </c>
      <c r="Q17" s="57">
        <v>43081</v>
      </c>
      <c r="R17" s="57">
        <v>46547</v>
      </c>
      <c r="S17" s="56">
        <v>6.7</v>
      </c>
      <c r="T17" s="54">
        <v>24</v>
      </c>
      <c r="U17" s="52">
        <v>50439154960.220001</v>
      </c>
      <c r="V17" s="52">
        <v>50439154960.220001</v>
      </c>
      <c r="W17" s="52">
        <v>0</v>
      </c>
      <c r="X17" s="57"/>
      <c r="Y17" s="52">
        <v>0</v>
      </c>
      <c r="Z17" s="52">
        <v>0</v>
      </c>
      <c r="AA17" s="52">
        <v>2</v>
      </c>
      <c r="AB17" s="52">
        <v>5043915520.4200001</v>
      </c>
      <c r="AC17" s="52">
        <v>314834372.80000001</v>
      </c>
      <c r="AD17" s="52">
        <v>314834372.80000001</v>
      </c>
      <c r="AE17" s="52">
        <v>0</v>
      </c>
      <c r="AF17" s="52">
        <v>0</v>
      </c>
      <c r="AG17" s="52">
        <v>0</v>
      </c>
      <c r="AH17" s="52">
        <v>0</v>
      </c>
      <c r="AI17" s="52">
        <v>0</v>
      </c>
      <c r="AJ17" s="52">
        <v>2</v>
      </c>
      <c r="AK17" s="52"/>
      <c r="AL17" s="52">
        <v>2695404344274</v>
      </c>
      <c r="AM17" s="52">
        <v>0</v>
      </c>
      <c r="AN17" s="52">
        <v>770357158</v>
      </c>
      <c r="AO17" s="52">
        <v>151377655873</v>
      </c>
      <c r="AP17" s="52">
        <v>503565870</v>
      </c>
      <c r="AQ17" s="58">
        <v>0</v>
      </c>
      <c r="AR17" s="58">
        <v>0</v>
      </c>
      <c r="AS17" s="58">
        <v>1</v>
      </c>
      <c r="AT17" s="58">
        <v>0</v>
      </c>
      <c r="AU17" s="58">
        <v>0</v>
      </c>
      <c r="AV17" s="58">
        <v>0</v>
      </c>
      <c r="AW17" s="58">
        <v>13</v>
      </c>
      <c r="AX17" s="58">
        <v>2515728.5900000003</v>
      </c>
    </row>
    <row r="18" spans="1:50" x14ac:dyDescent="0.25">
      <c r="A18" s="52">
        <f t="shared" si="11"/>
        <v>13</v>
      </c>
      <c r="B18" s="60" t="str">
        <f t="shared" si="10"/>
        <v>00450663627</v>
      </c>
      <c r="C18" s="55" t="s">
        <v>26</v>
      </c>
      <c r="D18" s="53" t="s">
        <v>2033</v>
      </c>
      <c r="E18" s="55" t="s">
        <v>46</v>
      </c>
      <c r="F18" s="53" t="s">
        <v>2034</v>
      </c>
      <c r="G18" s="55">
        <v>11253</v>
      </c>
      <c r="H18" s="53" t="s">
        <v>2335</v>
      </c>
      <c r="I18" s="55">
        <v>306622503</v>
      </c>
      <c r="J18" s="55" t="s">
        <v>79</v>
      </c>
      <c r="K18" s="55" t="s">
        <v>80</v>
      </c>
      <c r="L18" s="53" t="s">
        <v>2035</v>
      </c>
      <c r="M18" s="55" t="s">
        <v>75</v>
      </c>
      <c r="N18" s="52">
        <v>3780000</v>
      </c>
      <c r="O18" s="52">
        <v>45616132800</v>
      </c>
      <c r="P18" s="52">
        <v>3780000</v>
      </c>
      <c r="Q18" s="57">
        <v>44923</v>
      </c>
      <c r="R18" s="57">
        <v>46743</v>
      </c>
      <c r="S18" s="56">
        <v>7.5</v>
      </c>
      <c r="T18" s="54">
        <v>24</v>
      </c>
      <c r="U18" s="52">
        <v>45807620500</v>
      </c>
      <c r="V18" s="52">
        <v>45807620500</v>
      </c>
      <c r="W18" s="52">
        <v>0</v>
      </c>
      <c r="X18" s="57"/>
      <c r="Y18" s="52">
        <v>0</v>
      </c>
      <c r="Z18" s="52">
        <v>0</v>
      </c>
      <c r="AA18" s="52">
        <v>1</v>
      </c>
      <c r="AB18" s="52">
        <v>0</v>
      </c>
      <c r="AC18" s="52">
        <v>7345712707.1900005</v>
      </c>
      <c r="AD18" s="52">
        <v>545926437.76999998</v>
      </c>
      <c r="AE18" s="52">
        <v>0</v>
      </c>
      <c r="AF18" s="52">
        <v>6799786269.4200001</v>
      </c>
      <c r="AG18" s="52">
        <v>0</v>
      </c>
      <c r="AH18" s="52">
        <v>0</v>
      </c>
      <c r="AI18" s="52">
        <v>0</v>
      </c>
      <c r="AJ18" s="52">
        <v>2</v>
      </c>
      <c r="AK18" s="52"/>
      <c r="AL18" s="52">
        <v>0</v>
      </c>
      <c r="AM18" s="52">
        <v>0</v>
      </c>
      <c r="AN18" s="52">
        <v>10205000</v>
      </c>
      <c r="AO18" s="52">
        <v>151377655873</v>
      </c>
      <c r="AP18" s="52">
        <v>503565870</v>
      </c>
      <c r="AQ18" s="58">
        <v>0</v>
      </c>
      <c r="AR18" s="58">
        <v>0</v>
      </c>
      <c r="AS18" s="58">
        <v>0</v>
      </c>
      <c r="AT18" s="58">
        <v>0</v>
      </c>
      <c r="AU18" s="58">
        <v>0</v>
      </c>
      <c r="AV18" s="58">
        <v>0</v>
      </c>
      <c r="AW18" s="58">
        <v>6</v>
      </c>
      <c r="AX18" s="58">
        <v>3921125</v>
      </c>
    </row>
    <row r="19" spans="1:50" x14ac:dyDescent="0.25">
      <c r="A19" s="52">
        <f t="shared" si="11"/>
        <v>14</v>
      </c>
      <c r="B19" s="60" t="str">
        <f t="shared" si="10"/>
        <v>004501223605</v>
      </c>
      <c r="C19" s="55" t="s">
        <v>26</v>
      </c>
      <c r="D19" s="53" t="s">
        <v>2033</v>
      </c>
      <c r="E19" s="55" t="s">
        <v>46</v>
      </c>
      <c r="F19" s="53" t="s">
        <v>2034</v>
      </c>
      <c r="G19" s="55">
        <v>11253</v>
      </c>
      <c r="H19" s="53" t="s">
        <v>72</v>
      </c>
      <c r="I19" s="55">
        <v>304575982</v>
      </c>
      <c r="J19" s="55" t="s">
        <v>81</v>
      </c>
      <c r="K19" s="55" t="s">
        <v>82</v>
      </c>
      <c r="L19" s="53" t="s">
        <v>2035</v>
      </c>
      <c r="M19" s="55" t="s">
        <v>75</v>
      </c>
      <c r="N19" s="52">
        <v>2000000</v>
      </c>
      <c r="O19" s="52">
        <v>24135520000</v>
      </c>
      <c r="P19" s="52">
        <v>2000000</v>
      </c>
      <c r="Q19" s="57">
        <v>45638</v>
      </c>
      <c r="R19" s="57">
        <v>46730</v>
      </c>
      <c r="S19" s="56">
        <v>8</v>
      </c>
      <c r="T19" s="54">
        <v>0</v>
      </c>
      <c r="U19" s="52">
        <v>16265474799.4</v>
      </c>
      <c r="V19" s="52">
        <v>16265474799.4</v>
      </c>
      <c r="W19" s="52">
        <v>0</v>
      </c>
      <c r="X19" s="57"/>
      <c r="Y19" s="52">
        <v>0</v>
      </c>
      <c r="Z19" s="52">
        <v>0</v>
      </c>
      <c r="AA19" s="52">
        <v>1</v>
      </c>
      <c r="AB19" s="52">
        <v>0</v>
      </c>
      <c r="AC19" s="52">
        <v>171121655.34</v>
      </c>
      <c r="AD19" s="52">
        <v>171121655.34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2</v>
      </c>
      <c r="AK19" s="52"/>
      <c r="AL19" s="52">
        <v>0</v>
      </c>
      <c r="AM19" s="52">
        <v>0</v>
      </c>
      <c r="AN19" s="52">
        <v>2500000</v>
      </c>
      <c r="AO19" s="52">
        <v>151377655873</v>
      </c>
      <c r="AP19" s="52">
        <v>503565870</v>
      </c>
      <c r="AQ19" s="58">
        <v>0</v>
      </c>
      <c r="AR19" s="58">
        <v>0</v>
      </c>
      <c r="AS19" s="58">
        <v>328</v>
      </c>
      <c r="AT19" s="58">
        <v>62735438.379999995</v>
      </c>
      <c r="AU19" s="58">
        <v>0</v>
      </c>
      <c r="AV19" s="58">
        <v>0</v>
      </c>
      <c r="AW19" s="58">
        <v>102</v>
      </c>
      <c r="AX19" s="58">
        <v>9187135.1799999997</v>
      </c>
    </row>
    <row r="20" spans="1:50" x14ac:dyDescent="0.25">
      <c r="A20" s="52">
        <f t="shared" si="11"/>
        <v>15</v>
      </c>
      <c r="B20" s="60" t="str">
        <f t="shared" si="10"/>
        <v>00450601376</v>
      </c>
      <c r="C20" s="55" t="s">
        <v>26</v>
      </c>
      <c r="D20" s="53" t="s">
        <v>2033</v>
      </c>
      <c r="E20" s="55" t="s">
        <v>46</v>
      </c>
      <c r="F20" s="53" t="s">
        <v>2034</v>
      </c>
      <c r="G20" s="55">
        <v>11253</v>
      </c>
      <c r="H20" s="53" t="s">
        <v>83</v>
      </c>
      <c r="I20" s="55">
        <v>304239624</v>
      </c>
      <c r="J20" s="55" t="s">
        <v>84</v>
      </c>
      <c r="K20" s="55" t="s">
        <v>85</v>
      </c>
      <c r="L20" s="53" t="s">
        <v>2035</v>
      </c>
      <c r="M20" s="55" t="s">
        <v>75</v>
      </c>
      <c r="N20" s="52">
        <v>1280000</v>
      </c>
      <c r="O20" s="52">
        <v>15446732800</v>
      </c>
      <c r="P20" s="52">
        <f>+O20</f>
        <v>15446732800</v>
      </c>
      <c r="Q20" s="57">
        <v>42922</v>
      </c>
      <c r="R20" s="57">
        <v>44748</v>
      </c>
      <c r="S20" s="56">
        <v>5.17</v>
      </c>
      <c r="T20" s="54">
        <v>24</v>
      </c>
      <c r="U20" s="52">
        <v>12438005832.5</v>
      </c>
      <c r="V20" s="52">
        <v>0</v>
      </c>
      <c r="W20" s="52">
        <v>0</v>
      </c>
      <c r="X20" s="57"/>
      <c r="Y20" s="52">
        <v>0</v>
      </c>
      <c r="Z20" s="52">
        <v>12438005832.5</v>
      </c>
      <c r="AA20" s="52">
        <v>5</v>
      </c>
      <c r="AB20" s="52">
        <v>12438005832.5</v>
      </c>
      <c r="AC20" s="52">
        <v>3922399191.3400002</v>
      </c>
      <c r="AD20" s="52">
        <v>0</v>
      </c>
      <c r="AE20" s="52">
        <v>0</v>
      </c>
      <c r="AF20" s="52">
        <v>0</v>
      </c>
      <c r="AG20" s="52">
        <v>3922399191.3400002</v>
      </c>
      <c r="AH20" s="52">
        <v>0</v>
      </c>
      <c r="AI20" s="52">
        <v>0</v>
      </c>
      <c r="AJ20" s="52">
        <v>2</v>
      </c>
      <c r="AK20" s="52"/>
      <c r="AL20" s="52">
        <v>551769366659</v>
      </c>
      <c r="AM20" s="52">
        <v>420103030921</v>
      </c>
      <c r="AN20" s="52">
        <v>202525597</v>
      </c>
      <c r="AO20" s="52">
        <v>151377655873</v>
      </c>
      <c r="AP20" s="52">
        <v>503565870</v>
      </c>
      <c r="AQ20" s="58">
        <v>0</v>
      </c>
      <c r="AR20" s="58">
        <v>0</v>
      </c>
      <c r="AS20" s="58">
        <v>0</v>
      </c>
      <c r="AT20" s="58">
        <v>0</v>
      </c>
      <c r="AU20" s="58">
        <v>0</v>
      </c>
      <c r="AV20" s="58">
        <v>0</v>
      </c>
      <c r="AW20" s="58">
        <v>0</v>
      </c>
      <c r="AX20" s="58">
        <v>0</v>
      </c>
    </row>
    <row r="21" spans="1:50" x14ac:dyDescent="0.25">
      <c r="A21" s="52">
        <f t="shared" si="11"/>
        <v>16</v>
      </c>
      <c r="B21" s="60" t="str">
        <f t="shared" si="10"/>
        <v>004501385778</v>
      </c>
      <c r="C21" s="55" t="s">
        <v>26</v>
      </c>
      <c r="D21" s="53" t="s">
        <v>2033</v>
      </c>
      <c r="E21" s="55" t="s">
        <v>46</v>
      </c>
      <c r="F21" s="53" t="s">
        <v>2034</v>
      </c>
      <c r="G21" s="55">
        <v>11253</v>
      </c>
      <c r="H21" s="53" t="s">
        <v>86</v>
      </c>
      <c r="I21" s="55">
        <v>308543290</v>
      </c>
      <c r="J21" s="55" t="s">
        <v>87</v>
      </c>
      <c r="K21" s="55" t="s">
        <v>88</v>
      </c>
      <c r="L21" s="53" t="s">
        <v>2035</v>
      </c>
      <c r="M21" s="55" t="s">
        <v>49</v>
      </c>
      <c r="N21" s="52">
        <v>8000000000</v>
      </c>
      <c r="O21" s="52">
        <v>8000000000</v>
      </c>
      <c r="P21" s="52">
        <v>8000000000</v>
      </c>
      <c r="Q21" s="57">
        <v>45874</v>
      </c>
      <c r="R21" s="57">
        <v>46968</v>
      </c>
      <c r="S21" s="56">
        <v>24</v>
      </c>
      <c r="T21" s="54">
        <v>6</v>
      </c>
      <c r="U21" s="52">
        <v>8000000000</v>
      </c>
      <c r="V21" s="52">
        <v>8000000000</v>
      </c>
      <c r="W21" s="52">
        <v>0</v>
      </c>
      <c r="X21" s="57"/>
      <c r="Y21" s="52">
        <v>0</v>
      </c>
      <c r="Z21" s="52">
        <v>0</v>
      </c>
      <c r="AA21" s="52">
        <v>1</v>
      </c>
      <c r="AB21" s="52">
        <v>0</v>
      </c>
      <c r="AC21" s="52">
        <v>142027397.25999999</v>
      </c>
      <c r="AD21" s="52">
        <v>142027397.25999999</v>
      </c>
      <c r="AE21" s="52">
        <v>0</v>
      </c>
      <c r="AF21" s="52">
        <v>0</v>
      </c>
      <c r="AG21" s="52">
        <v>0</v>
      </c>
      <c r="AH21" s="52">
        <v>0</v>
      </c>
      <c r="AI21" s="52">
        <v>0</v>
      </c>
      <c r="AJ21" s="52">
        <v>2</v>
      </c>
      <c r="AK21" s="52"/>
      <c r="AL21" s="52">
        <v>0</v>
      </c>
      <c r="AM21" s="52">
        <v>0</v>
      </c>
      <c r="AN21" s="52">
        <v>18240000000</v>
      </c>
      <c r="AO21" s="52">
        <v>151377655873</v>
      </c>
      <c r="AP21" s="52">
        <v>503565870</v>
      </c>
      <c r="AQ21" s="58">
        <v>0</v>
      </c>
      <c r="AR21" s="58">
        <v>0</v>
      </c>
      <c r="AS21" s="58">
        <v>0</v>
      </c>
      <c r="AT21" s="58">
        <v>0</v>
      </c>
      <c r="AU21" s="58">
        <v>0</v>
      </c>
      <c r="AV21" s="58">
        <v>0</v>
      </c>
      <c r="AW21" s="58">
        <v>0</v>
      </c>
      <c r="AX21" s="58">
        <v>0</v>
      </c>
    </row>
    <row r="22" spans="1:50" x14ac:dyDescent="0.25">
      <c r="A22" s="52">
        <f t="shared" si="11"/>
        <v>17</v>
      </c>
      <c r="B22" s="60" t="str">
        <f t="shared" si="10"/>
        <v>004501223580</v>
      </c>
      <c r="C22" s="55" t="s">
        <v>26</v>
      </c>
      <c r="D22" s="53" t="s">
        <v>2033</v>
      </c>
      <c r="E22" s="55" t="s">
        <v>46</v>
      </c>
      <c r="F22" s="53" t="s">
        <v>2034</v>
      </c>
      <c r="G22" s="55">
        <v>11253</v>
      </c>
      <c r="H22" s="53" t="s">
        <v>72</v>
      </c>
      <c r="I22" s="55">
        <v>304575982</v>
      </c>
      <c r="J22" s="55" t="s">
        <v>89</v>
      </c>
      <c r="K22" s="55" t="s">
        <v>90</v>
      </c>
      <c r="L22" s="53" t="s">
        <v>2035</v>
      </c>
      <c r="M22" s="55" t="s">
        <v>91</v>
      </c>
      <c r="N22" s="52">
        <v>6113856</v>
      </c>
      <c r="O22" s="52">
        <v>10363169335.68</v>
      </c>
      <c r="P22" s="52">
        <v>6113856</v>
      </c>
      <c r="Q22" s="57">
        <v>45645</v>
      </c>
      <c r="R22" s="57">
        <v>46730</v>
      </c>
      <c r="S22" s="56">
        <v>7</v>
      </c>
      <c r="T22" s="54">
        <v>0</v>
      </c>
      <c r="U22" s="52">
        <v>7159325376</v>
      </c>
      <c r="V22" s="52">
        <v>7159325376</v>
      </c>
      <c r="W22" s="52">
        <v>0</v>
      </c>
      <c r="X22" s="57"/>
      <c r="Y22" s="52">
        <v>0</v>
      </c>
      <c r="Z22" s="52">
        <v>0</v>
      </c>
      <c r="AA22" s="52">
        <v>1</v>
      </c>
      <c r="AB22" s="52">
        <v>0</v>
      </c>
      <c r="AC22" s="52">
        <v>65905021.729999997</v>
      </c>
      <c r="AD22" s="52">
        <v>65905021.729999997</v>
      </c>
      <c r="AE22" s="52">
        <v>0</v>
      </c>
      <c r="AF22" s="52">
        <v>0</v>
      </c>
      <c r="AG22" s="52">
        <v>0</v>
      </c>
      <c r="AH22" s="52">
        <v>0</v>
      </c>
      <c r="AI22" s="52">
        <v>0</v>
      </c>
      <c r="AJ22" s="52">
        <v>2</v>
      </c>
      <c r="AK22" s="52"/>
      <c r="AL22" s="52">
        <v>0</v>
      </c>
      <c r="AM22" s="52">
        <v>0</v>
      </c>
      <c r="AN22" s="52">
        <v>7642320</v>
      </c>
      <c r="AO22" s="52">
        <v>151377655873</v>
      </c>
      <c r="AP22" s="52">
        <v>503565870</v>
      </c>
      <c r="AQ22" s="58">
        <v>0</v>
      </c>
      <c r="AR22" s="58">
        <v>0</v>
      </c>
      <c r="AS22" s="58">
        <v>328</v>
      </c>
      <c r="AT22" s="58">
        <v>62735438.379999995</v>
      </c>
      <c r="AU22" s="58">
        <v>0</v>
      </c>
      <c r="AV22" s="58">
        <v>0</v>
      </c>
      <c r="AW22" s="58">
        <v>102</v>
      </c>
      <c r="AX22" s="58">
        <v>9187135.1799999997</v>
      </c>
    </row>
    <row r="23" spans="1:50" x14ac:dyDescent="0.25">
      <c r="A23" s="52">
        <f t="shared" si="11"/>
        <v>18</v>
      </c>
      <c r="B23" s="60" t="str">
        <f t="shared" si="10"/>
        <v>00450601481</v>
      </c>
      <c r="C23" s="55" t="s">
        <v>26</v>
      </c>
      <c r="D23" s="53" t="s">
        <v>2033</v>
      </c>
      <c r="E23" s="55" t="s">
        <v>46</v>
      </c>
      <c r="F23" s="53" t="s">
        <v>2034</v>
      </c>
      <c r="G23" s="55">
        <v>11253</v>
      </c>
      <c r="H23" s="53" t="s">
        <v>2336</v>
      </c>
      <c r="I23" s="55">
        <v>304029694</v>
      </c>
      <c r="J23" s="55" t="s">
        <v>92</v>
      </c>
      <c r="K23" s="55" t="s">
        <v>93</v>
      </c>
      <c r="L23" s="53" t="s">
        <v>2035</v>
      </c>
      <c r="M23" s="55" t="s">
        <v>75</v>
      </c>
      <c r="N23" s="52">
        <v>650000</v>
      </c>
      <c r="O23" s="52">
        <v>7844044000</v>
      </c>
      <c r="P23" s="52">
        <f>+O23</f>
        <v>7844044000</v>
      </c>
      <c r="Q23" s="57">
        <v>43358</v>
      </c>
      <c r="R23" s="57">
        <v>47882</v>
      </c>
      <c r="S23" s="56">
        <v>8.0399999999999991</v>
      </c>
      <c r="T23" s="54">
        <v>0</v>
      </c>
      <c r="U23" s="52">
        <v>5859937473.6300001</v>
      </c>
      <c r="V23" s="52">
        <v>4958408856.75</v>
      </c>
      <c r="W23" s="52">
        <v>901528616.88</v>
      </c>
      <c r="X23" s="57">
        <v>45705</v>
      </c>
      <c r="Y23" s="52">
        <v>0</v>
      </c>
      <c r="Z23" s="52">
        <v>0</v>
      </c>
      <c r="AA23" s="52">
        <v>5</v>
      </c>
      <c r="AB23" s="52">
        <v>5859937473.6400003</v>
      </c>
      <c r="AC23" s="52">
        <v>1240798152.96</v>
      </c>
      <c r="AD23" s="52">
        <v>244518272.44</v>
      </c>
      <c r="AE23" s="52">
        <v>0</v>
      </c>
      <c r="AF23" s="52">
        <v>0</v>
      </c>
      <c r="AG23" s="52">
        <v>996279880.51999998</v>
      </c>
      <c r="AH23" s="52">
        <v>0</v>
      </c>
      <c r="AI23" s="52">
        <v>0</v>
      </c>
      <c r="AJ23" s="52">
        <v>2</v>
      </c>
      <c r="AK23" s="52"/>
      <c r="AL23" s="52">
        <v>70130568157</v>
      </c>
      <c r="AM23" s="52">
        <v>0</v>
      </c>
      <c r="AN23" s="52">
        <v>121746948</v>
      </c>
      <c r="AO23" s="52">
        <v>151377655873</v>
      </c>
      <c r="AP23" s="52">
        <v>503565870</v>
      </c>
      <c r="AQ23" s="58">
        <v>0</v>
      </c>
      <c r="AR23" s="58">
        <v>0</v>
      </c>
      <c r="AS23" s="58">
        <v>0</v>
      </c>
      <c r="AT23" s="58">
        <v>0</v>
      </c>
      <c r="AU23" s="58">
        <v>0</v>
      </c>
      <c r="AV23" s="58">
        <v>0</v>
      </c>
      <c r="AW23" s="58">
        <v>0</v>
      </c>
      <c r="AX23" s="58">
        <v>0</v>
      </c>
    </row>
    <row r="24" spans="1:50" x14ac:dyDescent="0.25">
      <c r="A24" s="52">
        <f t="shared" si="11"/>
        <v>19</v>
      </c>
      <c r="B24" s="60" t="str">
        <f t="shared" si="10"/>
        <v>004501423519</v>
      </c>
      <c r="C24" s="55" t="s">
        <v>26</v>
      </c>
      <c r="D24" s="53" t="s">
        <v>2033</v>
      </c>
      <c r="E24" s="55" t="s">
        <v>46</v>
      </c>
      <c r="F24" s="53" t="s">
        <v>2034</v>
      </c>
      <c r="G24" s="55">
        <v>11253</v>
      </c>
      <c r="H24" s="53" t="s">
        <v>2337</v>
      </c>
      <c r="I24" s="55">
        <v>311735978</v>
      </c>
      <c r="J24" s="55" t="s">
        <v>94</v>
      </c>
      <c r="K24" s="55" t="s">
        <v>95</v>
      </c>
      <c r="L24" s="53" t="s">
        <v>2035</v>
      </c>
      <c r="M24" s="55" t="s">
        <v>91</v>
      </c>
      <c r="N24" s="52">
        <v>3236400</v>
      </c>
      <c r="O24" s="52">
        <v>5485795092</v>
      </c>
      <c r="P24" s="52">
        <v>3236400</v>
      </c>
      <c r="Q24" s="57">
        <v>45919</v>
      </c>
      <c r="R24" s="57">
        <v>48440</v>
      </c>
      <c r="S24" s="56">
        <v>6.07</v>
      </c>
      <c r="T24" s="54">
        <v>11</v>
      </c>
      <c r="U24" s="52">
        <v>5684736600</v>
      </c>
      <c r="V24" s="52">
        <v>5684736600</v>
      </c>
      <c r="W24" s="52">
        <v>0</v>
      </c>
      <c r="X24" s="57"/>
      <c r="Y24" s="52">
        <v>0</v>
      </c>
      <c r="Z24" s="52">
        <v>0</v>
      </c>
      <c r="AA24" s="52">
        <v>1</v>
      </c>
      <c r="AB24" s="52">
        <v>0</v>
      </c>
      <c r="AC24" s="52">
        <v>26838266.100000001</v>
      </c>
      <c r="AD24" s="52">
        <v>26838266.100000001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2</v>
      </c>
      <c r="AK24" s="52"/>
      <c r="AL24" s="52">
        <v>0</v>
      </c>
      <c r="AM24" s="52">
        <v>0</v>
      </c>
      <c r="AN24" s="52">
        <v>5685998796</v>
      </c>
      <c r="AO24" s="52">
        <v>151377655873</v>
      </c>
      <c r="AP24" s="52">
        <v>503565870</v>
      </c>
      <c r="AQ24" s="58">
        <v>0</v>
      </c>
      <c r="AR24" s="58">
        <v>0</v>
      </c>
      <c r="AS24" s="58">
        <v>0</v>
      </c>
      <c r="AT24" s="58">
        <v>0</v>
      </c>
      <c r="AU24" s="58">
        <v>2</v>
      </c>
      <c r="AV24" s="58">
        <v>2157600</v>
      </c>
      <c r="AW24" s="58">
        <v>1</v>
      </c>
      <c r="AX24" s="58">
        <v>3236400</v>
      </c>
    </row>
    <row r="25" spans="1:50" x14ac:dyDescent="0.25">
      <c r="A25" s="52">
        <f t="shared" si="11"/>
        <v>20</v>
      </c>
      <c r="B25" s="60" t="str">
        <f t="shared" si="10"/>
        <v>00450601525</v>
      </c>
      <c r="C25" s="55" t="s">
        <v>26</v>
      </c>
      <c r="D25" s="53" t="s">
        <v>2033</v>
      </c>
      <c r="E25" s="55" t="s">
        <v>46</v>
      </c>
      <c r="F25" s="53" t="s">
        <v>2034</v>
      </c>
      <c r="G25" s="55">
        <v>11253</v>
      </c>
      <c r="H25" s="53" t="s">
        <v>96</v>
      </c>
      <c r="I25" s="55">
        <v>304347839</v>
      </c>
      <c r="J25" s="55" t="s">
        <v>97</v>
      </c>
      <c r="K25" s="55" t="s">
        <v>98</v>
      </c>
      <c r="L25" s="53" t="s">
        <v>2035</v>
      </c>
      <c r="M25" s="55" t="s">
        <v>75</v>
      </c>
      <c r="N25" s="52">
        <v>904500</v>
      </c>
      <c r="O25" s="52">
        <v>10915288920</v>
      </c>
      <c r="P25" s="52">
        <v>904500</v>
      </c>
      <c r="Q25" s="57">
        <v>43614</v>
      </c>
      <c r="R25" s="57">
        <v>48653</v>
      </c>
      <c r="S25" s="56">
        <v>8.0399999999999991</v>
      </c>
      <c r="T25" s="54">
        <v>36</v>
      </c>
      <c r="U25" s="52">
        <v>5502198622.1599998</v>
      </c>
      <c r="V25" s="52">
        <v>5158327097.6000004</v>
      </c>
      <c r="W25" s="52">
        <v>343871524.56</v>
      </c>
      <c r="X25" s="57">
        <v>46006</v>
      </c>
      <c r="Y25" s="52">
        <v>0</v>
      </c>
      <c r="Z25" s="52">
        <v>0</v>
      </c>
      <c r="AA25" s="52">
        <v>2</v>
      </c>
      <c r="AB25" s="52">
        <v>550219911.00999999</v>
      </c>
      <c r="AC25" s="52">
        <v>283809011.73000002</v>
      </c>
      <c r="AD25" s="52">
        <v>61367572.549999997</v>
      </c>
      <c r="AE25" s="52">
        <v>175301.07</v>
      </c>
      <c r="AF25" s="52">
        <v>0</v>
      </c>
      <c r="AG25" s="52">
        <v>222266138.11000001</v>
      </c>
      <c r="AH25" s="52">
        <v>0</v>
      </c>
      <c r="AI25" s="52">
        <v>0</v>
      </c>
      <c r="AJ25" s="52">
        <v>2</v>
      </c>
      <c r="AK25" s="52"/>
      <c r="AL25" s="52">
        <v>2261372078</v>
      </c>
      <c r="AM25" s="52">
        <v>3950808</v>
      </c>
      <c r="AN25" s="52">
        <v>669505</v>
      </c>
      <c r="AO25" s="52">
        <v>151377655873</v>
      </c>
      <c r="AP25" s="52">
        <v>503565870</v>
      </c>
      <c r="AQ25" s="58">
        <v>0</v>
      </c>
      <c r="AR25" s="58">
        <v>0</v>
      </c>
      <c r="AS25" s="58">
        <v>0</v>
      </c>
      <c r="AT25" s="58">
        <v>0</v>
      </c>
      <c r="AU25" s="58">
        <v>0</v>
      </c>
      <c r="AV25" s="58">
        <v>0</v>
      </c>
      <c r="AW25" s="58">
        <v>2</v>
      </c>
      <c r="AX25" s="58">
        <v>99515</v>
      </c>
    </row>
    <row r="26" spans="1:50" x14ac:dyDescent="0.25">
      <c r="A26" s="52">
        <f t="shared" si="11"/>
        <v>21</v>
      </c>
      <c r="B26" s="60" t="str">
        <f t="shared" si="10"/>
        <v>004501040168</v>
      </c>
      <c r="C26" s="55" t="s">
        <v>26</v>
      </c>
      <c r="D26" s="53" t="s">
        <v>2033</v>
      </c>
      <c r="E26" s="55" t="s">
        <v>46</v>
      </c>
      <c r="F26" s="53" t="s">
        <v>2034</v>
      </c>
      <c r="G26" s="55">
        <v>11253</v>
      </c>
      <c r="H26" s="53" t="s">
        <v>2338</v>
      </c>
      <c r="I26" s="55">
        <v>300821670</v>
      </c>
      <c r="J26" s="55" t="s">
        <v>99</v>
      </c>
      <c r="K26" s="55" t="s">
        <v>100</v>
      </c>
      <c r="L26" s="53" t="s">
        <v>2045</v>
      </c>
      <c r="M26" s="55" t="s">
        <v>49</v>
      </c>
      <c r="N26" s="52">
        <v>5000000000</v>
      </c>
      <c r="O26" s="52">
        <v>5000000000</v>
      </c>
      <c r="P26" s="52">
        <v>5000000000</v>
      </c>
      <c r="Q26" s="57">
        <v>45254</v>
      </c>
      <c r="R26" s="57">
        <v>47080</v>
      </c>
      <c r="S26" s="56">
        <v>14</v>
      </c>
      <c r="T26" s="54">
        <v>20</v>
      </c>
      <c r="U26" s="52">
        <v>4944945415.8999996</v>
      </c>
      <c r="V26" s="52">
        <v>4944945415.8999996</v>
      </c>
      <c r="W26" s="52">
        <v>0</v>
      </c>
      <c r="X26" s="57"/>
      <c r="Y26" s="52">
        <v>0</v>
      </c>
      <c r="Z26" s="52">
        <v>0</v>
      </c>
      <c r="AA26" s="52">
        <v>1</v>
      </c>
      <c r="AB26" s="52">
        <v>0</v>
      </c>
      <c r="AC26" s="52">
        <v>51195785.729999997</v>
      </c>
      <c r="AD26" s="52">
        <v>51195785.729999997</v>
      </c>
      <c r="AE26" s="52">
        <v>0</v>
      </c>
      <c r="AF26" s="52">
        <v>0</v>
      </c>
      <c r="AG26" s="52">
        <v>0</v>
      </c>
      <c r="AH26" s="52">
        <v>0</v>
      </c>
      <c r="AI26" s="52">
        <v>0</v>
      </c>
      <c r="AJ26" s="52">
        <v>2</v>
      </c>
      <c r="AK26" s="52"/>
      <c r="AL26" s="52">
        <v>0</v>
      </c>
      <c r="AM26" s="52">
        <v>0</v>
      </c>
      <c r="AN26" s="52">
        <v>11250000000</v>
      </c>
      <c r="AO26" s="52">
        <v>151377655873</v>
      </c>
      <c r="AP26" s="52">
        <v>503565870</v>
      </c>
      <c r="AQ26" s="58">
        <v>0</v>
      </c>
      <c r="AR26" s="58">
        <v>0</v>
      </c>
      <c r="AS26" s="58">
        <v>0</v>
      </c>
      <c r="AT26" s="58">
        <v>0</v>
      </c>
      <c r="AU26" s="58">
        <v>4</v>
      </c>
      <c r="AV26" s="58">
        <v>171465.54</v>
      </c>
      <c r="AW26" s="58">
        <v>4</v>
      </c>
      <c r="AX26" s="58">
        <v>469597.76</v>
      </c>
    </row>
    <row r="27" spans="1:50" x14ac:dyDescent="0.25">
      <c r="A27" s="52">
        <f t="shared" si="11"/>
        <v>22</v>
      </c>
      <c r="B27" s="60" t="str">
        <f t="shared" si="10"/>
        <v>00450601508</v>
      </c>
      <c r="C27" s="55" t="s">
        <v>26</v>
      </c>
      <c r="D27" s="53" t="s">
        <v>2033</v>
      </c>
      <c r="E27" s="55" t="s">
        <v>46</v>
      </c>
      <c r="F27" s="53" t="s">
        <v>2034</v>
      </c>
      <c r="G27" s="55">
        <v>11253</v>
      </c>
      <c r="H27" s="53" t="s">
        <v>2339</v>
      </c>
      <c r="I27" s="55">
        <v>301416754</v>
      </c>
      <c r="J27" s="55" t="s">
        <v>101</v>
      </c>
      <c r="K27" s="55" t="s">
        <v>102</v>
      </c>
      <c r="L27" s="53" t="s">
        <v>2035</v>
      </c>
      <c r="M27" s="55" t="s">
        <v>75</v>
      </c>
      <c r="N27" s="52">
        <v>600000</v>
      </c>
      <c r="O27" s="52">
        <v>7240656000</v>
      </c>
      <c r="P27" s="52">
        <f>+O27</f>
        <v>7240656000</v>
      </c>
      <c r="Q27" s="57">
        <v>43375</v>
      </c>
      <c r="R27" s="57">
        <v>47922</v>
      </c>
      <c r="S27" s="56">
        <v>8.0399999999999991</v>
      </c>
      <c r="T27" s="54">
        <v>0</v>
      </c>
      <c r="U27" s="52">
        <v>3709961502.1199999</v>
      </c>
      <c r="V27" s="52">
        <v>3709961502.1199999</v>
      </c>
      <c r="W27" s="52">
        <v>0</v>
      </c>
      <c r="X27" s="57"/>
      <c r="Y27" s="52">
        <v>0</v>
      </c>
      <c r="Z27" s="52">
        <v>0</v>
      </c>
      <c r="AA27" s="52">
        <v>1</v>
      </c>
      <c r="AB27" s="52">
        <v>0</v>
      </c>
      <c r="AC27" s="52">
        <v>62991150.770000003</v>
      </c>
      <c r="AD27" s="52">
        <v>62991150.770000003</v>
      </c>
      <c r="AE27" s="52">
        <v>0</v>
      </c>
      <c r="AF27" s="52">
        <v>0</v>
      </c>
      <c r="AG27" s="52">
        <v>0</v>
      </c>
      <c r="AH27" s="52">
        <v>0</v>
      </c>
      <c r="AI27" s="52">
        <v>0</v>
      </c>
      <c r="AJ27" s="52">
        <v>2</v>
      </c>
      <c r="AK27" s="52"/>
      <c r="AL27" s="52">
        <v>0</v>
      </c>
      <c r="AM27" s="52">
        <v>0</v>
      </c>
      <c r="AN27" s="52">
        <v>750000</v>
      </c>
      <c r="AO27" s="52">
        <v>151377655873</v>
      </c>
      <c r="AP27" s="52">
        <v>503565870</v>
      </c>
      <c r="AQ27" s="58">
        <v>0</v>
      </c>
      <c r="AR27" s="58">
        <v>0</v>
      </c>
      <c r="AS27" s="58">
        <v>2</v>
      </c>
      <c r="AT27" s="58">
        <v>34677.5</v>
      </c>
      <c r="AU27" s="58">
        <v>0</v>
      </c>
      <c r="AV27" s="58">
        <v>0</v>
      </c>
      <c r="AW27" s="58">
        <v>0</v>
      </c>
      <c r="AX27" s="58">
        <v>0</v>
      </c>
    </row>
    <row r="28" spans="1:50" x14ac:dyDescent="0.25">
      <c r="A28" s="52">
        <f t="shared" si="11"/>
        <v>23</v>
      </c>
      <c r="B28" s="60" t="str">
        <f t="shared" si="10"/>
        <v>00450601476</v>
      </c>
      <c r="C28" s="55" t="s">
        <v>26</v>
      </c>
      <c r="D28" s="53" t="s">
        <v>2033</v>
      </c>
      <c r="E28" s="55" t="s">
        <v>46</v>
      </c>
      <c r="F28" s="53" t="s">
        <v>2034</v>
      </c>
      <c r="G28" s="55">
        <v>11253</v>
      </c>
      <c r="H28" s="53" t="s">
        <v>103</v>
      </c>
      <c r="I28" s="55">
        <v>303899785</v>
      </c>
      <c r="J28" s="55" t="s">
        <v>104</v>
      </c>
      <c r="K28" s="55" t="s">
        <v>105</v>
      </c>
      <c r="L28" s="53" t="s">
        <v>2035</v>
      </c>
      <c r="M28" s="55" t="s">
        <v>75</v>
      </c>
      <c r="N28" s="52">
        <v>650000</v>
      </c>
      <c r="O28" s="52">
        <v>7844044000</v>
      </c>
      <c r="P28" s="52">
        <v>650000</v>
      </c>
      <c r="Q28" s="57">
        <v>43286</v>
      </c>
      <c r="R28" s="57">
        <v>48106</v>
      </c>
      <c r="S28" s="56">
        <v>8.9600000000000009</v>
      </c>
      <c r="T28" s="54">
        <v>36</v>
      </c>
      <c r="U28" s="52">
        <v>3694670906.1999998</v>
      </c>
      <c r="V28" s="52">
        <v>3694670906.1999998</v>
      </c>
      <c r="W28" s="52">
        <v>0</v>
      </c>
      <c r="X28" s="57"/>
      <c r="Y28" s="52">
        <v>0</v>
      </c>
      <c r="Z28" s="52">
        <v>0</v>
      </c>
      <c r="AA28" s="52">
        <v>1</v>
      </c>
      <c r="AB28" s="52">
        <v>0</v>
      </c>
      <c r="AC28" s="52">
        <v>122285120.3</v>
      </c>
      <c r="AD28" s="52">
        <v>122285120.3</v>
      </c>
      <c r="AE28" s="52">
        <v>0</v>
      </c>
      <c r="AF28" s="52">
        <v>0</v>
      </c>
      <c r="AG28" s="52">
        <v>0</v>
      </c>
      <c r="AH28" s="52">
        <v>0</v>
      </c>
      <c r="AI28" s="52">
        <v>0</v>
      </c>
      <c r="AJ28" s="52">
        <v>2</v>
      </c>
      <c r="AK28" s="52"/>
      <c r="AL28" s="52">
        <v>12390232768</v>
      </c>
      <c r="AM28" s="52">
        <v>0</v>
      </c>
      <c r="AN28" s="52">
        <v>9915099104.3000011</v>
      </c>
      <c r="AO28" s="52">
        <v>151377655873</v>
      </c>
      <c r="AP28" s="52">
        <v>503565870</v>
      </c>
      <c r="AQ28" s="58">
        <v>0</v>
      </c>
      <c r="AR28" s="58">
        <v>0</v>
      </c>
      <c r="AS28" s="58">
        <v>0</v>
      </c>
      <c r="AT28" s="58">
        <v>0</v>
      </c>
      <c r="AU28" s="58">
        <v>0</v>
      </c>
      <c r="AV28" s="58">
        <v>0</v>
      </c>
      <c r="AW28" s="58">
        <v>0</v>
      </c>
      <c r="AX28" s="58">
        <v>0</v>
      </c>
    </row>
    <row r="29" spans="1:50" x14ac:dyDescent="0.25">
      <c r="A29" s="52">
        <f t="shared" si="11"/>
        <v>24</v>
      </c>
      <c r="B29" s="60" t="str">
        <f t="shared" si="10"/>
        <v>00450601340</v>
      </c>
      <c r="C29" s="55" t="s">
        <v>26</v>
      </c>
      <c r="D29" s="53" t="s">
        <v>2033</v>
      </c>
      <c r="E29" s="55" t="s">
        <v>46</v>
      </c>
      <c r="F29" s="53" t="s">
        <v>2034</v>
      </c>
      <c r="G29" s="55">
        <v>11253</v>
      </c>
      <c r="H29" s="53" t="s">
        <v>2340</v>
      </c>
      <c r="I29" s="55">
        <v>303666807</v>
      </c>
      <c r="J29" s="55" t="s">
        <v>106</v>
      </c>
      <c r="K29" s="55" t="s">
        <v>107</v>
      </c>
      <c r="L29" s="53" t="s">
        <v>2035</v>
      </c>
      <c r="M29" s="55" t="s">
        <v>75</v>
      </c>
      <c r="N29" s="52">
        <v>781475.08</v>
      </c>
      <c r="O29" s="52">
        <v>9430653711.4200001</v>
      </c>
      <c r="P29" s="52">
        <f>+O29</f>
        <v>9430653711.4200001</v>
      </c>
      <c r="Q29" s="57">
        <v>42773</v>
      </c>
      <c r="R29" s="57">
        <v>47701</v>
      </c>
      <c r="S29" s="56">
        <v>2.89</v>
      </c>
      <c r="T29" s="54">
        <v>0</v>
      </c>
      <c r="U29" s="52">
        <v>3640349533.8099999</v>
      </c>
      <c r="V29" s="52">
        <v>3640349533.8099999</v>
      </c>
      <c r="W29" s="52">
        <v>0</v>
      </c>
      <c r="X29" s="57"/>
      <c r="Y29" s="52">
        <v>0</v>
      </c>
      <c r="Z29" s="52">
        <v>0</v>
      </c>
      <c r="AA29" s="52">
        <v>1</v>
      </c>
      <c r="AB29" s="52">
        <v>0</v>
      </c>
      <c r="AC29" s="52">
        <v>56476831.370000005</v>
      </c>
      <c r="AD29" s="52">
        <v>39675742.890000001</v>
      </c>
      <c r="AE29" s="52">
        <v>16801088.48</v>
      </c>
      <c r="AF29" s="52">
        <v>0</v>
      </c>
      <c r="AG29" s="52">
        <v>0</v>
      </c>
      <c r="AH29" s="52">
        <v>0</v>
      </c>
      <c r="AI29" s="52">
        <v>0</v>
      </c>
      <c r="AJ29" s="52">
        <v>2</v>
      </c>
      <c r="AK29" s="52"/>
      <c r="AL29" s="52">
        <v>0</v>
      </c>
      <c r="AM29" s="52">
        <v>0</v>
      </c>
      <c r="AN29" s="52">
        <v>150278727</v>
      </c>
      <c r="AO29" s="52">
        <v>151377655873</v>
      </c>
      <c r="AP29" s="52">
        <v>503565870</v>
      </c>
      <c r="AQ29" s="58">
        <v>0</v>
      </c>
      <c r="AR29" s="58">
        <v>0</v>
      </c>
      <c r="AS29" s="58">
        <v>20</v>
      </c>
      <c r="AT29" s="58">
        <v>284414.95</v>
      </c>
      <c r="AU29" s="58">
        <v>0</v>
      </c>
      <c r="AV29" s="58">
        <v>0</v>
      </c>
      <c r="AW29" s="58">
        <v>19</v>
      </c>
      <c r="AX29" s="58">
        <v>120046.01000000001</v>
      </c>
    </row>
    <row r="30" spans="1:50" x14ac:dyDescent="0.25">
      <c r="A30" s="52">
        <f t="shared" si="11"/>
        <v>25</v>
      </c>
      <c r="B30" s="60" t="str">
        <f t="shared" si="10"/>
        <v>00450684952</v>
      </c>
      <c r="C30" s="55" t="s">
        <v>26</v>
      </c>
      <c r="D30" s="53" t="s">
        <v>2033</v>
      </c>
      <c r="E30" s="55" t="s">
        <v>46</v>
      </c>
      <c r="F30" s="53" t="s">
        <v>2034</v>
      </c>
      <c r="G30" s="55">
        <v>11253</v>
      </c>
      <c r="H30" s="53" t="s">
        <v>108</v>
      </c>
      <c r="I30" s="55">
        <v>304970319</v>
      </c>
      <c r="J30" s="55" t="s">
        <v>109</v>
      </c>
      <c r="K30" s="55" t="s">
        <v>110</v>
      </c>
      <c r="L30" s="53" t="s">
        <v>2341</v>
      </c>
      <c r="M30" s="55" t="s">
        <v>49</v>
      </c>
      <c r="N30" s="52">
        <v>18000000000</v>
      </c>
      <c r="O30" s="52">
        <v>18000000000</v>
      </c>
      <c r="P30" s="52">
        <v>18000000000</v>
      </c>
      <c r="Q30" s="57">
        <v>45016</v>
      </c>
      <c r="R30" s="57">
        <v>46417</v>
      </c>
      <c r="S30" s="56">
        <v>14</v>
      </c>
      <c r="T30" s="54">
        <v>0</v>
      </c>
      <c r="U30" s="52">
        <v>3600000000</v>
      </c>
      <c r="V30" s="52">
        <v>3600000000</v>
      </c>
      <c r="W30" s="52">
        <v>0</v>
      </c>
      <c r="X30" s="57"/>
      <c r="Y30" s="52">
        <v>0</v>
      </c>
      <c r="Z30" s="52">
        <v>0</v>
      </c>
      <c r="AA30" s="52">
        <v>2</v>
      </c>
      <c r="AB30" s="52">
        <v>360000000</v>
      </c>
      <c r="AC30" s="52">
        <v>39019715.75</v>
      </c>
      <c r="AD30" s="52">
        <v>39019715.75</v>
      </c>
      <c r="AE30" s="52">
        <v>0</v>
      </c>
      <c r="AF30" s="52">
        <v>0</v>
      </c>
      <c r="AG30" s="52">
        <v>0</v>
      </c>
      <c r="AH30" s="52">
        <v>0</v>
      </c>
      <c r="AI30" s="52">
        <v>0</v>
      </c>
      <c r="AJ30" s="52">
        <v>2</v>
      </c>
      <c r="AK30" s="52"/>
      <c r="AL30" s="52">
        <v>0</v>
      </c>
      <c r="AM30" s="52">
        <v>0</v>
      </c>
      <c r="AN30" s="52">
        <v>22500000000</v>
      </c>
      <c r="AO30" s="52">
        <v>151377655873</v>
      </c>
      <c r="AP30" s="52">
        <v>503565870</v>
      </c>
      <c r="AQ30" s="58">
        <v>154</v>
      </c>
      <c r="AR30" s="58">
        <v>13774669.930000003</v>
      </c>
      <c r="AS30" s="58">
        <v>26</v>
      </c>
      <c r="AT30" s="58">
        <v>7055494.5700000003</v>
      </c>
      <c r="AU30" s="58">
        <v>125</v>
      </c>
      <c r="AV30" s="58">
        <v>13154686.659999998</v>
      </c>
      <c r="AW30" s="58">
        <v>41</v>
      </c>
      <c r="AX30" s="58">
        <v>4395234.3499999996</v>
      </c>
    </row>
    <row r="31" spans="1:50" x14ac:dyDescent="0.25">
      <c r="A31" s="52">
        <f t="shared" si="11"/>
        <v>26</v>
      </c>
      <c r="B31" s="60" t="str">
        <f t="shared" si="10"/>
        <v>00450601470</v>
      </c>
      <c r="C31" s="55" t="s">
        <v>26</v>
      </c>
      <c r="D31" s="53" t="s">
        <v>2033</v>
      </c>
      <c r="E31" s="55" t="s">
        <v>46</v>
      </c>
      <c r="F31" s="53" t="s">
        <v>2034</v>
      </c>
      <c r="G31" s="55">
        <v>11253</v>
      </c>
      <c r="H31" s="53" t="s">
        <v>111</v>
      </c>
      <c r="I31" s="55">
        <v>304224224</v>
      </c>
      <c r="J31" s="55" t="s">
        <v>112</v>
      </c>
      <c r="K31" s="55" t="s">
        <v>113</v>
      </c>
      <c r="L31" s="53" t="s">
        <v>2035</v>
      </c>
      <c r="M31" s="55" t="s">
        <v>75</v>
      </c>
      <c r="N31" s="52">
        <v>652916.27</v>
      </c>
      <c r="O31" s="52">
        <v>7879236846.46</v>
      </c>
      <c r="P31" s="52">
        <f>+O31</f>
        <v>7879236846.46</v>
      </c>
      <c r="Q31" s="57">
        <v>42782</v>
      </c>
      <c r="R31" s="57">
        <v>47710</v>
      </c>
      <c r="S31" s="56">
        <v>2.89</v>
      </c>
      <c r="T31" s="54">
        <v>0</v>
      </c>
      <c r="U31" s="52">
        <v>2489060081.27</v>
      </c>
      <c r="V31" s="52">
        <v>2489060081.27</v>
      </c>
      <c r="W31" s="52">
        <v>0</v>
      </c>
      <c r="X31" s="57"/>
      <c r="Y31" s="52">
        <v>0</v>
      </c>
      <c r="Z31" s="52">
        <v>0</v>
      </c>
      <c r="AA31" s="52">
        <v>1</v>
      </c>
      <c r="AB31" s="52">
        <v>0</v>
      </c>
      <c r="AC31" s="52">
        <v>39645611.109999999</v>
      </c>
      <c r="AD31" s="52">
        <v>27726480.449999999</v>
      </c>
      <c r="AE31" s="52">
        <v>11919130.66</v>
      </c>
      <c r="AF31" s="52">
        <v>0</v>
      </c>
      <c r="AG31" s="52">
        <v>0</v>
      </c>
      <c r="AH31" s="52">
        <v>0</v>
      </c>
      <c r="AI31" s="52">
        <v>0</v>
      </c>
      <c r="AJ31" s="52">
        <v>2</v>
      </c>
      <c r="AK31" s="52"/>
      <c r="AL31" s="52">
        <v>0</v>
      </c>
      <c r="AM31" s="52">
        <v>0</v>
      </c>
      <c r="AN31" s="52">
        <v>123036315</v>
      </c>
      <c r="AO31" s="52">
        <v>151377655873</v>
      </c>
      <c r="AP31" s="52">
        <v>503565870</v>
      </c>
      <c r="AQ31" s="58">
        <v>0</v>
      </c>
      <c r="AR31" s="58">
        <v>0</v>
      </c>
      <c r="AS31" s="58">
        <v>65</v>
      </c>
      <c r="AT31" s="58">
        <v>1497599.2399999995</v>
      </c>
      <c r="AU31" s="58">
        <v>0</v>
      </c>
      <c r="AV31" s="58">
        <v>0</v>
      </c>
      <c r="AW31" s="58">
        <v>24</v>
      </c>
      <c r="AX31" s="58">
        <v>2108371.7200000002</v>
      </c>
    </row>
    <row r="32" spans="1:50" x14ac:dyDescent="0.25">
      <c r="A32" s="52">
        <f t="shared" si="11"/>
        <v>27</v>
      </c>
      <c r="B32" s="60" t="str">
        <f t="shared" si="10"/>
        <v>004501408506</v>
      </c>
      <c r="C32" s="55" t="s">
        <v>26</v>
      </c>
      <c r="D32" s="53" t="s">
        <v>2033</v>
      </c>
      <c r="E32" s="55" t="s">
        <v>46</v>
      </c>
      <c r="F32" s="53" t="s">
        <v>2034</v>
      </c>
      <c r="G32" s="55">
        <v>11253</v>
      </c>
      <c r="H32" s="53" t="s">
        <v>2342</v>
      </c>
      <c r="I32" s="55">
        <v>301057663</v>
      </c>
      <c r="J32" s="55" t="s">
        <v>114</v>
      </c>
      <c r="K32" s="55" t="s">
        <v>115</v>
      </c>
      <c r="L32" s="53" t="s">
        <v>2035</v>
      </c>
      <c r="M32" s="55" t="s">
        <v>49</v>
      </c>
      <c r="N32" s="52">
        <v>1800000000</v>
      </c>
      <c r="O32" s="52">
        <v>1800000000</v>
      </c>
      <c r="P32" s="52">
        <v>1800000000</v>
      </c>
      <c r="Q32" s="57">
        <v>45902</v>
      </c>
      <c r="R32" s="57">
        <v>47731</v>
      </c>
      <c r="S32" s="56">
        <v>24</v>
      </c>
      <c r="T32" s="54">
        <v>12</v>
      </c>
      <c r="U32" s="52">
        <v>1800000000</v>
      </c>
      <c r="V32" s="52">
        <v>1800000000</v>
      </c>
      <c r="W32" s="52">
        <v>0</v>
      </c>
      <c r="X32" s="57"/>
      <c r="Y32" s="52">
        <v>0</v>
      </c>
      <c r="Z32" s="52">
        <v>0</v>
      </c>
      <c r="AA32" s="52">
        <v>1</v>
      </c>
      <c r="AB32" s="52">
        <v>0</v>
      </c>
      <c r="AC32" s="52">
        <v>68546780.819999993</v>
      </c>
      <c r="AD32" s="52">
        <v>33139726.02</v>
      </c>
      <c r="AE32" s="52">
        <v>0</v>
      </c>
      <c r="AF32" s="52">
        <v>0</v>
      </c>
      <c r="AG32" s="52">
        <v>35407054.799999997</v>
      </c>
      <c r="AH32" s="52">
        <v>0</v>
      </c>
      <c r="AI32" s="52">
        <v>0</v>
      </c>
      <c r="AJ32" s="52">
        <v>2</v>
      </c>
      <c r="AK32" s="52"/>
      <c r="AL32" s="52">
        <v>1068475394</v>
      </c>
      <c r="AM32" s="52">
        <v>0</v>
      </c>
      <c r="AN32" s="52">
        <v>5850000000</v>
      </c>
      <c r="AO32" s="52">
        <v>151377655873</v>
      </c>
      <c r="AP32" s="52">
        <v>503565870</v>
      </c>
      <c r="AQ32" s="58">
        <v>0</v>
      </c>
      <c r="AR32" s="58">
        <v>0</v>
      </c>
      <c r="AS32" s="58">
        <v>0</v>
      </c>
      <c r="AT32" s="58">
        <v>0</v>
      </c>
      <c r="AU32" s="58">
        <v>0</v>
      </c>
      <c r="AV32" s="58">
        <v>0</v>
      </c>
      <c r="AW32" s="58">
        <v>0</v>
      </c>
      <c r="AX32" s="58">
        <v>0</v>
      </c>
    </row>
    <row r="33" spans="1:50" x14ac:dyDescent="0.25">
      <c r="A33" s="52">
        <f t="shared" si="11"/>
        <v>28</v>
      </c>
      <c r="B33" s="60" t="str">
        <f t="shared" si="10"/>
        <v>004501134234</v>
      </c>
      <c r="C33" s="55" t="s">
        <v>26</v>
      </c>
      <c r="D33" s="53" t="s">
        <v>2033</v>
      </c>
      <c r="E33" s="55" t="s">
        <v>46</v>
      </c>
      <c r="F33" s="53" t="s">
        <v>2034</v>
      </c>
      <c r="G33" s="55">
        <v>11253</v>
      </c>
      <c r="H33" s="53" t="s">
        <v>116</v>
      </c>
      <c r="I33" s="55">
        <v>203564034</v>
      </c>
      <c r="J33" s="55" t="s">
        <v>117</v>
      </c>
      <c r="K33" s="55" t="s">
        <v>118</v>
      </c>
      <c r="L33" s="53" t="s">
        <v>2045</v>
      </c>
      <c r="M33" s="55" t="s">
        <v>49</v>
      </c>
      <c r="N33" s="52">
        <v>2783000000</v>
      </c>
      <c r="O33" s="52">
        <v>2783000000</v>
      </c>
      <c r="P33" s="52">
        <v>2783000000</v>
      </c>
      <c r="Q33" s="57">
        <v>45476</v>
      </c>
      <c r="R33" s="57">
        <v>46548</v>
      </c>
      <c r="S33" s="56">
        <v>24</v>
      </c>
      <c r="T33" s="54">
        <v>7</v>
      </c>
      <c r="U33" s="52">
        <v>1577033329</v>
      </c>
      <c r="V33" s="52">
        <v>1577033329</v>
      </c>
      <c r="W33" s="52">
        <v>0</v>
      </c>
      <c r="X33" s="57"/>
      <c r="Y33" s="52">
        <v>0</v>
      </c>
      <c r="Z33" s="52">
        <v>0</v>
      </c>
      <c r="AA33" s="52">
        <v>1</v>
      </c>
      <c r="AB33" s="52">
        <v>0</v>
      </c>
      <c r="AC33" s="52">
        <v>12443441.07</v>
      </c>
      <c r="AD33" s="52">
        <v>12443441.07</v>
      </c>
      <c r="AE33" s="52">
        <v>0</v>
      </c>
      <c r="AF33" s="52">
        <v>0</v>
      </c>
      <c r="AG33" s="52">
        <v>0</v>
      </c>
      <c r="AH33" s="52">
        <v>0</v>
      </c>
      <c r="AI33" s="52">
        <v>0</v>
      </c>
      <c r="AJ33" s="52">
        <v>2</v>
      </c>
      <c r="AK33" s="52"/>
      <c r="AL33" s="52">
        <v>0</v>
      </c>
      <c r="AM33" s="52">
        <v>0</v>
      </c>
      <c r="AN33" s="52">
        <v>8522250000</v>
      </c>
      <c r="AO33" s="52">
        <v>151377655873</v>
      </c>
      <c r="AP33" s="52">
        <v>503565870</v>
      </c>
      <c r="AQ33" s="58">
        <v>0</v>
      </c>
      <c r="AR33" s="58">
        <v>0</v>
      </c>
      <c r="AS33" s="58">
        <v>0</v>
      </c>
      <c r="AT33" s="58">
        <v>0</v>
      </c>
      <c r="AU33" s="58">
        <v>31</v>
      </c>
      <c r="AV33" s="58">
        <v>648792.68999999994</v>
      </c>
      <c r="AW33" s="58">
        <v>21</v>
      </c>
      <c r="AX33" s="58">
        <v>526000</v>
      </c>
    </row>
    <row r="34" spans="1:50" x14ac:dyDescent="0.25">
      <c r="A34" s="52">
        <f t="shared" si="11"/>
        <v>29</v>
      </c>
      <c r="B34" s="60" t="str">
        <f t="shared" si="10"/>
        <v>004501193670</v>
      </c>
      <c r="C34" s="55" t="s">
        <v>26</v>
      </c>
      <c r="D34" s="53" t="s">
        <v>2033</v>
      </c>
      <c r="E34" s="55" t="s">
        <v>46</v>
      </c>
      <c r="F34" s="53" t="s">
        <v>2034</v>
      </c>
      <c r="G34" s="55">
        <v>11253</v>
      </c>
      <c r="H34" s="53" t="s">
        <v>2343</v>
      </c>
      <c r="I34" s="55">
        <v>311149890</v>
      </c>
      <c r="J34" s="55" t="s">
        <v>119</v>
      </c>
      <c r="K34" s="55" t="s">
        <v>120</v>
      </c>
      <c r="L34" s="53" t="s">
        <v>2035</v>
      </c>
      <c r="M34" s="55" t="s">
        <v>49</v>
      </c>
      <c r="N34" s="52">
        <v>1600000000</v>
      </c>
      <c r="O34" s="52">
        <v>1600000000</v>
      </c>
      <c r="P34" s="52">
        <v>1600000000</v>
      </c>
      <c r="Q34" s="57">
        <v>45569</v>
      </c>
      <c r="R34" s="57">
        <v>47363</v>
      </c>
      <c r="S34" s="56">
        <v>24</v>
      </c>
      <c r="T34" s="54">
        <v>7</v>
      </c>
      <c r="U34" s="52">
        <v>1418856605</v>
      </c>
      <c r="V34" s="52">
        <v>1328301889</v>
      </c>
      <c r="W34" s="52">
        <v>90554716</v>
      </c>
      <c r="X34" s="57">
        <v>45981</v>
      </c>
      <c r="Y34" s="52">
        <v>0</v>
      </c>
      <c r="Z34" s="52">
        <v>0</v>
      </c>
      <c r="AA34" s="52">
        <v>2</v>
      </c>
      <c r="AB34" s="52">
        <v>141885660.5</v>
      </c>
      <c r="AC34" s="52">
        <v>93619815.879999995</v>
      </c>
      <c r="AD34" s="52">
        <v>11552618.67</v>
      </c>
      <c r="AE34" s="52">
        <v>0</v>
      </c>
      <c r="AF34" s="52">
        <v>0</v>
      </c>
      <c r="AG34" s="52">
        <v>82067197.209999993</v>
      </c>
      <c r="AH34" s="52">
        <v>0</v>
      </c>
      <c r="AI34" s="52">
        <v>0</v>
      </c>
      <c r="AJ34" s="52">
        <v>2</v>
      </c>
      <c r="AK34" s="52"/>
      <c r="AL34" s="52">
        <v>18366612210</v>
      </c>
      <c r="AM34" s="52">
        <v>18009987008</v>
      </c>
      <c r="AN34" s="52">
        <v>3600000000</v>
      </c>
      <c r="AO34" s="52">
        <v>151377655873</v>
      </c>
      <c r="AP34" s="52">
        <v>503565870</v>
      </c>
      <c r="AQ34" s="58">
        <v>0</v>
      </c>
      <c r="AR34" s="58">
        <v>0</v>
      </c>
      <c r="AS34" s="58">
        <v>0</v>
      </c>
      <c r="AT34" s="58">
        <v>0</v>
      </c>
      <c r="AU34" s="58">
        <v>0</v>
      </c>
      <c r="AV34" s="58">
        <v>0</v>
      </c>
      <c r="AW34" s="58">
        <v>0</v>
      </c>
      <c r="AX34" s="58">
        <v>0</v>
      </c>
    </row>
    <row r="35" spans="1:50" x14ac:dyDescent="0.25">
      <c r="A35" s="52">
        <f t="shared" si="11"/>
        <v>30</v>
      </c>
      <c r="B35" s="60" t="str">
        <f t="shared" si="10"/>
        <v>00450640390</v>
      </c>
      <c r="C35" s="55" t="s">
        <v>26</v>
      </c>
      <c r="D35" s="53" t="s">
        <v>2033</v>
      </c>
      <c r="E35" s="55" t="s">
        <v>46</v>
      </c>
      <c r="F35" s="53" t="s">
        <v>2034</v>
      </c>
      <c r="G35" s="55">
        <v>11253</v>
      </c>
      <c r="H35" s="53" t="s">
        <v>2344</v>
      </c>
      <c r="I35" s="55">
        <v>304128667</v>
      </c>
      <c r="J35" s="55" t="s">
        <v>121</v>
      </c>
      <c r="K35" s="55" t="s">
        <v>122</v>
      </c>
      <c r="L35" s="53" t="s">
        <v>2035</v>
      </c>
      <c r="M35" s="55" t="s">
        <v>49</v>
      </c>
      <c r="N35" s="52">
        <v>2760000000</v>
      </c>
      <c r="O35" s="52">
        <v>2760000000</v>
      </c>
      <c r="P35" s="52">
        <v>2748500000</v>
      </c>
      <c r="Q35" s="57">
        <v>44846</v>
      </c>
      <c r="R35" s="57">
        <v>46670</v>
      </c>
      <c r="S35" s="56">
        <v>22</v>
      </c>
      <c r="T35" s="54">
        <v>12</v>
      </c>
      <c r="U35" s="52">
        <v>1265000000</v>
      </c>
      <c r="V35" s="52">
        <v>1207500000</v>
      </c>
      <c r="W35" s="52">
        <v>57500000</v>
      </c>
      <c r="X35" s="57">
        <v>46027</v>
      </c>
      <c r="Y35" s="52">
        <v>0</v>
      </c>
      <c r="Z35" s="52">
        <v>0</v>
      </c>
      <c r="AA35" s="52">
        <v>1</v>
      </c>
      <c r="AB35" s="52">
        <v>0</v>
      </c>
      <c r="AC35" s="52">
        <v>23917868.920000002</v>
      </c>
      <c r="AD35" s="52">
        <v>21164774.030000001</v>
      </c>
      <c r="AE35" s="52">
        <v>0</v>
      </c>
      <c r="AF35" s="52">
        <v>0</v>
      </c>
      <c r="AG35" s="52">
        <v>2753094.89</v>
      </c>
      <c r="AH35" s="52">
        <v>0</v>
      </c>
      <c r="AI35" s="52">
        <v>0</v>
      </c>
      <c r="AJ35" s="52">
        <v>2</v>
      </c>
      <c r="AK35" s="52"/>
      <c r="AL35" s="52">
        <v>10139224060</v>
      </c>
      <c r="AM35" s="52">
        <v>0</v>
      </c>
      <c r="AN35" s="52">
        <v>5450000000</v>
      </c>
      <c r="AO35" s="52">
        <v>151377655873</v>
      </c>
      <c r="AP35" s="52">
        <v>503565870</v>
      </c>
      <c r="AQ35" s="58">
        <v>0</v>
      </c>
      <c r="AR35" s="58">
        <v>0</v>
      </c>
      <c r="AS35" s="58">
        <v>0</v>
      </c>
      <c r="AT35" s="58">
        <v>0</v>
      </c>
      <c r="AU35" s="58">
        <v>0</v>
      </c>
      <c r="AV35" s="58">
        <v>0</v>
      </c>
      <c r="AW35" s="58">
        <v>0</v>
      </c>
      <c r="AX35" s="58">
        <v>0</v>
      </c>
    </row>
    <row r="36" spans="1:50" x14ac:dyDescent="0.25">
      <c r="A36" s="52">
        <f t="shared" si="11"/>
        <v>31</v>
      </c>
      <c r="B36" s="60" t="str">
        <f t="shared" si="10"/>
        <v>00450601258</v>
      </c>
      <c r="C36" s="55" t="s">
        <v>26</v>
      </c>
      <c r="D36" s="53" t="s">
        <v>2033</v>
      </c>
      <c r="E36" s="55" t="s">
        <v>46</v>
      </c>
      <c r="F36" s="53" t="s">
        <v>2034</v>
      </c>
      <c r="G36" s="55">
        <v>11253</v>
      </c>
      <c r="H36" s="53" t="s">
        <v>2345</v>
      </c>
      <c r="I36" s="55">
        <v>302730973</v>
      </c>
      <c r="J36" s="55" t="s">
        <v>123</v>
      </c>
      <c r="K36" s="55" t="s">
        <v>124</v>
      </c>
      <c r="L36" s="53" t="s">
        <v>2043</v>
      </c>
      <c r="M36" s="55" t="s">
        <v>75</v>
      </c>
      <c r="N36" s="52">
        <v>517270</v>
      </c>
      <c r="O36" s="52">
        <v>6242290215.1999998</v>
      </c>
      <c r="P36" s="52">
        <f>+O36</f>
        <v>6242290215.1999998</v>
      </c>
      <c r="Q36" s="57">
        <v>43159</v>
      </c>
      <c r="R36" s="57">
        <v>45611</v>
      </c>
      <c r="S36" s="56">
        <v>8.9</v>
      </c>
      <c r="T36" s="54">
        <v>24</v>
      </c>
      <c r="U36" s="52">
        <v>1216764462.0699999</v>
      </c>
      <c r="V36" s="52">
        <v>0</v>
      </c>
      <c r="W36" s="52">
        <v>0</v>
      </c>
      <c r="X36" s="57"/>
      <c r="Y36" s="52">
        <v>0</v>
      </c>
      <c r="Z36" s="52">
        <v>1216764462.0699999</v>
      </c>
      <c r="AA36" s="52">
        <v>5</v>
      </c>
      <c r="AB36" s="52">
        <v>1216764462.0699999</v>
      </c>
      <c r="AC36" s="52">
        <v>0</v>
      </c>
      <c r="AD36" s="52">
        <v>0</v>
      </c>
      <c r="AE36" s="52">
        <v>0</v>
      </c>
      <c r="AF36" s="52">
        <v>0</v>
      </c>
      <c r="AG36" s="52">
        <v>0</v>
      </c>
      <c r="AH36" s="52">
        <v>0</v>
      </c>
      <c r="AI36" s="52">
        <v>0</v>
      </c>
      <c r="AJ36" s="52">
        <v>2</v>
      </c>
      <c r="AK36" s="52"/>
      <c r="AL36" s="52">
        <v>0</v>
      </c>
      <c r="AM36" s="52">
        <v>0</v>
      </c>
      <c r="AN36" s="52">
        <v>63837550</v>
      </c>
      <c r="AO36" s="52">
        <v>151377655873</v>
      </c>
      <c r="AP36" s="52">
        <v>503565870</v>
      </c>
      <c r="AQ36" s="58">
        <v>0</v>
      </c>
      <c r="AR36" s="58">
        <v>0</v>
      </c>
      <c r="AS36" s="58">
        <v>46</v>
      </c>
      <c r="AT36" s="58">
        <v>774908.03999999992</v>
      </c>
      <c r="AU36" s="58">
        <v>0</v>
      </c>
      <c r="AV36" s="58">
        <v>0</v>
      </c>
      <c r="AW36" s="58">
        <v>2</v>
      </c>
      <c r="AX36" s="58">
        <v>41790</v>
      </c>
    </row>
    <row r="37" spans="1:50" x14ac:dyDescent="0.25">
      <c r="A37" s="52">
        <f t="shared" si="11"/>
        <v>32</v>
      </c>
      <c r="B37" s="60" t="str">
        <f t="shared" si="10"/>
        <v>004501013242</v>
      </c>
      <c r="C37" s="55" t="s">
        <v>26</v>
      </c>
      <c r="D37" s="53" t="s">
        <v>2033</v>
      </c>
      <c r="E37" s="55" t="s">
        <v>46</v>
      </c>
      <c r="F37" s="53" t="s">
        <v>2034</v>
      </c>
      <c r="G37" s="55">
        <v>11253</v>
      </c>
      <c r="H37" s="53" t="s">
        <v>2346</v>
      </c>
      <c r="I37" s="55">
        <v>206414241</v>
      </c>
      <c r="J37" s="55" t="s">
        <v>125</v>
      </c>
      <c r="K37" s="55" t="s">
        <v>126</v>
      </c>
      <c r="L37" s="53" t="s">
        <v>2045</v>
      </c>
      <c r="M37" s="55" t="s">
        <v>49</v>
      </c>
      <c r="N37" s="52">
        <v>1832000000</v>
      </c>
      <c r="O37" s="52">
        <v>1832000000</v>
      </c>
      <c r="P37" s="52">
        <v>1832000000</v>
      </c>
      <c r="Q37" s="57">
        <v>45250</v>
      </c>
      <c r="R37" s="57">
        <v>47076</v>
      </c>
      <c r="S37" s="56">
        <v>14</v>
      </c>
      <c r="T37" s="54">
        <v>6</v>
      </c>
      <c r="U37" s="52">
        <v>1153481480</v>
      </c>
      <c r="V37" s="52">
        <v>1153481480</v>
      </c>
      <c r="W37" s="52">
        <v>0</v>
      </c>
      <c r="X37" s="57"/>
      <c r="Y37" s="52">
        <v>0</v>
      </c>
      <c r="Z37" s="52">
        <v>0</v>
      </c>
      <c r="AA37" s="52">
        <v>1</v>
      </c>
      <c r="AB37" s="52">
        <v>0</v>
      </c>
      <c r="AC37" s="52">
        <v>11945643.82</v>
      </c>
      <c r="AD37" s="52">
        <v>11945643.82</v>
      </c>
      <c r="AE37" s="52">
        <v>0</v>
      </c>
      <c r="AF37" s="52">
        <v>0</v>
      </c>
      <c r="AG37" s="52">
        <v>0</v>
      </c>
      <c r="AH37" s="52">
        <v>0</v>
      </c>
      <c r="AI37" s="52">
        <v>0</v>
      </c>
      <c r="AJ37" s="52">
        <v>2</v>
      </c>
      <c r="AK37" s="52"/>
      <c r="AL37" s="52">
        <v>0</v>
      </c>
      <c r="AM37" s="52">
        <v>0</v>
      </c>
      <c r="AN37" s="52">
        <v>2265400000</v>
      </c>
      <c r="AO37" s="52">
        <v>151377655873</v>
      </c>
      <c r="AP37" s="52">
        <v>503565870</v>
      </c>
      <c r="AQ37" s="58">
        <v>57</v>
      </c>
      <c r="AR37" s="58">
        <v>425046.88</v>
      </c>
      <c r="AS37" s="58">
        <v>29</v>
      </c>
      <c r="AT37" s="58">
        <v>222650.91</v>
      </c>
      <c r="AU37" s="58">
        <v>0</v>
      </c>
      <c r="AV37" s="58">
        <v>0</v>
      </c>
      <c r="AW37" s="58">
        <v>0</v>
      </c>
      <c r="AX37" s="58">
        <v>0</v>
      </c>
    </row>
    <row r="38" spans="1:50" x14ac:dyDescent="0.25">
      <c r="A38" s="52">
        <f t="shared" si="11"/>
        <v>33</v>
      </c>
      <c r="B38" s="60" t="str">
        <f t="shared" si="10"/>
        <v>004501162660</v>
      </c>
      <c r="C38" s="55" t="s">
        <v>26</v>
      </c>
      <c r="D38" s="53" t="s">
        <v>2033</v>
      </c>
      <c r="E38" s="55" t="s">
        <v>46</v>
      </c>
      <c r="F38" s="53" t="s">
        <v>2034</v>
      </c>
      <c r="G38" s="55">
        <v>11253</v>
      </c>
      <c r="H38" s="53" t="s">
        <v>2347</v>
      </c>
      <c r="I38" s="55">
        <v>305825875</v>
      </c>
      <c r="J38" s="55" t="s">
        <v>127</v>
      </c>
      <c r="K38" s="55" t="s">
        <v>128</v>
      </c>
      <c r="L38" s="53" t="s">
        <v>2045</v>
      </c>
      <c r="M38" s="55" t="s">
        <v>49</v>
      </c>
      <c r="N38" s="52">
        <v>1650000000</v>
      </c>
      <c r="O38" s="52">
        <v>1650000000</v>
      </c>
      <c r="P38" s="52">
        <v>1450000000</v>
      </c>
      <c r="Q38" s="57">
        <v>45512</v>
      </c>
      <c r="R38" s="57">
        <v>46598</v>
      </c>
      <c r="S38" s="56">
        <v>24</v>
      </c>
      <c r="T38" s="54">
        <v>6</v>
      </c>
      <c r="U38" s="52">
        <v>361331882.22000003</v>
      </c>
      <c r="V38" s="52">
        <v>361331882.22000003</v>
      </c>
      <c r="W38" s="52">
        <v>0</v>
      </c>
      <c r="X38" s="57"/>
      <c r="Y38" s="52">
        <v>0</v>
      </c>
      <c r="Z38" s="52">
        <v>0</v>
      </c>
      <c r="AA38" s="52">
        <v>1</v>
      </c>
      <c r="AB38" s="52">
        <v>0</v>
      </c>
      <c r="AC38" s="52">
        <v>21825003.830000002</v>
      </c>
      <c r="AD38" s="52">
        <v>6652466.4400000004</v>
      </c>
      <c r="AE38" s="52">
        <v>0</v>
      </c>
      <c r="AF38" s="52">
        <v>0</v>
      </c>
      <c r="AG38" s="52">
        <v>15172537.390000001</v>
      </c>
      <c r="AH38" s="52">
        <v>0</v>
      </c>
      <c r="AI38" s="52">
        <v>0</v>
      </c>
      <c r="AJ38" s="52">
        <v>2</v>
      </c>
      <c r="AK38" s="52"/>
      <c r="AL38" s="52">
        <v>8764954724</v>
      </c>
      <c r="AM38" s="52">
        <v>0</v>
      </c>
      <c r="AN38" s="52">
        <v>2062500000</v>
      </c>
      <c r="AO38" s="52">
        <v>151377655873</v>
      </c>
      <c r="AP38" s="52">
        <v>503565870</v>
      </c>
      <c r="AQ38" s="58">
        <v>0</v>
      </c>
      <c r="AR38" s="58">
        <v>0</v>
      </c>
      <c r="AS38" s="58">
        <v>0</v>
      </c>
      <c r="AT38" s="58">
        <v>0</v>
      </c>
      <c r="AU38" s="58">
        <v>0</v>
      </c>
      <c r="AV38" s="58">
        <v>0</v>
      </c>
      <c r="AW38" s="58">
        <v>0</v>
      </c>
      <c r="AX38" s="58">
        <v>0</v>
      </c>
    </row>
    <row r="39" spans="1:50" x14ac:dyDescent="0.25">
      <c r="A39" s="52">
        <f t="shared" si="11"/>
        <v>34</v>
      </c>
      <c r="B39" s="60" t="str">
        <f t="shared" si="10"/>
        <v>004501371868</v>
      </c>
      <c r="C39" s="55" t="s">
        <v>26</v>
      </c>
      <c r="D39" s="53" t="s">
        <v>2033</v>
      </c>
      <c r="E39" s="55" t="s">
        <v>46</v>
      </c>
      <c r="F39" s="53" t="s">
        <v>2036</v>
      </c>
      <c r="G39" s="55">
        <v>11254</v>
      </c>
      <c r="H39" s="53" t="s">
        <v>129</v>
      </c>
      <c r="I39" s="55">
        <v>305494735</v>
      </c>
      <c r="J39" s="55" t="s">
        <v>130</v>
      </c>
      <c r="K39" s="55" t="s">
        <v>131</v>
      </c>
      <c r="L39" s="53" t="s">
        <v>2037</v>
      </c>
      <c r="M39" s="55" t="s">
        <v>75</v>
      </c>
      <c r="N39" s="52">
        <v>7350000</v>
      </c>
      <c r="O39" s="52">
        <v>88698036000</v>
      </c>
      <c r="P39" s="52">
        <v>88698036000</v>
      </c>
      <c r="Q39" s="57">
        <v>45856</v>
      </c>
      <c r="R39" s="57">
        <v>47423</v>
      </c>
      <c r="S39" s="56">
        <v>8.5</v>
      </c>
      <c r="T39" s="54">
        <v>0</v>
      </c>
      <c r="U39" s="52">
        <v>71632496827.619995</v>
      </c>
      <c r="V39" s="52">
        <v>71632496827.619995</v>
      </c>
      <c r="W39" s="52">
        <v>0</v>
      </c>
      <c r="X39" s="57"/>
      <c r="Y39" s="52">
        <v>0</v>
      </c>
      <c r="Z39" s="52">
        <v>0</v>
      </c>
      <c r="AA39" s="52">
        <v>1</v>
      </c>
      <c r="AB39" s="52">
        <v>0</v>
      </c>
      <c r="AC39" s="52">
        <v>693465646.91999996</v>
      </c>
      <c r="AD39" s="52">
        <v>693465646.91999996</v>
      </c>
      <c r="AE39" s="52">
        <v>0</v>
      </c>
      <c r="AF39" s="52">
        <v>0</v>
      </c>
      <c r="AG39" s="52">
        <v>0</v>
      </c>
      <c r="AH39" s="52">
        <v>0</v>
      </c>
      <c r="AI39" s="52">
        <v>0</v>
      </c>
      <c r="AJ39" s="52">
        <v>2</v>
      </c>
      <c r="AK39" s="52"/>
      <c r="AL39" s="52">
        <v>0</v>
      </c>
      <c r="AM39" s="52">
        <v>0</v>
      </c>
      <c r="AN39" s="52">
        <v>9187500</v>
      </c>
      <c r="AO39" s="52">
        <v>68263546203</v>
      </c>
      <c r="AP39" s="52">
        <v>0</v>
      </c>
      <c r="AQ39" s="58">
        <v>0</v>
      </c>
      <c r="AR39" s="58">
        <v>0</v>
      </c>
      <c r="AS39" s="58">
        <v>0</v>
      </c>
      <c r="AT39" s="58">
        <v>0</v>
      </c>
      <c r="AU39" s="58">
        <v>26</v>
      </c>
      <c r="AV39" s="58">
        <v>17051309.119999997</v>
      </c>
      <c r="AW39" s="58">
        <v>2</v>
      </c>
      <c r="AX39" s="58">
        <v>1005000</v>
      </c>
    </row>
    <row r="40" spans="1:50" x14ac:dyDescent="0.25">
      <c r="A40" s="52">
        <f t="shared" si="11"/>
        <v>35</v>
      </c>
      <c r="B40" s="60" t="str">
        <f t="shared" si="10"/>
        <v>004501230242</v>
      </c>
      <c r="C40" s="55" t="s">
        <v>26</v>
      </c>
      <c r="D40" s="53" t="s">
        <v>2033</v>
      </c>
      <c r="E40" s="55" t="s">
        <v>46</v>
      </c>
      <c r="F40" s="53" t="s">
        <v>2036</v>
      </c>
      <c r="G40" s="55">
        <v>11254</v>
      </c>
      <c r="H40" s="53" t="s">
        <v>2348</v>
      </c>
      <c r="I40" s="55">
        <v>303725692</v>
      </c>
      <c r="J40" s="55" t="s">
        <v>132</v>
      </c>
      <c r="K40" s="55" t="s">
        <v>133</v>
      </c>
      <c r="L40" s="53" t="s">
        <v>2037</v>
      </c>
      <c r="M40" s="55" t="s">
        <v>91</v>
      </c>
      <c r="N40" s="52">
        <v>8064630</v>
      </c>
      <c r="O40" s="52">
        <v>13669789788.9</v>
      </c>
      <c r="P40" s="52">
        <v>13669789788.9</v>
      </c>
      <c r="Q40" s="57">
        <v>45680</v>
      </c>
      <c r="R40" s="57">
        <v>48199</v>
      </c>
      <c r="S40" s="56">
        <v>6.07</v>
      </c>
      <c r="T40" s="54">
        <v>12</v>
      </c>
      <c r="U40" s="52">
        <v>13968778786.5</v>
      </c>
      <c r="V40" s="52">
        <v>13968778786.5</v>
      </c>
      <c r="W40" s="52">
        <v>0</v>
      </c>
      <c r="X40" s="57"/>
      <c r="Y40" s="52">
        <v>0</v>
      </c>
      <c r="Z40" s="52">
        <v>0</v>
      </c>
      <c r="AA40" s="52">
        <v>1</v>
      </c>
      <c r="AB40" s="52">
        <v>0</v>
      </c>
      <c r="AC40" s="52">
        <v>65077481.880000003</v>
      </c>
      <c r="AD40" s="52">
        <v>65077481.880000003</v>
      </c>
      <c r="AE40" s="52">
        <v>0</v>
      </c>
      <c r="AF40" s="52">
        <v>0</v>
      </c>
      <c r="AG40" s="52">
        <v>0</v>
      </c>
      <c r="AH40" s="52">
        <v>0</v>
      </c>
      <c r="AI40" s="52">
        <v>0</v>
      </c>
      <c r="AJ40" s="52">
        <v>2</v>
      </c>
      <c r="AK40" s="52"/>
      <c r="AL40" s="52">
        <v>0</v>
      </c>
      <c r="AM40" s="52">
        <v>0</v>
      </c>
      <c r="AN40" s="52">
        <v>302423625</v>
      </c>
      <c r="AO40" s="52">
        <v>9593184364</v>
      </c>
      <c r="AP40" s="52">
        <v>9593184364</v>
      </c>
      <c r="AQ40" s="58">
        <v>0</v>
      </c>
      <c r="AR40" s="58">
        <v>0</v>
      </c>
      <c r="AS40" s="58">
        <v>0</v>
      </c>
      <c r="AT40" s="58">
        <v>0</v>
      </c>
      <c r="AU40" s="58">
        <v>10</v>
      </c>
      <c r="AV40" s="58">
        <v>1617345.49</v>
      </c>
      <c r="AW40" s="58">
        <v>2</v>
      </c>
      <c r="AX40" s="58">
        <v>8064630</v>
      </c>
    </row>
    <row r="41" spans="1:50" x14ac:dyDescent="0.25">
      <c r="A41" s="52">
        <f t="shared" si="11"/>
        <v>36</v>
      </c>
      <c r="B41" s="60" t="str">
        <f t="shared" si="10"/>
        <v>004501040679</v>
      </c>
      <c r="C41" s="55" t="s">
        <v>26</v>
      </c>
      <c r="D41" s="53" t="s">
        <v>2033</v>
      </c>
      <c r="E41" s="55" t="s">
        <v>46</v>
      </c>
      <c r="F41" s="53" t="s">
        <v>2036</v>
      </c>
      <c r="G41" s="55">
        <v>11254</v>
      </c>
      <c r="H41" s="53" t="s">
        <v>2349</v>
      </c>
      <c r="I41" s="55">
        <v>302628759</v>
      </c>
      <c r="J41" s="55" t="s">
        <v>134</v>
      </c>
      <c r="K41" s="55" t="s">
        <v>135</v>
      </c>
      <c r="L41" s="53" t="s">
        <v>2037</v>
      </c>
      <c r="M41" s="55" t="s">
        <v>49</v>
      </c>
      <c r="N41" s="52">
        <v>1634850000</v>
      </c>
      <c r="O41" s="52">
        <v>1634850000</v>
      </c>
      <c r="P41" s="52">
        <v>1634850000</v>
      </c>
      <c r="Q41" s="57">
        <v>45289</v>
      </c>
      <c r="R41" s="57">
        <v>47105</v>
      </c>
      <c r="S41" s="56">
        <v>21</v>
      </c>
      <c r="T41" s="54">
        <v>12</v>
      </c>
      <c r="U41" s="52">
        <v>1192078125</v>
      </c>
      <c r="V41" s="52">
        <v>1192078125</v>
      </c>
      <c r="W41" s="52">
        <v>0</v>
      </c>
      <c r="X41" s="57"/>
      <c r="Y41" s="52">
        <v>0</v>
      </c>
      <c r="Z41" s="52">
        <v>0</v>
      </c>
      <c r="AA41" s="52">
        <v>1</v>
      </c>
      <c r="AB41" s="52">
        <v>0</v>
      </c>
      <c r="AC41" s="52">
        <v>18518035.530000001</v>
      </c>
      <c r="AD41" s="52">
        <v>18518035.530000001</v>
      </c>
      <c r="AE41" s="52">
        <v>0</v>
      </c>
      <c r="AF41" s="52">
        <v>0</v>
      </c>
      <c r="AG41" s="52">
        <v>0</v>
      </c>
      <c r="AH41" s="52">
        <v>0</v>
      </c>
      <c r="AI41" s="52">
        <v>0</v>
      </c>
      <c r="AJ41" s="52">
        <v>2</v>
      </c>
      <c r="AK41" s="52"/>
      <c r="AL41" s="52">
        <v>87631804</v>
      </c>
      <c r="AM41" s="52">
        <v>0</v>
      </c>
      <c r="AN41" s="52">
        <v>4087125000</v>
      </c>
      <c r="AO41" s="52">
        <v>5288695350</v>
      </c>
      <c r="AP41" s="52">
        <v>1038395008</v>
      </c>
      <c r="AQ41" s="58">
        <v>0</v>
      </c>
      <c r="AR41" s="58">
        <v>0</v>
      </c>
      <c r="AS41" s="58">
        <v>0</v>
      </c>
      <c r="AT41" s="58">
        <v>0</v>
      </c>
      <c r="AU41" s="58">
        <v>0</v>
      </c>
      <c r="AV41" s="58">
        <v>0</v>
      </c>
      <c r="AW41" s="58">
        <v>0</v>
      </c>
      <c r="AX41" s="58">
        <v>0</v>
      </c>
    </row>
    <row r="42" spans="1:50" x14ac:dyDescent="0.25">
      <c r="A42" s="52">
        <f t="shared" si="11"/>
        <v>37</v>
      </c>
      <c r="B42" s="60" t="str">
        <f t="shared" si="10"/>
        <v>004501324854</v>
      </c>
      <c r="C42" s="55" t="s">
        <v>26</v>
      </c>
      <c r="D42" s="53" t="s">
        <v>2033</v>
      </c>
      <c r="E42" s="55" t="s">
        <v>46</v>
      </c>
      <c r="F42" s="53" t="s">
        <v>2036</v>
      </c>
      <c r="G42" s="55">
        <v>11254</v>
      </c>
      <c r="H42" s="53" t="s">
        <v>2350</v>
      </c>
      <c r="I42" s="55">
        <v>311900495</v>
      </c>
      <c r="J42" s="55" t="s">
        <v>136</v>
      </c>
      <c r="K42" s="55" t="s">
        <v>137</v>
      </c>
      <c r="L42" s="53" t="s">
        <v>2037</v>
      </c>
      <c r="M42" s="55" t="s">
        <v>49</v>
      </c>
      <c r="N42" s="52">
        <v>1000000000</v>
      </c>
      <c r="O42" s="52">
        <v>1000000000</v>
      </c>
      <c r="P42" s="52">
        <v>990024800</v>
      </c>
      <c r="Q42" s="57">
        <v>45798</v>
      </c>
      <c r="R42" s="57">
        <v>46888</v>
      </c>
      <c r="S42" s="56">
        <v>14</v>
      </c>
      <c r="T42" s="54">
        <v>6</v>
      </c>
      <c r="U42" s="52">
        <v>951596443.66999996</v>
      </c>
      <c r="V42" s="52">
        <v>933333334</v>
      </c>
      <c r="W42" s="52">
        <v>18263109.670000002</v>
      </c>
      <c r="X42" s="57">
        <v>46027</v>
      </c>
      <c r="Y42" s="52">
        <v>0</v>
      </c>
      <c r="Z42" s="52">
        <v>0</v>
      </c>
      <c r="AA42" s="52">
        <v>1</v>
      </c>
      <c r="AB42" s="52">
        <v>0</v>
      </c>
      <c r="AC42" s="52">
        <v>10489464.83</v>
      </c>
      <c r="AD42" s="52">
        <v>10489464.83</v>
      </c>
      <c r="AE42" s="52">
        <v>0</v>
      </c>
      <c r="AF42" s="52">
        <v>0</v>
      </c>
      <c r="AG42" s="52">
        <v>0</v>
      </c>
      <c r="AH42" s="52">
        <v>0</v>
      </c>
      <c r="AI42" s="52">
        <v>0</v>
      </c>
      <c r="AJ42" s="52">
        <v>2</v>
      </c>
      <c r="AK42" s="52"/>
      <c r="AL42" s="52">
        <v>48701257</v>
      </c>
      <c r="AM42" s="52">
        <v>31421257</v>
      </c>
      <c r="AN42" s="52">
        <v>3544525000000</v>
      </c>
      <c r="AO42" s="52">
        <v>62686000</v>
      </c>
      <c r="AP42" s="52">
        <v>1</v>
      </c>
      <c r="AQ42" s="58">
        <v>0</v>
      </c>
      <c r="AR42" s="58">
        <v>0</v>
      </c>
      <c r="AS42" s="58">
        <v>0</v>
      </c>
      <c r="AT42" s="58">
        <v>0</v>
      </c>
      <c r="AU42" s="58">
        <v>0</v>
      </c>
      <c r="AV42" s="58">
        <v>0</v>
      </c>
      <c r="AW42" s="58">
        <v>0</v>
      </c>
      <c r="AX42" s="58">
        <v>0</v>
      </c>
    </row>
    <row r="43" spans="1:50" x14ac:dyDescent="0.25">
      <c r="A43" s="52">
        <f t="shared" si="11"/>
        <v>38</v>
      </c>
      <c r="B43" s="60" t="str">
        <f t="shared" si="10"/>
        <v>004501430289</v>
      </c>
      <c r="C43" s="55" t="s">
        <v>26</v>
      </c>
      <c r="D43" s="53" t="s">
        <v>2033</v>
      </c>
      <c r="E43" s="55" t="s">
        <v>46</v>
      </c>
      <c r="F43" s="53" t="s">
        <v>2036</v>
      </c>
      <c r="G43" s="55">
        <v>11254</v>
      </c>
      <c r="H43" s="53" t="s">
        <v>138</v>
      </c>
      <c r="I43" s="55">
        <v>312358955</v>
      </c>
      <c r="J43" s="55" t="s">
        <v>139</v>
      </c>
      <c r="K43" s="55" t="s">
        <v>140</v>
      </c>
      <c r="L43" s="53" t="s">
        <v>2037</v>
      </c>
      <c r="M43" s="55" t="s">
        <v>49</v>
      </c>
      <c r="N43" s="52">
        <v>936250000</v>
      </c>
      <c r="O43" s="52">
        <v>936250000</v>
      </c>
      <c r="P43" s="52">
        <v>936250000</v>
      </c>
      <c r="Q43" s="57">
        <v>45925</v>
      </c>
      <c r="R43" s="57">
        <v>48478</v>
      </c>
      <c r="S43" s="56">
        <v>18</v>
      </c>
      <c r="T43" s="54">
        <v>24</v>
      </c>
      <c r="U43" s="52">
        <v>936250000</v>
      </c>
      <c r="V43" s="52">
        <v>936250000</v>
      </c>
      <c r="W43" s="52">
        <v>0</v>
      </c>
      <c r="X43" s="57"/>
      <c r="Y43" s="52">
        <v>0</v>
      </c>
      <c r="Z43" s="52">
        <v>0</v>
      </c>
      <c r="AA43" s="52">
        <v>1</v>
      </c>
      <c r="AB43" s="52">
        <v>0</v>
      </c>
      <c r="AC43" s="52">
        <v>12466232.869999999</v>
      </c>
      <c r="AD43" s="52">
        <v>12466232.869999999</v>
      </c>
      <c r="AE43" s="52">
        <v>0</v>
      </c>
      <c r="AF43" s="52">
        <v>0</v>
      </c>
      <c r="AG43" s="52">
        <v>0</v>
      </c>
      <c r="AH43" s="52">
        <v>0</v>
      </c>
      <c r="AI43" s="52">
        <v>0</v>
      </c>
      <c r="AJ43" s="52">
        <v>2</v>
      </c>
      <c r="AK43" s="52"/>
      <c r="AL43" s="52">
        <v>0</v>
      </c>
      <c r="AM43" s="52">
        <v>0</v>
      </c>
      <c r="AN43" s="52">
        <v>2340625000</v>
      </c>
      <c r="AO43" s="52">
        <v>56500000</v>
      </c>
      <c r="AP43" s="52">
        <v>15500000</v>
      </c>
      <c r="AQ43" s="58">
        <v>0</v>
      </c>
      <c r="AR43" s="58">
        <v>0</v>
      </c>
      <c r="AS43" s="58">
        <v>0</v>
      </c>
      <c r="AT43" s="58">
        <v>0</v>
      </c>
      <c r="AU43" s="58">
        <v>0</v>
      </c>
      <c r="AV43" s="58">
        <v>0</v>
      </c>
      <c r="AW43" s="58">
        <v>0</v>
      </c>
      <c r="AX43" s="58">
        <v>0</v>
      </c>
    </row>
    <row r="44" spans="1:50" x14ac:dyDescent="0.25">
      <c r="A44" s="52">
        <f t="shared" si="11"/>
        <v>39</v>
      </c>
      <c r="B44" s="60" t="str">
        <f t="shared" si="10"/>
        <v>00450603768</v>
      </c>
      <c r="C44" s="55" t="s">
        <v>26</v>
      </c>
      <c r="D44" s="53" t="s">
        <v>2033</v>
      </c>
      <c r="E44" s="55" t="s">
        <v>46</v>
      </c>
      <c r="F44" s="53" t="s">
        <v>2036</v>
      </c>
      <c r="G44" s="55">
        <v>11254</v>
      </c>
      <c r="H44" s="53" t="s">
        <v>2351</v>
      </c>
      <c r="I44" s="55">
        <v>200465057</v>
      </c>
      <c r="J44" s="55" t="s">
        <v>141</v>
      </c>
      <c r="K44" s="55" t="s">
        <v>142</v>
      </c>
      <c r="L44" s="53" t="s">
        <v>2100</v>
      </c>
      <c r="M44" s="55" t="s">
        <v>49</v>
      </c>
      <c r="N44" s="52">
        <v>6000000000</v>
      </c>
      <c r="O44" s="52">
        <v>6000000000</v>
      </c>
      <c r="P44" s="52">
        <v>6000000000</v>
      </c>
      <c r="Q44" s="57">
        <v>43721</v>
      </c>
      <c r="R44" s="57">
        <v>46260</v>
      </c>
      <c r="S44" s="56">
        <v>20</v>
      </c>
      <c r="T44" s="54">
        <v>12</v>
      </c>
      <c r="U44" s="52">
        <v>742671096.10000002</v>
      </c>
      <c r="V44" s="52">
        <v>627818708.19000006</v>
      </c>
      <c r="W44" s="52">
        <v>114852387.91</v>
      </c>
      <c r="X44" s="57">
        <v>46021</v>
      </c>
      <c r="Y44" s="52">
        <v>0</v>
      </c>
      <c r="Z44" s="52">
        <v>0</v>
      </c>
      <c r="AA44" s="52">
        <v>2</v>
      </c>
      <c r="AB44" s="52">
        <v>74267109.609999999</v>
      </c>
      <c r="AC44" s="52">
        <v>462301791.88</v>
      </c>
      <c r="AD44" s="52">
        <v>462301791.88</v>
      </c>
      <c r="AE44" s="52">
        <v>0</v>
      </c>
      <c r="AF44" s="52">
        <v>0</v>
      </c>
      <c r="AG44" s="52">
        <v>0</v>
      </c>
      <c r="AH44" s="52">
        <v>0</v>
      </c>
      <c r="AI44" s="52">
        <v>0</v>
      </c>
      <c r="AJ44" s="52">
        <v>2</v>
      </c>
      <c r="AK44" s="52"/>
      <c r="AL44" s="52">
        <v>0</v>
      </c>
      <c r="AM44" s="52">
        <v>0</v>
      </c>
      <c r="AN44" s="52">
        <v>13650000000</v>
      </c>
      <c r="AO44" s="52">
        <v>407510075</v>
      </c>
      <c r="AP44" s="52">
        <v>59310075</v>
      </c>
      <c r="AQ44" s="58">
        <v>0</v>
      </c>
      <c r="AR44" s="58">
        <v>0</v>
      </c>
      <c r="AS44" s="58">
        <v>0</v>
      </c>
      <c r="AT44" s="58">
        <v>0</v>
      </c>
      <c r="AU44" s="58">
        <v>0</v>
      </c>
      <c r="AV44" s="58">
        <v>0</v>
      </c>
      <c r="AW44" s="58">
        <v>0</v>
      </c>
      <c r="AX44" s="58">
        <v>0</v>
      </c>
    </row>
    <row r="45" spans="1:50" x14ac:dyDescent="0.25">
      <c r="A45" s="52">
        <f t="shared" si="11"/>
        <v>40</v>
      </c>
      <c r="B45" s="60" t="str">
        <f t="shared" si="10"/>
        <v>004501093631</v>
      </c>
      <c r="C45" s="55" t="s">
        <v>26</v>
      </c>
      <c r="D45" s="53" t="s">
        <v>2033</v>
      </c>
      <c r="E45" s="55" t="s">
        <v>46</v>
      </c>
      <c r="F45" s="53" t="s">
        <v>2036</v>
      </c>
      <c r="G45" s="55">
        <v>11254</v>
      </c>
      <c r="H45" s="53" t="s">
        <v>143</v>
      </c>
      <c r="I45" s="55">
        <v>200596084</v>
      </c>
      <c r="J45" s="55" t="s">
        <v>144</v>
      </c>
      <c r="K45" s="55" t="s">
        <v>145</v>
      </c>
      <c r="L45" s="53" t="s">
        <v>2037</v>
      </c>
      <c r="M45" s="55" t="s">
        <v>49</v>
      </c>
      <c r="N45" s="52">
        <v>904000000</v>
      </c>
      <c r="O45" s="52">
        <v>904000000</v>
      </c>
      <c r="P45" s="52">
        <v>904000000</v>
      </c>
      <c r="Q45" s="57">
        <v>45385</v>
      </c>
      <c r="R45" s="57">
        <v>46988</v>
      </c>
      <c r="S45" s="56">
        <v>14</v>
      </c>
      <c r="T45" s="54">
        <v>1</v>
      </c>
      <c r="U45" s="52">
        <v>538923085</v>
      </c>
      <c r="V45" s="52">
        <v>538923085</v>
      </c>
      <c r="W45" s="52">
        <v>0</v>
      </c>
      <c r="X45" s="57"/>
      <c r="Y45" s="52">
        <v>0</v>
      </c>
      <c r="Z45" s="52">
        <v>0</v>
      </c>
      <c r="AA45" s="52">
        <v>1</v>
      </c>
      <c r="AB45" s="52">
        <v>0</v>
      </c>
      <c r="AC45" s="52">
        <v>5581176.0599999996</v>
      </c>
      <c r="AD45" s="52">
        <v>5581176.0599999996</v>
      </c>
      <c r="AE45" s="52">
        <v>0</v>
      </c>
      <c r="AF45" s="52">
        <v>0</v>
      </c>
      <c r="AG45" s="52">
        <v>0</v>
      </c>
      <c r="AH45" s="52">
        <v>0</v>
      </c>
      <c r="AI45" s="52">
        <v>0</v>
      </c>
      <c r="AJ45" s="52">
        <v>2</v>
      </c>
      <c r="AK45" s="52"/>
      <c r="AL45" s="52">
        <v>24324101683</v>
      </c>
      <c r="AM45" s="52">
        <v>0</v>
      </c>
      <c r="AN45" s="52">
        <v>1130000000</v>
      </c>
      <c r="AO45" s="52">
        <v>829226235255</v>
      </c>
      <c r="AP45" s="52">
        <v>136031092886</v>
      </c>
      <c r="AQ45" s="58">
        <v>0</v>
      </c>
      <c r="AR45" s="58">
        <v>0</v>
      </c>
      <c r="AS45" s="58">
        <v>0</v>
      </c>
      <c r="AT45" s="58">
        <v>0</v>
      </c>
      <c r="AU45" s="58">
        <v>0</v>
      </c>
      <c r="AV45" s="58">
        <v>0</v>
      </c>
      <c r="AW45" s="58">
        <v>0</v>
      </c>
      <c r="AX45" s="58">
        <v>0</v>
      </c>
    </row>
    <row r="46" spans="1:50" x14ac:dyDescent="0.25">
      <c r="A46" s="52">
        <f t="shared" si="11"/>
        <v>41</v>
      </c>
      <c r="B46" s="60" t="str">
        <f t="shared" si="10"/>
        <v>00450609546</v>
      </c>
      <c r="C46" s="55" t="s">
        <v>26</v>
      </c>
      <c r="D46" s="53" t="s">
        <v>2033</v>
      </c>
      <c r="E46" s="55" t="s">
        <v>46</v>
      </c>
      <c r="F46" s="53" t="s">
        <v>2036</v>
      </c>
      <c r="G46" s="55">
        <v>11254</v>
      </c>
      <c r="H46" s="53" t="s">
        <v>146</v>
      </c>
      <c r="I46" s="55">
        <v>307184605</v>
      </c>
      <c r="J46" s="55" t="s">
        <v>147</v>
      </c>
      <c r="K46" s="55" t="s">
        <v>148</v>
      </c>
      <c r="L46" s="53" t="s">
        <v>2037</v>
      </c>
      <c r="M46" s="55" t="s">
        <v>49</v>
      </c>
      <c r="N46" s="52">
        <v>297523132.85000002</v>
      </c>
      <c r="O46" s="52">
        <v>297523132.85000002</v>
      </c>
      <c r="P46" s="52">
        <v>297523132.85000002</v>
      </c>
      <c r="Q46" s="57">
        <v>44530</v>
      </c>
      <c r="R46" s="57">
        <v>48616</v>
      </c>
      <c r="S46" s="56">
        <v>0</v>
      </c>
      <c r="T46" s="54">
        <v>0</v>
      </c>
      <c r="U46" s="52">
        <v>281655232.85000002</v>
      </c>
      <c r="V46" s="52">
        <v>281655232.85000002</v>
      </c>
      <c r="W46" s="52">
        <v>0</v>
      </c>
      <c r="X46" s="57"/>
      <c r="Y46" s="52">
        <v>0</v>
      </c>
      <c r="Z46" s="52">
        <v>0</v>
      </c>
      <c r="AA46" s="52">
        <v>2</v>
      </c>
      <c r="AB46" s="52">
        <v>28165523.289999999</v>
      </c>
      <c r="AC46" s="52">
        <v>8863436.2400000002</v>
      </c>
      <c r="AD46" s="52">
        <v>0</v>
      </c>
      <c r="AE46" s="52">
        <v>0</v>
      </c>
      <c r="AF46" s="52">
        <v>8863436.2400000002</v>
      </c>
      <c r="AG46" s="52">
        <v>0</v>
      </c>
      <c r="AH46" s="52">
        <v>0</v>
      </c>
      <c r="AI46" s="52">
        <v>0</v>
      </c>
      <c r="AJ46" s="52">
        <v>2</v>
      </c>
      <c r="AK46" s="52"/>
      <c r="AL46" s="52">
        <v>0</v>
      </c>
      <c r="AM46" s="52">
        <v>0</v>
      </c>
      <c r="AN46" s="52">
        <v>372000000</v>
      </c>
      <c r="AO46" s="52">
        <v>5578097521</v>
      </c>
      <c r="AP46" s="52">
        <v>5455933290</v>
      </c>
      <c r="AQ46" s="58">
        <v>0</v>
      </c>
      <c r="AR46" s="58">
        <v>0</v>
      </c>
      <c r="AS46" s="58">
        <v>0</v>
      </c>
      <c r="AT46" s="58">
        <v>0</v>
      </c>
      <c r="AU46" s="58">
        <v>0</v>
      </c>
      <c r="AV46" s="58">
        <v>0</v>
      </c>
      <c r="AW46" s="58">
        <v>0</v>
      </c>
      <c r="AX46" s="58">
        <v>0</v>
      </c>
    </row>
    <row r="47" spans="1:50" x14ac:dyDescent="0.25">
      <c r="A47" s="52">
        <f t="shared" si="11"/>
        <v>42</v>
      </c>
      <c r="B47" s="60" t="str">
        <f t="shared" si="10"/>
        <v>00450609294</v>
      </c>
      <c r="C47" s="55" t="s">
        <v>26</v>
      </c>
      <c r="D47" s="53" t="s">
        <v>2033</v>
      </c>
      <c r="E47" s="55" t="s">
        <v>46</v>
      </c>
      <c r="F47" s="53" t="s">
        <v>2036</v>
      </c>
      <c r="G47" s="55">
        <v>11254</v>
      </c>
      <c r="H47" s="53" t="s">
        <v>146</v>
      </c>
      <c r="I47" s="55">
        <v>307184605</v>
      </c>
      <c r="J47" s="55" t="s">
        <v>149</v>
      </c>
      <c r="K47" s="55" t="s">
        <v>150</v>
      </c>
      <c r="L47" s="53" t="s">
        <v>2037</v>
      </c>
      <c r="M47" s="55" t="s">
        <v>49</v>
      </c>
      <c r="N47" s="52">
        <v>285920000</v>
      </c>
      <c r="O47" s="52">
        <v>285920000</v>
      </c>
      <c r="P47" s="52">
        <v>285920000</v>
      </c>
      <c r="Q47" s="57">
        <v>44505</v>
      </c>
      <c r="R47" s="57">
        <v>49215</v>
      </c>
      <c r="S47" s="56">
        <v>0</v>
      </c>
      <c r="T47" s="54">
        <v>0</v>
      </c>
      <c r="U47" s="52">
        <v>270871580</v>
      </c>
      <c r="V47" s="52">
        <v>270871580</v>
      </c>
      <c r="W47" s="52">
        <v>0</v>
      </c>
      <c r="X47" s="57"/>
      <c r="Y47" s="52">
        <v>0</v>
      </c>
      <c r="Z47" s="52">
        <v>0</v>
      </c>
      <c r="AA47" s="52">
        <v>2</v>
      </c>
      <c r="AB47" s="52">
        <v>27087158</v>
      </c>
      <c r="AC47" s="52">
        <v>11972378.800000001</v>
      </c>
      <c r="AD47" s="52">
        <v>0</v>
      </c>
      <c r="AE47" s="52">
        <v>0</v>
      </c>
      <c r="AF47" s="52">
        <v>11972378.800000001</v>
      </c>
      <c r="AG47" s="52">
        <v>0</v>
      </c>
      <c r="AH47" s="52">
        <v>0</v>
      </c>
      <c r="AI47" s="52">
        <v>0</v>
      </c>
      <c r="AJ47" s="52">
        <v>2</v>
      </c>
      <c r="AK47" s="52"/>
      <c r="AL47" s="52">
        <v>0</v>
      </c>
      <c r="AM47" s="52">
        <v>0</v>
      </c>
      <c r="AN47" s="52">
        <v>358000000</v>
      </c>
      <c r="AO47" s="52">
        <v>5578097521</v>
      </c>
      <c r="AP47" s="52">
        <v>5455933290</v>
      </c>
      <c r="AQ47" s="58">
        <v>0</v>
      </c>
      <c r="AR47" s="58">
        <v>0</v>
      </c>
      <c r="AS47" s="58">
        <v>0</v>
      </c>
      <c r="AT47" s="58">
        <v>0</v>
      </c>
      <c r="AU47" s="58">
        <v>0</v>
      </c>
      <c r="AV47" s="58">
        <v>0</v>
      </c>
      <c r="AW47" s="58">
        <v>0</v>
      </c>
      <c r="AX47" s="58">
        <v>0</v>
      </c>
    </row>
    <row r="48" spans="1:50" x14ac:dyDescent="0.25">
      <c r="A48" s="52">
        <f t="shared" si="11"/>
        <v>43</v>
      </c>
      <c r="B48" s="60" t="str">
        <f t="shared" si="10"/>
        <v>00450609264</v>
      </c>
      <c r="C48" s="55" t="s">
        <v>26</v>
      </c>
      <c r="D48" s="53" t="s">
        <v>2033</v>
      </c>
      <c r="E48" s="55" t="s">
        <v>46</v>
      </c>
      <c r="F48" s="53" t="s">
        <v>2038</v>
      </c>
      <c r="G48" s="55">
        <v>11255</v>
      </c>
      <c r="H48" s="53" t="s">
        <v>2352</v>
      </c>
      <c r="I48" s="55">
        <v>307786464</v>
      </c>
      <c r="J48" s="55" t="s">
        <v>151</v>
      </c>
      <c r="K48" s="55" t="s">
        <v>152</v>
      </c>
      <c r="L48" s="53" t="s">
        <v>2039</v>
      </c>
      <c r="M48" s="55" t="s">
        <v>49</v>
      </c>
      <c r="N48" s="52">
        <v>531500000</v>
      </c>
      <c r="O48" s="52">
        <v>531500000</v>
      </c>
      <c r="P48" s="52">
        <v>531500000</v>
      </c>
      <c r="Q48" s="57">
        <v>44497</v>
      </c>
      <c r="R48" s="57">
        <v>48664</v>
      </c>
      <c r="S48" s="56">
        <v>0</v>
      </c>
      <c r="T48" s="54">
        <v>6</v>
      </c>
      <c r="U48" s="52">
        <v>517051657.94</v>
      </c>
      <c r="V48" s="52">
        <v>517051657.94</v>
      </c>
      <c r="W48" s="52">
        <v>0</v>
      </c>
      <c r="X48" s="57"/>
      <c r="Y48" s="52">
        <v>0</v>
      </c>
      <c r="Z48" s="52">
        <v>0</v>
      </c>
      <c r="AA48" s="52">
        <v>1</v>
      </c>
      <c r="AB48" s="52">
        <v>0</v>
      </c>
      <c r="AC48" s="52">
        <v>180946136.27000001</v>
      </c>
      <c r="AD48" s="52">
        <v>0</v>
      </c>
      <c r="AE48" s="52">
        <v>0</v>
      </c>
      <c r="AF48" s="52">
        <v>180946136.27000001</v>
      </c>
      <c r="AG48" s="52">
        <v>0</v>
      </c>
      <c r="AH48" s="52">
        <v>0</v>
      </c>
      <c r="AI48" s="52">
        <v>0</v>
      </c>
      <c r="AJ48" s="52">
        <v>2</v>
      </c>
      <c r="AK48" s="52"/>
      <c r="AL48" s="52">
        <v>0</v>
      </c>
      <c r="AM48" s="52">
        <v>0</v>
      </c>
      <c r="AN48" s="52">
        <v>508593750</v>
      </c>
      <c r="AO48" s="52">
        <v>1390547169.96</v>
      </c>
      <c r="AP48" s="52">
        <v>241688997</v>
      </c>
      <c r="AQ48" s="58">
        <v>0</v>
      </c>
      <c r="AR48" s="58">
        <v>0</v>
      </c>
      <c r="AS48" s="58">
        <v>0</v>
      </c>
      <c r="AT48" s="58">
        <v>0</v>
      </c>
      <c r="AU48" s="58">
        <v>0</v>
      </c>
      <c r="AV48" s="58">
        <v>0</v>
      </c>
      <c r="AW48" s="58">
        <v>0</v>
      </c>
      <c r="AX48" s="58">
        <v>0</v>
      </c>
    </row>
    <row r="49" spans="1:50" x14ac:dyDescent="0.25">
      <c r="A49" s="52">
        <f t="shared" si="11"/>
        <v>44</v>
      </c>
      <c r="B49" s="60" t="str">
        <f t="shared" si="10"/>
        <v>00450609252</v>
      </c>
      <c r="C49" s="55" t="s">
        <v>26</v>
      </c>
      <c r="D49" s="53" t="s">
        <v>2033</v>
      </c>
      <c r="E49" s="55" t="s">
        <v>46</v>
      </c>
      <c r="F49" s="53" t="s">
        <v>2038</v>
      </c>
      <c r="G49" s="55">
        <v>11255</v>
      </c>
      <c r="H49" s="53" t="s">
        <v>2352</v>
      </c>
      <c r="I49" s="55">
        <v>307786464</v>
      </c>
      <c r="J49" s="55" t="s">
        <v>153</v>
      </c>
      <c r="K49" s="55" t="s">
        <v>154</v>
      </c>
      <c r="L49" s="53" t="s">
        <v>2039</v>
      </c>
      <c r="M49" s="55" t="s">
        <v>49</v>
      </c>
      <c r="N49" s="52">
        <v>406875000</v>
      </c>
      <c r="O49" s="52">
        <v>406875000</v>
      </c>
      <c r="P49" s="52">
        <v>406875000</v>
      </c>
      <c r="Q49" s="57">
        <v>44496</v>
      </c>
      <c r="R49" s="57">
        <v>48604</v>
      </c>
      <c r="S49" s="56">
        <v>0</v>
      </c>
      <c r="T49" s="54">
        <v>6</v>
      </c>
      <c r="U49" s="52">
        <v>390600000</v>
      </c>
      <c r="V49" s="52">
        <v>390600000</v>
      </c>
      <c r="W49" s="52">
        <v>0</v>
      </c>
      <c r="X49" s="57"/>
      <c r="Y49" s="52">
        <v>0</v>
      </c>
      <c r="Z49" s="52">
        <v>0</v>
      </c>
      <c r="AA49" s="52">
        <v>1</v>
      </c>
      <c r="AB49" s="52">
        <v>0</v>
      </c>
      <c r="AC49" s="52">
        <v>228028236.50999999</v>
      </c>
      <c r="AD49" s="52">
        <v>0</v>
      </c>
      <c r="AE49" s="52">
        <v>0</v>
      </c>
      <c r="AF49" s="52">
        <v>228028236.50999999</v>
      </c>
      <c r="AG49" s="52">
        <v>0</v>
      </c>
      <c r="AH49" s="52">
        <v>0</v>
      </c>
      <c r="AI49" s="52">
        <v>0</v>
      </c>
      <c r="AJ49" s="52">
        <v>2</v>
      </c>
      <c r="AK49" s="52"/>
      <c r="AL49" s="52">
        <v>0</v>
      </c>
      <c r="AM49" s="52">
        <v>0</v>
      </c>
      <c r="AN49" s="52">
        <v>508593750</v>
      </c>
      <c r="AO49" s="52">
        <v>1390547169.96</v>
      </c>
      <c r="AP49" s="52">
        <v>241688997</v>
      </c>
      <c r="AQ49" s="58">
        <v>0</v>
      </c>
      <c r="AR49" s="58">
        <v>0</v>
      </c>
      <c r="AS49" s="58">
        <v>0</v>
      </c>
      <c r="AT49" s="58">
        <v>0</v>
      </c>
      <c r="AU49" s="58">
        <v>0</v>
      </c>
      <c r="AV49" s="58">
        <v>0</v>
      </c>
      <c r="AW49" s="58">
        <v>0</v>
      </c>
      <c r="AX49" s="58">
        <v>0</v>
      </c>
    </row>
    <row r="50" spans="1:50" x14ac:dyDescent="0.25">
      <c r="A50" s="52">
        <f t="shared" si="11"/>
        <v>45</v>
      </c>
      <c r="B50" s="60" t="str">
        <f t="shared" si="10"/>
        <v>00450609256</v>
      </c>
      <c r="C50" s="55" t="s">
        <v>26</v>
      </c>
      <c r="D50" s="53" t="s">
        <v>2033</v>
      </c>
      <c r="E50" s="55" t="s">
        <v>46</v>
      </c>
      <c r="F50" s="53" t="s">
        <v>2038</v>
      </c>
      <c r="G50" s="55">
        <v>11255</v>
      </c>
      <c r="H50" s="53" t="s">
        <v>2352</v>
      </c>
      <c r="I50" s="55">
        <v>307786464</v>
      </c>
      <c r="J50" s="55" t="s">
        <v>155</v>
      </c>
      <c r="K50" s="55" t="s">
        <v>156</v>
      </c>
      <c r="L50" s="53" t="s">
        <v>2039</v>
      </c>
      <c r="M50" s="55" t="s">
        <v>49</v>
      </c>
      <c r="N50" s="52">
        <v>403123000</v>
      </c>
      <c r="O50" s="52">
        <v>403123000</v>
      </c>
      <c r="P50" s="52">
        <v>403123000</v>
      </c>
      <c r="Q50" s="57">
        <v>44496</v>
      </c>
      <c r="R50" s="57">
        <v>49121</v>
      </c>
      <c r="S50" s="56">
        <v>0</v>
      </c>
      <c r="T50" s="54">
        <v>6</v>
      </c>
      <c r="U50" s="52">
        <v>389975581.12</v>
      </c>
      <c r="V50" s="52">
        <v>389975581.12</v>
      </c>
      <c r="W50" s="52">
        <v>0</v>
      </c>
      <c r="X50" s="57"/>
      <c r="Y50" s="52">
        <v>0</v>
      </c>
      <c r="Z50" s="52">
        <v>0</v>
      </c>
      <c r="AA50" s="52">
        <v>1</v>
      </c>
      <c r="AB50" s="52">
        <v>0</v>
      </c>
      <c r="AC50" s="52">
        <v>81508783.329999998</v>
      </c>
      <c r="AD50" s="52">
        <v>0</v>
      </c>
      <c r="AE50" s="52">
        <v>0</v>
      </c>
      <c r="AF50" s="52">
        <v>81508783.329999998</v>
      </c>
      <c r="AG50" s="52">
        <v>0</v>
      </c>
      <c r="AH50" s="52">
        <v>0</v>
      </c>
      <c r="AI50" s="52">
        <v>0</v>
      </c>
      <c r="AJ50" s="52">
        <v>2</v>
      </c>
      <c r="AK50" s="52"/>
      <c r="AL50" s="52">
        <v>0</v>
      </c>
      <c r="AM50" s="52">
        <v>0</v>
      </c>
      <c r="AN50" s="52">
        <v>508593750</v>
      </c>
      <c r="AO50" s="52">
        <v>1390547169.96</v>
      </c>
      <c r="AP50" s="52">
        <v>241688997</v>
      </c>
      <c r="AQ50" s="58">
        <v>0</v>
      </c>
      <c r="AR50" s="58">
        <v>0</v>
      </c>
      <c r="AS50" s="58">
        <v>0</v>
      </c>
      <c r="AT50" s="58">
        <v>0</v>
      </c>
      <c r="AU50" s="58">
        <v>0</v>
      </c>
      <c r="AV50" s="58">
        <v>0</v>
      </c>
      <c r="AW50" s="58">
        <v>0</v>
      </c>
      <c r="AX50" s="58">
        <v>0</v>
      </c>
    </row>
    <row r="51" spans="1:50" x14ac:dyDescent="0.25">
      <c r="A51" s="52">
        <f t="shared" si="11"/>
        <v>46</v>
      </c>
      <c r="B51" s="60" t="str">
        <f t="shared" si="10"/>
        <v>00450609477</v>
      </c>
      <c r="C51" s="55" t="s">
        <v>26</v>
      </c>
      <c r="D51" s="53" t="s">
        <v>2033</v>
      </c>
      <c r="E51" s="55" t="s">
        <v>46</v>
      </c>
      <c r="F51" s="53" t="s">
        <v>2038</v>
      </c>
      <c r="G51" s="55">
        <v>11255</v>
      </c>
      <c r="H51" s="53" t="s">
        <v>2352</v>
      </c>
      <c r="I51" s="55">
        <v>307786464</v>
      </c>
      <c r="J51" s="55" t="s">
        <v>157</v>
      </c>
      <c r="K51" s="55" t="s">
        <v>158</v>
      </c>
      <c r="L51" s="53" t="s">
        <v>2039</v>
      </c>
      <c r="M51" s="55" t="s">
        <v>49</v>
      </c>
      <c r="N51" s="52">
        <v>315120502</v>
      </c>
      <c r="O51" s="52">
        <v>315120502</v>
      </c>
      <c r="P51" s="52">
        <v>315120502</v>
      </c>
      <c r="Q51" s="57">
        <v>44523</v>
      </c>
      <c r="R51" s="57">
        <v>49116</v>
      </c>
      <c r="S51" s="56">
        <v>0</v>
      </c>
      <c r="T51" s="54">
        <v>6</v>
      </c>
      <c r="U51" s="52">
        <v>308194776</v>
      </c>
      <c r="V51" s="52">
        <v>308194776</v>
      </c>
      <c r="W51" s="52">
        <v>0</v>
      </c>
      <c r="X51" s="57"/>
      <c r="Y51" s="52">
        <v>0</v>
      </c>
      <c r="Z51" s="52">
        <v>0</v>
      </c>
      <c r="AA51" s="52">
        <v>1</v>
      </c>
      <c r="AB51" s="52">
        <v>0</v>
      </c>
      <c r="AC51" s="52">
        <v>81419889.670000002</v>
      </c>
      <c r="AD51" s="52">
        <v>0</v>
      </c>
      <c r="AE51" s="52">
        <v>0</v>
      </c>
      <c r="AF51" s="52">
        <v>81419889.670000002</v>
      </c>
      <c r="AG51" s="52">
        <v>0</v>
      </c>
      <c r="AH51" s="52">
        <v>0</v>
      </c>
      <c r="AI51" s="52">
        <v>0</v>
      </c>
      <c r="AJ51" s="52">
        <v>2</v>
      </c>
      <c r="AK51" s="52"/>
      <c r="AL51" s="52">
        <v>0</v>
      </c>
      <c r="AM51" s="52">
        <v>0</v>
      </c>
      <c r="AN51" s="52">
        <v>508593750</v>
      </c>
      <c r="AO51" s="52">
        <v>1390547169.96</v>
      </c>
      <c r="AP51" s="52">
        <v>241688997</v>
      </c>
      <c r="AQ51" s="58">
        <v>0</v>
      </c>
      <c r="AR51" s="58">
        <v>0</v>
      </c>
      <c r="AS51" s="58">
        <v>0</v>
      </c>
      <c r="AT51" s="58">
        <v>0</v>
      </c>
      <c r="AU51" s="58">
        <v>0</v>
      </c>
      <c r="AV51" s="58">
        <v>0</v>
      </c>
      <c r="AW51" s="58">
        <v>0</v>
      </c>
      <c r="AX51" s="58">
        <v>0</v>
      </c>
    </row>
    <row r="52" spans="1:50" x14ac:dyDescent="0.25">
      <c r="A52" s="52">
        <f t="shared" si="11"/>
        <v>47</v>
      </c>
      <c r="B52" s="60" t="str">
        <f t="shared" si="10"/>
        <v>00450609269</v>
      </c>
      <c r="C52" s="55" t="s">
        <v>26</v>
      </c>
      <c r="D52" s="53" t="s">
        <v>2033</v>
      </c>
      <c r="E52" s="55" t="s">
        <v>46</v>
      </c>
      <c r="F52" s="53" t="s">
        <v>2038</v>
      </c>
      <c r="G52" s="55">
        <v>11255</v>
      </c>
      <c r="H52" s="53" t="s">
        <v>2352</v>
      </c>
      <c r="I52" s="55">
        <v>307786464</v>
      </c>
      <c r="J52" s="55" t="s">
        <v>159</v>
      </c>
      <c r="K52" s="55" t="s">
        <v>160</v>
      </c>
      <c r="L52" s="53" t="s">
        <v>2039</v>
      </c>
      <c r="M52" s="55" t="s">
        <v>49</v>
      </c>
      <c r="N52" s="52">
        <v>260263017.65000001</v>
      </c>
      <c r="O52" s="52">
        <v>260263017.65000001</v>
      </c>
      <c r="P52" s="52">
        <v>260263017.65000001</v>
      </c>
      <c r="Q52" s="57">
        <v>44497</v>
      </c>
      <c r="R52" s="57">
        <v>48299</v>
      </c>
      <c r="S52" s="56">
        <v>0</v>
      </c>
      <c r="T52" s="54">
        <v>6</v>
      </c>
      <c r="U52" s="52">
        <v>248250879.65000001</v>
      </c>
      <c r="V52" s="52">
        <v>248250879.65000001</v>
      </c>
      <c r="W52" s="52">
        <v>0</v>
      </c>
      <c r="X52" s="57"/>
      <c r="Y52" s="52">
        <v>0</v>
      </c>
      <c r="Z52" s="52">
        <v>0</v>
      </c>
      <c r="AA52" s="52">
        <v>1</v>
      </c>
      <c r="AB52" s="52">
        <v>0</v>
      </c>
      <c r="AC52" s="52">
        <v>9751209.5899999999</v>
      </c>
      <c r="AD52" s="52">
        <v>0</v>
      </c>
      <c r="AE52" s="52">
        <v>0</v>
      </c>
      <c r="AF52" s="52">
        <v>9751209.5899999999</v>
      </c>
      <c r="AG52" s="52">
        <v>0</v>
      </c>
      <c r="AH52" s="52">
        <v>0</v>
      </c>
      <c r="AI52" s="52">
        <v>0</v>
      </c>
      <c r="AJ52" s="52">
        <v>2</v>
      </c>
      <c r="AK52" s="52"/>
      <c r="AL52" s="52">
        <v>0</v>
      </c>
      <c r="AM52" s="52">
        <v>0</v>
      </c>
      <c r="AN52" s="52">
        <v>508593750</v>
      </c>
      <c r="AO52" s="52">
        <v>1390547169.96</v>
      </c>
      <c r="AP52" s="52">
        <v>241688997</v>
      </c>
      <c r="AQ52" s="58">
        <v>0</v>
      </c>
      <c r="AR52" s="58">
        <v>0</v>
      </c>
      <c r="AS52" s="58">
        <v>0</v>
      </c>
      <c r="AT52" s="58">
        <v>0</v>
      </c>
      <c r="AU52" s="58">
        <v>0</v>
      </c>
      <c r="AV52" s="58">
        <v>0</v>
      </c>
      <c r="AW52" s="58">
        <v>0</v>
      </c>
      <c r="AX52" s="58">
        <v>0</v>
      </c>
    </row>
    <row r="53" spans="1:50" x14ac:dyDescent="0.25">
      <c r="A53" s="52">
        <f t="shared" si="11"/>
        <v>48</v>
      </c>
      <c r="B53" s="60" t="str">
        <f t="shared" si="10"/>
        <v>00413179377</v>
      </c>
      <c r="C53" s="67" t="s">
        <v>28</v>
      </c>
      <c r="D53" s="59" t="s">
        <v>2058</v>
      </c>
      <c r="E53" s="55" t="str">
        <f t="shared" ref="E53:E116" si="12">+G53</f>
        <v>00413</v>
      </c>
      <c r="F53" s="53" t="s">
        <v>2059</v>
      </c>
      <c r="G53" s="55" t="s">
        <v>11</v>
      </c>
      <c r="H53" s="60" t="s">
        <v>161</v>
      </c>
      <c r="I53" s="55">
        <v>308959270</v>
      </c>
      <c r="J53" s="55">
        <v>179377</v>
      </c>
      <c r="K53" s="55" t="s">
        <v>162</v>
      </c>
      <c r="L53" s="53" t="s">
        <v>2060</v>
      </c>
      <c r="M53" s="55" t="s">
        <v>75</v>
      </c>
      <c r="N53" s="52">
        <v>2000000</v>
      </c>
      <c r="O53" s="52">
        <v>24135520000</v>
      </c>
      <c r="P53" s="52">
        <v>24135520000</v>
      </c>
      <c r="Q53" s="57">
        <v>45896</v>
      </c>
      <c r="R53" s="57">
        <v>46239</v>
      </c>
      <c r="S53" s="56">
        <v>6</v>
      </c>
      <c r="T53" s="54">
        <v>6</v>
      </c>
      <c r="U53" s="52">
        <v>24398200000</v>
      </c>
      <c r="V53" s="52">
        <v>24398200000</v>
      </c>
      <c r="W53" s="52">
        <v>0</v>
      </c>
      <c r="X53" s="57"/>
      <c r="Y53" s="52">
        <v>0</v>
      </c>
      <c r="Z53" s="52">
        <v>0</v>
      </c>
      <c r="AA53" s="52">
        <v>1</v>
      </c>
      <c r="AB53" s="52">
        <v>0</v>
      </c>
      <c r="AC53" s="52">
        <v>104277174.84999999</v>
      </c>
      <c r="AD53" s="52">
        <v>104277174.84999999</v>
      </c>
      <c r="AE53" s="52">
        <v>0</v>
      </c>
      <c r="AF53" s="52">
        <v>0</v>
      </c>
      <c r="AG53" s="52">
        <v>0</v>
      </c>
      <c r="AH53" s="52">
        <v>0</v>
      </c>
      <c r="AI53" s="52">
        <v>0</v>
      </c>
      <c r="AJ53" s="52">
        <v>2</v>
      </c>
      <c r="AK53" s="52"/>
      <c r="AL53" s="52">
        <v>0</v>
      </c>
      <c r="AM53" s="52">
        <v>0</v>
      </c>
      <c r="AN53" s="52">
        <v>8889403324944</v>
      </c>
      <c r="AO53" s="52">
        <v>0</v>
      </c>
      <c r="AP53" s="52">
        <v>0</v>
      </c>
      <c r="AQ53" s="58">
        <v>190</v>
      </c>
      <c r="AR53" s="58">
        <v>22153680.36999999</v>
      </c>
      <c r="AS53" s="58">
        <v>11</v>
      </c>
      <c r="AT53" s="58">
        <v>1646277.92</v>
      </c>
      <c r="AU53" s="58">
        <v>93</v>
      </c>
      <c r="AV53" s="58">
        <v>8717373.5700000003</v>
      </c>
      <c r="AW53" s="58">
        <v>13</v>
      </c>
      <c r="AX53" s="58">
        <v>355752</v>
      </c>
    </row>
    <row r="54" spans="1:50" x14ac:dyDescent="0.25">
      <c r="A54" s="52">
        <f t="shared" si="11"/>
        <v>49</v>
      </c>
      <c r="B54" s="60" t="str">
        <f t="shared" si="10"/>
        <v>00413174597</v>
      </c>
      <c r="C54" s="67" t="s">
        <v>28</v>
      </c>
      <c r="D54" s="59" t="s">
        <v>2058</v>
      </c>
      <c r="E54" s="55" t="str">
        <f t="shared" si="12"/>
        <v>00413</v>
      </c>
      <c r="F54" s="53" t="s">
        <v>2059</v>
      </c>
      <c r="G54" s="55" t="s">
        <v>11</v>
      </c>
      <c r="H54" s="60" t="s">
        <v>163</v>
      </c>
      <c r="I54" s="55">
        <v>200463369</v>
      </c>
      <c r="J54" s="55">
        <v>174597</v>
      </c>
      <c r="K54" s="55" t="s">
        <v>164</v>
      </c>
      <c r="L54" s="53" t="s">
        <v>2060</v>
      </c>
      <c r="M54" s="55" t="s">
        <v>49</v>
      </c>
      <c r="N54" s="52">
        <v>33360000000</v>
      </c>
      <c r="O54" s="52">
        <v>33360000000</v>
      </c>
      <c r="P54" s="52">
        <v>18236361706.700001</v>
      </c>
      <c r="Q54" s="57">
        <v>45876</v>
      </c>
      <c r="R54" s="57">
        <v>46239</v>
      </c>
      <c r="S54" s="56">
        <v>7</v>
      </c>
      <c r="T54" s="54">
        <v>6</v>
      </c>
      <c r="U54" s="52">
        <v>20252751733.91</v>
      </c>
      <c r="V54" s="52">
        <v>20252751733.91</v>
      </c>
      <c r="W54" s="52">
        <v>0</v>
      </c>
      <c r="X54" s="57"/>
      <c r="Y54" s="52">
        <v>0</v>
      </c>
      <c r="Z54" s="52">
        <v>0</v>
      </c>
      <c r="AA54" s="52">
        <v>1</v>
      </c>
      <c r="AB54" s="52">
        <v>0</v>
      </c>
      <c r="AC54" s="52">
        <v>0</v>
      </c>
      <c r="AD54" s="52">
        <v>0</v>
      </c>
      <c r="AE54" s="52">
        <v>0</v>
      </c>
      <c r="AF54" s="52">
        <v>0</v>
      </c>
      <c r="AG54" s="52">
        <v>0</v>
      </c>
      <c r="AH54" s="52">
        <v>0</v>
      </c>
      <c r="AI54" s="52">
        <v>0</v>
      </c>
      <c r="AJ54" s="52">
        <v>2</v>
      </c>
      <c r="AK54" s="52"/>
      <c r="AL54" s="52">
        <v>486355656919</v>
      </c>
      <c r="AM54" s="52">
        <v>0</v>
      </c>
      <c r="AN54" s="52">
        <v>182363617067</v>
      </c>
      <c r="AO54" s="52">
        <v>0</v>
      </c>
      <c r="AP54" s="52">
        <v>0</v>
      </c>
      <c r="AQ54" s="58">
        <v>0</v>
      </c>
      <c r="AR54" s="58">
        <v>0</v>
      </c>
      <c r="AS54" s="58">
        <v>0</v>
      </c>
      <c r="AT54" s="58">
        <v>0</v>
      </c>
      <c r="AU54" s="58">
        <v>17</v>
      </c>
      <c r="AV54" s="58">
        <v>2966410</v>
      </c>
      <c r="AW54" s="58">
        <v>0</v>
      </c>
      <c r="AX54" s="58">
        <v>0</v>
      </c>
    </row>
    <row r="55" spans="1:50" x14ac:dyDescent="0.25">
      <c r="A55" s="52">
        <f t="shared" si="11"/>
        <v>50</v>
      </c>
      <c r="B55" s="60" t="str">
        <f t="shared" si="10"/>
        <v>00413183800</v>
      </c>
      <c r="C55" s="67" t="s">
        <v>28</v>
      </c>
      <c r="D55" s="59" t="s">
        <v>2058</v>
      </c>
      <c r="E55" s="55" t="str">
        <f t="shared" si="12"/>
        <v>00413</v>
      </c>
      <c r="F55" s="53" t="s">
        <v>2059</v>
      </c>
      <c r="G55" s="55" t="s">
        <v>11</v>
      </c>
      <c r="H55" s="60" t="s">
        <v>165</v>
      </c>
      <c r="I55" s="55">
        <v>311963157</v>
      </c>
      <c r="J55" s="55">
        <v>183800</v>
      </c>
      <c r="K55" s="55" t="s">
        <v>166</v>
      </c>
      <c r="L55" s="53" t="s">
        <v>2060</v>
      </c>
      <c r="M55" s="55" t="s">
        <v>49</v>
      </c>
      <c r="N55" s="52">
        <v>16591595695</v>
      </c>
      <c r="O55" s="52">
        <v>16591595695</v>
      </c>
      <c r="P55" s="52">
        <v>16591595695</v>
      </c>
      <c r="Q55" s="57">
        <v>45915</v>
      </c>
      <c r="R55" s="57">
        <v>47731</v>
      </c>
      <c r="S55" s="56">
        <v>23.9</v>
      </c>
      <c r="T55" s="54">
        <v>6</v>
      </c>
      <c r="U55" s="52">
        <v>16591595695</v>
      </c>
      <c r="V55" s="52">
        <v>16591595695</v>
      </c>
      <c r="W55" s="52">
        <v>0</v>
      </c>
      <c r="X55" s="57"/>
      <c r="Y55" s="52">
        <v>0</v>
      </c>
      <c r="Z55" s="52">
        <v>0</v>
      </c>
      <c r="AA55" s="52">
        <v>1</v>
      </c>
      <c r="AB55" s="52">
        <v>0</v>
      </c>
      <c r="AC55" s="52">
        <v>630116985</v>
      </c>
      <c r="AD55" s="52">
        <v>293330320.60000002</v>
      </c>
      <c r="AE55" s="52">
        <v>0</v>
      </c>
      <c r="AF55" s="52">
        <v>0</v>
      </c>
      <c r="AG55" s="52">
        <v>336786664.39999998</v>
      </c>
      <c r="AH55" s="52">
        <v>0</v>
      </c>
      <c r="AI55" s="52">
        <v>0</v>
      </c>
      <c r="AJ55" s="52">
        <v>2</v>
      </c>
      <c r="AK55" s="52"/>
      <c r="AL55" s="52">
        <v>0</v>
      </c>
      <c r="AM55" s="52">
        <v>0</v>
      </c>
      <c r="AN55" s="52">
        <v>19909914834</v>
      </c>
      <c r="AO55" s="52">
        <v>0</v>
      </c>
      <c r="AP55" s="52">
        <v>0</v>
      </c>
      <c r="AQ55" s="58">
        <v>0</v>
      </c>
      <c r="AR55" s="58">
        <v>0</v>
      </c>
      <c r="AS55" s="58">
        <v>0</v>
      </c>
      <c r="AT55" s="58">
        <v>0</v>
      </c>
      <c r="AU55" s="58">
        <v>0</v>
      </c>
      <c r="AV55" s="58">
        <v>0</v>
      </c>
      <c r="AW55" s="58">
        <v>0</v>
      </c>
      <c r="AX55" s="58">
        <v>0</v>
      </c>
    </row>
    <row r="56" spans="1:50" x14ac:dyDescent="0.25">
      <c r="A56" s="52">
        <f t="shared" si="11"/>
        <v>51</v>
      </c>
      <c r="B56" s="60" t="str">
        <f t="shared" si="10"/>
        <v>00413178435</v>
      </c>
      <c r="C56" s="67" t="s">
        <v>28</v>
      </c>
      <c r="D56" s="59" t="s">
        <v>2058</v>
      </c>
      <c r="E56" s="55" t="str">
        <f t="shared" si="12"/>
        <v>00413</v>
      </c>
      <c r="F56" s="53" t="s">
        <v>2059</v>
      </c>
      <c r="G56" s="55" t="s">
        <v>11</v>
      </c>
      <c r="H56" s="60" t="s">
        <v>167</v>
      </c>
      <c r="I56" s="55">
        <v>302720012</v>
      </c>
      <c r="J56" s="55">
        <v>178435</v>
      </c>
      <c r="K56" s="55" t="s">
        <v>168</v>
      </c>
      <c r="L56" s="53" t="s">
        <v>2060</v>
      </c>
      <c r="M56" s="55" t="s">
        <v>49</v>
      </c>
      <c r="N56" s="52">
        <v>4000000000</v>
      </c>
      <c r="O56" s="52">
        <v>4000000000</v>
      </c>
      <c r="P56" s="52">
        <v>4000000000</v>
      </c>
      <c r="Q56" s="57">
        <v>45894</v>
      </c>
      <c r="R56" s="57">
        <v>45982</v>
      </c>
      <c r="S56" s="56">
        <v>7.9</v>
      </c>
      <c r="T56" s="54">
        <v>0</v>
      </c>
      <c r="U56" s="52">
        <v>3973338231.2800002</v>
      </c>
      <c r="V56" s="52">
        <v>0</v>
      </c>
      <c r="W56" s="52">
        <v>3973338231.2800002</v>
      </c>
      <c r="X56" s="57">
        <v>45982</v>
      </c>
      <c r="Y56" s="52">
        <v>0</v>
      </c>
      <c r="Z56" s="52">
        <v>0</v>
      </c>
      <c r="AA56" s="52">
        <v>3</v>
      </c>
      <c r="AB56" s="52">
        <v>993334557.82000005</v>
      </c>
      <c r="AC56" s="52">
        <v>0</v>
      </c>
      <c r="AD56" s="52">
        <v>0</v>
      </c>
      <c r="AE56" s="52">
        <v>0</v>
      </c>
      <c r="AF56" s="52">
        <v>0</v>
      </c>
      <c r="AG56" s="52">
        <v>0</v>
      </c>
      <c r="AH56" s="52">
        <v>0</v>
      </c>
      <c r="AI56" s="52">
        <v>0</v>
      </c>
      <c r="AJ56" s="52">
        <v>2</v>
      </c>
      <c r="AK56" s="52"/>
      <c r="AL56" s="52">
        <v>0</v>
      </c>
      <c r="AM56" s="52">
        <v>0</v>
      </c>
      <c r="AN56" s="52">
        <v>4000000000</v>
      </c>
      <c r="AO56" s="52">
        <v>0</v>
      </c>
      <c r="AP56" s="52">
        <v>0</v>
      </c>
      <c r="AQ56" s="58">
        <v>0</v>
      </c>
      <c r="AR56" s="58">
        <v>0</v>
      </c>
      <c r="AS56" s="58">
        <v>0</v>
      </c>
      <c r="AT56" s="58">
        <v>0</v>
      </c>
      <c r="AU56" s="58">
        <v>1</v>
      </c>
      <c r="AV56" s="58">
        <v>12000</v>
      </c>
      <c r="AW56" s="58">
        <v>0</v>
      </c>
      <c r="AX56" s="58">
        <v>0</v>
      </c>
    </row>
    <row r="57" spans="1:50" x14ac:dyDescent="0.25">
      <c r="A57" s="52">
        <f t="shared" si="11"/>
        <v>52</v>
      </c>
      <c r="B57" s="60" t="str">
        <f t="shared" si="10"/>
        <v>0045722107</v>
      </c>
      <c r="C57" s="67" t="s">
        <v>28</v>
      </c>
      <c r="D57" s="59" t="s">
        <v>2058</v>
      </c>
      <c r="E57" s="55" t="str">
        <f t="shared" si="12"/>
        <v>00457</v>
      </c>
      <c r="F57" s="53" t="s">
        <v>2061</v>
      </c>
      <c r="G57" s="55" t="s">
        <v>21</v>
      </c>
      <c r="H57" s="60" t="s">
        <v>2353</v>
      </c>
      <c r="I57" s="55">
        <v>305591891</v>
      </c>
      <c r="J57" s="55">
        <v>22107</v>
      </c>
      <c r="K57" s="55" t="s">
        <v>169</v>
      </c>
      <c r="L57" s="53" t="s">
        <v>2062</v>
      </c>
      <c r="M57" s="55" t="s">
        <v>49</v>
      </c>
      <c r="N57" s="52">
        <v>45000000000</v>
      </c>
      <c r="O57" s="52">
        <v>45000000000</v>
      </c>
      <c r="P57" s="52">
        <v>44999432844</v>
      </c>
      <c r="Q57" s="57">
        <v>44181</v>
      </c>
      <c r="R57" s="57">
        <v>46091</v>
      </c>
      <c r="S57" s="56">
        <v>20</v>
      </c>
      <c r="T57" s="54">
        <v>6</v>
      </c>
      <c r="U57" s="52">
        <v>34343432844</v>
      </c>
      <c r="V57" s="52">
        <v>34343432844</v>
      </c>
      <c r="W57" s="52">
        <v>0</v>
      </c>
      <c r="X57" s="57"/>
      <c r="Y57" s="52">
        <v>0</v>
      </c>
      <c r="Z57" s="52">
        <v>0</v>
      </c>
      <c r="AA57" s="52">
        <v>3</v>
      </c>
      <c r="AB57" s="52">
        <v>8585858211</v>
      </c>
      <c r="AC57" s="52">
        <v>28691065637.5</v>
      </c>
      <c r="AD57" s="52">
        <v>4245616390.0900002</v>
      </c>
      <c r="AE57" s="52">
        <v>0</v>
      </c>
      <c r="AF57" s="52">
        <v>24445449247.41</v>
      </c>
      <c r="AG57" s="52">
        <v>0</v>
      </c>
      <c r="AH57" s="52">
        <v>0</v>
      </c>
      <c r="AI57" s="52">
        <v>0</v>
      </c>
      <c r="AJ57" s="52">
        <v>2</v>
      </c>
      <c r="AK57" s="52"/>
      <c r="AL57" s="61">
        <v>8423740941071</v>
      </c>
      <c r="AM57" s="61">
        <v>567156</v>
      </c>
      <c r="AN57" s="52">
        <v>54655711000</v>
      </c>
      <c r="AO57" s="52">
        <v>0</v>
      </c>
      <c r="AP57" s="52">
        <v>0</v>
      </c>
      <c r="AQ57" s="58">
        <v>0</v>
      </c>
      <c r="AR57" s="58">
        <v>0</v>
      </c>
      <c r="AS57" s="58">
        <v>0</v>
      </c>
      <c r="AT57" s="58">
        <v>0</v>
      </c>
      <c r="AU57" s="58">
        <v>0</v>
      </c>
      <c r="AV57" s="58">
        <v>0</v>
      </c>
      <c r="AW57" s="58">
        <v>0</v>
      </c>
      <c r="AX57" s="58">
        <v>0</v>
      </c>
    </row>
    <row r="58" spans="1:50" x14ac:dyDescent="0.25">
      <c r="A58" s="52">
        <f t="shared" si="11"/>
        <v>53</v>
      </c>
      <c r="B58" s="60" t="str">
        <f t="shared" si="10"/>
        <v>0045773569</v>
      </c>
      <c r="C58" s="67" t="s">
        <v>28</v>
      </c>
      <c r="D58" s="59" t="s">
        <v>2058</v>
      </c>
      <c r="E58" s="55" t="str">
        <f t="shared" si="12"/>
        <v>00457</v>
      </c>
      <c r="F58" s="53" t="s">
        <v>2061</v>
      </c>
      <c r="G58" s="55" t="s">
        <v>21</v>
      </c>
      <c r="H58" s="60" t="s">
        <v>170</v>
      </c>
      <c r="I58" s="55">
        <v>310735449</v>
      </c>
      <c r="J58" s="55">
        <v>73569</v>
      </c>
      <c r="K58" s="55" t="s">
        <v>171</v>
      </c>
      <c r="L58" s="53" t="s">
        <v>2062</v>
      </c>
      <c r="M58" s="55" t="s">
        <v>49</v>
      </c>
      <c r="N58" s="52">
        <v>5910812920</v>
      </c>
      <c r="O58" s="52">
        <v>5910812920</v>
      </c>
      <c r="P58" s="52">
        <v>5910812920</v>
      </c>
      <c r="Q58" s="57">
        <v>45411</v>
      </c>
      <c r="R58" s="57">
        <v>46713</v>
      </c>
      <c r="S58" s="56">
        <v>5</v>
      </c>
      <c r="T58" s="54">
        <v>12</v>
      </c>
      <c r="U58" s="52">
        <v>5910783878.8999996</v>
      </c>
      <c r="V58" s="52">
        <v>5310812920</v>
      </c>
      <c r="W58" s="52">
        <v>599970958.89999998</v>
      </c>
      <c r="X58" s="57">
        <v>46006</v>
      </c>
      <c r="Y58" s="52">
        <v>0</v>
      </c>
      <c r="Z58" s="52">
        <v>0</v>
      </c>
      <c r="AA58" s="52">
        <v>2</v>
      </c>
      <c r="AB58" s="52">
        <v>591078387.88999999</v>
      </c>
      <c r="AC58" s="52">
        <v>70805810.060000002</v>
      </c>
      <c r="AD58" s="52">
        <v>70805810.060000002</v>
      </c>
      <c r="AE58" s="52">
        <v>0</v>
      </c>
      <c r="AF58" s="52">
        <v>0</v>
      </c>
      <c r="AG58" s="52">
        <v>0</v>
      </c>
      <c r="AH58" s="52">
        <v>0</v>
      </c>
      <c r="AI58" s="52">
        <v>0</v>
      </c>
      <c r="AJ58" s="52">
        <v>2</v>
      </c>
      <c r="AK58" s="52"/>
      <c r="AL58" s="61">
        <v>17502980897</v>
      </c>
      <c r="AM58" s="52">
        <v>0</v>
      </c>
      <c r="AN58" s="52">
        <v>7092975600</v>
      </c>
      <c r="AO58" s="61">
        <v>7000000</v>
      </c>
      <c r="AP58" s="61">
        <v>2800000</v>
      </c>
      <c r="AQ58" s="58">
        <v>0</v>
      </c>
      <c r="AR58" s="58">
        <v>0</v>
      </c>
      <c r="AS58" s="58">
        <v>0</v>
      </c>
      <c r="AT58" s="58">
        <v>0</v>
      </c>
      <c r="AU58" s="58">
        <v>0</v>
      </c>
      <c r="AV58" s="58">
        <v>0</v>
      </c>
      <c r="AW58" s="58">
        <v>0</v>
      </c>
      <c r="AX58" s="58">
        <v>0</v>
      </c>
    </row>
    <row r="59" spans="1:50" x14ac:dyDescent="0.25">
      <c r="A59" s="52">
        <f t="shared" si="11"/>
        <v>54</v>
      </c>
      <c r="B59" s="60" t="str">
        <f t="shared" si="10"/>
        <v>0045768882</v>
      </c>
      <c r="C59" s="67" t="s">
        <v>28</v>
      </c>
      <c r="D59" s="59" t="s">
        <v>2058</v>
      </c>
      <c r="E59" s="55" t="str">
        <f t="shared" si="12"/>
        <v>00457</v>
      </c>
      <c r="F59" s="53" t="s">
        <v>2061</v>
      </c>
      <c r="G59" s="55" t="s">
        <v>21</v>
      </c>
      <c r="H59" s="60" t="s">
        <v>172</v>
      </c>
      <c r="I59" s="55">
        <v>310347321</v>
      </c>
      <c r="J59" s="55">
        <v>68882</v>
      </c>
      <c r="K59" s="55" t="s">
        <v>173</v>
      </c>
      <c r="L59" s="53" t="s">
        <v>2062</v>
      </c>
      <c r="M59" s="55" t="s">
        <v>49</v>
      </c>
      <c r="N59" s="52">
        <v>6867674160</v>
      </c>
      <c r="O59" s="52">
        <v>6867674160</v>
      </c>
      <c r="P59" s="52">
        <v>6867674160</v>
      </c>
      <c r="Q59" s="57">
        <v>45288</v>
      </c>
      <c r="R59" s="57">
        <v>46706</v>
      </c>
      <c r="S59" s="56">
        <v>5</v>
      </c>
      <c r="T59" s="54">
        <v>12</v>
      </c>
      <c r="U59" s="52">
        <v>5832305559.1099997</v>
      </c>
      <c r="V59" s="52">
        <v>5663659692.8500004</v>
      </c>
      <c r="W59" s="52">
        <v>168645866.25999999</v>
      </c>
      <c r="X59" s="57">
        <v>46006</v>
      </c>
      <c r="Y59" s="52">
        <v>0</v>
      </c>
      <c r="Z59" s="52">
        <v>0</v>
      </c>
      <c r="AA59" s="52">
        <v>1</v>
      </c>
      <c r="AB59" s="52">
        <v>0</v>
      </c>
      <c r="AC59" s="52">
        <v>34137126.910000004</v>
      </c>
      <c r="AD59" s="52">
        <v>20947782.420000002</v>
      </c>
      <c r="AE59" s="52">
        <v>0</v>
      </c>
      <c r="AF59" s="52">
        <v>0</v>
      </c>
      <c r="AG59" s="52">
        <v>13189344.49</v>
      </c>
      <c r="AH59" s="52">
        <v>0</v>
      </c>
      <c r="AI59" s="52">
        <v>0</v>
      </c>
      <c r="AJ59" s="52">
        <v>2</v>
      </c>
      <c r="AK59" s="52"/>
      <c r="AL59" s="61">
        <v>16156828651</v>
      </c>
      <c r="AM59" s="52">
        <v>0</v>
      </c>
      <c r="AN59" s="52">
        <v>5740400000</v>
      </c>
      <c r="AO59" s="61">
        <v>524958841</v>
      </c>
      <c r="AP59" s="61">
        <v>2099835364</v>
      </c>
      <c r="AQ59" s="58">
        <v>0</v>
      </c>
      <c r="AR59" s="58">
        <v>0</v>
      </c>
      <c r="AS59" s="58">
        <v>0</v>
      </c>
      <c r="AT59" s="58">
        <v>0</v>
      </c>
      <c r="AU59" s="58">
        <v>0</v>
      </c>
      <c r="AV59" s="58">
        <v>0</v>
      </c>
      <c r="AW59" s="58">
        <v>0</v>
      </c>
      <c r="AX59" s="58">
        <v>0</v>
      </c>
    </row>
    <row r="60" spans="1:50" x14ac:dyDescent="0.25">
      <c r="A60" s="52">
        <f t="shared" si="11"/>
        <v>55</v>
      </c>
      <c r="B60" s="60" t="str">
        <f t="shared" si="10"/>
        <v>0045736582</v>
      </c>
      <c r="C60" s="67" t="s">
        <v>28</v>
      </c>
      <c r="D60" s="59" t="s">
        <v>2058</v>
      </c>
      <c r="E60" s="55" t="str">
        <f t="shared" si="12"/>
        <v>00457</v>
      </c>
      <c r="F60" s="53" t="s">
        <v>2061</v>
      </c>
      <c r="G60" s="55" t="s">
        <v>21</v>
      </c>
      <c r="H60" s="60" t="s">
        <v>174</v>
      </c>
      <c r="I60" s="55">
        <v>309217251</v>
      </c>
      <c r="J60" s="55">
        <v>36582</v>
      </c>
      <c r="K60" s="55" t="s">
        <v>175</v>
      </c>
      <c r="L60" s="53" t="s">
        <v>2062</v>
      </c>
      <c r="M60" s="55" t="s">
        <v>49</v>
      </c>
      <c r="N60" s="52">
        <v>6723000000</v>
      </c>
      <c r="O60" s="52">
        <v>6723000000</v>
      </c>
      <c r="P60" s="52">
        <v>6723000000</v>
      </c>
      <c r="Q60" s="57">
        <v>44649</v>
      </c>
      <c r="R60" s="57">
        <v>46811</v>
      </c>
      <c r="S60" s="56">
        <v>5</v>
      </c>
      <c r="T60" s="54">
        <v>12</v>
      </c>
      <c r="U60" s="52">
        <v>5576375830.9300003</v>
      </c>
      <c r="V60" s="52">
        <v>5250000000</v>
      </c>
      <c r="W60" s="52">
        <v>326375830.93000001</v>
      </c>
      <c r="X60" s="57">
        <v>46006</v>
      </c>
      <c r="Y60" s="52">
        <v>0</v>
      </c>
      <c r="Z60" s="52">
        <v>0</v>
      </c>
      <c r="AA60" s="52">
        <v>2</v>
      </c>
      <c r="AB60" s="52">
        <v>557637583.09000003</v>
      </c>
      <c r="AC60" s="52">
        <v>86534371.020000011</v>
      </c>
      <c r="AD60" s="52">
        <v>8630136.9900000002</v>
      </c>
      <c r="AE60" s="52">
        <v>0</v>
      </c>
      <c r="AF60" s="52">
        <v>4997306.66</v>
      </c>
      <c r="AG60" s="52">
        <v>72906927.370000005</v>
      </c>
      <c r="AH60" s="52">
        <v>0</v>
      </c>
      <c r="AI60" s="52">
        <v>0</v>
      </c>
      <c r="AJ60" s="52">
        <v>2</v>
      </c>
      <c r="AK60" s="52"/>
      <c r="AL60" s="61">
        <v>676240306069</v>
      </c>
      <c r="AM60" s="52">
        <v>0</v>
      </c>
      <c r="AN60" s="52">
        <v>8067600000</v>
      </c>
      <c r="AO60" s="61">
        <v>29870000</v>
      </c>
      <c r="AP60" s="61">
        <v>11948000</v>
      </c>
      <c r="AQ60" s="58">
        <v>0</v>
      </c>
      <c r="AR60" s="58">
        <v>0</v>
      </c>
      <c r="AS60" s="58">
        <v>0</v>
      </c>
      <c r="AT60" s="58">
        <v>0</v>
      </c>
      <c r="AU60" s="58">
        <v>0</v>
      </c>
      <c r="AV60" s="58">
        <v>0</v>
      </c>
      <c r="AW60" s="58">
        <v>0</v>
      </c>
      <c r="AX60" s="58">
        <v>0</v>
      </c>
    </row>
    <row r="61" spans="1:50" x14ac:dyDescent="0.25">
      <c r="A61" s="52">
        <f t="shared" si="11"/>
        <v>56</v>
      </c>
      <c r="B61" s="60" t="str">
        <f t="shared" ref="B61:B124" si="13">+E61&amp;J61</f>
        <v>0045773265</v>
      </c>
      <c r="C61" s="67" t="s">
        <v>28</v>
      </c>
      <c r="D61" s="59" t="s">
        <v>2058</v>
      </c>
      <c r="E61" s="55" t="str">
        <f t="shared" si="12"/>
        <v>00457</v>
      </c>
      <c r="F61" s="53" t="s">
        <v>2061</v>
      </c>
      <c r="G61" s="55" t="s">
        <v>21</v>
      </c>
      <c r="H61" s="60" t="s">
        <v>176</v>
      </c>
      <c r="I61" s="55">
        <v>308996314</v>
      </c>
      <c r="J61" s="55">
        <v>73265</v>
      </c>
      <c r="K61" s="55" t="s">
        <v>177</v>
      </c>
      <c r="L61" s="53" t="s">
        <v>2062</v>
      </c>
      <c r="M61" s="55" t="s">
        <v>49</v>
      </c>
      <c r="N61" s="52">
        <v>2487524077</v>
      </c>
      <c r="O61" s="52">
        <v>2487524077</v>
      </c>
      <c r="P61" s="52">
        <v>2487524077</v>
      </c>
      <c r="Q61" s="57">
        <v>45404</v>
      </c>
      <c r="R61" s="57">
        <v>46713</v>
      </c>
      <c r="S61" s="56">
        <v>5</v>
      </c>
      <c r="T61" s="54">
        <v>12</v>
      </c>
      <c r="U61" s="52">
        <v>2455946753.3000002</v>
      </c>
      <c r="V61" s="52">
        <v>2086136321.9000001</v>
      </c>
      <c r="W61" s="52">
        <v>369810431.39999998</v>
      </c>
      <c r="X61" s="57">
        <v>46006</v>
      </c>
      <c r="Y61" s="52">
        <v>0</v>
      </c>
      <c r="Z61" s="52">
        <v>0</v>
      </c>
      <c r="AA61" s="52">
        <v>1</v>
      </c>
      <c r="AB61" s="52">
        <v>0</v>
      </c>
      <c r="AC61" s="52">
        <v>7273970.9199999999</v>
      </c>
      <c r="AD61" s="52">
        <v>7273970.9199999999</v>
      </c>
      <c r="AE61" s="52">
        <v>0</v>
      </c>
      <c r="AF61" s="52">
        <v>0</v>
      </c>
      <c r="AG61" s="52">
        <v>0</v>
      </c>
      <c r="AH61" s="52">
        <v>0</v>
      </c>
      <c r="AI61" s="52">
        <v>0</v>
      </c>
      <c r="AJ61" s="52">
        <v>2</v>
      </c>
      <c r="AK61" s="52"/>
      <c r="AL61" s="61">
        <v>17943272938</v>
      </c>
      <c r="AM61" s="61">
        <v>12988454066</v>
      </c>
      <c r="AN61" s="52">
        <v>29850288924</v>
      </c>
      <c r="AO61" s="61">
        <v>130274145</v>
      </c>
      <c r="AP61" s="61">
        <v>52109658</v>
      </c>
      <c r="AQ61" s="58">
        <v>0</v>
      </c>
      <c r="AR61" s="58">
        <v>0</v>
      </c>
      <c r="AS61" s="58">
        <v>0</v>
      </c>
      <c r="AT61" s="58">
        <v>0</v>
      </c>
      <c r="AU61" s="58">
        <v>0</v>
      </c>
      <c r="AV61" s="58">
        <v>0</v>
      </c>
      <c r="AW61" s="58">
        <v>0</v>
      </c>
      <c r="AX61" s="58">
        <v>0</v>
      </c>
    </row>
    <row r="62" spans="1:50" x14ac:dyDescent="0.25">
      <c r="A62" s="52">
        <f t="shared" si="11"/>
        <v>57</v>
      </c>
      <c r="B62" s="60" t="str">
        <f t="shared" si="13"/>
        <v>0045751719</v>
      </c>
      <c r="C62" s="67" t="s">
        <v>28</v>
      </c>
      <c r="D62" s="59" t="s">
        <v>2058</v>
      </c>
      <c r="E62" s="55" t="str">
        <f t="shared" si="12"/>
        <v>00457</v>
      </c>
      <c r="F62" s="53" t="s">
        <v>2061</v>
      </c>
      <c r="G62" s="55" t="s">
        <v>21</v>
      </c>
      <c r="H62" s="60" t="s">
        <v>178</v>
      </c>
      <c r="I62" s="55">
        <v>309945502</v>
      </c>
      <c r="J62" s="55">
        <v>51719</v>
      </c>
      <c r="K62" s="55" t="s">
        <v>179</v>
      </c>
      <c r="L62" s="53" t="s">
        <v>2062</v>
      </c>
      <c r="M62" s="55" t="s">
        <v>49</v>
      </c>
      <c r="N62" s="52">
        <v>1652000000</v>
      </c>
      <c r="O62" s="52">
        <v>1652000000</v>
      </c>
      <c r="P62" s="52">
        <v>1651536000</v>
      </c>
      <c r="Q62" s="57">
        <v>44972</v>
      </c>
      <c r="R62" s="57">
        <v>47457</v>
      </c>
      <c r="S62" s="56">
        <v>14</v>
      </c>
      <c r="T62" s="54">
        <v>36</v>
      </c>
      <c r="U62" s="52">
        <v>1651536000</v>
      </c>
      <c r="V62" s="52">
        <v>1617119333.3399999</v>
      </c>
      <c r="W62" s="52">
        <v>34416666.659999996</v>
      </c>
      <c r="X62" s="57">
        <v>46027</v>
      </c>
      <c r="Y62" s="52">
        <v>0</v>
      </c>
      <c r="Z62" s="52">
        <v>0</v>
      </c>
      <c r="AA62" s="52">
        <v>1</v>
      </c>
      <c r="AB62" s="52">
        <v>0</v>
      </c>
      <c r="AC62" s="52">
        <v>39274883.509999998</v>
      </c>
      <c r="AD62" s="52">
        <v>38918458.850000001</v>
      </c>
      <c r="AE62" s="52">
        <v>0</v>
      </c>
      <c r="AF62" s="52">
        <v>0</v>
      </c>
      <c r="AG62" s="52">
        <v>356424.66</v>
      </c>
      <c r="AH62" s="52">
        <v>0</v>
      </c>
      <c r="AI62" s="52">
        <v>0</v>
      </c>
      <c r="AJ62" s="52">
        <v>2</v>
      </c>
      <c r="AK62" s="52"/>
      <c r="AL62" s="52">
        <v>11160542.859999999</v>
      </c>
      <c r="AM62" s="52">
        <v>0</v>
      </c>
      <c r="AN62" s="52">
        <v>5947200000</v>
      </c>
      <c r="AO62" s="52">
        <v>393998000</v>
      </c>
      <c r="AP62" s="52">
        <v>267634000</v>
      </c>
      <c r="AQ62" s="58">
        <v>0</v>
      </c>
      <c r="AR62" s="58">
        <v>0</v>
      </c>
      <c r="AS62" s="58">
        <v>0</v>
      </c>
      <c r="AT62" s="58">
        <v>0</v>
      </c>
      <c r="AU62" s="58">
        <v>0</v>
      </c>
      <c r="AV62" s="58">
        <v>0</v>
      </c>
      <c r="AW62" s="58">
        <v>0</v>
      </c>
      <c r="AX62" s="58">
        <v>0</v>
      </c>
    </row>
    <row r="63" spans="1:50" x14ac:dyDescent="0.25">
      <c r="A63" s="52">
        <f t="shared" si="11"/>
        <v>58</v>
      </c>
      <c r="B63" s="60" t="str">
        <f t="shared" si="13"/>
        <v>0045722054</v>
      </c>
      <c r="C63" s="67" t="s">
        <v>28</v>
      </c>
      <c r="D63" s="59" t="s">
        <v>2058</v>
      </c>
      <c r="E63" s="55" t="str">
        <f t="shared" si="12"/>
        <v>00457</v>
      </c>
      <c r="F63" s="53" t="s">
        <v>2061</v>
      </c>
      <c r="G63" s="55" t="s">
        <v>21</v>
      </c>
      <c r="H63" s="60" t="s">
        <v>180</v>
      </c>
      <c r="I63" s="55">
        <v>307390144</v>
      </c>
      <c r="J63" s="55">
        <v>22054</v>
      </c>
      <c r="K63" s="55" t="s">
        <v>181</v>
      </c>
      <c r="L63" s="53" t="s">
        <v>2062</v>
      </c>
      <c r="M63" s="55" t="s">
        <v>49</v>
      </c>
      <c r="N63" s="52">
        <v>2450000000</v>
      </c>
      <c r="O63" s="52">
        <v>2450000000</v>
      </c>
      <c r="P63" s="52">
        <v>2450000000</v>
      </c>
      <c r="Q63" s="57">
        <v>44165</v>
      </c>
      <c r="R63" s="57">
        <v>46122</v>
      </c>
      <c r="S63" s="56">
        <v>0</v>
      </c>
      <c r="T63" s="54">
        <v>6</v>
      </c>
      <c r="U63" s="52">
        <v>1621643934.6900001</v>
      </c>
      <c r="V63" s="52">
        <v>1621643934.6900001</v>
      </c>
      <c r="W63" s="52">
        <v>0</v>
      </c>
      <c r="X63" s="57"/>
      <c r="Y63" s="52">
        <v>0</v>
      </c>
      <c r="Z63" s="52">
        <v>0</v>
      </c>
      <c r="AA63" s="52">
        <v>1</v>
      </c>
      <c r="AB63" s="52">
        <v>0</v>
      </c>
      <c r="AC63" s="52">
        <v>48050238.460000001</v>
      </c>
      <c r="AD63" s="52">
        <v>0</v>
      </c>
      <c r="AE63" s="52">
        <v>0</v>
      </c>
      <c r="AF63" s="52">
        <v>48050238.460000001</v>
      </c>
      <c r="AG63" s="52">
        <v>0</v>
      </c>
      <c r="AH63" s="52">
        <v>0</v>
      </c>
      <c r="AI63" s="52">
        <v>0</v>
      </c>
      <c r="AJ63" s="52">
        <v>2</v>
      </c>
      <c r="AK63" s="52"/>
      <c r="AL63" s="61">
        <v>70769902471</v>
      </c>
      <c r="AM63" s="52">
        <v>0</v>
      </c>
      <c r="AN63" s="52">
        <v>2940000000</v>
      </c>
      <c r="AO63" s="52">
        <v>0</v>
      </c>
      <c r="AP63" s="52">
        <v>0</v>
      </c>
      <c r="AQ63" s="58">
        <v>0</v>
      </c>
      <c r="AR63" s="58">
        <v>0</v>
      </c>
      <c r="AS63" s="58">
        <v>0</v>
      </c>
      <c r="AT63" s="58">
        <v>0</v>
      </c>
      <c r="AU63" s="58">
        <v>0</v>
      </c>
      <c r="AV63" s="58">
        <v>0</v>
      </c>
      <c r="AW63" s="58">
        <v>0</v>
      </c>
      <c r="AX63" s="58">
        <v>0</v>
      </c>
    </row>
    <row r="64" spans="1:50" x14ac:dyDescent="0.25">
      <c r="A64" s="52">
        <f t="shared" si="11"/>
        <v>59</v>
      </c>
      <c r="B64" s="60" t="str">
        <f t="shared" si="13"/>
        <v>0045759008</v>
      </c>
      <c r="C64" s="67" t="s">
        <v>28</v>
      </c>
      <c r="D64" s="59" t="s">
        <v>2058</v>
      </c>
      <c r="E64" s="55" t="str">
        <f t="shared" si="12"/>
        <v>00457</v>
      </c>
      <c r="F64" s="53" t="s">
        <v>2061</v>
      </c>
      <c r="G64" s="55" t="s">
        <v>21</v>
      </c>
      <c r="H64" s="60" t="s">
        <v>2354</v>
      </c>
      <c r="I64" s="55">
        <v>310049803</v>
      </c>
      <c r="J64" s="55">
        <v>59008</v>
      </c>
      <c r="K64" s="55" t="s">
        <v>182</v>
      </c>
      <c r="L64" s="53" t="s">
        <v>2062</v>
      </c>
      <c r="M64" s="55" t="s">
        <v>49</v>
      </c>
      <c r="N64" s="52">
        <v>1490000000</v>
      </c>
      <c r="O64" s="52">
        <v>1490000000</v>
      </c>
      <c r="P64" s="52">
        <v>1490000000</v>
      </c>
      <c r="Q64" s="57">
        <v>45082</v>
      </c>
      <c r="R64" s="57">
        <v>46878</v>
      </c>
      <c r="S64" s="56">
        <v>14</v>
      </c>
      <c r="T64" s="54">
        <v>18</v>
      </c>
      <c r="U64" s="52">
        <v>1383404470.6600001</v>
      </c>
      <c r="V64" s="52">
        <v>1347928280.1900001</v>
      </c>
      <c r="W64" s="52">
        <v>35476190.469999999</v>
      </c>
      <c r="X64" s="57">
        <v>46027</v>
      </c>
      <c r="Y64" s="52">
        <v>0</v>
      </c>
      <c r="Z64" s="52">
        <v>0</v>
      </c>
      <c r="AA64" s="52">
        <v>1</v>
      </c>
      <c r="AB64" s="52">
        <v>0</v>
      </c>
      <c r="AC64" s="52">
        <v>13959366.84</v>
      </c>
      <c r="AD64" s="52">
        <v>13959366.84</v>
      </c>
      <c r="AE64" s="52">
        <v>0</v>
      </c>
      <c r="AF64" s="52">
        <v>0</v>
      </c>
      <c r="AG64" s="52">
        <v>0</v>
      </c>
      <c r="AH64" s="52">
        <v>0</v>
      </c>
      <c r="AI64" s="52">
        <v>0</v>
      </c>
      <c r="AJ64" s="52">
        <v>2</v>
      </c>
      <c r="AK64" s="52"/>
      <c r="AL64" s="52">
        <v>105366522.91</v>
      </c>
      <c r="AM64" s="52">
        <v>91639575.790000007</v>
      </c>
      <c r="AN64" s="52">
        <v>1788000000</v>
      </c>
      <c r="AO64" s="52">
        <v>71415000</v>
      </c>
      <c r="AP64" s="52">
        <v>469950550</v>
      </c>
      <c r="AQ64" s="58">
        <v>0</v>
      </c>
      <c r="AR64" s="58">
        <v>0</v>
      </c>
      <c r="AS64" s="58">
        <v>0</v>
      </c>
      <c r="AT64" s="58">
        <v>0</v>
      </c>
      <c r="AU64" s="58">
        <v>0</v>
      </c>
      <c r="AV64" s="58">
        <v>0</v>
      </c>
      <c r="AW64" s="58">
        <v>0</v>
      </c>
      <c r="AX64" s="58">
        <v>0</v>
      </c>
    </row>
    <row r="65" spans="1:50" x14ac:dyDescent="0.25">
      <c r="A65" s="52">
        <f t="shared" si="11"/>
        <v>60</v>
      </c>
      <c r="B65" s="60" t="str">
        <f t="shared" si="13"/>
        <v>0045722055</v>
      </c>
      <c r="C65" s="67" t="s">
        <v>28</v>
      </c>
      <c r="D65" s="59" t="s">
        <v>2058</v>
      </c>
      <c r="E65" s="55" t="str">
        <f t="shared" si="12"/>
        <v>00457</v>
      </c>
      <c r="F65" s="53" t="s">
        <v>2061</v>
      </c>
      <c r="G65" s="55" t="s">
        <v>21</v>
      </c>
      <c r="H65" s="60" t="s">
        <v>2355</v>
      </c>
      <c r="I65" s="55">
        <v>203102403</v>
      </c>
      <c r="J65" s="55">
        <v>22055</v>
      </c>
      <c r="K65" s="55" t="s">
        <v>183</v>
      </c>
      <c r="L65" s="53" t="s">
        <v>2062</v>
      </c>
      <c r="M65" s="55" t="s">
        <v>49</v>
      </c>
      <c r="N65" s="52">
        <v>1325000000</v>
      </c>
      <c r="O65" s="52">
        <v>1325000000</v>
      </c>
      <c r="P65" s="52">
        <v>1306082750</v>
      </c>
      <c r="Q65" s="57">
        <v>44165</v>
      </c>
      <c r="R65" s="57">
        <v>47816</v>
      </c>
      <c r="S65" s="56">
        <v>14</v>
      </c>
      <c r="T65" s="54">
        <v>12</v>
      </c>
      <c r="U65" s="52">
        <v>1256395250</v>
      </c>
      <c r="V65" s="52">
        <v>1256395250</v>
      </c>
      <c r="W65" s="52">
        <v>0</v>
      </c>
      <c r="X65" s="57"/>
      <c r="Y65" s="52">
        <v>0</v>
      </c>
      <c r="Z65" s="52">
        <v>0</v>
      </c>
      <c r="AA65" s="52">
        <v>1</v>
      </c>
      <c r="AB65" s="52">
        <v>0</v>
      </c>
      <c r="AC65" s="52">
        <v>191798200.90000004</v>
      </c>
      <c r="AD65" s="52">
        <v>13011435.74</v>
      </c>
      <c r="AE65" s="52">
        <v>0</v>
      </c>
      <c r="AF65" s="52">
        <v>149390558.49000001</v>
      </c>
      <c r="AG65" s="52">
        <v>29396206.670000002</v>
      </c>
      <c r="AH65" s="52">
        <v>0</v>
      </c>
      <c r="AI65" s="52">
        <v>0</v>
      </c>
      <c r="AJ65" s="52">
        <v>2</v>
      </c>
      <c r="AK65" s="52"/>
      <c r="AL65" s="61">
        <v>88826825884</v>
      </c>
      <c r="AM65" s="52">
        <v>0</v>
      </c>
      <c r="AN65" s="52">
        <v>1567299300</v>
      </c>
      <c r="AO65" s="61">
        <v>184923755</v>
      </c>
      <c r="AP65" s="61">
        <v>73969502</v>
      </c>
      <c r="AQ65" s="58">
        <v>0</v>
      </c>
      <c r="AR65" s="58">
        <v>0</v>
      </c>
      <c r="AS65" s="58">
        <v>0</v>
      </c>
      <c r="AT65" s="58">
        <v>0</v>
      </c>
      <c r="AU65" s="58">
        <v>0</v>
      </c>
      <c r="AV65" s="58">
        <v>0</v>
      </c>
      <c r="AW65" s="58">
        <v>0</v>
      </c>
      <c r="AX65" s="58">
        <v>0</v>
      </c>
    </row>
    <row r="66" spans="1:50" x14ac:dyDescent="0.25">
      <c r="A66" s="52">
        <f t="shared" si="11"/>
        <v>61</v>
      </c>
      <c r="B66" s="60" t="str">
        <f t="shared" si="13"/>
        <v>0045722418</v>
      </c>
      <c r="C66" s="67" t="s">
        <v>28</v>
      </c>
      <c r="D66" s="59" t="s">
        <v>2058</v>
      </c>
      <c r="E66" s="55" t="str">
        <f t="shared" si="12"/>
        <v>00457</v>
      </c>
      <c r="F66" s="53" t="s">
        <v>2061</v>
      </c>
      <c r="G66" s="55" t="s">
        <v>21</v>
      </c>
      <c r="H66" s="60" t="s">
        <v>2356</v>
      </c>
      <c r="I66" s="55">
        <v>303644160</v>
      </c>
      <c r="J66" s="55">
        <v>22418</v>
      </c>
      <c r="K66" s="55" t="s">
        <v>184</v>
      </c>
      <c r="L66" s="53" t="s">
        <v>2062</v>
      </c>
      <c r="M66" s="55" t="s">
        <v>49</v>
      </c>
      <c r="N66" s="52">
        <v>3256000000</v>
      </c>
      <c r="O66" s="52">
        <v>3256000000</v>
      </c>
      <c r="P66" s="52">
        <v>3255597000</v>
      </c>
      <c r="Q66" s="57">
        <v>44235</v>
      </c>
      <c r="R66" s="57">
        <v>46058</v>
      </c>
      <c r="S66" s="56">
        <v>5</v>
      </c>
      <c r="T66" s="54">
        <v>12</v>
      </c>
      <c r="U66" s="52">
        <v>1249597000</v>
      </c>
      <c r="V66" s="52">
        <v>1249597000</v>
      </c>
      <c r="W66" s="52">
        <v>0</v>
      </c>
      <c r="X66" s="57"/>
      <c r="Y66" s="52">
        <v>0</v>
      </c>
      <c r="Z66" s="52">
        <v>0</v>
      </c>
      <c r="AA66" s="52">
        <v>1</v>
      </c>
      <c r="AB66" s="52">
        <v>0</v>
      </c>
      <c r="AC66" s="52">
        <v>3081198.08</v>
      </c>
      <c r="AD66" s="52">
        <v>3081198.08</v>
      </c>
      <c r="AE66" s="52">
        <v>0</v>
      </c>
      <c r="AF66" s="52">
        <v>0</v>
      </c>
      <c r="AG66" s="52">
        <v>0</v>
      </c>
      <c r="AH66" s="52">
        <v>0</v>
      </c>
      <c r="AI66" s="52">
        <v>0</v>
      </c>
      <c r="AJ66" s="52">
        <v>2</v>
      </c>
      <c r="AK66" s="52"/>
      <c r="AL66" s="61">
        <v>135479670026</v>
      </c>
      <c r="AM66" s="61">
        <v>700000000</v>
      </c>
      <c r="AN66" s="52">
        <v>3906716400</v>
      </c>
      <c r="AO66" s="61">
        <v>129046205</v>
      </c>
      <c r="AP66" s="61">
        <v>51618482</v>
      </c>
      <c r="AQ66" s="58">
        <v>0</v>
      </c>
      <c r="AR66" s="58">
        <v>0</v>
      </c>
      <c r="AS66" s="58">
        <v>0</v>
      </c>
      <c r="AT66" s="58">
        <v>0</v>
      </c>
      <c r="AU66" s="58">
        <v>0</v>
      </c>
      <c r="AV66" s="58">
        <v>0</v>
      </c>
      <c r="AW66" s="58">
        <v>0</v>
      </c>
      <c r="AX66" s="58">
        <v>0</v>
      </c>
    </row>
    <row r="67" spans="1:50" x14ac:dyDescent="0.25">
      <c r="A67" s="52">
        <f t="shared" si="11"/>
        <v>62</v>
      </c>
      <c r="B67" s="60" t="str">
        <f t="shared" si="13"/>
        <v>0045722078</v>
      </c>
      <c r="C67" s="67" t="s">
        <v>28</v>
      </c>
      <c r="D67" s="59" t="s">
        <v>2058</v>
      </c>
      <c r="E67" s="55" t="str">
        <f t="shared" si="12"/>
        <v>00457</v>
      </c>
      <c r="F67" s="53" t="s">
        <v>2061</v>
      </c>
      <c r="G67" s="55" t="s">
        <v>21</v>
      </c>
      <c r="H67" s="60" t="s">
        <v>2357</v>
      </c>
      <c r="I67" s="55">
        <v>302585330</v>
      </c>
      <c r="J67" s="55">
        <v>22078</v>
      </c>
      <c r="K67" s="55" t="s">
        <v>185</v>
      </c>
      <c r="L67" s="53" t="s">
        <v>2062</v>
      </c>
      <c r="M67" s="55" t="s">
        <v>49</v>
      </c>
      <c r="N67" s="52">
        <v>1325000000</v>
      </c>
      <c r="O67" s="52">
        <v>1325000000</v>
      </c>
      <c r="P67" s="52">
        <v>1306082750</v>
      </c>
      <c r="Q67" s="57">
        <v>44168</v>
      </c>
      <c r="R67" s="57">
        <v>47819</v>
      </c>
      <c r="S67" s="56">
        <v>14</v>
      </c>
      <c r="T67" s="54">
        <v>12</v>
      </c>
      <c r="U67" s="52">
        <v>1241652522.6600001</v>
      </c>
      <c r="V67" s="52">
        <v>1241652522.6600001</v>
      </c>
      <c r="W67" s="52">
        <v>0</v>
      </c>
      <c r="X67" s="57"/>
      <c r="Y67" s="52">
        <v>0</v>
      </c>
      <c r="Z67" s="52">
        <v>0</v>
      </c>
      <c r="AA67" s="52">
        <v>4</v>
      </c>
      <c r="AB67" s="52">
        <v>620826261.33000004</v>
      </c>
      <c r="AC67" s="52">
        <v>129540076.88999999</v>
      </c>
      <c r="AD67" s="52">
        <v>12858757.640000001</v>
      </c>
      <c r="AE67" s="52">
        <v>0</v>
      </c>
      <c r="AF67" s="52">
        <v>43815026.009999998</v>
      </c>
      <c r="AG67" s="52">
        <v>72866293.239999995</v>
      </c>
      <c r="AH67" s="52">
        <v>0</v>
      </c>
      <c r="AI67" s="52">
        <v>0</v>
      </c>
      <c r="AJ67" s="52">
        <v>2</v>
      </c>
      <c r="AK67" s="52"/>
      <c r="AL67" s="61">
        <v>106554301585</v>
      </c>
      <c r="AM67" s="52">
        <v>0</v>
      </c>
      <c r="AN67" s="52">
        <v>1567299300</v>
      </c>
      <c r="AO67" s="61">
        <v>80535634234</v>
      </c>
      <c r="AP67" s="61">
        <v>322142536936</v>
      </c>
      <c r="AQ67" s="58">
        <v>0</v>
      </c>
      <c r="AR67" s="58">
        <v>0</v>
      </c>
      <c r="AS67" s="58">
        <v>0</v>
      </c>
      <c r="AT67" s="58">
        <v>0</v>
      </c>
      <c r="AU67" s="58">
        <v>0</v>
      </c>
      <c r="AV67" s="58">
        <v>0</v>
      </c>
      <c r="AW67" s="58">
        <v>0</v>
      </c>
      <c r="AX67" s="58">
        <v>0</v>
      </c>
    </row>
    <row r="68" spans="1:50" x14ac:dyDescent="0.25">
      <c r="A68" s="52">
        <f t="shared" si="11"/>
        <v>63</v>
      </c>
      <c r="B68" s="60" t="str">
        <f t="shared" si="13"/>
        <v>0045737297</v>
      </c>
      <c r="C68" s="67" t="s">
        <v>28</v>
      </c>
      <c r="D68" s="59" t="s">
        <v>2058</v>
      </c>
      <c r="E68" s="55" t="str">
        <f t="shared" si="12"/>
        <v>00457</v>
      </c>
      <c r="F68" s="53" t="s">
        <v>2061</v>
      </c>
      <c r="G68" s="55" t="s">
        <v>21</v>
      </c>
      <c r="H68" s="60" t="s">
        <v>186</v>
      </c>
      <c r="I68" s="55">
        <v>309312127</v>
      </c>
      <c r="J68" s="55">
        <v>37297</v>
      </c>
      <c r="K68" s="55" t="s">
        <v>187</v>
      </c>
      <c r="L68" s="53" t="s">
        <v>2062</v>
      </c>
      <c r="M68" s="55" t="s">
        <v>49</v>
      </c>
      <c r="N68" s="52">
        <v>1500000000</v>
      </c>
      <c r="O68" s="52">
        <v>1500000000</v>
      </c>
      <c r="P68" s="52">
        <v>1500000000</v>
      </c>
      <c r="Q68" s="57">
        <v>44666</v>
      </c>
      <c r="R68" s="57">
        <v>46491</v>
      </c>
      <c r="S68" s="56">
        <v>14</v>
      </c>
      <c r="T68" s="54">
        <v>24</v>
      </c>
      <c r="U68" s="52">
        <v>1226779362.2</v>
      </c>
      <c r="V68" s="52">
        <v>1185112695.54</v>
      </c>
      <c r="W68" s="52">
        <v>41666666.659999996</v>
      </c>
      <c r="X68" s="57">
        <v>46037</v>
      </c>
      <c r="Y68" s="52">
        <v>0</v>
      </c>
      <c r="Z68" s="52">
        <v>0</v>
      </c>
      <c r="AA68" s="52">
        <v>1</v>
      </c>
      <c r="AB68" s="52">
        <v>0</v>
      </c>
      <c r="AC68" s="52">
        <v>25303118.68</v>
      </c>
      <c r="AD68" s="52">
        <v>12433039.24</v>
      </c>
      <c r="AE68" s="52">
        <v>0</v>
      </c>
      <c r="AF68" s="52">
        <v>10768428.939999999</v>
      </c>
      <c r="AG68" s="52">
        <v>2101650.5</v>
      </c>
      <c r="AH68" s="52">
        <v>0</v>
      </c>
      <c r="AI68" s="52">
        <v>0</v>
      </c>
      <c r="AJ68" s="52">
        <v>2</v>
      </c>
      <c r="AK68" s="52"/>
      <c r="AL68" s="52">
        <v>152561329.75</v>
      </c>
      <c r="AM68" s="52">
        <v>41666666.659999996</v>
      </c>
      <c r="AN68" s="52">
        <v>1800000000</v>
      </c>
      <c r="AO68" s="52">
        <v>213844831868</v>
      </c>
      <c r="AP68" s="52">
        <v>232756000</v>
      </c>
      <c r="AQ68" s="58">
        <v>0</v>
      </c>
      <c r="AR68" s="58">
        <v>0</v>
      </c>
      <c r="AS68" s="58">
        <v>0</v>
      </c>
      <c r="AT68" s="58">
        <v>0</v>
      </c>
      <c r="AU68" s="58">
        <v>0</v>
      </c>
      <c r="AV68" s="58">
        <v>0</v>
      </c>
      <c r="AW68" s="58">
        <v>0</v>
      </c>
      <c r="AX68" s="58">
        <v>0</v>
      </c>
    </row>
    <row r="69" spans="1:50" x14ac:dyDescent="0.25">
      <c r="A69" s="52">
        <f t="shared" si="11"/>
        <v>64</v>
      </c>
      <c r="B69" s="60" t="str">
        <f t="shared" si="13"/>
        <v>0045783771</v>
      </c>
      <c r="C69" s="67" t="s">
        <v>28</v>
      </c>
      <c r="D69" s="59" t="s">
        <v>2058</v>
      </c>
      <c r="E69" s="55" t="str">
        <f t="shared" si="12"/>
        <v>00457</v>
      </c>
      <c r="F69" s="53" t="s">
        <v>2061</v>
      </c>
      <c r="G69" s="55" t="s">
        <v>21</v>
      </c>
      <c r="H69" s="60" t="s">
        <v>188</v>
      </c>
      <c r="I69" s="55">
        <v>205918707</v>
      </c>
      <c r="J69" s="55">
        <v>83771</v>
      </c>
      <c r="K69" s="55" t="s">
        <v>189</v>
      </c>
      <c r="L69" s="53" t="s">
        <v>2062</v>
      </c>
      <c r="M69" s="55" t="s">
        <v>49</v>
      </c>
      <c r="N69" s="52">
        <v>1096438830</v>
      </c>
      <c r="O69" s="52">
        <v>1096438830</v>
      </c>
      <c r="P69" s="52">
        <v>1096438829.8</v>
      </c>
      <c r="Q69" s="57">
        <v>45622</v>
      </c>
      <c r="R69" s="57">
        <v>47447</v>
      </c>
      <c r="S69" s="56">
        <v>14</v>
      </c>
      <c r="T69" s="54">
        <v>24</v>
      </c>
      <c r="U69" s="52">
        <v>1096438829.8</v>
      </c>
      <c r="V69" s="52">
        <v>1096438829.8</v>
      </c>
      <c r="W69" s="52">
        <v>0</v>
      </c>
      <c r="X69" s="57"/>
      <c r="Y69" s="52">
        <v>0</v>
      </c>
      <c r="Z69" s="52">
        <v>0</v>
      </c>
      <c r="AA69" s="52">
        <v>1</v>
      </c>
      <c r="AB69" s="52">
        <v>0</v>
      </c>
      <c r="AC69" s="52">
        <v>38551047.829999998</v>
      </c>
      <c r="AD69" s="52">
        <v>2523311.2799999998</v>
      </c>
      <c r="AE69" s="52">
        <v>0</v>
      </c>
      <c r="AF69" s="52">
        <v>0</v>
      </c>
      <c r="AG69" s="52">
        <v>36027736.549999997</v>
      </c>
      <c r="AH69" s="52">
        <v>0</v>
      </c>
      <c r="AI69" s="52">
        <v>0</v>
      </c>
      <c r="AJ69" s="52">
        <v>2</v>
      </c>
      <c r="AK69" s="52"/>
      <c r="AL69" s="61">
        <v>66402102932</v>
      </c>
      <c r="AM69" s="52">
        <v>0</v>
      </c>
      <c r="AN69" s="52">
        <v>1315726596</v>
      </c>
      <c r="AO69" s="61">
        <v>492797186</v>
      </c>
      <c r="AP69" s="61">
        <v>1971188744</v>
      </c>
      <c r="AQ69" s="58">
        <v>0</v>
      </c>
      <c r="AR69" s="58">
        <v>0</v>
      </c>
      <c r="AS69" s="58">
        <v>0</v>
      </c>
      <c r="AT69" s="58">
        <v>0</v>
      </c>
      <c r="AU69" s="58">
        <v>0</v>
      </c>
      <c r="AV69" s="58">
        <v>0</v>
      </c>
      <c r="AW69" s="58">
        <v>0</v>
      </c>
      <c r="AX69" s="58">
        <v>0</v>
      </c>
    </row>
    <row r="70" spans="1:50" x14ac:dyDescent="0.25">
      <c r="A70" s="52">
        <f t="shared" si="11"/>
        <v>65</v>
      </c>
      <c r="B70" s="60" t="str">
        <f t="shared" si="13"/>
        <v>0045784856</v>
      </c>
      <c r="C70" s="67" t="s">
        <v>28</v>
      </c>
      <c r="D70" s="59" t="s">
        <v>2058</v>
      </c>
      <c r="E70" s="55" t="str">
        <f t="shared" si="12"/>
        <v>00457</v>
      </c>
      <c r="F70" s="53" t="s">
        <v>2061</v>
      </c>
      <c r="G70" s="55" t="s">
        <v>21</v>
      </c>
      <c r="H70" s="60" t="s">
        <v>2358</v>
      </c>
      <c r="I70" s="55">
        <v>309410954</v>
      </c>
      <c r="J70" s="55">
        <v>84856</v>
      </c>
      <c r="K70" s="55" t="s">
        <v>190</v>
      </c>
      <c r="L70" s="53" t="s">
        <v>2062</v>
      </c>
      <c r="M70" s="55" t="s">
        <v>49</v>
      </c>
      <c r="N70" s="52">
        <v>1250000001</v>
      </c>
      <c r="O70" s="52">
        <v>1250000001</v>
      </c>
      <c r="P70" s="52">
        <v>1250000000.0599999</v>
      </c>
      <c r="Q70" s="57">
        <v>45639</v>
      </c>
      <c r="R70" s="57">
        <v>47464</v>
      </c>
      <c r="S70" s="56">
        <v>14</v>
      </c>
      <c r="T70" s="54">
        <v>24</v>
      </c>
      <c r="U70" s="52">
        <v>1039909665.6799999</v>
      </c>
      <c r="V70" s="52">
        <v>1039909665.6799999</v>
      </c>
      <c r="W70" s="52">
        <v>0</v>
      </c>
      <c r="X70" s="57"/>
      <c r="Y70" s="52">
        <v>0</v>
      </c>
      <c r="Z70" s="52">
        <v>0</v>
      </c>
      <c r="AA70" s="52">
        <v>1</v>
      </c>
      <c r="AB70" s="52">
        <v>0</v>
      </c>
      <c r="AC70" s="52">
        <v>10200903.34</v>
      </c>
      <c r="AD70" s="52">
        <v>7578519.7599999998</v>
      </c>
      <c r="AE70" s="52">
        <v>0</v>
      </c>
      <c r="AF70" s="52">
        <v>0</v>
      </c>
      <c r="AG70" s="52">
        <v>2622383.58</v>
      </c>
      <c r="AH70" s="52">
        <v>0</v>
      </c>
      <c r="AI70" s="52">
        <v>0</v>
      </c>
      <c r="AJ70" s="52">
        <v>2</v>
      </c>
      <c r="AK70" s="52"/>
      <c r="AL70" s="61">
        <v>29837141575</v>
      </c>
      <c r="AM70" s="52">
        <v>0</v>
      </c>
      <c r="AN70" s="52">
        <v>15000000012</v>
      </c>
      <c r="AO70" s="61">
        <v>438567823</v>
      </c>
      <c r="AP70" s="61">
        <v>1754271292</v>
      </c>
      <c r="AQ70" s="58">
        <v>0</v>
      </c>
      <c r="AR70" s="58">
        <v>0</v>
      </c>
      <c r="AS70" s="58">
        <v>0</v>
      </c>
      <c r="AT70" s="58">
        <v>0</v>
      </c>
      <c r="AU70" s="58">
        <v>0</v>
      </c>
      <c r="AV70" s="58">
        <v>0</v>
      </c>
      <c r="AW70" s="58">
        <v>0</v>
      </c>
      <c r="AX70" s="58">
        <v>0</v>
      </c>
    </row>
    <row r="71" spans="1:50" x14ac:dyDescent="0.25">
      <c r="A71" s="52">
        <f t="shared" si="11"/>
        <v>66</v>
      </c>
      <c r="B71" s="60" t="str">
        <f t="shared" si="13"/>
        <v>0045773084</v>
      </c>
      <c r="C71" s="67" t="s">
        <v>28</v>
      </c>
      <c r="D71" s="59" t="s">
        <v>2058</v>
      </c>
      <c r="E71" s="55" t="str">
        <f t="shared" si="12"/>
        <v>00457</v>
      </c>
      <c r="F71" s="53" t="s">
        <v>2061</v>
      </c>
      <c r="G71" s="55" t="s">
        <v>21</v>
      </c>
      <c r="H71" s="60" t="s">
        <v>2359</v>
      </c>
      <c r="I71" s="55">
        <v>303860029</v>
      </c>
      <c r="J71" s="55">
        <v>73084</v>
      </c>
      <c r="K71" s="55" t="s">
        <v>191</v>
      </c>
      <c r="L71" s="53" t="s">
        <v>2062</v>
      </c>
      <c r="M71" s="55" t="s">
        <v>49</v>
      </c>
      <c r="N71" s="52">
        <v>877659575</v>
      </c>
      <c r="O71" s="52">
        <v>877659575</v>
      </c>
      <c r="P71" s="52">
        <v>877659574.5</v>
      </c>
      <c r="Q71" s="57">
        <v>45399</v>
      </c>
      <c r="R71" s="57">
        <v>47224</v>
      </c>
      <c r="S71" s="56">
        <v>14</v>
      </c>
      <c r="T71" s="54">
        <v>24</v>
      </c>
      <c r="U71" s="52">
        <v>877659574.5</v>
      </c>
      <c r="V71" s="52">
        <v>877659574.5</v>
      </c>
      <c r="W71" s="52">
        <v>0</v>
      </c>
      <c r="X71" s="57"/>
      <c r="Y71" s="52">
        <v>0</v>
      </c>
      <c r="Z71" s="52">
        <v>0</v>
      </c>
      <c r="AA71" s="52">
        <v>1</v>
      </c>
      <c r="AB71" s="52">
        <v>0</v>
      </c>
      <c r="AC71" s="52">
        <v>5489825.9100000001</v>
      </c>
      <c r="AD71" s="52">
        <v>4376275.1399999997</v>
      </c>
      <c r="AE71" s="52">
        <v>0</v>
      </c>
      <c r="AF71" s="52">
        <v>0</v>
      </c>
      <c r="AG71" s="52">
        <v>1113550.77</v>
      </c>
      <c r="AH71" s="52">
        <v>0</v>
      </c>
      <c r="AI71" s="52">
        <v>0</v>
      </c>
      <c r="AJ71" s="52">
        <v>2</v>
      </c>
      <c r="AK71" s="52"/>
      <c r="AL71" s="61">
        <v>10133367962</v>
      </c>
      <c r="AM71" s="52">
        <v>0</v>
      </c>
      <c r="AN71" s="52">
        <v>1053191490</v>
      </c>
      <c r="AO71" s="61">
        <v>933965679</v>
      </c>
      <c r="AP71" s="61">
        <v>3735862716</v>
      </c>
      <c r="AQ71" s="58">
        <v>0</v>
      </c>
      <c r="AR71" s="58">
        <v>0</v>
      </c>
      <c r="AS71" s="58">
        <v>0</v>
      </c>
      <c r="AT71" s="58">
        <v>0</v>
      </c>
      <c r="AU71" s="58">
        <v>0</v>
      </c>
      <c r="AV71" s="58">
        <v>0</v>
      </c>
      <c r="AW71" s="58">
        <v>0</v>
      </c>
      <c r="AX71" s="58">
        <v>0</v>
      </c>
    </row>
    <row r="72" spans="1:50" x14ac:dyDescent="0.25">
      <c r="A72" s="52">
        <f t="shared" ref="A72:A135" si="14">+A71+1</f>
        <v>67</v>
      </c>
      <c r="B72" s="60" t="str">
        <f t="shared" si="13"/>
        <v>0045757117</v>
      </c>
      <c r="C72" s="67" t="s">
        <v>28</v>
      </c>
      <c r="D72" s="59" t="s">
        <v>2058</v>
      </c>
      <c r="E72" s="55" t="str">
        <f t="shared" si="12"/>
        <v>00457</v>
      </c>
      <c r="F72" s="53" t="s">
        <v>2061</v>
      </c>
      <c r="G72" s="55" t="s">
        <v>21</v>
      </c>
      <c r="H72" s="60" t="s">
        <v>2360</v>
      </c>
      <c r="I72" s="55">
        <v>202096357</v>
      </c>
      <c r="J72" s="55">
        <v>57117</v>
      </c>
      <c r="K72" s="55" t="s">
        <v>192</v>
      </c>
      <c r="L72" s="53" t="s">
        <v>2062</v>
      </c>
      <c r="M72" s="55" t="s">
        <v>49</v>
      </c>
      <c r="N72" s="52">
        <v>1017811000</v>
      </c>
      <c r="O72" s="52">
        <v>1017811000</v>
      </c>
      <c r="P72" s="52">
        <v>1017811000</v>
      </c>
      <c r="Q72" s="57">
        <v>45050</v>
      </c>
      <c r="R72" s="57">
        <v>46875</v>
      </c>
      <c r="S72" s="56">
        <v>21</v>
      </c>
      <c r="T72" s="54">
        <v>24</v>
      </c>
      <c r="U72" s="52">
        <v>784361321.42999995</v>
      </c>
      <c r="V72" s="52">
        <v>662224001.42999995</v>
      </c>
      <c r="W72" s="52">
        <v>122137320</v>
      </c>
      <c r="X72" s="57">
        <v>45978</v>
      </c>
      <c r="Y72" s="52">
        <v>0</v>
      </c>
      <c r="Z72" s="52">
        <v>0</v>
      </c>
      <c r="AA72" s="52">
        <v>2</v>
      </c>
      <c r="AB72" s="52">
        <v>78436132.150000006</v>
      </c>
      <c r="AC72" s="52">
        <v>39358706.590000004</v>
      </c>
      <c r="AD72" s="52">
        <v>39358706.590000004</v>
      </c>
      <c r="AE72" s="52">
        <v>0</v>
      </c>
      <c r="AF72" s="52">
        <v>0</v>
      </c>
      <c r="AG72" s="52">
        <v>0</v>
      </c>
      <c r="AH72" s="52">
        <v>0</v>
      </c>
      <c r="AI72" s="52">
        <v>0</v>
      </c>
      <c r="AJ72" s="52">
        <v>2</v>
      </c>
      <c r="AK72" s="52"/>
      <c r="AL72" s="61">
        <v>74711004258</v>
      </c>
      <c r="AM72" s="52">
        <v>0</v>
      </c>
      <c r="AN72" s="52">
        <v>712467700</v>
      </c>
      <c r="AO72" s="61">
        <v>1283786967</v>
      </c>
      <c r="AP72" s="61">
        <v>5135147868</v>
      </c>
      <c r="AQ72" s="58">
        <v>0</v>
      </c>
      <c r="AR72" s="58">
        <v>0</v>
      </c>
      <c r="AS72" s="58">
        <v>0</v>
      </c>
      <c r="AT72" s="58">
        <v>0</v>
      </c>
      <c r="AU72" s="58">
        <v>0</v>
      </c>
      <c r="AV72" s="58">
        <v>0</v>
      </c>
      <c r="AW72" s="58">
        <v>0</v>
      </c>
      <c r="AX72" s="58">
        <v>0</v>
      </c>
    </row>
    <row r="73" spans="1:50" x14ac:dyDescent="0.25">
      <c r="A73" s="52">
        <f t="shared" si="14"/>
        <v>68</v>
      </c>
      <c r="B73" s="60" t="str">
        <f t="shared" si="13"/>
        <v>0045774769</v>
      </c>
      <c r="C73" s="67" t="s">
        <v>28</v>
      </c>
      <c r="D73" s="59" t="s">
        <v>2058</v>
      </c>
      <c r="E73" s="55" t="str">
        <f t="shared" si="12"/>
        <v>00457</v>
      </c>
      <c r="F73" s="53" t="s">
        <v>2061</v>
      </c>
      <c r="G73" s="55" t="s">
        <v>21</v>
      </c>
      <c r="H73" s="60" t="s">
        <v>2355</v>
      </c>
      <c r="I73" s="55">
        <v>203102403</v>
      </c>
      <c r="J73" s="55">
        <v>74769</v>
      </c>
      <c r="K73" s="55" t="s">
        <v>193</v>
      </c>
      <c r="L73" s="53" t="s">
        <v>2062</v>
      </c>
      <c r="M73" s="55" t="s">
        <v>49</v>
      </c>
      <c r="N73" s="52">
        <v>664893618</v>
      </c>
      <c r="O73" s="52">
        <v>664893618</v>
      </c>
      <c r="P73" s="52">
        <v>664893617.08000004</v>
      </c>
      <c r="Q73" s="57">
        <v>45443</v>
      </c>
      <c r="R73" s="57">
        <v>47268</v>
      </c>
      <c r="S73" s="56">
        <v>14</v>
      </c>
      <c r="T73" s="54">
        <v>24</v>
      </c>
      <c r="U73" s="52">
        <v>664893617.08000004</v>
      </c>
      <c r="V73" s="52">
        <v>664893617.08000004</v>
      </c>
      <c r="W73" s="52">
        <v>0</v>
      </c>
      <c r="X73" s="57"/>
      <c r="Y73" s="52">
        <v>0</v>
      </c>
      <c r="Z73" s="52">
        <v>0</v>
      </c>
      <c r="AA73" s="52">
        <v>1</v>
      </c>
      <c r="AB73" s="52">
        <v>0</v>
      </c>
      <c r="AC73" s="52">
        <v>103251970.37</v>
      </c>
      <c r="AD73" s="52">
        <v>15811716.710000001</v>
      </c>
      <c r="AE73" s="52">
        <v>0</v>
      </c>
      <c r="AF73" s="52">
        <v>87440253.659999996</v>
      </c>
      <c r="AG73" s="52">
        <v>0</v>
      </c>
      <c r="AH73" s="52">
        <v>0</v>
      </c>
      <c r="AI73" s="52">
        <v>0</v>
      </c>
      <c r="AJ73" s="52">
        <v>2</v>
      </c>
      <c r="AK73" s="52"/>
      <c r="AL73" s="61">
        <v>88826825884</v>
      </c>
      <c r="AM73" s="52">
        <v>0</v>
      </c>
      <c r="AN73" s="52">
        <v>7978723416</v>
      </c>
      <c r="AO73" s="61">
        <v>184923755</v>
      </c>
      <c r="AP73" s="61">
        <v>73969502</v>
      </c>
      <c r="AQ73" s="58">
        <v>0</v>
      </c>
      <c r="AR73" s="58">
        <v>0</v>
      </c>
      <c r="AS73" s="58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</row>
    <row r="74" spans="1:50" x14ac:dyDescent="0.25">
      <c r="A74" s="52">
        <f t="shared" si="14"/>
        <v>69</v>
      </c>
      <c r="B74" s="60" t="str">
        <f t="shared" si="13"/>
        <v>0045772958</v>
      </c>
      <c r="C74" s="67" t="s">
        <v>28</v>
      </c>
      <c r="D74" s="59" t="s">
        <v>2058</v>
      </c>
      <c r="E74" s="55" t="str">
        <f t="shared" si="12"/>
        <v>00457</v>
      </c>
      <c r="F74" s="53" t="s">
        <v>2061</v>
      </c>
      <c r="G74" s="55" t="s">
        <v>21</v>
      </c>
      <c r="H74" s="60" t="s">
        <v>2361</v>
      </c>
      <c r="I74" s="55">
        <v>203153689</v>
      </c>
      <c r="J74" s="55">
        <v>72958</v>
      </c>
      <c r="K74" s="55" t="s">
        <v>194</v>
      </c>
      <c r="L74" s="53" t="s">
        <v>2062</v>
      </c>
      <c r="M74" s="55" t="s">
        <v>49</v>
      </c>
      <c r="N74" s="52">
        <v>628723405</v>
      </c>
      <c r="O74" s="52">
        <v>628723405</v>
      </c>
      <c r="P74" s="52">
        <v>628723404.29999995</v>
      </c>
      <c r="Q74" s="57">
        <v>45397</v>
      </c>
      <c r="R74" s="57">
        <v>47222</v>
      </c>
      <c r="S74" s="56">
        <v>14</v>
      </c>
      <c r="T74" s="54">
        <v>24</v>
      </c>
      <c r="U74" s="52">
        <v>628723404.29999995</v>
      </c>
      <c r="V74" s="52">
        <v>628723404.29999995</v>
      </c>
      <c r="W74" s="52">
        <v>0</v>
      </c>
      <c r="X74" s="57"/>
      <c r="Y74" s="52">
        <v>0</v>
      </c>
      <c r="Z74" s="52">
        <v>0</v>
      </c>
      <c r="AA74" s="52">
        <v>4</v>
      </c>
      <c r="AB74" s="52">
        <v>314361702.14999998</v>
      </c>
      <c r="AC74" s="52">
        <v>87901903.390000001</v>
      </c>
      <c r="AD74" s="52">
        <v>4340775.29</v>
      </c>
      <c r="AE74" s="52">
        <v>0</v>
      </c>
      <c r="AF74" s="52">
        <v>46664538.18</v>
      </c>
      <c r="AG74" s="52">
        <v>36896589.920000002</v>
      </c>
      <c r="AH74" s="52">
        <v>0</v>
      </c>
      <c r="AI74" s="52">
        <v>0</v>
      </c>
      <c r="AJ74" s="52">
        <v>2</v>
      </c>
      <c r="AK74" s="52"/>
      <c r="AL74" s="61">
        <v>41828804509</v>
      </c>
      <c r="AM74" s="52">
        <v>0</v>
      </c>
      <c r="AN74" s="52">
        <v>754468086</v>
      </c>
      <c r="AO74" s="61">
        <v>40015507003</v>
      </c>
      <c r="AP74" s="61">
        <v>160062028012</v>
      </c>
      <c r="AQ74" s="58">
        <v>0</v>
      </c>
      <c r="AR74" s="58">
        <v>0</v>
      </c>
      <c r="AS74" s="58">
        <v>0</v>
      </c>
      <c r="AT74" s="58">
        <v>0</v>
      </c>
      <c r="AU74" s="58">
        <v>0</v>
      </c>
      <c r="AV74" s="58">
        <v>0</v>
      </c>
      <c r="AW74" s="58">
        <v>0</v>
      </c>
      <c r="AX74" s="58">
        <v>0</v>
      </c>
    </row>
    <row r="75" spans="1:50" x14ac:dyDescent="0.25">
      <c r="A75" s="52">
        <f t="shared" si="14"/>
        <v>70</v>
      </c>
      <c r="B75" s="60" t="str">
        <f t="shared" si="13"/>
        <v>0045779220</v>
      </c>
      <c r="C75" s="67" t="s">
        <v>28</v>
      </c>
      <c r="D75" s="59" t="s">
        <v>2058</v>
      </c>
      <c r="E75" s="55" t="str">
        <f t="shared" si="12"/>
        <v>00457</v>
      </c>
      <c r="F75" s="53" t="s">
        <v>2061</v>
      </c>
      <c r="G75" s="55" t="s">
        <v>21</v>
      </c>
      <c r="H75" s="60" t="s">
        <v>2362</v>
      </c>
      <c r="I75" s="55">
        <v>305155261</v>
      </c>
      <c r="J75" s="55">
        <v>79220</v>
      </c>
      <c r="K75" s="55" t="s">
        <v>195</v>
      </c>
      <c r="L75" s="53" t="s">
        <v>2062</v>
      </c>
      <c r="M75" s="55" t="s">
        <v>49</v>
      </c>
      <c r="N75" s="52">
        <v>625545895.10000002</v>
      </c>
      <c r="O75" s="52">
        <v>625545895.10000002</v>
      </c>
      <c r="P75" s="52">
        <v>625545895.10000002</v>
      </c>
      <c r="Q75" s="57">
        <v>45548</v>
      </c>
      <c r="R75" s="57">
        <v>47366</v>
      </c>
      <c r="S75" s="56">
        <v>26</v>
      </c>
      <c r="T75" s="54">
        <v>6</v>
      </c>
      <c r="U75" s="52">
        <v>625545895.10000002</v>
      </c>
      <c r="V75" s="52">
        <v>625545895.10000002</v>
      </c>
      <c r="W75" s="52">
        <v>0</v>
      </c>
      <c r="X75" s="57"/>
      <c r="Y75" s="52">
        <v>0</v>
      </c>
      <c r="Z75" s="52">
        <v>0</v>
      </c>
      <c r="AA75" s="52">
        <v>1</v>
      </c>
      <c r="AB75" s="52">
        <v>0</v>
      </c>
      <c r="AC75" s="52">
        <v>39212301.590000004</v>
      </c>
      <c r="AD75" s="52">
        <v>12031047.08</v>
      </c>
      <c r="AE75" s="52">
        <v>0</v>
      </c>
      <c r="AF75" s="52">
        <v>0</v>
      </c>
      <c r="AG75" s="52">
        <v>27181254.510000002</v>
      </c>
      <c r="AH75" s="52">
        <v>0</v>
      </c>
      <c r="AI75" s="52">
        <v>0</v>
      </c>
      <c r="AJ75" s="52">
        <v>2</v>
      </c>
      <c r="AK75" s="52"/>
      <c r="AL75" s="61">
        <v>37301325499</v>
      </c>
      <c r="AM75" s="61">
        <v>625545895</v>
      </c>
      <c r="AN75" s="52">
        <v>75065507412</v>
      </c>
      <c r="AO75" s="61">
        <v>60582535708</v>
      </c>
      <c r="AP75" s="61">
        <v>242330142832</v>
      </c>
      <c r="AQ75" s="58">
        <v>0</v>
      </c>
      <c r="AR75" s="58">
        <v>0</v>
      </c>
      <c r="AS75" s="58">
        <v>0</v>
      </c>
      <c r="AT75" s="58">
        <v>0</v>
      </c>
      <c r="AU75" s="58">
        <v>0</v>
      </c>
      <c r="AV75" s="58">
        <v>0</v>
      </c>
      <c r="AW75" s="58">
        <v>0</v>
      </c>
      <c r="AX75" s="58">
        <v>0</v>
      </c>
    </row>
    <row r="76" spans="1:50" x14ac:dyDescent="0.25">
      <c r="A76" s="52">
        <f t="shared" si="14"/>
        <v>71</v>
      </c>
      <c r="B76" s="60" t="str">
        <f t="shared" si="13"/>
        <v>0045757111</v>
      </c>
      <c r="C76" s="67" t="s">
        <v>28</v>
      </c>
      <c r="D76" s="59" t="s">
        <v>2058</v>
      </c>
      <c r="E76" s="55" t="str">
        <f t="shared" si="12"/>
        <v>00457</v>
      </c>
      <c r="F76" s="53" t="s">
        <v>2061</v>
      </c>
      <c r="G76" s="55" t="s">
        <v>21</v>
      </c>
      <c r="H76" s="60" t="s">
        <v>2363</v>
      </c>
      <c r="I76" s="55">
        <v>203088928</v>
      </c>
      <c r="J76" s="55">
        <v>57111</v>
      </c>
      <c r="K76" s="55" t="s">
        <v>196</v>
      </c>
      <c r="L76" s="53" t="s">
        <v>2062</v>
      </c>
      <c r="M76" s="55" t="s">
        <v>49</v>
      </c>
      <c r="N76" s="52">
        <v>712468000</v>
      </c>
      <c r="O76" s="52">
        <v>712468000</v>
      </c>
      <c r="P76" s="52">
        <v>712468000</v>
      </c>
      <c r="Q76" s="57">
        <v>45049</v>
      </c>
      <c r="R76" s="57">
        <v>46875</v>
      </c>
      <c r="S76" s="56">
        <v>21</v>
      </c>
      <c r="T76" s="54">
        <v>24</v>
      </c>
      <c r="U76" s="52">
        <v>546010828.35000002</v>
      </c>
      <c r="V76" s="52">
        <v>544625452.07000005</v>
      </c>
      <c r="W76" s="52">
        <v>1385376.28</v>
      </c>
      <c r="X76" s="57">
        <v>45978</v>
      </c>
      <c r="Y76" s="52">
        <v>0</v>
      </c>
      <c r="Z76" s="52">
        <v>0</v>
      </c>
      <c r="AA76" s="52">
        <v>1</v>
      </c>
      <c r="AB76" s="52">
        <v>0</v>
      </c>
      <c r="AC76" s="52">
        <v>9713730.6600000001</v>
      </c>
      <c r="AD76" s="52">
        <v>9713730.6600000001</v>
      </c>
      <c r="AE76" s="52">
        <v>0</v>
      </c>
      <c r="AF76" s="52">
        <v>0</v>
      </c>
      <c r="AG76" s="52">
        <v>0</v>
      </c>
      <c r="AH76" s="52">
        <v>0</v>
      </c>
      <c r="AI76" s="52">
        <v>0</v>
      </c>
      <c r="AJ76" s="52">
        <v>2</v>
      </c>
      <c r="AK76" s="52"/>
      <c r="AL76" s="61">
        <v>17166653168</v>
      </c>
      <c r="AM76" s="52">
        <v>0</v>
      </c>
      <c r="AN76" s="52">
        <v>498727600</v>
      </c>
      <c r="AO76" s="61">
        <v>8225041596</v>
      </c>
      <c r="AP76" s="61">
        <v>32900166384</v>
      </c>
      <c r="AQ76" s="58">
        <v>0</v>
      </c>
      <c r="AR76" s="58">
        <v>0</v>
      </c>
      <c r="AS76" s="58">
        <v>0</v>
      </c>
      <c r="AT76" s="58">
        <v>0</v>
      </c>
      <c r="AU76" s="58">
        <v>0</v>
      </c>
      <c r="AV76" s="58">
        <v>0</v>
      </c>
      <c r="AW76" s="58">
        <v>0</v>
      </c>
      <c r="AX76" s="58">
        <v>0</v>
      </c>
    </row>
    <row r="77" spans="1:50" x14ac:dyDescent="0.25">
      <c r="A77" s="52">
        <f t="shared" si="14"/>
        <v>72</v>
      </c>
      <c r="B77" s="60" t="str">
        <f t="shared" si="13"/>
        <v>0045763757</v>
      </c>
      <c r="C77" s="67" t="s">
        <v>28</v>
      </c>
      <c r="D77" s="59" t="s">
        <v>2058</v>
      </c>
      <c r="E77" s="55" t="str">
        <f t="shared" si="12"/>
        <v>00457</v>
      </c>
      <c r="F77" s="53" t="s">
        <v>2061</v>
      </c>
      <c r="G77" s="55" t="s">
        <v>21</v>
      </c>
      <c r="H77" s="60" t="s">
        <v>2363</v>
      </c>
      <c r="I77" s="55">
        <v>203088928</v>
      </c>
      <c r="J77" s="55">
        <v>63757</v>
      </c>
      <c r="K77" s="55" t="s">
        <v>197</v>
      </c>
      <c r="L77" s="53" t="s">
        <v>2062</v>
      </c>
      <c r="M77" s="55" t="s">
        <v>49</v>
      </c>
      <c r="N77" s="52">
        <v>555675000</v>
      </c>
      <c r="O77" s="52">
        <v>555675000</v>
      </c>
      <c r="P77" s="52">
        <v>555675000</v>
      </c>
      <c r="Q77" s="57">
        <v>45182</v>
      </c>
      <c r="R77" s="57">
        <v>47008</v>
      </c>
      <c r="S77" s="56">
        <v>23.99</v>
      </c>
      <c r="T77" s="54">
        <v>6</v>
      </c>
      <c r="U77" s="52">
        <v>545384453.91999996</v>
      </c>
      <c r="V77" s="52">
        <v>483643055.5</v>
      </c>
      <c r="W77" s="52">
        <v>61741398.420000002</v>
      </c>
      <c r="X77" s="57">
        <v>46006</v>
      </c>
      <c r="Y77" s="52">
        <v>0</v>
      </c>
      <c r="Z77" s="52">
        <v>0</v>
      </c>
      <c r="AA77" s="52">
        <v>1</v>
      </c>
      <c r="AB77" s="52">
        <v>0</v>
      </c>
      <c r="AC77" s="52">
        <v>31350682.559999999</v>
      </c>
      <c r="AD77" s="52">
        <v>31350682.559999999</v>
      </c>
      <c r="AE77" s="52">
        <v>0</v>
      </c>
      <c r="AF77" s="52">
        <v>0</v>
      </c>
      <c r="AG77" s="52">
        <v>0</v>
      </c>
      <c r="AH77" s="52">
        <v>0</v>
      </c>
      <c r="AI77" s="52">
        <v>0</v>
      </c>
      <c r="AJ77" s="52">
        <v>2</v>
      </c>
      <c r="AK77" s="52"/>
      <c r="AL77" s="61">
        <v>17166653168</v>
      </c>
      <c r="AM77" s="52">
        <v>0</v>
      </c>
      <c r="AN77" s="52">
        <v>666810000</v>
      </c>
      <c r="AO77" s="61">
        <v>8225041596</v>
      </c>
      <c r="AP77" s="61">
        <v>32900166384</v>
      </c>
      <c r="AQ77" s="58">
        <v>0</v>
      </c>
      <c r="AR77" s="58">
        <v>0</v>
      </c>
      <c r="AS77" s="58">
        <v>0</v>
      </c>
      <c r="AT77" s="58">
        <v>0</v>
      </c>
      <c r="AU77" s="58">
        <v>0</v>
      </c>
      <c r="AV77" s="58">
        <v>0</v>
      </c>
      <c r="AW77" s="58">
        <v>0</v>
      </c>
      <c r="AX77" s="58">
        <v>0</v>
      </c>
    </row>
    <row r="78" spans="1:50" x14ac:dyDescent="0.25">
      <c r="A78" s="52">
        <f t="shared" si="14"/>
        <v>73</v>
      </c>
      <c r="B78" s="60" t="str">
        <f t="shared" si="13"/>
        <v>0045783128</v>
      </c>
      <c r="C78" s="67" t="s">
        <v>28</v>
      </c>
      <c r="D78" s="59" t="s">
        <v>2058</v>
      </c>
      <c r="E78" s="55" t="str">
        <f t="shared" si="12"/>
        <v>00457</v>
      </c>
      <c r="F78" s="53" t="s">
        <v>2061</v>
      </c>
      <c r="G78" s="55" t="s">
        <v>21</v>
      </c>
      <c r="H78" s="60" t="s">
        <v>2364</v>
      </c>
      <c r="I78" s="55">
        <v>204409485</v>
      </c>
      <c r="J78" s="55">
        <v>83128</v>
      </c>
      <c r="K78" s="55" t="s">
        <v>198</v>
      </c>
      <c r="L78" s="53" t="s">
        <v>2062</v>
      </c>
      <c r="M78" s="55" t="s">
        <v>49</v>
      </c>
      <c r="N78" s="52">
        <v>744680852</v>
      </c>
      <c r="O78" s="52">
        <v>744680852</v>
      </c>
      <c r="P78" s="52">
        <v>744680851.12</v>
      </c>
      <c r="Q78" s="57">
        <v>45610</v>
      </c>
      <c r="R78" s="57">
        <v>47435</v>
      </c>
      <c r="S78" s="56">
        <v>14</v>
      </c>
      <c r="T78" s="54">
        <v>24</v>
      </c>
      <c r="U78" s="52">
        <v>510847947.89999998</v>
      </c>
      <c r="V78" s="52">
        <v>510847947.89999998</v>
      </c>
      <c r="W78" s="52">
        <v>0</v>
      </c>
      <c r="X78" s="57"/>
      <c r="Y78" s="52">
        <v>0</v>
      </c>
      <c r="Z78" s="52">
        <v>0</v>
      </c>
      <c r="AA78" s="52">
        <v>1</v>
      </c>
      <c r="AB78" s="52">
        <v>0</v>
      </c>
      <c r="AC78" s="52">
        <v>4728852.04</v>
      </c>
      <c r="AD78" s="52">
        <v>3526950.21</v>
      </c>
      <c r="AE78" s="52">
        <v>0</v>
      </c>
      <c r="AF78" s="52">
        <v>0</v>
      </c>
      <c r="AG78" s="52">
        <v>1201901.83</v>
      </c>
      <c r="AH78" s="52">
        <v>0</v>
      </c>
      <c r="AI78" s="52">
        <v>0</v>
      </c>
      <c r="AJ78" s="52">
        <v>2</v>
      </c>
      <c r="AK78" s="52"/>
      <c r="AL78" s="61">
        <v>21300751936</v>
      </c>
      <c r="AM78" s="52">
        <v>0</v>
      </c>
      <c r="AN78" s="52">
        <v>8936170224</v>
      </c>
      <c r="AO78" s="61">
        <v>31837274153</v>
      </c>
      <c r="AP78" s="61">
        <v>127349096612</v>
      </c>
      <c r="AQ78" s="58">
        <v>0</v>
      </c>
      <c r="AR78" s="58">
        <v>0</v>
      </c>
      <c r="AS78" s="58">
        <v>0</v>
      </c>
      <c r="AT78" s="58">
        <v>0</v>
      </c>
      <c r="AU78" s="58">
        <v>0</v>
      </c>
      <c r="AV78" s="58">
        <v>0</v>
      </c>
      <c r="AW78" s="58">
        <v>0</v>
      </c>
      <c r="AX78" s="58">
        <v>0</v>
      </c>
    </row>
    <row r="79" spans="1:50" x14ac:dyDescent="0.25">
      <c r="A79" s="52">
        <f t="shared" si="14"/>
        <v>74</v>
      </c>
      <c r="B79" s="60" t="str">
        <f t="shared" si="13"/>
        <v>0045784445</v>
      </c>
      <c r="C79" s="67" t="s">
        <v>28</v>
      </c>
      <c r="D79" s="59" t="s">
        <v>2058</v>
      </c>
      <c r="E79" s="55" t="str">
        <f t="shared" si="12"/>
        <v>00457</v>
      </c>
      <c r="F79" s="53" t="s">
        <v>2061</v>
      </c>
      <c r="G79" s="55" t="s">
        <v>21</v>
      </c>
      <c r="H79" s="60" t="s">
        <v>2362</v>
      </c>
      <c r="I79" s="55">
        <v>305155261</v>
      </c>
      <c r="J79" s="55">
        <v>84445</v>
      </c>
      <c r="K79" s="55" t="s">
        <v>199</v>
      </c>
      <c r="L79" s="53" t="s">
        <v>2062</v>
      </c>
      <c r="M79" s="55" t="s">
        <v>91</v>
      </c>
      <c r="N79" s="52">
        <v>282950</v>
      </c>
      <c r="O79" s="52">
        <v>479608738.5</v>
      </c>
      <c r="P79" s="52">
        <f>+O79</f>
        <v>479608738.5</v>
      </c>
      <c r="Q79" s="57">
        <v>45632</v>
      </c>
      <c r="R79" s="57">
        <v>47457</v>
      </c>
      <c r="S79" s="56">
        <v>10</v>
      </c>
      <c r="T79" s="54">
        <v>12</v>
      </c>
      <c r="U79" s="52">
        <v>494800639.98000002</v>
      </c>
      <c r="V79" s="52">
        <v>441779071.5</v>
      </c>
      <c r="W79" s="52">
        <v>53021568.479999997</v>
      </c>
      <c r="X79" s="57">
        <v>45996</v>
      </c>
      <c r="Y79" s="52">
        <v>0</v>
      </c>
      <c r="Z79" s="52">
        <v>0</v>
      </c>
      <c r="AA79" s="52">
        <v>1</v>
      </c>
      <c r="AB79" s="52">
        <v>0</v>
      </c>
      <c r="AC79" s="52">
        <v>8824287.1400000006</v>
      </c>
      <c r="AD79" s="52">
        <v>3267950.69</v>
      </c>
      <c r="AE79" s="52">
        <v>0</v>
      </c>
      <c r="AF79" s="52">
        <v>0</v>
      </c>
      <c r="AG79" s="52">
        <v>5556336.4500000002</v>
      </c>
      <c r="AH79" s="52">
        <v>0</v>
      </c>
      <c r="AI79" s="52">
        <v>0</v>
      </c>
      <c r="AJ79" s="52">
        <v>2</v>
      </c>
      <c r="AK79" s="52"/>
      <c r="AL79" s="61">
        <v>37301325499</v>
      </c>
      <c r="AM79" s="52">
        <v>0</v>
      </c>
      <c r="AN79" s="52">
        <v>6016343214</v>
      </c>
      <c r="AO79" s="61">
        <v>60582535708</v>
      </c>
      <c r="AP79" s="61">
        <v>242330142832</v>
      </c>
      <c r="AQ79" s="58">
        <v>0</v>
      </c>
      <c r="AR79" s="58">
        <v>0</v>
      </c>
      <c r="AS79" s="58">
        <v>0</v>
      </c>
      <c r="AT79" s="58">
        <v>0</v>
      </c>
      <c r="AU79" s="58">
        <v>0</v>
      </c>
      <c r="AV79" s="58">
        <v>0</v>
      </c>
      <c r="AW79" s="58">
        <v>0</v>
      </c>
      <c r="AX79" s="58">
        <v>0</v>
      </c>
    </row>
    <row r="80" spans="1:50" x14ac:dyDescent="0.25">
      <c r="A80" s="52">
        <f t="shared" si="14"/>
        <v>75</v>
      </c>
      <c r="B80" s="60" t="str">
        <f t="shared" si="13"/>
        <v>0045777888</v>
      </c>
      <c r="C80" s="67" t="s">
        <v>28</v>
      </c>
      <c r="D80" s="59" t="s">
        <v>2058</v>
      </c>
      <c r="E80" s="55" t="str">
        <f t="shared" si="12"/>
        <v>00457</v>
      </c>
      <c r="F80" s="53" t="s">
        <v>2061</v>
      </c>
      <c r="G80" s="55" t="s">
        <v>21</v>
      </c>
      <c r="H80" s="60" t="s">
        <v>2361</v>
      </c>
      <c r="I80" s="55">
        <v>203153689</v>
      </c>
      <c r="J80" s="55">
        <v>77888</v>
      </c>
      <c r="K80" s="55" t="s">
        <v>200</v>
      </c>
      <c r="L80" s="53" t="s">
        <v>2062</v>
      </c>
      <c r="M80" s="55" t="s">
        <v>49</v>
      </c>
      <c r="N80" s="52">
        <v>476328160</v>
      </c>
      <c r="O80" s="52">
        <v>476328160</v>
      </c>
      <c r="P80" s="52">
        <v>476328160</v>
      </c>
      <c r="Q80" s="57">
        <v>45527</v>
      </c>
      <c r="R80" s="57">
        <v>47333</v>
      </c>
      <c r="S80" s="56">
        <v>26</v>
      </c>
      <c r="T80" s="54">
        <v>6</v>
      </c>
      <c r="U80" s="52">
        <v>468973116.68000001</v>
      </c>
      <c r="V80" s="52">
        <v>468973116.68000001</v>
      </c>
      <c r="W80" s="52">
        <v>0</v>
      </c>
      <c r="X80" s="57"/>
      <c r="Y80" s="52">
        <v>0</v>
      </c>
      <c r="Z80" s="52">
        <v>0</v>
      </c>
      <c r="AA80" s="52">
        <v>4</v>
      </c>
      <c r="AB80" s="52">
        <v>234486558.34</v>
      </c>
      <c r="AC80" s="52">
        <v>123462884.53</v>
      </c>
      <c r="AD80" s="52">
        <v>100953647.95</v>
      </c>
      <c r="AE80" s="52">
        <v>0</v>
      </c>
      <c r="AF80" s="52">
        <v>22509236.579999998</v>
      </c>
      <c r="AG80" s="52">
        <v>0</v>
      </c>
      <c r="AH80" s="52">
        <v>0</v>
      </c>
      <c r="AI80" s="52">
        <v>0</v>
      </c>
      <c r="AJ80" s="52">
        <v>2</v>
      </c>
      <c r="AK80" s="52"/>
      <c r="AL80" s="61">
        <v>41828804509</v>
      </c>
      <c r="AM80" s="61">
        <v>4027777268</v>
      </c>
      <c r="AN80" s="52">
        <v>571593792</v>
      </c>
      <c r="AO80" s="61">
        <v>40015507003</v>
      </c>
      <c r="AP80" s="61">
        <v>160062028012</v>
      </c>
      <c r="AQ80" s="58">
        <v>0</v>
      </c>
      <c r="AR80" s="58">
        <v>0</v>
      </c>
      <c r="AS80" s="58">
        <v>0</v>
      </c>
      <c r="AT80" s="58">
        <v>0</v>
      </c>
      <c r="AU80" s="58">
        <v>0</v>
      </c>
      <c r="AV80" s="58">
        <v>0</v>
      </c>
      <c r="AW80" s="58">
        <v>0</v>
      </c>
      <c r="AX80" s="58">
        <v>0</v>
      </c>
    </row>
    <row r="81" spans="1:50" x14ac:dyDescent="0.25">
      <c r="A81" s="52">
        <f t="shared" si="14"/>
        <v>76</v>
      </c>
      <c r="B81" s="60" t="str">
        <f t="shared" si="13"/>
        <v>00457102088</v>
      </c>
      <c r="C81" s="67" t="s">
        <v>28</v>
      </c>
      <c r="D81" s="59" t="s">
        <v>2058</v>
      </c>
      <c r="E81" s="55" t="str">
        <f t="shared" si="12"/>
        <v>00457</v>
      </c>
      <c r="F81" s="53" t="s">
        <v>2061</v>
      </c>
      <c r="G81" s="55" t="s">
        <v>21</v>
      </c>
      <c r="H81" s="60" t="s">
        <v>2359</v>
      </c>
      <c r="I81" s="55">
        <v>303860029</v>
      </c>
      <c r="J81" s="55">
        <v>102088</v>
      </c>
      <c r="K81" s="55" t="s">
        <v>201</v>
      </c>
      <c r="L81" s="53" t="s">
        <v>2062</v>
      </c>
      <c r="M81" s="55" t="s">
        <v>49</v>
      </c>
      <c r="N81" s="52">
        <v>679000000</v>
      </c>
      <c r="O81" s="52">
        <v>679000000</v>
      </c>
      <c r="P81" s="52">
        <v>679000000</v>
      </c>
      <c r="Q81" s="57">
        <v>45869</v>
      </c>
      <c r="R81" s="57">
        <v>46392</v>
      </c>
      <c r="S81" s="56">
        <v>10</v>
      </c>
      <c r="T81" s="54">
        <v>6</v>
      </c>
      <c r="U81" s="52">
        <v>452666666.69999999</v>
      </c>
      <c r="V81" s="52">
        <v>452666666.69999999</v>
      </c>
      <c r="W81" s="52">
        <v>0</v>
      </c>
      <c r="X81" s="57"/>
      <c r="Y81" s="52">
        <v>0</v>
      </c>
      <c r="Z81" s="52">
        <v>0</v>
      </c>
      <c r="AA81" s="52">
        <v>1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0</v>
      </c>
      <c r="AI81" s="52">
        <v>0</v>
      </c>
      <c r="AJ81" s="52">
        <v>2</v>
      </c>
      <c r="AK81" s="52"/>
      <c r="AL81" s="61">
        <v>10133367962</v>
      </c>
      <c r="AM81" s="52">
        <v>0</v>
      </c>
      <c r="AN81" s="52">
        <v>814800000</v>
      </c>
      <c r="AO81" s="61">
        <v>933965679</v>
      </c>
      <c r="AP81" s="61">
        <v>3735862716</v>
      </c>
      <c r="AQ81" s="58">
        <v>0</v>
      </c>
      <c r="AR81" s="58">
        <v>0</v>
      </c>
      <c r="AS81" s="58">
        <v>0</v>
      </c>
      <c r="AT81" s="58">
        <v>0</v>
      </c>
      <c r="AU81" s="58">
        <v>0</v>
      </c>
      <c r="AV81" s="58">
        <v>0</v>
      </c>
      <c r="AW81" s="58">
        <v>0</v>
      </c>
      <c r="AX81" s="58">
        <v>0</v>
      </c>
    </row>
    <row r="82" spans="1:50" x14ac:dyDescent="0.25">
      <c r="A82" s="52">
        <f t="shared" si="14"/>
        <v>77</v>
      </c>
      <c r="B82" s="60" t="str">
        <f t="shared" si="13"/>
        <v>0045772872</v>
      </c>
      <c r="C82" s="67" t="s">
        <v>28</v>
      </c>
      <c r="D82" s="59" t="s">
        <v>2058</v>
      </c>
      <c r="E82" s="55" t="str">
        <f t="shared" si="12"/>
        <v>00457</v>
      </c>
      <c r="F82" s="53" t="s">
        <v>2061</v>
      </c>
      <c r="G82" s="55" t="s">
        <v>21</v>
      </c>
      <c r="H82" s="60" t="s">
        <v>202</v>
      </c>
      <c r="I82" s="55">
        <v>309503807</v>
      </c>
      <c r="J82" s="55">
        <v>72872</v>
      </c>
      <c r="K82" s="55" t="s">
        <v>203</v>
      </c>
      <c r="L82" s="53" t="s">
        <v>2062</v>
      </c>
      <c r="M82" s="55" t="s">
        <v>204</v>
      </c>
      <c r="N82" s="52">
        <v>3000146.0000000005</v>
      </c>
      <c r="O82" s="52">
        <v>436941263.44</v>
      </c>
      <c r="P82" s="52">
        <f>+O82</f>
        <v>436941263.44</v>
      </c>
      <c r="Q82" s="57">
        <v>45395</v>
      </c>
      <c r="R82" s="57">
        <v>47187</v>
      </c>
      <c r="S82" s="56">
        <v>17</v>
      </c>
      <c r="T82" s="54">
        <v>12</v>
      </c>
      <c r="U82" s="52">
        <v>420462095.32999998</v>
      </c>
      <c r="V82" s="52">
        <v>420462095.32999998</v>
      </c>
      <c r="W82" s="52">
        <v>0</v>
      </c>
      <c r="X82" s="57"/>
      <c r="Y82" s="52">
        <v>0</v>
      </c>
      <c r="Z82" s="52">
        <v>0</v>
      </c>
      <c r="AA82" s="52">
        <v>1</v>
      </c>
      <c r="AB82" s="52">
        <v>0</v>
      </c>
      <c r="AC82" s="52">
        <v>11046265.1</v>
      </c>
      <c r="AD82" s="52">
        <v>3916633.27</v>
      </c>
      <c r="AE82" s="52">
        <v>0</v>
      </c>
      <c r="AF82" s="52">
        <v>0</v>
      </c>
      <c r="AG82" s="52">
        <v>7129631.8300000001</v>
      </c>
      <c r="AH82" s="52">
        <v>0</v>
      </c>
      <c r="AI82" s="52">
        <v>0</v>
      </c>
      <c r="AJ82" s="52">
        <v>2</v>
      </c>
      <c r="AK82" s="52"/>
      <c r="AL82" s="61">
        <v>9696147802</v>
      </c>
      <c r="AM82" s="52">
        <v>0</v>
      </c>
      <c r="AN82" s="52">
        <v>541200000</v>
      </c>
      <c r="AO82" s="61">
        <v>58833273869</v>
      </c>
      <c r="AP82" s="61">
        <v>235333095476</v>
      </c>
      <c r="AQ82" s="58">
        <v>0</v>
      </c>
      <c r="AR82" s="58">
        <v>0</v>
      </c>
      <c r="AS82" s="58">
        <v>0</v>
      </c>
      <c r="AT82" s="58">
        <v>0</v>
      </c>
      <c r="AU82" s="58">
        <v>0</v>
      </c>
      <c r="AV82" s="58">
        <v>0</v>
      </c>
      <c r="AW82" s="58">
        <v>0</v>
      </c>
      <c r="AX82" s="58">
        <v>0</v>
      </c>
    </row>
    <row r="83" spans="1:50" x14ac:dyDescent="0.25">
      <c r="A83" s="52">
        <f t="shared" si="14"/>
        <v>78</v>
      </c>
      <c r="B83" s="60" t="str">
        <f t="shared" si="13"/>
        <v>0045757094</v>
      </c>
      <c r="C83" s="67" t="s">
        <v>28</v>
      </c>
      <c r="D83" s="59" t="s">
        <v>2058</v>
      </c>
      <c r="E83" s="55" t="str">
        <f t="shared" si="12"/>
        <v>00457</v>
      </c>
      <c r="F83" s="53" t="s">
        <v>2061</v>
      </c>
      <c r="G83" s="55" t="s">
        <v>21</v>
      </c>
      <c r="H83" s="60" t="s">
        <v>2357</v>
      </c>
      <c r="I83" s="55">
        <v>302585330</v>
      </c>
      <c r="J83" s="55">
        <v>57094</v>
      </c>
      <c r="K83" s="55" t="s">
        <v>205</v>
      </c>
      <c r="L83" s="53" t="s">
        <v>2062</v>
      </c>
      <c r="M83" s="55" t="s">
        <v>49</v>
      </c>
      <c r="N83" s="52">
        <v>508905000</v>
      </c>
      <c r="O83" s="52">
        <v>508905000</v>
      </c>
      <c r="P83" s="52">
        <v>508905000</v>
      </c>
      <c r="Q83" s="57">
        <v>45049</v>
      </c>
      <c r="R83" s="57">
        <v>46875</v>
      </c>
      <c r="S83" s="56">
        <v>21</v>
      </c>
      <c r="T83" s="54">
        <v>24</v>
      </c>
      <c r="U83" s="52">
        <v>418063878.93000001</v>
      </c>
      <c r="V83" s="52">
        <v>356995278.93000001</v>
      </c>
      <c r="W83" s="52">
        <v>61068600</v>
      </c>
      <c r="X83" s="57">
        <v>45978</v>
      </c>
      <c r="Y83" s="52">
        <v>0</v>
      </c>
      <c r="Z83" s="52">
        <v>0</v>
      </c>
      <c r="AA83" s="52">
        <v>4</v>
      </c>
      <c r="AB83" s="52">
        <v>209031939.46000001</v>
      </c>
      <c r="AC83" s="52">
        <v>66626783.120000005</v>
      </c>
      <c r="AD83" s="52">
        <v>63886225.130000003</v>
      </c>
      <c r="AE83" s="52">
        <v>0</v>
      </c>
      <c r="AF83" s="52">
        <v>0</v>
      </c>
      <c r="AG83" s="52">
        <v>2740557.99</v>
      </c>
      <c r="AH83" s="52">
        <v>0</v>
      </c>
      <c r="AI83" s="52">
        <v>0</v>
      </c>
      <c r="AJ83" s="52">
        <v>2</v>
      </c>
      <c r="AK83" s="52"/>
      <c r="AL83" s="61">
        <v>106554301585</v>
      </c>
      <c r="AM83" s="52">
        <v>0</v>
      </c>
      <c r="AN83" s="52">
        <v>356233500</v>
      </c>
      <c r="AO83" s="61">
        <v>80535634234</v>
      </c>
      <c r="AP83" s="61">
        <v>322142536936</v>
      </c>
      <c r="AQ83" s="58">
        <v>0</v>
      </c>
      <c r="AR83" s="58">
        <v>0</v>
      </c>
      <c r="AS83" s="58">
        <v>0</v>
      </c>
      <c r="AT83" s="58">
        <v>0</v>
      </c>
      <c r="AU83" s="58">
        <v>0</v>
      </c>
      <c r="AV83" s="58">
        <v>0</v>
      </c>
      <c r="AW83" s="58">
        <v>0</v>
      </c>
      <c r="AX83" s="58">
        <v>0</v>
      </c>
    </row>
    <row r="84" spans="1:50" x14ac:dyDescent="0.25">
      <c r="A84" s="52">
        <f t="shared" si="14"/>
        <v>79</v>
      </c>
      <c r="B84" s="60" t="str">
        <f t="shared" si="13"/>
        <v>0045791454</v>
      </c>
      <c r="C84" s="67" t="s">
        <v>28</v>
      </c>
      <c r="D84" s="59" t="s">
        <v>2058</v>
      </c>
      <c r="E84" s="55" t="str">
        <f t="shared" si="12"/>
        <v>00457</v>
      </c>
      <c r="F84" s="53" t="s">
        <v>2061</v>
      </c>
      <c r="G84" s="55" t="s">
        <v>21</v>
      </c>
      <c r="H84" s="60" t="s">
        <v>174</v>
      </c>
      <c r="I84" s="55">
        <v>309217251</v>
      </c>
      <c r="J84" s="55">
        <v>91454</v>
      </c>
      <c r="K84" s="55" t="s">
        <v>206</v>
      </c>
      <c r="L84" s="53" t="s">
        <v>2062</v>
      </c>
      <c r="M84" s="55" t="s">
        <v>49</v>
      </c>
      <c r="N84" s="52">
        <v>377000000</v>
      </c>
      <c r="O84" s="52">
        <v>377000000</v>
      </c>
      <c r="P84" s="52">
        <v>367540000</v>
      </c>
      <c r="Q84" s="57">
        <v>45740</v>
      </c>
      <c r="R84" s="57">
        <v>46832</v>
      </c>
      <c r="S84" s="56">
        <v>14</v>
      </c>
      <c r="T84" s="54">
        <v>12</v>
      </c>
      <c r="U84" s="52">
        <v>367540000</v>
      </c>
      <c r="V84" s="52">
        <v>367540000</v>
      </c>
      <c r="W84" s="52">
        <v>0</v>
      </c>
      <c r="X84" s="57"/>
      <c r="Y84" s="52">
        <v>0</v>
      </c>
      <c r="Z84" s="52">
        <v>0</v>
      </c>
      <c r="AA84" s="52">
        <v>2</v>
      </c>
      <c r="AB84" s="52">
        <v>36754000</v>
      </c>
      <c r="AC84" s="52">
        <v>15640823.57</v>
      </c>
      <c r="AD84" s="52">
        <v>2396562.2000000002</v>
      </c>
      <c r="AE84" s="52">
        <v>0</v>
      </c>
      <c r="AF84" s="52">
        <v>9121780.8300000001</v>
      </c>
      <c r="AG84" s="52">
        <v>4122480.54</v>
      </c>
      <c r="AH84" s="52">
        <v>0</v>
      </c>
      <c r="AI84" s="52">
        <v>0</v>
      </c>
      <c r="AJ84" s="52">
        <v>2</v>
      </c>
      <c r="AK84" s="52"/>
      <c r="AL84" s="61">
        <v>676240306069</v>
      </c>
      <c r="AM84" s="52">
        <v>0</v>
      </c>
      <c r="AN84" s="52">
        <v>452400000</v>
      </c>
      <c r="AO84" s="61">
        <v>29870000</v>
      </c>
      <c r="AP84" s="61">
        <v>11948000</v>
      </c>
      <c r="AQ84" s="58">
        <v>0</v>
      </c>
      <c r="AR84" s="58">
        <v>0</v>
      </c>
      <c r="AS84" s="58">
        <v>0</v>
      </c>
      <c r="AT84" s="58">
        <v>0</v>
      </c>
      <c r="AU84" s="58">
        <v>0</v>
      </c>
      <c r="AV84" s="58">
        <v>0</v>
      </c>
      <c r="AW84" s="58">
        <v>0</v>
      </c>
      <c r="AX84" s="58">
        <v>0</v>
      </c>
    </row>
    <row r="85" spans="1:50" x14ac:dyDescent="0.25">
      <c r="A85" s="52">
        <f t="shared" si="14"/>
        <v>80</v>
      </c>
      <c r="B85" s="60" t="str">
        <f t="shared" si="13"/>
        <v>0045795729</v>
      </c>
      <c r="C85" s="67" t="s">
        <v>28</v>
      </c>
      <c r="D85" s="59" t="s">
        <v>2058</v>
      </c>
      <c r="E85" s="55" t="str">
        <f t="shared" si="12"/>
        <v>00457</v>
      </c>
      <c r="F85" s="53" t="s">
        <v>2061</v>
      </c>
      <c r="G85" s="55" t="s">
        <v>21</v>
      </c>
      <c r="H85" s="60" t="s">
        <v>2360</v>
      </c>
      <c r="I85" s="55">
        <v>202096357</v>
      </c>
      <c r="J85" s="55">
        <v>95729</v>
      </c>
      <c r="K85" s="55" t="s">
        <v>207</v>
      </c>
      <c r="L85" s="53" t="s">
        <v>2062</v>
      </c>
      <c r="M85" s="55" t="s">
        <v>49</v>
      </c>
      <c r="N85" s="52">
        <v>319080000</v>
      </c>
      <c r="O85" s="52">
        <v>319080000</v>
      </c>
      <c r="P85" s="52">
        <v>319080000</v>
      </c>
      <c r="Q85" s="57">
        <v>45798</v>
      </c>
      <c r="R85" s="57">
        <v>47623</v>
      </c>
      <c r="S85" s="56">
        <v>14</v>
      </c>
      <c r="T85" s="54">
        <v>6</v>
      </c>
      <c r="U85" s="52">
        <v>319080000</v>
      </c>
      <c r="V85" s="52">
        <v>319080000</v>
      </c>
      <c r="W85" s="52">
        <v>0</v>
      </c>
      <c r="X85" s="57"/>
      <c r="Y85" s="52">
        <v>0</v>
      </c>
      <c r="Z85" s="52">
        <v>0</v>
      </c>
      <c r="AA85" s="52">
        <v>2</v>
      </c>
      <c r="AB85" s="52">
        <v>31908000</v>
      </c>
      <c r="AC85" s="52">
        <v>10735500.27</v>
      </c>
      <c r="AD85" s="52">
        <v>2447736.98</v>
      </c>
      <c r="AE85" s="52">
        <v>0</v>
      </c>
      <c r="AF85" s="52">
        <v>8287763.29</v>
      </c>
      <c r="AG85" s="52">
        <v>0</v>
      </c>
      <c r="AH85" s="52">
        <v>0</v>
      </c>
      <c r="AI85" s="52">
        <v>0</v>
      </c>
      <c r="AJ85" s="52">
        <v>2</v>
      </c>
      <c r="AK85" s="52"/>
      <c r="AL85" s="61">
        <v>74711004258</v>
      </c>
      <c r="AM85" s="52">
        <v>0</v>
      </c>
      <c r="AN85" s="52">
        <v>382896000</v>
      </c>
      <c r="AO85" s="61">
        <v>1283786967</v>
      </c>
      <c r="AP85" s="61">
        <v>5135147868</v>
      </c>
      <c r="AQ85" s="58">
        <v>0</v>
      </c>
      <c r="AR85" s="58">
        <v>0</v>
      </c>
      <c r="AS85" s="58">
        <v>0</v>
      </c>
      <c r="AT85" s="58">
        <v>0</v>
      </c>
      <c r="AU85" s="58">
        <v>0</v>
      </c>
      <c r="AV85" s="58">
        <v>0</v>
      </c>
      <c r="AW85" s="58">
        <v>0</v>
      </c>
      <c r="AX85" s="58">
        <v>0</v>
      </c>
    </row>
    <row r="86" spans="1:50" x14ac:dyDescent="0.25">
      <c r="A86" s="52">
        <f t="shared" si="14"/>
        <v>81</v>
      </c>
      <c r="B86" s="60" t="str">
        <f t="shared" si="13"/>
        <v>0045770925</v>
      </c>
      <c r="C86" s="67" t="s">
        <v>28</v>
      </c>
      <c r="D86" s="59" t="s">
        <v>2058</v>
      </c>
      <c r="E86" s="55" t="str">
        <f t="shared" si="12"/>
        <v>00457</v>
      </c>
      <c r="F86" s="53" t="s">
        <v>2061</v>
      </c>
      <c r="G86" s="55" t="s">
        <v>21</v>
      </c>
      <c r="H86" s="60" t="s">
        <v>2364</v>
      </c>
      <c r="I86" s="55">
        <v>204409485</v>
      </c>
      <c r="J86" s="55">
        <v>70925</v>
      </c>
      <c r="K86" s="55" t="s">
        <v>208</v>
      </c>
      <c r="L86" s="53" t="s">
        <v>2062</v>
      </c>
      <c r="M86" s="55" t="s">
        <v>49</v>
      </c>
      <c r="N86" s="52">
        <v>531914894</v>
      </c>
      <c r="O86" s="52">
        <v>531914894</v>
      </c>
      <c r="P86" s="52">
        <v>531914893.63999999</v>
      </c>
      <c r="Q86" s="57">
        <v>45349</v>
      </c>
      <c r="R86" s="57">
        <v>47175</v>
      </c>
      <c r="S86" s="56">
        <v>14</v>
      </c>
      <c r="T86" s="54">
        <v>24</v>
      </c>
      <c r="U86" s="52">
        <v>295914893.63999999</v>
      </c>
      <c r="V86" s="52">
        <v>295914893.63999999</v>
      </c>
      <c r="W86" s="52">
        <v>0</v>
      </c>
      <c r="X86" s="57"/>
      <c r="Y86" s="52">
        <v>0</v>
      </c>
      <c r="Z86" s="52">
        <v>0</v>
      </c>
      <c r="AA86" s="52">
        <v>1</v>
      </c>
      <c r="AB86" s="52">
        <v>0</v>
      </c>
      <c r="AC86" s="52">
        <v>3518549.69</v>
      </c>
      <c r="AD86" s="52">
        <v>2270032.06</v>
      </c>
      <c r="AE86" s="52">
        <v>0</v>
      </c>
      <c r="AF86" s="52">
        <v>0</v>
      </c>
      <c r="AG86" s="52">
        <v>1248517.6299999999</v>
      </c>
      <c r="AH86" s="52">
        <v>0</v>
      </c>
      <c r="AI86" s="52">
        <v>0</v>
      </c>
      <c r="AJ86" s="52">
        <v>2</v>
      </c>
      <c r="AK86" s="52"/>
      <c r="AL86" s="61">
        <v>21300751936</v>
      </c>
      <c r="AM86" s="52">
        <v>0</v>
      </c>
      <c r="AN86" s="52">
        <v>6382978728</v>
      </c>
      <c r="AO86" s="61">
        <v>31837274153</v>
      </c>
      <c r="AP86" s="61">
        <v>127349096612</v>
      </c>
      <c r="AQ86" s="58">
        <v>0</v>
      </c>
      <c r="AR86" s="58">
        <v>0</v>
      </c>
      <c r="AS86" s="58">
        <v>0</v>
      </c>
      <c r="AT86" s="58">
        <v>0</v>
      </c>
      <c r="AU86" s="58">
        <v>0</v>
      </c>
      <c r="AV86" s="58">
        <v>0</v>
      </c>
      <c r="AW86" s="58">
        <v>0</v>
      </c>
      <c r="AX86" s="58">
        <v>0</v>
      </c>
    </row>
    <row r="87" spans="1:50" x14ac:dyDescent="0.25">
      <c r="A87" s="52">
        <f t="shared" si="14"/>
        <v>82</v>
      </c>
      <c r="B87" s="60" t="str">
        <f t="shared" si="13"/>
        <v>0045783741</v>
      </c>
      <c r="C87" s="67" t="s">
        <v>28</v>
      </c>
      <c r="D87" s="59" t="s">
        <v>2058</v>
      </c>
      <c r="E87" s="55" t="str">
        <f t="shared" si="12"/>
        <v>00457</v>
      </c>
      <c r="F87" s="53" t="s">
        <v>2061</v>
      </c>
      <c r="G87" s="55" t="s">
        <v>21</v>
      </c>
      <c r="H87" s="60" t="s">
        <v>2364</v>
      </c>
      <c r="I87" s="55">
        <v>204409485</v>
      </c>
      <c r="J87" s="55">
        <v>83741</v>
      </c>
      <c r="K87" s="55" t="s">
        <v>209</v>
      </c>
      <c r="L87" s="53" t="s">
        <v>2062</v>
      </c>
      <c r="M87" s="55" t="s">
        <v>49</v>
      </c>
      <c r="N87" s="52">
        <v>249490836</v>
      </c>
      <c r="O87" s="52">
        <v>249490836</v>
      </c>
      <c r="P87" s="52">
        <v>249490836</v>
      </c>
      <c r="Q87" s="57">
        <v>45622</v>
      </c>
      <c r="R87" s="57">
        <v>47447</v>
      </c>
      <c r="S87" s="56">
        <v>14</v>
      </c>
      <c r="T87" s="54">
        <v>24</v>
      </c>
      <c r="U87" s="52">
        <v>229570353.15000001</v>
      </c>
      <c r="V87" s="52">
        <v>229570353.15000001</v>
      </c>
      <c r="W87" s="52">
        <v>0</v>
      </c>
      <c r="X87" s="57"/>
      <c r="Y87" s="52">
        <v>0</v>
      </c>
      <c r="Z87" s="52">
        <v>0</v>
      </c>
      <c r="AA87" s="52">
        <v>1</v>
      </c>
      <c r="AB87" s="52">
        <v>0</v>
      </c>
      <c r="AC87" s="52">
        <v>5459371.6799999997</v>
      </c>
      <c r="AD87" s="52">
        <v>528326.29</v>
      </c>
      <c r="AE87" s="52">
        <v>0</v>
      </c>
      <c r="AF87" s="52">
        <v>0</v>
      </c>
      <c r="AG87" s="52">
        <v>4931045.3899999997</v>
      </c>
      <c r="AH87" s="52">
        <v>0</v>
      </c>
      <c r="AI87" s="52">
        <v>0</v>
      </c>
      <c r="AJ87" s="52">
        <v>2</v>
      </c>
      <c r="AK87" s="52"/>
      <c r="AL87" s="61">
        <v>21300751936</v>
      </c>
      <c r="AM87" s="52">
        <v>0</v>
      </c>
      <c r="AN87" s="52">
        <v>2993890032</v>
      </c>
      <c r="AO87" s="61">
        <v>31837274153</v>
      </c>
      <c r="AP87" s="61">
        <v>127349096612</v>
      </c>
      <c r="AQ87" s="58">
        <v>0</v>
      </c>
      <c r="AR87" s="58">
        <v>0</v>
      </c>
      <c r="AS87" s="58">
        <v>0</v>
      </c>
      <c r="AT87" s="58">
        <v>0</v>
      </c>
      <c r="AU87" s="58">
        <v>0</v>
      </c>
      <c r="AV87" s="58">
        <v>0</v>
      </c>
      <c r="AW87" s="58">
        <v>0</v>
      </c>
      <c r="AX87" s="58">
        <v>0</v>
      </c>
    </row>
    <row r="88" spans="1:50" x14ac:dyDescent="0.25">
      <c r="A88" s="52">
        <f t="shared" si="14"/>
        <v>83</v>
      </c>
      <c r="B88" s="60" t="str">
        <f t="shared" si="13"/>
        <v>0045774603</v>
      </c>
      <c r="C88" s="67" t="s">
        <v>28</v>
      </c>
      <c r="D88" s="59" t="s">
        <v>2058</v>
      </c>
      <c r="E88" s="55" t="str">
        <f t="shared" si="12"/>
        <v>00457</v>
      </c>
      <c r="F88" s="53" t="s">
        <v>2061</v>
      </c>
      <c r="G88" s="55" t="s">
        <v>21</v>
      </c>
      <c r="H88" s="60" t="s">
        <v>176</v>
      </c>
      <c r="I88" s="55">
        <v>308996314</v>
      </c>
      <c r="J88" s="55">
        <v>74603</v>
      </c>
      <c r="K88" s="55" t="s">
        <v>210</v>
      </c>
      <c r="L88" s="53" t="s">
        <v>2062</v>
      </c>
      <c r="M88" s="55" t="s">
        <v>49</v>
      </c>
      <c r="N88" s="52">
        <v>241344196</v>
      </c>
      <c r="O88" s="52">
        <v>241344196</v>
      </c>
      <c r="P88" s="52">
        <v>241344196</v>
      </c>
      <c r="Q88" s="57">
        <v>45439</v>
      </c>
      <c r="R88" s="57">
        <v>47264</v>
      </c>
      <c r="S88" s="56">
        <v>14</v>
      </c>
      <c r="T88" s="54">
        <v>24</v>
      </c>
      <c r="U88" s="52">
        <v>214334428.62</v>
      </c>
      <c r="V88" s="52">
        <v>214334428.62</v>
      </c>
      <c r="W88" s="52">
        <v>0</v>
      </c>
      <c r="X88" s="57"/>
      <c r="Y88" s="52">
        <v>0</v>
      </c>
      <c r="Z88" s="52">
        <v>0</v>
      </c>
      <c r="AA88" s="52">
        <v>1</v>
      </c>
      <c r="AB88" s="52">
        <v>0</v>
      </c>
      <c r="AC88" s="52">
        <v>411052.33</v>
      </c>
      <c r="AD88" s="52">
        <v>411052.33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2</v>
      </c>
      <c r="AK88" s="52"/>
      <c r="AL88" s="61">
        <v>17943272938</v>
      </c>
      <c r="AM88" s="52">
        <v>0</v>
      </c>
      <c r="AN88" s="52">
        <v>2896130352</v>
      </c>
      <c r="AO88" s="61">
        <v>130274145</v>
      </c>
      <c r="AP88" s="61">
        <v>52109658</v>
      </c>
      <c r="AQ88" s="58">
        <v>0</v>
      </c>
      <c r="AR88" s="58">
        <v>0</v>
      </c>
      <c r="AS88" s="58">
        <v>0</v>
      </c>
      <c r="AT88" s="58">
        <v>0</v>
      </c>
      <c r="AU88" s="58">
        <v>0</v>
      </c>
      <c r="AV88" s="58">
        <v>0</v>
      </c>
      <c r="AW88" s="58">
        <v>0</v>
      </c>
      <c r="AX88" s="58">
        <v>0</v>
      </c>
    </row>
    <row r="89" spans="1:50" x14ac:dyDescent="0.25">
      <c r="A89" s="52">
        <f t="shared" si="14"/>
        <v>84</v>
      </c>
      <c r="B89" s="60" t="str">
        <f t="shared" si="13"/>
        <v>0045791458</v>
      </c>
      <c r="C89" s="67" t="s">
        <v>28</v>
      </c>
      <c r="D89" s="59" t="s">
        <v>2058</v>
      </c>
      <c r="E89" s="55" t="str">
        <f t="shared" si="12"/>
        <v>00457</v>
      </c>
      <c r="F89" s="53" t="s">
        <v>2061</v>
      </c>
      <c r="G89" s="55" t="s">
        <v>21</v>
      </c>
      <c r="H89" s="60" t="s">
        <v>170</v>
      </c>
      <c r="I89" s="55">
        <v>310735449</v>
      </c>
      <c r="J89" s="55">
        <v>91458</v>
      </c>
      <c r="K89" s="55" t="s">
        <v>211</v>
      </c>
      <c r="L89" s="53" t="s">
        <v>2062</v>
      </c>
      <c r="M89" s="55" t="s">
        <v>49</v>
      </c>
      <c r="N89" s="52">
        <v>210000000</v>
      </c>
      <c r="O89" s="52">
        <v>210000000</v>
      </c>
      <c r="P89" s="52">
        <v>210000000</v>
      </c>
      <c r="Q89" s="57">
        <v>45740</v>
      </c>
      <c r="R89" s="57">
        <v>46832</v>
      </c>
      <c r="S89" s="56">
        <v>14</v>
      </c>
      <c r="T89" s="54">
        <v>12</v>
      </c>
      <c r="U89" s="52">
        <v>210000000</v>
      </c>
      <c r="V89" s="52">
        <v>210000000</v>
      </c>
      <c r="W89" s="52">
        <v>0</v>
      </c>
      <c r="X89" s="57"/>
      <c r="Y89" s="52">
        <v>0</v>
      </c>
      <c r="Z89" s="52">
        <v>0</v>
      </c>
      <c r="AA89" s="52">
        <v>2</v>
      </c>
      <c r="AB89" s="52">
        <v>21000000</v>
      </c>
      <c r="AC89" s="52">
        <v>2496986.2999999998</v>
      </c>
      <c r="AD89" s="52">
        <v>1369315.07</v>
      </c>
      <c r="AE89" s="52">
        <v>0</v>
      </c>
      <c r="AF89" s="52">
        <v>0</v>
      </c>
      <c r="AG89" s="52">
        <v>1127671.23</v>
      </c>
      <c r="AH89" s="52">
        <v>0</v>
      </c>
      <c r="AI89" s="52">
        <v>0</v>
      </c>
      <c r="AJ89" s="52">
        <v>2</v>
      </c>
      <c r="AK89" s="52"/>
      <c r="AL89" s="61">
        <v>17502980897</v>
      </c>
      <c r="AM89" s="52">
        <v>0</v>
      </c>
      <c r="AN89" s="52">
        <v>252000000</v>
      </c>
      <c r="AO89" s="61">
        <v>7000000</v>
      </c>
      <c r="AP89" s="61">
        <v>2800000</v>
      </c>
      <c r="AQ89" s="58">
        <v>0</v>
      </c>
      <c r="AR89" s="58">
        <v>0</v>
      </c>
      <c r="AS89" s="58">
        <v>0</v>
      </c>
      <c r="AT89" s="58">
        <v>0</v>
      </c>
      <c r="AU89" s="58">
        <v>0</v>
      </c>
      <c r="AV89" s="58">
        <v>0</v>
      </c>
      <c r="AW89" s="58">
        <v>0</v>
      </c>
      <c r="AX89" s="58">
        <v>0</v>
      </c>
    </row>
    <row r="90" spans="1:50" x14ac:dyDescent="0.25">
      <c r="A90" s="52">
        <f t="shared" si="14"/>
        <v>85</v>
      </c>
      <c r="B90" s="60" t="str">
        <f t="shared" si="13"/>
        <v>00457101798</v>
      </c>
      <c r="C90" s="67" t="s">
        <v>28</v>
      </c>
      <c r="D90" s="59" t="s">
        <v>2058</v>
      </c>
      <c r="E90" s="55" t="str">
        <f t="shared" si="12"/>
        <v>00457</v>
      </c>
      <c r="F90" s="53" t="s">
        <v>2061</v>
      </c>
      <c r="G90" s="55" t="s">
        <v>21</v>
      </c>
      <c r="H90" s="60" t="s">
        <v>202</v>
      </c>
      <c r="I90" s="55">
        <v>309503807</v>
      </c>
      <c r="J90" s="55">
        <v>101798</v>
      </c>
      <c r="K90" s="55" t="s">
        <v>212</v>
      </c>
      <c r="L90" s="53" t="s">
        <v>2062</v>
      </c>
      <c r="M90" s="55" t="s">
        <v>49</v>
      </c>
      <c r="N90" s="52">
        <v>679000000</v>
      </c>
      <c r="O90" s="52">
        <v>679000000</v>
      </c>
      <c r="P90" s="52">
        <v>679000000</v>
      </c>
      <c r="Q90" s="57">
        <v>45866</v>
      </c>
      <c r="R90" s="57">
        <v>46392</v>
      </c>
      <c r="S90" s="56">
        <v>10</v>
      </c>
      <c r="T90" s="54">
        <v>6</v>
      </c>
      <c r="U90" s="52">
        <v>152729507.56999999</v>
      </c>
      <c r="V90" s="52">
        <v>152729507.56999999</v>
      </c>
      <c r="W90" s="52">
        <v>0</v>
      </c>
      <c r="X90" s="57"/>
      <c r="Y90" s="52">
        <v>0</v>
      </c>
      <c r="Z90" s="52">
        <v>0</v>
      </c>
      <c r="AA90" s="52">
        <v>1</v>
      </c>
      <c r="AB90" s="52">
        <v>0</v>
      </c>
      <c r="AC90" s="52">
        <v>69681.440000000002</v>
      </c>
      <c r="AD90" s="52">
        <v>69681.440000000002</v>
      </c>
      <c r="AE90" s="52">
        <v>0</v>
      </c>
      <c r="AF90" s="52">
        <v>0</v>
      </c>
      <c r="AG90" s="52">
        <v>0</v>
      </c>
      <c r="AH90" s="52">
        <v>0</v>
      </c>
      <c r="AI90" s="52">
        <v>0</v>
      </c>
      <c r="AJ90" s="52">
        <v>2</v>
      </c>
      <c r="AK90" s="52"/>
      <c r="AL90" s="61">
        <v>9696147802</v>
      </c>
      <c r="AM90" s="52">
        <v>0</v>
      </c>
      <c r="AN90" s="52">
        <v>814800000</v>
      </c>
      <c r="AO90" s="61">
        <v>58833273869</v>
      </c>
      <c r="AP90" s="61">
        <v>235333095476</v>
      </c>
      <c r="AQ90" s="58">
        <v>0</v>
      </c>
      <c r="AR90" s="58">
        <v>0</v>
      </c>
      <c r="AS90" s="58">
        <v>0</v>
      </c>
      <c r="AT90" s="58">
        <v>0</v>
      </c>
      <c r="AU90" s="58">
        <v>0</v>
      </c>
      <c r="AV90" s="58">
        <v>0</v>
      </c>
      <c r="AW90" s="58">
        <v>0</v>
      </c>
      <c r="AX90" s="58">
        <v>0</v>
      </c>
    </row>
    <row r="91" spans="1:50" x14ac:dyDescent="0.25">
      <c r="A91" s="52">
        <f t="shared" si="14"/>
        <v>86</v>
      </c>
      <c r="B91" s="60" t="str">
        <f t="shared" si="13"/>
        <v>0046328098</v>
      </c>
      <c r="C91" s="67" t="s">
        <v>28</v>
      </c>
      <c r="D91" s="59" t="s">
        <v>2058</v>
      </c>
      <c r="E91" s="55" t="str">
        <f t="shared" si="12"/>
        <v>00463</v>
      </c>
      <c r="F91" s="53" t="s">
        <v>2063</v>
      </c>
      <c r="G91" s="55" t="s">
        <v>14</v>
      </c>
      <c r="H91" s="60" t="s">
        <v>213</v>
      </c>
      <c r="I91" s="55">
        <v>307404607</v>
      </c>
      <c r="J91" s="55">
        <v>28098</v>
      </c>
      <c r="K91" s="55" t="s">
        <v>214</v>
      </c>
      <c r="L91" s="53" t="s">
        <v>2064</v>
      </c>
      <c r="M91" s="55" t="s">
        <v>49</v>
      </c>
      <c r="N91" s="52">
        <v>4200000000</v>
      </c>
      <c r="O91" s="52">
        <v>4200000000</v>
      </c>
      <c r="P91" s="52">
        <v>4200000000</v>
      </c>
      <c r="Q91" s="57">
        <v>44161</v>
      </c>
      <c r="R91" s="57">
        <v>46091</v>
      </c>
      <c r="S91" s="56">
        <v>0</v>
      </c>
      <c r="T91" s="54">
        <v>0</v>
      </c>
      <c r="U91" s="52">
        <v>3200000000</v>
      </c>
      <c r="V91" s="52">
        <v>3200000000</v>
      </c>
      <c r="W91" s="52">
        <v>0</v>
      </c>
      <c r="X91" s="57"/>
      <c r="Y91" s="52">
        <v>0</v>
      </c>
      <c r="Z91" s="52">
        <v>0</v>
      </c>
      <c r="AA91" s="52">
        <v>1</v>
      </c>
      <c r="AB91" s="52">
        <v>0</v>
      </c>
      <c r="AC91" s="52">
        <v>362508370.51999998</v>
      </c>
      <c r="AD91" s="52">
        <v>0</v>
      </c>
      <c r="AE91" s="52">
        <v>0</v>
      </c>
      <c r="AF91" s="52">
        <v>362508370.51999998</v>
      </c>
      <c r="AG91" s="52">
        <v>0</v>
      </c>
      <c r="AH91" s="52">
        <v>0</v>
      </c>
      <c r="AI91" s="52">
        <v>0</v>
      </c>
      <c r="AJ91" s="52">
        <v>2</v>
      </c>
      <c r="AK91" s="52"/>
      <c r="AL91" s="52">
        <v>0</v>
      </c>
      <c r="AM91" s="52">
        <v>0</v>
      </c>
      <c r="AN91" s="61">
        <v>5040000000</v>
      </c>
      <c r="AO91" s="52">
        <v>0</v>
      </c>
      <c r="AP91" s="52">
        <v>0</v>
      </c>
      <c r="AQ91" s="58">
        <v>0</v>
      </c>
      <c r="AR91" s="58">
        <v>0</v>
      </c>
      <c r="AS91" s="58">
        <v>0</v>
      </c>
      <c r="AT91" s="58">
        <v>0</v>
      </c>
      <c r="AU91" s="58">
        <v>0</v>
      </c>
      <c r="AV91" s="58">
        <v>0</v>
      </c>
      <c r="AW91" s="58">
        <v>0</v>
      </c>
      <c r="AX91" s="58">
        <v>0</v>
      </c>
    </row>
    <row r="92" spans="1:50" x14ac:dyDescent="0.25">
      <c r="A92" s="52">
        <f t="shared" si="14"/>
        <v>87</v>
      </c>
      <c r="B92" s="60" t="str">
        <f t="shared" si="13"/>
        <v>0046328091</v>
      </c>
      <c r="C92" s="67" t="s">
        <v>28</v>
      </c>
      <c r="D92" s="59" t="s">
        <v>2058</v>
      </c>
      <c r="E92" s="55" t="str">
        <f t="shared" si="12"/>
        <v>00463</v>
      </c>
      <c r="F92" s="53" t="s">
        <v>2063</v>
      </c>
      <c r="G92" s="55" t="s">
        <v>14</v>
      </c>
      <c r="H92" s="60" t="s">
        <v>215</v>
      </c>
      <c r="I92" s="55">
        <v>306993249</v>
      </c>
      <c r="J92" s="55">
        <v>28091</v>
      </c>
      <c r="K92" s="55" t="s">
        <v>216</v>
      </c>
      <c r="L92" s="53" t="s">
        <v>2064</v>
      </c>
      <c r="M92" s="55" t="s">
        <v>49</v>
      </c>
      <c r="N92" s="52">
        <v>1335000000</v>
      </c>
      <c r="O92" s="52">
        <v>1335000000</v>
      </c>
      <c r="P92" s="52">
        <v>1306082750</v>
      </c>
      <c r="Q92" s="57">
        <v>44160</v>
      </c>
      <c r="R92" s="57">
        <v>47809</v>
      </c>
      <c r="S92" s="56">
        <v>14</v>
      </c>
      <c r="T92" s="54">
        <v>0</v>
      </c>
      <c r="U92" s="52">
        <v>1306082750</v>
      </c>
      <c r="V92" s="52">
        <v>1106082750</v>
      </c>
      <c r="W92" s="52">
        <v>200000000</v>
      </c>
      <c r="X92" s="57">
        <v>45894</v>
      </c>
      <c r="Y92" s="52">
        <v>0</v>
      </c>
      <c r="Z92" s="52">
        <v>0</v>
      </c>
      <c r="AA92" s="52">
        <v>4</v>
      </c>
      <c r="AB92" s="52">
        <v>653041375</v>
      </c>
      <c r="AC92" s="52">
        <v>196133897.03</v>
      </c>
      <c r="AD92" s="52">
        <v>141042804.96000001</v>
      </c>
      <c r="AE92" s="52">
        <v>0</v>
      </c>
      <c r="AF92" s="52">
        <v>47573283.850000001</v>
      </c>
      <c r="AG92" s="52">
        <v>7517808.2199999997</v>
      </c>
      <c r="AH92" s="52">
        <v>0</v>
      </c>
      <c r="AI92" s="52">
        <v>0</v>
      </c>
      <c r="AJ92" s="52">
        <v>2</v>
      </c>
      <c r="AK92" s="52"/>
      <c r="AL92" s="52">
        <v>0</v>
      </c>
      <c r="AM92" s="52">
        <v>0</v>
      </c>
      <c r="AN92" s="61">
        <v>1602000000</v>
      </c>
      <c r="AO92" s="52">
        <v>0</v>
      </c>
      <c r="AP92" s="52">
        <v>0</v>
      </c>
      <c r="AQ92" s="58">
        <v>0</v>
      </c>
      <c r="AR92" s="58">
        <v>0</v>
      </c>
      <c r="AS92" s="58">
        <v>0</v>
      </c>
      <c r="AT92" s="58">
        <v>0</v>
      </c>
      <c r="AU92" s="58">
        <v>0</v>
      </c>
      <c r="AV92" s="58">
        <v>0</v>
      </c>
      <c r="AW92" s="58">
        <v>0</v>
      </c>
      <c r="AX92" s="58">
        <v>0</v>
      </c>
    </row>
    <row r="93" spans="1:50" x14ac:dyDescent="0.25">
      <c r="A93" s="52">
        <f t="shared" si="14"/>
        <v>88</v>
      </c>
      <c r="B93" s="60" t="str">
        <f t="shared" si="13"/>
        <v>0046328132</v>
      </c>
      <c r="C93" s="67" t="s">
        <v>28</v>
      </c>
      <c r="D93" s="59" t="s">
        <v>2058</v>
      </c>
      <c r="E93" s="55" t="str">
        <f t="shared" si="12"/>
        <v>00463</v>
      </c>
      <c r="F93" s="53" t="s">
        <v>2063</v>
      </c>
      <c r="G93" s="55" t="s">
        <v>14</v>
      </c>
      <c r="H93" s="60" t="s">
        <v>2365</v>
      </c>
      <c r="I93" s="55">
        <v>306285234</v>
      </c>
      <c r="J93" s="55">
        <v>28132</v>
      </c>
      <c r="K93" s="55" t="s">
        <v>217</v>
      </c>
      <c r="L93" s="53" t="s">
        <v>2064</v>
      </c>
      <c r="M93" s="55" t="s">
        <v>49</v>
      </c>
      <c r="N93" s="52">
        <v>1335000000</v>
      </c>
      <c r="O93" s="52">
        <v>1335000000</v>
      </c>
      <c r="P93" s="52">
        <v>1306082750</v>
      </c>
      <c r="Q93" s="57">
        <v>44176</v>
      </c>
      <c r="R93" s="57">
        <v>47821</v>
      </c>
      <c r="S93" s="56">
        <v>14</v>
      </c>
      <c r="T93" s="54">
        <v>0</v>
      </c>
      <c r="U93" s="52">
        <v>1306082750</v>
      </c>
      <c r="V93" s="52">
        <v>1206082750</v>
      </c>
      <c r="W93" s="52">
        <v>100000000</v>
      </c>
      <c r="X93" s="57">
        <v>45986</v>
      </c>
      <c r="Y93" s="52">
        <v>0</v>
      </c>
      <c r="Z93" s="52">
        <v>0</v>
      </c>
      <c r="AA93" s="52">
        <v>1</v>
      </c>
      <c r="AB93" s="52">
        <v>0</v>
      </c>
      <c r="AC93" s="52">
        <v>52951520.280000001</v>
      </c>
      <c r="AD93" s="52">
        <v>52951520.280000001</v>
      </c>
      <c r="AE93" s="52">
        <v>0</v>
      </c>
      <c r="AF93" s="52">
        <v>0</v>
      </c>
      <c r="AG93" s="52">
        <v>0</v>
      </c>
      <c r="AH93" s="52">
        <v>0</v>
      </c>
      <c r="AI93" s="52">
        <v>0</v>
      </c>
      <c r="AJ93" s="52">
        <v>2</v>
      </c>
      <c r="AK93" s="52"/>
      <c r="AL93" s="52">
        <v>0</v>
      </c>
      <c r="AM93" s="52">
        <v>0</v>
      </c>
      <c r="AN93" s="61">
        <v>1602000000</v>
      </c>
      <c r="AO93" s="52">
        <v>0</v>
      </c>
      <c r="AP93" s="52">
        <v>0</v>
      </c>
      <c r="AQ93" s="58">
        <v>0</v>
      </c>
      <c r="AR93" s="58">
        <v>0</v>
      </c>
      <c r="AS93" s="58">
        <v>0</v>
      </c>
      <c r="AT93" s="58">
        <v>0</v>
      </c>
      <c r="AU93" s="58">
        <v>0</v>
      </c>
      <c r="AV93" s="58">
        <v>0</v>
      </c>
      <c r="AW93" s="58">
        <v>0</v>
      </c>
      <c r="AX93" s="58">
        <v>0</v>
      </c>
    </row>
    <row r="94" spans="1:50" x14ac:dyDescent="0.25">
      <c r="A94" s="52">
        <f t="shared" si="14"/>
        <v>89</v>
      </c>
      <c r="B94" s="60" t="str">
        <f t="shared" si="13"/>
        <v>0046323793</v>
      </c>
      <c r="C94" s="67" t="s">
        <v>28</v>
      </c>
      <c r="D94" s="59" t="s">
        <v>2058</v>
      </c>
      <c r="E94" s="55" t="str">
        <f t="shared" si="12"/>
        <v>00463</v>
      </c>
      <c r="F94" s="53" t="s">
        <v>2063</v>
      </c>
      <c r="G94" s="55" t="s">
        <v>14</v>
      </c>
      <c r="H94" s="60" t="s">
        <v>218</v>
      </c>
      <c r="I94" s="55">
        <v>300142639</v>
      </c>
      <c r="J94" s="55">
        <v>23793</v>
      </c>
      <c r="K94" s="55" t="s">
        <v>219</v>
      </c>
      <c r="L94" s="53" t="s">
        <v>2064</v>
      </c>
      <c r="M94" s="55" t="s">
        <v>49</v>
      </c>
      <c r="N94" s="52">
        <v>1924970000</v>
      </c>
      <c r="O94" s="52">
        <v>1924970000</v>
      </c>
      <c r="P94" s="52">
        <v>1924970000</v>
      </c>
      <c r="Q94" s="57">
        <v>43720</v>
      </c>
      <c r="R94" s="57">
        <v>45945</v>
      </c>
      <c r="S94" s="56">
        <v>5</v>
      </c>
      <c r="T94" s="54">
        <v>0</v>
      </c>
      <c r="U94" s="52">
        <v>1290488063.9000001</v>
      </c>
      <c r="V94" s="52">
        <v>0</v>
      </c>
      <c r="W94" s="52">
        <v>1290488063.9000001</v>
      </c>
      <c r="X94" s="57">
        <v>45945</v>
      </c>
      <c r="Y94" s="52">
        <v>0</v>
      </c>
      <c r="Z94" s="52">
        <v>0</v>
      </c>
      <c r="AA94" s="52">
        <v>3</v>
      </c>
      <c r="AB94" s="52">
        <v>322622015.98000002</v>
      </c>
      <c r="AC94" s="52">
        <v>81022914.310000002</v>
      </c>
      <c r="AD94" s="52">
        <v>176779.19</v>
      </c>
      <c r="AE94" s="52">
        <v>0</v>
      </c>
      <c r="AF94" s="52">
        <v>65859458.420000002</v>
      </c>
      <c r="AG94" s="52">
        <v>14986676.699999999</v>
      </c>
      <c r="AH94" s="52">
        <v>0</v>
      </c>
      <c r="AI94" s="52">
        <v>0</v>
      </c>
      <c r="AJ94" s="52">
        <v>2</v>
      </c>
      <c r="AK94" s="52"/>
      <c r="AL94" s="52">
        <v>0</v>
      </c>
      <c r="AM94" s="52">
        <v>0</v>
      </c>
      <c r="AN94" s="61">
        <v>2309964000</v>
      </c>
      <c r="AO94" s="52">
        <v>0</v>
      </c>
      <c r="AP94" s="52">
        <v>0</v>
      </c>
      <c r="AQ94" s="58">
        <v>0</v>
      </c>
      <c r="AR94" s="58">
        <v>0</v>
      </c>
      <c r="AS94" s="58">
        <v>0</v>
      </c>
      <c r="AT94" s="58">
        <v>0</v>
      </c>
      <c r="AU94" s="58">
        <v>0</v>
      </c>
      <c r="AV94" s="58">
        <v>0</v>
      </c>
      <c r="AW94" s="58">
        <v>0</v>
      </c>
      <c r="AX94" s="58">
        <v>0</v>
      </c>
    </row>
    <row r="95" spans="1:50" x14ac:dyDescent="0.25">
      <c r="A95" s="52">
        <f t="shared" si="14"/>
        <v>90</v>
      </c>
      <c r="B95" s="60" t="str">
        <f t="shared" si="13"/>
        <v>0046328108</v>
      </c>
      <c r="C95" s="67" t="s">
        <v>28</v>
      </c>
      <c r="D95" s="59" t="s">
        <v>2058</v>
      </c>
      <c r="E95" s="55" t="str">
        <f t="shared" si="12"/>
        <v>00463</v>
      </c>
      <c r="F95" s="53" t="s">
        <v>2063</v>
      </c>
      <c r="G95" s="55" t="s">
        <v>14</v>
      </c>
      <c r="H95" s="60" t="s">
        <v>2366</v>
      </c>
      <c r="I95" s="55">
        <v>302757890</v>
      </c>
      <c r="J95" s="55">
        <v>28108</v>
      </c>
      <c r="K95" s="55" t="s">
        <v>220</v>
      </c>
      <c r="L95" s="53" t="s">
        <v>2064</v>
      </c>
      <c r="M95" s="55" t="s">
        <v>49</v>
      </c>
      <c r="N95" s="52">
        <v>1335000000</v>
      </c>
      <c r="O95" s="52">
        <v>1335000000</v>
      </c>
      <c r="P95" s="52">
        <v>1306082750</v>
      </c>
      <c r="Q95" s="57">
        <v>44165</v>
      </c>
      <c r="R95" s="57">
        <v>47813</v>
      </c>
      <c r="S95" s="56">
        <v>14</v>
      </c>
      <c r="T95" s="54">
        <v>0</v>
      </c>
      <c r="U95" s="52">
        <v>1238795282.5699999</v>
      </c>
      <c r="V95" s="52">
        <v>1206082750</v>
      </c>
      <c r="W95" s="52">
        <v>32712532.57</v>
      </c>
      <c r="X95" s="57">
        <v>45986</v>
      </c>
      <c r="Y95" s="52">
        <v>0</v>
      </c>
      <c r="Z95" s="52">
        <v>0</v>
      </c>
      <c r="AA95" s="52">
        <v>1</v>
      </c>
      <c r="AB95" s="52">
        <v>0</v>
      </c>
      <c r="AC95" s="52">
        <v>14340819.550000001</v>
      </c>
      <c r="AD95" s="52">
        <v>14340819.550000001</v>
      </c>
      <c r="AE95" s="52">
        <v>0</v>
      </c>
      <c r="AF95" s="52">
        <v>0</v>
      </c>
      <c r="AG95" s="52">
        <v>0</v>
      </c>
      <c r="AH95" s="52">
        <v>0</v>
      </c>
      <c r="AI95" s="52">
        <v>0</v>
      </c>
      <c r="AJ95" s="52">
        <v>2</v>
      </c>
      <c r="AK95" s="52"/>
      <c r="AL95" s="52">
        <v>0</v>
      </c>
      <c r="AM95" s="52">
        <v>0</v>
      </c>
      <c r="AN95" s="61">
        <v>1602000000</v>
      </c>
      <c r="AO95" s="52">
        <v>0</v>
      </c>
      <c r="AP95" s="52">
        <v>0</v>
      </c>
      <c r="AQ95" s="58">
        <v>0</v>
      </c>
      <c r="AR95" s="58">
        <v>0</v>
      </c>
      <c r="AS95" s="58">
        <v>0</v>
      </c>
      <c r="AT95" s="58">
        <v>0</v>
      </c>
      <c r="AU95" s="58">
        <v>0</v>
      </c>
      <c r="AV95" s="58">
        <v>0</v>
      </c>
      <c r="AW95" s="58">
        <v>0</v>
      </c>
      <c r="AX95" s="58">
        <v>0</v>
      </c>
    </row>
    <row r="96" spans="1:50" x14ac:dyDescent="0.25">
      <c r="A96" s="52">
        <f t="shared" si="14"/>
        <v>91</v>
      </c>
      <c r="B96" s="60" t="str">
        <f t="shared" si="13"/>
        <v>0046329966</v>
      </c>
      <c r="C96" s="67" t="s">
        <v>28</v>
      </c>
      <c r="D96" s="59" t="s">
        <v>2058</v>
      </c>
      <c r="E96" s="55" t="str">
        <f t="shared" si="12"/>
        <v>00463</v>
      </c>
      <c r="F96" s="53" t="s">
        <v>2063</v>
      </c>
      <c r="G96" s="55" t="s">
        <v>14</v>
      </c>
      <c r="H96" s="60" t="s">
        <v>221</v>
      </c>
      <c r="I96" s="55">
        <v>308026672</v>
      </c>
      <c r="J96" s="55">
        <v>29966</v>
      </c>
      <c r="K96" s="55" t="s">
        <v>222</v>
      </c>
      <c r="L96" s="53" t="s">
        <v>2064</v>
      </c>
      <c r="M96" s="55" t="s">
        <v>49</v>
      </c>
      <c r="N96" s="52">
        <v>2689730000</v>
      </c>
      <c r="O96" s="52">
        <v>2689730000</v>
      </c>
      <c r="P96" s="52">
        <v>2689730000</v>
      </c>
      <c r="Q96" s="57">
        <v>44288</v>
      </c>
      <c r="R96" s="57">
        <v>46451</v>
      </c>
      <c r="S96" s="56">
        <v>5</v>
      </c>
      <c r="T96" s="54">
        <v>0</v>
      </c>
      <c r="U96" s="52">
        <v>1151253336.8499999</v>
      </c>
      <c r="V96" s="52">
        <v>1110499852.01</v>
      </c>
      <c r="W96" s="52">
        <v>40753484.840000004</v>
      </c>
      <c r="X96" s="57">
        <v>46027</v>
      </c>
      <c r="Y96" s="52">
        <v>0</v>
      </c>
      <c r="Z96" s="52">
        <v>0</v>
      </c>
      <c r="AA96" s="52">
        <v>1</v>
      </c>
      <c r="AB96" s="52">
        <v>0</v>
      </c>
      <c r="AC96" s="52">
        <v>9209966.040000001</v>
      </c>
      <c r="AD96" s="52">
        <v>8908405.8200000003</v>
      </c>
      <c r="AE96" s="52">
        <v>0</v>
      </c>
      <c r="AF96" s="52">
        <v>150828.15</v>
      </c>
      <c r="AG96" s="52">
        <v>150732.07</v>
      </c>
      <c r="AH96" s="52">
        <v>0</v>
      </c>
      <c r="AI96" s="52">
        <v>0</v>
      </c>
      <c r="AJ96" s="52">
        <v>2</v>
      </c>
      <c r="AK96" s="52"/>
      <c r="AL96" s="52">
        <v>0</v>
      </c>
      <c r="AM96" s="52">
        <v>0</v>
      </c>
      <c r="AN96" s="61">
        <v>3227676000</v>
      </c>
      <c r="AO96" s="52">
        <v>0</v>
      </c>
      <c r="AP96" s="52">
        <v>0</v>
      </c>
      <c r="AQ96" s="58">
        <v>0</v>
      </c>
      <c r="AR96" s="58">
        <v>0</v>
      </c>
      <c r="AS96" s="58">
        <v>0</v>
      </c>
      <c r="AT96" s="58">
        <v>0</v>
      </c>
      <c r="AU96" s="58">
        <v>0</v>
      </c>
      <c r="AV96" s="58">
        <v>0</v>
      </c>
      <c r="AW96" s="58">
        <v>0</v>
      </c>
      <c r="AX96" s="58">
        <v>0</v>
      </c>
    </row>
    <row r="97" spans="1:50" x14ac:dyDescent="0.25">
      <c r="A97" s="52">
        <f t="shared" si="14"/>
        <v>92</v>
      </c>
      <c r="B97" s="60" t="str">
        <f t="shared" si="13"/>
        <v>0046328133</v>
      </c>
      <c r="C97" s="67" t="s">
        <v>28</v>
      </c>
      <c r="D97" s="59" t="s">
        <v>2058</v>
      </c>
      <c r="E97" s="55" t="str">
        <f t="shared" si="12"/>
        <v>00463</v>
      </c>
      <c r="F97" s="53" t="s">
        <v>2063</v>
      </c>
      <c r="G97" s="55" t="s">
        <v>14</v>
      </c>
      <c r="H97" s="60" t="s">
        <v>2367</v>
      </c>
      <c r="I97" s="55">
        <v>303628299</v>
      </c>
      <c r="J97" s="55">
        <v>28133</v>
      </c>
      <c r="K97" s="55" t="s">
        <v>223</v>
      </c>
      <c r="L97" s="53" t="s">
        <v>2064</v>
      </c>
      <c r="M97" s="55" t="s">
        <v>49</v>
      </c>
      <c r="N97" s="52">
        <v>1335000000</v>
      </c>
      <c r="O97" s="52">
        <v>1335000000</v>
      </c>
      <c r="P97" s="52">
        <v>1306082750</v>
      </c>
      <c r="Q97" s="57">
        <v>44176</v>
      </c>
      <c r="R97" s="57">
        <v>47821</v>
      </c>
      <c r="S97" s="56">
        <v>14</v>
      </c>
      <c r="T97" s="54">
        <v>0</v>
      </c>
      <c r="U97" s="52">
        <v>1106082750</v>
      </c>
      <c r="V97" s="52">
        <v>1106082750</v>
      </c>
      <c r="W97" s="52">
        <v>0</v>
      </c>
      <c r="X97" s="57"/>
      <c r="Y97" s="52">
        <v>0</v>
      </c>
      <c r="Z97" s="52">
        <v>0</v>
      </c>
      <c r="AA97" s="52">
        <v>1</v>
      </c>
      <c r="AB97" s="52">
        <v>0</v>
      </c>
      <c r="AC97" s="52">
        <v>0</v>
      </c>
      <c r="AD97" s="52">
        <v>0</v>
      </c>
      <c r="AE97" s="52">
        <v>0</v>
      </c>
      <c r="AF97" s="52">
        <v>0</v>
      </c>
      <c r="AG97" s="52">
        <v>0</v>
      </c>
      <c r="AH97" s="52">
        <v>0</v>
      </c>
      <c r="AI97" s="52">
        <v>0</v>
      </c>
      <c r="AJ97" s="52">
        <v>2</v>
      </c>
      <c r="AK97" s="52"/>
      <c r="AL97" s="52">
        <v>0</v>
      </c>
      <c r="AM97" s="52">
        <v>0</v>
      </c>
      <c r="AN97" s="61">
        <v>1602000000</v>
      </c>
      <c r="AO97" s="52">
        <v>0</v>
      </c>
      <c r="AP97" s="52">
        <v>0</v>
      </c>
      <c r="AQ97" s="58">
        <v>0</v>
      </c>
      <c r="AR97" s="58">
        <v>0</v>
      </c>
      <c r="AS97" s="58">
        <v>0</v>
      </c>
      <c r="AT97" s="58">
        <v>0</v>
      </c>
      <c r="AU97" s="58">
        <v>0</v>
      </c>
      <c r="AV97" s="58">
        <v>0</v>
      </c>
      <c r="AW97" s="58">
        <v>0</v>
      </c>
      <c r="AX97" s="58">
        <v>0</v>
      </c>
    </row>
    <row r="98" spans="1:50" x14ac:dyDescent="0.25">
      <c r="A98" s="52">
        <f t="shared" si="14"/>
        <v>93</v>
      </c>
      <c r="B98" s="60" t="str">
        <f t="shared" si="13"/>
        <v>00463145582</v>
      </c>
      <c r="C98" s="67" t="s">
        <v>28</v>
      </c>
      <c r="D98" s="59" t="s">
        <v>2058</v>
      </c>
      <c r="E98" s="55" t="str">
        <f t="shared" si="12"/>
        <v>00463</v>
      </c>
      <c r="F98" s="53" t="s">
        <v>2063</v>
      </c>
      <c r="G98" s="55" t="s">
        <v>14</v>
      </c>
      <c r="H98" s="60" t="s">
        <v>224</v>
      </c>
      <c r="I98" s="55">
        <v>303893121</v>
      </c>
      <c r="J98" s="55">
        <v>145582</v>
      </c>
      <c r="K98" s="55" t="s">
        <v>225</v>
      </c>
      <c r="L98" s="53" t="s">
        <v>2064</v>
      </c>
      <c r="M98" s="55" t="s">
        <v>49</v>
      </c>
      <c r="N98" s="52">
        <v>1063829788</v>
      </c>
      <c r="O98" s="52">
        <v>1063829788</v>
      </c>
      <c r="P98" s="52">
        <v>1063829787.28</v>
      </c>
      <c r="Q98" s="57">
        <v>45769</v>
      </c>
      <c r="R98" s="57">
        <v>47594</v>
      </c>
      <c r="S98" s="56">
        <v>14</v>
      </c>
      <c r="T98" s="54">
        <v>0</v>
      </c>
      <c r="U98" s="52">
        <v>711344101.46000004</v>
      </c>
      <c r="V98" s="52">
        <v>711344101.46000004</v>
      </c>
      <c r="W98" s="52">
        <v>0</v>
      </c>
      <c r="X98" s="57"/>
      <c r="Y98" s="52">
        <v>0</v>
      </c>
      <c r="Z98" s="52">
        <v>0</v>
      </c>
      <c r="AA98" s="52">
        <v>1</v>
      </c>
      <c r="AB98" s="52">
        <v>0</v>
      </c>
      <c r="AC98" s="52">
        <v>5619979.6400000006</v>
      </c>
      <c r="AD98" s="52">
        <v>3001287.45</v>
      </c>
      <c r="AE98" s="52">
        <v>0</v>
      </c>
      <c r="AF98" s="52">
        <v>0</v>
      </c>
      <c r="AG98" s="52">
        <v>2618692.19</v>
      </c>
      <c r="AH98" s="52">
        <v>0</v>
      </c>
      <c r="AI98" s="52">
        <v>0</v>
      </c>
      <c r="AJ98" s="52">
        <v>2</v>
      </c>
      <c r="AK98" s="52"/>
      <c r="AL98" s="52">
        <v>0</v>
      </c>
      <c r="AM98" s="52">
        <v>0</v>
      </c>
      <c r="AN98" s="61">
        <v>12765957456</v>
      </c>
      <c r="AO98" s="52">
        <v>0</v>
      </c>
      <c r="AP98" s="52">
        <v>0</v>
      </c>
      <c r="AQ98" s="58">
        <v>0</v>
      </c>
      <c r="AR98" s="58">
        <v>0</v>
      </c>
      <c r="AS98" s="58">
        <v>0</v>
      </c>
      <c r="AT98" s="58">
        <v>0</v>
      </c>
      <c r="AU98" s="58">
        <v>0</v>
      </c>
      <c r="AV98" s="58">
        <v>0</v>
      </c>
      <c r="AW98" s="58">
        <v>0</v>
      </c>
      <c r="AX98" s="58">
        <v>0</v>
      </c>
    </row>
    <row r="99" spans="1:50" x14ac:dyDescent="0.25">
      <c r="A99" s="52">
        <f t="shared" si="14"/>
        <v>94</v>
      </c>
      <c r="B99" s="60" t="str">
        <f t="shared" si="13"/>
        <v>00463110110</v>
      </c>
      <c r="C99" s="67" t="s">
        <v>28</v>
      </c>
      <c r="D99" s="59" t="s">
        <v>2058</v>
      </c>
      <c r="E99" s="55" t="str">
        <f t="shared" si="12"/>
        <v>00463</v>
      </c>
      <c r="F99" s="53" t="s">
        <v>2063</v>
      </c>
      <c r="G99" s="55" t="s">
        <v>14</v>
      </c>
      <c r="H99" s="60" t="s">
        <v>2367</v>
      </c>
      <c r="I99" s="55">
        <v>303628299</v>
      </c>
      <c r="J99" s="55">
        <v>110110</v>
      </c>
      <c r="K99" s="55" t="s">
        <v>226</v>
      </c>
      <c r="L99" s="53" t="s">
        <v>2064</v>
      </c>
      <c r="M99" s="55" t="s">
        <v>49</v>
      </c>
      <c r="N99" s="52">
        <v>670212766</v>
      </c>
      <c r="O99" s="52">
        <v>670212766</v>
      </c>
      <c r="P99" s="52">
        <v>670212765.96000004</v>
      </c>
      <c r="Q99" s="57">
        <v>45395</v>
      </c>
      <c r="R99" s="57">
        <v>47220</v>
      </c>
      <c r="S99" s="56">
        <v>14</v>
      </c>
      <c r="T99" s="54">
        <v>0</v>
      </c>
      <c r="U99" s="52">
        <v>670212765.96000004</v>
      </c>
      <c r="V99" s="52">
        <v>670212765.96000004</v>
      </c>
      <c r="W99" s="52">
        <v>0</v>
      </c>
      <c r="X99" s="57"/>
      <c r="Y99" s="52">
        <v>0</v>
      </c>
      <c r="Z99" s="52">
        <v>0</v>
      </c>
      <c r="AA99" s="52">
        <v>1</v>
      </c>
      <c r="AB99" s="52">
        <v>0</v>
      </c>
      <c r="AC99" s="52">
        <v>5141358.21</v>
      </c>
      <c r="AD99" s="52">
        <v>5141358.21</v>
      </c>
      <c r="AE99" s="52">
        <v>0</v>
      </c>
      <c r="AF99" s="52">
        <v>0</v>
      </c>
      <c r="AG99" s="52">
        <v>0</v>
      </c>
      <c r="AH99" s="52">
        <v>0</v>
      </c>
      <c r="AI99" s="52">
        <v>0</v>
      </c>
      <c r="AJ99" s="52">
        <v>2</v>
      </c>
      <c r="AK99" s="52"/>
      <c r="AL99" s="52">
        <v>0</v>
      </c>
      <c r="AM99" s="52">
        <v>0</v>
      </c>
      <c r="AN99" s="61">
        <v>8042553192</v>
      </c>
      <c r="AO99" s="52">
        <v>0</v>
      </c>
      <c r="AP99" s="52">
        <v>0</v>
      </c>
      <c r="AQ99" s="58">
        <v>0</v>
      </c>
      <c r="AR99" s="58">
        <v>0</v>
      </c>
      <c r="AS99" s="58">
        <v>0</v>
      </c>
      <c r="AT99" s="58">
        <v>0</v>
      </c>
      <c r="AU99" s="58">
        <v>0</v>
      </c>
      <c r="AV99" s="58">
        <v>0</v>
      </c>
      <c r="AW99" s="58">
        <v>0</v>
      </c>
      <c r="AX99" s="58">
        <v>0</v>
      </c>
    </row>
    <row r="100" spans="1:50" x14ac:dyDescent="0.25">
      <c r="A100" s="52">
        <f t="shared" si="14"/>
        <v>95</v>
      </c>
      <c r="B100" s="60" t="str">
        <f t="shared" si="13"/>
        <v>00463150033</v>
      </c>
      <c r="C100" s="67" t="s">
        <v>28</v>
      </c>
      <c r="D100" s="59" t="s">
        <v>2058</v>
      </c>
      <c r="E100" s="55" t="str">
        <f t="shared" si="12"/>
        <v>00463</v>
      </c>
      <c r="F100" s="53" t="s">
        <v>2063</v>
      </c>
      <c r="G100" s="55" t="s">
        <v>14</v>
      </c>
      <c r="H100" s="60" t="s">
        <v>2368</v>
      </c>
      <c r="I100" s="55">
        <v>206035405</v>
      </c>
      <c r="J100" s="55">
        <v>150033</v>
      </c>
      <c r="K100" s="55" t="s">
        <v>227</v>
      </c>
      <c r="L100" s="53" t="s">
        <v>2064</v>
      </c>
      <c r="M100" s="55" t="s">
        <v>49</v>
      </c>
      <c r="N100" s="52">
        <v>664893618</v>
      </c>
      <c r="O100" s="52">
        <v>664893618</v>
      </c>
      <c r="P100" s="52">
        <v>352393617.07999998</v>
      </c>
      <c r="Q100" s="57">
        <v>45811</v>
      </c>
      <c r="R100" s="57">
        <v>47636</v>
      </c>
      <c r="S100" s="56">
        <v>14</v>
      </c>
      <c r="T100" s="54">
        <v>0</v>
      </c>
      <c r="U100" s="52">
        <v>664893617.08000004</v>
      </c>
      <c r="V100" s="52">
        <v>664893617.08000004</v>
      </c>
      <c r="W100" s="52">
        <v>0</v>
      </c>
      <c r="X100" s="57"/>
      <c r="Y100" s="52">
        <v>0</v>
      </c>
      <c r="Z100" s="52">
        <v>0</v>
      </c>
      <c r="AA100" s="52">
        <v>1</v>
      </c>
      <c r="AB100" s="52">
        <v>0</v>
      </c>
      <c r="AC100" s="52">
        <v>15301661.33</v>
      </c>
      <c r="AD100" s="52">
        <v>7905858.3499999996</v>
      </c>
      <c r="AE100" s="52">
        <v>0</v>
      </c>
      <c r="AF100" s="52">
        <v>0</v>
      </c>
      <c r="AG100" s="52">
        <v>7395802.9800000004</v>
      </c>
      <c r="AH100" s="52">
        <v>0</v>
      </c>
      <c r="AI100" s="52">
        <v>0</v>
      </c>
      <c r="AJ100" s="52">
        <v>2</v>
      </c>
      <c r="AK100" s="52"/>
      <c r="AL100" s="52">
        <v>0</v>
      </c>
      <c r="AM100" s="52">
        <v>0</v>
      </c>
      <c r="AN100" s="61">
        <v>7978723416</v>
      </c>
      <c r="AO100" s="52">
        <v>0</v>
      </c>
      <c r="AP100" s="52">
        <v>0</v>
      </c>
      <c r="AQ100" s="58">
        <v>0</v>
      </c>
      <c r="AR100" s="58">
        <v>0</v>
      </c>
      <c r="AS100" s="58">
        <v>0</v>
      </c>
      <c r="AT100" s="58">
        <v>0</v>
      </c>
      <c r="AU100" s="58">
        <v>0</v>
      </c>
      <c r="AV100" s="58">
        <v>0</v>
      </c>
      <c r="AW100" s="58">
        <v>0</v>
      </c>
      <c r="AX100" s="58">
        <v>0</v>
      </c>
    </row>
    <row r="101" spans="1:50" x14ac:dyDescent="0.25">
      <c r="A101" s="52">
        <f t="shared" si="14"/>
        <v>96</v>
      </c>
      <c r="B101" s="60" t="str">
        <f t="shared" si="13"/>
        <v>00463110072</v>
      </c>
      <c r="C101" s="67" t="s">
        <v>28</v>
      </c>
      <c r="D101" s="59" t="s">
        <v>2058</v>
      </c>
      <c r="E101" s="55" t="str">
        <f t="shared" si="12"/>
        <v>00463</v>
      </c>
      <c r="F101" s="53" t="s">
        <v>2063</v>
      </c>
      <c r="G101" s="55" t="s">
        <v>14</v>
      </c>
      <c r="H101" s="60" t="s">
        <v>228</v>
      </c>
      <c r="I101" s="55">
        <v>307016155</v>
      </c>
      <c r="J101" s="55">
        <v>110072</v>
      </c>
      <c r="K101" s="55" t="s">
        <v>229</v>
      </c>
      <c r="L101" s="53" t="s">
        <v>2064</v>
      </c>
      <c r="M101" s="55" t="s">
        <v>49</v>
      </c>
      <c r="N101" s="52">
        <v>685372341</v>
      </c>
      <c r="O101" s="52">
        <v>685372341</v>
      </c>
      <c r="P101" s="52">
        <v>685372340.46000004</v>
      </c>
      <c r="Q101" s="57">
        <v>45395</v>
      </c>
      <c r="R101" s="57">
        <v>47220</v>
      </c>
      <c r="S101" s="56">
        <v>14</v>
      </c>
      <c r="T101" s="54">
        <v>0</v>
      </c>
      <c r="U101" s="52">
        <v>611703604.76999998</v>
      </c>
      <c r="V101" s="52">
        <v>611703604.76999998</v>
      </c>
      <c r="W101" s="52">
        <v>0</v>
      </c>
      <c r="X101" s="57"/>
      <c r="Y101" s="52">
        <v>0</v>
      </c>
      <c r="Z101" s="52">
        <v>0</v>
      </c>
      <c r="AA101" s="52">
        <v>1</v>
      </c>
      <c r="AB101" s="52">
        <v>0</v>
      </c>
      <c r="AC101" s="52">
        <v>7075611.7400000002</v>
      </c>
      <c r="AD101" s="52">
        <v>4692520.8099999996</v>
      </c>
      <c r="AE101" s="52">
        <v>0</v>
      </c>
      <c r="AF101" s="52">
        <v>0</v>
      </c>
      <c r="AG101" s="52">
        <v>2383090.9300000002</v>
      </c>
      <c r="AH101" s="52">
        <v>0</v>
      </c>
      <c r="AI101" s="52">
        <v>0</v>
      </c>
      <c r="AJ101" s="52">
        <v>2</v>
      </c>
      <c r="AK101" s="52"/>
      <c r="AL101" s="52">
        <v>0</v>
      </c>
      <c r="AM101" s="52">
        <v>0</v>
      </c>
      <c r="AN101" s="61">
        <v>8224468092</v>
      </c>
      <c r="AO101" s="52">
        <v>0</v>
      </c>
      <c r="AP101" s="52">
        <v>0</v>
      </c>
      <c r="AQ101" s="58">
        <v>0</v>
      </c>
      <c r="AR101" s="58">
        <v>0</v>
      </c>
      <c r="AS101" s="58">
        <v>0</v>
      </c>
      <c r="AT101" s="58">
        <v>0</v>
      </c>
      <c r="AU101" s="58">
        <v>0</v>
      </c>
      <c r="AV101" s="58">
        <v>0</v>
      </c>
      <c r="AW101" s="58">
        <v>0</v>
      </c>
      <c r="AX101" s="58">
        <v>0</v>
      </c>
    </row>
    <row r="102" spans="1:50" x14ac:dyDescent="0.25">
      <c r="A102" s="52">
        <f t="shared" si="14"/>
        <v>97</v>
      </c>
      <c r="B102" s="60" t="str">
        <f t="shared" si="13"/>
        <v>0046385248</v>
      </c>
      <c r="C102" s="67" t="s">
        <v>28</v>
      </c>
      <c r="D102" s="59" t="s">
        <v>2058</v>
      </c>
      <c r="E102" s="55" t="str">
        <f t="shared" si="12"/>
        <v>00463</v>
      </c>
      <c r="F102" s="53" t="s">
        <v>2063</v>
      </c>
      <c r="G102" s="55" t="s">
        <v>14</v>
      </c>
      <c r="H102" s="60" t="s">
        <v>230</v>
      </c>
      <c r="I102" s="55">
        <v>303583998</v>
      </c>
      <c r="J102" s="55">
        <v>85248</v>
      </c>
      <c r="K102" s="55" t="s">
        <v>231</v>
      </c>
      <c r="L102" s="53" t="s">
        <v>2064</v>
      </c>
      <c r="M102" s="55" t="s">
        <v>49</v>
      </c>
      <c r="N102" s="52">
        <v>1272265000</v>
      </c>
      <c r="O102" s="52">
        <v>1272265000</v>
      </c>
      <c r="P102" s="52">
        <v>896718000</v>
      </c>
      <c r="Q102" s="57">
        <v>45068</v>
      </c>
      <c r="R102" s="57">
        <v>46848</v>
      </c>
      <c r="S102" s="56">
        <v>21</v>
      </c>
      <c r="T102" s="54">
        <v>0</v>
      </c>
      <c r="U102" s="52">
        <v>511668843.11000001</v>
      </c>
      <c r="V102" s="52">
        <v>511668843.11000001</v>
      </c>
      <c r="W102" s="52">
        <v>0</v>
      </c>
      <c r="X102" s="57"/>
      <c r="Y102" s="52">
        <v>0</v>
      </c>
      <c r="Z102" s="52">
        <v>0</v>
      </c>
      <c r="AA102" s="52">
        <v>2</v>
      </c>
      <c r="AB102" s="52">
        <v>51166884.310000002</v>
      </c>
      <c r="AC102" s="52">
        <v>9125929.2300000004</v>
      </c>
      <c r="AD102" s="52">
        <v>9125929.2300000004</v>
      </c>
      <c r="AE102" s="52">
        <v>0</v>
      </c>
      <c r="AF102" s="52">
        <v>0</v>
      </c>
      <c r="AG102" s="52">
        <v>0</v>
      </c>
      <c r="AH102" s="52">
        <v>0</v>
      </c>
      <c r="AI102" s="52">
        <v>0</v>
      </c>
      <c r="AJ102" s="52">
        <v>2</v>
      </c>
      <c r="AK102" s="52"/>
      <c r="AL102" s="52">
        <v>0</v>
      </c>
      <c r="AM102" s="52">
        <v>0</v>
      </c>
      <c r="AN102" s="61">
        <v>1526718000</v>
      </c>
      <c r="AO102" s="52">
        <v>0</v>
      </c>
      <c r="AP102" s="52">
        <v>0</v>
      </c>
      <c r="AQ102" s="58">
        <v>0</v>
      </c>
      <c r="AR102" s="58">
        <v>0</v>
      </c>
      <c r="AS102" s="58">
        <v>0</v>
      </c>
      <c r="AT102" s="58">
        <v>0</v>
      </c>
      <c r="AU102" s="58">
        <v>0</v>
      </c>
      <c r="AV102" s="58">
        <v>0</v>
      </c>
      <c r="AW102" s="58">
        <v>0</v>
      </c>
      <c r="AX102" s="58">
        <v>0</v>
      </c>
    </row>
    <row r="103" spans="1:50" x14ac:dyDescent="0.25">
      <c r="A103" s="52">
        <f t="shared" si="14"/>
        <v>98</v>
      </c>
      <c r="B103" s="60" t="str">
        <f t="shared" si="13"/>
        <v>00463145224</v>
      </c>
      <c r="C103" s="67" t="s">
        <v>28</v>
      </c>
      <c r="D103" s="59" t="s">
        <v>2058</v>
      </c>
      <c r="E103" s="55" t="str">
        <f t="shared" si="12"/>
        <v>00463</v>
      </c>
      <c r="F103" s="53" t="s">
        <v>2063</v>
      </c>
      <c r="G103" s="55" t="s">
        <v>14</v>
      </c>
      <c r="H103" s="60" t="s">
        <v>232</v>
      </c>
      <c r="I103" s="55">
        <v>206118411</v>
      </c>
      <c r="J103" s="55">
        <v>145224</v>
      </c>
      <c r="K103" s="55" t="s">
        <v>233</v>
      </c>
      <c r="L103" s="53" t="s">
        <v>2064</v>
      </c>
      <c r="M103" s="55" t="s">
        <v>91</v>
      </c>
      <c r="N103" s="52">
        <v>281825</v>
      </c>
      <c r="O103" s="52">
        <v>477701829.75</v>
      </c>
      <c r="P103" s="52">
        <f>+O103</f>
        <v>477701829.75</v>
      </c>
      <c r="Q103" s="57">
        <v>45768</v>
      </c>
      <c r="R103" s="57">
        <v>47578</v>
      </c>
      <c r="S103" s="56">
        <v>10</v>
      </c>
      <c r="T103" s="54">
        <v>0</v>
      </c>
      <c r="U103" s="52">
        <v>493550380.85000002</v>
      </c>
      <c r="V103" s="52">
        <v>493550380.85000002</v>
      </c>
      <c r="W103" s="52">
        <v>0</v>
      </c>
      <c r="X103" s="57"/>
      <c r="Y103" s="52">
        <v>0</v>
      </c>
      <c r="Z103" s="52">
        <v>0</v>
      </c>
      <c r="AA103" s="52">
        <v>1</v>
      </c>
      <c r="AB103" s="52">
        <v>0</v>
      </c>
      <c r="AC103" s="52">
        <v>279388.89</v>
      </c>
      <c r="AD103" s="52">
        <v>279388.89</v>
      </c>
      <c r="AE103" s="52">
        <v>0</v>
      </c>
      <c r="AF103" s="52">
        <v>0</v>
      </c>
      <c r="AG103" s="52">
        <v>0</v>
      </c>
      <c r="AH103" s="52">
        <v>0</v>
      </c>
      <c r="AI103" s="52">
        <v>0</v>
      </c>
      <c r="AJ103" s="52">
        <v>2</v>
      </c>
      <c r="AK103" s="52"/>
      <c r="AL103" s="52">
        <v>0</v>
      </c>
      <c r="AM103" s="52">
        <v>0</v>
      </c>
      <c r="AN103" s="61">
        <v>338190</v>
      </c>
      <c r="AO103" s="52">
        <v>0</v>
      </c>
      <c r="AP103" s="52">
        <v>0</v>
      </c>
      <c r="AQ103" s="58">
        <v>0</v>
      </c>
      <c r="AR103" s="58">
        <v>0</v>
      </c>
      <c r="AS103" s="58">
        <v>0</v>
      </c>
      <c r="AT103" s="58">
        <v>0</v>
      </c>
      <c r="AU103" s="58">
        <v>0</v>
      </c>
      <c r="AV103" s="58">
        <v>0</v>
      </c>
      <c r="AW103" s="58">
        <v>0</v>
      </c>
      <c r="AX103" s="58">
        <v>0</v>
      </c>
    </row>
    <row r="104" spans="1:50" x14ac:dyDescent="0.25">
      <c r="A104" s="52">
        <f t="shared" si="14"/>
        <v>99</v>
      </c>
      <c r="B104" s="60" t="str">
        <f t="shared" si="13"/>
        <v>00463118898</v>
      </c>
      <c r="C104" s="67" t="s">
        <v>28</v>
      </c>
      <c r="D104" s="59" t="s">
        <v>2058</v>
      </c>
      <c r="E104" s="55" t="str">
        <f t="shared" si="12"/>
        <v>00463</v>
      </c>
      <c r="F104" s="53" t="s">
        <v>2063</v>
      </c>
      <c r="G104" s="55" t="s">
        <v>14</v>
      </c>
      <c r="H104" s="60" t="s">
        <v>2368</v>
      </c>
      <c r="I104" s="55">
        <v>206035405</v>
      </c>
      <c r="J104" s="55">
        <v>118898</v>
      </c>
      <c r="K104" s="55" t="s">
        <v>234</v>
      </c>
      <c r="L104" s="53" t="s">
        <v>2064</v>
      </c>
      <c r="M104" s="55" t="s">
        <v>49</v>
      </c>
      <c r="N104" s="52">
        <v>476328160</v>
      </c>
      <c r="O104" s="52">
        <v>476328160</v>
      </c>
      <c r="P104" s="52">
        <v>476328160</v>
      </c>
      <c r="Q104" s="57">
        <v>45524</v>
      </c>
      <c r="R104" s="57">
        <v>47333</v>
      </c>
      <c r="S104" s="56">
        <v>26</v>
      </c>
      <c r="T104" s="54">
        <v>0</v>
      </c>
      <c r="U104" s="52">
        <v>476328160</v>
      </c>
      <c r="V104" s="52">
        <v>476328160</v>
      </c>
      <c r="W104" s="52">
        <v>0</v>
      </c>
      <c r="X104" s="57"/>
      <c r="Y104" s="52">
        <v>0</v>
      </c>
      <c r="Z104" s="52">
        <v>0</v>
      </c>
      <c r="AA104" s="52">
        <v>1</v>
      </c>
      <c r="AB104" s="52">
        <v>0</v>
      </c>
      <c r="AC104" s="52">
        <v>20422450.43</v>
      </c>
      <c r="AD104" s="52">
        <v>9161160.7799999993</v>
      </c>
      <c r="AE104" s="52">
        <v>0</v>
      </c>
      <c r="AF104" s="52">
        <v>742919.87</v>
      </c>
      <c r="AG104" s="52">
        <v>10518369.779999999</v>
      </c>
      <c r="AH104" s="52">
        <v>0</v>
      </c>
      <c r="AI104" s="52">
        <v>0</v>
      </c>
      <c r="AJ104" s="52">
        <v>2</v>
      </c>
      <c r="AK104" s="52"/>
      <c r="AL104" s="52">
        <v>0</v>
      </c>
      <c r="AM104" s="52">
        <v>0</v>
      </c>
      <c r="AN104" s="61">
        <v>571593792</v>
      </c>
      <c r="AO104" s="52">
        <v>0</v>
      </c>
      <c r="AP104" s="52">
        <v>0</v>
      </c>
      <c r="AQ104" s="58">
        <v>0</v>
      </c>
      <c r="AR104" s="58">
        <v>0</v>
      </c>
      <c r="AS104" s="58">
        <v>0</v>
      </c>
      <c r="AT104" s="58">
        <v>0</v>
      </c>
      <c r="AU104" s="58">
        <v>0</v>
      </c>
      <c r="AV104" s="58">
        <v>0</v>
      </c>
      <c r="AW104" s="58">
        <v>0</v>
      </c>
      <c r="AX104" s="58">
        <v>0</v>
      </c>
    </row>
    <row r="105" spans="1:50" x14ac:dyDescent="0.25">
      <c r="A105" s="52">
        <f t="shared" si="14"/>
        <v>100</v>
      </c>
      <c r="B105" s="60" t="str">
        <f t="shared" si="13"/>
        <v>00463151722</v>
      </c>
      <c r="C105" s="67" t="s">
        <v>28</v>
      </c>
      <c r="D105" s="59" t="s">
        <v>2058</v>
      </c>
      <c r="E105" s="55" t="str">
        <f t="shared" si="12"/>
        <v>00463</v>
      </c>
      <c r="F105" s="53" t="s">
        <v>2063</v>
      </c>
      <c r="G105" s="55" t="s">
        <v>14</v>
      </c>
      <c r="H105" s="60" t="s">
        <v>2369</v>
      </c>
      <c r="I105" s="55">
        <v>300147243</v>
      </c>
      <c r="J105" s="55">
        <v>151722</v>
      </c>
      <c r="K105" s="55" t="s">
        <v>235</v>
      </c>
      <c r="L105" s="53" t="s">
        <v>2064</v>
      </c>
      <c r="M105" s="55" t="s">
        <v>49</v>
      </c>
      <c r="N105" s="52">
        <v>679000000</v>
      </c>
      <c r="O105" s="52">
        <v>679000000</v>
      </c>
      <c r="P105" s="52">
        <v>679000000</v>
      </c>
      <c r="Q105" s="57">
        <v>45831</v>
      </c>
      <c r="R105" s="57">
        <v>46360</v>
      </c>
      <c r="S105" s="56">
        <v>10</v>
      </c>
      <c r="T105" s="54">
        <v>0</v>
      </c>
      <c r="U105" s="52">
        <v>452666667</v>
      </c>
      <c r="V105" s="52">
        <v>452666667</v>
      </c>
      <c r="W105" s="52">
        <v>0</v>
      </c>
      <c r="X105" s="57"/>
      <c r="Y105" s="52">
        <v>0</v>
      </c>
      <c r="Z105" s="52">
        <v>0</v>
      </c>
      <c r="AA105" s="52">
        <v>1</v>
      </c>
      <c r="AB105" s="52">
        <v>0</v>
      </c>
      <c r="AC105" s="52">
        <v>2232328.77</v>
      </c>
      <c r="AD105" s="52">
        <v>2232328.77</v>
      </c>
      <c r="AE105" s="52">
        <v>0</v>
      </c>
      <c r="AF105" s="52">
        <v>0</v>
      </c>
      <c r="AG105" s="52">
        <v>0</v>
      </c>
      <c r="AH105" s="52">
        <v>0</v>
      </c>
      <c r="AI105" s="52">
        <v>0</v>
      </c>
      <c r="AJ105" s="52">
        <v>2</v>
      </c>
      <c r="AK105" s="52"/>
      <c r="AL105" s="52">
        <v>0</v>
      </c>
      <c r="AM105" s="52">
        <v>0</v>
      </c>
      <c r="AN105" s="61">
        <v>814800000</v>
      </c>
      <c r="AO105" s="52">
        <v>0</v>
      </c>
      <c r="AP105" s="52">
        <v>0</v>
      </c>
      <c r="AQ105" s="58">
        <v>0</v>
      </c>
      <c r="AR105" s="58">
        <v>0</v>
      </c>
      <c r="AS105" s="58">
        <v>0</v>
      </c>
      <c r="AT105" s="58">
        <v>0</v>
      </c>
      <c r="AU105" s="58">
        <v>0</v>
      </c>
      <c r="AV105" s="58">
        <v>0</v>
      </c>
      <c r="AW105" s="58">
        <v>0</v>
      </c>
      <c r="AX105" s="58">
        <v>0</v>
      </c>
    </row>
    <row r="106" spans="1:50" x14ac:dyDescent="0.25">
      <c r="A106" s="52">
        <f t="shared" si="14"/>
        <v>101</v>
      </c>
      <c r="B106" s="60" t="str">
        <f t="shared" si="13"/>
        <v>00463151917</v>
      </c>
      <c r="C106" s="67" t="s">
        <v>28</v>
      </c>
      <c r="D106" s="59" t="s">
        <v>2058</v>
      </c>
      <c r="E106" s="55" t="str">
        <f t="shared" si="12"/>
        <v>00463</v>
      </c>
      <c r="F106" s="53" t="s">
        <v>2063</v>
      </c>
      <c r="G106" s="55" t="s">
        <v>14</v>
      </c>
      <c r="H106" s="60" t="s">
        <v>2369</v>
      </c>
      <c r="I106" s="55">
        <v>300147243</v>
      </c>
      <c r="J106" s="55">
        <v>151917</v>
      </c>
      <c r="K106" s="55" t="s">
        <v>236</v>
      </c>
      <c r="L106" s="53" t="s">
        <v>2064</v>
      </c>
      <c r="M106" s="55" t="s">
        <v>49</v>
      </c>
      <c r="N106" s="52">
        <v>446808511</v>
      </c>
      <c r="O106" s="52">
        <v>446808511</v>
      </c>
      <c r="P106" s="52">
        <v>446808511</v>
      </c>
      <c r="Q106" s="57">
        <v>45831</v>
      </c>
      <c r="R106" s="57">
        <v>47656</v>
      </c>
      <c r="S106" s="56">
        <v>14</v>
      </c>
      <c r="T106" s="54">
        <v>0</v>
      </c>
      <c r="U106" s="52">
        <v>446808511</v>
      </c>
      <c r="V106" s="52">
        <v>446808511</v>
      </c>
      <c r="W106" s="52">
        <v>0</v>
      </c>
      <c r="X106" s="57"/>
      <c r="Y106" s="52">
        <v>0</v>
      </c>
      <c r="Z106" s="52">
        <v>0</v>
      </c>
      <c r="AA106" s="52">
        <v>1</v>
      </c>
      <c r="AB106" s="52">
        <v>0</v>
      </c>
      <c r="AC106" s="52">
        <v>3084814.9299999997</v>
      </c>
      <c r="AD106" s="52">
        <v>1542407.47</v>
      </c>
      <c r="AE106" s="52">
        <v>0</v>
      </c>
      <c r="AF106" s="52">
        <v>0</v>
      </c>
      <c r="AG106" s="52">
        <v>1542407.46</v>
      </c>
      <c r="AH106" s="52">
        <v>0</v>
      </c>
      <c r="AI106" s="52">
        <v>0</v>
      </c>
      <c r="AJ106" s="52">
        <v>2</v>
      </c>
      <c r="AK106" s="52"/>
      <c r="AL106" s="52">
        <v>0</v>
      </c>
      <c r="AM106" s="52">
        <v>0</v>
      </c>
      <c r="AN106" s="61">
        <v>5361702132</v>
      </c>
      <c r="AO106" s="52">
        <v>0</v>
      </c>
      <c r="AP106" s="52">
        <v>0</v>
      </c>
      <c r="AQ106" s="58">
        <v>0</v>
      </c>
      <c r="AR106" s="58">
        <v>0</v>
      </c>
      <c r="AS106" s="58">
        <v>0</v>
      </c>
      <c r="AT106" s="58">
        <v>0</v>
      </c>
      <c r="AU106" s="58">
        <v>0</v>
      </c>
      <c r="AV106" s="58">
        <v>0</v>
      </c>
      <c r="AW106" s="58">
        <v>0</v>
      </c>
      <c r="AX106" s="58">
        <v>0</v>
      </c>
    </row>
    <row r="107" spans="1:50" x14ac:dyDescent="0.25">
      <c r="A107" s="52">
        <f t="shared" si="14"/>
        <v>102</v>
      </c>
      <c r="B107" s="60" t="str">
        <f t="shared" si="13"/>
        <v>00463139583</v>
      </c>
      <c r="C107" s="67" t="s">
        <v>28</v>
      </c>
      <c r="D107" s="59" t="s">
        <v>2058</v>
      </c>
      <c r="E107" s="55" t="str">
        <f t="shared" si="12"/>
        <v>00463</v>
      </c>
      <c r="F107" s="53" t="s">
        <v>2063</v>
      </c>
      <c r="G107" s="55" t="s">
        <v>14</v>
      </c>
      <c r="H107" s="60" t="s">
        <v>2369</v>
      </c>
      <c r="I107" s="55">
        <v>300147243</v>
      </c>
      <c r="J107" s="55">
        <v>139583</v>
      </c>
      <c r="K107" s="55" t="s">
        <v>237</v>
      </c>
      <c r="L107" s="53" t="s">
        <v>2064</v>
      </c>
      <c r="M107" s="55" t="s">
        <v>49</v>
      </c>
      <c r="N107" s="52">
        <v>691489362</v>
      </c>
      <c r="O107" s="52">
        <v>691489362</v>
      </c>
      <c r="P107" s="52">
        <v>691489361.72000003</v>
      </c>
      <c r="Q107" s="57">
        <v>45723</v>
      </c>
      <c r="R107" s="57">
        <v>47548</v>
      </c>
      <c r="S107" s="56">
        <v>14</v>
      </c>
      <c r="T107" s="54">
        <v>0</v>
      </c>
      <c r="U107" s="52">
        <v>399363643.18000001</v>
      </c>
      <c r="V107" s="52">
        <v>399363643.18000001</v>
      </c>
      <c r="W107" s="52">
        <v>0</v>
      </c>
      <c r="X107" s="57"/>
      <c r="Y107" s="52">
        <v>0</v>
      </c>
      <c r="Z107" s="52">
        <v>0</v>
      </c>
      <c r="AA107" s="52">
        <v>1</v>
      </c>
      <c r="AB107" s="52">
        <v>0</v>
      </c>
      <c r="AC107" s="52">
        <v>2880019.42</v>
      </c>
      <c r="AD107" s="52">
        <v>2880019.42</v>
      </c>
      <c r="AE107" s="52">
        <v>0</v>
      </c>
      <c r="AF107" s="52">
        <v>0</v>
      </c>
      <c r="AG107" s="52">
        <v>0</v>
      </c>
      <c r="AH107" s="52">
        <v>0</v>
      </c>
      <c r="AI107" s="52">
        <v>0</v>
      </c>
      <c r="AJ107" s="52">
        <v>2</v>
      </c>
      <c r="AK107" s="52"/>
      <c r="AL107" s="52">
        <v>0</v>
      </c>
      <c r="AM107" s="52">
        <v>0</v>
      </c>
      <c r="AN107" s="61">
        <v>8297872344</v>
      </c>
      <c r="AO107" s="52">
        <v>0</v>
      </c>
      <c r="AP107" s="52">
        <v>0</v>
      </c>
      <c r="AQ107" s="58">
        <v>0</v>
      </c>
      <c r="AR107" s="58">
        <v>0</v>
      </c>
      <c r="AS107" s="58">
        <v>0</v>
      </c>
      <c r="AT107" s="58">
        <v>0</v>
      </c>
      <c r="AU107" s="58">
        <v>0</v>
      </c>
      <c r="AV107" s="58">
        <v>0</v>
      </c>
      <c r="AW107" s="58">
        <v>0</v>
      </c>
      <c r="AX107" s="58">
        <v>0</v>
      </c>
    </row>
    <row r="108" spans="1:50" x14ac:dyDescent="0.25">
      <c r="A108" s="52">
        <f t="shared" si="14"/>
        <v>103</v>
      </c>
      <c r="B108" s="60" t="str">
        <f t="shared" si="13"/>
        <v>00463111263</v>
      </c>
      <c r="C108" s="67" t="s">
        <v>28</v>
      </c>
      <c r="D108" s="59" t="s">
        <v>2058</v>
      </c>
      <c r="E108" s="55" t="str">
        <f t="shared" si="12"/>
        <v>00463</v>
      </c>
      <c r="F108" s="53" t="s">
        <v>2063</v>
      </c>
      <c r="G108" s="55" t="s">
        <v>14</v>
      </c>
      <c r="H108" s="60" t="s">
        <v>232</v>
      </c>
      <c r="I108" s="55">
        <v>206118411</v>
      </c>
      <c r="J108" s="55">
        <v>111263</v>
      </c>
      <c r="K108" s="55" t="s">
        <v>238</v>
      </c>
      <c r="L108" s="53" t="s">
        <v>2064</v>
      </c>
      <c r="M108" s="55" t="s">
        <v>49</v>
      </c>
      <c r="N108" s="52">
        <v>563829788</v>
      </c>
      <c r="O108" s="52">
        <v>563829788</v>
      </c>
      <c r="P108" s="52">
        <v>563829787.27999997</v>
      </c>
      <c r="Q108" s="57">
        <v>45411</v>
      </c>
      <c r="R108" s="57">
        <v>47236</v>
      </c>
      <c r="S108" s="56">
        <v>14</v>
      </c>
      <c r="T108" s="54">
        <v>0</v>
      </c>
      <c r="U108" s="52">
        <v>391297282.63999999</v>
      </c>
      <c r="V108" s="52">
        <v>391297282.63999999</v>
      </c>
      <c r="W108" s="52">
        <v>0</v>
      </c>
      <c r="X108" s="57"/>
      <c r="Y108" s="52">
        <v>0</v>
      </c>
      <c r="Z108" s="52">
        <v>0</v>
      </c>
      <c r="AA108" s="52">
        <v>1</v>
      </c>
      <c r="AB108" s="52">
        <v>0</v>
      </c>
      <c r="AC108" s="52">
        <v>450259.88</v>
      </c>
      <c r="AD108" s="52">
        <v>450259.88</v>
      </c>
      <c r="AE108" s="52">
        <v>0</v>
      </c>
      <c r="AF108" s="52">
        <v>0</v>
      </c>
      <c r="AG108" s="52">
        <v>0</v>
      </c>
      <c r="AH108" s="52">
        <v>0</v>
      </c>
      <c r="AI108" s="52">
        <v>0</v>
      </c>
      <c r="AJ108" s="52">
        <v>2</v>
      </c>
      <c r="AK108" s="52"/>
      <c r="AL108" s="52">
        <v>0</v>
      </c>
      <c r="AM108" s="52">
        <v>0</v>
      </c>
      <c r="AN108" s="61">
        <v>6765957456</v>
      </c>
      <c r="AO108" s="52">
        <v>0</v>
      </c>
      <c r="AP108" s="52">
        <v>0</v>
      </c>
      <c r="AQ108" s="58">
        <v>0</v>
      </c>
      <c r="AR108" s="58">
        <v>0</v>
      </c>
      <c r="AS108" s="58">
        <v>0</v>
      </c>
      <c r="AT108" s="58">
        <v>0</v>
      </c>
      <c r="AU108" s="58">
        <v>0</v>
      </c>
      <c r="AV108" s="58">
        <v>0</v>
      </c>
      <c r="AW108" s="58">
        <v>0</v>
      </c>
      <c r="AX108" s="58">
        <v>0</v>
      </c>
    </row>
    <row r="109" spans="1:50" x14ac:dyDescent="0.25">
      <c r="A109" s="52">
        <f t="shared" si="14"/>
        <v>104</v>
      </c>
      <c r="B109" s="60" t="str">
        <f t="shared" si="13"/>
        <v>00463110942</v>
      </c>
      <c r="C109" s="67" t="s">
        <v>28</v>
      </c>
      <c r="D109" s="59" t="s">
        <v>2058</v>
      </c>
      <c r="E109" s="55" t="str">
        <f t="shared" si="12"/>
        <v>00463</v>
      </c>
      <c r="F109" s="53" t="s">
        <v>2063</v>
      </c>
      <c r="G109" s="55" t="s">
        <v>14</v>
      </c>
      <c r="H109" s="60" t="s">
        <v>2368</v>
      </c>
      <c r="I109" s="55">
        <v>206035405</v>
      </c>
      <c r="J109" s="55">
        <v>110942</v>
      </c>
      <c r="K109" s="55" t="s">
        <v>239</v>
      </c>
      <c r="L109" s="53" t="s">
        <v>2064</v>
      </c>
      <c r="M109" s="55" t="s">
        <v>49</v>
      </c>
      <c r="N109" s="52">
        <v>558510639</v>
      </c>
      <c r="O109" s="52">
        <v>558510639</v>
      </c>
      <c r="P109" s="52">
        <v>525000000</v>
      </c>
      <c r="Q109" s="57">
        <v>45406</v>
      </c>
      <c r="R109" s="57">
        <v>47231</v>
      </c>
      <c r="S109" s="56">
        <v>14</v>
      </c>
      <c r="T109" s="54">
        <v>0</v>
      </c>
      <c r="U109" s="52">
        <v>335677573.72000003</v>
      </c>
      <c r="V109" s="52">
        <v>335677573.72000003</v>
      </c>
      <c r="W109" s="52">
        <v>0</v>
      </c>
      <c r="X109" s="57"/>
      <c r="Y109" s="52">
        <v>0</v>
      </c>
      <c r="Z109" s="52">
        <v>0</v>
      </c>
      <c r="AA109" s="52">
        <v>1</v>
      </c>
      <c r="AB109" s="52">
        <v>0</v>
      </c>
      <c r="AC109" s="52">
        <v>7725006.2700000005</v>
      </c>
      <c r="AD109" s="52">
        <v>2188801.7200000002</v>
      </c>
      <c r="AE109" s="52">
        <v>0</v>
      </c>
      <c r="AF109" s="52">
        <v>1488592.56</v>
      </c>
      <c r="AG109" s="52">
        <v>4047611.99</v>
      </c>
      <c r="AH109" s="52">
        <v>0</v>
      </c>
      <c r="AI109" s="52">
        <v>0</v>
      </c>
      <c r="AJ109" s="52">
        <v>2</v>
      </c>
      <c r="AK109" s="52"/>
      <c r="AL109" s="52">
        <v>0</v>
      </c>
      <c r="AM109" s="52">
        <v>0</v>
      </c>
      <c r="AN109" s="61">
        <v>6702127668</v>
      </c>
      <c r="AO109" s="52">
        <v>0</v>
      </c>
      <c r="AP109" s="52">
        <v>0</v>
      </c>
      <c r="AQ109" s="58">
        <v>0</v>
      </c>
      <c r="AR109" s="58">
        <v>0</v>
      </c>
      <c r="AS109" s="58">
        <v>0</v>
      </c>
      <c r="AT109" s="58">
        <v>0</v>
      </c>
      <c r="AU109" s="58">
        <v>0</v>
      </c>
      <c r="AV109" s="58">
        <v>0</v>
      </c>
      <c r="AW109" s="58">
        <v>0</v>
      </c>
      <c r="AX109" s="58">
        <v>0</v>
      </c>
    </row>
    <row r="110" spans="1:50" x14ac:dyDescent="0.25">
      <c r="A110" s="52">
        <f t="shared" si="14"/>
        <v>105</v>
      </c>
      <c r="B110" s="60" t="str">
        <f t="shared" si="13"/>
        <v>0046384145</v>
      </c>
      <c r="C110" s="67" t="s">
        <v>28</v>
      </c>
      <c r="D110" s="59" t="s">
        <v>2058</v>
      </c>
      <c r="E110" s="55" t="str">
        <f t="shared" si="12"/>
        <v>00463</v>
      </c>
      <c r="F110" s="53" t="s">
        <v>2063</v>
      </c>
      <c r="G110" s="55" t="s">
        <v>14</v>
      </c>
      <c r="H110" s="60" t="s">
        <v>228</v>
      </c>
      <c r="I110" s="55">
        <v>307016155</v>
      </c>
      <c r="J110" s="55">
        <v>84145</v>
      </c>
      <c r="K110" s="55" t="s">
        <v>240</v>
      </c>
      <c r="L110" s="53" t="s">
        <v>2064</v>
      </c>
      <c r="M110" s="55" t="s">
        <v>49</v>
      </c>
      <c r="N110" s="52">
        <v>636132000</v>
      </c>
      <c r="O110" s="52">
        <v>636132000</v>
      </c>
      <c r="P110" s="52">
        <v>630132093</v>
      </c>
      <c r="Q110" s="57">
        <v>45056</v>
      </c>
      <c r="R110" s="57">
        <v>46850</v>
      </c>
      <c r="S110" s="56">
        <v>21</v>
      </c>
      <c r="T110" s="54">
        <v>0</v>
      </c>
      <c r="U110" s="52">
        <v>312066093</v>
      </c>
      <c r="V110" s="52">
        <v>312066093</v>
      </c>
      <c r="W110" s="52">
        <v>0</v>
      </c>
      <c r="X110" s="57"/>
      <c r="Y110" s="52">
        <v>0</v>
      </c>
      <c r="Z110" s="52">
        <v>0</v>
      </c>
      <c r="AA110" s="52">
        <v>1</v>
      </c>
      <c r="AB110" s="52">
        <v>0</v>
      </c>
      <c r="AC110" s="52">
        <v>5565891.1399999997</v>
      </c>
      <c r="AD110" s="52">
        <v>5565891.1399999997</v>
      </c>
      <c r="AE110" s="52">
        <v>0</v>
      </c>
      <c r="AF110" s="52">
        <v>0</v>
      </c>
      <c r="AG110" s="52">
        <v>0</v>
      </c>
      <c r="AH110" s="52">
        <v>0</v>
      </c>
      <c r="AI110" s="52">
        <v>0</v>
      </c>
      <c r="AJ110" s="52">
        <v>2</v>
      </c>
      <c r="AK110" s="52"/>
      <c r="AL110" s="52">
        <v>0</v>
      </c>
      <c r="AM110" s="52">
        <v>0</v>
      </c>
      <c r="AN110" s="61">
        <v>763358400</v>
      </c>
      <c r="AO110" s="52">
        <v>0</v>
      </c>
      <c r="AP110" s="52">
        <v>0</v>
      </c>
      <c r="AQ110" s="58">
        <v>0</v>
      </c>
      <c r="AR110" s="58">
        <v>0</v>
      </c>
      <c r="AS110" s="58">
        <v>0</v>
      </c>
      <c r="AT110" s="58">
        <v>0</v>
      </c>
      <c r="AU110" s="58">
        <v>0</v>
      </c>
      <c r="AV110" s="58">
        <v>0</v>
      </c>
      <c r="AW110" s="58">
        <v>0</v>
      </c>
      <c r="AX110" s="58">
        <v>0</v>
      </c>
    </row>
    <row r="111" spans="1:50" x14ac:dyDescent="0.25">
      <c r="A111" s="52">
        <f t="shared" si="14"/>
        <v>106</v>
      </c>
      <c r="B111" s="60" t="str">
        <f t="shared" si="13"/>
        <v>00463111085</v>
      </c>
      <c r="C111" s="67" t="s">
        <v>28</v>
      </c>
      <c r="D111" s="59" t="s">
        <v>2058</v>
      </c>
      <c r="E111" s="55" t="str">
        <f t="shared" si="12"/>
        <v>00463</v>
      </c>
      <c r="F111" s="53" t="s">
        <v>2063</v>
      </c>
      <c r="G111" s="55" t="s">
        <v>14</v>
      </c>
      <c r="H111" s="60" t="s">
        <v>221</v>
      </c>
      <c r="I111" s="55">
        <v>308026672</v>
      </c>
      <c r="J111" s="55">
        <v>111085</v>
      </c>
      <c r="K111" s="55" t="s">
        <v>241</v>
      </c>
      <c r="L111" s="53" t="s">
        <v>2064</v>
      </c>
      <c r="M111" s="55" t="s">
        <v>49</v>
      </c>
      <c r="N111" s="52">
        <v>261710795</v>
      </c>
      <c r="O111" s="52">
        <v>261710795</v>
      </c>
      <c r="P111" s="52">
        <v>261710795</v>
      </c>
      <c r="Q111" s="57">
        <v>45408</v>
      </c>
      <c r="R111" s="57">
        <v>47233</v>
      </c>
      <c r="S111" s="56">
        <v>14</v>
      </c>
      <c r="T111" s="54">
        <v>0</v>
      </c>
      <c r="U111" s="52">
        <v>261710795</v>
      </c>
      <c r="V111" s="52">
        <v>261710795</v>
      </c>
      <c r="W111" s="52">
        <v>0</v>
      </c>
      <c r="X111" s="57"/>
      <c r="Y111" s="52">
        <v>0</v>
      </c>
      <c r="Z111" s="52">
        <v>0</v>
      </c>
      <c r="AA111" s="52">
        <v>1</v>
      </c>
      <c r="AB111" s="52">
        <v>0</v>
      </c>
      <c r="AC111" s="52">
        <v>3111848.9099999997</v>
      </c>
      <c r="AD111" s="52">
        <v>602293.34</v>
      </c>
      <c r="AE111" s="52">
        <v>0</v>
      </c>
      <c r="AF111" s="52">
        <v>0</v>
      </c>
      <c r="AG111" s="52">
        <v>2509555.5699999998</v>
      </c>
      <c r="AH111" s="52">
        <v>0</v>
      </c>
      <c r="AI111" s="52">
        <v>0</v>
      </c>
      <c r="AJ111" s="52">
        <v>2</v>
      </c>
      <c r="AK111" s="52"/>
      <c r="AL111" s="52">
        <v>0</v>
      </c>
      <c r="AM111" s="52">
        <v>0</v>
      </c>
      <c r="AN111" s="61">
        <v>314052954</v>
      </c>
      <c r="AO111" s="52">
        <v>0</v>
      </c>
      <c r="AP111" s="52">
        <v>0</v>
      </c>
      <c r="AQ111" s="58">
        <v>0</v>
      </c>
      <c r="AR111" s="58">
        <v>0</v>
      </c>
      <c r="AS111" s="58">
        <v>0</v>
      </c>
      <c r="AT111" s="58">
        <v>0</v>
      </c>
      <c r="AU111" s="58">
        <v>0</v>
      </c>
      <c r="AV111" s="58">
        <v>0</v>
      </c>
      <c r="AW111" s="58">
        <v>0</v>
      </c>
      <c r="AX111" s="58">
        <v>0</v>
      </c>
    </row>
    <row r="112" spans="1:50" x14ac:dyDescent="0.25">
      <c r="A112" s="52">
        <f t="shared" si="14"/>
        <v>107</v>
      </c>
      <c r="B112" s="60" t="str">
        <f t="shared" si="13"/>
        <v>00463108471</v>
      </c>
      <c r="C112" s="67" t="s">
        <v>28</v>
      </c>
      <c r="D112" s="59" t="s">
        <v>2058</v>
      </c>
      <c r="E112" s="55" t="str">
        <f t="shared" si="12"/>
        <v>00463</v>
      </c>
      <c r="F112" s="53" t="s">
        <v>2063</v>
      </c>
      <c r="G112" s="55" t="s">
        <v>14</v>
      </c>
      <c r="H112" s="60" t="s">
        <v>2366</v>
      </c>
      <c r="I112" s="55">
        <v>302757890</v>
      </c>
      <c r="J112" s="55">
        <v>108471</v>
      </c>
      <c r="K112" s="55" t="s">
        <v>242</v>
      </c>
      <c r="L112" s="53" t="s">
        <v>2064</v>
      </c>
      <c r="M112" s="55" t="s">
        <v>49</v>
      </c>
      <c r="N112" s="52">
        <v>257000000</v>
      </c>
      <c r="O112" s="52">
        <v>257000000</v>
      </c>
      <c r="P112" s="52">
        <v>257000000</v>
      </c>
      <c r="Q112" s="57">
        <v>45371</v>
      </c>
      <c r="R112" s="57">
        <v>47182</v>
      </c>
      <c r="S112" s="56">
        <v>14</v>
      </c>
      <c r="T112" s="54">
        <v>0</v>
      </c>
      <c r="U112" s="52">
        <v>257000000</v>
      </c>
      <c r="V112" s="52">
        <v>257000000</v>
      </c>
      <c r="W112" s="52">
        <v>0</v>
      </c>
      <c r="X112" s="57"/>
      <c r="Y112" s="52">
        <v>0</v>
      </c>
      <c r="Z112" s="52">
        <v>0</v>
      </c>
      <c r="AA112" s="52">
        <v>1</v>
      </c>
      <c r="AB112" s="52">
        <v>0</v>
      </c>
      <c r="AC112" s="52">
        <v>3055835.61</v>
      </c>
      <c r="AD112" s="52">
        <v>3055835.61</v>
      </c>
      <c r="AE112" s="52">
        <v>0</v>
      </c>
      <c r="AF112" s="52">
        <v>0</v>
      </c>
      <c r="AG112" s="52">
        <v>0</v>
      </c>
      <c r="AH112" s="52">
        <v>0</v>
      </c>
      <c r="AI112" s="52">
        <v>0</v>
      </c>
      <c r="AJ112" s="52">
        <v>2</v>
      </c>
      <c r="AK112" s="52"/>
      <c r="AL112" s="52">
        <v>0</v>
      </c>
      <c r="AM112" s="52">
        <v>0</v>
      </c>
      <c r="AN112" s="61">
        <v>308400000</v>
      </c>
      <c r="AO112" s="52">
        <v>0</v>
      </c>
      <c r="AP112" s="52">
        <v>0</v>
      </c>
      <c r="AQ112" s="58">
        <v>0</v>
      </c>
      <c r="AR112" s="58">
        <v>0</v>
      </c>
      <c r="AS112" s="58">
        <v>0</v>
      </c>
      <c r="AT112" s="58">
        <v>0</v>
      </c>
      <c r="AU112" s="58">
        <v>0</v>
      </c>
      <c r="AV112" s="58">
        <v>0</v>
      </c>
      <c r="AW112" s="58">
        <v>0</v>
      </c>
      <c r="AX112" s="58">
        <v>0</v>
      </c>
    </row>
    <row r="113" spans="1:50" x14ac:dyDescent="0.25">
      <c r="A113" s="52">
        <f t="shared" si="14"/>
        <v>108</v>
      </c>
      <c r="B113" s="60" t="str">
        <f t="shared" si="13"/>
        <v>00463160699</v>
      </c>
      <c r="C113" s="67" t="s">
        <v>28</v>
      </c>
      <c r="D113" s="59" t="s">
        <v>2058</v>
      </c>
      <c r="E113" s="55" t="str">
        <f t="shared" si="12"/>
        <v>00463</v>
      </c>
      <c r="F113" s="53" t="s">
        <v>2063</v>
      </c>
      <c r="G113" s="55" t="s">
        <v>14</v>
      </c>
      <c r="H113" s="60" t="s">
        <v>232</v>
      </c>
      <c r="I113" s="55">
        <v>206118411</v>
      </c>
      <c r="J113" s="55">
        <v>160699</v>
      </c>
      <c r="K113" s="55" t="s">
        <v>243</v>
      </c>
      <c r="L113" s="53" t="s">
        <v>2064</v>
      </c>
      <c r="M113" s="55" t="s">
        <v>49</v>
      </c>
      <c r="N113" s="52">
        <v>268839104</v>
      </c>
      <c r="O113" s="52">
        <v>268839104</v>
      </c>
      <c r="P113" s="52">
        <v>268839104</v>
      </c>
      <c r="Q113" s="57">
        <v>45908</v>
      </c>
      <c r="R113" s="57">
        <v>47733</v>
      </c>
      <c r="S113" s="56">
        <v>14</v>
      </c>
      <c r="T113" s="54">
        <v>0</v>
      </c>
      <c r="U113" s="52">
        <v>243839104</v>
      </c>
      <c r="V113" s="52">
        <v>243839104</v>
      </c>
      <c r="W113" s="52">
        <v>0</v>
      </c>
      <c r="X113" s="57"/>
      <c r="Y113" s="52">
        <v>0</v>
      </c>
      <c r="Z113" s="52">
        <v>0</v>
      </c>
      <c r="AA113" s="52">
        <v>1</v>
      </c>
      <c r="AB113" s="52">
        <v>0</v>
      </c>
      <c r="AC113" s="52">
        <v>0</v>
      </c>
      <c r="AD113" s="52">
        <v>0</v>
      </c>
      <c r="AE113" s="52">
        <v>0</v>
      </c>
      <c r="AF113" s="52">
        <v>0</v>
      </c>
      <c r="AG113" s="52">
        <v>0</v>
      </c>
      <c r="AH113" s="52">
        <v>0</v>
      </c>
      <c r="AI113" s="52">
        <v>0</v>
      </c>
      <c r="AJ113" s="52">
        <v>2</v>
      </c>
      <c r="AK113" s="52"/>
      <c r="AL113" s="52">
        <v>0</v>
      </c>
      <c r="AM113" s="52">
        <v>0</v>
      </c>
      <c r="AN113" s="61">
        <v>3226069248</v>
      </c>
      <c r="AO113" s="52">
        <v>0</v>
      </c>
      <c r="AP113" s="52">
        <v>0</v>
      </c>
      <c r="AQ113" s="58">
        <v>0</v>
      </c>
      <c r="AR113" s="58">
        <v>0</v>
      </c>
      <c r="AS113" s="58">
        <v>0</v>
      </c>
      <c r="AT113" s="58">
        <v>0</v>
      </c>
      <c r="AU113" s="58">
        <v>0</v>
      </c>
      <c r="AV113" s="58">
        <v>0</v>
      </c>
      <c r="AW113" s="58">
        <v>0</v>
      </c>
      <c r="AX113" s="58">
        <v>0</v>
      </c>
    </row>
    <row r="114" spans="1:50" x14ac:dyDescent="0.25">
      <c r="A114" s="52">
        <f t="shared" si="14"/>
        <v>109</v>
      </c>
      <c r="B114" s="60" t="str">
        <f t="shared" si="13"/>
        <v>0046359863</v>
      </c>
      <c r="C114" s="67" t="s">
        <v>28</v>
      </c>
      <c r="D114" s="59" t="s">
        <v>2058</v>
      </c>
      <c r="E114" s="55" t="str">
        <f t="shared" si="12"/>
        <v>00463</v>
      </c>
      <c r="F114" s="53" t="s">
        <v>2063</v>
      </c>
      <c r="G114" s="55" t="s">
        <v>14</v>
      </c>
      <c r="H114" s="60" t="s">
        <v>230</v>
      </c>
      <c r="I114" s="55">
        <v>303583998</v>
      </c>
      <c r="J114" s="55">
        <v>59863</v>
      </c>
      <c r="K114" s="55" t="s">
        <v>244</v>
      </c>
      <c r="L114" s="53" t="s">
        <v>2064</v>
      </c>
      <c r="M114" s="55" t="s">
        <v>49</v>
      </c>
      <c r="N114" s="52">
        <v>255000000</v>
      </c>
      <c r="O114" s="52">
        <v>255000000</v>
      </c>
      <c r="P114" s="52">
        <v>255000000</v>
      </c>
      <c r="Q114" s="57">
        <v>44819</v>
      </c>
      <c r="R114" s="57">
        <v>46637</v>
      </c>
      <c r="S114" s="56">
        <v>5</v>
      </c>
      <c r="T114" s="54">
        <v>0</v>
      </c>
      <c r="U114" s="52">
        <v>179444444.47999999</v>
      </c>
      <c r="V114" s="52">
        <v>174722222.25999999</v>
      </c>
      <c r="W114" s="52">
        <v>4722222.22</v>
      </c>
      <c r="X114" s="57">
        <v>46037</v>
      </c>
      <c r="Y114" s="52">
        <v>0</v>
      </c>
      <c r="Z114" s="52">
        <v>0</v>
      </c>
      <c r="AA114" s="52">
        <v>1</v>
      </c>
      <c r="AB114" s="52">
        <v>0</v>
      </c>
      <c r="AC114" s="52">
        <v>740030.44</v>
      </c>
      <c r="AD114" s="52">
        <v>740030.44</v>
      </c>
      <c r="AE114" s="52">
        <v>0</v>
      </c>
      <c r="AF114" s="52">
        <v>0</v>
      </c>
      <c r="AG114" s="52">
        <v>0</v>
      </c>
      <c r="AH114" s="52">
        <v>0</v>
      </c>
      <c r="AI114" s="52">
        <v>0</v>
      </c>
      <c r="AJ114" s="52">
        <v>2</v>
      </c>
      <c r="AK114" s="52"/>
      <c r="AL114" s="52">
        <v>0</v>
      </c>
      <c r="AM114" s="52">
        <v>0</v>
      </c>
      <c r="AN114" s="61">
        <v>306000000</v>
      </c>
      <c r="AO114" s="52">
        <v>0</v>
      </c>
      <c r="AP114" s="52">
        <v>0</v>
      </c>
      <c r="AQ114" s="58">
        <v>0</v>
      </c>
      <c r="AR114" s="58">
        <v>0</v>
      </c>
      <c r="AS114" s="58">
        <v>0</v>
      </c>
      <c r="AT114" s="58">
        <v>0</v>
      </c>
      <c r="AU114" s="58">
        <v>0</v>
      </c>
      <c r="AV114" s="58">
        <v>0</v>
      </c>
      <c r="AW114" s="58">
        <v>0</v>
      </c>
      <c r="AX114" s="58">
        <v>0</v>
      </c>
    </row>
    <row r="115" spans="1:50" x14ac:dyDescent="0.25">
      <c r="A115" s="52">
        <f t="shared" si="14"/>
        <v>110</v>
      </c>
      <c r="B115" s="60" t="str">
        <f t="shared" si="13"/>
        <v>00463154654</v>
      </c>
      <c r="C115" s="67" t="s">
        <v>28</v>
      </c>
      <c r="D115" s="59" t="s">
        <v>2058</v>
      </c>
      <c r="E115" s="55" t="str">
        <f t="shared" si="12"/>
        <v>00463</v>
      </c>
      <c r="F115" s="53" t="s">
        <v>2063</v>
      </c>
      <c r="G115" s="55" t="s">
        <v>14</v>
      </c>
      <c r="H115" s="60" t="s">
        <v>230</v>
      </c>
      <c r="I115" s="55">
        <v>303583998</v>
      </c>
      <c r="J115" s="55">
        <v>154654</v>
      </c>
      <c r="K115" s="55" t="s">
        <v>245</v>
      </c>
      <c r="L115" s="53" t="s">
        <v>2064</v>
      </c>
      <c r="M115" s="55" t="s">
        <v>49</v>
      </c>
      <c r="N115" s="52">
        <v>679000000</v>
      </c>
      <c r="O115" s="52">
        <v>679000000</v>
      </c>
      <c r="P115" s="52">
        <v>679000000</v>
      </c>
      <c r="Q115" s="57">
        <v>45856</v>
      </c>
      <c r="R115" s="57">
        <v>46392</v>
      </c>
      <c r="S115" s="56">
        <v>10</v>
      </c>
      <c r="T115" s="54">
        <v>0</v>
      </c>
      <c r="U115" s="52">
        <v>48849455.509999998</v>
      </c>
      <c r="V115" s="52">
        <v>48849455.509999998</v>
      </c>
      <c r="W115" s="52">
        <v>0</v>
      </c>
      <c r="X115" s="57"/>
      <c r="Y115" s="52">
        <v>0</v>
      </c>
      <c r="Z115" s="52">
        <v>0</v>
      </c>
      <c r="AA115" s="52">
        <v>1</v>
      </c>
      <c r="AB115" s="52">
        <v>0</v>
      </c>
      <c r="AC115" s="52">
        <v>361352.13</v>
      </c>
      <c r="AD115" s="52">
        <v>361352.13</v>
      </c>
      <c r="AE115" s="52">
        <v>0</v>
      </c>
      <c r="AF115" s="52">
        <v>0</v>
      </c>
      <c r="AG115" s="52">
        <v>0</v>
      </c>
      <c r="AH115" s="52">
        <v>0</v>
      </c>
      <c r="AI115" s="52">
        <v>0</v>
      </c>
      <c r="AJ115" s="52">
        <v>2</v>
      </c>
      <c r="AK115" s="52"/>
      <c r="AL115" s="52">
        <v>0</v>
      </c>
      <c r="AM115" s="52">
        <v>0</v>
      </c>
      <c r="AN115" s="61">
        <v>814800000</v>
      </c>
      <c r="AO115" s="52">
        <v>0</v>
      </c>
      <c r="AP115" s="52">
        <v>0</v>
      </c>
      <c r="AQ115" s="58">
        <v>0</v>
      </c>
      <c r="AR115" s="58">
        <v>0</v>
      </c>
      <c r="AS115" s="58">
        <v>0</v>
      </c>
      <c r="AT115" s="58">
        <v>0</v>
      </c>
      <c r="AU115" s="58">
        <v>0</v>
      </c>
      <c r="AV115" s="58">
        <v>0</v>
      </c>
      <c r="AW115" s="58">
        <v>0</v>
      </c>
      <c r="AX115" s="58">
        <v>0</v>
      </c>
    </row>
    <row r="116" spans="1:50" x14ac:dyDescent="0.25">
      <c r="A116" s="52">
        <f t="shared" si="14"/>
        <v>111</v>
      </c>
      <c r="B116" s="60" t="str">
        <f t="shared" si="13"/>
        <v>00463154514</v>
      </c>
      <c r="C116" s="67" t="s">
        <v>28</v>
      </c>
      <c r="D116" s="59" t="s">
        <v>2058</v>
      </c>
      <c r="E116" s="55" t="str">
        <f t="shared" si="12"/>
        <v>00463</v>
      </c>
      <c r="F116" s="53" t="s">
        <v>2063</v>
      </c>
      <c r="G116" s="55" t="s">
        <v>14</v>
      </c>
      <c r="H116" s="60" t="s">
        <v>2366</v>
      </c>
      <c r="I116" s="55">
        <v>302757890</v>
      </c>
      <c r="J116" s="55">
        <v>154514</v>
      </c>
      <c r="K116" s="55" t="s">
        <v>246</v>
      </c>
      <c r="L116" s="53" t="s">
        <v>2064</v>
      </c>
      <c r="M116" s="55" t="s">
        <v>49</v>
      </c>
      <c r="N116" s="52">
        <v>679000000</v>
      </c>
      <c r="O116" s="52">
        <v>679000000</v>
      </c>
      <c r="P116" s="52">
        <v>679000000</v>
      </c>
      <c r="Q116" s="57">
        <v>45855</v>
      </c>
      <c r="R116" s="57">
        <v>46392</v>
      </c>
      <c r="S116" s="56">
        <v>10</v>
      </c>
      <c r="T116" s="54">
        <v>0</v>
      </c>
      <c r="U116" s="52">
        <v>6161042.9699999997</v>
      </c>
      <c r="V116" s="52">
        <v>6161042.9699999997</v>
      </c>
      <c r="W116" s="52">
        <v>0</v>
      </c>
      <c r="X116" s="57"/>
      <c r="Y116" s="52">
        <v>0</v>
      </c>
      <c r="Z116" s="52">
        <v>0</v>
      </c>
      <c r="AA116" s="52">
        <v>1</v>
      </c>
      <c r="AB116" s="52">
        <v>0</v>
      </c>
      <c r="AC116" s="52">
        <v>52326.67</v>
      </c>
      <c r="AD116" s="52">
        <v>52326.67</v>
      </c>
      <c r="AE116" s="52">
        <v>0</v>
      </c>
      <c r="AF116" s="52">
        <v>0</v>
      </c>
      <c r="AG116" s="52">
        <v>0</v>
      </c>
      <c r="AH116" s="52">
        <v>0</v>
      </c>
      <c r="AI116" s="52">
        <v>0</v>
      </c>
      <c r="AJ116" s="52">
        <v>2</v>
      </c>
      <c r="AK116" s="52"/>
      <c r="AL116" s="52">
        <v>0</v>
      </c>
      <c r="AM116" s="52">
        <v>0</v>
      </c>
      <c r="AN116" s="61">
        <v>814800000</v>
      </c>
      <c r="AO116" s="52">
        <v>0</v>
      </c>
      <c r="AP116" s="52">
        <v>0</v>
      </c>
      <c r="AQ116" s="58">
        <v>0</v>
      </c>
      <c r="AR116" s="58">
        <v>0</v>
      </c>
      <c r="AS116" s="58">
        <v>0</v>
      </c>
      <c r="AT116" s="58">
        <v>0</v>
      </c>
      <c r="AU116" s="58">
        <v>0</v>
      </c>
      <c r="AV116" s="58">
        <v>0</v>
      </c>
      <c r="AW116" s="58">
        <v>0</v>
      </c>
      <c r="AX116" s="58">
        <v>0</v>
      </c>
    </row>
    <row r="117" spans="1:50" x14ac:dyDescent="0.25">
      <c r="A117" s="52">
        <f t="shared" si="14"/>
        <v>112</v>
      </c>
      <c r="B117" s="60" t="str">
        <f t="shared" si="13"/>
        <v>00468267176</v>
      </c>
      <c r="C117" s="67" t="s">
        <v>28</v>
      </c>
      <c r="D117" s="59" t="s">
        <v>2058</v>
      </c>
      <c r="E117" s="55" t="str">
        <f t="shared" ref="E117:E180" si="15">+G117</f>
        <v>00468</v>
      </c>
      <c r="F117" s="53" t="s">
        <v>2065</v>
      </c>
      <c r="G117" s="55" t="s">
        <v>22</v>
      </c>
      <c r="H117" s="60" t="s">
        <v>2370</v>
      </c>
      <c r="I117" s="55">
        <v>307846856</v>
      </c>
      <c r="J117" s="55">
        <v>267176</v>
      </c>
      <c r="K117" s="55" t="s">
        <v>247</v>
      </c>
      <c r="L117" s="53" t="s">
        <v>2066</v>
      </c>
      <c r="M117" s="55" t="s">
        <v>49</v>
      </c>
      <c r="N117" s="52">
        <v>95000000000</v>
      </c>
      <c r="O117" s="52">
        <v>95000000000</v>
      </c>
      <c r="P117" s="52">
        <v>77213052166</v>
      </c>
      <c r="Q117" s="57">
        <v>45910</v>
      </c>
      <c r="R117" s="57">
        <v>46262</v>
      </c>
      <c r="S117" s="56">
        <v>10</v>
      </c>
      <c r="T117" s="54">
        <v>12</v>
      </c>
      <c r="U117" s="52">
        <v>94991536519</v>
      </c>
      <c r="V117" s="52">
        <v>94991536519</v>
      </c>
      <c r="W117" s="52">
        <v>0</v>
      </c>
      <c r="X117" s="57"/>
      <c r="Y117" s="52">
        <v>0</v>
      </c>
      <c r="Z117" s="52">
        <v>0</v>
      </c>
      <c r="AA117" s="52">
        <v>1</v>
      </c>
      <c r="AB117" s="52">
        <v>0</v>
      </c>
      <c r="AC117" s="52">
        <v>104100313.98999999</v>
      </c>
      <c r="AD117" s="52">
        <v>104100313.98999999</v>
      </c>
      <c r="AE117" s="52">
        <v>0</v>
      </c>
      <c r="AF117" s="52">
        <v>0</v>
      </c>
      <c r="AG117" s="52">
        <v>0</v>
      </c>
      <c r="AH117" s="52">
        <v>0</v>
      </c>
      <c r="AI117" s="52">
        <v>0</v>
      </c>
      <c r="AJ117" s="52">
        <v>2</v>
      </c>
      <c r="AK117" s="52"/>
      <c r="AL117" s="52">
        <v>0</v>
      </c>
      <c r="AM117" s="52">
        <v>0</v>
      </c>
      <c r="AN117" s="61">
        <v>114000000000</v>
      </c>
      <c r="AO117" s="61">
        <v>95000000000</v>
      </c>
      <c r="AP117" s="61">
        <v>77213052166</v>
      </c>
      <c r="AQ117" s="58">
        <v>0</v>
      </c>
      <c r="AR117" s="58">
        <v>0</v>
      </c>
      <c r="AS117" s="58">
        <v>0</v>
      </c>
      <c r="AT117" s="58">
        <v>0</v>
      </c>
      <c r="AU117" s="58">
        <v>0</v>
      </c>
      <c r="AV117" s="58">
        <v>0</v>
      </c>
      <c r="AW117" s="58">
        <v>0</v>
      </c>
      <c r="AX117" s="58">
        <v>0</v>
      </c>
    </row>
    <row r="118" spans="1:50" x14ac:dyDescent="0.25">
      <c r="A118" s="52">
        <f t="shared" si="14"/>
        <v>113</v>
      </c>
      <c r="B118" s="60" t="str">
        <f t="shared" si="13"/>
        <v>0046854486</v>
      </c>
      <c r="C118" s="67" t="s">
        <v>28</v>
      </c>
      <c r="D118" s="59" t="s">
        <v>2058</v>
      </c>
      <c r="E118" s="55" t="str">
        <f t="shared" si="15"/>
        <v>00468</v>
      </c>
      <c r="F118" s="53" t="s">
        <v>2065</v>
      </c>
      <c r="G118" s="55" t="s">
        <v>22</v>
      </c>
      <c r="H118" s="60" t="s">
        <v>2371</v>
      </c>
      <c r="I118" s="55">
        <v>307387028</v>
      </c>
      <c r="J118" s="55">
        <v>54486</v>
      </c>
      <c r="K118" s="55" t="s">
        <v>248</v>
      </c>
      <c r="L118" s="53" t="s">
        <v>2066</v>
      </c>
      <c r="M118" s="55" t="s">
        <v>49</v>
      </c>
      <c r="N118" s="52">
        <v>5000000000</v>
      </c>
      <c r="O118" s="52">
        <v>5000000000</v>
      </c>
      <c r="P118" s="52">
        <v>5000000000</v>
      </c>
      <c r="Q118" s="57">
        <v>44161</v>
      </c>
      <c r="R118" s="57">
        <v>46122</v>
      </c>
      <c r="S118" s="56">
        <v>0</v>
      </c>
      <c r="T118" s="54">
        <v>3</v>
      </c>
      <c r="U118" s="52">
        <v>5000000000</v>
      </c>
      <c r="V118" s="52">
        <v>5000000000</v>
      </c>
      <c r="W118" s="52">
        <v>0</v>
      </c>
      <c r="X118" s="57"/>
      <c r="Y118" s="52">
        <v>0</v>
      </c>
      <c r="Z118" s="52">
        <v>0</v>
      </c>
      <c r="AA118" s="52">
        <v>1</v>
      </c>
      <c r="AB118" s="52">
        <v>0</v>
      </c>
      <c r="AC118" s="52">
        <v>483711340.06999999</v>
      </c>
      <c r="AD118" s="52">
        <v>0</v>
      </c>
      <c r="AE118" s="52">
        <v>0</v>
      </c>
      <c r="AF118" s="52">
        <v>483711340.06999999</v>
      </c>
      <c r="AG118" s="52">
        <v>0</v>
      </c>
      <c r="AH118" s="52">
        <v>0</v>
      </c>
      <c r="AI118" s="52">
        <v>0</v>
      </c>
      <c r="AJ118" s="52">
        <v>2</v>
      </c>
      <c r="AK118" s="52"/>
      <c r="AL118" s="52">
        <v>0</v>
      </c>
      <c r="AM118" s="52">
        <v>0</v>
      </c>
      <c r="AN118" s="52">
        <v>6250000000</v>
      </c>
      <c r="AO118" s="61">
        <v>701000000</v>
      </c>
      <c r="AP118" s="61">
        <v>701000000</v>
      </c>
      <c r="AQ118" s="58">
        <v>0</v>
      </c>
      <c r="AR118" s="58">
        <v>0</v>
      </c>
      <c r="AS118" s="58">
        <v>0</v>
      </c>
      <c r="AT118" s="58">
        <v>0</v>
      </c>
      <c r="AU118" s="58">
        <v>0</v>
      </c>
      <c r="AV118" s="58">
        <v>0</v>
      </c>
      <c r="AW118" s="58">
        <v>0</v>
      </c>
      <c r="AX118" s="58">
        <v>0</v>
      </c>
    </row>
    <row r="119" spans="1:50" x14ac:dyDescent="0.25">
      <c r="A119" s="52">
        <f t="shared" si="14"/>
        <v>114</v>
      </c>
      <c r="B119" s="60" t="str">
        <f t="shared" si="13"/>
        <v>00468203086</v>
      </c>
      <c r="C119" s="67" t="s">
        <v>28</v>
      </c>
      <c r="D119" s="59" t="s">
        <v>2058</v>
      </c>
      <c r="E119" s="55" t="str">
        <f t="shared" si="15"/>
        <v>00468</v>
      </c>
      <c r="F119" s="53" t="s">
        <v>2065</v>
      </c>
      <c r="G119" s="55" t="s">
        <v>22</v>
      </c>
      <c r="H119" s="60" t="s">
        <v>249</v>
      </c>
      <c r="I119" s="55">
        <v>311371539</v>
      </c>
      <c r="J119" s="55">
        <v>203086</v>
      </c>
      <c r="K119" s="55" t="s">
        <v>250</v>
      </c>
      <c r="L119" s="53" t="s">
        <v>2066</v>
      </c>
      <c r="M119" s="55" t="s">
        <v>49</v>
      </c>
      <c r="N119" s="52">
        <v>1982600000</v>
      </c>
      <c r="O119" s="52">
        <v>1982600000</v>
      </c>
      <c r="P119" s="52">
        <v>1982600000</v>
      </c>
      <c r="Q119" s="57">
        <v>45446</v>
      </c>
      <c r="R119" s="57">
        <v>46741</v>
      </c>
      <c r="S119" s="56">
        <v>5</v>
      </c>
      <c r="T119" s="54">
        <v>12</v>
      </c>
      <c r="U119" s="52">
        <v>1982600000</v>
      </c>
      <c r="V119" s="52">
        <v>1982600000</v>
      </c>
      <c r="W119" s="52">
        <v>0</v>
      </c>
      <c r="X119" s="57"/>
      <c r="Y119" s="52">
        <v>0</v>
      </c>
      <c r="Z119" s="52">
        <v>0</v>
      </c>
      <c r="AA119" s="52">
        <v>3</v>
      </c>
      <c r="AB119" s="52">
        <v>495650000</v>
      </c>
      <c r="AC119" s="52">
        <v>103907205.48</v>
      </c>
      <c r="AD119" s="52">
        <v>7332904.1100000003</v>
      </c>
      <c r="AE119" s="52">
        <v>0</v>
      </c>
      <c r="AF119" s="52">
        <v>88155041.090000004</v>
      </c>
      <c r="AG119" s="52">
        <v>8419260.2799999993</v>
      </c>
      <c r="AH119" s="52">
        <v>0</v>
      </c>
      <c r="AI119" s="52">
        <v>0</v>
      </c>
      <c r="AJ119" s="52">
        <v>2</v>
      </c>
      <c r="AK119" s="52"/>
      <c r="AL119" s="52">
        <v>0</v>
      </c>
      <c r="AM119" s="52">
        <v>0</v>
      </c>
      <c r="AN119" s="52">
        <v>4361720000</v>
      </c>
      <c r="AO119" s="61">
        <v>380000000</v>
      </c>
      <c r="AP119" s="61">
        <v>87400000</v>
      </c>
      <c r="AQ119" s="58">
        <v>0</v>
      </c>
      <c r="AR119" s="58">
        <v>0</v>
      </c>
      <c r="AS119" s="58">
        <v>0</v>
      </c>
      <c r="AT119" s="58">
        <v>0</v>
      </c>
      <c r="AU119" s="58">
        <v>0</v>
      </c>
      <c r="AV119" s="58">
        <v>0</v>
      </c>
      <c r="AW119" s="58">
        <v>0</v>
      </c>
      <c r="AX119" s="58">
        <v>0</v>
      </c>
    </row>
    <row r="120" spans="1:50" x14ac:dyDescent="0.25">
      <c r="A120" s="52">
        <f t="shared" si="14"/>
        <v>115</v>
      </c>
      <c r="B120" s="60" t="str">
        <f t="shared" si="13"/>
        <v>0046852738</v>
      </c>
      <c r="C120" s="67" t="s">
        <v>28</v>
      </c>
      <c r="D120" s="59" t="s">
        <v>2058</v>
      </c>
      <c r="E120" s="55" t="str">
        <f t="shared" si="15"/>
        <v>00468</v>
      </c>
      <c r="F120" s="53" t="s">
        <v>2065</v>
      </c>
      <c r="G120" s="55" t="s">
        <v>22</v>
      </c>
      <c r="H120" s="60" t="s">
        <v>2372</v>
      </c>
      <c r="I120" s="55">
        <v>307653456</v>
      </c>
      <c r="J120" s="55">
        <v>52738</v>
      </c>
      <c r="K120" s="55" t="s">
        <v>251</v>
      </c>
      <c r="L120" s="53" t="s">
        <v>2066</v>
      </c>
      <c r="M120" s="55" t="s">
        <v>49</v>
      </c>
      <c r="N120" s="52">
        <v>4086038000</v>
      </c>
      <c r="O120" s="52">
        <v>4086038000</v>
      </c>
      <c r="P120" s="52">
        <v>4086038000</v>
      </c>
      <c r="Q120" s="57">
        <v>44162</v>
      </c>
      <c r="R120" s="57">
        <v>46283</v>
      </c>
      <c r="S120" s="56">
        <v>5</v>
      </c>
      <c r="T120" s="54">
        <v>12</v>
      </c>
      <c r="U120" s="52">
        <v>1673914635.3199999</v>
      </c>
      <c r="V120" s="52">
        <v>1673914635.3199999</v>
      </c>
      <c r="W120" s="52">
        <v>0</v>
      </c>
      <c r="X120" s="57"/>
      <c r="Y120" s="52">
        <v>0</v>
      </c>
      <c r="Z120" s="52">
        <v>0</v>
      </c>
      <c r="AA120" s="52">
        <v>1</v>
      </c>
      <c r="AB120" s="52">
        <v>0</v>
      </c>
      <c r="AC120" s="52">
        <v>20576662.510000002</v>
      </c>
      <c r="AD120" s="52">
        <v>20576662.510000002</v>
      </c>
      <c r="AE120" s="52">
        <v>0</v>
      </c>
      <c r="AF120" s="52">
        <v>0</v>
      </c>
      <c r="AG120" s="52">
        <v>0</v>
      </c>
      <c r="AH120" s="52">
        <v>0</v>
      </c>
      <c r="AI120" s="52">
        <v>0</v>
      </c>
      <c r="AJ120" s="52">
        <v>2</v>
      </c>
      <c r="AK120" s="52"/>
      <c r="AL120" s="52">
        <v>0</v>
      </c>
      <c r="AM120" s="52">
        <v>0</v>
      </c>
      <c r="AN120" s="52">
        <v>5689701200</v>
      </c>
      <c r="AO120" s="61">
        <v>5270000000</v>
      </c>
      <c r="AP120" s="61">
        <v>3952500000</v>
      </c>
      <c r="AQ120" s="58">
        <v>0</v>
      </c>
      <c r="AR120" s="58">
        <v>0</v>
      </c>
      <c r="AS120" s="58">
        <v>0</v>
      </c>
      <c r="AT120" s="58">
        <v>0</v>
      </c>
      <c r="AU120" s="58">
        <v>0</v>
      </c>
      <c r="AV120" s="58">
        <v>0</v>
      </c>
      <c r="AW120" s="58">
        <v>0</v>
      </c>
      <c r="AX120" s="58">
        <v>0</v>
      </c>
    </row>
    <row r="121" spans="1:50" x14ac:dyDescent="0.25">
      <c r="A121" s="52">
        <f t="shared" si="14"/>
        <v>116</v>
      </c>
      <c r="B121" s="60" t="str">
        <f t="shared" si="13"/>
        <v>00468116422</v>
      </c>
      <c r="C121" s="67" t="s">
        <v>28</v>
      </c>
      <c r="D121" s="59" t="s">
        <v>2058</v>
      </c>
      <c r="E121" s="55" t="str">
        <f t="shared" si="15"/>
        <v>00468</v>
      </c>
      <c r="F121" s="53" t="s">
        <v>2065</v>
      </c>
      <c r="G121" s="55" t="s">
        <v>22</v>
      </c>
      <c r="H121" s="60" t="s">
        <v>2373</v>
      </c>
      <c r="I121" s="55">
        <v>200556251</v>
      </c>
      <c r="J121" s="55">
        <v>116422</v>
      </c>
      <c r="K121" s="55" t="s">
        <v>252</v>
      </c>
      <c r="L121" s="53" t="s">
        <v>2066</v>
      </c>
      <c r="M121" s="55" t="s">
        <v>49</v>
      </c>
      <c r="N121" s="52">
        <v>1500000000</v>
      </c>
      <c r="O121" s="52">
        <v>1500000000</v>
      </c>
      <c r="P121" s="52">
        <v>1500000000</v>
      </c>
      <c r="Q121" s="57">
        <v>44861</v>
      </c>
      <c r="R121" s="57">
        <v>46686</v>
      </c>
      <c r="S121" s="56">
        <v>14</v>
      </c>
      <c r="T121" s="54">
        <v>24</v>
      </c>
      <c r="U121" s="52">
        <v>1430706143.6800001</v>
      </c>
      <c r="V121" s="52">
        <v>1430706143.6800001</v>
      </c>
      <c r="W121" s="52">
        <v>0</v>
      </c>
      <c r="X121" s="57"/>
      <c r="Y121" s="52">
        <v>0</v>
      </c>
      <c r="Z121" s="52">
        <v>0</v>
      </c>
      <c r="AA121" s="52">
        <v>1</v>
      </c>
      <c r="AB121" s="52">
        <v>0</v>
      </c>
      <c r="AC121" s="52">
        <v>41121268.979999997</v>
      </c>
      <c r="AD121" s="52">
        <v>41121268.979999997</v>
      </c>
      <c r="AE121" s="52">
        <v>0</v>
      </c>
      <c r="AF121" s="52">
        <v>0</v>
      </c>
      <c r="AG121" s="52">
        <v>0</v>
      </c>
      <c r="AH121" s="52">
        <v>0</v>
      </c>
      <c r="AI121" s="52">
        <v>0</v>
      </c>
      <c r="AJ121" s="52">
        <v>2</v>
      </c>
      <c r="AK121" s="52"/>
      <c r="AL121" s="52">
        <v>23939112474</v>
      </c>
      <c r="AM121" s="52">
        <v>23930163214</v>
      </c>
      <c r="AN121" s="52">
        <v>1875000000</v>
      </c>
      <c r="AO121" s="52">
        <v>529966001</v>
      </c>
      <c r="AP121" s="52">
        <v>0</v>
      </c>
      <c r="AQ121" s="58">
        <v>0</v>
      </c>
      <c r="AR121" s="58">
        <v>0</v>
      </c>
      <c r="AS121" s="58">
        <v>0</v>
      </c>
      <c r="AT121" s="58">
        <v>0</v>
      </c>
      <c r="AU121" s="58">
        <v>0</v>
      </c>
      <c r="AV121" s="58">
        <v>0</v>
      </c>
      <c r="AW121" s="58">
        <v>0</v>
      </c>
      <c r="AX121" s="58">
        <v>0</v>
      </c>
    </row>
    <row r="122" spans="1:50" x14ac:dyDescent="0.25">
      <c r="A122" s="52">
        <f t="shared" si="14"/>
        <v>117</v>
      </c>
      <c r="B122" s="60" t="str">
        <f t="shared" si="13"/>
        <v>00468105350</v>
      </c>
      <c r="C122" s="67" t="s">
        <v>28</v>
      </c>
      <c r="D122" s="59" t="s">
        <v>2058</v>
      </c>
      <c r="E122" s="55" t="str">
        <f t="shared" si="15"/>
        <v>00468</v>
      </c>
      <c r="F122" s="53" t="s">
        <v>2065</v>
      </c>
      <c r="G122" s="55" t="s">
        <v>22</v>
      </c>
      <c r="H122" s="60" t="s">
        <v>2374</v>
      </c>
      <c r="I122" s="55">
        <v>304286210</v>
      </c>
      <c r="J122" s="55">
        <v>105350</v>
      </c>
      <c r="K122" s="55" t="s">
        <v>253</v>
      </c>
      <c r="L122" s="53" t="s">
        <v>2066</v>
      </c>
      <c r="M122" s="55" t="s">
        <v>49</v>
      </c>
      <c r="N122" s="52">
        <v>2231191000</v>
      </c>
      <c r="O122" s="52">
        <v>2231191000</v>
      </c>
      <c r="P122" s="52">
        <v>2231191000</v>
      </c>
      <c r="Q122" s="57">
        <v>44853</v>
      </c>
      <c r="R122" s="57">
        <v>46626</v>
      </c>
      <c r="S122" s="56">
        <v>5</v>
      </c>
      <c r="T122" s="54">
        <v>12</v>
      </c>
      <c r="U122" s="52">
        <v>1347134188.8099999</v>
      </c>
      <c r="V122" s="52">
        <v>1347134188.8099999</v>
      </c>
      <c r="W122" s="52">
        <v>0</v>
      </c>
      <c r="X122" s="57"/>
      <c r="Y122" s="52">
        <v>0</v>
      </c>
      <c r="Z122" s="52">
        <v>0</v>
      </c>
      <c r="AA122" s="52">
        <v>2</v>
      </c>
      <c r="AB122" s="52">
        <v>134713418.88999999</v>
      </c>
      <c r="AC122" s="52">
        <v>20338976.870000001</v>
      </c>
      <c r="AD122" s="52">
        <v>20301665.850000001</v>
      </c>
      <c r="AE122" s="52">
        <v>0</v>
      </c>
      <c r="AF122" s="52">
        <v>37311.019999999997</v>
      </c>
      <c r="AG122" s="52">
        <v>0</v>
      </c>
      <c r="AH122" s="52">
        <v>0</v>
      </c>
      <c r="AI122" s="52">
        <v>0</v>
      </c>
      <c r="AJ122" s="52">
        <v>2</v>
      </c>
      <c r="AK122" s="52"/>
      <c r="AL122" s="52">
        <v>0</v>
      </c>
      <c r="AM122" s="52">
        <v>0</v>
      </c>
      <c r="AN122" s="52">
        <v>4352369000</v>
      </c>
      <c r="AO122" s="61">
        <v>2231191000</v>
      </c>
      <c r="AP122" s="61">
        <v>2231191000</v>
      </c>
      <c r="AQ122" s="58">
        <v>0</v>
      </c>
      <c r="AR122" s="58">
        <v>0</v>
      </c>
      <c r="AS122" s="58">
        <v>0</v>
      </c>
      <c r="AT122" s="58">
        <v>0</v>
      </c>
      <c r="AU122" s="58">
        <v>0</v>
      </c>
      <c r="AV122" s="58">
        <v>0</v>
      </c>
      <c r="AW122" s="58">
        <v>0</v>
      </c>
      <c r="AX122" s="58">
        <v>0</v>
      </c>
    </row>
    <row r="123" spans="1:50" x14ac:dyDescent="0.25">
      <c r="A123" s="52">
        <f t="shared" si="14"/>
        <v>118</v>
      </c>
      <c r="B123" s="60" t="str">
        <f t="shared" si="13"/>
        <v>0046854733</v>
      </c>
      <c r="C123" s="67" t="s">
        <v>28</v>
      </c>
      <c r="D123" s="59" t="s">
        <v>2058</v>
      </c>
      <c r="E123" s="55" t="str">
        <f t="shared" si="15"/>
        <v>00468</v>
      </c>
      <c r="F123" s="53" t="s">
        <v>2065</v>
      </c>
      <c r="G123" s="55" t="s">
        <v>22</v>
      </c>
      <c r="H123" s="60" t="s">
        <v>2375</v>
      </c>
      <c r="I123" s="55">
        <v>301849491</v>
      </c>
      <c r="J123" s="55">
        <v>54733</v>
      </c>
      <c r="K123" s="55" t="s">
        <v>254</v>
      </c>
      <c r="L123" s="53" t="s">
        <v>2066</v>
      </c>
      <c r="M123" s="55" t="s">
        <v>49</v>
      </c>
      <c r="N123" s="52">
        <v>1325350000</v>
      </c>
      <c r="O123" s="52">
        <v>1325350000</v>
      </c>
      <c r="P123" s="52">
        <v>1306082750</v>
      </c>
      <c r="Q123" s="57">
        <v>44176</v>
      </c>
      <c r="R123" s="57">
        <v>47827</v>
      </c>
      <c r="S123" s="56">
        <v>14</v>
      </c>
      <c r="T123" s="54">
        <v>24</v>
      </c>
      <c r="U123" s="52">
        <v>1306082750</v>
      </c>
      <c r="V123" s="52">
        <v>1306082750</v>
      </c>
      <c r="W123" s="52">
        <v>0</v>
      </c>
      <c r="X123" s="57"/>
      <c r="Y123" s="52">
        <v>0</v>
      </c>
      <c r="Z123" s="52">
        <v>0</v>
      </c>
      <c r="AA123" s="52">
        <v>1</v>
      </c>
      <c r="AB123" s="52">
        <v>0</v>
      </c>
      <c r="AC123" s="52">
        <v>52019319.869999997</v>
      </c>
      <c r="AD123" s="52">
        <v>13526007.66</v>
      </c>
      <c r="AE123" s="52">
        <v>0</v>
      </c>
      <c r="AF123" s="52">
        <v>32982716.5</v>
      </c>
      <c r="AG123" s="52">
        <v>5510595.71</v>
      </c>
      <c r="AH123" s="52">
        <v>0</v>
      </c>
      <c r="AI123" s="52">
        <v>0</v>
      </c>
      <c r="AJ123" s="52">
        <v>2</v>
      </c>
      <c r="AK123" s="52"/>
      <c r="AL123" s="52">
        <v>0</v>
      </c>
      <c r="AM123" s="52">
        <v>0</v>
      </c>
      <c r="AN123" s="52">
        <v>1656687500</v>
      </c>
      <c r="AO123" s="61">
        <v>273200000</v>
      </c>
      <c r="AP123" s="61">
        <v>62836000</v>
      </c>
      <c r="AQ123" s="58">
        <v>0</v>
      </c>
      <c r="AR123" s="58">
        <v>0</v>
      </c>
      <c r="AS123" s="58">
        <v>0</v>
      </c>
      <c r="AT123" s="58">
        <v>0</v>
      </c>
      <c r="AU123" s="58">
        <v>0</v>
      </c>
      <c r="AV123" s="58">
        <v>0</v>
      </c>
      <c r="AW123" s="58">
        <v>0</v>
      </c>
      <c r="AX123" s="58">
        <v>0</v>
      </c>
    </row>
    <row r="124" spans="1:50" x14ac:dyDescent="0.25">
      <c r="A124" s="52">
        <f t="shared" si="14"/>
        <v>119</v>
      </c>
      <c r="B124" s="60" t="str">
        <f t="shared" si="13"/>
        <v>0046854732</v>
      </c>
      <c r="C124" s="67" t="s">
        <v>28</v>
      </c>
      <c r="D124" s="59" t="s">
        <v>2058</v>
      </c>
      <c r="E124" s="55" t="str">
        <f t="shared" si="15"/>
        <v>00468</v>
      </c>
      <c r="F124" s="53" t="s">
        <v>2065</v>
      </c>
      <c r="G124" s="55" t="s">
        <v>22</v>
      </c>
      <c r="H124" s="60" t="s">
        <v>2376</v>
      </c>
      <c r="I124" s="55">
        <v>303536818</v>
      </c>
      <c r="J124" s="55">
        <v>54732</v>
      </c>
      <c r="K124" s="55" t="s">
        <v>255</v>
      </c>
      <c r="L124" s="53" t="s">
        <v>2066</v>
      </c>
      <c r="M124" s="55" t="s">
        <v>49</v>
      </c>
      <c r="N124" s="52">
        <v>1325350000</v>
      </c>
      <c r="O124" s="52">
        <v>1325350000</v>
      </c>
      <c r="P124" s="52">
        <v>1306082750</v>
      </c>
      <c r="Q124" s="57">
        <v>44176</v>
      </c>
      <c r="R124" s="57">
        <v>47827</v>
      </c>
      <c r="S124" s="56">
        <v>14</v>
      </c>
      <c r="T124" s="54">
        <v>24</v>
      </c>
      <c r="U124" s="52">
        <v>1306082750</v>
      </c>
      <c r="V124" s="52">
        <v>1306082750</v>
      </c>
      <c r="W124" s="52">
        <v>0</v>
      </c>
      <c r="X124" s="57"/>
      <c r="Y124" s="52">
        <v>0</v>
      </c>
      <c r="Z124" s="52">
        <v>0</v>
      </c>
      <c r="AA124" s="52">
        <v>1</v>
      </c>
      <c r="AB124" s="52">
        <v>0</v>
      </c>
      <c r="AC124" s="52">
        <v>51231096.57</v>
      </c>
      <c r="AD124" s="52">
        <v>13526007.66</v>
      </c>
      <c r="AE124" s="52">
        <v>0</v>
      </c>
      <c r="AF124" s="52">
        <v>32194493.199999999</v>
      </c>
      <c r="AG124" s="52">
        <v>5510595.71</v>
      </c>
      <c r="AH124" s="52">
        <v>0</v>
      </c>
      <c r="AI124" s="52">
        <v>0</v>
      </c>
      <c r="AJ124" s="52">
        <v>2</v>
      </c>
      <c r="AK124" s="52"/>
      <c r="AL124" s="52">
        <v>0</v>
      </c>
      <c r="AM124" s="52">
        <v>0</v>
      </c>
      <c r="AN124" s="52">
        <v>1656687500</v>
      </c>
      <c r="AO124" s="61">
        <v>3443000000</v>
      </c>
      <c r="AP124" s="61">
        <v>791890000</v>
      </c>
      <c r="AQ124" s="58">
        <v>0</v>
      </c>
      <c r="AR124" s="58">
        <v>0</v>
      </c>
      <c r="AS124" s="58">
        <v>0</v>
      </c>
      <c r="AT124" s="58">
        <v>0</v>
      </c>
      <c r="AU124" s="58">
        <v>0</v>
      </c>
      <c r="AV124" s="58">
        <v>0</v>
      </c>
      <c r="AW124" s="58">
        <v>0</v>
      </c>
      <c r="AX124" s="58">
        <v>0</v>
      </c>
    </row>
    <row r="125" spans="1:50" x14ac:dyDescent="0.25">
      <c r="A125" s="52">
        <f t="shared" si="14"/>
        <v>120</v>
      </c>
      <c r="B125" s="60" t="str">
        <f t="shared" ref="B125:B188" si="16">+E125&amp;J125</f>
        <v>00468261837</v>
      </c>
      <c r="C125" s="67" t="s">
        <v>28</v>
      </c>
      <c r="D125" s="59" t="s">
        <v>2058</v>
      </c>
      <c r="E125" s="55" t="str">
        <f t="shared" si="15"/>
        <v>00468</v>
      </c>
      <c r="F125" s="53" t="s">
        <v>2065</v>
      </c>
      <c r="G125" s="55" t="s">
        <v>22</v>
      </c>
      <c r="H125" s="60" t="s">
        <v>256</v>
      </c>
      <c r="I125" s="55">
        <v>305390651</v>
      </c>
      <c r="J125" s="55">
        <v>261837</v>
      </c>
      <c r="K125" s="55" t="s">
        <v>257</v>
      </c>
      <c r="L125" s="53" t="s">
        <v>2066</v>
      </c>
      <c r="M125" s="55" t="s">
        <v>49</v>
      </c>
      <c r="N125" s="52">
        <v>1063829788</v>
      </c>
      <c r="O125" s="52">
        <v>1063829788</v>
      </c>
      <c r="P125" s="52">
        <v>1063829788</v>
      </c>
      <c r="Q125" s="57">
        <v>45874</v>
      </c>
      <c r="R125" s="57">
        <v>47699</v>
      </c>
      <c r="S125" s="56">
        <v>24</v>
      </c>
      <c r="T125" s="54">
        <v>12</v>
      </c>
      <c r="U125" s="52">
        <v>1063829788</v>
      </c>
      <c r="V125" s="52">
        <v>1063829788</v>
      </c>
      <c r="W125" s="52">
        <v>0</v>
      </c>
      <c r="X125" s="57"/>
      <c r="Y125" s="52">
        <v>0</v>
      </c>
      <c r="Z125" s="52">
        <v>0</v>
      </c>
      <c r="AA125" s="52">
        <v>1</v>
      </c>
      <c r="AB125" s="52">
        <v>0</v>
      </c>
      <c r="AC125" s="52">
        <v>58973136.539999992</v>
      </c>
      <c r="AD125" s="52">
        <v>18886621.989999998</v>
      </c>
      <c r="AE125" s="52">
        <v>0</v>
      </c>
      <c r="AF125" s="52">
        <v>40086514.549999997</v>
      </c>
      <c r="AG125" s="52">
        <v>0</v>
      </c>
      <c r="AH125" s="52">
        <v>0</v>
      </c>
      <c r="AI125" s="52">
        <v>0</v>
      </c>
      <c r="AJ125" s="52">
        <v>2</v>
      </c>
      <c r="AK125" s="52"/>
      <c r="AL125" s="52">
        <v>0</v>
      </c>
      <c r="AM125" s="52">
        <v>0</v>
      </c>
      <c r="AN125" s="52">
        <v>12765957456</v>
      </c>
      <c r="AO125" s="61">
        <v>1063829788</v>
      </c>
      <c r="AP125" s="61">
        <v>1063829788</v>
      </c>
      <c r="AQ125" s="58">
        <v>0</v>
      </c>
      <c r="AR125" s="58">
        <v>0</v>
      </c>
      <c r="AS125" s="58">
        <v>0</v>
      </c>
      <c r="AT125" s="58">
        <v>0</v>
      </c>
      <c r="AU125" s="58">
        <v>0</v>
      </c>
      <c r="AV125" s="58">
        <v>0</v>
      </c>
      <c r="AW125" s="58">
        <v>0</v>
      </c>
      <c r="AX125" s="58">
        <v>0</v>
      </c>
    </row>
    <row r="126" spans="1:50" x14ac:dyDescent="0.25">
      <c r="A126" s="52">
        <f t="shared" si="14"/>
        <v>121</v>
      </c>
      <c r="B126" s="60" t="str">
        <f t="shared" si="16"/>
        <v>00468197107</v>
      </c>
      <c r="C126" s="67" t="s">
        <v>28</v>
      </c>
      <c r="D126" s="59" t="s">
        <v>2058</v>
      </c>
      <c r="E126" s="55" t="str">
        <f t="shared" si="15"/>
        <v>00468</v>
      </c>
      <c r="F126" s="53" t="s">
        <v>2065</v>
      </c>
      <c r="G126" s="55" t="s">
        <v>22</v>
      </c>
      <c r="H126" s="60" t="s">
        <v>258</v>
      </c>
      <c r="I126" s="55">
        <v>305593350</v>
      </c>
      <c r="J126" s="55">
        <v>197107</v>
      </c>
      <c r="K126" s="55" t="s">
        <v>259</v>
      </c>
      <c r="L126" s="53" t="s">
        <v>2066</v>
      </c>
      <c r="M126" s="55" t="s">
        <v>49</v>
      </c>
      <c r="N126" s="52">
        <v>1063829788</v>
      </c>
      <c r="O126" s="52">
        <v>1063829788</v>
      </c>
      <c r="P126" s="52">
        <v>1063829787.28</v>
      </c>
      <c r="Q126" s="57">
        <v>45395</v>
      </c>
      <c r="R126" s="57">
        <v>47220</v>
      </c>
      <c r="S126" s="56">
        <v>14</v>
      </c>
      <c r="T126" s="54">
        <v>24</v>
      </c>
      <c r="U126" s="52">
        <v>1063829787.28</v>
      </c>
      <c r="V126" s="52">
        <v>1063829787.28</v>
      </c>
      <c r="W126" s="52">
        <v>0</v>
      </c>
      <c r="X126" s="57"/>
      <c r="Y126" s="52">
        <v>0</v>
      </c>
      <c r="Z126" s="52">
        <v>0</v>
      </c>
      <c r="AA126" s="52">
        <v>1</v>
      </c>
      <c r="AB126" s="52">
        <v>0</v>
      </c>
      <c r="AC126" s="52">
        <v>19507272.539999999</v>
      </c>
      <c r="AD126" s="52">
        <v>7752841.7400000002</v>
      </c>
      <c r="AE126" s="52">
        <v>0</v>
      </c>
      <c r="AF126" s="52">
        <v>6857899.1799999997</v>
      </c>
      <c r="AG126" s="52">
        <v>4896531.62</v>
      </c>
      <c r="AH126" s="52">
        <v>0</v>
      </c>
      <c r="AI126" s="52">
        <v>0</v>
      </c>
      <c r="AJ126" s="52">
        <v>2</v>
      </c>
      <c r="AK126" s="52"/>
      <c r="AL126" s="52">
        <v>0</v>
      </c>
      <c r="AM126" s="52">
        <v>0</v>
      </c>
      <c r="AN126" s="52">
        <v>12765957456</v>
      </c>
      <c r="AO126" s="61">
        <v>95200000</v>
      </c>
      <c r="AP126" s="61">
        <v>2856000000</v>
      </c>
      <c r="AQ126" s="58">
        <v>0</v>
      </c>
      <c r="AR126" s="58">
        <v>0</v>
      </c>
      <c r="AS126" s="58">
        <v>0</v>
      </c>
      <c r="AT126" s="58">
        <v>0</v>
      </c>
      <c r="AU126" s="58">
        <v>0</v>
      </c>
      <c r="AV126" s="58">
        <v>0</v>
      </c>
      <c r="AW126" s="58">
        <v>0</v>
      </c>
      <c r="AX126" s="58">
        <v>0</v>
      </c>
    </row>
    <row r="127" spans="1:50" x14ac:dyDescent="0.25">
      <c r="A127" s="52">
        <f t="shared" si="14"/>
        <v>122</v>
      </c>
      <c r="B127" s="60" t="str">
        <f t="shared" si="16"/>
        <v>00468197463</v>
      </c>
      <c r="C127" s="67" t="s">
        <v>28</v>
      </c>
      <c r="D127" s="59" t="s">
        <v>2058</v>
      </c>
      <c r="E127" s="55" t="str">
        <f t="shared" si="15"/>
        <v>00468</v>
      </c>
      <c r="F127" s="53" t="s">
        <v>2065</v>
      </c>
      <c r="G127" s="55" t="s">
        <v>22</v>
      </c>
      <c r="H127" s="60" t="s">
        <v>2377</v>
      </c>
      <c r="I127" s="55">
        <v>304459120</v>
      </c>
      <c r="J127" s="55">
        <v>197463</v>
      </c>
      <c r="K127" s="55" t="s">
        <v>260</v>
      </c>
      <c r="L127" s="53" t="s">
        <v>2066</v>
      </c>
      <c r="M127" s="55" t="s">
        <v>49</v>
      </c>
      <c r="N127" s="52">
        <v>1196808511</v>
      </c>
      <c r="O127" s="52">
        <v>1196808511</v>
      </c>
      <c r="P127" s="52">
        <v>1196808510.6600001</v>
      </c>
      <c r="Q127" s="57">
        <v>45398</v>
      </c>
      <c r="R127" s="57">
        <v>47223</v>
      </c>
      <c r="S127" s="56">
        <v>14</v>
      </c>
      <c r="T127" s="54">
        <v>24</v>
      </c>
      <c r="U127" s="52">
        <v>1007368880.92</v>
      </c>
      <c r="V127" s="52">
        <v>1007368880.92</v>
      </c>
      <c r="W127" s="52">
        <v>0</v>
      </c>
      <c r="X127" s="57"/>
      <c r="Y127" s="52">
        <v>0</v>
      </c>
      <c r="Z127" s="52">
        <v>0</v>
      </c>
      <c r="AA127" s="52">
        <v>1</v>
      </c>
      <c r="AB127" s="52">
        <v>0</v>
      </c>
      <c r="AC127" s="52">
        <v>66458747</v>
      </c>
      <c r="AD127" s="52">
        <v>6182209.0300000003</v>
      </c>
      <c r="AE127" s="52">
        <v>0</v>
      </c>
      <c r="AF127" s="52">
        <v>54480717.009999998</v>
      </c>
      <c r="AG127" s="52">
        <v>5795820.96</v>
      </c>
      <c r="AH127" s="52">
        <v>0</v>
      </c>
      <c r="AI127" s="52">
        <v>0</v>
      </c>
      <c r="AJ127" s="52">
        <v>2</v>
      </c>
      <c r="AK127" s="52"/>
      <c r="AL127" s="52">
        <v>0</v>
      </c>
      <c r="AM127" s="52">
        <v>0</v>
      </c>
      <c r="AN127" s="52">
        <v>14361702132</v>
      </c>
      <c r="AO127" s="61">
        <v>985300000</v>
      </c>
      <c r="AP127" s="61">
        <v>29559000000</v>
      </c>
      <c r="AQ127" s="58">
        <v>0</v>
      </c>
      <c r="AR127" s="58">
        <v>0</v>
      </c>
      <c r="AS127" s="58">
        <v>0</v>
      </c>
      <c r="AT127" s="58">
        <v>0</v>
      </c>
      <c r="AU127" s="58">
        <v>0</v>
      </c>
      <c r="AV127" s="58">
        <v>0</v>
      </c>
      <c r="AW127" s="58">
        <v>0</v>
      </c>
      <c r="AX127" s="58">
        <v>0</v>
      </c>
    </row>
    <row r="128" spans="1:50" x14ac:dyDescent="0.25">
      <c r="A128" s="52">
        <f t="shared" si="14"/>
        <v>123</v>
      </c>
      <c r="B128" s="60" t="str">
        <f t="shared" si="16"/>
        <v>00468251155</v>
      </c>
      <c r="C128" s="67" t="s">
        <v>28</v>
      </c>
      <c r="D128" s="59" t="s">
        <v>2058</v>
      </c>
      <c r="E128" s="55" t="str">
        <f t="shared" si="15"/>
        <v>00468</v>
      </c>
      <c r="F128" s="53" t="s">
        <v>2065</v>
      </c>
      <c r="G128" s="55" t="s">
        <v>22</v>
      </c>
      <c r="H128" s="60" t="s">
        <v>2378</v>
      </c>
      <c r="I128" s="55">
        <v>303852931</v>
      </c>
      <c r="J128" s="55">
        <v>251155</v>
      </c>
      <c r="K128" s="55" t="s">
        <v>261</v>
      </c>
      <c r="L128" s="53" t="s">
        <v>2066</v>
      </c>
      <c r="M128" s="55" t="s">
        <v>49</v>
      </c>
      <c r="N128" s="52">
        <v>1200000000</v>
      </c>
      <c r="O128" s="52">
        <v>1200000000</v>
      </c>
      <c r="P128" s="52">
        <v>1200000000</v>
      </c>
      <c r="Q128" s="57">
        <v>45804</v>
      </c>
      <c r="R128" s="57">
        <v>46331</v>
      </c>
      <c r="S128" s="56">
        <v>26</v>
      </c>
      <c r="T128" s="54">
        <v>6</v>
      </c>
      <c r="U128" s="52">
        <v>1000981340.55</v>
      </c>
      <c r="V128" s="52">
        <v>1000000000</v>
      </c>
      <c r="W128" s="52">
        <v>981340.55</v>
      </c>
      <c r="X128" s="57">
        <v>46027</v>
      </c>
      <c r="Y128" s="52">
        <v>0</v>
      </c>
      <c r="Z128" s="52">
        <v>0</v>
      </c>
      <c r="AA128" s="52">
        <v>1</v>
      </c>
      <c r="AB128" s="52">
        <v>0</v>
      </c>
      <c r="AC128" s="52">
        <v>19237070.93</v>
      </c>
      <c r="AD128" s="52">
        <v>19232876.710000001</v>
      </c>
      <c r="AE128" s="52">
        <v>0</v>
      </c>
      <c r="AF128" s="52">
        <v>0</v>
      </c>
      <c r="AG128" s="52">
        <v>4194.22</v>
      </c>
      <c r="AH128" s="52">
        <v>0</v>
      </c>
      <c r="AI128" s="52">
        <v>0</v>
      </c>
      <c r="AJ128" s="52">
        <v>2</v>
      </c>
      <c r="AK128" s="52"/>
      <c r="AL128" s="52">
        <v>0</v>
      </c>
      <c r="AM128" s="52">
        <v>0</v>
      </c>
      <c r="AN128" s="52">
        <v>1440000000</v>
      </c>
      <c r="AO128" s="61">
        <v>1023000000</v>
      </c>
      <c r="AP128" s="61">
        <v>235290000</v>
      </c>
      <c r="AQ128" s="58">
        <v>0</v>
      </c>
      <c r="AR128" s="58">
        <v>0</v>
      </c>
      <c r="AS128" s="58">
        <v>0</v>
      </c>
      <c r="AT128" s="58">
        <v>0</v>
      </c>
      <c r="AU128" s="58">
        <v>0</v>
      </c>
      <c r="AV128" s="58">
        <v>0</v>
      </c>
      <c r="AW128" s="58">
        <v>0</v>
      </c>
      <c r="AX128" s="58">
        <v>0</v>
      </c>
    </row>
    <row r="129" spans="1:50" x14ac:dyDescent="0.25">
      <c r="A129" s="52">
        <f t="shared" si="14"/>
        <v>124</v>
      </c>
      <c r="B129" s="60" t="str">
        <f t="shared" si="16"/>
        <v>00468255552</v>
      </c>
      <c r="C129" s="67" t="s">
        <v>28</v>
      </c>
      <c r="D129" s="59" t="s">
        <v>2058</v>
      </c>
      <c r="E129" s="55" t="str">
        <f t="shared" si="15"/>
        <v>00468</v>
      </c>
      <c r="F129" s="53" t="s">
        <v>2065</v>
      </c>
      <c r="G129" s="55" t="s">
        <v>22</v>
      </c>
      <c r="H129" s="60" t="s">
        <v>2379</v>
      </c>
      <c r="I129" s="55">
        <v>200558519</v>
      </c>
      <c r="J129" s="55">
        <v>255552</v>
      </c>
      <c r="K129" s="55" t="s">
        <v>262</v>
      </c>
      <c r="L129" s="53" t="s">
        <v>2066</v>
      </c>
      <c r="M129" s="55" t="s">
        <v>49</v>
      </c>
      <c r="N129" s="52">
        <v>851063830</v>
      </c>
      <c r="O129" s="52">
        <v>851063830</v>
      </c>
      <c r="P129" s="52">
        <v>851063830</v>
      </c>
      <c r="Q129" s="57">
        <v>45835</v>
      </c>
      <c r="R129" s="57">
        <v>47660</v>
      </c>
      <c r="S129" s="56">
        <v>14</v>
      </c>
      <c r="T129" s="54">
        <v>11</v>
      </c>
      <c r="U129" s="52">
        <v>851063830</v>
      </c>
      <c r="V129" s="52">
        <v>851063830</v>
      </c>
      <c r="W129" s="52">
        <v>0</v>
      </c>
      <c r="X129" s="57"/>
      <c r="Y129" s="52">
        <v>0</v>
      </c>
      <c r="Z129" s="52">
        <v>0</v>
      </c>
      <c r="AA129" s="52">
        <v>2</v>
      </c>
      <c r="AB129" s="52">
        <v>85106383</v>
      </c>
      <c r="AC129" s="52">
        <v>36222318.660000004</v>
      </c>
      <c r="AD129" s="52">
        <v>1632177.2</v>
      </c>
      <c r="AE129" s="52">
        <v>0</v>
      </c>
      <c r="AF129" s="52">
        <v>34590141.460000001</v>
      </c>
      <c r="AG129" s="52">
        <v>0</v>
      </c>
      <c r="AH129" s="52">
        <v>0</v>
      </c>
      <c r="AI129" s="52">
        <v>0</v>
      </c>
      <c r="AJ129" s="52">
        <v>2</v>
      </c>
      <c r="AK129" s="52"/>
      <c r="AL129" s="52">
        <v>0</v>
      </c>
      <c r="AM129" s="52">
        <v>0</v>
      </c>
      <c r="AN129" s="52">
        <v>1021276596</v>
      </c>
      <c r="AO129" s="61">
        <v>108500000</v>
      </c>
      <c r="AP129" s="52">
        <v>0</v>
      </c>
      <c r="AQ129" s="58">
        <v>0</v>
      </c>
      <c r="AR129" s="58">
        <v>0</v>
      </c>
      <c r="AS129" s="58">
        <v>0</v>
      </c>
      <c r="AT129" s="58">
        <v>0</v>
      </c>
      <c r="AU129" s="58">
        <v>0</v>
      </c>
      <c r="AV129" s="58">
        <v>0</v>
      </c>
      <c r="AW129" s="58">
        <v>0</v>
      </c>
      <c r="AX129" s="58">
        <v>0</v>
      </c>
    </row>
    <row r="130" spans="1:50" x14ac:dyDescent="0.25">
      <c r="A130" s="52">
        <f t="shared" si="14"/>
        <v>125</v>
      </c>
      <c r="B130" s="60" t="str">
        <f t="shared" si="16"/>
        <v>00468195116</v>
      </c>
      <c r="C130" s="67" t="s">
        <v>28</v>
      </c>
      <c r="D130" s="59" t="s">
        <v>2058</v>
      </c>
      <c r="E130" s="55" t="str">
        <f t="shared" si="15"/>
        <v>00468</v>
      </c>
      <c r="F130" s="53" t="s">
        <v>2065</v>
      </c>
      <c r="G130" s="55" t="s">
        <v>22</v>
      </c>
      <c r="H130" s="60" t="s">
        <v>2380</v>
      </c>
      <c r="I130" s="55">
        <v>303129096</v>
      </c>
      <c r="J130" s="55">
        <v>195116</v>
      </c>
      <c r="K130" s="55" t="s">
        <v>263</v>
      </c>
      <c r="L130" s="53" t="s">
        <v>2066</v>
      </c>
      <c r="M130" s="55" t="s">
        <v>49</v>
      </c>
      <c r="N130" s="52">
        <v>1063829788</v>
      </c>
      <c r="O130" s="52">
        <v>1063829788</v>
      </c>
      <c r="P130" s="52">
        <v>1063829787.28</v>
      </c>
      <c r="Q130" s="57">
        <v>45379</v>
      </c>
      <c r="R130" s="57">
        <v>47204</v>
      </c>
      <c r="S130" s="56">
        <v>14</v>
      </c>
      <c r="T130" s="54">
        <v>24</v>
      </c>
      <c r="U130" s="52">
        <v>817959803.79999995</v>
      </c>
      <c r="V130" s="52">
        <v>817959803.79999995</v>
      </c>
      <c r="W130" s="52">
        <v>0</v>
      </c>
      <c r="X130" s="57"/>
      <c r="Y130" s="52">
        <v>0</v>
      </c>
      <c r="Z130" s="52">
        <v>0</v>
      </c>
      <c r="AA130" s="52">
        <v>2</v>
      </c>
      <c r="AB130" s="52">
        <v>81795980.379999995</v>
      </c>
      <c r="AC130" s="52">
        <v>23118848.670000002</v>
      </c>
      <c r="AD130" s="52">
        <v>1254952.03</v>
      </c>
      <c r="AE130" s="52">
        <v>0</v>
      </c>
      <c r="AF130" s="52">
        <v>0</v>
      </c>
      <c r="AG130" s="52">
        <v>21863896.640000001</v>
      </c>
      <c r="AH130" s="52">
        <v>0</v>
      </c>
      <c r="AI130" s="52">
        <v>0</v>
      </c>
      <c r="AJ130" s="52">
        <v>2</v>
      </c>
      <c r="AK130" s="52"/>
      <c r="AL130" s="52">
        <v>0</v>
      </c>
      <c r="AM130" s="52">
        <v>0</v>
      </c>
      <c r="AN130" s="52">
        <v>12765957456</v>
      </c>
      <c r="AO130" s="61">
        <v>1508600000</v>
      </c>
      <c r="AP130" s="61">
        <v>45258000000</v>
      </c>
      <c r="AQ130" s="58">
        <v>0</v>
      </c>
      <c r="AR130" s="58">
        <v>0</v>
      </c>
      <c r="AS130" s="58">
        <v>0</v>
      </c>
      <c r="AT130" s="58">
        <v>0</v>
      </c>
      <c r="AU130" s="58">
        <v>0</v>
      </c>
      <c r="AV130" s="58">
        <v>0</v>
      </c>
      <c r="AW130" s="58">
        <v>0</v>
      </c>
      <c r="AX130" s="58">
        <v>0</v>
      </c>
    </row>
    <row r="131" spans="1:50" x14ac:dyDescent="0.25">
      <c r="A131" s="52">
        <f t="shared" si="14"/>
        <v>126</v>
      </c>
      <c r="B131" s="60" t="str">
        <f t="shared" si="16"/>
        <v>00468160635</v>
      </c>
      <c r="C131" s="67" t="s">
        <v>28</v>
      </c>
      <c r="D131" s="59" t="s">
        <v>2058</v>
      </c>
      <c r="E131" s="55" t="str">
        <f t="shared" si="15"/>
        <v>00468</v>
      </c>
      <c r="F131" s="53" t="s">
        <v>2065</v>
      </c>
      <c r="G131" s="55" t="s">
        <v>22</v>
      </c>
      <c r="H131" s="60" t="s">
        <v>2381</v>
      </c>
      <c r="I131" s="55">
        <v>305429133</v>
      </c>
      <c r="J131" s="55">
        <v>160635</v>
      </c>
      <c r="K131" s="55" t="s">
        <v>264</v>
      </c>
      <c r="L131" s="53" t="s">
        <v>2066</v>
      </c>
      <c r="M131" s="55" t="s">
        <v>49</v>
      </c>
      <c r="N131" s="52">
        <v>821450000</v>
      </c>
      <c r="O131" s="52">
        <v>821450000</v>
      </c>
      <c r="P131" s="52">
        <v>821450000</v>
      </c>
      <c r="Q131" s="57">
        <v>45138</v>
      </c>
      <c r="R131" s="57">
        <v>46962</v>
      </c>
      <c r="S131" s="56">
        <v>23.99</v>
      </c>
      <c r="T131" s="54">
        <v>12</v>
      </c>
      <c r="U131" s="52">
        <v>806514545.5</v>
      </c>
      <c r="V131" s="52">
        <v>715242323.29999995</v>
      </c>
      <c r="W131" s="52">
        <v>91272222.200000003</v>
      </c>
      <c r="X131" s="57">
        <v>45996</v>
      </c>
      <c r="Y131" s="52">
        <v>0</v>
      </c>
      <c r="Z131" s="52">
        <v>0</v>
      </c>
      <c r="AA131" s="52">
        <v>1</v>
      </c>
      <c r="AB131" s="52">
        <v>0</v>
      </c>
      <c r="AC131" s="52">
        <v>50500541.850000001</v>
      </c>
      <c r="AD131" s="52">
        <v>50500541.850000001</v>
      </c>
      <c r="AE131" s="52">
        <v>0</v>
      </c>
      <c r="AF131" s="52">
        <v>0</v>
      </c>
      <c r="AG131" s="52">
        <v>0</v>
      </c>
      <c r="AH131" s="52">
        <v>0</v>
      </c>
      <c r="AI131" s="52">
        <v>0</v>
      </c>
      <c r="AJ131" s="52">
        <v>2</v>
      </c>
      <c r="AK131" s="52"/>
      <c r="AL131" s="52">
        <v>0</v>
      </c>
      <c r="AM131" s="52">
        <v>0</v>
      </c>
      <c r="AN131" s="52">
        <v>1971210000</v>
      </c>
      <c r="AO131" s="61">
        <v>755800000</v>
      </c>
      <c r="AP131" s="61">
        <v>173834000</v>
      </c>
      <c r="AQ131" s="58">
        <v>0</v>
      </c>
      <c r="AR131" s="58">
        <v>0</v>
      </c>
      <c r="AS131" s="58">
        <v>0</v>
      </c>
      <c r="AT131" s="58">
        <v>0</v>
      </c>
      <c r="AU131" s="58">
        <v>0</v>
      </c>
      <c r="AV131" s="58">
        <v>0</v>
      </c>
      <c r="AW131" s="58">
        <v>0</v>
      </c>
      <c r="AX131" s="58">
        <v>0</v>
      </c>
    </row>
    <row r="132" spans="1:50" x14ac:dyDescent="0.25">
      <c r="A132" s="52">
        <f t="shared" si="14"/>
        <v>127</v>
      </c>
      <c r="B132" s="60" t="str">
        <f t="shared" si="16"/>
        <v>00468163024</v>
      </c>
      <c r="C132" s="67" t="s">
        <v>28</v>
      </c>
      <c r="D132" s="59" t="s">
        <v>2058</v>
      </c>
      <c r="E132" s="55" t="str">
        <f t="shared" si="15"/>
        <v>00468</v>
      </c>
      <c r="F132" s="53" t="s">
        <v>2065</v>
      </c>
      <c r="G132" s="55" t="s">
        <v>22</v>
      </c>
      <c r="H132" s="60" t="s">
        <v>2382</v>
      </c>
      <c r="I132" s="55">
        <v>302942962</v>
      </c>
      <c r="J132" s="55">
        <v>163024</v>
      </c>
      <c r="K132" s="55" t="s">
        <v>265</v>
      </c>
      <c r="L132" s="53" t="s">
        <v>2066</v>
      </c>
      <c r="M132" s="55" t="s">
        <v>49</v>
      </c>
      <c r="N132" s="52">
        <v>826300000</v>
      </c>
      <c r="O132" s="52">
        <v>826300000</v>
      </c>
      <c r="P132" s="52">
        <v>826300000</v>
      </c>
      <c r="Q132" s="57">
        <v>45154</v>
      </c>
      <c r="R132" s="57">
        <v>46980</v>
      </c>
      <c r="S132" s="56">
        <v>23.99</v>
      </c>
      <c r="T132" s="54">
        <v>6</v>
      </c>
      <c r="U132" s="52">
        <v>779139594.08000004</v>
      </c>
      <c r="V132" s="52">
        <v>719465252.52999997</v>
      </c>
      <c r="W132" s="52">
        <v>59674341.549999997</v>
      </c>
      <c r="X132" s="57">
        <v>45996</v>
      </c>
      <c r="Y132" s="52">
        <v>0</v>
      </c>
      <c r="Z132" s="52">
        <v>0</v>
      </c>
      <c r="AA132" s="52">
        <v>1</v>
      </c>
      <c r="AB132" s="52">
        <v>0</v>
      </c>
      <c r="AC132" s="52">
        <v>43919569.399999999</v>
      </c>
      <c r="AD132" s="52">
        <v>43919569.399999999</v>
      </c>
      <c r="AE132" s="52">
        <v>0</v>
      </c>
      <c r="AF132" s="52">
        <v>0</v>
      </c>
      <c r="AG132" s="52">
        <v>0</v>
      </c>
      <c r="AH132" s="52">
        <v>0</v>
      </c>
      <c r="AI132" s="52">
        <v>0</v>
      </c>
      <c r="AJ132" s="52">
        <v>2</v>
      </c>
      <c r="AK132" s="52"/>
      <c r="AL132" s="52">
        <v>0</v>
      </c>
      <c r="AM132" s="52">
        <v>0</v>
      </c>
      <c r="AN132" s="52">
        <v>1983120000</v>
      </c>
      <c r="AO132" s="61">
        <v>1039000000</v>
      </c>
      <c r="AP132" s="61">
        <v>363650000</v>
      </c>
      <c r="AQ132" s="58">
        <v>0</v>
      </c>
      <c r="AR132" s="58">
        <v>0</v>
      </c>
      <c r="AS132" s="58">
        <v>0</v>
      </c>
      <c r="AT132" s="58">
        <v>0</v>
      </c>
      <c r="AU132" s="58">
        <v>0</v>
      </c>
      <c r="AV132" s="58">
        <v>0</v>
      </c>
      <c r="AW132" s="58">
        <v>0</v>
      </c>
      <c r="AX132" s="58">
        <v>0</v>
      </c>
    </row>
    <row r="133" spans="1:50" x14ac:dyDescent="0.25">
      <c r="A133" s="52">
        <f t="shared" si="14"/>
        <v>128</v>
      </c>
      <c r="B133" s="60" t="str">
        <f t="shared" si="16"/>
        <v>00468160636</v>
      </c>
      <c r="C133" s="67" t="s">
        <v>28</v>
      </c>
      <c r="D133" s="59" t="s">
        <v>2058</v>
      </c>
      <c r="E133" s="55" t="str">
        <f t="shared" si="15"/>
        <v>00468</v>
      </c>
      <c r="F133" s="53" t="s">
        <v>2065</v>
      </c>
      <c r="G133" s="55" t="s">
        <v>22</v>
      </c>
      <c r="H133" s="60" t="s">
        <v>2383</v>
      </c>
      <c r="I133" s="55">
        <v>204825744</v>
      </c>
      <c r="J133" s="55">
        <v>160636</v>
      </c>
      <c r="K133" s="55" t="s">
        <v>266</v>
      </c>
      <c r="L133" s="53" t="s">
        <v>2066</v>
      </c>
      <c r="M133" s="55" t="s">
        <v>49</v>
      </c>
      <c r="N133" s="52">
        <v>821450000</v>
      </c>
      <c r="O133" s="52">
        <v>821450000</v>
      </c>
      <c r="P133" s="52">
        <v>821450000</v>
      </c>
      <c r="Q133" s="57">
        <v>45138</v>
      </c>
      <c r="R133" s="57">
        <v>46962</v>
      </c>
      <c r="S133" s="56">
        <v>23.99</v>
      </c>
      <c r="T133" s="54">
        <v>6</v>
      </c>
      <c r="U133" s="52">
        <v>776514545.5</v>
      </c>
      <c r="V133" s="52">
        <v>715242323.29999995</v>
      </c>
      <c r="W133" s="52">
        <v>61272222.200000003</v>
      </c>
      <c r="X133" s="57">
        <v>45996</v>
      </c>
      <c r="Y133" s="52">
        <v>0</v>
      </c>
      <c r="Z133" s="52">
        <v>0</v>
      </c>
      <c r="AA133" s="52">
        <v>3</v>
      </c>
      <c r="AB133" s="52">
        <v>194128636.37</v>
      </c>
      <c r="AC133" s="52">
        <v>106498969.97</v>
      </c>
      <c r="AD133" s="52">
        <v>106498969.97</v>
      </c>
      <c r="AE133" s="52">
        <v>0</v>
      </c>
      <c r="AF133" s="52">
        <v>0</v>
      </c>
      <c r="AG133" s="52">
        <v>0</v>
      </c>
      <c r="AH133" s="52">
        <v>0</v>
      </c>
      <c r="AI133" s="52">
        <v>0</v>
      </c>
      <c r="AJ133" s="52">
        <v>2</v>
      </c>
      <c r="AK133" s="52"/>
      <c r="AL133" s="52">
        <v>0</v>
      </c>
      <c r="AM133" s="52">
        <v>0</v>
      </c>
      <c r="AN133" s="52">
        <v>1971480000</v>
      </c>
      <c r="AO133" s="61">
        <v>1384100000</v>
      </c>
      <c r="AP133" s="61">
        <v>318343000</v>
      </c>
      <c r="AQ133" s="58">
        <v>0</v>
      </c>
      <c r="AR133" s="58">
        <v>0</v>
      </c>
      <c r="AS133" s="58">
        <v>0</v>
      </c>
      <c r="AT133" s="58">
        <v>0</v>
      </c>
      <c r="AU133" s="58">
        <v>0</v>
      </c>
      <c r="AV133" s="58">
        <v>0</v>
      </c>
      <c r="AW133" s="58">
        <v>0</v>
      </c>
      <c r="AX133" s="58">
        <v>0</v>
      </c>
    </row>
    <row r="134" spans="1:50" x14ac:dyDescent="0.25">
      <c r="A134" s="52">
        <f t="shared" si="14"/>
        <v>129</v>
      </c>
      <c r="B134" s="60" t="str">
        <f t="shared" si="16"/>
        <v>00468192856</v>
      </c>
      <c r="C134" s="67" t="s">
        <v>28</v>
      </c>
      <c r="D134" s="59" t="s">
        <v>2058</v>
      </c>
      <c r="E134" s="55" t="str">
        <f t="shared" si="15"/>
        <v>00468</v>
      </c>
      <c r="F134" s="53" t="s">
        <v>2065</v>
      </c>
      <c r="G134" s="55" t="s">
        <v>22</v>
      </c>
      <c r="H134" s="60" t="s">
        <v>2384</v>
      </c>
      <c r="I134" s="55">
        <v>308405295</v>
      </c>
      <c r="J134" s="55">
        <v>192856</v>
      </c>
      <c r="K134" s="55" t="s">
        <v>267</v>
      </c>
      <c r="L134" s="53" t="s">
        <v>2066</v>
      </c>
      <c r="M134" s="55" t="s">
        <v>49</v>
      </c>
      <c r="N134" s="52">
        <v>1195000000</v>
      </c>
      <c r="O134" s="52">
        <v>1195000000</v>
      </c>
      <c r="P134" s="52">
        <v>1195000000</v>
      </c>
      <c r="Q134" s="57">
        <v>45413</v>
      </c>
      <c r="R134" s="57">
        <v>46741</v>
      </c>
      <c r="S134" s="56">
        <v>5</v>
      </c>
      <c r="T134" s="54">
        <v>12</v>
      </c>
      <c r="U134" s="52">
        <v>742294732.45000005</v>
      </c>
      <c r="V134" s="52">
        <v>742294732.45000005</v>
      </c>
      <c r="W134" s="52">
        <v>0</v>
      </c>
      <c r="X134" s="57"/>
      <c r="Y134" s="52">
        <v>0</v>
      </c>
      <c r="Z134" s="52">
        <v>0</v>
      </c>
      <c r="AA134" s="52">
        <v>1</v>
      </c>
      <c r="AB134" s="52">
        <v>0</v>
      </c>
      <c r="AC134" s="52">
        <v>1728631.57</v>
      </c>
      <c r="AD134" s="52">
        <v>1728631.57</v>
      </c>
      <c r="AE134" s="52">
        <v>0</v>
      </c>
      <c r="AF134" s="52">
        <v>0</v>
      </c>
      <c r="AG134" s="52">
        <v>0</v>
      </c>
      <c r="AH134" s="52">
        <v>0</v>
      </c>
      <c r="AI134" s="52">
        <v>0</v>
      </c>
      <c r="AJ134" s="52">
        <v>2</v>
      </c>
      <c r="AK134" s="52"/>
      <c r="AL134" s="52">
        <v>0</v>
      </c>
      <c r="AM134" s="52">
        <v>0</v>
      </c>
      <c r="AN134" s="52">
        <v>3824000000</v>
      </c>
      <c r="AO134" s="61">
        <v>1474800000</v>
      </c>
      <c r="AP134" s="61">
        <v>339204000</v>
      </c>
      <c r="AQ134" s="58">
        <v>0</v>
      </c>
      <c r="AR134" s="58">
        <v>0</v>
      </c>
      <c r="AS134" s="58">
        <v>0</v>
      </c>
      <c r="AT134" s="58">
        <v>0</v>
      </c>
      <c r="AU134" s="58">
        <v>0</v>
      </c>
      <c r="AV134" s="58">
        <v>0</v>
      </c>
      <c r="AW134" s="58">
        <v>0</v>
      </c>
      <c r="AX134" s="58">
        <v>0</v>
      </c>
    </row>
    <row r="135" spans="1:50" x14ac:dyDescent="0.25">
      <c r="A135" s="52">
        <f t="shared" si="14"/>
        <v>130</v>
      </c>
      <c r="B135" s="60" t="str">
        <f t="shared" si="16"/>
        <v>00468244546</v>
      </c>
      <c r="C135" s="67" t="s">
        <v>28</v>
      </c>
      <c r="D135" s="59" t="s">
        <v>2058</v>
      </c>
      <c r="E135" s="55" t="str">
        <f t="shared" si="15"/>
        <v>00468</v>
      </c>
      <c r="F135" s="53" t="s">
        <v>2065</v>
      </c>
      <c r="G135" s="55" t="s">
        <v>22</v>
      </c>
      <c r="H135" s="60" t="s">
        <v>268</v>
      </c>
      <c r="I135" s="55">
        <v>204819355</v>
      </c>
      <c r="J135" s="55">
        <v>244546</v>
      </c>
      <c r="K135" s="55" t="s">
        <v>269</v>
      </c>
      <c r="L135" s="53" t="s">
        <v>2066</v>
      </c>
      <c r="M135" s="55" t="s">
        <v>49</v>
      </c>
      <c r="N135" s="52">
        <v>830000000</v>
      </c>
      <c r="O135" s="52">
        <v>830000000</v>
      </c>
      <c r="P135" s="52">
        <v>830000000</v>
      </c>
      <c r="Q135" s="57">
        <v>45750</v>
      </c>
      <c r="R135" s="57">
        <v>46300</v>
      </c>
      <c r="S135" s="56">
        <v>26</v>
      </c>
      <c r="T135" s="54">
        <v>6</v>
      </c>
      <c r="U135" s="52">
        <v>688326860.13</v>
      </c>
      <c r="V135" s="52">
        <v>622500000.01999998</v>
      </c>
      <c r="W135" s="52">
        <v>65826860.109999999</v>
      </c>
      <c r="X135" s="57">
        <v>46027</v>
      </c>
      <c r="Y135" s="52">
        <v>0</v>
      </c>
      <c r="Z135" s="52">
        <v>0</v>
      </c>
      <c r="AA135" s="52">
        <v>1</v>
      </c>
      <c r="AB135" s="52">
        <v>0</v>
      </c>
      <c r="AC135" s="52">
        <v>14504545.52</v>
      </c>
      <c r="AD135" s="52">
        <v>11972465.75</v>
      </c>
      <c r="AE135" s="52">
        <v>0</v>
      </c>
      <c r="AF135" s="52">
        <v>0</v>
      </c>
      <c r="AG135" s="52">
        <v>2532079.77</v>
      </c>
      <c r="AH135" s="52">
        <v>0</v>
      </c>
      <c r="AI135" s="52">
        <v>0</v>
      </c>
      <c r="AJ135" s="52">
        <v>2</v>
      </c>
      <c r="AK135" s="52"/>
      <c r="AL135" s="52">
        <v>0</v>
      </c>
      <c r="AM135" s="52">
        <v>0</v>
      </c>
      <c r="AN135" s="52">
        <v>996000000</v>
      </c>
      <c r="AO135" s="61">
        <v>399100000</v>
      </c>
      <c r="AP135" s="61">
        <v>179595000</v>
      </c>
      <c r="AQ135" s="58">
        <v>0</v>
      </c>
      <c r="AR135" s="58">
        <v>0</v>
      </c>
      <c r="AS135" s="58">
        <v>0</v>
      </c>
      <c r="AT135" s="58">
        <v>0</v>
      </c>
      <c r="AU135" s="58">
        <v>0</v>
      </c>
      <c r="AV135" s="58">
        <v>0</v>
      </c>
      <c r="AW135" s="58">
        <v>0</v>
      </c>
      <c r="AX135" s="58">
        <v>0</v>
      </c>
    </row>
    <row r="136" spans="1:50" x14ac:dyDescent="0.25">
      <c r="A136" s="52">
        <f t="shared" ref="A136:A199" si="17">+A135+1</f>
        <v>131</v>
      </c>
      <c r="B136" s="60" t="str">
        <f t="shared" si="16"/>
        <v>00468161940</v>
      </c>
      <c r="C136" s="67" t="s">
        <v>28</v>
      </c>
      <c r="D136" s="59" t="s">
        <v>2058</v>
      </c>
      <c r="E136" s="55" t="str">
        <f t="shared" si="15"/>
        <v>00468</v>
      </c>
      <c r="F136" s="53" t="s">
        <v>2065</v>
      </c>
      <c r="G136" s="55" t="s">
        <v>22</v>
      </c>
      <c r="H136" s="60" t="s">
        <v>2385</v>
      </c>
      <c r="I136" s="55">
        <v>303837459</v>
      </c>
      <c r="J136" s="55">
        <v>161940</v>
      </c>
      <c r="K136" s="55" t="s">
        <v>270</v>
      </c>
      <c r="L136" s="53" t="s">
        <v>2066</v>
      </c>
      <c r="M136" s="55" t="s">
        <v>49</v>
      </c>
      <c r="N136" s="52">
        <v>837125000</v>
      </c>
      <c r="O136" s="52">
        <v>837125000</v>
      </c>
      <c r="P136" s="52">
        <v>837125000</v>
      </c>
      <c r="Q136" s="57">
        <v>45147</v>
      </c>
      <c r="R136" s="57">
        <v>46973</v>
      </c>
      <c r="S136" s="56">
        <v>23.99</v>
      </c>
      <c r="T136" s="54">
        <v>6</v>
      </c>
      <c r="U136" s="52">
        <v>685940641.75</v>
      </c>
      <c r="V136" s="52">
        <v>685940641.75</v>
      </c>
      <c r="W136" s="52">
        <v>0</v>
      </c>
      <c r="X136" s="57"/>
      <c r="Y136" s="52">
        <v>0</v>
      </c>
      <c r="Z136" s="52">
        <v>0</v>
      </c>
      <c r="AA136" s="52">
        <v>1</v>
      </c>
      <c r="AB136" s="52">
        <v>0</v>
      </c>
      <c r="AC136" s="52">
        <v>0</v>
      </c>
      <c r="AD136" s="52">
        <v>0</v>
      </c>
      <c r="AE136" s="52">
        <v>0</v>
      </c>
      <c r="AF136" s="52">
        <v>0</v>
      </c>
      <c r="AG136" s="52">
        <v>0</v>
      </c>
      <c r="AH136" s="52">
        <v>0</v>
      </c>
      <c r="AI136" s="52">
        <v>0</v>
      </c>
      <c r="AJ136" s="52">
        <v>2</v>
      </c>
      <c r="AK136" s="52"/>
      <c r="AL136" s="52">
        <v>0</v>
      </c>
      <c r="AM136" s="52">
        <v>0</v>
      </c>
      <c r="AN136" s="52">
        <v>2009100000</v>
      </c>
      <c r="AO136" s="61">
        <v>3286000000</v>
      </c>
      <c r="AP136" s="61">
        <v>755780000</v>
      </c>
      <c r="AQ136" s="58">
        <v>0</v>
      </c>
      <c r="AR136" s="58">
        <v>0</v>
      </c>
      <c r="AS136" s="58">
        <v>0</v>
      </c>
      <c r="AT136" s="58">
        <v>0</v>
      </c>
      <c r="AU136" s="58">
        <v>0</v>
      </c>
      <c r="AV136" s="58">
        <v>0</v>
      </c>
      <c r="AW136" s="58">
        <v>0</v>
      </c>
      <c r="AX136" s="58">
        <v>0</v>
      </c>
    </row>
    <row r="137" spans="1:50" x14ac:dyDescent="0.25">
      <c r="A137" s="52">
        <f t="shared" si="17"/>
        <v>132</v>
      </c>
      <c r="B137" s="60" t="str">
        <f t="shared" si="16"/>
        <v>00468253243</v>
      </c>
      <c r="C137" s="67" t="s">
        <v>28</v>
      </c>
      <c r="D137" s="59" t="s">
        <v>2058</v>
      </c>
      <c r="E137" s="55" t="str">
        <f t="shared" si="15"/>
        <v>00468</v>
      </c>
      <c r="F137" s="53" t="s">
        <v>2065</v>
      </c>
      <c r="G137" s="55" t="s">
        <v>22</v>
      </c>
      <c r="H137" s="60" t="s">
        <v>2386</v>
      </c>
      <c r="I137" s="55">
        <v>303109176</v>
      </c>
      <c r="J137" s="55">
        <v>253243</v>
      </c>
      <c r="K137" s="55" t="s">
        <v>271</v>
      </c>
      <c r="L137" s="53" t="s">
        <v>2066</v>
      </c>
      <c r="M137" s="55" t="s">
        <v>49</v>
      </c>
      <c r="N137" s="52">
        <v>680851064</v>
      </c>
      <c r="O137" s="52">
        <v>680851064</v>
      </c>
      <c r="P137" s="52">
        <v>680851064</v>
      </c>
      <c r="Q137" s="57">
        <v>45821</v>
      </c>
      <c r="R137" s="57">
        <v>47646</v>
      </c>
      <c r="S137" s="56">
        <v>14</v>
      </c>
      <c r="T137" s="54">
        <v>12</v>
      </c>
      <c r="U137" s="52">
        <v>680851064</v>
      </c>
      <c r="V137" s="52">
        <v>680851064</v>
      </c>
      <c r="W137" s="52">
        <v>0</v>
      </c>
      <c r="X137" s="57"/>
      <c r="Y137" s="52">
        <v>0</v>
      </c>
      <c r="Z137" s="52">
        <v>0</v>
      </c>
      <c r="AA137" s="52">
        <v>1</v>
      </c>
      <c r="AB137" s="52">
        <v>0</v>
      </c>
      <c r="AC137" s="52">
        <v>21964954.840000004</v>
      </c>
      <c r="AD137" s="52">
        <v>1044593.42</v>
      </c>
      <c r="AE137" s="52">
        <v>0</v>
      </c>
      <c r="AF137" s="52">
        <v>20920361.420000002</v>
      </c>
      <c r="AG137" s="52">
        <v>0</v>
      </c>
      <c r="AH137" s="52">
        <v>0</v>
      </c>
      <c r="AI137" s="52">
        <v>0</v>
      </c>
      <c r="AJ137" s="52">
        <v>2</v>
      </c>
      <c r="AK137" s="52"/>
      <c r="AL137" s="52">
        <v>0</v>
      </c>
      <c r="AM137" s="52">
        <v>0</v>
      </c>
      <c r="AN137" s="52">
        <v>8170212768</v>
      </c>
      <c r="AO137" s="61">
        <v>155800000</v>
      </c>
      <c r="AP137" s="61">
        <v>155800000</v>
      </c>
      <c r="AQ137" s="58">
        <v>0</v>
      </c>
      <c r="AR137" s="58">
        <v>0</v>
      </c>
      <c r="AS137" s="58">
        <v>0</v>
      </c>
      <c r="AT137" s="58">
        <v>0</v>
      </c>
      <c r="AU137" s="58">
        <v>0</v>
      </c>
      <c r="AV137" s="58">
        <v>0</v>
      </c>
      <c r="AW137" s="58">
        <v>0</v>
      </c>
      <c r="AX137" s="58">
        <v>0</v>
      </c>
    </row>
    <row r="138" spans="1:50" x14ac:dyDescent="0.25">
      <c r="A138" s="52">
        <f t="shared" si="17"/>
        <v>133</v>
      </c>
      <c r="B138" s="60" t="str">
        <f t="shared" si="16"/>
        <v>00468210204</v>
      </c>
      <c r="C138" s="67" t="s">
        <v>28</v>
      </c>
      <c r="D138" s="59" t="s">
        <v>2058</v>
      </c>
      <c r="E138" s="55" t="str">
        <f t="shared" si="15"/>
        <v>00468</v>
      </c>
      <c r="F138" s="53" t="s">
        <v>2065</v>
      </c>
      <c r="G138" s="55" t="s">
        <v>22</v>
      </c>
      <c r="H138" s="60" t="s">
        <v>2387</v>
      </c>
      <c r="I138" s="55">
        <v>303652302</v>
      </c>
      <c r="J138" s="55">
        <v>210204</v>
      </c>
      <c r="K138" s="55" t="s">
        <v>272</v>
      </c>
      <c r="L138" s="53" t="s">
        <v>2066</v>
      </c>
      <c r="M138" s="55" t="s">
        <v>49</v>
      </c>
      <c r="N138" s="52">
        <v>630434330</v>
      </c>
      <c r="O138" s="52">
        <v>630434330</v>
      </c>
      <c r="P138" s="52">
        <v>630434330</v>
      </c>
      <c r="Q138" s="57">
        <v>45513</v>
      </c>
      <c r="R138" s="57">
        <v>47338</v>
      </c>
      <c r="S138" s="56">
        <v>26</v>
      </c>
      <c r="T138" s="54">
        <v>6</v>
      </c>
      <c r="U138" s="52">
        <v>618759620.29999995</v>
      </c>
      <c r="V138" s="52">
        <v>618759620.29999995</v>
      </c>
      <c r="W138" s="52">
        <v>0</v>
      </c>
      <c r="X138" s="57"/>
      <c r="Y138" s="52">
        <v>0</v>
      </c>
      <c r="Z138" s="52">
        <v>0</v>
      </c>
      <c r="AA138" s="52">
        <v>1</v>
      </c>
      <c r="AB138" s="52">
        <v>0</v>
      </c>
      <c r="AC138" s="52">
        <v>36483308.240000002</v>
      </c>
      <c r="AD138" s="52">
        <v>11900527.49</v>
      </c>
      <c r="AE138" s="52">
        <v>0</v>
      </c>
      <c r="AF138" s="52">
        <v>24582780.75</v>
      </c>
      <c r="AG138" s="52">
        <v>0</v>
      </c>
      <c r="AH138" s="52">
        <v>0</v>
      </c>
      <c r="AI138" s="52">
        <v>0</v>
      </c>
      <c r="AJ138" s="52">
        <v>2</v>
      </c>
      <c r="AK138" s="52"/>
      <c r="AL138" s="52">
        <v>0</v>
      </c>
      <c r="AM138" s="52">
        <v>0</v>
      </c>
      <c r="AN138" s="52">
        <v>1513042400</v>
      </c>
      <c r="AO138" s="61">
        <v>2258000000</v>
      </c>
      <c r="AP138" s="61">
        <v>519340000</v>
      </c>
      <c r="AQ138" s="58">
        <v>0</v>
      </c>
      <c r="AR138" s="58">
        <v>0</v>
      </c>
      <c r="AS138" s="58">
        <v>0</v>
      </c>
      <c r="AT138" s="58">
        <v>0</v>
      </c>
      <c r="AU138" s="58">
        <v>0</v>
      </c>
      <c r="AV138" s="58">
        <v>0</v>
      </c>
      <c r="AW138" s="58">
        <v>0</v>
      </c>
      <c r="AX138" s="58">
        <v>0</v>
      </c>
    </row>
    <row r="139" spans="1:50" x14ac:dyDescent="0.25">
      <c r="A139" s="52">
        <f t="shared" si="17"/>
        <v>134</v>
      </c>
      <c r="B139" s="60" t="str">
        <f t="shared" si="16"/>
        <v>00468198238</v>
      </c>
      <c r="C139" s="67" t="s">
        <v>28</v>
      </c>
      <c r="D139" s="59" t="s">
        <v>2058</v>
      </c>
      <c r="E139" s="55" t="str">
        <f t="shared" si="15"/>
        <v>00468</v>
      </c>
      <c r="F139" s="53" t="s">
        <v>2065</v>
      </c>
      <c r="G139" s="55" t="s">
        <v>22</v>
      </c>
      <c r="H139" s="60" t="s">
        <v>2388</v>
      </c>
      <c r="I139" s="55">
        <v>204864752</v>
      </c>
      <c r="J139" s="55">
        <v>198238</v>
      </c>
      <c r="K139" s="55" t="s">
        <v>273</v>
      </c>
      <c r="L139" s="53" t="s">
        <v>2066</v>
      </c>
      <c r="M139" s="55" t="s">
        <v>49</v>
      </c>
      <c r="N139" s="52">
        <v>904255320</v>
      </c>
      <c r="O139" s="52">
        <v>904255320</v>
      </c>
      <c r="P139" s="52">
        <v>904255319.20000005</v>
      </c>
      <c r="Q139" s="57">
        <v>45404</v>
      </c>
      <c r="R139" s="57">
        <v>47229</v>
      </c>
      <c r="S139" s="56">
        <v>14</v>
      </c>
      <c r="T139" s="54">
        <v>24</v>
      </c>
      <c r="U139" s="52">
        <v>571132477.41999996</v>
      </c>
      <c r="V139" s="52">
        <v>571132477.41999996</v>
      </c>
      <c r="W139" s="52">
        <v>0</v>
      </c>
      <c r="X139" s="57"/>
      <c r="Y139" s="52">
        <v>0</v>
      </c>
      <c r="Z139" s="52">
        <v>0</v>
      </c>
      <c r="AA139" s="52">
        <v>1</v>
      </c>
      <c r="AB139" s="52">
        <v>0</v>
      </c>
      <c r="AC139" s="52">
        <v>5779010.8300000001</v>
      </c>
      <c r="AD139" s="52">
        <v>2409709.63</v>
      </c>
      <c r="AE139" s="52">
        <v>0</v>
      </c>
      <c r="AF139" s="52">
        <v>0</v>
      </c>
      <c r="AG139" s="52">
        <v>3369301.2</v>
      </c>
      <c r="AH139" s="52">
        <v>0</v>
      </c>
      <c r="AI139" s="52">
        <v>0</v>
      </c>
      <c r="AJ139" s="52">
        <v>2</v>
      </c>
      <c r="AK139" s="52"/>
      <c r="AL139" s="52">
        <v>0</v>
      </c>
      <c r="AM139" s="52">
        <v>0</v>
      </c>
      <c r="AN139" s="52">
        <v>1085106384</v>
      </c>
      <c r="AO139" s="61">
        <v>1561400000</v>
      </c>
      <c r="AP139" s="61">
        <v>46842000000</v>
      </c>
      <c r="AQ139" s="58">
        <v>0</v>
      </c>
      <c r="AR139" s="58">
        <v>0</v>
      </c>
      <c r="AS139" s="58">
        <v>0</v>
      </c>
      <c r="AT139" s="58">
        <v>0</v>
      </c>
      <c r="AU139" s="58">
        <v>0</v>
      </c>
      <c r="AV139" s="58">
        <v>0</v>
      </c>
      <c r="AW139" s="58">
        <v>0</v>
      </c>
      <c r="AX139" s="58">
        <v>0</v>
      </c>
    </row>
    <row r="140" spans="1:50" x14ac:dyDescent="0.25">
      <c r="A140" s="52">
        <f t="shared" si="17"/>
        <v>135</v>
      </c>
      <c r="B140" s="60" t="str">
        <f t="shared" si="16"/>
        <v>00468243150</v>
      </c>
      <c r="C140" s="67" t="s">
        <v>28</v>
      </c>
      <c r="D140" s="59" t="s">
        <v>2058</v>
      </c>
      <c r="E140" s="55" t="str">
        <f t="shared" si="15"/>
        <v>00468</v>
      </c>
      <c r="F140" s="53" t="s">
        <v>2065</v>
      </c>
      <c r="G140" s="55" t="s">
        <v>22</v>
      </c>
      <c r="H140" s="60" t="s">
        <v>268</v>
      </c>
      <c r="I140" s="55">
        <v>204819355</v>
      </c>
      <c r="J140" s="55">
        <v>243150</v>
      </c>
      <c r="K140" s="55" t="s">
        <v>274</v>
      </c>
      <c r="L140" s="53" t="s">
        <v>2066</v>
      </c>
      <c r="M140" s="55" t="s">
        <v>49</v>
      </c>
      <c r="N140" s="52">
        <v>600000000</v>
      </c>
      <c r="O140" s="52">
        <v>600000000</v>
      </c>
      <c r="P140" s="52">
        <v>600000000</v>
      </c>
      <c r="Q140" s="57">
        <v>45740</v>
      </c>
      <c r="R140" s="57">
        <v>47547</v>
      </c>
      <c r="S140" s="56">
        <v>20.5</v>
      </c>
      <c r="T140" s="54">
        <v>6</v>
      </c>
      <c r="U140" s="52">
        <v>566666666.66999996</v>
      </c>
      <c r="V140" s="52">
        <v>555555555.55999994</v>
      </c>
      <c r="W140" s="52">
        <v>11111111.109999999</v>
      </c>
      <c r="X140" s="57">
        <v>46027</v>
      </c>
      <c r="Y140" s="52">
        <v>0</v>
      </c>
      <c r="Z140" s="52">
        <v>0</v>
      </c>
      <c r="AA140" s="52">
        <v>1</v>
      </c>
      <c r="AB140" s="52">
        <v>0</v>
      </c>
      <c r="AC140" s="52">
        <v>10034703.189999999</v>
      </c>
      <c r="AD140" s="52">
        <v>8424657.5299999993</v>
      </c>
      <c r="AE140" s="52">
        <v>0</v>
      </c>
      <c r="AF140" s="52">
        <v>0</v>
      </c>
      <c r="AG140" s="52">
        <v>1610045.66</v>
      </c>
      <c r="AH140" s="52">
        <v>0</v>
      </c>
      <c r="AI140" s="52">
        <v>0</v>
      </c>
      <c r="AJ140" s="52">
        <v>2</v>
      </c>
      <c r="AK140" s="52"/>
      <c r="AL140" s="52">
        <v>0</v>
      </c>
      <c r="AM140" s="52">
        <v>0</v>
      </c>
      <c r="AN140" s="52">
        <v>720000000</v>
      </c>
      <c r="AO140" s="61">
        <v>512200000.00000006</v>
      </c>
      <c r="AP140" s="52">
        <v>0</v>
      </c>
      <c r="AQ140" s="58">
        <v>0</v>
      </c>
      <c r="AR140" s="58">
        <v>0</v>
      </c>
      <c r="AS140" s="58">
        <v>0</v>
      </c>
      <c r="AT140" s="58">
        <v>0</v>
      </c>
      <c r="AU140" s="58">
        <v>0</v>
      </c>
      <c r="AV140" s="58">
        <v>0</v>
      </c>
      <c r="AW140" s="58">
        <v>0</v>
      </c>
      <c r="AX140" s="58">
        <v>0</v>
      </c>
    </row>
    <row r="141" spans="1:50" x14ac:dyDescent="0.25">
      <c r="A141" s="52">
        <f t="shared" si="17"/>
        <v>136</v>
      </c>
      <c r="B141" s="60" t="str">
        <f t="shared" si="16"/>
        <v>00468161867</v>
      </c>
      <c r="C141" s="67" t="s">
        <v>28</v>
      </c>
      <c r="D141" s="59" t="s">
        <v>2058</v>
      </c>
      <c r="E141" s="55" t="str">
        <f t="shared" si="15"/>
        <v>00468</v>
      </c>
      <c r="F141" s="53" t="s">
        <v>2065</v>
      </c>
      <c r="G141" s="55" t="s">
        <v>22</v>
      </c>
      <c r="H141" s="60" t="s">
        <v>2389</v>
      </c>
      <c r="I141" s="55">
        <v>303612010</v>
      </c>
      <c r="J141" s="55">
        <v>161867</v>
      </c>
      <c r="K141" s="55" t="s">
        <v>275</v>
      </c>
      <c r="L141" s="53" t="s">
        <v>2066</v>
      </c>
      <c r="M141" s="55" t="s">
        <v>49</v>
      </c>
      <c r="N141" s="52">
        <v>842537500</v>
      </c>
      <c r="O141" s="52">
        <v>842537500</v>
      </c>
      <c r="P141" s="52">
        <v>842537500</v>
      </c>
      <c r="Q141" s="57">
        <v>45147</v>
      </c>
      <c r="R141" s="57">
        <v>46973</v>
      </c>
      <c r="S141" s="56">
        <v>23.99</v>
      </c>
      <c r="T141" s="54">
        <v>6</v>
      </c>
      <c r="U141" s="52">
        <v>556440355.66999996</v>
      </c>
      <c r="V141" s="52">
        <v>556440355.66999996</v>
      </c>
      <c r="W141" s="52">
        <v>0</v>
      </c>
      <c r="X141" s="57"/>
      <c r="Y141" s="52">
        <v>0</v>
      </c>
      <c r="Z141" s="52">
        <v>0</v>
      </c>
      <c r="AA141" s="52">
        <v>1</v>
      </c>
      <c r="AB141" s="52">
        <v>0</v>
      </c>
      <c r="AC141" s="52">
        <v>4754439.82</v>
      </c>
      <c r="AD141" s="52">
        <v>4754439.82</v>
      </c>
      <c r="AE141" s="52">
        <v>0</v>
      </c>
      <c r="AF141" s="52">
        <v>0</v>
      </c>
      <c r="AG141" s="52">
        <v>0</v>
      </c>
      <c r="AH141" s="52">
        <v>0</v>
      </c>
      <c r="AI141" s="52">
        <v>0</v>
      </c>
      <c r="AJ141" s="52">
        <v>2</v>
      </c>
      <c r="AK141" s="52"/>
      <c r="AL141" s="52">
        <v>0</v>
      </c>
      <c r="AM141" s="52">
        <v>0</v>
      </c>
      <c r="AN141" s="52">
        <v>2022090000</v>
      </c>
      <c r="AO141" s="61">
        <v>5335000000</v>
      </c>
      <c r="AP141" s="61">
        <v>1227050000</v>
      </c>
      <c r="AQ141" s="58">
        <v>0</v>
      </c>
      <c r="AR141" s="58">
        <v>0</v>
      </c>
      <c r="AS141" s="58">
        <v>0</v>
      </c>
      <c r="AT141" s="58">
        <v>0</v>
      </c>
      <c r="AU141" s="58">
        <v>0</v>
      </c>
      <c r="AV141" s="58">
        <v>0</v>
      </c>
      <c r="AW141" s="58">
        <v>0</v>
      </c>
      <c r="AX141" s="58">
        <v>0</v>
      </c>
    </row>
    <row r="142" spans="1:50" x14ac:dyDescent="0.25">
      <c r="A142" s="52">
        <f t="shared" si="17"/>
        <v>137</v>
      </c>
      <c r="B142" s="60" t="str">
        <f t="shared" si="16"/>
        <v>00468198631</v>
      </c>
      <c r="C142" s="67" t="s">
        <v>28</v>
      </c>
      <c r="D142" s="59" t="s">
        <v>2058</v>
      </c>
      <c r="E142" s="55" t="str">
        <f t="shared" si="15"/>
        <v>00468</v>
      </c>
      <c r="F142" s="53" t="s">
        <v>2065</v>
      </c>
      <c r="G142" s="55" t="s">
        <v>22</v>
      </c>
      <c r="H142" s="60" t="s">
        <v>2390</v>
      </c>
      <c r="I142" s="55">
        <v>303690098</v>
      </c>
      <c r="J142" s="55">
        <v>198631</v>
      </c>
      <c r="K142" s="55" t="s">
        <v>276</v>
      </c>
      <c r="L142" s="53" t="s">
        <v>2066</v>
      </c>
      <c r="M142" s="55" t="s">
        <v>49</v>
      </c>
      <c r="N142" s="52">
        <v>984042554</v>
      </c>
      <c r="O142" s="52">
        <v>984042554</v>
      </c>
      <c r="P142" s="52">
        <v>984042553.24000001</v>
      </c>
      <c r="Q142" s="57">
        <v>45406</v>
      </c>
      <c r="R142" s="57">
        <v>47231</v>
      </c>
      <c r="S142" s="56">
        <v>14</v>
      </c>
      <c r="T142" s="54">
        <v>24</v>
      </c>
      <c r="U142" s="52">
        <v>532516331.89999998</v>
      </c>
      <c r="V142" s="52">
        <v>532516331.89999998</v>
      </c>
      <c r="W142" s="52">
        <v>0</v>
      </c>
      <c r="X142" s="57"/>
      <c r="Y142" s="52">
        <v>0</v>
      </c>
      <c r="Z142" s="52">
        <v>0</v>
      </c>
      <c r="AA142" s="52">
        <v>2</v>
      </c>
      <c r="AB142" s="52">
        <v>53251633.189999998</v>
      </c>
      <c r="AC142" s="52">
        <v>12949665.109999999</v>
      </c>
      <c r="AD142" s="52">
        <v>817011.36</v>
      </c>
      <c r="AE142" s="52">
        <v>0</v>
      </c>
      <c r="AF142" s="52">
        <v>12132653.75</v>
      </c>
      <c r="AG142" s="52">
        <v>0</v>
      </c>
      <c r="AH142" s="52">
        <v>0</v>
      </c>
      <c r="AI142" s="52">
        <v>0</v>
      </c>
      <c r="AJ142" s="52">
        <v>2</v>
      </c>
      <c r="AK142" s="52"/>
      <c r="AL142" s="52">
        <v>0</v>
      </c>
      <c r="AM142" s="52">
        <v>0</v>
      </c>
      <c r="AN142" s="52">
        <v>11808510648</v>
      </c>
      <c r="AO142" s="61">
        <v>1774600000</v>
      </c>
      <c r="AP142" s="61">
        <v>53238000000</v>
      </c>
      <c r="AQ142" s="58">
        <v>0</v>
      </c>
      <c r="AR142" s="58">
        <v>0</v>
      </c>
      <c r="AS142" s="58">
        <v>0</v>
      </c>
      <c r="AT142" s="58">
        <v>0</v>
      </c>
      <c r="AU142" s="58">
        <v>0</v>
      </c>
      <c r="AV142" s="58">
        <v>0</v>
      </c>
      <c r="AW142" s="58">
        <v>0</v>
      </c>
      <c r="AX142" s="58">
        <v>0</v>
      </c>
    </row>
    <row r="143" spans="1:50" x14ac:dyDescent="0.25">
      <c r="A143" s="52">
        <f t="shared" si="17"/>
        <v>138</v>
      </c>
      <c r="B143" s="60" t="str">
        <f t="shared" si="16"/>
        <v>00468167388</v>
      </c>
      <c r="C143" s="67" t="s">
        <v>28</v>
      </c>
      <c r="D143" s="59" t="s">
        <v>2058</v>
      </c>
      <c r="E143" s="55" t="str">
        <f t="shared" si="15"/>
        <v>00468</v>
      </c>
      <c r="F143" s="53" t="s">
        <v>2065</v>
      </c>
      <c r="G143" s="55" t="s">
        <v>22</v>
      </c>
      <c r="H143" s="60" t="s">
        <v>2390</v>
      </c>
      <c r="I143" s="55">
        <v>303690098</v>
      </c>
      <c r="J143" s="55">
        <v>167388</v>
      </c>
      <c r="K143" s="55" t="s">
        <v>277</v>
      </c>
      <c r="L143" s="53" t="s">
        <v>2066</v>
      </c>
      <c r="M143" s="55" t="s">
        <v>49</v>
      </c>
      <c r="N143" s="52">
        <v>555675000</v>
      </c>
      <c r="O143" s="52">
        <v>555675000</v>
      </c>
      <c r="P143" s="52">
        <v>555675000</v>
      </c>
      <c r="Q143" s="57">
        <v>45177</v>
      </c>
      <c r="R143" s="57">
        <v>47003</v>
      </c>
      <c r="S143" s="56">
        <v>23.99</v>
      </c>
      <c r="T143" s="54">
        <v>24</v>
      </c>
      <c r="U143" s="52">
        <v>521148252.75999999</v>
      </c>
      <c r="V143" s="52">
        <v>483830151.50999999</v>
      </c>
      <c r="W143" s="52">
        <v>37318101.25</v>
      </c>
      <c r="X143" s="57">
        <v>45996</v>
      </c>
      <c r="Y143" s="52">
        <v>0</v>
      </c>
      <c r="Z143" s="52">
        <v>0</v>
      </c>
      <c r="AA143" s="52">
        <v>1</v>
      </c>
      <c r="AB143" s="52">
        <v>0</v>
      </c>
      <c r="AC143" s="52">
        <v>30340593.600000001</v>
      </c>
      <c r="AD143" s="52">
        <v>30340593.600000001</v>
      </c>
      <c r="AE143" s="52">
        <v>0</v>
      </c>
      <c r="AF143" s="52">
        <v>0</v>
      </c>
      <c r="AG143" s="52">
        <v>0</v>
      </c>
      <c r="AH143" s="52">
        <v>0</v>
      </c>
      <c r="AI143" s="52">
        <v>0</v>
      </c>
      <c r="AJ143" s="52">
        <v>2</v>
      </c>
      <c r="AK143" s="52"/>
      <c r="AL143" s="52">
        <v>0</v>
      </c>
      <c r="AM143" s="52">
        <v>0</v>
      </c>
      <c r="AN143" s="52">
        <v>1333620000</v>
      </c>
      <c r="AO143" s="61">
        <v>2368000000</v>
      </c>
      <c r="AP143" s="61">
        <v>544640000</v>
      </c>
      <c r="AQ143" s="58">
        <v>0</v>
      </c>
      <c r="AR143" s="58">
        <v>0</v>
      </c>
      <c r="AS143" s="58">
        <v>0</v>
      </c>
      <c r="AT143" s="58">
        <v>0</v>
      </c>
      <c r="AU143" s="58">
        <v>0</v>
      </c>
      <c r="AV143" s="58">
        <v>0</v>
      </c>
      <c r="AW143" s="58">
        <v>0</v>
      </c>
      <c r="AX143" s="58">
        <v>0</v>
      </c>
    </row>
    <row r="144" spans="1:50" x14ac:dyDescent="0.25">
      <c r="A144" s="52">
        <f t="shared" si="17"/>
        <v>139</v>
      </c>
      <c r="B144" s="60" t="str">
        <f t="shared" si="16"/>
        <v>00468185896</v>
      </c>
      <c r="C144" s="67" t="s">
        <v>28</v>
      </c>
      <c r="D144" s="59" t="s">
        <v>2058</v>
      </c>
      <c r="E144" s="55" t="str">
        <f t="shared" si="15"/>
        <v>00468</v>
      </c>
      <c r="F144" s="53" t="s">
        <v>2065</v>
      </c>
      <c r="G144" s="55" t="s">
        <v>22</v>
      </c>
      <c r="H144" s="60" t="s">
        <v>2391</v>
      </c>
      <c r="I144" s="55">
        <v>303111950</v>
      </c>
      <c r="J144" s="55">
        <v>185896</v>
      </c>
      <c r="K144" s="55" t="s">
        <v>278</v>
      </c>
      <c r="L144" s="53" t="s">
        <v>2066</v>
      </c>
      <c r="M144" s="55" t="s">
        <v>49</v>
      </c>
      <c r="N144" s="52">
        <v>515140787</v>
      </c>
      <c r="O144" s="52">
        <v>515140787</v>
      </c>
      <c r="P144" s="52">
        <v>515140787</v>
      </c>
      <c r="Q144" s="57">
        <v>45315</v>
      </c>
      <c r="R144" s="57">
        <v>47141</v>
      </c>
      <c r="S144" s="56">
        <v>23.99</v>
      </c>
      <c r="T144" s="54">
        <v>6</v>
      </c>
      <c r="U144" s="52">
        <v>515140787</v>
      </c>
      <c r="V144" s="52">
        <v>457902921.77999997</v>
      </c>
      <c r="W144" s="52">
        <v>57237865.219999999</v>
      </c>
      <c r="X144" s="57">
        <v>46027</v>
      </c>
      <c r="Y144" s="52">
        <v>0</v>
      </c>
      <c r="Z144" s="52">
        <v>0</v>
      </c>
      <c r="AA144" s="52">
        <v>1</v>
      </c>
      <c r="AB144" s="52">
        <v>0</v>
      </c>
      <c r="AC144" s="52">
        <v>9480284.0999999996</v>
      </c>
      <c r="AD144" s="52">
        <v>9480284.0999999996</v>
      </c>
      <c r="AE144" s="52">
        <v>0</v>
      </c>
      <c r="AF144" s="52">
        <v>0</v>
      </c>
      <c r="AG144" s="52">
        <v>0</v>
      </c>
      <c r="AH144" s="52">
        <v>0</v>
      </c>
      <c r="AI144" s="52">
        <v>0</v>
      </c>
      <c r="AJ144" s="52">
        <v>2</v>
      </c>
      <c r="AK144" s="52"/>
      <c r="AL144" s="52">
        <v>0</v>
      </c>
      <c r="AM144" s="52">
        <v>0</v>
      </c>
      <c r="AN144" s="52">
        <v>1236337900</v>
      </c>
      <c r="AO144" s="61">
        <v>951700000</v>
      </c>
      <c r="AP144" s="61">
        <v>218891000</v>
      </c>
      <c r="AQ144" s="58">
        <v>0</v>
      </c>
      <c r="AR144" s="58">
        <v>0</v>
      </c>
      <c r="AS144" s="58">
        <v>0</v>
      </c>
      <c r="AT144" s="58">
        <v>0</v>
      </c>
      <c r="AU144" s="58">
        <v>0</v>
      </c>
      <c r="AV144" s="58">
        <v>0</v>
      </c>
      <c r="AW144" s="58">
        <v>0</v>
      </c>
      <c r="AX144" s="58">
        <v>0</v>
      </c>
    </row>
    <row r="145" spans="1:50" x14ac:dyDescent="0.25">
      <c r="A145" s="52">
        <f t="shared" si="17"/>
        <v>140</v>
      </c>
      <c r="B145" s="60" t="str">
        <f t="shared" si="16"/>
        <v>00468194176</v>
      </c>
      <c r="C145" s="67" t="s">
        <v>28</v>
      </c>
      <c r="D145" s="59" t="s">
        <v>2058</v>
      </c>
      <c r="E145" s="55" t="str">
        <f t="shared" si="15"/>
        <v>00468</v>
      </c>
      <c r="F145" s="53" t="s">
        <v>2065</v>
      </c>
      <c r="G145" s="55" t="s">
        <v>22</v>
      </c>
      <c r="H145" s="60" t="s">
        <v>279</v>
      </c>
      <c r="I145" s="55">
        <v>202440253</v>
      </c>
      <c r="J145" s="55">
        <v>194176</v>
      </c>
      <c r="K145" s="55" t="s">
        <v>280</v>
      </c>
      <c r="L145" s="53" t="s">
        <v>2066</v>
      </c>
      <c r="M145" s="55" t="s">
        <v>49</v>
      </c>
      <c r="N145" s="52">
        <v>664893618</v>
      </c>
      <c r="O145" s="52">
        <v>664893618</v>
      </c>
      <c r="P145" s="52">
        <v>664893617.08000004</v>
      </c>
      <c r="Q145" s="57">
        <v>45371</v>
      </c>
      <c r="R145" s="57">
        <v>47196</v>
      </c>
      <c r="S145" s="56">
        <v>14</v>
      </c>
      <c r="T145" s="54">
        <v>24</v>
      </c>
      <c r="U145" s="52">
        <v>501557588.92000002</v>
      </c>
      <c r="V145" s="52">
        <v>501557588.92000002</v>
      </c>
      <c r="W145" s="52">
        <v>0</v>
      </c>
      <c r="X145" s="57"/>
      <c r="Y145" s="52">
        <v>0</v>
      </c>
      <c r="Z145" s="52">
        <v>0</v>
      </c>
      <c r="AA145" s="52">
        <v>3</v>
      </c>
      <c r="AB145" s="52">
        <v>125389397.23</v>
      </c>
      <c r="AC145" s="52">
        <v>20896681.32</v>
      </c>
      <c r="AD145" s="52">
        <v>2308539.04</v>
      </c>
      <c r="AE145" s="52">
        <v>0</v>
      </c>
      <c r="AF145" s="52">
        <v>6853068.8300000001</v>
      </c>
      <c r="AG145" s="52">
        <v>11735073.449999999</v>
      </c>
      <c r="AH145" s="52">
        <v>0</v>
      </c>
      <c r="AI145" s="52">
        <v>0</v>
      </c>
      <c r="AJ145" s="52">
        <v>2</v>
      </c>
      <c r="AK145" s="52"/>
      <c r="AL145" s="52">
        <v>0</v>
      </c>
      <c r="AM145" s="52">
        <v>0</v>
      </c>
      <c r="AN145" s="52">
        <v>7978723416</v>
      </c>
      <c r="AO145" s="61">
        <v>908700000</v>
      </c>
      <c r="AP145" s="61">
        <v>27261000000</v>
      </c>
      <c r="AQ145" s="58">
        <v>0</v>
      </c>
      <c r="AR145" s="58">
        <v>0</v>
      </c>
      <c r="AS145" s="58">
        <v>0</v>
      </c>
      <c r="AT145" s="58">
        <v>0</v>
      </c>
      <c r="AU145" s="58">
        <v>0</v>
      </c>
      <c r="AV145" s="58">
        <v>0</v>
      </c>
      <c r="AW145" s="58">
        <v>0</v>
      </c>
      <c r="AX145" s="58">
        <v>0</v>
      </c>
    </row>
    <row r="146" spans="1:50" x14ac:dyDescent="0.25">
      <c r="A146" s="52">
        <f t="shared" si="17"/>
        <v>141</v>
      </c>
      <c r="B146" s="60" t="str">
        <f t="shared" si="16"/>
        <v>00468120095</v>
      </c>
      <c r="C146" s="67" t="s">
        <v>28</v>
      </c>
      <c r="D146" s="59" t="s">
        <v>2058</v>
      </c>
      <c r="E146" s="55" t="str">
        <f t="shared" si="15"/>
        <v>00468</v>
      </c>
      <c r="F146" s="53" t="s">
        <v>2065</v>
      </c>
      <c r="G146" s="55" t="s">
        <v>22</v>
      </c>
      <c r="H146" s="60" t="s">
        <v>279</v>
      </c>
      <c r="I146" s="55">
        <v>202440253</v>
      </c>
      <c r="J146" s="55">
        <v>120095</v>
      </c>
      <c r="K146" s="55" t="s">
        <v>281</v>
      </c>
      <c r="L146" s="53" t="s">
        <v>2066</v>
      </c>
      <c r="M146" s="55" t="s">
        <v>49</v>
      </c>
      <c r="N146" s="52">
        <v>495000000</v>
      </c>
      <c r="O146" s="52">
        <v>495000000</v>
      </c>
      <c r="P146" s="52">
        <v>495000000</v>
      </c>
      <c r="Q146" s="57">
        <v>44895</v>
      </c>
      <c r="R146" s="57">
        <v>46706</v>
      </c>
      <c r="S146" s="56">
        <v>10</v>
      </c>
      <c r="T146" s="54">
        <v>24</v>
      </c>
      <c r="U146" s="52">
        <v>495000000</v>
      </c>
      <c r="V146" s="52">
        <v>481250000</v>
      </c>
      <c r="W146" s="52">
        <v>13750000</v>
      </c>
      <c r="X146" s="57">
        <v>46036</v>
      </c>
      <c r="Y146" s="52">
        <v>0</v>
      </c>
      <c r="Z146" s="52">
        <v>0</v>
      </c>
      <c r="AA146" s="52">
        <v>3</v>
      </c>
      <c r="AB146" s="52">
        <v>123750000</v>
      </c>
      <c r="AC146" s="52">
        <v>5021575.34</v>
      </c>
      <c r="AD146" s="52">
        <v>5021575.34</v>
      </c>
      <c r="AE146" s="52">
        <v>0</v>
      </c>
      <c r="AF146" s="52">
        <v>0</v>
      </c>
      <c r="AG146" s="52">
        <v>0</v>
      </c>
      <c r="AH146" s="52">
        <v>0</v>
      </c>
      <c r="AI146" s="52">
        <v>0</v>
      </c>
      <c r="AJ146" s="52">
        <v>2</v>
      </c>
      <c r="AK146" s="52"/>
      <c r="AL146" s="52">
        <v>0</v>
      </c>
      <c r="AM146" s="52">
        <v>0</v>
      </c>
      <c r="AN146" s="52">
        <v>594000000</v>
      </c>
      <c r="AO146" s="61">
        <v>1209800000</v>
      </c>
      <c r="AP146" s="61">
        <v>278254000</v>
      </c>
      <c r="AQ146" s="58">
        <v>0</v>
      </c>
      <c r="AR146" s="58">
        <v>0</v>
      </c>
      <c r="AS146" s="58">
        <v>0</v>
      </c>
      <c r="AT146" s="58">
        <v>0</v>
      </c>
      <c r="AU146" s="58">
        <v>0</v>
      </c>
      <c r="AV146" s="58">
        <v>0</v>
      </c>
      <c r="AW146" s="58">
        <v>0</v>
      </c>
      <c r="AX146" s="58">
        <v>0</v>
      </c>
    </row>
    <row r="147" spans="1:50" x14ac:dyDescent="0.25">
      <c r="A147" s="52">
        <f t="shared" si="17"/>
        <v>142</v>
      </c>
      <c r="B147" s="60" t="str">
        <f t="shared" si="16"/>
        <v>00468123001</v>
      </c>
      <c r="C147" s="67" t="s">
        <v>28</v>
      </c>
      <c r="D147" s="59" t="s">
        <v>2058</v>
      </c>
      <c r="E147" s="55" t="str">
        <f t="shared" si="15"/>
        <v>00468</v>
      </c>
      <c r="F147" s="53" t="s">
        <v>2065</v>
      </c>
      <c r="G147" s="55" t="s">
        <v>22</v>
      </c>
      <c r="H147" s="60" t="s">
        <v>2392</v>
      </c>
      <c r="I147" s="55">
        <v>303536611</v>
      </c>
      <c r="J147" s="55">
        <v>123001</v>
      </c>
      <c r="K147" s="55" t="s">
        <v>282</v>
      </c>
      <c r="L147" s="53" t="s">
        <v>2066</v>
      </c>
      <c r="M147" s="55" t="s">
        <v>49</v>
      </c>
      <c r="N147" s="52">
        <v>495000000</v>
      </c>
      <c r="O147" s="52">
        <v>495000000</v>
      </c>
      <c r="P147" s="52">
        <v>495000000</v>
      </c>
      <c r="Q147" s="57">
        <v>44916</v>
      </c>
      <c r="R147" s="57">
        <v>46724</v>
      </c>
      <c r="S147" s="56">
        <v>10</v>
      </c>
      <c r="T147" s="54">
        <v>24</v>
      </c>
      <c r="U147" s="52">
        <v>495000000</v>
      </c>
      <c r="V147" s="52">
        <v>467500000</v>
      </c>
      <c r="W147" s="52">
        <v>27500000</v>
      </c>
      <c r="X147" s="57">
        <v>45996</v>
      </c>
      <c r="Y147" s="52">
        <v>0</v>
      </c>
      <c r="Z147" s="52">
        <v>0</v>
      </c>
      <c r="AA147" s="52">
        <v>1</v>
      </c>
      <c r="AB147" s="52">
        <v>0</v>
      </c>
      <c r="AC147" s="52">
        <v>10705136.99</v>
      </c>
      <c r="AD147" s="52">
        <v>10705136.99</v>
      </c>
      <c r="AE147" s="52">
        <v>0</v>
      </c>
      <c r="AF147" s="52">
        <v>0</v>
      </c>
      <c r="AG147" s="52">
        <v>0</v>
      </c>
      <c r="AH147" s="52">
        <v>0</v>
      </c>
      <c r="AI147" s="52">
        <v>0</v>
      </c>
      <c r="AJ147" s="52">
        <v>2</v>
      </c>
      <c r="AK147" s="52"/>
      <c r="AL147" s="52">
        <v>0</v>
      </c>
      <c r="AM147" s="52">
        <v>0</v>
      </c>
      <c r="AN147" s="52">
        <v>594000000</v>
      </c>
      <c r="AO147" s="61">
        <v>4330600000</v>
      </c>
      <c r="AP147" s="61">
        <v>996038000</v>
      </c>
      <c r="AQ147" s="58">
        <v>0</v>
      </c>
      <c r="AR147" s="58">
        <v>0</v>
      </c>
      <c r="AS147" s="58">
        <v>0</v>
      </c>
      <c r="AT147" s="58">
        <v>0</v>
      </c>
      <c r="AU147" s="58">
        <v>0</v>
      </c>
      <c r="AV147" s="58">
        <v>0</v>
      </c>
      <c r="AW147" s="58">
        <v>0</v>
      </c>
      <c r="AX147" s="58">
        <v>0</v>
      </c>
    </row>
    <row r="148" spans="1:50" x14ac:dyDescent="0.25">
      <c r="A148" s="52">
        <f t="shared" si="17"/>
        <v>143</v>
      </c>
      <c r="B148" s="60" t="str">
        <f t="shared" si="16"/>
        <v>00468247118</v>
      </c>
      <c r="C148" s="67" t="s">
        <v>28</v>
      </c>
      <c r="D148" s="59" t="s">
        <v>2058</v>
      </c>
      <c r="E148" s="55" t="str">
        <f t="shared" si="15"/>
        <v>00468</v>
      </c>
      <c r="F148" s="53" t="s">
        <v>2065</v>
      </c>
      <c r="G148" s="55" t="s">
        <v>22</v>
      </c>
      <c r="H148" s="60" t="s">
        <v>2393</v>
      </c>
      <c r="I148" s="55">
        <v>303811111</v>
      </c>
      <c r="J148" s="55">
        <v>247118</v>
      </c>
      <c r="K148" s="55" t="s">
        <v>283</v>
      </c>
      <c r="L148" s="53" t="s">
        <v>2066</v>
      </c>
      <c r="M148" s="55" t="s">
        <v>49</v>
      </c>
      <c r="N148" s="52">
        <v>492000000</v>
      </c>
      <c r="O148" s="52">
        <v>492000000</v>
      </c>
      <c r="P148" s="52">
        <v>492000000</v>
      </c>
      <c r="Q148" s="57">
        <v>45769</v>
      </c>
      <c r="R148" s="57">
        <v>46300</v>
      </c>
      <c r="S148" s="56">
        <v>26</v>
      </c>
      <c r="T148" s="54">
        <v>6</v>
      </c>
      <c r="U148" s="52">
        <v>492000000</v>
      </c>
      <c r="V148" s="52">
        <v>492000000</v>
      </c>
      <c r="W148" s="52">
        <v>0</v>
      </c>
      <c r="X148" s="57"/>
      <c r="Y148" s="52">
        <v>0</v>
      </c>
      <c r="Z148" s="52">
        <v>0</v>
      </c>
      <c r="AA148" s="52">
        <v>1</v>
      </c>
      <c r="AB148" s="52">
        <v>0</v>
      </c>
      <c r="AC148" s="52">
        <v>20334918.809999999</v>
      </c>
      <c r="AD148" s="52">
        <v>12149479.449999999</v>
      </c>
      <c r="AE148" s="52">
        <v>0</v>
      </c>
      <c r="AF148" s="52">
        <v>8185439.3600000003</v>
      </c>
      <c r="AG148" s="52">
        <v>0</v>
      </c>
      <c r="AH148" s="52">
        <v>0</v>
      </c>
      <c r="AI148" s="52">
        <v>0</v>
      </c>
      <c r="AJ148" s="52">
        <v>2</v>
      </c>
      <c r="AK148" s="52"/>
      <c r="AL148" s="52">
        <v>0</v>
      </c>
      <c r="AM148" s="52">
        <v>0</v>
      </c>
      <c r="AN148" s="52">
        <v>590400000</v>
      </c>
      <c r="AO148" s="61">
        <v>492100000</v>
      </c>
      <c r="AP148" s="61">
        <v>147630000</v>
      </c>
      <c r="AQ148" s="58">
        <v>0</v>
      </c>
      <c r="AR148" s="58">
        <v>0</v>
      </c>
      <c r="AS148" s="58">
        <v>0</v>
      </c>
      <c r="AT148" s="58">
        <v>0</v>
      </c>
      <c r="AU148" s="58">
        <v>0</v>
      </c>
      <c r="AV148" s="58">
        <v>0</v>
      </c>
      <c r="AW148" s="58">
        <v>0</v>
      </c>
      <c r="AX148" s="58">
        <v>0</v>
      </c>
    </row>
    <row r="149" spans="1:50" x14ac:dyDescent="0.25">
      <c r="A149" s="52">
        <f t="shared" si="17"/>
        <v>144</v>
      </c>
      <c r="B149" s="60" t="str">
        <f t="shared" si="16"/>
        <v>00468247952</v>
      </c>
      <c r="C149" s="67" t="s">
        <v>28</v>
      </c>
      <c r="D149" s="59" t="s">
        <v>2058</v>
      </c>
      <c r="E149" s="55" t="str">
        <f t="shared" si="15"/>
        <v>00468</v>
      </c>
      <c r="F149" s="53" t="s">
        <v>2065</v>
      </c>
      <c r="G149" s="55" t="s">
        <v>22</v>
      </c>
      <c r="H149" s="60" t="s">
        <v>2394</v>
      </c>
      <c r="I149" s="55">
        <v>303834787</v>
      </c>
      <c r="J149" s="55">
        <v>247952</v>
      </c>
      <c r="K149" s="55" t="s">
        <v>284</v>
      </c>
      <c r="L149" s="53" t="s">
        <v>2066</v>
      </c>
      <c r="M149" s="55" t="s">
        <v>49</v>
      </c>
      <c r="N149" s="52">
        <v>492000000</v>
      </c>
      <c r="O149" s="52">
        <v>492000000</v>
      </c>
      <c r="P149" s="52">
        <v>492000000</v>
      </c>
      <c r="Q149" s="57">
        <v>45777</v>
      </c>
      <c r="R149" s="57">
        <v>46300</v>
      </c>
      <c r="S149" s="56">
        <v>26</v>
      </c>
      <c r="T149" s="54">
        <v>6</v>
      </c>
      <c r="U149" s="52">
        <v>492000000</v>
      </c>
      <c r="V149" s="52">
        <v>492000000</v>
      </c>
      <c r="W149" s="52">
        <v>0</v>
      </c>
      <c r="X149" s="57"/>
      <c r="Y149" s="52">
        <v>0</v>
      </c>
      <c r="Z149" s="52">
        <v>0</v>
      </c>
      <c r="AA149" s="52">
        <v>1</v>
      </c>
      <c r="AB149" s="52">
        <v>0</v>
      </c>
      <c r="AC149" s="52">
        <v>37185771.299999997</v>
      </c>
      <c r="AD149" s="52">
        <v>12149479.449999999</v>
      </c>
      <c r="AE149" s="52">
        <v>0</v>
      </c>
      <c r="AF149" s="52">
        <v>25036291.850000001</v>
      </c>
      <c r="AG149" s="52">
        <v>0</v>
      </c>
      <c r="AH149" s="52">
        <v>0</v>
      </c>
      <c r="AI149" s="52">
        <v>0</v>
      </c>
      <c r="AJ149" s="52">
        <v>2</v>
      </c>
      <c r="AK149" s="52"/>
      <c r="AL149" s="52">
        <v>0</v>
      </c>
      <c r="AM149" s="52">
        <v>0</v>
      </c>
      <c r="AN149" s="52">
        <v>590400000</v>
      </c>
      <c r="AO149" s="61">
        <v>133000000</v>
      </c>
      <c r="AP149" s="61">
        <v>39900000</v>
      </c>
      <c r="AQ149" s="58">
        <v>0</v>
      </c>
      <c r="AR149" s="58">
        <v>0</v>
      </c>
      <c r="AS149" s="58">
        <v>0</v>
      </c>
      <c r="AT149" s="58">
        <v>0</v>
      </c>
      <c r="AU149" s="58">
        <v>0</v>
      </c>
      <c r="AV149" s="58">
        <v>0</v>
      </c>
      <c r="AW149" s="58">
        <v>0</v>
      </c>
      <c r="AX149" s="58">
        <v>0</v>
      </c>
    </row>
    <row r="150" spans="1:50" x14ac:dyDescent="0.25">
      <c r="A150" s="52">
        <f t="shared" si="17"/>
        <v>145</v>
      </c>
      <c r="B150" s="60" t="str">
        <f t="shared" si="16"/>
        <v>00468148049</v>
      </c>
      <c r="C150" s="67" t="s">
        <v>28</v>
      </c>
      <c r="D150" s="59" t="s">
        <v>2058</v>
      </c>
      <c r="E150" s="55" t="str">
        <f t="shared" si="15"/>
        <v>00468</v>
      </c>
      <c r="F150" s="53" t="s">
        <v>2065</v>
      </c>
      <c r="G150" s="55" t="s">
        <v>22</v>
      </c>
      <c r="H150" s="60" t="s">
        <v>2392</v>
      </c>
      <c r="I150" s="55">
        <v>303536611</v>
      </c>
      <c r="J150" s="55">
        <v>148049</v>
      </c>
      <c r="K150" s="55" t="s">
        <v>285</v>
      </c>
      <c r="L150" s="53" t="s">
        <v>2066</v>
      </c>
      <c r="M150" s="55" t="s">
        <v>49</v>
      </c>
      <c r="N150" s="52">
        <v>515000000</v>
      </c>
      <c r="O150" s="52">
        <v>515000000</v>
      </c>
      <c r="P150" s="52">
        <v>509013000</v>
      </c>
      <c r="Q150" s="57">
        <v>45050</v>
      </c>
      <c r="R150" s="57">
        <v>46871</v>
      </c>
      <c r="S150" s="56">
        <v>21</v>
      </c>
      <c r="T150" s="54">
        <v>24</v>
      </c>
      <c r="U150" s="52">
        <v>487992591.83999997</v>
      </c>
      <c r="V150" s="52">
        <v>487992591.83999997</v>
      </c>
      <c r="W150" s="52">
        <v>0</v>
      </c>
      <c r="X150" s="57"/>
      <c r="Y150" s="52">
        <v>0</v>
      </c>
      <c r="Z150" s="52">
        <v>0</v>
      </c>
      <c r="AA150" s="52">
        <v>2</v>
      </c>
      <c r="AB150" s="52">
        <v>48799259.189999998</v>
      </c>
      <c r="AC150" s="52">
        <v>9406344.4700000007</v>
      </c>
      <c r="AD150" s="52">
        <v>9406344.4700000007</v>
      </c>
      <c r="AE150" s="52">
        <v>0</v>
      </c>
      <c r="AF150" s="52">
        <v>0</v>
      </c>
      <c r="AG150" s="52">
        <v>0</v>
      </c>
      <c r="AH150" s="52">
        <v>0</v>
      </c>
      <c r="AI150" s="52">
        <v>0</v>
      </c>
      <c r="AJ150" s="52">
        <v>2</v>
      </c>
      <c r="AK150" s="52"/>
      <c r="AL150" s="52">
        <v>0</v>
      </c>
      <c r="AM150" s="52">
        <v>0</v>
      </c>
      <c r="AN150" s="52">
        <v>618000000</v>
      </c>
      <c r="AO150" s="61">
        <v>3463600000</v>
      </c>
      <c r="AP150" s="61">
        <v>103908000000</v>
      </c>
      <c r="AQ150" s="58">
        <v>0</v>
      </c>
      <c r="AR150" s="58">
        <v>0</v>
      </c>
      <c r="AS150" s="58">
        <v>0</v>
      </c>
      <c r="AT150" s="58">
        <v>0</v>
      </c>
      <c r="AU150" s="58">
        <v>0</v>
      </c>
      <c r="AV150" s="58">
        <v>0</v>
      </c>
      <c r="AW150" s="58">
        <v>0</v>
      </c>
      <c r="AX150" s="58">
        <v>0</v>
      </c>
    </row>
    <row r="151" spans="1:50" x14ac:dyDescent="0.25">
      <c r="A151" s="52">
        <f t="shared" si="17"/>
        <v>146</v>
      </c>
      <c r="B151" s="60" t="str">
        <f t="shared" si="16"/>
        <v>00468207830</v>
      </c>
      <c r="C151" s="67" t="s">
        <v>28</v>
      </c>
      <c r="D151" s="59" t="s">
        <v>2058</v>
      </c>
      <c r="E151" s="55" t="str">
        <f t="shared" si="15"/>
        <v>00468</v>
      </c>
      <c r="F151" s="53" t="s">
        <v>2065</v>
      </c>
      <c r="G151" s="55" t="s">
        <v>22</v>
      </c>
      <c r="H151" s="60" t="s">
        <v>2380</v>
      </c>
      <c r="I151" s="55">
        <v>303129096</v>
      </c>
      <c r="J151" s="55">
        <v>207830</v>
      </c>
      <c r="K151" s="55" t="s">
        <v>286</v>
      </c>
      <c r="L151" s="53" t="s">
        <v>2066</v>
      </c>
      <c r="M151" s="55" t="s">
        <v>49</v>
      </c>
      <c r="N151" s="52">
        <v>476328160</v>
      </c>
      <c r="O151" s="52">
        <v>476328160</v>
      </c>
      <c r="P151" s="52">
        <v>476328160</v>
      </c>
      <c r="Q151" s="57">
        <v>45492</v>
      </c>
      <c r="R151" s="57">
        <v>47317</v>
      </c>
      <c r="S151" s="56">
        <v>26</v>
      </c>
      <c r="T151" s="54">
        <v>6</v>
      </c>
      <c r="U151" s="52">
        <v>476328160</v>
      </c>
      <c r="V151" s="52">
        <v>423402808.88999999</v>
      </c>
      <c r="W151" s="52">
        <v>52925351.109999999</v>
      </c>
      <c r="X151" s="57">
        <v>46027</v>
      </c>
      <c r="Y151" s="52">
        <v>0</v>
      </c>
      <c r="Z151" s="52">
        <v>0</v>
      </c>
      <c r="AA151" s="52">
        <v>1</v>
      </c>
      <c r="AB151" s="52">
        <v>0</v>
      </c>
      <c r="AC151" s="52">
        <v>29269092.609999999</v>
      </c>
      <c r="AD151" s="52">
        <v>8143254.0300000003</v>
      </c>
      <c r="AE151" s="52">
        <v>0</v>
      </c>
      <c r="AF151" s="52">
        <v>15589099.02</v>
      </c>
      <c r="AG151" s="52">
        <v>5536739.5599999996</v>
      </c>
      <c r="AH151" s="52">
        <v>0</v>
      </c>
      <c r="AI151" s="52">
        <v>0</v>
      </c>
      <c r="AJ151" s="52">
        <v>2</v>
      </c>
      <c r="AK151" s="52"/>
      <c r="AL151" s="52">
        <v>0</v>
      </c>
      <c r="AM151" s="52">
        <v>0</v>
      </c>
      <c r="AN151" s="52">
        <v>1460739700</v>
      </c>
      <c r="AO151" s="61">
        <v>1502600000</v>
      </c>
      <c r="AP151" s="61">
        <v>345598000</v>
      </c>
      <c r="AQ151" s="58">
        <v>0</v>
      </c>
      <c r="AR151" s="58">
        <v>0</v>
      </c>
      <c r="AS151" s="58">
        <v>0</v>
      </c>
      <c r="AT151" s="58">
        <v>0</v>
      </c>
      <c r="AU151" s="58">
        <v>0</v>
      </c>
      <c r="AV151" s="58">
        <v>0</v>
      </c>
      <c r="AW151" s="58">
        <v>0</v>
      </c>
      <c r="AX151" s="58">
        <v>0</v>
      </c>
    </row>
    <row r="152" spans="1:50" x14ac:dyDescent="0.25">
      <c r="A152" s="52">
        <f t="shared" si="17"/>
        <v>147</v>
      </c>
      <c r="B152" s="60" t="str">
        <f t="shared" si="16"/>
        <v>00468255554</v>
      </c>
      <c r="C152" s="67" t="s">
        <v>28</v>
      </c>
      <c r="D152" s="59" t="s">
        <v>2058</v>
      </c>
      <c r="E152" s="55" t="str">
        <f t="shared" si="15"/>
        <v>00468</v>
      </c>
      <c r="F152" s="53" t="s">
        <v>2065</v>
      </c>
      <c r="G152" s="55" t="s">
        <v>22</v>
      </c>
      <c r="H152" s="60" t="s">
        <v>2395</v>
      </c>
      <c r="I152" s="55">
        <v>303108652</v>
      </c>
      <c r="J152" s="55">
        <v>255554</v>
      </c>
      <c r="K152" s="55" t="s">
        <v>287</v>
      </c>
      <c r="L152" s="53" t="s">
        <v>2066</v>
      </c>
      <c r="M152" s="55" t="s">
        <v>49</v>
      </c>
      <c r="N152" s="52">
        <v>468085107</v>
      </c>
      <c r="O152" s="52">
        <v>468085107</v>
      </c>
      <c r="P152" s="52">
        <v>468085107</v>
      </c>
      <c r="Q152" s="57">
        <v>45835</v>
      </c>
      <c r="R152" s="57">
        <v>47660</v>
      </c>
      <c r="S152" s="56">
        <v>14</v>
      </c>
      <c r="T152" s="54">
        <v>12</v>
      </c>
      <c r="U152" s="52">
        <v>468085107</v>
      </c>
      <c r="V152" s="52">
        <v>468085107</v>
      </c>
      <c r="W152" s="52">
        <v>0</v>
      </c>
      <c r="X152" s="57"/>
      <c r="Y152" s="52">
        <v>0</v>
      </c>
      <c r="Z152" s="52">
        <v>0</v>
      </c>
      <c r="AA152" s="52">
        <v>1</v>
      </c>
      <c r="AB152" s="52">
        <v>0</v>
      </c>
      <c r="AC152" s="52">
        <v>5565724.29</v>
      </c>
      <c r="AD152" s="52">
        <v>5565724.29</v>
      </c>
      <c r="AE152" s="52">
        <v>0</v>
      </c>
      <c r="AF152" s="52">
        <v>0</v>
      </c>
      <c r="AG152" s="52">
        <v>0</v>
      </c>
      <c r="AH152" s="52">
        <v>0</v>
      </c>
      <c r="AI152" s="52">
        <v>0</v>
      </c>
      <c r="AJ152" s="52">
        <v>2</v>
      </c>
      <c r="AK152" s="52"/>
      <c r="AL152" s="52">
        <v>0</v>
      </c>
      <c r="AM152" s="52">
        <v>0</v>
      </c>
      <c r="AN152" s="52">
        <v>5617021284</v>
      </c>
      <c r="AO152" s="61">
        <v>2110600000</v>
      </c>
      <c r="AP152" s="61">
        <v>485438000</v>
      </c>
      <c r="AQ152" s="58">
        <v>0</v>
      </c>
      <c r="AR152" s="58">
        <v>0</v>
      </c>
      <c r="AS152" s="58">
        <v>0</v>
      </c>
      <c r="AT152" s="58">
        <v>0</v>
      </c>
      <c r="AU152" s="58">
        <v>0</v>
      </c>
      <c r="AV152" s="58">
        <v>0</v>
      </c>
      <c r="AW152" s="58">
        <v>0</v>
      </c>
      <c r="AX152" s="58">
        <v>0</v>
      </c>
    </row>
    <row r="153" spans="1:50" x14ac:dyDescent="0.25">
      <c r="A153" s="52">
        <f t="shared" si="17"/>
        <v>148</v>
      </c>
      <c r="B153" s="60" t="str">
        <f t="shared" si="16"/>
        <v>00468120091</v>
      </c>
      <c r="C153" s="67" t="s">
        <v>28</v>
      </c>
      <c r="D153" s="59" t="s">
        <v>2058</v>
      </c>
      <c r="E153" s="55" t="str">
        <f t="shared" si="15"/>
        <v>00468</v>
      </c>
      <c r="F153" s="53" t="s">
        <v>2065</v>
      </c>
      <c r="G153" s="55" t="s">
        <v>22</v>
      </c>
      <c r="H153" s="60" t="s">
        <v>2382</v>
      </c>
      <c r="I153" s="55">
        <v>302942962</v>
      </c>
      <c r="J153" s="55">
        <v>120091</v>
      </c>
      <c r="K153" s="55" t="s">
        <v>288</v>
      </c>
      <c r="L153" s="53" t="s">
        <v>2066</v>
      </c>
      <c r="M153" s="55" t="s">
        <v>49</v>
      </c>
      <c r="N153" s="52">
        <v>495000000</v>
      </c>
      <c r="O153" s="52">
        <v>495000000</v>
      </c>
      <c r="P153" s="52">
        <v>495000000</v>
      </c>
      <c r="Q153" s="57">
        <v>44916</v>
      </c>
      <c r="R153" s="57">
        <v>46706</v>
      </c>
      <c r="S153" s="56">
        <v>10</v>
      </c>
      <c r="T153" s="54">
        <v>24</v>
      </c>
      <c r="U153" s="52">
        <v>467500000</v>
      </c>
      <c r="V153" s="52">
        <v>467500000</v>
      </c>
      <c r="W153" s="52">
        <v>0</v>
      </c>
      <c r="X153" s="57"/>
      <c r="Y153" s="52">
        <v>0</v>
      </c>
      <c r="Z153" s="52">
        <v>0</v>
      </c>
      <c r="AA153" s="52">
        <v>1</v>
      </c>
      <c r="AB153" s="52">
        <v>0</v>
      </c>
      <c r="AC153" s="52">
        <v>9466780.8200000003</v>
      </c>
      <c r="AD153" s="52">
        <v>9451712.3300000001</v>
      </c>
      <c r="AE153" s="52">
        <v>0</v>
      </c>
      <c r="AF153" s="52">
        <v>15068.49</v>
      </c>
      <c r="AG153" s="52">
        <v>0</v>
      </c>
      <c r="AH153" s="52">
        <v>0</v>
      </c>
      <c r="AI153" s="52">
        <v>0</v>
      </c>
      <c r="AJ153" s="52">
        <v>2</v>
      </c>
      <c r="AK153" s="52"/>
      <c r="AL153" s="52">
        <v>0</v>
      </c>
      <c r="AM153" s="52">
        <v>0</v>
      </c>
      <c r="AN153" s="52">
        <v>594000000</v>
      </c>
      <c r="AO153" s="61">
        <v>1401000000</v>
      </c>
      <c r="AP153" s="61">
        <v>322230000</v>
      </c>
      <c r="AQ153" s="58">
        <v>0</v>
      </c>
      <c r="AR153" s="58">
        <v>0</v>
      </c>
      <c r="AS153" s="58">
        <v>0</v>
      </c>
      <c r="AT153" s="58">
        <v>0</v>
      </c>
      <c r="AU153" s="58">
        <v>0</v>
      </c>
      <c r="AV153" s="58">
        <v>0</v>
      </c>
      <c r="AW153" s="58">
        <v>0</v>
      </c>
      <c r="AX153" s="58">
        <v>0</v>
      </c>
    </row>
    <row r="154" spans="1:50" x14ac:dyDescent="0.25">
      <c r="A154" s="52">
        <f t="shared" si="17"/>
        <v>149</v>
      </c>
      <c r="B154" s="60" t="str">
        <f t="shared" si="16"/>
        <v>00468197142</v>
      </c>
      <c r="C154" s="67" t="s">
        <v>28</v>
      </c>
      <c r="D154" s="59" t="s">
        <v>2058</v>
      </c>
      <c r="E154" s="55" t="str">
        <f t="shared" si="15"/>
        <v>00468</v>
      </c>
      <c r="F154" s="53" t="s">
        <v>2065</v>
      </c>
      <c r="G154" s="55" t="s">
        <v>22</v>
      </c>
      <c r="H154" s="60" t="s">
        <v>2387</v>
      </c>
      <c r="I154" s="55">
        <v>303652302</v>
      </c>
      <c r="J154" s="55">
        <v>197142</v>
      </c>
      <c r="K154" s="55" t="s">
        <v>289</v>
      </c>
      <c r="L154" s="53" t="s">
        <v>2066</v>
      </c>
      <c r="M154" s="55" t="s">
        <v>49</v>
      </c>
      <c r="N154" s="52">
        <v>574468086</v>
      </c>
      <c r="O154" s="52">
        <v>574468086</v>
      </c>
      <c r="P154" s="52">
        <v>574468085.15999997</v>
      </c>
      <c r="Q154" s="57">
        <v>45395</v>
      </c>
      <c r="R154" s="57">
        <v>47220</v>
      </c>
      <c r="S154" s="56">
        <v>14</v>
      </c>
      <c r="T154" s="54">
        <v>24</v>
      </c>
      <c r="U154" s="52">
        <v>455129116.93000001</v>
      </c>
      <c r="V154" s="52">
        <v>455129116.93000001</v>
      </c>
      <c r="W154" s="52">
        <v>0</v>
      </c>
      <c r="X154" s="57"/>
      <c r="Y154" s="52">
        <v>0</v>
      </c>
      <c r="Z154" s="52">
        <v>0</v>
      </c>
      <c r="AA154" s="52">
        <v>2</v>
      </c>
      <c r="AB154" s="52">
        <v>45512911.689999998</v>
      </c>
      <c r="AC154" s="52">
        <v>15003696.18</v>
      </c>
      <c r="AD154" s="52">
        <v>1216831.3700000001</v>
      </c>
      <c r="AE154" s="52">
        <v>0</v>
      </c>
      <c r="AF154" s="52">
        <v>13786864.810000001</v>
      </c>
      <c r="AG154" s="52">
        <v>0</v>
      </c>
      <c r="AH154" s="52">
        <v>0</v>
      </c>
      <c r="AI154" s="52">
        <v>0</v>
      </c>
      <c r="AJ154" s="52">
        <v>2</v>
      </c>
      <c r="AK154" s="52"/>
      <c r="AL154" s="52">
        <v>0</v>
      </c>
      <c r="AM154" s="52">
        <v>0</v>
      </c>
      <c r="AN154" s="52">
        <v>6893617032</v>
      </c>
      <c r="AO154" s="61">
        <v>2342100000</v>
      </c>
      <c r="AP154" s="61">
        <v>70263000000</v>
      </c>
      <c r="AQ154" s="58">
        <v>0</v>
      </c>
      <c r="AR154" s="58">
        <v>0</v>
      </c>
      <c r="AS154" s="58">
        <v>0</v>
      </c>
      <c r="AT154" s="58">
        <v>0</v>
      </c>
      <c r="AU154" s="58">
        <v>0</v>
      </c>
      <c r="AV154" s="58">
        <v>0</v>
      </c>
      <c r="AW154" s="58">
        <v>0</v>
      </c>
      <c r="AX154" s="58">
        <v>0</v>
      </c>
    </row>
    <row r="155" spans="1:50" x14ac:dyDescent="0.25">
      <c r="A155" s="52">
        <f t="shared" si="17"/>
        <v>150</v>
      </c>
      <c r="B155" s="60" t="str">
        <f t="shared" si="16"/>
        <v>00468195763</v>
      </c>
      <c r="C155" s="67" t="s">
        <v>28</v>
      </c>
      <c r="D155" s="59" t="s">
        <v>2058</v>
      </c>
      <c r="E155" s="55" t="str">
        <f t="shared" si="15"/>
        <v>00468</v>
      </c>
      <c r="F155" s="53" t="s">
        <v>2065</v>
      </c>
      <c r="G155" s="55" t="s">
        <v>22</v>
      </c>
      <c r="H155" s="60" t="s">
        <v>2395</v>
      </c>
      <c r="I155" s="55">
        <v>303108652</v>
      </c>
      <c r="J155" s="55">
        <v>195763</v>
      </c>
      <c r="K155" s="55" t="s">
        <v>290</v>
      </c>
      <c r="L155" s="53" t="s">
        <v>2066</v>
      </c>
      <c r="M155" s="55" t="s">
        <v>49</v>
      </c>
      <c r="N155" s="52">
        <v>664893618</v>
      </c>
      <c r="O155" s="52">
        <v>664893618</v>
      </c>
      <c r="P155" s="52">
        <v>664893617.08000004</v>
      </c>
      <c r="Q155" s="57">
        <v>45383</v>
      </c>
      <c r="R155" s="57">
        <v>47208</v>
      </c>
      <c r="S155" s="56">
        <v>14</v>
      </c>
      <c r="T155" s="54">
        <v>24</v>
      </c>
      <c r="U155" s="52">
        <v>454540476.60000002</v>
      </c>
      <c r="V155" s="52">
        <v>454540476.60000002</v>
      </c>
      <c r="W155" s="52">
        <v>0</v>
      </c>
      <c r="X155" s="57"/>
      <c r="Y155" s="52">
        <v>0</v>
      </c>
      <c r="Z155" s="52">
        <v>0</v>
      </c>
      <c r="AA155" s="52">
        <v>1</v>
      </c>
      <c r="AB155" s="52">
        <v>0</v>
      </c>
      <c r="AC155" s="52">
        <v>5404673.0700000003</v>
      </c>
      <c r="AD155" s="52">
        <v>5404673.0700000003</v>
      </c>
      <c r="AE155" s="52">
        <v>0</v>
      </c>
      <c r="AF155" s="52">
        <v>0</v>
      </c>
      <c r="AG155" s="52">
        <v>0</v>
      </c>
      <c r="AH155" s="52">
        <v>0</v>
      </c>
      <c r="AI155" s="52">
        <v>0</v>
      </c>
      <c r="AJ155" s="52">
        <v>2</v>
      </c>
      <c r="AK155" s="52"/>
      <c r="AL155" s="52">
        <v>0</v>
      </c>
      <c r="AM155" s="52">
        <v>0</v>
      </c>
      <c r="AN155" s="52">
        <v>7978723416</v>
      </c>
      <c r="AO155" s="61">
        <v>1570500000</v>
      </c>
      <c r="AP155" s="61">
        <v>47115000000</v>
      </c>
      <c r="AQ155" s="58">
        <v>0</v>
      </c>
      <c r="AR155" s="58">
        <v>0</v>
      </c>
      <c r="AS155" s="58">
        <v>0</v>
      </c>
      <c r="AT155" s="58">
        <v>0</v>
      </c>
      <c r="AU155" s="58">
        <v>0</v>
      </c>
      <c r="AV155" s="58">
        <v>0</v>
      </c>
      <c r="AW155" s="58">
        <v>0</v>
      </c>
      <c r="AX155" s="58">
        <v>0</v>
      </c>
    </row>
    <row r="156" spans="1:50" x14ac:dyDescent="0.25">
      <c r="A156" s="52">
        <f t="shared" si="17"/>
        <v>151</v>
      </c>
      <c r="B156" s="60" t="str">
        <f t="shared" si="16"/>
        <v>00468161103</v>
      </c>
      <c r="C156" s="67" t="s">
        <v>28</v>
      </c>
      <c r="D156" s="59" t="s">
        <v>2058</v>
      </c>
      <c r="E156" s="55" t="str">
        <f t="shared" si="15"/>
        <v>00468</v>
      </c>
      <c r="F156" s="53" t="s">
        <v>2065</v>
      </c>
      <c r="G156" s="55" t="s">
        <v>22</v>
      </c>
      <c r="H156" s="60" t="s">
        <v>2379</v>
      </c>
      <c r="I156" s="55">
        <v>200558519</v>
      </c>
      <c r="J156" s="55">
        <v>161103</v>
      </c>
      <c r="K156" s="55" t="s">
        <v>291</v>
      </c>
      <c r="L156" s="53" t="s">
        <v>2066</v>
      </c>
      <c r="M156" s="55" t="s">
        <v>49</v>
      </c>
      <c r="N156" s="52">
        <v>501550000</v>
      </c>
      <c r="O156" s="52">
        <v>501550000</v>
      </c>
      <c r="P156" s="52">
        <v>501550000</v>
      </c>
      <c r="Q156" s="57">
        <v>45140</v>
      </c>
      <c r="R156" s="57">
        <v>46966</v>
      </c>
      <c r="S156" s="56">
        <v>23.99</v>
      </c>
      <c r="T156" s="54">
        <v>6</v>
      </c>
      <c r="U156" s="52">
        <v>445822222.22000003</v>
      </c>
      <c r="V156" s="52">
        <v>390094444.44</v>
      </c>
      <c r="W156" s="52">
        <v>55727777.780000001</v>
      </c>
      <c r="X156" s="57">
        <v>45996</v>
      </c>
      <c r="Y156" s="52">
        <v>0</v>
      </c>
      <c r="Z156" s="52">
        <v>0</v>
      </c>
      <c r="AA156" s="52">
        <v>2</v>
      </c>
      <c r="AB156" s="52">
        <v>44582222.229999997</v>
      </c>
      <c r="AC156" s="52">
        <v>31484740.239999998</v>
      </c>
      <c r="AD156" s="52">
        <v>15781966.5</v>
      </c>
      <c r="AE156" s="52">
        <v>0</v>
      </c>
      <c r="AF156" s="52">
        <v>15420922.869999999</v>
      </c>
      <c r="AG156" s="52">
        <v>281850.87</v>
      </c>
      <c r="AH156" s="52">
        <v>0</v>
      </c>
      <c r="AI156" s="52">
        <v>0</v>
      </c>
      <c r="AJ156" s="52">
        <v>2</v>
      </c>
      <c r="AK156" s="52"/>
      <c r="AL156" s="52">
        <v>0</v>
      </c>
      <c r="AM156" s="52">
        <v>0</v>
      </c>
      <c r="AN156" s="52">
        <v>1203720000</v>
      </c>
      <c r="AO156" s="61">
        <v>1939000000</v>
      </c>
      <c r="AP156" s="61">
        <v>445970000</v>
      </c>
      <c r="AQ156" s="58">
        <v>0</v>
      </c>
      <c r="AR156" s="58">
        <v>0</v>
      </c>
      <c r="AS156" s="58">
        <v>0</v>
      </c>
      <c r="AT156" s="58">
        <v>0</v>
      </c>
      <c r="AU156" s="58">
        <v>0</v>
      </c>
      <c r="AV156" s="58">
        <v>0</v>
      </c>
      <c r="AW156" s="58">
        <v>0</v>
      </c>
      <c r="AX156" s="58">
        <v>0</v>
      </c>
    </row>
    <row r="157" spans="1:50" x14ac:dyDescent="0.25">
      <c r="A157" s="52">
        <f t="shared" si="17"/>
        <v>152</v>
      </c>
      <c r="B157" s="60" t="str">
        <f t="shared" si="16"/>
        <v>00468120089</v>
      </c>
      <c r="C157" s="67" t="s">
        <v>28</v>
      </c>
      <c r="D157" s="59" t="s">
        <v>2058</v>
      </c>
      <c r="E157" s="55" t="str">
        <f t="shared" si="15"/>
        <v>00468</v>
      </c>
      <c r="F157" s="53" t="s">
        <v>2065</v>
      </c>
      <c r="G157" s="55" t="s">
        <v>22</v>
      </c>
      <c r="H157" s="60" t="s">
        <v>2391</v>
      </c>
      <c r="I157" s="55">
        <v>303111950</v>
      </c>
      <c r="J157" s="55">
        <v>120089</v>
      </c>
      <c r="K157" s="55" t="s">
        <v>292</v>
      </c>
      <c r="L157" s="53" t="s">
        <v>2066</v>
      </c>
      <c r="M157" s="55" t="s">
        <v>49</v>
      </c>
      <c r="N157" s="52">
        <v>495000000</v>
      </c>
      <c r="O157" s="52">
        <v>495000000</v>
      </c>
      <c r="P157" s="52">
        <v>495000000</v>
      </c>
      <c r="Q157" s="57">
        <v>44895</v>
      </c>
      <c r="R157" s="57">
        <v>46706</v>
      </c>
      <c r="S157" s="56">
        <v>10</v>
      </c>
      <c r="T157" s="54">
        <v>24</v>
      </c>
      <c r="U157" s="52">
        <v>440000000</v>
      </c>
      <c r="V157" s="52">
        <v>426250000</v>
      </c>
      <c r="W157" s="52">
        <v>13750000</v>
      </c>
      <c r="X157" s="57">
        <v>46036</v>
      </c>
      <c r="Y157" s="52">
        <v>0</v>
      </c>
      <c r="Z157" s="52">
        <v>0</v>
      </c>
      <c r="AA157" s="52">
        <v>1</v>
      </c>
      <c r="AB157" s="52">
        <v>0</v>
      </c>
      <c r="AC157" s="52">
        <v>3605136.98</v>
      </c>
      <c r="AD157" s="52">
        <v>3605136.98</v>
      </c>
      <c r="AE157" s="52">
        <v>0</v>
      </c>
      <c r="AF157" s="52">
        <v>0</v>
      </c>
      <c r="AG157" s="52">
        <v>0</v>
      </c>
      <c r="AH157" s="52">
        <v>0</v>
      </c>
      <c r="AI157" s="52">
        <v>0</v>
      </c>
      <c r="AJ157" s="52">
        <v>2</v>
      </c>
      <c r="AK157" s="52"/>
      <c r="AL157" s="52">
        <v>0</v>
      </c>
      <c r="AM157" s="52">
        <v>0</v>
      </c>
      <c r="AN157" s="52">
        <v>1582000000</v>
      </c>
      <c r="AO157" s="61">
        <v>1912100000</v>
      </c>
      <c r="AP157" s="61">
        <v>439783000</v>
      </c>
      <c r="AQ157" s="58">
        <v>0</v>
      </c>
      <c r="AR157" s="58">
        <v>0</v>
      </c>
      <c r="AS157" s="58">
        <v>0</v>
      </c>
      <c r="AT157" s="58">
        <v>0</v>
      </c>
      <c r="AU157" s="58">
        <v>0</v>
      </c>
      <c r="AV157" s="58">
        <v>0</v>
      </c>
      <c r="AW157" s="58">
        <v>0</v>
      </c>
      <c r="AX157" s="58">
        <v>0</v>
      </c>
    </row>
    <row r="158" spans="1:50" x14ac:dyDescent="0.25">
      <c r="A158" s="52">
        <f t="shared" si="17"/>
        <v>153</v>
      </c>
      <c r="B158" s="60" t="str">
        <f t="shared" si="16"/>
        <v>00468261577</v>
      </c>
      <c r="C158" s="67" t="s">
        <v>28</v>
      </c>
      <c r="D158" s="59" t="s">
        <v>2058</v>
      </c>
      <c r="E158" s="55" t="str">
        <f t="shared" si="15"/>
        <v>00468</v>
      </c>
      <c r="F158" s="53" t="s">
        <v>2065</v>
      </c>
      <c r="G158" s="55" t="s">
        <v>22</v>
      </c>
      <c r="H158" s="60" t="s">
        <v>2392</v>
      </c>
      <c r="I158" s="55">
        <v>303536611</v>
      </c>
      <c r="J158" s="55">
        <v>261577</v>
      </c>
      <c r="K158" s="55" t="s">
        <v>293</v>
      </c>
      <c r="L158" s="53" t="s">
        <v>2066</v>
      </c>
      <c r="M158" s="55" t="s">
        <v>49</v>
      </c>
      <c r="N158" s="52">
        <v>584608440</v>
      </c>
      <c r="O158" s="52">
        <v>584608440</v>
      </c>
      <c r="P158" s="52">
        <v>439600000</v>
      </c>
      <c r="Q158" s="57">
        <v>45870</v>
      </c>
      <c r="R158" s="57">
        <v>46234</v>
      </c>
      <c r="S158" s="56">
        <v>14</v>
      </c>
      <c r="T158" s="54">
        <v>6</v>
      </c>
      <c r="U158" s="52">
        <v>439600000</v>
      </c>
      <c r="V158" s="52">
        <v>439600000</v>
      </c>
      <c r="W158" s="52">
        <v>0</v>
      </c>
      <c r="X158" s="57"/>
      <c r="Y158" s="52">
        <v>0</v>
      </c>
      <c r="Z158" s="52">
        <v>0</v>
      </c>
      <c r="AA158" s="52">
        <v>1</v>
      </c>
      <c r="AB158" s="52">
        <v>0</v>
      </c>
      <c r="AC158" s="52">
        <v>14197961.640000001</v>
      </c>
      <c r="AD158" s="52">
        <v>14197961.640000001</v>
      </c>
      <c r="AE158" s="52">
        <v>0</v>
      </c>
      <c r="AF158" s="52">
        <v>0</v>
      </c>
      <c r="AG158" s="52">
        <v>0</v>
      </c>
      <c r="AH158" s="52">
        <v>0</v>
      </c>
      <c r="AI158" s="52">
        <v>0</v>
      </c>
      <c r="AJ158" s="52">
        <v>2</v>
      </c>
      <c r="AK158" s="52"/>
      <c r="AL158" s="52">
        <v>0</v>
      </c>
      <c r="AM158" s="52">
        <v>0</v>
      </c>
      <c r="AN158" s="52">
        <v>701530128</v>
      </c>
      <c r="AO158" s="61">
        <v>584608440</v>
      </c>
      <c r="AP158" s="61">
        <v>439600000</v>
      </c>
      <c r="AQ158" s="58">
        <v>0</v>
      </c>
      <c r="AR158" s="58">
        <v>0</v>
      </c>
      <c r="AS158" s="58">
        <v>0</v>
      </c>
      <c r="AT158" s="58">
        <v>0</v>
      </c>
      <c r="AU158" s="58">
        <v>0</v>
      </c>
      <c r="AV158" s="58">
        <v>0</v>
      </c>
      <c r="AW158" s="58">
        <v>0</v>
      </c>
      <c r="AX158" s="58">
        <v>0</v>
      </c>
    </row>
    <row r="159" spans="1:50" x14ac:dyDescent="0.25">
      <c r="A159" s="52">
        <f t="shared" si="17"/>
        <v>154</v>
      </c>
      <c r="B159" s="60" t="str">
        <f t="shared" si="16"/>
        <v>00468246622</v>
      </c>
      <c r="C159" s="67" t="s">
        <v>28</v>
      </c>
      <c r="D159" s="59" t="s">
        <v>2058</v>
      </c>
      <c r="E159" s="55" t="str">
        <f t="shared" si="15"/>
        <v>00468</v>
      </c>
      <c r="F159" s="53" t="s">
        <v>2065</v>
      </c>
      <c r="G159" s="55" t="s">
        <v>22</v>
      </c>
      <c r="H159" s="60" t="s">
        <v>2389</v>
      </c>
      <c r="I159" s="55">
        <v>303612010</v>
      </c>
      <c r="J159" s="55">
        <v>246622</v>
      </c>
      <c r="K159" s="55" t="s">
        <v>294</v>
      </c>
      <c r="L159" s="53" t="s">
        <v>2066</v>
      </c>
      <c r="M159" s="55" t="s">
        <v>49</v>
      </c>
      <c r="N159" s="52">
        <v>744680852</v>
      </c>
      <c r="O159" s="52">
        <v>744680852</v>
      </c>
      <c r="P159" s="52">
        <v>744680851.12</v>
      </c>
      <c r="Q159" s="57">
        <v>45765</v>
      </c>
      <c r="R159" s="57">
        <v>47590</v>
      </c>
      <c r="S159" s="56">
        <v>14</v>
      </c>
      <c r="T159" s="54">
        <v>24</v>
      </c>
      <c r="U159" s="52">
        <v>439344016.87</v>
      </c>
      <c r="V159" s="52">
        <v>439344016.87</v>
      </c>
      <c r="W159" s="52">
        <v>0</v>
      </c>
      <c r="X159" s="57"/>
      <c r="Y159" s="52">
        <v>0</v>
      </c>
      <c r="Z159" s="52">
        <v>0</v>
      </c>
      <c r="AA159" s="52">
        <v>1</v>
      </c>
      <c r="AB159" s="52">
        <v>0</v>
      </c>
      <c r="AC159" s="52">
        <v>2190701.6800000002</v>
      </c>
      <c r="AD159" s="52">
        <v>2190701.6800000002</v>
      </c>
      <c r="AE159" s="52">
        <v>0</v>
      </c>
      <c r="AF159" s="52">
        <v>0</v>
      </c>
      <c r="AG159" s="52">
        <v>0</v>
      </c>
      <c r="AH159" s="52">
        <v>0</v>
      </c>
      <c r="AI159" s="52">
        <v>0</v>
      </c>
      <c r="AJ159" s="52">
        <v>2</v>
      </c>
      <c r="AK159" s="52"/>
      <c r="AL159" s="52">
        <v>0</v>
      </c>
      <c r="AM159" s="52">
        <v>0</v>
      </c>
      <c r="AN159" s="52">
        <v>8936170224</v>
      </c>
      <c r="AO159" s="61">
        <v>812900000</v>
      </c>
      <c r="AP159" s="61">
        <v>24387000000</v>
      </c>
      <c r="AQ159" s="58">
        <v>0</v>
      </c>
      <c r="AR159" s="58">
        <v>0</v>
      </c>
      <c r="AS159" s="58">
        <v>0</v>
      </c>
      <c r="AT159" s="58">
        <v>0</v>
      </c>
      <c r="AU159" s="58">
        <v>0</v>
      </c>
      <c r="AV159" s="58">
        <v>0</v>
      </c>
      <c r="AW159" s="58">
        <v>0</v>
      </c>
      <c r="AX159" s="58">
        <v>0</v>
      </c>
    </row>
    <row r="160" spans="1:50" x14ac:dyDescent="0.25">
      <c r="A160" s="52">
        <f t="shared" si="17"/>
        <v>155</v>
      </c>
      <c r="B160" s="60" t="str">
        <f t="shared" si="16"/>
        <v>00468260080</v>
      </c>
      <c r="C160" s="67" t="s">
        <v>28</v>
      </c>
      <c r="D160" s="59" t="s">
        <v>2058</v>
      </c>
      <c r="E160" s="55" t="str">
        <f t="shared" si="15"/>
        <v>00468</v>
      </c>
      <c r="F160" s="53" t="s">
        <v>2065</v>
      </c>
      <c r="G160" s="55" t="s">
        <v>22</v>
      </c>
      <c r="H160" s="60" t="s">
        <v>2396</v>
      </c>
      <c r="I160" s="55">
        <v>303303814</v>
      </c>
      <c r="J160" s="55">
        <v>260080</v>
      </c>
      <c r="K160" s="55" t="s">
        <v>295</v>
      </c>
      <c r="L160" s="53" t="s">
        <v>2066</v>
      </c>
      <c r="M160" s="55" t="s">
        <v>49</v>
      </c>
      <c r="N160" s="52">
        <v>425531915</v>
      </c>
      <c r="O160" s="52">
        <v>425531915</v>
      </c>
      <c r="P160" s="52">
        <v>225531915</v>
      </c>
      <c r="Q160" s="57">
        <v>45862</v>
      </c>
      <c r="R160" s="57">
        <v>47687</v>
      </c>
      <c r="S160" s="56">
        <v>24</v>
      </c>
      <c r="T160" s="54">
        <v>12</v>
      </c>
      <c r="U160" s="52">
        <v>425531915</v>
      </c>
      <c r="V160" s="52">
        <v>425531915</v>
      </c>
      <c r="W160" s="52">
        <v>0</v>
      </c>
      <c r="X160" s="57"/>
      <c r="Y160" s="52">
        <v>0</v>
      </c>
      <c r="Z160" s="52">
        <v>0</v>
      </c>
      <c r="AA160" s="52">
        <v>1</v>
      </c>
      <c r="AB160" s="52">
        <v>0</v>
      </c>
      <c r="AC160" s="52">
        <v>8673856.0199999996</v>
      </c>
      <c r="AD160" s="52">
        <v>8673856.0199999996</v>
      </c>
      <c r="AE160" s="52">
        <v>0</v>
      </c>
      <c r="AF160" s="52">
        <v>0</v>
      </c>
      <c r="AG160" s="52">
        <v>0</v>
      </c>
      <c r="AH160" s="52">
        <v>0</v>
      </c>
      <c r="AI160" s="52">
        <v>0</v>
      </c>
      <c r="AJ160" s="52">
        <v>2</v>
      </c>
      <c r="AK160" s="52"/>
      <c r="AL160" s="52">
        <v>0</v>
      </c>
      <c r="AM160" s="52">
        <v>0</v>
      </c>
      <c r="AN160" s="52">
        <v>510638298</v>
      </c>
      <c r="AO160" s="61">
        <v>425531915</v>
      </c>
      <c r="AP160" s="61">
        <v>225531915</v>
      </c>
      <c r="AQ160" s="58">
        <v>0</v>
      </c>
      <c r="AR160" s="58">
        <v>0</v>
      </c>
      <c r="AS160" s="58">
        <v>0</v>
      </c>
      <c r="AT160" s="58">
        <v>0</v>
      </c>
      <c r="AU160" s="58">
        <v>0</v>
      </c>
      <c r="AV160" s="58">
        <v>0</v>
      </c>
      <c r="AW160" s="58">
        <v>0</v>
      </c>
      <c r="AX160" s="58">
        <v>0</v>
      </c>
    </row>
    <row r="161" spans="1:50" x14ac:dyDescent="0.25">
      <c r="A161" s="52">
        <f t="shared" si="17"/>
        <v>156</v>
      </c>
      <c r="B161" s="60" t="str">
        <f t="shared" si="16"/>
        <v>00468234347</v>
      </c>
      <c r="C161" s="67" t="s">
        <v>28</v>
      </c>
      <c r="D161" s="59" t="s">
        <v>2058</v>
      </c>
      <c r="E161" s="55" t="str">
        <f t="shared" si="15"/>
        <v>00468</v>
      </c>
      <c r="F161" s="53" t="s">
        <v>2065</v>
      </c>
      <c r="G161" s="55" t="s">
        <v>22</v>
      </c>
      <c r="H161" s="60" t="s">
        <v>2397</v>
      </c>
      <c r="I161" s="55">
        <v>303052470</v>
      </c>
      <c r="J161" s="55">
        <v>234347</v>
      </c>
      <c r="K161" s="55" t="s">
        <v>296</v>
      </c>
      <c r="L161" s="53" t="s">
        <v>2066</v>
      </c>
      <c r="M161" s="55" t="s">
        <v>49</v>
      </c>
      <c r="N161" s="52">
        <v>720851064</v>
      </c>
      <c r="O161" s="52">
        <v>720851064</v>
      </c>
      <c r="P161" s="52">
        <v>720851063.84000003</v>
      </c>
      <c r="Q161" s="57">
        <v>45681</v>
      </c>
      <c r="R161" s="57">
        <v>47506</v>
      </c>
      <c r="S161" s="56">
        <v>14</v>
      </c>
      <c r="T161" s="54">
        <v>24</v>
      </c>
      <c r="U161" s="52">
        <v>408549297.58999997</v>
      </c>
      <c r="V161" s="52">
        <v>408549297.58999997</v>
      </c>
      <c r="W161" s="52">
        <v>0</v>
      </c>
      <c r="X161" s="57"/>
      <c r="Y161" s="52">
        <v>0</v>
      </c>
      <c r="Z161" s="52">
        <v>0</v>
      </c>
      <c r="AA161" s="52">
        <v>1</v>
      </c>
      <c r="AB161" s="52">
        <v>0</v>
      </c>
      <c r="AC161" s="52">
        <v>470111.52</v>
      </c>
      <c r="AD161" s="52">
        <v>470111.52</v>
      </c>
      <c r="AE161" s="52">
        <v>0</v>
      </c>
      <c r="AF161" s="52">
        <v>0</v>
      </c>
      <c r="AG161" s="52">
        <v>0</v>
      </c>
      <c r="AH161" s="52">
        <v>0</v>
      </c>
      <c r="AI161" s="52">
        <v>0</v>
      </c>
      <c r="AJ161" s="52">
        <v>2</v>
      </c>
      <c r="AK161" s="52"/>
      <c r="AL161" s="52">
        <v>0</v>
      </c>
      <c r="AM161" s="52">
        <v>0</v>
      </c>
      <c r="AN161" s="52">
        <v>8650212768</v>
      </c>
      <c r="AO161" s="61">
        <v>873400000</v>
      </c>
      <c r="AP161" s="61">
        <v>26202000000</v>
      </c>
      <c r="AQ161" s="58">
        <v>0</v>
      </c>
      <c r="AR161" s="58">
        <v>0</v>
      </c>
      <c r="AS161" s="58">
        <v>0</v>
      </c>
      <c r="AT161" s="58">
        <v>0</v>
      </c>
      <c r="AU161" s="58">
        <v>0</v>
      </c>
      <c r="AV161" s="58">
        <v>0</v>
      </c>
      <c r="AW161" s="58">
        <v>0</v>
      </c>
      <c r="AX161" s="58">
        <v>0</v>
      </c>
    </row>
    <row r="162" spans="1:50" x14ac:dyDescent="0.25">
      <c r="A162" s="52">
        <f t="shared" si="17"/>
        <v>157</v>
      </c>
      <c r="B162" s="60" t="str">
        <f t="shared" si="16"/>
        <v>00468188941</v>
      </c>
      <c r="C162" s="67" t="s">
        <v>28</v>
      </c>
      <c r="D162" s="59" t="s">
        <v>2058</v>
      </c>
      <c r="E162" s="55" t="str">
        <f t="shared" si="15"/>
        <v>00468</v>
      </c>
      <c r="F162" s="53" t="s">
        <v>2065</v>
      </c>
      <c r="G162" s="55" t="s">
        <v>22</v>
      </c>
      <c r="H162" s="60" t="s">
        <v>2394</v>
      </c>
      <c r="I162" s="55">
        <v>303834787</v>
      </c>
      <c r="J162" s="55">
        <v>188941</v>
      </c>
      <c r="K162" s="55" t="s">
        <v>297</v>
      </c>
      <c r="L162" s="53" t="s">
        <v>2066</v>
      </c>
      <c r="M162" s="55" t="s">
        <v>49</v>
      </c>
      <c r="N162" s="52">
        <v>385000000</v>
      </c>
      <c r="O162" s="52">
        <v>385000000</v>
      </c>
      <c r="P162" s="52">
        <v>385000000</v>
      </c>
      <c r="Q162" s="57">
        <v>45334</v>
      </c>
      <c r="R162" s="57">
        <v>47158</v>
      </c>
      <c r="S162" s="56">
        <v>10</v>
      </c>
      <c r="T162" s="54">
        <v>24</v>
      </c>
      <c r="U162" s="52">
        <v>385000000</v>
      </c>
      <c r="V162" s="52">
        <v>385000000</v>
      </c>
      <c r="W162" s="52">
        <v>0</v>
      </c>
      <c r="X162" s="57"/>
      <c r="Y162" s="52">
        <v>0</v>
      </c>
      <c r="Z162" s="52">
        <v>0</v>
      </c>
      <c r="AA162" s="52">
        <v>1</v>
      </c>
      <c r="AB162" s="52">
        <v>0</v>
      </c>
      <c r="AC162" s="52">
        <v>7795783.7699999996</v>
      </c>
      <c r="AD162" s="52">
        <v>2109589.04</v>
      </c>
      <c r="AE162" s="52">
        <v>0</v>
      </c>
      <c r="AF162" s="52">
        <v>4525920.76</v>
      </c>
      <c r="AG162" s="52">
        <v>1160273.97</v>
      </c>
      <c r="AH162" s="52">
        <v>0</v>
      </c>
      <c r="AI162" s="52">
        <v>0</v>
      </c>
      <c r="AJ162" s="52">
        <v>2</v>
      </c>
      <c r="AK162" s="52"/>
      <c r="AL162" s="52">
        <v>0</v>
      </c>
      <c r="AM162" s="52">
        <v>0</v>
      </c>
      <c r="AN162" s="52">
        <v>502000001</v>
      </c>
      <c r="AO162" s="61">
        <v>1204200000</v>
      </c>
      <c r="AP162" s="61">
        <v>276966000</v>
      </c>
      <c r="AQ162" s="58">
        <v>0</v>
      </c>
      <c r="AR162" s="58">
        <v>0</v>
      </c>
      <c r="AS162" s="58">
        <v>0</v>
      </c>
      <c r="AT162" s="58">
        <v>0</v>
      </c>
      <c r="AU162" s="58">
        <v>0</v>
      </c>
      <c r="AV162" s="58">
        <v>0</v>
      </c>
      <c r="AW162" s="58">
        <v>0</v>
      </c>
      <c r="AX162" s="58">
        <v>0</v>
      </c>
    </row>
    <row r="163" spans="1:50" x14ac:dyDescent="0.25">
      <c r="A163" s="52">
        <f t="shared" si="17"/>
        <v>158</v>
      </c>
      <c r="B163" s="60" t="str">
        <f t="shared" si="16"/>
        <v>00468128027</v>
      </c>
      <c r="C163" s="67" t="s">
        <v>28</v>
      </c>
      <c r="D163" s="59" t="s">
        <v>2058</v>
      </c>
      <c r="E163" s="55" t="str">
        <f t="shared" si="15"/>
        <v>00468</v>
      </c>
      <c r="F163" s="53" t="s">
        <v>2065</v>
      </c>
      <c r="G163" s="55" t="s">
        <v>22</v>
      </c>
      <c r="H163" s="60" t="s">
        <v>2387</v>
      </c>
      <c r="I163" s="55">
        <v>303652302</v>
      </c>
      <c r="J163" s="55">
        <v>128027</v>
      </c>
      <c r="K163" s="55" t="s">
        <v>298</v>
      </c>
      <c r="L163" s="53" t="s">
        <v>2066</v>
      </c>
      <c r="M163" s="55" t="s">
        <v>49</v>
      </c>
      <c r="N163" s="52">
        <v>385000000</v>
      </c>
      <c r="O163" s="52">
        <v>385000000</v>
      </c>
      <c r="P163" s="52">
        <v>385000000</v>
      </c>
      <c r="Q163" s="57">
        <v>45023</v>
      </c>
      <c r="R163" s="57">
        <v>46762</v>
      </c>
      <c r="S163" s="56">
        <v>10</v>
      </c>
      <c r="T163" s="54">
        <v>24</v>
      </c>
      <c r="U163" s="52">
        <v>385000000</v>
      </c>
      <c r="V163" s="52">
        <v>374305555.56</v>
      </c>
      <c r="W163" s="52">
        <v>10694444.439999999</v>
      </c>
      <c r="X163" s="57">
        <v>46037</v>
      </c>
      <c r="Y163" s="52">
        <v>0</v>
      </c>
      <c r="Z163" s="52">
        <v>0</v>
      </c>
      <c r="AA163" s="52">
        <v>1</v>
      </c>
      <c r="AB163" s="52">
        <v>0</v>
      </c>
      <c r="AC163" s="52">
        <v>3896879.76</v>
      </c>
      <c r="AD163" s="52">
        <v>3896879.76</v>
      </c>
      <c r="AE163" s="52">
        <v>0</v>
      </c>
      <c r="AF163" s="52">
        <v>0</v>
      </c>
      <c r="AG163" s="52">
        <v>0</v>
      </c>
      <c r="AH163" s="52">
        <v>0</v>
      </c>
      <c r="AI163" s="52">
        <v>0</v>
      </c>
      <c r="AJ163" s="52">
        <v>2</v>
      </c>
      <c r="AK163" s="52"/>
      <c r="AL163" s="52">
        <v>0</v>
      </c>
      <c r="AM163" s="52">
        <v>0</v>
      </c>
      <c r="AN163" s="52">
        <v>462000000</v>
      </c>
      <c r="AO163" s="61">
        <v>3434400000</v>
      </c>
      <c r="AP163" s="61">
        <v>789912000</v>
      </c>
      <c r="AQ163" s="58">
        <v>0</v>
      </c>
      <c r="AR163" s="58">
        <v>0</v>
      </c>
      <c r="AS163" s="58">
        <v>0</v>
      </c>
      <c r="AT163" s="58">
        <v>0</v>
      </c>
      <c r="AU163" s="58">
        <v>0</v>
      </c>
      <c r="AV163" s="58">
        <v>0</v>
      </c>
      <c r="AW163" s="58">
        <v>0</v>
      </c>
      <c r="AX163" s="58">
        <v>0</v>
      </c>
    </row>
    <row r="164" spans="1:50" x14ac:dyDescent="0.25">
      <c r="A164" s="52">
        <f t="shared" si="17"/>
        <v>159</v>
      </c>
      <c r="B164" s="60" t="str">
        <f t="shared" si="16"/>
        <v>00468120083</v>
      </c>
      <c r="C164" s="67" t="s">
        <v>28</v>
      </c>
      <c r="D164" s="59" t="s">
        <v>2058</v>
      </c>
      <c r="E164" s="55" t="str">
        <f t="shared" si="15"/>
        <v>00468</v>
      </c>
      <c r="F164" s="53" t="s">
        <v>2065</v>
      </c>
      <c r="G164" s="55" t="s">
        <v>22</v>
      </c>
      <c r="H164" s="60" t="s">
        <v>2390</v>
      </c>
      <c r="I164" s="55">
        <v>303690098</v>
      </c>
      <c r="J164" s="55">
        <v>120083</v>
      </c>
      <c r="K164" s="55" t="s">
        <v>299</v>
      </c>
      <c r="L164" s="53" t="s">
        <v>2066</v>
      </c>
      <c r="M164" s="55" t="s">
        <v>49</v>
      </c>
      <c r="N164" s="52">
        <v>385000000</v>
      </c>
      <c r="O164" s="52">
        <v>385000000</v>
      </c>
      <c r="P164" s="52">
        <v>385000000</v>
      </c>
      <c r="Q164" s="57">
        <v>44895</v>
      </c>
      <c r="R164" s="57">
        <v>46684</v>
      </c>
      <c r="S164" s="56">
        <v>10</v>
      </c>
      <c r="T164" s="54">
        <v>24</v>
      </c>
      <c r="U164" s="52">
        <v>385000000</v>
      </c>
      <c r="V164" s="52">
        <v>374305555.56</v>
      </c>
      <c r="W164" s="52">
        <v>10694444.439999999</v>
      </c>
      <c r="X164" s="57">
        <v>46048</v>
      </c>
      <c r="Y164" s="52">
        <v>0</v>
      </c>
      <c r="Z164" s="52">
        <v>0</v>
      </c>
      <c r="AA164" s="52">
        <v>2</v>
      </c>
      <c r="AB164" s="52">
        <v>38500000</v>
      </c>
      <c r="AC164" s="52">
        <v>3855859.97</v>
      </c>
      <c r="AD164" s="52">
        <v>3855859.97</v>
      </c>
      <c r="AE164" s="52">
        <v>0</v>
      </c>
      <c r="AF164" s="52">
        <v>0</v>
      </c>
      <c r="AG164" s="52">
        <v>0</v>
      </c>
      <c r="AH164" s="52">
        <v>0</v>
      </c>
      <c r="AI164" s="52">
        <v>0</v>
      </c>
      <c r="AJ164" s="52">
        <v>2</v>
      </c>
      <c r="AK164" s="52"/>
      <c r="AL164" s="52">
        <v>0</v>
      </c>
      <c r="AM164" s="52">
        <v>0</v>
      </c>
      <c r="AN164" s="52">
        <v>462000000</v>
      </c>
      <c r="AO164" s="61">
        <v>2677000000</v>
      </c>
      <c r="AP164" s="61">
        <v>615710000</v>
      </c>
      <c r="AQ164" s="58">
        <v>0</v>
      </c>
      <c r="AR164" s="58">
        <v>0</v>
      </c>
      <c r="AS164" s="58">
        <v>0</v>
      </c>
      <c r="AT164" s="58">
        <v>0</v>
      </c>
      <c r="AU164" s="58">
        <v>0</v>
      </c>
      <c r="AV164" s="58">
        <v>0</v>
      </c>
      <c r="AW164" s="58">
        <v>0</v>
      </c>
      <c r="AX164" s="58">
        <v>0</v>
      </c>
    </row>
    <row r="165" spans="1:50" x14ac:dyDescent="0.25">
      <c r="A165" s="52">
        <f t="shared" si="17"/>
        <v>160</v>
      </c>
      <c r="B165" s="60" t="str">
        <f t="shared" si="16"/>
        <v>00468120092</v>
      </c>
      <c r="C165" s="67" t="s">
        <v>28</v>
      </c>
      <c r="D165" s="59" t="s">
        <v>2058</v>
      </c>
      <c r="E165" s="55" t="str">
        <f t="shared" si="15"/>
        <v>00468</v>
      </c>
      <c r="F165" s="53" t="s">
        <v>2065</v>
      </c>
      <c r="G165" s="55" t="s">
        <v>22</v>
      </c>
      <c r="H165" s="60" t="s">
        <v>2381</v>
      </c>
      <c r="I165" s="55">
        <v>305429133</v>
      </c>
      <c r="J165" s="55">
        <v>120092</v>
      </c>
      <c r="K165" s="55" t="s">
        <v>300</v>
      </c>
      <c r="L165" s="53" t="s">
        <v>2066</v>
      </c>
      <c r="M165" s="55" t="s">
        <v>49</v>
      </c>
      <c r="N165" s="52">
        <v>385000000</v>
      </c>
      <c r="O165" s="52">
        <v>385000000</v>
      </c>
      <c r="P165" s="52">
        <v>385000000</v>
      </c>
      <c r="Q165" s="57">
        <v>44895</v>
      </c>
      <c r="R165" s="57">
        <v>46706</v>
      </c>
      <c r="S165" s="56">
        <v>10</v>
      </c>
      <c r="T165" s="54">
        <v>12</v>
      </c>
      <c r="U165" s="52">
        <v>374305555.56</v>
      </c>
      <c r="V165" s="52">
        <v>363611111.12</v>
      </c>
      <c r="W165" s="52">
        <v>10694444.439999999</v>
      </c>
      <c r="X165" s="57">
        <v>46036</v>
      </c>
      <c r="Y165" s="52">
        <v>0</v>
      </c>
      <c r="Z165" s="52">
        <v>0</v>
      </c>
      <c r="AA165" s="52">
        <v>1</v>
      </c>
      <c r="AB165" s="52">
        <v>0</v>
      </c>
      <c r="AC165" s="52">
        <v>3126293.76</v>
      </c>
      <c r="AD165" s="52">
        <v>3126293.76</v>
      </c>
      <c r="AE165" s="52">
        <v>0</v>
      </c>
      <c r="AF165" s="52">
        <v>0</v>
      </c>
      <c r="AG165" s="52">
        <v>0</v>
      </c>
      <c r="AH165" s="52">
        <v>0</v>
      </c>
      <c r="AI165" s="52">
        <v>0</v>
      </c>
      <c r="AJ165" s="52">
        <v>2</v>
      </c>
      <c r="AK165" s="52"/>
      <c r="AL165" s="52">
        <v>0</v>
      </c>
      <c r="AM165" s="52">
        <v>0</v>
      </c>
      <c r="AN165" s="52">
        <v>462500000</v>
      </c>
      <c r="AO165" s="61">
        <v>552800000</v>
      </c>
      <c r="AP165" s="61">
        <v>127144000</v>
      </c>
      <c r="AQ165" s="58">
        <v>0</v>
      </c>
      <c r="AR165" s="58">
        <v>0</v>
      </c>
      <c r="AS165" s="58">
        <v>0</v>
      </c>
      <c r="AT165" s="58">
        <v>0</v>
      </c>
      <c r="AU165" s="58">
        <v>0</v>
      </c>
      <c r="AV165" s="58">
        <v>0</v>
      </c>
      <c r="AW165" s="58">
        <v>0</v>
      </c>
      <c r="AX165" s="58">
        <v>0</v>
      </c>
    </row>
    <row r="166" spans="1:50" x14ac:dyDescent="0.25">
      <c r="A166" s="52">
        <f t="shared" si="17"/>
        <v>161</v>
      </c>
      <c r="B166" s="60" t="str">
        <f t="shared" si="16"/>
        <v>00468247325</v>
      </c>
      <c r="C166" s="67" t="s">
        <v>28</v>
      </c>
      <c r="D166" s="59" t="s">
        <v>2058</v>
      </c>
      <c r="E166" s="55" t="str">
        <f t="shared" si="15"/>
        <v>00468</v>
      </c>
      <c r="F166" s="53" t="s">
        <v>2065</v>
      </c>
      <c r="G166" s="55" t="s">
        <v>22</v>
      </c>
      <c r="H166" s="60" t="s">
        <v>2396</v>
      </c>
      <c r="I166" s="55">
        <v>303303814</v>
      </c>
      <c r="J166" s="55">
        <v>247325</v>
      </c>
      <c r="K166" s="55" t="s">
        <v>301</v>
      </c>
      <c r="L166" s="53" t="s">
        <v>2066</v>
      </c>
      <c r="M166" s="55" t="s">
        <v>49</v>
      </c>
      <c r="N166" s="52">
        <v>492000000</v>
      </c>
      <c r="O166" s="52">
        <v>492000000</v>
      </c>
      <c r="P166" s="52">
        <v>492000000</v>
      </c>
      <c r="Q166" s="57">
        <v>45771</v>
      </c>
      <c r="R166" s="57">
        <v>46300</v>
      </c>
      <c r="S166" s="56">
        <v>26</v>
      </c>
      <c r="T166" s="54">
        <v>6</v>
      </c>
      <c r="U166" s="52">
        <v>369000000</v>
      </c>
      <c r="V166" s="52">
        <v>369000000</v>
      </c>
      <c r="W166" s="52">
        <v>0</v>
      </c>
      <c r="X166" s="57"/>
      <c r="Y166" s="52">
        <v>0</v>
      </c>
      <c r="Z166" s="52">
        <v>0</v>
      </c>
      <c r="AA166" s="52">
        <v>1</v>
      </c>
      <c r="AB166" s="52">
        <v>0</v>
      </c>
      <c r="AC166" s="52">
        <v>8015805.6899999995</v>
      </c>
      <c r="AD166" s="52">
        <v>7096931.5099999998</v>
      </c>
      <c r="AE166" s="52">
        <v>0</v>
      </c>
      <c r="AF166" s="52">
        <v>0</v>
      </c>
      <c r="AG166" s="52">
        <v>918874.18</v>
      </c>
      <c r="AH166" s="52">
        <v>0</v>
      </c>
      <c r="AI166" s="52">
        <v>0</v>
      </c>
      <c r="AJ166" s="52">
        <v>2</v>
      </c>
      <c r="AK166" s="52"/>
      <c r="AL166" s="52">
        <v>0</v>
      </c>
      <c r="AM166" s="52">
        <v>0</v>
      </c>
      <c r="AN166" s="52">
        <v>590400000</v>
      </c>
      <c r="AO166" s="61">
        <v>606200000</v>
      </c>
      <c r="AP166" s="61">
        <v>181860000</v>
      </c>
      <c r="AQ166" s="58">
        <v>0</v>
      </c>
      <c r="AR166" s="58">
        <v>0</v>
      </c>
      <c r="AS166" s="58">
        <v>0</v>
      </c>
      <c r="AT166" s="58">
        <v>0</v>
      </c>
      <c r="AU166" s="58">
        <v>0</v>
      </c>
      <c r="AV166" s="58">
        <v>0</v>
      </c>
      <c r="AW166" s="58">
        <v>0</v>
      </c>
      <c r="AX166" s="58">
        <v>0</v>
      </c>
    </row>
    <row r="167" spans="1:50" x14ac:dyDescent="0.25">
      <c r="A167" s="52">
        <f t="shared" si="17"/>
        <v>162</v>
      </c>
      <c r="B167" s="60" t="str">
        <f t="shared" si="16"/>
        <v>00468242838</v>
      </c>
      <c r="C167" s="67" t="s">
        <v>28</v>
      </c>
      <c r="D167" s="59" t="s">
        <v>2058</v>
      </c>
      <c r="E167" s="55" t="str">
        <f t="shared" si="15"/>
        <v>00468</v>
      </c>
      <c r="F167" s="53" t="s">
        <v>2065</v>
      </c>
      <c r="G167" s="55" t="s">
        <v>22</v>
      </c>
      <c r="H167" s="60" t="s">
        <v>2390</v>
      </c>
      <c r="I167" s="55">
        <v>303690098</v>
      </c>
      <c r="J167" s="55">
        <v>242838</v>
      </c>
      <c r="K167" s="55" t="s">
        <v>302</v>
      </c>
      <c r="L167" s="53" t="s">
        <v>2066</v>
      </c>
      <c r="M167" s="55" t="s">
        <v>49</v>
      </c>
      <c r="N167" s="52">
        <v>387858000</v>
      </c>
      <c r="O167" s="52">
        <v>387858000</v>
      </c>
      <c r="P167" s="52">
        <v>299565407.60000002</v>
      </c>
      <c r="Q167" s="57">
        <v>45740</v>
      </c>
      <c r="R167" s="57">
        <v>46815</v>
      </c>
      <c r="S167" s="56">
        <v>13.5</v>
      </c>
      <c r="T167" s="54">
        <v>12</v>
      </c>
      <c r="U167" s="52">
        <v>347937407.60000002</v>
      </c>
      <c r="V167" s="52">
        <v>347937407.60000002</v>
      </c>
      <c r="W167" s="52">
        <v>0</v>
      </c>
      <c r="X167" s="57"/>
      <c r="Y167" s="52">
        <v>0</v>
      </c>
      <c r="Z167" s="52">
        <v>0</v>
      </c>
      <c r="AA167" s="52">
        <v>2</v>
      </c>
      <c r="AB167" s="52">
        <v>34793740.759999998</v>
      </c>
      <c r="AC167" s="52">
        <v>7069968.4299999997</v>
      </c>
      <c r="AD167" s="52">
        <v>7069968.4299999997</v>
      </c>
      <c r="AE167" s="52">
        <v>0</v>
      </c>
      <c r="AF167" s="52">
        <v>0</v>
      </c>
      <c r="AG167" s="52">
        <v>0</v>
      </c>
      <c r="AH167" s="52">
        <v>0</v>
      </c>
      <c r="AI167" s="52">
        <v>0</v>
      </c>
      <c r="AJ167" s="52">
        <v>2</v>
      </c>
      <c r="AK167" s="52"/>
      <c r="AL167" s="52">
        <v>0</v>
      </c>
      <c r="AM167" s="52">
        <v>0</v>
      </c>
      <c r="AN167" s="52">
        <v>465429600</v>
      </c>
      <c r="AO167" s="61">
        <v>2368000000</v>
      </c>
      <c r="AP167" s="61">
        <v>544640000</v>
      </c>
      <c r="AQ167" s="58">
        <v>0</v>
      </c>
      <c r="AR167" s="58">
        <v>0</v>
      </c>
      <c r="AS167" s="58">
        <v>0</v>
      </c>
      <c r="AT167" s="58">
        <v>0</v>
      </c>
      <c r="AU167" s="58">
        <v>0</v>
      </c>
      <c r="AV167" s="58">
        <v>0</v>
      </c>
      <c r="AW167" s="58">
        <v>0</v>
      </c>
      <c r="AX167" s="58">
        <v>0</v>
      </c>
    </row>
    <row r="168" spans="1:50" x14ac:dyDescent="0.25">
      <c r="A168" s="52">
        <f t="shared" si="17"/>
        <v>163</v>
      </c>
      <c r="B168" s="60" t="str">
        <f t="shared" si="16"/>
        <v>00468120197</v>
      </c>
      <c r="C168" s="67" t="s">
        <v>28</v>
      </c>
      <c r="D168" s="59" t="s">
        <v>2058</v>
      </c>
      <c r="E168" s="55" t="str">
        <f t="shared" si="15"/>
        <v>00468</v>
      </c>
      <c r="F168" s="53" t="s">
        <v>2065</v>
      </c>
      <c r="G168" s="55" t="s">
        <v>22</v>
      </c>
      <c r="H168" s="60" t="s">
        <v>2383</v>
      </c>
      <c r="I168" s="55">
        <v>204825744</v>
      </c>
      <c r="J168" s="55">
        <v>120197</v>
      </c>
      <c r="K168" s="55" t="s">
        <v>303</v>
      </c>
      <c r="L168" s="53" t="s">
        <v>2066</v>
      </c>
      <c r="M168" s="55" t="s">
        <v>49</v>
      </c>
      <c r="N168" s="52">
        <v>355000000</v>
      </c>
      <c r="O168" s="52">
        <v>355000000</v>
      </c>
      <c r="P168" s="52">
        <v>355000000</v>
      </c>
      <c r="Q168" s="57">
        <v>44904</v>
      </c>
      <c r="R168" s="57">
        <v>46706</v>
      </c>
      <c r="S168" s="56">
        <v>10</v>
      </c>
      <c r="T168" s="54">
        <v>24</v>
      </c>
      <c r="U168" s="52">
        <v>345138888.88999999</v>
      </c>
      <c r="V168" s="52">
        <v>335277777.77999997</v>
      </c>
      <c r="W168" s="52">
        <v>9861111.1099999994</v>
      </c>
      <c r="X168" s="57">
        <v>46036</v>
      </c>
      <c r="Y168" s="52">
        <v>0</v>
      </c>
      <c r="Z168" s="52">
        <v>0</v>
      </c>
      <c r="AA168" s="52">
        <v>3</v>
      </c>
      <c r="AB168" s="52">
        <v>86284722.219999999</v>
      </c>
      <c r="AC168" s="52">
        <v>15729147.640000001</v>
      </c>
      <c r="AD168" s="52">
        <v>15669710.810000001</v>
      </c>
      <c r="AE168" s="52">
        <v>0</v>
      </c>
      <c r="AF168" s="52">
        <v>59436.83</v>
      </c>
      <c r="AG168" s="52">
        <v>0</v>
      </c>
      <c r="AH168" s="52">
        <v>0</v>
      </c>
      <c r="AI168" s="52">
        <v>0</v>
      </c>
      <c r="AJ168" s="52">
        <v>2</v>
      </c>
      <c r="AK168" s="52"/>
      <c r="AL168" s="52">
        <v>0</v>
      </c>
      <c r="AM168" s="52">
        <v>0</v>
      </c>
      <c r="AN168" s="52">
        <v>426000000</v>
      </c>
      <c r="AO168" s="61">
        <v>1870200000</v>
      </c>
      <c r="AP168" s="61">
        <v>430146000</v>
      </c>
      <c r="AQ168" s="58">
        <v>0</v>
      </c>
      <c r="AR168" s="58">
        <v>0</v>
      </c>
      <c r="AS168" s="58">
        <v>0</v>
      </c>
      <c r="AT168" s="58">
        <v>0</v>
      </c>
      <c r="AU168" s="58">
        <v>0</v>
      </c>
      <c r="AV168" s="58">
        <v>0</v>
      </c>
      <c r="AW168" s="58">
        <v>0</v>
      </c>
      <c r="AX168" s="58">
        <v>0</v>
      </c>
    </row>
    <row r="169" spans="1:50" x14ac:dyDescent="0.25">
      <c r="A169" s="52">
        <f t="shared" si="17"/>
        <v>164</v>
      </c>
      <c r="B169" s="60" t="str">
        <f t="shared" si="16"/>
        <v>00468115866</v>
      </c>
      <c r="C169" s="67" t="s">
        <v>28</v>
      </c>
      <c r="D169" s="59" t="s">
        <v>2058</v>
      </c>
      <c r="E169" s="55" t="str">
        <f t="shared" si="15"/>
        <v>00468</v>
      </c>
      <c r="F169" s="53" t="s">
        <v>2065</v>
      </c>
      <c r="G169" s="55" t="s">
        <v>22</v>
      </c>
      <c r="H169" s="60" t="s">
        <v>2393</v>
      </c>
      <c r="I169" s="55">
        <v>303811111</v>
      </c>
      <c r="J169" s="55">
        <v>115866</v>
      </c>
      <c r="K169" s="55" t="s">
        <v>304</v>
      </c>
      <c r="L169" s="53" t="s">
        <v>2066</v>
      </c>
      <c r="M169" s="55" t="s">
        <v>49</v>
      </c>
      <c r="N169" s="52">
        <v>385000000</v>
      </c>
      <c r="O169" s="52">
        <v>385000000</v>
      </c>
      <c r="P169" s="52">
        <v>385000000</v>
      </c>
      <c r="Q169" s="57">
        <v>44880</v>
      </c>
      <c r="R169" s="57">
        <v>46684</v>
      </c>
      <c r="S169" s="56">
        <v>10</v>
      </c>
      <c r="T169" s="54">
        <v>24</v>
      </c>
      <c r="U169" s="52">
        <v>342222222.24000001</v>
      </c>
      <c r="V169" s="52">
        <v>331527777.80000001</v>
      </c>
      <c r="W169" s="52">
        <v>10694444.439999999</v>
      </c>
      <c r="X169" s="57">
        <v>46027</v>
      </c>
      <c r="Y169" s="52">
        <v>0</v>
      </c>
      <c r="Z169" s="52">
        <v>0</v>
      </c>
      <c r="AA169" s="52">
        <v>1</v>
      </c>
      <c r="AB169" s="52">
        <v>0</v>
      </c>
      <c r="AC169" s="52">
        <v>2827435.31</v>
      </c>
      <c r="AD169" s="52">
        <v>2827435.31</v>
      </c>
      <c r="AE169" s="52">
        <v>0</v>
      </c>
      <c r="AF169" s="52">
        <v>0</v>
      </c>
      <c r="AG169" s="52">
        <v>0</v>
      </c>
      <c r="AH169" s="52">
        <v>0</v>
      </c>
      <c r="AI169" s="52">
        <v>0</v>
      </c>
      <c r="AJ169" s="52">
        <v>2</v>
      </c>
      <c r="AK169" s="52"/>
      <c r="AL169" s="52">
        <v>0</v>
      </c>
      <c r="AM169" s="52">
        <v>0</v>
      </c>
      <c r="AN169" s="52">
        <v>462000000</v>
      </c>
      <c r="AO169" s="61">
        <v>3717100000</v>
      </c>
      <c r="AP169" s="61">
        <v>854933000</v>
      </c>
      <c r="AQ169" s="58">
        <v>0</v>
      </c>
      <c r="AR169" s="58">
        <v>0</v>
      </c>
      <c r="AS169" s="58">
        <v>0</v>
      </c>
      <c r="AT169" s="58">
        <v>0</v>
      </c>
      <c r="AU169" s="58">
        <v>0</v>
      </c>
      <c r="AV169" s="58">
        <v>0</v>
      </c>
      <c r="AW169" s="58">
        <v>0</v>
      </c>
      <c r="AX169" s="58">
        <v>0</v>
      </c>
    </row>
    <row r="170" spans="1:50" x14ac:dyDescent="0.25">
      <c r="A170" s="52">
        <f t="shared" si="17"/>
        <v>165</v>
      </c>
      <c r="B170" s="60" t="str">
        <f t="shared" si="16"/>
        <v>00468260541</v>
      </c>
      <c r="C170" s="67" t="s">
        <v>28</v>
      </c>
      <c r="D170" s="59" t="s">
        <v>2058</v>
      </c>
      <c r="E170" s="55" t="str">
        <f t="shared" si="15"/>
        <v>00468</v>
      </c>
      <c r="F170" s="53" t="s">
        <v>2065</v>
      </c>
      <c r="G170" s="55" t="s">
        <v>22</v>
      </c>
      <c r="H170" s="60" t="s">
        <v>2370</v>
      </c>
      <c r="I170" s="55">
        <v>307846856</v>
      </c>
      <c r="J170" s="55">
        <v>260541</v>
      </c>
      <c r="K170" s="55" t="s">
        <v>305</v>
      </c>
      <c r="L170" s="53" t="s">
        <v>2066</v>
      </c>
      <c r="M170" s="55" t="s">
        <v>49</v>
      </c>
      <c r="N170" s="52">
        <v>1358000000</v>
      </c>
      <c r="O170" s="52">
        <v>1358000000</v>
      </c>
      <c r="P170" s="52">
        <v>1358000000</v>
      </c>
      <c r="Q170" s="57">
        <v>45866</v>
      </c>
      <c r="R170" s="57">
        <v>46392</v>
      </c>
      <c r="S170" s="56">
        <v>10</v>
      </c>
      <c r="T170" s="54">
        <v>12</v>
      </c>
      <c r="U170" s="52">
        <v>342105000</v>
      </c>
      <c r="V170" s="52">
        <v>342105000</v>
      </c>
      <c r="W170" s="52">
        <v>0</v>
      </c>
      <c r="X170" s="57"/>
      <c r="Y170" s="52">
        <v>0</v>
      </c>
      <c r="Z170" s="52">
        <v>0</v>
      </c>
      <c r="AA170" s="52">
        <v>1</v>
      </c>
      <c r="AB170" s="52">
        <v>0</v>
      </c>
      <c r="AC170" s="52">
        <v>374909.59</v>
      </c>
      <c r="AD170" s="52">
        <v>374909.59</v>
      </c>
      <c r="AE170" s="52">
        <v>0</v>
      </c>
      <c r="AF170" s="52">
        <v>0</v>
      </c>
      <c r="AG170" s="52">
        <v>0</v>
      </c>
      <c r="AH170" s="52">
        <v>0</v>
      </c>
      <c r="AI170" s="52">
        <v>0</v>
      </c>
      <c r="AJ170" s="52">
        <v>2</v>
      </c>
      <c r="AK170" s="52"/>
      <c r="AL170" s="52">
        <v>0</v>
      </c>
      <c r="AM170" s="52">
        <v>0</v>
      </c>
      <c r="AN170" s="52">
        <v>1629600000</v>
      </c>
      <c r="AO170" s="61">
        <v>1358000000</v>
      </c>
      <c r="AP170" s="61">
        <v>1358000000</v>
      </c>
      <c r="AQ170" s="58">
        <v>0</v>
      </c>
      <c r="AR170" s="58">
        <v>0</v>
      </c>
      <c r="AS170" s="58">
        <v>0</v>
      </c>
      <c r="AT170" s="58">
        <v>0</v>
      </c>
      <c r="AU170" s="58">
        <v>0</v>
      </c>
      <c r="AV170" s="58">
        <v>0</v>
      </c>
      <c r="AW170" s="58">
        <v>0</v>
      </c>
      <c r="AX170" s="58">
        <v>0</v>
      </c>
    </row>
    <row r="171" spans="1:50" x14ac:dyDescent="0.25">
      <c r="A171" s="52">
        <f t="shared" si="17"/>
        <v>166</v>
      </c>
      <c r="B171" s="60" t="str">
        <f t="shared" si="16"/>
        <v>00468208396</v>
      </c>
      <c r="C171" s="67" t="s">
        <v>28</v>
      </c>
      <c r="D171" s="59" t="s">
        <v>2058</v>
      </c>
      <c r="E171" s="55" t="str">
        <f t="shared" si="15"/>
        <v>00468</v>
      </c>
      <c r="F171" s="53" t="s">
        <v>2065</v>
      </c>
      <c r="G171" s="55" t="s">
        <v>22</v>
      </c>
      <c r="H171" s="60" t="s">
        <v>279</v>
      </c>
      <c r="I171" s="55">
        <v>202440253</v>
      </c>
      <c r="J171" s="55">
        <v>208396</v>
      </c>
      <c r="K171" s="55" t="s">
        <v>306</v>
      </c>
      <c r="L171" s="53" t="s">
        <v>2066</v>
      </c>
      <c r="M171" s="55" t="s">
        <v>49</v>
      </c>
      <c r="N171" s="52">
        <v>327000000</v>
      </c>
      <c r="O171" s="52">
        <v>327000000</v>
      </c>
      <c r="P171" s="52">
        <v>327000000</v>
      </c>
      <c r="Q171" s="57">
        <v>45497</v>
      </c>
      <c r="R171" s="57">
        <v>46955</v>
      </c>
      <c r="S171" s="56">
        <v>26</v>
      </c>
      <c r="T171" s="54">
        <v>6</v>
      </c>
      <c r="U171" s="52">
        <v>327000000</v>
      </c>
      <c r="V171" s="52">
        <v>280285714.29000002</v>
      </c>
      <c r="W171" s="52">
        <v>46714285.710000001</v>
      </c>
      <c r="X171" s="57">
        <v>46027</v>
      </c>
      <c r="Y171" s="52">
        <v>0</v>
      </c>
      <c r="Z171" s="52">
        <v>0</v>
      </c>
      <c r="AA171" s="52">
        <v>3</v>
      </c>
      <c r="AB171" s="52">
        <v>81750000</v>
      </c>
      <c r="AC171" s="52">
        <v>25609827.790000003</v>
      </c>
      <c r="AD171" s="52">
        <v>5390700.5899999999</v>
      </c>
      <c r="AE171" s="52">
        <v>0</v>
      </c>
      <c r="AF171" s="52">
        <v>13022360.08</v>
      </c>
      <c r="AG171" s="52">
        <v>7196767.1200000001</v>
      </c>
      <c r="AH171" s="52">
        <v>0</v>
      </c>
      <c r="AI171" s="52">
        <v>0</v>
      </c>
      <c r="AJ171" s="52">
        <v>2</v>
      </c>
      <c r="AK171" s="52"/>
      <c r="AL171" s="52">
        <v>0</v>
      </c>
      <c r="AM171" s="52">
        <v>0</v>
      </c>
      <c r="AN171" s="52">
        <v>784800000</v>
      </c>
      <c r="AO171" s="61">
        <v>801200000</v>
      </c>
      <c r="AP171" s="61">
        <v>184276000</v>
      </c>
      <c r="AQ171" s="58">
        <v>0</v>
      </c>
      <c r="AR171" s="58">
        <v>0</v>
      </c>
      <c r="AS171" s="58">
        <v>0</v>
      </c>
      <c r="AT171" s="58">
        <v>0</v>
      </c>
      <c r="AU171" s="58">
        <v>0</v>
      </c>
      <c r="AV171" s="58">
        <v>0</v>
      </c>
      <c r="AW171" s="58">
        <v>0</v>
      </c>
      <c r="AX171" s="58">
        <v>0</v>
      </c>
    </row>
    <row r="172" spans="1:50" x14ac:dyDescent="0.25">
      <c r="A172" s="52">
        <f t="shared" si="17"/>
        <v>167</v>
      </c>
      <c r="B172" s="60" t="str">
        <f t="shared" si="16"/>
        <v>00468194967</v>
      </c>
      <c r="C172" s="67" t="s">
        <v>28</v>
      </c>
      <c r="D172" s="59" t="s">
        <v>2058</v>
      </c>
      <c r="E172" s="55" t="str">
        <f t="shared" si="15"/>
        <v>00468</v>
      </c>
      <c r="F172" s="53" t="s">
        <v>2065</v>
      </c>
      <c r="G172" s="55" t="s">
        <v>22</v>
      </c>
      <c r="H172" s="60" t="s">
        <v>2386</v>
      </c>
      <c r="I172" s="55">
        <v>303109176</v>
      </c>
      <c r="J172" s="55">
        <v>194967</v>
      </c>
      <c r="K172" s="55" t="s">
        <v>307</v>
      </c>
      <c r="L172" s="53" t="s">
        <v>2066</v>
      </c>
      <c r="M172" s="55" t="s">
        <v>49</v>
      </c>
      <c r="N172" s="52">
        <v>382978724</v>
      </c>
      <c r="O172" s="52">
        <v>382978724</v>
      </c>
      <c r="P172" s="52">
        <v>382978723.44</v>
      </c>
      <c r="Q172" s="57">
        <v>45378</v>
      </c>
      <c r="R172" s="57">
        <v>47203</v>
      </c>
      <c r="S172" s="56">
        <v>14</v>
      </c>
      <c r="T172" s="54">
        <v>24</v>
      </c>
      <c r="U172" s="52">
        <v>323932620.85000002</v>
      </c>
      <c r="V172" s="52">
        <v>323932620.85000002</v>
      </c>
      <c r="W172" s="52">
        <v>0</v>
      </c>
      <c r="X172" s="57"/>
      <c r="Y172" s="52">
        <v>0</v>
      </c>
      <c r="Z172" s="52">
        <v>0</v>
      </c>
      <c r="AA172" s="52">
        <v>1</v>
      </c>
      <c r="AB172" s="52">
        <v>0</v>
      </c>
      <c r="AC172" s="52">
        <v>6235820.3399999999</v>
      </c>
      <c r="AD172" s="52">
        <v>496992.51</v>
      </c>
      <c r="AE172" s="52">
        <v>0</v>
      </c>
      <c r="AF172" s="52">
        <v>5738827.8300000001</v>
      </c>
      <c r="AG172" s="52">
        <v>0</v>
      </c>
      <c r="AH172" s="52">
        <v>0</v>
      </c>
      <c r="AI172" s="52">
        <v>0</v>
      </c>
      <c r="AJ172" s="52">
        <v>2</v>
      </c>
      <c r="AK172" s="52"/>
      <c r="AL172" s="52">
        <v>0</v>
      </c>
      <c r="AM172" s="52">
        <v>0</v>
      </c>
      <c r="AN172" s="52">
        <v>4595744688</v>
      </c>
      <c r="AO172" s="61">
        <v>683200000</v>
      </c>
      <c r="AP172" s="61">
        <v>20496000000</v>
      </c>
      <c r="AQ172" s="58">
        <v>0</v>
      </c>
      <c r="AR172" s="58">
        <v>0</v>
      </c>
      <c r="AS172" s="58">
        <v>0</v>
      </c>
      <c r="AT172" s="58">
        <v>0</v>
      </c>
      <c r="AU172" s="58">
        <v>0</v>
      </c>
      <c r="AV172" s="58">
        <v>0</v>
      </c>
      <c r="AW172" s="58">
        <v>0</v>
      </c>
      <c r="AX172" s="58">
        <v>0</v>
      </c>
    </row>
    <row r="173" spans="1:50" x14ac:dyDescent="0.25">
      <c r="A173" s="52">
        <f t="shared" si="17"/>
        <v>168</v>
      </c>
      <c r="B173" s="60" t="str">
        <f t="shared" si="16"/>
        <v>00468120101</v>
      </c>
      <c r="C173" s="67" t="s">
        <v>28</v>
      </c>
      <c r="D173" s="59" t="s">
        <v>2058</v>
      </c>
      <c r="E173" s="55" t="str">
        <f t="shared" si="15"/>
        <v>00468</v>
      </c>
      <c r="F173" s="53" t="s">
        <v>2065</v>
      </c>
      <c r="G173" s="55" t="s">
        <v>22</v>
      </c>
      <c r="H173" s="60" t="s">
        <v>2395</v>
      </c>
      <c r="I173" s="55">
        <v>303108652</v>
      </c>
      <c r="J173" s="55">
        <v>120101</v>
      </c>
      <c r="K173" s="55" t="s">
        <v>308</v>
      </c>
      <c r="L173" s="53" t="s">
        <v>2066</v>
      </c>
      <c r="M173" s="55" t="s">
        <v>49</v>
      </c>
      <c r="N173" s="52">
        <v>355000000</v>
      </c>
      <c r="O173" s="52">
        <v>355000000</v>
      </c>
      <c r="P173" s="52">
        <v>355000000</v>
      </c>
      <c r="Q173" s="57">
        <v>44895</v>
      </c>
      <c r="R173" s="57">
        <v>46706</v>
      </c>
      <c r="S173" s="56">
        <v>10</v>
      </c>
      <c r="T173" s="54">
        <v>24</v>
      </c>
      <c r="U173" s="52">
        <v>295775251.35000002</v>
      </c>
      <c r="V173" s="52">
        <v>294470029.38999999</v>
      </c>
      <c r="W173" s="52">
        <v>1305221.96</v>
      </c>
      <c r="X173" s="57">
        <v>46021</v>
      </c>
      <c r="Y173" s="52">
        <v>0</v>
      </c>
      <c r="Z173" s="52">
        <v>0</v>
      </c>
      <c r="AA173" s="52">
        <v>1</v>
      </c>
      <c r="AB173" s="52">
        <v>0</v>
      </c>
      <c r="AC173" s="52">
        <v>2505080.17</v>
      </c>
      <c r="AD173" s="52">
        <v>2505080.17</v>
      </c>
      <c r="AE173" s="52">
        <v>0</v>
      </c>
      <c r="AF173" s="52">
        <v>0</v>
      </c>
      <c r="AG173" s="52">
        <v>0</v>
      </c>
      <c r="AH173" s="52">
        <v>0</v>
      </c>
      <c r="AI173" s="52">
        <v>0</v>
      </c>
      <c r="AJ173" s="52">
        <v>2</v>
      </c>
      <c r="AK173" s="52"/>
      <c r="AL173" s="52">
        <v>0</v>
      </c>
      <c r="AM173" s="52">
        <v>0</v>
      </c>
      <c r="AN173" s="52">
        <v>426000000</v>
      </c>
      <c r="AO173" s="61">
        <v>2110600000</v>
      </c>
      <c r="AP173" s="61">
        <v>485438000</v>
      </c>
      <c r="AQ173" s="58">
        <v>0</v>
      </c>
      <c r="AR173" s="58">
        <v>0</v>
      </c>
      <c r="AS173" s="58">
        <v>0</v>
      </c>
      <c r="AT173" s="58">
        <v>0</v>
      </c>
      <c r="AU173" s="58">
        <v>0</v>
      </c>
      <c r="AV173" s="58">
        <v>0</v>
      </c>
      <c r="AW173" s="58">
        <v>0</v>
      </c>
      <c r="AX173" s="58">
        <v>0</v>
      </c>
    </row>
    <row r="174" spans="1:50" x14ac:dyDescent="0.25">
      <c r="A174" s="52">
        <f t="shared" si="17"/>
        <v>169</v>
      </c>
      <c r="B174" s="60" t="str">
        <f t="shared" si="16"/>
        <v>00468197368</v>
      </c>
      <c r="C174" s="67" t="s">
        <v>28</v>
      </c>
      <c r="D174" s="59" t="s">
        <v>2058</v>
      </c>
      <c r="E174" s="55" t="str">
        <f t="shared" si="15"/>
        <v>00468</v>
      </c>
      <c r="F174" s="53" t="s">
        <v>2065</v>
      </c>
      <c r="G174" s="55" t="s">
        <v>22</v>
      </c>
      <c r="H174" s="60" t="s">
        <v>2396</v>
      </c>
      <c r="I174" s="55">
        <v>303303814</v>
      </c>
      <c r="J174" s="55">
        <v>197368</v>
      </c>
      <c r="K174" s="55" t="s">
        <v>309</v>
      </c>
      <c r="L174" s="53" t="s">
        <v>2066</v>
      </c>
      <c r="M174" s="55" t="s">
        <v>49</v>
      </c>
      <c r="N174" s="52">
        <v>507446809</v>
      </c>
      <c r="O174" s="52">
        <v>507446809</v>
      </c>
      <c r="P174" s="52">
        <v>507446808.54000002</v>
      </c>
      <c r="Q174" s="57">
        <v>45397</v>
      </c>
      <c r="R174" s="57">
        <v>47222</v>
      </c>
      <c r="S174" s="56">
        <v>14</v>
      </c>
      <c r="T174" s="54">
        <v>24</v>
      </c>
      <c r="U174" s="52">
        <v>292130920.19999999</v>
      </c>
      <c r="V174" s="52">
        <v>292130920.19999999</v>
      </c>
      <c r="W174" s="52">
        <v>0</v>
      </c>
      <c r="X174" s="57"/>
      <c r="Y174" s="52">
        <v>0</v>
      </c>
      <c r="Z174" s="52">
        <v>0</v>
      </c>
      <c r="AA174" s="52">
        <v>1</v>
      </c>
      <c r="AB174" s="52">
        <v>0</v>
      </c>
      <c r="AC174" s="52">
        <v>3473556.7</v>
      </c>
      <c r="AD174" s="52">
        <v>1904853.67</v>
      </c>
      <c r="AE174" s="52">
        <v>0</v>
      </c>
      <c r="AF174" s="52">
        <v>0</v>
      </c>
      <c r="AG174" s="52">
        <v>1568703.03</v>
      </c>
      <c r="AH174" s="52">
        <v>0</v>
      </c>
      <c r="AI174" s="52">
        <v>0</v>
      </c>
      <c r="AJ174" s="52">
        <v>2</v>
      </c>
      <c r="AK174" s="52"/>
      <c r="AL174" s="52">
        <v>0</v>
      </c>
      <c r="AM174" s="52">
        <v>0</v>
      </c>
      <c r="AN174" s="52">
        <v>6089361708</v>
      </c>
      <c r="AO174" s="61">
        <v>1325465890</v>
      </c>
      <c r="AP174" s="61">
        <v>39763976700</v>
      </c>
      <c r="AQ174" s="58">
        <v>0</v>
      </c>
      <c r="AR174" s="58">
        <v>0</v>
      </c>
      <c r="AS174" s="58">
        <v>0</v>
      </c>
      <c r="AT174" s="58">
        <v>0</v>
      </c>
      <c r="AU174" s="58">
        <v>0</v>
      </c>
      <c r="AV174" s="58">
        <v>0</v>
      </c>
      <c r="AW174" s="58">
        <v>0</v>
      </c>
      <c r="AX174" s="58">
        <v>0</v>
      </c>
    </row>
    <row r="175" spans="1:50" x14ac:dyDescent="0.25">
      <c r="A175" s="52">
        <f t="shared" si="17"/>
        <v>170</v>
      </c>
      <c r="B175" s="60" t="str">
        <f t="shared" si="16"/>
        <v>00468239347</v>
      </c>
      <c r="C175" s="67" t="s">
        <v>28</v>
      </c>
      <c r="D175" s="59" t="s">
        <v>2058</v>
      </c>
      <c r="E175" s="55" t="str">
        <f t="shared" si="15"/>
        <v>00468</v>
      </c>
      <c r="F175" s="53" t="s">
        <v>2065</v>
      </c>
      <c r="G175" s="55" t="s">
        <v>22</v>
      </c>
      <c r="H175" s="60" t="s">
        <v>256</v>
      </c>
      <c r="I175" s="55">
        <v>305390651</v>
      </c>
      <c r="J175" s="55">
        <v>239347</v>
      </c>
      <c r="K175" s="55" t="s">
        <v>310</v>
      </c>
      <c r="L175" s="53" t="s">
        <v>2066</v>
      </c>
      <c r="M175" s="55" t="s">
        <v>49</v>
      </c>
      <c r="N175" s="52">
        <v>384574469</v>
      </c>
      <c r="O175" s="52">
        <v>384574469</v>
      </c>
      <c r="P175" s="52">
        <v>384574468.13999999</v>
      </c>
      <c r="Q175" s="57">
        <v>45715</v>
      </c>
      <c r="R175" s="57">
        <v>47540</v>
      </c>
      <c r="S175" s="56">
        <v>14</v>
      </c>
      <c r="T175" s="54">
        <v>24</v>
      </c>
      <c r="U175" s="52">
        <v>278969313.81</v>
      </c>
      <c r="V175" s="52">
        <v>278969313.81</v>
      </c>
      <c r="W175" s="52">
        <v>0</v>
      </c>
      <c r="X175" s="57"/>
      <c r="Y175" s="52">
        <v>0</v>
      </c>
      <c r="Z175" s="52">
        <v>0</v>
      </c>
      <c r="AA175" s="52">
        <v>1</v>
      </c>
      <c r="AB175" s="52">
        <v>0</v>
      </c>
      <c r="AC175" s="52">
        <v>2223395.4500000002</v>
      </c>
      <c r="AD175" s="52">
        <v>535009.64</v>
      </c>
      <c r="AE175" s="52">
        <v>0</v>
      </c>
      <c r="AF175" s="52">
        <v>0</v>
      </c>
      <c r="AG175" s="52">
        <v>1688385.81</v>
      </c>
      <c r="AH175" s="52">
        <v>0</v>
      </c>
      <c r="AI175" s="52">
        <v>0</v>
      </c>
      <c r="AJ175" s="52">
        <v>2</v>
      </c>
      <c r="AK175" s="52"/>
      <c r="AL175" s="52">
        <v>0</v>
      </c>
      <c r="AM175" s="52">
        <v>0</v>
      </c>
      <c r="AN175" s="52">
        <v>4614893628</v>
      </c>
      <c r="AO175" s="61">
        <v>472100000</v>
      </c>
      <c r="AP175" s="61">
        <v>14163000000</v>
      </c>
      <c r="AQ175" s="58">
        <v>0</v>
      </c>
      <c r="AR175" s="58">
        <v>0</v>
      </c>
      <c r="AS175" s="58">
        <v>0</v>
      </c>
      <c r="AT175" s="58">
        <v>0</v>
      </c>
      <c r="AU175" s="58">
        <v>0</v>
      </c>
      <c r="AV175" s="58">
        <v>0</v>
      </c>
      <c r="AW175" s="58">
        <v>0</v>
      </c>
      <c r="AX175" s="58">
        <v>0</v>
      </c>
    </row>
    <row r="176" spans="1:50" x14ac:dyDescent="0.25">
      <c r="A176" s="52">
        <f t="shared" si="17"/>
        <v>171</v>
      </c>
      <c r="B176" s="60" t="str">
        <f t="shared" si="16"/>
        <v>00468128011</v>
      </c>
      <c r="C176" s="67" t="s">
        <v>28</v>
      </c>
      <c r="D176" s="59" t="s">
        <v>2058</v>
      </c>
      <c r="E176" s="55" t="str">
        <f t="shared" si="15"/>
        <v>00468</v>
      </c>
      <c r="F176" s="53" t="s">
        <v>2065</v>
      </c>
      <c r="G176" s="55" t="s">
        <v>22</v>
      </c>
      <c r="H176" s="60" t="s">
        <v>311</v>
      </c>
      <c r="I176" s="55">
        <v>302605580</v>
      </c>
      <c r="J176" s="55">
        <v>128011</v>
      </c>
      <c r="K176" s="55" t="s">
        <v>312</v>
      </c>
      <c r="L176" s="53" t="s">
        <v>2066</v>
      </c>
      <c r="M176" s="55" t="s">
        <v>49</v>
      </c>
      <c r="N176" s="52">
        <v>385000000</v>
      </c>
      <c r="O176" s="52">
        <v>385000000</v>
      </c>
      <c r="P176" s="52">
        <v>385000000</v>
      </c>
      <c r="Q176" s="57">
        <v>45021</v>
      </c>
      <c r="R176" s="57">
        <v>46762</v>
      </c>
      <c r="S176" s="56">
        <v>10</v>
      </c>
      <c r="T176" s="54">
        <v>24</v>
      </c>
      <c r="U176" s="52">
        <v>277944444.48000002</v>
      </c>
      <c r="V176" s="52">
        <v>277944444.48000002</v>
      </c>
      <c r="W176" s="52">
        <v>0</v>
      </c>
      <c r="X176" s="57"/>
      <c r="Y176" s="52">
        <v>0</v>
      </c>
      <c r="Z176" s="52">
        <v>0</v>
      </c>
      <c r="AA176" s="52">
        <v>1</v>
      </c>
      <c r="AB176" s="52">
        <v>0</v>
      </c>
      <c r="AC176" s="52">
        <v>152298.32</v>
      </c>
      <c r="AD176" s="52">
        <v>152298.32</v>
      </c>
      <c r="AE176" s="52">
        <v>0</v>
      </c>
      <c r="AF176" s="52">
        <v>0</v>
      </c>
      <c r="AG176" s="52">
        <v>0</v>
      </c>
      <c r="AH176" s="52">
        <v>0</v>
      </c>
      <c r="AI176" s="52">
        <v>0</v>
      </c>
      <c r="AJ176" s="52">
        <v>2</v>
      </c>
      <c r="AK176" s="52"/>
      <c r="AL176" s="52">
        <v>0</v>
      </c>
      <c r="AM176" s="52">
        <v>0</v>
      </c>
      <c r="AN176" s="52">
        <v>462000000</v>
      </c>
      <c r="AO176" s="61">
        <v>2043100000</v>
      </c>
      <c r="AP176" s="61">
        <v>469913000</v>
      </c>
      <c r="AQ176" s="58">
        <v>0</v>
      </c>
      <c r="AR176" s="58">
        <v>0</v>
      </c>
      <c r="AS176" s="58">
        <v>0</v>
      </c>
      <c r="AT176" s="58">
        <v>0</v>
      </c>
      <c r="AU176" s="58">
        <v>0</v>
      </c>
      <c r="AV176" s="58">
        <v>0</v>
      </c>
      <c r="AW176" s="58">
        <v>0</v>
      </c>
      <c r="AX176" s="58">
        <v>0</v>
      </c>
    </row>
    <row r="177" spans="1:50" x14ac:dyDescent="0.25">
      <c r="A177" s="52">
        <f t="shared" si="17"/>
        <v>172</v>
      </c>
      <c r="B177" s="60" t="str">
        <f t="shared" si="16"/>
        <v>00468148046</v>
      </c>
      <c r="C177" s="67" t="s">
        <v>28</v>
      </c>
      <c r="D177" s="59" t="s">
        <v>2058</v>
      </c>
      <c r="E177" s="55" t="str">
        <f t="shared" si="15"/>
        <v>00468</v>
      </c>
      <c r="F177" s="53" t="s">
        <v>2065</v>
      </c>
      <c r="G177" s="55" t="s">
        <v>22</v>
      </c>
      <c r="H177" s="60" t="s">
        <v>2393</v>
      </c>
      <c r="I177" s="55">
        <v>303811111</v>
      </c>
      <c r="J177" s="55">
        <v>148046</v>
      </c>
      <c r="K177" s="55" t="s">
        <v>313</v>
      </c>
      <c r="L177" s="53" t="s">
        <v>2066</v>
      </c>
      <c r="M177" s="55" t="s">
        <v>49</v>
      </c>
      <c r="N177" s="52">
        <v>515000000</v>
      </c>
      <c r="O177" s="52">
        <v>515000000</v>
      </c>
      <c r="P177" s="52">
        <v>359013000</v>
      </c>
      <c r="Q177" s="57">
        <v>45050</v>
      </c>
      <c r="R177" s="57">
        <v>46871</v>
      </c>
      <c r="S177" s="56">
        <v>21</v>
      </c>
      <c r="T177" s="54">
        <v>24</v>
      </c>
      <c r="U177" s="52">
        <v>274931367.36000001</v>
      </c>
      <c r="V177" s="52">
        <v>243400755.12</v>
      </c>
      <c r="W177" s="52">
        <v>31530612.239999998</v>
      </c>
      <c r="X177" s="57">
        <v>45989</v>
      </c>
      <c r="Y177" s="52">
        <v>0</v>
      </c>
      <c r="Z177" s="52">
        <v>0</v>
      </c>
      <c r="AA177" s="52">
        <v>2</v>
      </c>
      <c r="AB177" s="52">
        <v>27493136.73</v>
      </c>
      <c r="AC177" s="52">
        <v>420116.37</v>
      </c>
      <c r="AD177" s="52">
        <v>420116.37</v>
      </c>
      <c r="AE177" s="52">
        <v>0</v>
      </c>
      <c r="AF177" s="52">
        <v>0</v>
      </c>
      <c r="AG177" s="52">
        <v>0</v>
      </c>
      <c r="AH177" s="52">
        <v>0</v>
      </c>
      <c r="AI177" s="52">
        <v>0</v>
      </c>
      <c r="AJ177" s="52">
        <v>2</v>
      </c>
      <c r="AK177" s="52"/>
      <c r="AL177" s="52">
        <v>0</v>
      </c>
      <c r="AM177" s="52">
        <v>0</v>
      </c>
      <c r="AN177" s="52">
        <v>618000000</v>
      </c>
      <c r="AO177" s="61">
        <v>1456987000</v>
      </c>
      <c r="AP177" s="61">
        <v>43709610000</v>
      </c>
      <c r="AQ177" s="58">
        <v>0</v>
      </c>
      <c r="AR177" s="58">
        <v>0</v>
      </c>
      <c r="AS177" s="58">
        <v>0</v>
      </c>
      <c r="AT177" s="58">
        <v>0</v>
      </c>
      <c r="AU177" s="58">
        <v>0</v>
      </c>
      <c r="AV177" s="58">
        <v>0</v>
      </c>
      <c r="AW177" s="58">
        <v>0</v>
      </c>
      <c r="AX177" s="58">
        <v>0</v>
      </c>
    </row>
    <row r="178" spans="1:50" x14ac:dyDescent="0.25">
      <c r="A178" s="52">
        <f t="shared" si="17"/>
        <v>173</v>
      </c>
      <c r="B178" s="60" t="str">
        <f t="shared" si="16"/>
        <v>00468115873</v>
      </c>
      <c r="C178" s="67" t="s">
        <v>28</v>
      </c>
      <c r="D178" s="59" t="s">
        <v>2058</v>
      </c>
      <c r="E178" s="55" t="str">
        <f t="shared" si="15"/>
        <v>00468</v>
      </c>
      <c r="F178" s="53" t="s">
        <v>2065</v>
      </c>
      <c r="G178" s="55" t="s">
        <v>22</v>
      </c>
      <c r="H178" s="60" t="s">
        <v>2385</v>
      </c>
      <c r="I178" s="55">
        <v>303837459</v>
      </c>
      <c r="J178" s="55">
        <v>115873</v>
      </c>
      <c r="K178" s="55" t="s">
        <v>314</v>
      </c>
      <c r="L178" s="53" t="s">
        <v>2066</v>
      </c>
      <c r="M178" s="55" t="s">
        <v>49</v>
      </c>
      <c r="N178" s="52">
        <v>355000000</v>
      </c>
      <c r="O178" s="52">
        <v>355000000</v>
      </c>
      <c r="P178" s="52">
        <v>355000000</v>
      </c>
      <c r="Q178" s="57">
        <v>44875</v>
      </c>
      <c r="R178" s="57">
        <v>46684</v>
      </c>
      <c r="S178" s="56">
        <v>10</v>
      </c>
      <c r="T178" s="54">
        <v>24</v>
      </c>
      <c r="U178" s="52">
        <v>273972222.23000002</v>
      </c>
      <c r="V178" s="52">
        <v>273972222.23000002</v>
      </c>
      <c r="W178" s="52">
        <v>0</v>
      </c>
      <c r="X178" s="57"/>
      <c r="Y178" s="52">
        <v>0</v>
      </c>
      <c r="Z178" s="52">
        <v>0</v>
      </c>
      <c r="AA178" s="52">
        <v>1</v>
      </c>
      <c r="AB178" s="52">
        <v>0</v>
      </c>
      <c r="AC178" s="52">
        <v>150121.76</v>
      </c>
      <c r="AD178" s="52">
        <v>150121.76</v>
      </c>
      <c r="AE178" s="52">
        <v>0</v>
      </c>
      <c r="AF178" s="52">
        <v>0</v>
      </c>
      <c r="AG178" s="52">
        <v>0</v>
      </c>
      <c r="AH178" s="52">
        <v>0</v>
      </c>
      <c r="AI178" s="52">
        <v>0</v>
      </c>
      <c r="AJ178" s="52">
        <v>2</v>
      </c>
      <c r="AK178" s="52"/>
      <c r="AL178" s="52">
        <v>0</v>
      </c>
      <c r="AM178" s="52">
        <v>0</v>
      </c>
      <c r="AN178" s="52">
        <v>426000000</v>
      </c>
      <c r="AO178" s="61">
        <v>4143100000.0000005</v>
      </c>
      <c r="AP178" s="61">
        <v>952913000.00000012</v>
      </c>
      <c r="AQ178" s="58">
        <v>0</v>
      </c>
      <c r="AR178" s="58">
        <v>0</v>
      </c>
      <c r="AS178" s="58">
        <v>0</v>
      </c>
      <c r="AT178" s="58">
        <v>0</v>
      </c>
      <c r="AU178" s="58">
        <v>0</v>
      </c>
      <c r="AV178" s="58">
        <v>0</v>
      </c>
      <c r="AW178" s="58">
        <v>0</v>
      </c>
      <c r="AX178" s="58">
        <v>0</v>
      </c>
    </row>
    <row r="179" spans="1:50" x14ac:dyDescent="0.25">
      <c r="A179" s="52">
        <f t="shared" si="17"/>
        <v>174</v>
      </c>
      <c r="B179" s="60" t="str">
        <f t="shared" si="16"/>
        <v>00468122959</v>
      </c>
      <c r="C179" s="67" t="s">
        <v>28</v>
      </c>
      <c r="D179" s="59" t="s">
        <v>2058</v>
      </c>
      <c r="E179" s="55" t="str">
        <f t="shared" si="15"/>
        <v>00468</v>
      </c>
      <c r="F179" s="53" t="s">
        <v>2065</v>
      </c>
      <c r="G179" s="55" t="s">
        <v>22</v>
      </c>
      <c r="H179" s="60" t="s">
        <v>2389</v>
      </c>
      <c r="I179" s="55">
        <v>303612010</v>
      </c>
      <c r="J179" s="55">
        <v>122959</v>
      </c>
      <c r="K179" s="55" t="s">
        <v>315</v>
      </c>
      <c r="L179" s="53" t="s">
        <v>2066</v>
      </c>
      <c r="M179" s="55" t="s">
        <v>49</v>
      </c>
      <c r="N179" s="52">
        <v>385000000</v>
      </c>
      <c r="O179" s="52">
        <v>385000000</v>
      </c>
      <c r="P179" s="52">
        <v>385000000</v>
      </c>
      <c r="Q179" s="57">
        <v>44918</v>
      </c>
      <c r="R179" s="57">
        <v>46694</v>
      </c>
      <c r="S179" s="56">
        <v>10</v>
      </c>
      <c r="T179" s="54">
        <v>24</v>
      </c>
      <c r="U179" s="52">
        <v>267138888.91999999</v>
      </c>
      <c r="V179" s="52">
        <v>256666666.72</v>
      </c>
      <c r="W179" s="52">
        <v>10472222.199999999</v>
      </c>
      <c r="X179" s="57">
        <v>46048</v>
      </c>
      <c r="Y179" s="52">
        <v>0</v>
      </c>
      <c r="Z179" s="52">
        <v>0</v>
      </c>
      <c r="AA179" s="52">
        <v>1</v>
      </c>
      <c r="AB179" s="52">
        <v>0</v>
      </c>
      <c r="AC179" s="52">
        <v>951453.59</v>
      </c>
      <c r="AD179" s="52">
        <v>934238.97</v>
      </c>
      <c r="AE179" s="52">
        <v>0</v>
      </c>
      <c r="AF179" s="52">
        <v>0</v>
      </c>
      <c r="AG179" s="52">
        <v>17214.62</v>
      </c>
      <c r="AH179" s="52">
        <v>0</v>
      </c>
      <c r="AI179" s="52">
        <v>0</v>
      </c>
      <c r="AJ179" s="52">
        <v>2</v>
      </c>
      <c r="AK179" s="52"/>
      <c r="AL179" s="52">
        <v>0</v>
      </c>
      <c r="AM179" s="52">
        <v>0</v>
      </c>
      <c r="AN179" s="52">
        <v>462000000</v>
      </c>
      <c r="AO179" s="61">
        <v>6620200000</v>
      </c>
      <c r="AP179" s="61">
        <v>1522646000</v>
      </c>
      <c r="AQ179" s="58">
        <v>0</v>
      </c>
      <c r="AR179" s="58">
        <v>0</v>
      </c>
      <c r="AS179" s="58">
        <v>0</v>
      </c>
      <c r="AT179" s="58">
        <v>0</v>
      </c>
      <c r="AU179" s="58">
        <v>0</v>
      </c>
      <c r="AV179" s="58">
        <v>0</v>
      </c>
      <c r="AW179" s="58">
        <v>0</v>
      </c>
      <c r="AX179" s="58">
        <v>0</v>
      </c>
    </row>
    <row r="180" spans="1:50" x14ac:dyDescent="0.25">
      <c r="A180" s="52">
        <f t="shared" si="17"/>
        <v>175</v>
      </c>
      <c r="B180" s="60" t="str">
        <f t="shared" si="16"/>
        <v>00468115934</v>
      </c>
      <c r="C180" s="67" t="s">
        <v>28</v>
      </c>
      <c r="D180" s="59" t="s">
        <v>2058</v>
      </c>
      <c r="E180" s="55" t="str">
        <f t="shared" si="15"/>
        <v>00468</v>
      </c>
      <c r="F180" s="53" t="s">
        <v>2065</v>
      </c>
      <c r="G180" s="55" t="s">
        <v>22</v>
      </c>
      <c r="H180" s="60" t="s">
        <v>2384</v>
      </c>
      <c r="I180" s="55">
        <v>308405295</v>
      </c>
      <c r="J180" s="55">
        <v>115934</v>
      </c>
      <c r="K180" s="55" t="s">
        <v>316</v>
      </c>
      <c r="L180" s="53" t="s">
        <v>2066</v>
      </c>
      <c r="M180" s="55" t="s">
        <v>49</v>
      </c>
      <c r="N180" s="52">
        <v>385000000</v>
      </c>
      <c r="O180" s="52">
        <v>385000000</v>
      </c>
      <c r="P180" s="52">
        <v>385000000</v>
      </c>
      <c r="Q180" s="57">
        <v>44875</v>
      </c>
      <c r="R180" s="57">
        <v>46684</v>
      </c>
      <c r="S180" s="56">
        <v>10</v>
      </c>
      <c r="T180" s="54">
        <v>12</v>
      </c>
      <c r="U180" s="52">
        <v>260000000</v>
      </c>
      <c r="V180" s="52">
        <v>260000000</v>
      </c>
      <c r="W180" s="52">
        <v>0</v>
      </c>
      <c r="X180" s="57"/>
      <c r="Y180" s="52">
        <v>0</v>
      </c>
      <c r="Z180" s="52">
        <v>0</v>
      </c>
      <c r="AA180" s="52">
        <v>1</v>
      </c>
      <c r="AB180" s="52">
        <v>0</v>
      </c>
      <c r="AC180" s="52">
        <v>1210958.8999999999</v>
      </c>
      <c r="AD180" s="52">
        <v>1210958.8999999999</v>
      </c>
      <c r="AE180" s="52">
        <v>0</v>
      </c>
      <c r="AF180" s="52">
        <v>0</v>
      </c>
      <c r="AG180" s="52">
        <v>0</v>
      </c>
      <c r="AH180" s="52">
        <v>0</v>
      </c>
      <c r="AI180" s="52">
        <v>0</v>
      </c>
      <c r="AJ180" s="52">
        <v>2</v>
      </c>
      <c r="AK180" s="52"/>
      <c r="AL180" s="52">
        <v>0</v>
      </c>
      <c r="AM180" s="52">
        <v>0</v>
      </c>
      <c r="AN180" s="52">
        <v>462000000</v>
      </c>
      <c r="AO180" s="61">
        <v>2648300000</v>
      </c>
      <c r="AP180" s="61">
        <v>609109000</v>
      </c>
      <c r="AQ180" s="58">
        <v>0</v>
      </c>
      <c r="AR180" s="58">
        <v>0</v>
      </c>
      <c r="AS180" s="58">
        <v>0</v>
      </c>
      <c r="AT180" s="58">
        <v>0</v>
      </c>
      <c r="AU180" s="58">
        <v>0</v>
      </c>
      <c r="AV180" s="58">
        <v>0</v>
      </c>
      <c r="AW180" s="58">
        <v>0</v>
      </c>
      <c r="AX180" s="58">
        <v>0</v>
      </c>
    </row>
    <row r="181" spans="1:50" x14ac:dyDescent="0.25">
      <c r="A181" s="52">
        <f t="shared" si="17"/>
        <v>176</v>
      </c>
      <c r="B181" s="60" t="str">
        <f t="shared" si="16"/>
        <v>00468198745</v>
      </c>
      <c r="C181" s="67" t="s">
        <v>28</v>
      </c>
      <c r="D181" s="59" t="s">
        <v>2058</v>
      </c>
      <c r="E181" s="55" t="str">
        <f t="shared" ref="E181:E244" si="18">+G181</f>
        <v>00468</v>
      </c>
      <c r="F181" s="53" t="s">
        <v>2065</v>
      </c>
      <c r="G181" s="55" t="s">
        <v>22</v>
      </c>
      <c r="H181" s="60" t="s">
        <v>2394</v>
      </c>
      <c r="I181" s="55">
        <v>303834787</v>
      </c>
      <c r="J181" s="55">
        <v>198745</v>
      </c>
      <c r="K181" s="55" t="s">
        <v>317</v>
      </c>
      <c r="L181" s="53" t="s">
        <v>2066</v>
      </c>
      <c r="M181" s="55" t="s">
        <v>49</v>
      </c>
      <c r="N181" s="52">
        <v>287234043</v>
      </c>
      <c r="O181" s="52">
        <v>287234043</v>
      </c>
      <c r="P181" s="52">
        <v>287234042.57999998</v>
      </c>
      <c r="Q181" s="57">
        <v>45407</v>
      </c>
      <c r="R181" s="57">
        <v>47232</v>
      </c>
      <c r="S181" s="56">
        <v>14</v>
      </c>
      <c r="T181" s="54">
        <v>24</v>
      </c>
      <c r="U181" s="52">
        <v>236497631.62</v>
      </c>
      <c r="V181" s="52">
        <v>236497631.62</v>
      </c>
      <c r="W181" s="52">
        <v>0</v>
      </c>
      <c r="X181" s="57"/>
      <c r="Y181" s="52">
        <v>0</v>
      </c>
      <c r="Z181" s="52">
        <v>0</v>
      </c>
      <c r="AA181" s="52">
        <v>2</v>
      </c>
      <c r="AB181" s="52">
        <v>23649763.16</v>
      </c>
      <c r="AC181" s="52">
        <v>9634177.6400000006</v>
      </c>
      <c r="AD181" s="52">
        <v>544268.53</v>
      </c>
      <c r="AE181" s="52">
        <v>0</v>
      </c>
      <c r="AF181" s="52">
        <v>6822123.6100000003</v>
      </c>
      <c r="AG181" s="52">
        <v>2267785.5</v>
      </c>
      <c r="AH181" s="52">
        <v>0</v>
      </c>
      <c r="AI181" s="52">
        <v>0</v>
      </c>
      <c r="AJ181" s="52">
        <v>2</v>
      </c>
      <c r="AK181" s="52"/>
      <c r="AL181" s="52">
        <v>0</v>
      </c>
      <c r="AM181" s="52">
        <v>0</v>
      </c>
      <c r="AN181" s="52">
        <v>3446808516</v>
      </c>
      <c r="AO181" s="61">
        <v>1312525000</v>
      </c>
      <c r="AP181" s="61">
        <v>39375750000</v>
      </c>
      <c r="AQ181" s="58">
        <v>0</v>
      </c>
      <c r="AR181" s="58">
        <v>0</v>
      </c>
      <c r="AS181" s="58">
        <v>0</v>
      </c>
      <c r="AT181" s="58">
        <v>0</v>
      </c>
      <c r="AU181" s="58">
        <v>0</v>
      </c>
      <c r="AV181" s="58">
        <v>0</v>
      </c>
      <c r="AW181" s="58">
        <v>0</v>
      </c>
      <c r="AX181" s="58">
        <v>0</v>
      </c>
    </row>
    <row r="182" spans="1:50" x14ac:dyDescent="0.25">
      <c r="A182" s="52">
        <f t="shared" si="17"/>
        <v>177</v>
      </c>
      <c r="B182" s="60" t="str">
        <f t="shared" si="16"/>
        <v>00468229024</v>
      </c>
      <c r="C182" s="67" t="s">
        <v>28</v>
      </c>
      <c r="D182" s="59" t="s">
        <v>2058</v>
      </c>
      <c r="E182" s="55" t="str">
        <f t="shared" si="18"/>
        <v>00468</v>
      </c>
      <c r="F182" s="53" t="s">
        <v>2065</v>
      </c>
      <c r="G182" s="55" t="s">
        <v>22</v>
      </c>
      <c r="H182" s="60" t="s">
        <v>2374</v>
      </c>
      <c r="I182" s="55">
        <v>304286210</v>
      </c>
      <c r="J182" s="55">
        <v>229024</v>
      </c>
      <c r="K182" s="55" t="s">
        <v>318</v>
      </c>
      <c r="L182" s="53" t="s">
        <v>2066</v>
      </c>
      <c r="M182" s="55" t="s">
        <v>49</v>
      </c>
      <c r="N182" s="52">
        <v>266802444</v>
      </c>
      <c r="O182" s="52">
        <v>266802444</v>
      </c>
      <c r="P182" s="52">
        <v>266802444</v>
      </c>
      <c r="Q182" s="57">
        <v>45642</v>
      </c>
      <c r="R182" s="57">
        <v>47467</v>
      </c>
      <c r="S182" s="56">
        <v>14</v>
      </c>
      <c r="T182" s="54">
        <v>12</v>
      </c>
      <c r="U182" s="52">
        <v>229966012.84999999</v>
      </c>
      <c r="V182" s="52">
        <v>229966012.84999999</v>
      </c>
      <c r="W182" s="52">
        <v>0</v>
      </c>
      <c r="X182" s="57"/>
      <c r="Y182" s="52">
        <v>0</v>
      </c>
      <c r="Z182" s="52">
        <v>0</v>
      </c>
      <c r="AA182" s="52">
        <v>2</v>
      </c>
      <c r="AB182" s="52">
        <v>22996601.289999999</v>
      </c>
      <c r="AC182" s="52">
        <v>9143706.3200000003</v>
      </c>
      <c r="AD182" s="52">
        <v>1411298.27</v>
      </c>
      <c r="AE182" s="52">
        <v>0</v>
      </c>
      <c r="AF182" s="52">
        <v>6409315.9199999999</v>
      </c>
      <c r="AG182" s="52">
        <v>1323092.1299999999</v>
      </c>
      <c r="AH182" s="52">
        <v>0</v>
      </c>
      <c r="AI182" s="52">
        <v>0</v>
      </c>
      <c r="AJ182" s="52">
        <v>2</v>
      </c>
      <c r="AK182" s="52"/>
      <c r="AL182" s="52">
        <v>0</v>
      </c>
      <c r="AM182" s="52">
        <v>0</v>
      </c>
      <c r="AN182" s="52">
        <v>3201629328</v>
      </c>
      <c r="AO182" s="61">
        <v>266802444</v>
      </c>
      <c r="AP182" s="61">
        <v>266802444</v>
      </c>
      <c r="AQ182" s="58">
        <v>0</v>
      </c>
      <c r="AR182" s="58">
        <v>0</v>
      </c>
      <c r="AS182" s="58">
        <v>0</v>
      </c>
      <c r="AT182" s="58">
        <v>0</v>
      </c>
      <c r="AU182" s="58">
        <v>0</v>
      </c>
      <c r="AV182" s="58">
        <v>0</v>
      </c>
      <c r="AW182" s="58">
        <v>0</v>
      </c>
      <c r="AX182" s="58">
        <v>0</v>
      </c>
    </row>
    <row r="183" spans="1:50" x14ac:dyDescent="0.25">
      <c r="A183" s="52">
        <f t="shared" si="17"/>
        <v>178</v>
      </c>
      <c r="B183" s="60" t="str">
        <f t="shared" si="16"/>
        <v>00468215518</v>
      </c>
      <c r="C183" s="67" t="s">
        <v>28</v>
      </c>
      <c r="D183" s="59" t="s">
        <v>2058</v>
      </c>
      <c r="E183" s="55" t="str">
        <f t="shared" si="18"/>
        <v>00468</v>
      </c>
      <c r="F183" s="53" t="s">
        <v>2065</v>
      </c>
      <c r="G183" s="55" t="s">
        <v>22</v>
      </c>
      <c r="H183" s="60" t="s">
        <v>2387</v>
      </c>
      <c r="I183" s="55">
        <v>303652302</v>
      </c>
      <c r="J183" s="55">
        <v>215518</v>
      </c>
      <c r="K183" s="55" t="s">
        <v>319</v>
      </c>
      <c r="L183" s="53" t="s">
        <v>2066</v>
      </c>
      <c r="M183" s="55" t="s">
        <v>49</v>
      </c>
      <c r="N183" s="52">
        <v>773000000</v>
      </c>
      <c r="O183" s="52">
        <v>773000000</v>
      </c>
      <c r="P183" s="52">
        <v>773000000</v>
      </c>
      <c r="Q183" s="57">
        <v>45553</v>
      </c>
      <c r="R183" s="57">
        <v>46086</v>
      </c>
      <c r="S183" s="56">
        <v>26</v>
      </c>
      <c r="T183" s="54">
        <v>3</v>
      </c>
      <c r="U183" s="52">
        <v>226669538.47999999</v>
      </c>
      <c r="V183" s="52">
        <v>226669538.47999999</v>
      </c>
      <c r="W183" s="52">
        <v>0</v>
      </c>
      <c r="X183" s="57"/>
      <c r="Y183" s="52">
        <v>0</v>
      </c>
      <c r="Z183" s="52">
        <v>0</v>
      </c>
      <c r="AA183" s="52">
        <v>1</v>
      </c>
      <c r="AB183" s="52">
        <v>0</v>
      </c>
      <c r="AC183" s="52">
        <v>13978588.49</v>
      </c>
      <c r="AD183" s="52">
        <v>6389816.5499999998</v>
      </c>
      <c r="AE183" s="52">
        <v>0</v>
      </c>
      <c r="AF183" s="52">
        <v>7588771.9400000004</v>
      </c>
      <c r="AG183" s="52">
        <v>0</v>
      </c>
      <c r="AH183" s="52">
        <v>0</v>
      </c>
      <c r="AI183" s="52">
        <v>0</v>
      </c>
      <c r="AJ183" s="52">
        <v>2</v>
      </c>
      <c r="AK183" s="52"/>
      <c r="AL183" s="52">
        <v>0</v>
      </c>
      <c r="AM183" s="52">
        <v>0</v>
      </c>
      <c r="AN183" s="52">
        <v>320600000</v>
      </c>
      <c r="AO183" s="61">
        <v>2287278030</v>
      </c>
      <c r="AP183" s="61">
        <v>519340000</v>
      </c>
      <c r="AQ183" s="58">
        <v>0</v>
      </c>
      <c r="AR183" s="58">
        <v>0</v>
      </c>
      <c r="AS183" s="58">
        <v>0</v>
      </c>
      <c r="AT183" s="58">
        <v>0</v>
      </c>
      <c r="AU183" s="58">
        <v>0</v>
      </c>
      <c r="AV183" s="58">
        <v>0</v>
      </c>
      <c r="AW183" s="58">
        <v>0</v>
      </c>
      <c r="AX183" s="58">
        <v>0</v>
      </c>
    </row>
    <row r="184" spans="1:50" x14ac:dyDescent="0.25">
      <c r="A184" s="52">
        <f t="shared" si="17"/>
        <v>179</v>
      </c>
      <c r="B184" s="60" t="str">
        <f t="shared" si="16"/>
        <v>00468198295</v>
      </c>
      <c r="C184" s="67" t="s">
        <v>28</v>
      </c>
      <c r="D184" s="59" t="s">
        <v>2058</v>
      </c>
      <c r="E184" s="55" t="str">
        <f t="shared" si="18"/>
        <v>00468</v>
      </c>
      <c r="F184" s="53" t="s">
        <v>2065</v>
      </c>
      <c r="G184" s="55" t="s">
        <v>22</v>
      </c>
      <c r="H184" s="60" t="s">
        <v>2388</v>
      </c>
      <c r="I184" s="55">
        <v>204864752</v>
      </c>
      <c r="J184" s="55">
        <v>198295</v>
      </c>
      <c r="K184" s="55" t="s">
        <v>320</v>
      </c>
      <c r="L184" s="53" t="s">
        <v>2066</v>
      </c>
      <c r="M184" s="55" t="s">
        <v>49</v>
      </c>
      <c r="N184" s="52">
        <v>345744681</v>
      </c>
      <c r="O184" s="52">
        <v>345744681</v>
      </c>
      <c r="P184" s="52">
        <v>345744680.86000001</v>
      </c>
      <c r="Q184" s="57">
        <v>45404</v>
      </c>
      <c r="R184" s="57">
        <v>47229</v>
      </c>
      <c r="S184" s="56">
        <v>14</v>
      </c>
      <c r="T184" s="54">
        <v>24</v>
      </c>
      <c r="U184" s="52">
        <v>209985810.28</v>
      </c>
      <c r="V184" s="52">
        <v>209985810.28</v>
      </c>
      <c r="W184" s="52">
        <v>0</v>
      </c>
      <c r="X184" s="57"/>
      <c r="Y184" s="52">
        <v>0</v>
      </c>
      <c r="Z184" s="52">
        <v>0</v>
      </c>
      <c r="AA184" s="52">
        <v>1</v>
      </c>
      <c r="AB184" s="52">
        <v>0</v>
      </c>
      <c r="AC184" s="52">
        <v>2496817.58</v>
      </c>
      <c r="AD184" s="52">
        <v>885967.53</v>
      </c>
      <c r="AE184" s="52">
        <v>0</v>
      </c>
      <c r="AF184" s="52">
        <v>0</v>
      </c>
      <c r="AG184" s="52">
        <v>1610850.05</v>
      </c>
      <c r="AH184" s="52">
        <v>0</v>
      </c>
      <c r="AI184" s="52">
        <v>0</v>
      </c>
      <c r="AJ184" s="52">
        <v>2</v>
      </c>
      <c r="AK184" s="52"/>
      <c r="AL184" s="52">
        <v>0</v>
      </c>
      <c r="AM184" s="52">
        <v>0</v>
      </c>
      <c r="AN184" s="52">
        <v>4148936172</v>
      </c>
      <c r="AO184" s="61">
        <v>1561400000</v>
      </c>
      <c r="AP184" s="61">
        <v>46842000000</v>
      </c>
      <c r="AQ184" s="58">
        <v>0</v>
      </c>
      <c r="AR184" s="58">
        <v>0</v>
      </c>
      <c r="AS184" s="58">
        <v>0</v>
      </c>
      <c r="AT184" s="58">
        <v>0</v>
      </c>
      <c r="AU184" s="58">
        <v>0</v>
      </c>
      <c r="AV184" s="58">
        <v>0</v>
      </c>
      <c r="AW184" s="58">
        <v>0</v>
      </c>
      <c r="AX184" s="58">
        <v>0</v>
      </c>
    </row>
    <row r="185" spans="1:50" x14ac:dyDescent="0.25">
      <c r="A185" s="52">
        <f t="shared" si="17"/>
        <v>180</v>
      </c>
      <c r="B185" s="60" t="str">
        <f t="shared" si="16"/>
        <v>0046861551</v>
      </c>
      <c r="C185" s="67" t="s">
        <v>28</v>
      </c>
      <c r="D185" s="59" t="s">
        <v>2058</v>
      </c>
      <c r="E185" s="55" t="str">
        <f t="shared" si="18"/>
        <v>00468</v>
      </c>
      <c r="F185" s="53" t="s">
        <v>2065</v>
      </c>
      <c r="G185" s="55" t="s">
        <v>22</v>
      </c>
      <c r="H185" s="60" t="s">
        <v>2392</v>
      </c>
      <c r="I185" s="55">
        <v>303536611</v>
      </c>
      <c r="J185" s="55">
        <v>61551</v>
      </c>
      <c r="K185" s="55" t="s">
        <v>321</v>
      </c>
      <c r="L185" s="53" t="s">
        <v>2066</v>
      </c>
      <c r="M185" s="55" t="s">
        <v>49</v>
      </c>
      <c r="N185" s="52">
        <v>245000000</v>
      </c>
      <c r="O185" s="52">
        <v>245000000</v>
      </c>
      <c r="P185" s="52">
        <v>245000000</v>
      </c>
      <c r="Q185" s="57">
        <v>44364</v>
      </c>
      <c r="R185" s="57">
        <v>46920</v>
      </c>
      <c r="S185" s="56">
        <v>14</v>
      </c>
      <c r="T185" s="54">
        <v>36</v>
      </c>
      <c r="U185" s="52">
        <v>209270833.38</v>
      </c>
      <c r="V185" s="52">
        <v>199062500.06</v>
      </c>
      <c r="W185" s="52">
        <v>10208333.32</v>
      </c>
      <c r="X185" s="57">
        <v>46013</v>
      </c>
      <c r="Y185" s="52">
        <v>0</v>
      </c>
      <c r="Z185" s="52">
        <v>0</v>
      </c>
      <c r="AA185" s="52">
        <v>1</v>
      </c>
      <c r="AB185" s="52">
        <v>0</v>
      </c>
      <c r="AC185" s="52">
        <v>6893116.4400000004</v>
      </c>
      <c r="AD185" s="52">
        <v>6893116.4400000004</v>
      </c>
      <c r="AE185" s="52">
        <v>0</v>
      </c>
      <c r="AF185" s="52">
        <v>0</v>
      </c>
      <c r="AG185" s="52">
        <v>0</v>
      </c>
      <c r="AH185" s="52">
        <v>0</v>
      </c>
      <c r="AI185" s="52">
        <v>0</v>
      </c>
      <c r="AJ185" s="52">
        <v>2</v>
      </c>
      <c r="AK185" s="52"/>
      <c r="AL185" s="52">
        <v>0</v>
      </c>
      <c r="AM185" s="52">
        <v>0</v>
      </c>
      <c r="AN185" s="52">
        <v>294000000</v>
      </c>
      <c r="AO185" s="61">
        <v>245000000</v>
      </c>
      <c r="AP185" s="61">
        <v>245000000</v>
      </c>
      <c r="AQ185" s="58">
        <v>0</v>
      </c>
      <c r="AR185" s="58">
        <v>0</v>
      </c>
      <c r="AS185" s="58">
        <v>0</v>
      </c>
      <c r="AT185" s="58">
        <v>0</v>
      </c>
      <c r="AU185" s="58">
        <v>0</v>
      </c>
      <c r="AV185" s="58">
        <v>0</v>
      </c>
      <c r="AW185" s="58">
        <v>0</v>
      </c>
      <c r="AX185" s="58">
        <v>0</v>
      </c>
    </row>
    <row r="186" spans="1:50" x14ac:dyDescent="0.25">
      <c r="A186" s="52">
        <f t="shared" si="17"/>
        <v>181</v>
      </c>
      <c r="B186" s="60" t="str">
        <f t="shared" si="16"/>
        <v>00468198476</v>
      </c>
      <c r="C186" s="67" t="s">
        <v>28</v>
      </c>
      <c r="D186" s="59" t="s">
        <v>2058</v>
      </c>
      <c r="E186" s="55" t="str">
        <f t="shared" si="18"/>
        <v>00468</v>
      </c>
      <c r="F186" s="53" t="s">
        <v>2065</v>
      </c>
      <c r="G186" s="55" t="s">
        <v>22</v>
      </c>
      <c r="H186" s="60" t="s">
        <v>256</v>
      </c>
      <c r="I186" s="55">
        <v>305390651</v>
      </c>
      <c r="J186" s="55">
        <v>198476</v>
      </c>
      <c r="K186" s="55" t="s">
        <v>322</v>
      </c>
      <c r="L186" s="53" t="s">
        <v>2066</v>
      </c>
      <c r="M186" s="55" t="s">
        <v>49</v>
      </c>
      <c r="N186" s="52">
        <v>345744681</v>
      </c>
      <c r="O186" s="52">
        <v>345744681</v>
      </c>
      <c r="P186" s="52">
        <v>345744680.86000001</v>
      </c>
      <c r="Q186" s="57">
        <v>45405</v>
      </c>
      <c r="R186" s="57">
        <v>47230</v>
      </c>
      <c r="S186" s="56">
        <v>14</v>
      </c>
      <c r="T186" s="54">
        <v>24</v>
      </c>
      <c r="U186" s="52">
        <v>207836483.88</v>
      </c>
      <c r="V186" s="52">
        <v>207836483.88</v>
      </c>
      <c r="W186" s="52">
        <v>0</v>
      </c>
      <c r="X186" s="57"/>
      <c r="Y186" s="52">
        <v>0</v>
      </c>
      <c r="Z186" s="52">
        <v>0</v>
      </c>
      <c r="AA186" s="52">
        <v>1</v>
      </c>
      <c r="AB186" s="52">
        <v>0</v>
      </c>
      <c r="AC186" s="52">
        <v>2152388.79</v>
      </c>
      <c r="AD186" s="52">
        <v>717462.93</v>
      </c>
      <c r="AE186" s="52">
        <v>0</v>
      </c>
      <c r="AF186" s="52">
        <v>0</v>
      </c>
      <c r="AG186" s="52">
        <v>1434925.86</v>
      </c>
      <c r="AH186" s="52">
        <v>0</v>
      </c>
      <c r="AI186" s="52">
        <v>0</v>
      </c>
      <c r="AJ186" s="52">
        <v>2</v>
      </c>
      <c r="AK186" s="52"/>
      <c r="AL186" s="52">
        <v>0</v>
      </c>
      <c r="AM186" s="52">
        <v>0</v>
      </c>
      <c r="AN186" s="52">
        <v>4148936172</v>
      </c>
      <c r="AO186" s="61">
        <v>472100000</v>
      </c>
      <c r="AP186" s="61">
        <v>14163000000</v>
      </c>
      <c r="AQ186" s="58">
        <v>0</v>
      </c>
      <c r="AR186" s="58">
        <v>0</v>
      </c>
      <c r="AS186" s="58">
        <v>0</v>
      </c>
      <c r="AT186" s="58">
        <v>0</v>
      </c>
      <c r="AU186" s="58">
        <v>0</v>
      </c>
      <c r="AV186" s="58">
        <v>0</v>
      </c>
      <c r="AW186" s="58">
        <v>0</v>
      </c>
      <c r="AX186" s="58">
        <v>0</v>
      </c>
    </row>
    <row r="187" spans="1:50" x14ac:dyDescent="0.25">
      <c r="A187" s="52">
        <f t="shared" si="17"/>
        <v>182</v>
      </c>
      <c r="B187" s="60" t="str">
        <f t="shared" si="16"/>
        <v>00468242849</v>
      </c>
      <c r="C187" s="67" t="s">
        <v>28</v>
      </c>
      <c r="D187" s="59" t="s">
        <v>2058</v>
      </c>
      <c r="E187" s="55" t="str">
        <f t="shared" si="18"/>
        <v>00468</v>
      </c>
      <c r="F187" s="53" t="s">
        <v>2065</v>
      </c>
      <c r="G187" s="55" t="s">
        <v>22</v>
      </c>
      <c r="H187" s="60" t="s">
        <v>2381</v>
      </c>
      <c r="I187" s="55">
        <v>305429133</v>
      </c>
      <c r="J187" s="55">
        <v>242849</v>
      </c>
      <c r="K187" s="55" t="s">
        <v>323</v>
      </c>
      <c r="L187" s="53" t="s">
        <v>2066</v>
      </c>
      <c r="M187" s="55" t="s">
        <v>49</v>
      </c>
      <c r="N187" s="52">
        <v>201564000</v>
      </c>
      <c r="O187" s="52">
        <v>201564000</v>
      </c>
      <c r="P187" s="52">
        <v>201563999.69</v>
      </c>
      <c r="Q187" s="57">
        <v>45740</v>
      </c>
      <c r="R187" s="57">
        <v>46815</v>
      </c>
      <c r="S187" s="56">
        <v>13.5</v>
      </c>
      <c r="T187" s="54">
        <v>12</v>
      </c>
      <c r="U187" s="52">
        <v>201563999.69</v>
      </c>
      <c r="V187" s="52">
        <v>201563999.69</v>
      </c>
      <c r="W187" s="52">
        <v>0</v>
      </c>
      <c r="X187" s="57"/>
      <c r="Y187" s="52">
        <v>0</v>
      </c>
      <c r="Z187" s="52">
        <v>0</v>
      </c>
      <c r="AA187" s="52">
        <v>2</v>
      </c>
      <c r="AB187" s="52">
        <v>20156399.960000001</v>
      </c>
      <c r="AC187" s="52">
        <v>6362598.5</v>
      </c>
      <c r="AD187" s="52">
        <v>2012878.85</v>
      </c>
      <c r="AE187" s="52">
        <v>0</v>
      </c>
      <c r="AF187" s="52">
        <v>2038636.53</v>
      </c>
      <c r="AG187" s="52">
        <v>2311083.12</v>
      </c>
      <c r="AH187" s="52">
        <v>0</v>
      </c>
      <c r="AI187" s="52">
        <v>0</v>
      </c>
      <c r="AJ187" s="52">
        <v>2</v>
      </c>
      <c r="AK187" s="52"/>
      <c r="AL187" s="52">
        <v>0</v>
      </c>
      <c r="AM187" s="52">
        <v>0</v>
      </c>
      <c r="AN187" s="52">
        <v>241876801</v>
      </c>
      <c r="AO187" s="61">
        <v>201564000</v>
      </c>
      <c r="AP187" s="61">
        <v>20156399969</v>
      </c>
      <c r="AQ187" s="58">
        <v>0</v>
      </c>
      <c r="AR187" s="58">
        <v>0</v>
      </c>
      <c r="AS187" s="58">
        <v>0</v>
      </c>
      <c r="AT187" s="58">
        <v>0</v>
      </c>
      <c r="AU187" s="58">
        <v>0</v>
      </c>
      <c r="AV187" s="58">
        <v>0</v>
      </c>
      <c r="AW187" s="58">
        <v>0</v>
      </c>
      <c r="AX187" s="58">
        <v>0</v>
      </c>
    </row>
    <row r="188" spans="1:50" x14ac:dyDescent="0.25">
      <c r="A188" s="52">
        <f t="shared" si="17"/>
        <v>183</v>
      </c>
      <c r="B188" s="60" t="str">
        <f t="shared" si="16"/>
        <v>00468197637</v>
      </c>
      <c r="C188" s="67" t="s">
        <v>28</v>
      </c>
      <c r="D188" s="59" t="s">
        <v>2058</v>
      </c>
      <c r="E188" s="55" t="str">
        <f t="shared" si="18"/>
        <v>00468</v>
      </c>
      <c r="F188" s="53" t="s">
        <v>2065</v>
      </c>
      <c r="G188" s="55" t="s">
        <v>22</v>
      </c>
      <c r="H188" s="60" t="s">
        <v>2391</v>
      </c>
      <c r="I188" s="55">
        <v>303111950</v>
      </c>
      <c r="J188" s="55">
        <v>197637</v>
      </c>
      <c r="K188" s="55" t="s">
        <v>324</v>
      </c>
      <c r="L188" s="53" t="s">
        <v>2066</v>
      </c>
      <c r="M188" s="55" t="s">
        <v>49</v>
      </c>
      <c r="N188" s="52">
        <v>265957447</v>
      </c>
      <c r="O188" s="52">
        <v>265957447</v>
      </c>
      <c r="P188" s="52">
        <v>265957446.81999999</v>
      </c>
      <c r="Q188" s="57">
        <v>45399</v>
      </c>
      <c r="R188" s="57">
        <v>47224</v>
      </c>
      <c r="S188" s="56">
        <v>14</v>
      </c>
      <c r="T188" s="54">
        <v>24</v>
      </c>
      <c r="U188" s="52">
        <v>162842611.49000001</v>
      </c>
      <c r="V188" s="52">
        <v>162842611.49000001</v>
      </c>
      <c r="W188" s="52">
        <v>0</v>
      </c>
      <c r="X188" s="57"/>
      <c r="Y188" s="52">
        <v>0</v>
      </c>
      <c r="Z188" s="52">
        <v>0</v>
      </c>
      <c r="AA188" s="52">
        <v>1</v>
      </c>
      <c r="AB188" s="52">
        <v>0</v>
      </c>
      <c r="AC188" s="52">
        <v>1343002.1400000001</v>
      </c>
      <c r="AD188" s="52">
        <v>811982.34</v>
      </c>
      <c r="AE188" s="52">
        <v>0</v>
      </c>
      <c r="AF188" s="52">
        <v>0</v>
      </c>
      <c r="AG188" s="52">
        <v>531019.80000000005</v>
      </c>
      <c r="AH188" s="52">
        <v>0</v>
      </c>
      <c r="AI188" s="52">
        <v>0</v>
      </c>
      <c r="AJ188" s="52">
        <v>2</v>
      </c>
      <c r="AK188" s="52"/>
      <c r="AL188" s="52">
        <v>0</v>
      </c>
      <c r="AM188" s="52">
        <v>0</v>
      </c>
      <c r="AN188" s="52">
        <v>3191489364</v>
      </c>
      <c r="AO188" s="61">
        <v>892000000</v>
      </c>
      <c r="AP188" s="61">
        <v>26760000000</v>
      </c>
      <c r="AQ188" s="58">
        <v>0</v>
      </c>
      <c r="AR188" s="58">
        <v>0</v>
      </c>
      <c r="AS188" s="58">
        <v>0</v>
      </c>
      <c r="AT188" s="58">
        <v>0</v>
      </c>
      <c r="AU188" s="58">
        <v>0</v>
      </c>
      <c r="AV188" s="58">
        <v>0</v>
      </c>
      <c r="AW188" s="58">
        <v>0</v>
      </c>
      <c r="AX188" s="58">
        <v>0</v>
      </c>
    </row>
    <row r="189" spans="1:50" x14ac:dyDescent="0.25">
      <c r="A189" s="52">
        <f t="shared" si="17"/>
        <v>184</v>
      </c>
      <c r="B189" s="60" t="str">
        <f t="shared" ref="B189:B252" si="19">+E189&amp;J189</f>
        <v>00468260121</v>
      </c>
      <c r="C189" s="67" t="s">
        <v>28</v>
      </c>
      <c r="D189" s="59" t="s">
        <v>2058</v>
      </c>
      <c r="E189" s="55" t="str">
        <f t="shared" si="18"/>
        <v>00468</v>
      </c>
      <c r="F189" s="53" t="s">
        <v>2065</v>
      </c>
      <c r="G189" s="55" t="s">
        <v>22</v>
      </c>
      <c r="H189" s="60" t="s">
        <v>2388</v>
      </c>
      <c r="I189" s="55">
        <v>204864752</v>
      </c>
      <c r="J189" s="55">
        <v>260121</v>
      </c>
      <c r="K189" s="55" t="s">
        <v>325</v>
      </c>
      <c r="L189" s="53" t="s">
        <v>2066</v>
      </c>
      <c r="M189" s="55" t="s">
        <v>49</v>
      </c>
      <c r="N189" s="52">
        <v>679000000</v>
      </c>
      <c r="O189" s="52">
        <v>679000000</v>
      </c>
      <c r="P189" s="52">
        <v>679000000</v>
      </c>
      <c r="Q189" s="57">
        <v>45862</v>
      </c>
      <c r="R189" s="57">
        <v>46392</v>
      </c>
      <c r="S189" s="56">
        <v>10</v>
      </c>
      <c r="T189" s="54">
        <v>6</v>
      </c>
      <c r="U189" s="52">
        <v>138322552.13999999</v>
      </c>
      <c r="V189" s="52">
        <v>138322552.13999999</v>
      </c>
      <c r="W189" s="52">
        <v>0</v>
      </c>
      <c r="X189" s="57"/>
      <c r="Y189" s="52">
        <v>0</v>
      </c>
      <c r="Z189" s="52">
        <v>0</v>
      </c>
      <c r="AA189" s="52">
        <v>1</v>
      </c>
      <c r="AB189" s="52">
        <v>0</v>
      </c>
      <c r="AC189" s="52">
        <v>1174794.28</v>
      </c>
      <c r="AD189" s="52">
        <v>1023207.92</v>
      </c>
      <c r="AE189" s="52">
        <v>0</v>
      </c>
      <c r="AF189" s="52">
        <v>0</v>
      </c>
      <c r="AG189" s="52">
        <v>151586.35999999999</v>
      </c>
      <c r="AH189" s="52">
        <v>0</v>
      </c>
      <c r="AI189" s="52">
        <v>0</v>
      </c>
      <c r="AJ189" s="52">
        <v>2</v>
      </c>
      <c r="AK189" s="52"/>
      <c r="AL189" s="52">
        <v>0</v>
      </c>
      <c r="AM189" s="52">
        <v>0</v>
      </c>
      <c r="AN189" s="52">
        <v>814800000</v>
      </c>
      <c r="AO189" s="61">
        <v>679000000</v>
      </c>
      <c r="AP189" s="61">
        <v>679000000</v>
      </c>
      <c r="AQ189" s="58">
        <v>0</v>
      </c>
      <c r="AR189" s="58">
        <v>0</v>
      </c>
      <c r="AS189" s="58">
        <v>0</v>
      </c>
      <c r="AT189" s="58">
        <v>0</v>
      </c>
      <c r="AU189" s="58">
        <v>0</v>
      </c>
      <c r="AV189" s="58">
        <v>0</v>
      </c>
      <c r="AW189" s="58">
        <v>0</v>
      </c>
      <c r="AX189" s="58">
        <v>0</v>
      </c>
    </row>
    <row r="190" spans="1:50" x14ac:dyDescent="0.25">
      <c r="A190" s="52">
        <f t="shared" si="17"/>
        <v>185</v>
      </c>
      <c r="B190" s="60" t="str">
        <f t="shared" si="19"/>
        <v>00468216530</v>
      </c>
      <c r="C190" s="67" t="s">
        <v>28</v>
      </c>
      <c r="D190" s="59" t="s">
        <v>2058</v>
      </c>
      <c r="E190" s="55" t="str">
        <f t="shared" si="18"/>
        <v>00468</v>
      </c>
      <c r="F190" s="53" t="s">
        <v>2065</v>
      </c>
      <c r="G190" s="55" t="s">
        <v>22</v>
      </c>
      <c r="H190" s="60" t="s">
        <v>2389</v>
      </c>
      <c r="I190" s="55">
        <v>303612010</v>
      </c>
      <c r="J190" s="55">
        <v>216530</v>
      </c>
      <c r="K190" s="55" t="s">
        <v>326</v>
      </c>
      <c r="L190" s="53" t="s">
        <v>2066</v>
      </c>
      <c r="M190" s="55" t="s">
        <v>49</v>
      </c>
      <c r="N190" s="52">
        <v>773000000</v>
      </c>
      <c r="O190" s="52">
        <v>773000000</v>
      </c>
      <c r="P190" s="52">
        <v>773000000</v>
      </c>
      <c r="Q190" s="57">
        <v>45558</v>
      </c>
      <c r="R190" s="57">
        <v>46086</v>
      </c>
      <c r="S190" s="56">
        <v>26</v>
      </c>
      <c r="T190" s="54">
        <v>6</v>
      </c>
      <c r="U190" s="52">
        <v>103066666.70999999</v>
      </c>
      <c r="V190" s="52">
        <v>103066666.70999999</v>
      </c>
      <c r="W190" s="52">
        <v>0</v>
      </c>
      <c r="X190" s="57"/>
      <c r="Y190" s="52">
        <v>0</v>
      </c>
      <c r="Z190" s="52">
        <v>0</v>
      </c>
      <c r="AA190" s="52">
        <v>1</v>
      </c>
      <c r="AB190" s="52">
        <v>0</v>
      </c>
      <c r="AC190" s="52">
        <v>1174677.6299999999</v>
      </c>
      <c r="AD190" s="52">
        <v>1174677.6299999999</v>
      </c>
      <c r="AE190" s="52">
        <v>0</v>
      </c>
      <c r="AF190" s="52">
        <v>0</v>
      </c>
      <c r="AG190" s="52">
        <v>0</v>
      </c>
      <c r="AH190" s="52">
        <v>0</v>
      </c>
      <c r="AI190" s="52">
        <v>0</v>
      </c>
      <c r="AJ190" s="52">
        <v>2</v>
      </c>
      <c r="AK190" s="52"/>
      <c r="AL190" s="52">
        <v>0</v>
      </c>
      <c r="AM190" s="52">
        <v>0</v>
      </c>
      <c r="AN190" s="52">
        <v>1713450000</v>
      </c>
      <c r="AO190" s="61">
        <v>1493658700</v>
      </c>
      <c r="AP190" s="61">
        <v>413680000</v>
      </c>
      <c r="AQ190" s="58">
        <v>0</v>
      </c>
      <c r="AR190" s="58">
        <v>0</v>
      </c>
      <c r="AS190" s="58">
        <v>0</v>
      </c>
      <c r="AT190" s="58">
        <v>0</v>
      </c>
      <c r="AU190" s="58">
        <v>0</v>
      </c>
      <c r="AV190" s="58">
        <v>0</v>
      </c>
      <c r="AW190" s="58">
        <v>0</v>
      </c>
      <c r="AX190" s="58">
        <v>0</v>
      </c>
    </row>
    <row r="191" spans="1:50" x14ac:dyDescent="0.25">
      <c r="A191" s="52">
        <f t="shared" si="17"/>
        <v>186</v>
      </c>
      <c r="B191" s="60" t="str">
        <f t="shared" si="19"/>
        <v>0047220012</v>
      </c>
      <c r="C191" s="67" t="s">
        <v>28</v>
      </c>
      <c r="D191" s="59" t="s">
        <v>2058</v>
      </c>
      <c r="E191" s="55" t="str">
        <f t="shared" si="18"/>
        <v>00472</v>
      </c>
      <c r="F191" s="53" t="s">
        <v>2067</v>
      </c>
      <c r="G191" s="55" t="s">
        <v>15</v>
      </c>
      <c r="H191" s="60" t="s">
        <v>2398</v>
      </c>
      <c r="I191" s="55">
        <v>307955293</v>
      </c>
      <c r="J191" s="55">
        <v>20012</v>
      </c>
      <c r="K191" s="55" t="s">
        <v>327</v>
      </c>
      <c r="L191" s="53" t="s">
        <v>2068</v>
      </c>
      <c r="M191" s="55" t="s">
        <v>49</v>
      </c>
      <c r="N191" s="52">
        <v>6714172000</v>
      </c>
      <c r="O191" s="52">
        <v>6714172000</v>
      </c>
      <c r="P191" s="52">
        <v>6714172000</v>
      </c>
      <c r="Q191" s="57">
        <v>44211</v>
      </c>
      <c r="R191" s="57">
        <v>46757</v>
      </c>
      <c r="S191" s="56">
        <v>5</v>
      </c>
      <c r="T191" s="54">
        <v>24</v>
      </c>
      <c r="U191" s="52">
        <v>4858757872.8400002</v>
      </c>
      <c r="V191" s="52">
        <v>4858757872.8400002</v>
      </c>
      <c r="W191" s="52">
        <v>0</v>
      </c>
      <c r="X191" s="57"/>
      <c r="Y191" s="52">
        <v>0</v>
      </c>
      <c r="Z191" s="52">
        <v>0</v>
      </c>
      <c r="AA191" s="52">
        <v>2</v>
      </c>
      <c r="AB191" s="52">
        <v>485875787.29000002</v>
      </c>
      <c r="AC191" s="52">
        <v>2662333.08</v>
      </c>
      <c r="AD191" s="52">
        <v>2662333.08</v>
      </c>
      <c r="AE191" s="52">
        <v>0</v>
      </c>
      <c r="AF191" s="52">
        <v>0</v>
      </c>
      <c r="AG191" s="52">
        <v>0</v>
      </c>
      <c r="AH191" s="52">
        <v>0</v>
      </c>
      <c r="AI191" s="52">
        <v>0</v>
      </c>
      <c r="AJ191" s="52">
        <v>2</v>
      </c>
      <c r="AK191" s="52"/>
      <c r="AL191" s="61">
        <v>2456735019803</v>
      </c>
      <c r="AM191" s="61">
        <v>9030264162</v>
      </c>
      <c r="AN191" s="61">
        <v>8057006400</v>
      </c>
      <c r="AO191" s="52">
        <v>0</v>
      </c>
      <c r="AP191" s="52">
        <v>0</v>
      </c>
      <c r="AQ191" s="58">
        <v>0</v>
      </c>
      <c r="AR191" s="58">
        <v>0</v>
      </c>
      <c r="AS191" s="58">
        <v>0</v>
      </c>
      <c r="AT191" s="58">
        <v>0</v>
      </c>
      <c r="AU191" s="58">
        <v>0</v>
      </c>
      <c r="AV191" s="58">
        <v>0</v>
      </c>
      <c r="AW191" s="58">
        <v>0</v>
      </c>
      <c r="AX191" s="58">
        <v>0</v>
      </c>
    </row>
    <row r="192" spans="1:50" x14ac:dyDescent="0.25">
      <c r="A192" s="52">
        <f t="shared" si="17"/>
        <v>187</v>
      </c>
      <c r="B192" s="60" t="str">
        <f t="shared" si="19"/>
        <v>0047219732</v>
      </c>
      <c r="C192" s="67" t="s">
        <v>28</v>
      </c>
      <c r="D192" s="59" t="s">
        <v>2058</v>
      </c>
      <c r="E192" s="55" t="str">
        <f t="shared" si="18"/>
        <v>00472</v>
      </c>
      <c r="F192" s="53" t="s">
        <v>2067</v>
      </c>
      <c r="G192" s="55" t="s">
        <v>15</v>
      </c>
      <c r="H192" s="60" t="s">
        <v>2398</v>
      </c>
      <c r="I192" s="55">
        <v>307955293</v>
      </c>
      <c r="J192" s="55">
        <v>19732</v>
      </c>
      <c r="K192" s="55" t="s">
        <v>328</v>
      </c>
      <c r="L192" s="53" t="s">
        <v>2068</v>
      </c>
      <c r="M192" s="55" t="s">
        <v>49</v>
      </c>
      <c r="N192" s="52">
        <v>2650000000</v>
      </c>
      <c r="O192" s="52">
        <v>2650000000</v>
      </c>
      <c r="P192" s="52">
        <v>2612165500</v>
      </c>
      <c r="Q192" s="57">
        <v>44172</v>
      </c>
      <c r="R192" s="57">
        <v>47821</v>
      </c>
      <c r="S192" s="56">
        <v>14</v>
      </c>
      <c r="T192" s="54">
        <v>24</v>
      </c>
      <c r="U192" s="52">
        <v>2443785014.3299999</v>
      </c>
      <c r="V192" s="52">
        <v>2432738416.98</v>
      </c>
      <c r="W192" s="52">
        <v>11046597.35</v>
      </c>
      <c r="X192" s="57">
        <v>46029</v>
      </c>
      <c r="Y192" s="52">
        <v>0</v>
      </c>
      <c r="Z192" s="52">
        <v>0</v>
      </c>
      <c r="AA192" s="52">
        <v>2</v>
      </c>
      <c r="AB192" s="52">
        <v>244378501.43000001</v>
      </c>
      <c r="AC192" s="52">
        <v>42026409.439999998</v>
      </c>
      <c r="AD192" s="52">
        <v>41920483.159999996</v>
      </c>
      <c r="AE192" s="52">
        <v>0</v>
      </c>
      <c r="AF192" s="52">
        <v>0</v>
      </c>
      <c r="AG192" s="52">
        <v>105926.28</v>
      </c>
      <c r="AH192" s="52">
        <v>0</v>
      </c>
      <c r="AI192" s="52">
        <v>0</v>
      </c>
      <c r="AJ192" s="52">
        <v>2</v>
      </c>
      <c r="AK192" s="52"/>
      <c r="AL192" s="61">
        <v>2456735019803</v>
      </c>
      <c r="AM192" s="61">
        <v>2760416667</v>
      </c>
      <c r="AN192" s="61">
        <v>3134598600</v>
      </c>
      <c r="AO192" s="52">
        <v>0</v>
      </c>
      <c r="AP192" s="52">
        <v>0</v>
      </c>
      <c r="AQ192" s="58">
        <v>0</v>
      </c>
      <c r="AR192" s="58">
        <v>0</v>
      </c>
      <c r="AS192" s="58">
        <v>0</v>
      </c>
      <c r="AT192" s="58">
        <v>0</v>
      </c>
      <c r="AU192" s="58">
        <v>0</v>
      </c>
      <c r="AV192" s="58">
        <v>0</v>
      </c>
      <c r="AW192" s="58">
        <v>0</v>
      </c>
      <c r="AX192" s="58">
        <v>0</v>
      </c>
    </row>
    <row r="193" spans="1:50" x14ac:dyDescent="0.25">
      <c r="A193" s="52">
        <f t="shared" si="17"/>
        <v>188</v>
      </c>
      <c r="B193" s="60" t="str">
        <f t="shared" si="19"/>
        <v>0047289763</v>
      </c>
      <c r="C193" s="67" t="s">
        <v>28</v>
      </c>
      <c r="D193" s="59" t="s">
        <v>2058</v>
      </c>
      <c r="E193" s="55" t="str">
        <f t="shared" si="18"/>
        <v>00472</v>
      </c>
      <c r="F193" s="53" t="s">
        <v>2067</v>
      </c>
      <c r="G193" s="55" t="s">
        <v>15</v>
      </c>
      <c r="H193" s="60" t="s">
        <v>329</v>
      </c>
      <c r="I193" s="55">
        <v>205937636</v>
      </c>
      <c r="J193" s="55">
        <v>89763</v>
      </c>
      <c r="K193" s="55" t="s">
        <v>330</v>
      </c>
      <c r="L193" s="53" t="s">
        <v>2068</v>
      </c>
      <c r="M193" s="55" t="s">
        <v>49</v>
      </c>
      <c r="N193" s="52">
        <v>3193882979</v>
      </c>
      <c r="O193" s="52">
        <v>3193882979</v>
      </c>
      <c r="P193" s="52">
        <v>3193882978.7399998</v>
      </c>
      <c r="Q193" s="57">
        <v>45345</v>
      </c>
      <c r="R193" s="57">
        <v>47171</v>
      </c>
      <c r="S193" s="56">
        <v>14</v>
      </c>
      <c r="T193" s="54">
        <v>24</v>
      </c>
      <c r="U193" s="52">
        <v>2332952924.1700001</v>
      </c>
      <c r="V193" s="52">
        <v>2332952924.1700001</v>
      </c>
      <c r="W193" s="52">
        <v>0</v>
      </c>
      <c r="X193" s="57"/>
      <c r="Y193" s="52">
        <v>0</v>
      </c>
      <c r="Z193" s="52">
        <v>0</v>
      </c>
      <c r="AA193" s="52">
        <v>1</v>
      </c>
      <c r="AB193" s="52">
        <v>0</v>
      </c>
      <c r="AC193" s="52">
        <v>52257439.789999999</v>
      </c>
      <c r="AD193" s="52">
        <v>17896625.170000002</v>
      </c>
      <c r="AE193" s="52">
        <v>0</v>
      </c>
      <c r="AF193" s="52">
        <v>34360814.619999997</v>
      </c>
      <c r="AG193" s="52">
        <v>0</v>
      </c>
      <c r="AH193" s="52">
        <v>0</v>
      </c>
      <c r="AI193" s="52">
        <v>0</v>
      </c>
      <c r="AJ193" s="52">
        <v>2</v>
      </c>
      <c r="AK193" s="52"/>
      <c r="AL193" s="61">
        <v>206282138812</v>
      </c>
      <c r="AM193" s="52">
        <v>0</v>
      </c>
      <c r="AN193" s="61">
        <v>3832659574488</v>
      </c>
      <c r="AO193" s="52">
        <v>0</v>
      </c>
      <c r="AP193" s="52">
        <v>0</v>
      </c>
      <c r="AQ193" s="58">
        <v>0</v>
      </c>
      <c r="AR193" s="58">
        <v>0</v>
      </c>
      <c r="AS193" s="58">
        <v>0</v>
      </c>
      <c r="AT193" s="58">
        <v>0</v>
      </c>
      <c r="AU193" s="58">
        <v>0</v>
      </c>
      <c r="AV193" s="58">
        <v>0</v>
      </c>
      <c r="AW193" s="58">
        <v>0</v>
      </c>
      <c r="AX193" s="58">
        <v>0</v>
      </c>
    </row>
    <row r="194" spans="1:50" x14ac:dyDescent="0.25">
      <c r="A194" s="52">
        <f t="shared" si="17"/>
        <v>189</v>
      </c>
      <c r="B194" s="60" t="str">
        <f t="shared" si="19"/>
        <v>0047292154</v>
      </c>
      <c r="C194" s="67" t="s">
        <v>28</v>
      </c>
      <c r="D194" s="59" t="s">
        <v>2058</v>
      </c>
      <c r="E194" s="55" t="str">
        <f t="shared" si="18"/>
        <v>00472</v>
      </c>
      <c r="F194" s="53" t="s">
        <v>2067</v>
      </c>
      <c r="G194" s="55" t="s">
        <v>15</v>
      </c>
      <c r="H194" s="60" t="s">
        <v>329</v>
      </c>
      <c r="I194" s="55">
        <v>205937636</v>
      </c>
      <c r="J194" s="55">
        <v>92154</v>
      </c>
      <c r="K194" s="55" t="s">
        <v>331</v>
      </c>
      <c r="L194" s="53" t="s">
        <v>2068</v>
      </c>
      <c r="M194" s="55" t="s">
        <v>49</v>
      </c>
      <c r="N194" s="52">
        <v>3198404256</v>
      </c>
      <c r="O194" s="52">
        <v>3198404256</v>
      </c>
      <c r="P194" s="52">
        <v>3198404255.3600001</v>
      </c>
      <c r="Q194" s="57">
        <v>45395</v>
      </c>
      <c r="R194" s="57">
        <v>47220</v>
      </c>
      <c r="S194" s="56">
        <v>14</v>
      </c>
      <c r="T194" s="54">
        <v>24</v>
      </c>
      <c r="U194" s="52">
        <v>2092700944.0599999</v>
      </c>
      <c r="V194" s="52">
        <v>2092700944.0599999</v>
      </c>
      <c r="W194" s="52">
        <v>0</v>
      </c>
      <c r="X194" s="57"/>
      <c r="Y194" s="52">
        <v>0</v>
      </c>
      <c r="Z194" s="52">
        <v>0</v>
      </c>
      <c r="AA194" s="52">
        <v>1</v>
      </c>
      <c r="AB194" s="52">
        <v>0</v>
      </c>
      <c r="AC194" s="52">
        <v>47097459.369999997</v>
      </c>
      <c r="AD194" s="52">
        <v>15250916.470000001</v>
      </c>
      <c r="AE194" s="52">
        <v>0</v>
      </c>
      <c r="AF194" s="52">
        <v>31846542.899999999</v>
      </c>
      <c r="AG194" s="52">
        <v>0</v>
      </c>
      <c r="AH194" s="52">
        <v>0</v>
      </c>
      <c r="AI194" s="52">
        <v>0</v>
      </c>
      <c r="AJ194" s="52">
        <v>2</v>
      </c>
      <c r="AK194" s="52"/>
      <c r="AL194" s="61">
        <v>206282138812</v>
      </c>
      <c r="AM194" s="52">
        <v>0</v>
      </c>
      <c r="AN194" s="61">
        <v>3838085106432</v>
      </c>
      <c r="AO194" s="52">
        <v>0</v>
      </c>
      <c r="AP194" s="52">
        <v>0</v>
      </c>
      <c r="AQ194" s="58">
        <v>0</v>
      </c>
      <c r="AR194" s="58">
        <v>0</v>
      </c>
      <c r="AS194" s="58">
        <v>0</v>
      </c>
      <c r="AT194" s="58">
        <v>0</v>
      </c>
      <c r="AU194" s="58">
        <v>0</v>
      </c>
      <c r="AV194" s="58">
        <v>0</v>
      </c>
      <c r="AW194" s="58">
        <v>0</v>
      </c>
      <c r="AX194" s="58">
        <v>0</v>
      </c>
    </row>
    <row r="195" spans="1:50" x14ac:dyDescent="0.25">
      <c r="A195" s="52">
        <f t="shared" si="17"/>
        <v>190</v>
      </c>
      <c r="B195" s="60" t="str">
        <f t="shared" si="19"/>
        <v>0047219615</v>
      </c>
      <c r="C195" s="67" t="s">
        <v>28</v>
      </c>
      <c r="D195" s="59" t="s">
        <v>2058</v>
      </c>
      <c r="E195" s="55" t="str">
        <f t="shared" si="18"/>
        <v>00472</v>
      </c>
      <c r="F195" s="53" t="s">
        <v>2067</v>
      </c>
      <c r="G195" s="55" t="s">
        <v>15</v>
      </c>
      <c r="H195" s="60" t="s">
        <v>2399</v>
      </c>
      <c r="I195" s="55">
        <v>307387178</v>
      </c>
      <c r="J195" s="55">
        <v>19615</v>
      </c>
      <c r="K195" s="55" t="s">
        <v>332</v>
      </c>
      <c r="L195" s="53" t="s">
        <v>2068</v>
      </c>
      <c r="M195" s="55" t="s">
        <v>49</v>
      </c>
      <c r="N195" s="52">
        <v>2100000000</v>
      </c>
      <c r="O195" s="52">
        <v>2100000000</v>
      </c>
      <c r="P195" s="52">
        <v>2100000000</v>
      </c>
      <c r="Q195" s="57">
        <v>44175</v>
      </c>
      <c r="R195" s="57">
        <v>46122</v>
      </c>
      <c r="S195" s="56">
        <v>0</v>
      </c>
      <c r="T195" s="54">
        <v>24</v>
      </c>
      <c r="U195" s="52">
        <v>2003772054.29</v>
      </c>
      <c r="V195" s="52">
        <v>2003772054.29</v>
      </c>
      <c r="W195" s="52">
        <v>0</v>
      </c>
      <c r="X195" s="57"/>
      <c r="Y195" s="52">
        <v>0</v>
      </c>
      <c r="Z195" s="52">
        <v>0</v>
      </c>
      <c r="AA195" s="52">
        <v>1</v>
      </c>
      <c r="AB195" s="52">
        <v>0</v>
      </c>
      <c r="AC195" s="52">
        <v>124004329.8</v>
      </c>
      <c r="AD195" s="52">
        <v>0</v>
      </c>
      <c r="AE195" s="52">
        <v>0</v>
      </c>
      <c r="AF195" s="52">
        <v>124004329.8</v>
      </c>
      <c r="AG195" s="52">
        <v>0</v>
      </c>
      <c r="AH195" s="52">
        <v>0</v>
      </c>
      <c r="AI195" s="52">
        <v>0</v>
      </c>
      <c r="AJ195" s="52">
        <v>2</v>
      </c>
      <c r="AK195" s="52"/>
      <c r="AL195" s="61">
        <v>374566855395</v>
      </c>
      <c r="AM195" s="52">
        <v>0</v>
      </c>
      <c r="AN195" s="61">
        <v>2520000000</v>
      </c>
      <c r="AO195" s="52">
        <v>0</v>
      </c>
      <c r="AP195" s="52">
        <v>0</v>
      </c>
      <c r="AQ195" s="58">
        <v>0</v>
      </c>
      <c r="AR195" s="58">
        <v>0</v>
      </c>
      <c r="AS195" s="58">
        <v>0</v>
      </c>
      <c r="AT195" s="58">
        <v>0</v>
      </c>
      <c r="AU195" s="58">
        <v>0</v>
      </c>
      <c r="AV195" s="58">
        <v>0</v>
      </c>
      <c r="AW195" s="58">
        <v>0</v>
      </c>
      <c r="AX195" s="58">
        <v>0</v>
      </c>
    </row>
    <row r="196" spans="1:50" x14ac:dyDescent="0.25">
      <c r="A196" s="52">
        <f t="shared" si="17"/>
        <v>191</v>
      </c>
      <c r="B196" s="60" t="str">
        <f t="shared" si="19"/>
        <v>0047293649</v>
      </c>
      <c r="C196" s="67" t="s">
        <v>28</v>
      </c>
      <c r="D196" s="59" t="s">
        <v>2058</v>
      </c>
      <c r="E196" s="55" t="str">
        <f t="shared" si="18"/>
        <v>00472</v>
      </c>
      <c r="F196" s="53" t="s">
        <v>2067</v>
      </c>
      <c r="G196" s="55" t="s">
        <v>15</v>
      </c>
      <c r="H196" s="60" t="s">
        <v>2400</v>
      </c>
      <c r="I196" s="55">
        <v>310486008</v>
      </c>
      <c r="J196" s="55">
        <v>93649</v>
      </c>
      <c r="K196" s="55" t="s">
        <v>333</v>
      </c>
      <c r="L196" s="53" t="s">
        <v>2068</v>
      </c>
      <c r="M196" s="55" t="s">
        <v>49</v>
      </c>
      <c r="N196" s="52">
        <v>5000000000</v>
      </c>
      <c r="O196" s="52">
        <v>5000000000</v>
      </c>
      <c r="P196" s="52">
        <f>+O196</f>
        <v>5000000000</v>
      </c>
      <c r="Q196" s="57">
        <v>45427</v>
      </c>
      <c r="R196" s="57">
        <v>45996</v>
      </c>
      <c r="S196" s="56">
        <v>23.99</v>
      </c>
      <c r="T196" s="54">
        <v>12</v>
      </c>
      <c r="U196" s="52">
        <v>1943107489.76</v>
      </c>
      <c r="V196" s="52">
        <v>0</v>
      </c>
      <c r="W196" s="52">
        <v>1943107489.76</v>
      </c>
      <c r="X196" s="57">
        <v>45996</v>
      </c>
      <c r="Y196" s="52">
        <v>0</v>
      </c>
      <c r="Z196" s="52">
        <v>0</v>
      </c>
      <c r="AA196" s="52">
        <v>3</v>
      </c>
      <c r="AB196" s="52">
        <v>485776872.44</v>
      </c>
      <c r="AC196" s="52">
        <v>102210887.26000001</v>
      </c>
      <c r="AD196" s="52">
        <v>0</v>
      </c>
      <c r="AE196" s="52">
        <v>0</v>
      </c>
      <c r="AF196" s="52">
        <v>0</v>
      </c>
      <c r="AG196" s="52">
        <v>102210887.26000001</v>
      </c>
      <c r="AH196" s="52">
        <v>0</v>
      </c>
      <c r="AI196" s="52">
        <v>0</v>
      </c>
      <c r="AJ196" s="52">
        <v>2</v>
      </c>
      <c r="AK196" s="52"/>
      <c r="AL196" s="61">
        <v>1680000</v>
      </c>
      <c r="AM196" s="52">
        <v>0</v>
      </c>
      <c r="AN196" s="61">
        <v>12000000000</v>
      </c>
      <c r="AO196" s="52">
        <v>0</v>
      </c>
      <c r="AP196" s="52">
        <v>0</v>
      </c>
      <c r="AQ196" s="58">
        <v>0</v>
      </c>
      <c r="AR196" s="58">
        <v>0</v>
      </c>
      <c r="AS196" s="58">
        <v>0</v>
      </c>
      <c r="AT196" s="58">
        <v>0</v>
      </c>
      <c r="AU196" s="58">
        <v>0</v>
      </c>
      <c r="AV196" s="58">
        <v>0</v>
      </c>
      <c r="AW196" s="58">
        <v>0</v>
      </c>
      <c r="AX196" s="58">
        <v>0</v>
      </c>
    </row>
    <row r="197" spans="1:50" x14ac:dyDescent="0.25">
      <c r="A197" s="52">
        <f t="shared" si="17"/>
        <v>192</v>
      </c>
      <c r="B197" s="60" t="str">
        <f t="shared" si="19"/>
        <v>00472102860</v>
      </c>
      <c r="C197" s="67" t="s">
        <v>28</v>
      </c>
      <c r="D197" s="59" t="s">
        <v>2058</v>
      </c>
      <c r="E197" s="55" t="str">
        <f t="shared" si="18"/>
        <v>00472</v>
      </c>
      <c r="F197" s="53" t="s">
        <v>2067</v>
      </c>
      <c r="G197" s="55" t="s">
        <v>15</v>
      </c>
      <c r="H197" s="60" t="s">
        <v>2401</v>
      </c>
      <c r="I197" s="55">
        <v>303504120</v>
      </c>
      <c r="J197" s="55">
        <v>102860</v>
      </c>
      <c r="K197" s="55" t="s">
        <v>334</v>
      </c>
      <c r="L197" s="53" t="s">
        <v>2068</v>
      </c>
      <c r="M197" s="55" t="s">
        <v>49</v>
      </c>
      <c r="N197" s="52">
        <v>1083510639</v>
      </c>
      <c r="O197" s="52">
        <v>1083510639</v>
      </c>
      <c r="P197" s="52">
        <v>1083510638.3399999</v>
      </c>
      <c r="Q197" s="57">
        <v>45581</v>
      </c>
      <c r="R197" s="57">
        <v>47406</v>
      </c>
      <c r="S197" s="56">
        <v>14</v>
      </c>
      <c r="T197" s="54">
        <v>24</v>
      </c>
      <c r="U197" s="52">
        <v>1083510638.3399999</v>
      </c>
      <c r="V197" s="52">
        <v>1083510638.3399999</v>
      </c>
      <c r="W197" s="52">
        <v>0</v>
      </c>
      <c r="X197" s="57"/>
      <c r="Y197" s="52">
        <v>0</v>
      </c>
      <c r="Z197" s="52">
        <v>0</v>
      </c>
      <c r="AA197" s="52">
        <v>1</v>
      </c>
      <c r="AB197" s="52">
        <v>0</v>
      </c>
      <c r="AC197" s="52">
        <v>36161403.789999999</v>
      </c>
      <c r="AD197" s="52">
        <v>6649489.9400000004</v>
      </c>
      <c r="AE197" s="52">
        <v>0</v>
      </c>
      <c r="AF197" s="52">
        <v>28538460.02</v>
      </c>
      <c r="AG197" s="52">
        <v>973453.83</v>
      </c>
      <c r="AH197" s="52">
        <v>0</v>
      </c>
      <c r="AI197" s="52">
        <v>0</v>
      </c>
      <c r="AJ197" s="52">
        <v>2</v>
      </c>
      <c r="AK197" s="52"/>
      <c r="AL197" s="61">
        <v>200714494779</v>
      </c>
      <c r="AM197" s="52">
        <v>0</v>
      </c>
      <c r="AN197" s="61">
        <v>1300212766008</v>
      </c>
      <c r="AO197" s="52">
        <v>0</v>
      </c>
      <c r="AP197" s="52">
        <v>0</v>
      </c>
      <c r="AQ197" s="58">
        <v>0</v>
      </c>
      <c r="AR197" s="58">
        <v>0</v>
      </c>
      <c r="AS197" s="58">
        <v>0</v>
      </c>
      <c r="AT197" s="58">
        <v>0</v>
      </c>
      <c r="AU197" s="58">
        <v>0</v>
      </c>
      <c r="AV197" s="58">
        <v>0</v>
      </c>
      <c r="AW197" s="58">
        <v>0</v>
      </c>
      <c r="AX197" s="58">
        <v>0</v>
      </c>
    </row>
    <row r="198" spans="1:50" x14ac:dyDescent="0.25">
      <c r="A198" s="52">
        <f t="shared" si="17"/>
        <v>193</v>
      </c>
      <c r="B198" s="60" t="str">
        <f t="shared" si="19"/>
        <v>0047292224</v>
      </c>
      <c r="C198" s="67" t="s">
        <v>28</v>
      </c>
      <c r="D198" s="59" t="s">
        <v>2058</v>
      </c>
      <c r="E198" s="55" t="str">
        <f t="shared" si="18"/>
        <v>00472</v>
      </c>
      <c r="F198" s="53" t="s">
        <v>2067</v>
      </c>
      <c r="G198" s="55" t="s">
        <v>15</v>
      </c>
      <c r="H198" s="60" t="s">
        <v>2402</v>
      </c>
      <c r="I198" s="55">
        <v>206040700</v>
      </c>
      <c r="J198" s="55">
        <v>92224</v>
      </c>
      <c r="K198" s="55" t="s">
        <v>335</v>
      </c>
      <c r="L198" s="53" t="s">
        <v>2068</v>
      </c>
      <c r="M198" s="55" t="s">
        <v>49</v>
      </c>
      <c r="N198" s="52">
        <v>1063829788</v>
      </c>
      <c r="O198" s="52">
        <v>1063829788</v>
      </c>
      <c r="P198" s="52">
        <v>1063829787.28</v>
      </c>
      <c r="Q198" s="57">
        <v>45397</v>
      </c>
      <c r="R198" s="57">
        <v>47222</v>
      </c>
      <c r="S198" s="56">
        <v>14</v>
      </c>
      <c r="T198" s="54">
        <v>24</v>
      </c>
      <c r="U198" s="52">
        <v>1063829787.28</v>
      </c>
      <c r="V198" s="52">
        <v>1063829787.28</v>
      </c>
      <c r="W198" s="52">
        <v>0</v>
      </c>
      <c r="X198" s="57"/>
      <c r="Y198" s="52">
        <v>0</v>
      </c>
      <c r="Z198" s="52">
        <v>0</v>
      </c>
      <c r="AA198" s="52">
        <v>1</v>
      </c>
      <c r="AB198" s="52">
        <v>0</v>
      </c>
      <c r="AC198" s="52">
        <v>6681832.04</v>
      </c>
      <c r="AD198" s="52">
        <v>6681832.04</v>
      </c>
      <c r="AE198" s="52">
        <v>0</v>
      </c>
      <c r="AF198" s="52">
        <v>0</v>
      </c>
      <c r="AG198" s="52">
        <v>0</v>
      </c>
      <c r="AH198" s="52">
        <v>0</v>
      </c>
      <c r="AI198" s="52">
        <v>0</v>
      </c>
      <c r="AJ198" s="52">
        <v>2</v>
      </c>
      <c r="AK198" s="52"/>
      <c r="AL198" s="61">
        <v>322133684</v>
      </c>
      <c r="AM198" s="52">
        <v>0</v>
      </c>
      <c r="AN198" s="61">
        <v>1276595744736</v>
      </c>
      <c r="AO198" s="52">
        <v>0</v>
      </c>
      <c r="AP198" s="52">
        <v>0</v>
      </c>
      <c r="AQ198" s="58">
        <v>0</v>
      </c>
      <c r="AR198" s="58">
        <v>0</v>
      </c>
      <c r="AS198" s="58">
        <v>0</v>
      </c>
      <c r="AT198" s="58">
        <v>0</v>
      </c>
      <c r="AU198" s="58">
        <v>0</v>
      </c>
      <c r="AV198" s="58">
        <v>0</v>
      </c>
      <c r="AW198" s="58">
        <v>0</v>
      </c>
      <c r="AX198" s="58">
        <v>0</v>
      </c>
    </row>
    <row r="199" spans="1:50" x14ac:dyDescent="0.25">
      <c r="A199" s="52">
        <f t="shared" si="17"/>
        <v>194</v>
      </c>
      <c r="B199" s="60" t="str">
        <f t="shared" si="19"/>
        <v>0047267998</v>
      </c>
      <c r="C199" s="67" t="s">
        <v>28</v>
      </c>
      <c r="D199" s="59" t="s">
        <v>2058</v>
      </c>
      <c r="E199" s="55" t="str">
        <f t="shared" si="18"/>
        <v>00472</v>
      </c>
      <c r="F199" s="53" t="s">
        <v>2067</v>
      </c>
      <c r="G199" s="55" t="s">
        <v>15</v>
      </c>
      <c r="H199" s="60" t="s">
        <v>336</v>
      </c>
      <c r="I199" s="55">
        <v>303513854</v>
      </c>
      <c r="J199" s="55">
        <v>67998</v>
      </c>
      <c r="K199" s="55" t="s">
        <v>337</v>
      </c>
      <c r="L199" s="53" t="s">
        <v>2068</v>
      </c>
      <c r="M199" s="55" t="s">
        <v>49</v>
      </c>
      <c r="N199" s="52">
        <v>2000000000</v>
      </c>
      <c r="O199" s="52">
        <v>2000000000</v>
      </c>
      <c r="P199" s="52">
        <v>2000000000</v>
      </c>
      <c r="Q199" s="57">
        <v>44970</v>
      </c>
      <c r="R199" s="57">
        <v>46752</v>
      </c>
      <c r="S199" s="56">
        <v>5</v>
      </c>
      <c r="T199" s="54">
        <v>24</v>
      </c>
      <c r="U199" s="52">
        <v>975015000</v>
      </c>
      <c r="V199" s="52">
        <v>975015000</v>
      </c>
      <c r="W199" s="52">
        <v>0</v>
      </c>
      <c r="X199" s="57"/>
      <c r="Y199" s="52">
        <v>0</v>
      </c>
      <c r="Z199" s="52">
        <v>0</v>
      </c>
      <c r="AA199" s="52">
        <v>1</v>
      </c>
      <c r="AB199" s="52">
        <v>0</v>
      </c>
      <c r="AC199" s="52">
        <v>4133629.46</v>
      </c>
      <c r="AD199" s="52">
        <v>4133629.46</v>
      </c>
      <c r="AE199" s="52">
        <v>0</v>
      </c>
      <c r="AF199" s="52">
        <v>0</v>
      </c>
      <c r="AG199" s="52">
        <v>0</v>
      </c>
      <c r="AH199" s="52">
        <v>0</v>
      </c>
      <c r="AI199" s="52">
        <v>0</v>
      </c>
      <c r="AJ199" s="52">
        <v>2</v>
      </c>
      <c r="AK199" s="52"/>
      <c r="AL199" s="61">
        <v>11239794459</v>
      </c>
      <c r="AM199" s="52">
        <v>0</v>
      </c>
      <c r="AN199" s="61">
        <v>2400000000</v>
      </c>
      <c r="AO199" s="52">
        <v>0</v>
      </c>
      <c r="AP199" s="52">
        <v>0</v>
      </c>
      <c r="AQ199" s="58">
        <v>0</v>
      </c>
      <c r="AR199" s="58">
        <v>0</v>
      </c>
      <c r="AS199" s="58">
        <v>0</v>
      </c>
      <c r="AT199" s="58">
        <v>0</v>
      </c>
      <c r="AU199" s="58">
        <v>0</v>
      </c>
      <c r="AV199" s="58">
        <v>0</v>
      </c>
      <c r="AW199" s="58">
        <v>0</v>
      </c>
      <c r="AX199" s="58">
        <v>0</v>
      </c>
    </row>
    <row r="200" spans="1:50" x14ac:dyDescent="0.25">
      <c r="A200" s="52">
        <f t="shared" ref="A200:A263" si="20">+A199+1</f>
        <v>195</v>
      </c>
      <c r="B200" s="60" t="str">
        <f t="shared" si="19"/>
        <v>00472113786</v>
      </c>
      <c r="C200" s="67" t="s">
        <v>28</v>
      </c>
      <c r="D200" s="59" t="s">
        <v>2058</v>
      </c>
      <c r="E200" s="55" t="str">
        <f t="shared" si="18"/>
        <v>00472</v>
      </c>
      <c r="F200" s="53" t="s">
        <v>2067</v>
      </c>
      <c r="G200" s="55" t="s">
        <v>15</v>
      </c>
      <c r="H200" s="60" t="s">
        <v>2403</v>
      </c>
      <c r="I200" s="55">
        <v>307882805</v>
      </c>
      <c r="J200" s="55">
        <v>113786</v>
      </c>
      <c r="K200" s="55" t="s">
        <v>338</v>
      </c>
      <c r="L200" s="53" t="s">
        <v>2068</v>
      </c>
      <c r="M200" s="55" t="s">
        <v>49</v>
      </c>
      <c r="N200" s="52">
        <v>1193617022</v>
      </c>
      <c r="O200" s="52">
        <v>1193617022</v>
      </c>
      <c r="P200" s="52">
        <v>1193617021.3199999</v>
      </c>
      <c r="Q200" s="57">
        <v>45716</v>
      </c>
      <c r="R200" s="57">
        <v>47541</v>
      </c>
      <c r="S200" s="56">
        <v>14</v>
      </c>
      <c r="T200" s="54">
        <v>24</v>
      </c>
      <c r="U200" s="52">
        <v>782781678.71000004</v>
      </c>
      <c r="V200" s="52">
        <v>782781678.71000004</v>
      </c>
      <c r="W200" s="52">
        <v>0</v>
      </c>
      <c r="X200" s="57"/>
      <c r="Y200" s="52">
        <v>0</v>
      </c>
      <c r="Z200" s="52">
        <v>0</v>
      </c>
      <c r="AA200" s="52">
        <v>1</v>
      </c>
      <c r="AB200" s="52">
        <v>0</v>
      </c>
      <c r="AC200" s="52">
        <v>899392.98</v>
      </c>
      <c r="AD200" s="52">
        <v>899392.98</v>
      </c>
      <c r="AE200" s="52">
        <v>0</v>
      </c>
      <c r="AF200" s="52">
        <v>0</v>
      </c>
      <c r="AG200" s="52">
        <v>0</v>
      </c>
      <c r="AH200" s="52">
        <v>0</v>
      </c>
      <c r="AI200" s="52">
        <v>0</v>
      </c>
      <c r="AJ200" s="52">
        <v>2</v>
      </c>
      <c r="AK200" s="52"/>
      <c r="AL200" s="61">
        <v>13776014193</v>
      </c>
      <c r="AM200" s="52">
        <v>0</v>
      </c>
      <c r="AN200" s="61">
        <v>1432340425584</v>
      </c>
      <c r="AO200" s="52">
        <v>0</v>
      </c>
      <c r="AP200" s="52">
        <v>0</v>
      </c>
      <c r="AQ200" s="58">
        <v>0</v>
      </c>
      <c r="AR200" s="58">
        <v>0</v>
      </c>
      <c r="AS200" s="58">
        <v>0</v>
      </c>
      <c r="AT200" s="58">
        <v>0</v>
      </c>
      <c r="AU200" s="58">
        <v>0</v>
      </c>
      <c r="AV200" s="58">
        <v>0</v>
      </c>
      <c r="AW200" s="58">
        <v>0</v>
      </c>
      <c r="AX200" s="58">
        <v>0</v>
      </c>
    </row>
    <row r="201" spans="1:50" x14ac:dyDescent="0.25">
      <c r="A201" s="52">
        <f t="shared" si="20"/>
        <v>196</v>
      </c>
      <c r="B201" s="60" t="str">
        <f t="shared" si="19"/>
        <v>00472102487</v>
      </c>
      <c r="C201" s="67" t="s">
        <v>28</v>
      </c>
      <c r="D201" s="59" t="s">
        <v>2058</v>
      </c>
      <c r="E201" s="55" t="str">
        <f t="shared" si="18"/>
        <v>00472</v>
      </c>
      <c r="F201" s="53" t="s">
        <v>2067</v>
      </c>
      <c r="G201" s="55" t="s">
        <v>15</v>
      </c>
      <c r="H201" s="60" t="s">
        <v>2404</v>
      </c>
      <c r="I201" s="55">
        <v>203445300</v>
      </c>
      <c r="J201" s="55">
        <v>102487</v>
      </c>
      <c r="K201" s="55" t="s">
        <v>339</v>
      </c>
      <c r="L201" s="53" t="s">
        <v>2068</v>
      </c>
      <c r="M201" s="55" t="s">
        <v>49</v>
      </c>
      <c r="N201" s="52">
        <v>1037234043</v>
      </c>
      <c r="O201" s="52">
        <v>1037234043</v>
      </c>
      <c r="P201" s="52">
        <v>1037234042.58</v>
      </c>
      <c r="Q201" s="57">
        <v>45576</v>
      </c>
      <c r="R201" s="57">
        <v>47401</v>
      </c>
      <c r="S201" s="56">
        <v>14</v>
      </c>
      <c r="T201" s="54">
        <v>24</v>
      </c>
      <c r="U201" s="52">
        <v>700521233.38999999</v>
      </c>
      <c r="V201" s="52">
        <v>700521233.38999999</v>
      </c>
      <c r="W201" s="52">
        <v>0</v>
      </c>
      <c r="X201" s="57"/>
      <c r="Y201" s="52">
        <v>0</v>
      </c>
      <c r="Z201" s="52">
        <v>0</v>
      </c>
      <c r="AA201" s="52">
        <v>1</v>
      </c>
      <c r="AB201" s="52">
        <v>0</v>
      </c>
      <c r="AC201" s="52">
        <v>5488182.7399999993</v>
      </c>
      <c r="AD201" s="52">
        <v>5373861.5199999996</v>
      </c>
      <c r="AE201" s="52">
        <v>0</v>
      </c>
      <c r="AF201" s="52">
        <v>0</v>
      </c>
      <c r="AG201" s="52">
        <v>114321.22</v>
      </c>
      <c r="AH201" s="52">
        <v>0</v>
      </c>
      <c r="AI201" s="52">
        <v>0</v>
      </c>
      <c r="AJ201" s="52">
        <v>2</v>
      </c>
      <c r="AK201" s="52"/>
      <c r="AL201" s="61">
        <v>86530743233</v>
      </c>
      <c r="AM201" s="52">
        <v>0</v>
      </c>
      <c r="AN201" s="61">
        <v>1244680851096</v>
      </c>
      <c r="AO201" s="52">
        <v>0</v>
      </c>
      <c r="AP201" s="52">
        <v>0</v>
      </c>
      <c r="AQ201" s="58">
        <v>0</v>
      </c>
      <c r="AR201" s="58">
        <v>0</v>
      </c>
      <c r="AS201" s="58">
        <v>0</v>
      </c>
      <c r="AT201" s="58">
        <v>0</v>
      </c>
      <c r="AU201" s="58">
        <v>0</v>
      </c>
      <c r="AV201" s="58">
        <v>0</v>
      </c>
      <c r="AW201" s="58">
        <v>0</v>
      </c>
      <c r="AX201" s="58">
        <v>0</v>
      </c>
    </row>
    <row r="202" spans="1:50" x14ac:dyDescent="0.25">
      <c r="A202" s="52">
        <f t="shared" si="20"/>
        <v>197</v>
      </c>
      <c r="B202" s="60" t="str">
        <f t="shared" si="19"/>
        <v>00472113513</v>
      </c>
      <c r="C202" s="67" t="s">
        <v>28</v>
      </c>
      <c r="D202" s="59" t="s">
        <v>2058</v>
      </c>
      <c r="E202" s="55" t="str">
        <f t="shared" si="18"/>
        <v>00472</v>
      </c>
      <c r="F202" s="53" t="s">
        <v>2067</v>
      </c>
      <c r="G202" s="55" t="s">
        <v>15</v>
      </c>
      <c r="H202" s="60" t="s">
        <v>2403</v>
      </c>
      <c r="I202" s="55">
        <v>307882805</v>
      </c>
      <c r="J202" s="55">
        <v>113513</v>
      </c>
      <c r="K202" s="55" t="s">
        <v>340</v>
      </c>
      <c r="L202" s="53" t="s">
        <v>2068</v>
      </c>
      <c r="M202" s="55" t="s">
        <v>49</v>
      </c>
      <c r="N202" s="52">
        <v>1119148937</v>
      </c>
      <c r="O202" s="52">
        <v>1119148937</v>
      </c>
      <c r="P202" s="52">
        <v>1119148936.22</v>
      </c>
      <c r="Q202" s="57">
        <v>45714</v>
      </c>
      <c r="R202" s="57">
        <v>47539</v>
      </c>
      <c r="S202" s="56">
        <v>14</v>
      </c>
      <c r="T202" s="54">
        <v>24</v>
      </c>
      <c r="U202" s="52">
        <v>681946198.82000005</v>
      </c>
      <c r="V202" s="52">
        <v>681946198.82000005</v>
      </c>
      <c r="W202" s="52">
        <v>0</v>
      </c>
      <c r="X202" s="57"/>
      <c r="Y202" s="52">
        <v>0</v>
      </c>
      <c r="Z202" s="52">
        <v>0</v>
      </c>
      <c r="AA202" s="52">
        <v>1</v>
      </c>
      <c r="AB202" s="52">
        <v>0</v>
      </c>
      <c r="AC202" s="52">
        <v>784705.22</v>
      </c>
      <c r="AD202" s="52">
        <v>784705.22</v>
      </c>
      <c r="AE202" s="52">
        <v>0</v>
      </c>
      <c r="AF202" s="52">
        <v>0</v>
      </c>
      <c r="AG202" s="52">
        <v>0</v>
      </c>
      <c r="AH202" s="52">
        <v>0</v>
      </c>
      <c r="AI202" s="52">
        <v>0</v>
      </c>
      <c r="AJ202" s="52">
        <v>2</v>
      </c>
      <c r="AK202" s="52"/>
      <c r="AL202" s="61">
        <v>13776014193</v>
      </c>
      <c r="AM202" s="52">
        <v>0</v>
      </c>
      <c r="AN202" s="61">
        <v>1342978723464</v>
      </c>
      <c r="AO202" s="52">
        <v>0</v>
      </c>
      <c r="AP202" s="52">
        <v>0</v>
      </c>
      <c r="AQ202" s="58">
        <v>0</v>
      </c>
      <c r="AR202" s="58">
        <v>0</v>
      </c>
      <c r="AS202" s="58">
        <v>0</v>
      </c>
      <c r="AT202" s="58">
        <v>0</v>
      </c>
      <c r="AU202" s="58">
        <v>0</v>
      </c>
      <c r="AV202" s="58">
        <v>0</v>
      </c>
      <c r="AW202" s="58">
        <v>0</v>
      </c>
      <c r="AX202" s="58">
        <v>0</v>
      </c>
    </row>
    <row r="203" spans="1:50" x14ac:dyDescent="0.25">
      <c r="A203" s="52">
        <f t="shared" si="20"/>
        <v>198</v>
      </c>
      <c r="B203" s="60" t="str">
        <f t="shared" si="19"/>
        <v>00472118237</v>
      </c>
      <c r="C203" s="67" t="s">
        <v>28</v>
      </c>
      <c r="D203" s="59" t="s">
        <v>2058</v>
      </c>
      <c r="E203" s="55" t="str">
        <f t="shared" si="18"/>
        <v>00472</v>
      </c>
      <c r="F203" s="53" t="s">
        <v>2067</v>
      </c>
      <c r="G203" s="55" t="s">
        <v>15</v>
      </c>
      <c r="H203" s="60" t="s">
        <v>2405</v>
      </c>
      <c r="I203" s="55">
        <v>206040724</v>
      </c>
      <c r="J203" s="55">
        <v>118237</v>
      </c>
      <c r="K203" s="55" t="s">
        <v>341</v>
      </c>
      <c r="L203" s="53" t="s">
        <v>2068</v>
      </c>
      <c r="M203" s="55" t="s">
        <v>49</v>
      </c>
      <c r="N203" s="52">
        <v>930851064</v>
      </c>
      <c r="O203" s="52">
        <v>930851064</v>
      </c>
      <c r="P203" s="52">
        <v>930851063.84000003</v>
      </c>
      <c r="Q203" s="57">
        <v>45758</v>
      </c>
      <c r="R203" s="57">
        <v>47583</v>
      </c>
      <c r="S203" s="56">
        <v>14</v>
      </c>
      <c r="T203" s="54">
        <v>24</v>
      </c>
      <c r="U203" s="52">
        <v>660742400.79999995</v>
      </c>
      <c r="V203" s="52">
        <v>660742400.79999995</v>
      </c>
      <c r="W203" s="52">
        <v>0</v>
      </c>
      <c r="X203" s="57"/>
      <c r="Y203" s="52">
        <v>0</v>
      </c>
      <c r="Z203" s="52">
        <v>0</v>
      </c>
      <c r="AA203" s="52">
        <v>1</v>
      </c>
      <c r="AB203" s="52">
        <v>0</v>
      </c>
      <c r="AC203" s="52">
        <v>506870.89</v>
      </c>
      <c r="AD203" s="52">
        <v>506870.89</v>
      </c>
      <c r="AE203" s="52">
        <v>0</v>
      </c>
      <c r="AF203" s="52">
        <v>0</v>
      </c>
      <c r="AG203" s="52">
        <v>0</v>
      </c>
      <c r="AH203" s="52">
        <v>0</v>
      </c>
      <c r="AI203" s="52">
        <v>0</v>
      </c>
      <c r="AJ203" s="52">
        <v>2</v>
      </c>
      <c r="AK203" s="52"/>
      <c r="AL203" s="61">
        <v>10887425578</v>
      </c>
      <c r="AM203" s="52">
        <v>0</v>
      </c>
      <c r="AN203" s="61">
        <v>1117021276608</v>
      </c>
      <c r="AO203" s="52">
        <v>0</v>
      </c>
      <c r="AP203" s="52">
        <v>0</v>
      </c>
      <c r="AQ203" s="58">
        <v>0</v>
      </c>
      <c r="AR203" s="58">
        <v>0</v>
      </c>
      <c r="AS203" s="58">
        <v>0</v>
      </c>
      <c r="AT203" s="58">
        <v>0</v>
      </c>
      <c r="AU203" s="58">
        <v>0</v>
      </c>
      <c r="AV203" s="58">
        <v>0</v>
      </c>
      <c r="AW203" s="58">
        <v>0</v>
      </c>
      <c r="AX203" s="58">
        <v>0</v>
      </c>
    </row>
    <row r="204" spans="1:50" x14ac:dyDescent="0.25">
      <c r="A204" s="52">
        <f t="shared" si="20"/>
        <v>199</v>
      </c>
      <c r="B204" s="60" t="str">
        <f t="shared" si="19"/>
        <v>00472107551</v>
      </c>
      <c r="C204" s="67" t="s">
        <v>28</v>
      </c>
      <c r="D204" s="59" t="s">
        <v>2058</v>
      </c>
      <c r="E204" s="55" t="str">
        <f t="shared" si="18"/>
        <v>00472</v>
      </c>
      <c r="F204" s="53" t="s">
        <v>2067</v>
      </c>
      <c r="G204" s="55" t="s">
        <v>15</v>
      </c>
      <c r="H204" s="60" t="s">
        <v>2398</v>
      </c>
      <c r="I204" s="55">
        <v>307955293</v>
      </c>
      <c r="J204" s="55">
        <v>107551</v>
      </c>
      <c r="K204" s="55" t="s">
        <v>342</v>
      </c>
      <c r="L204" s="53" t="s">
        <v>2068</v>
      </c>
      <c r="M204" s="55" t="s">
        <v>49</v>
      </c>
      <c r="N204" s="52">
        <v>658306000</v>
      </c>
      <c r="O204" s="52">
        <v>658306000</v>
      </c>
      <c r="P204" s="52">
        <v>658306000</v>
      </c>
      <c r="Q204" s="57">
        <v>45644</v>
      </c>
      <c r="R204" s="57">
        <v>46122</v>
      </c>
      <c r="S204" s="56">
        <v>14</v>
      </c>
      <c r="T204" s="54">
        <v>24</v>
      </c>
      <c r="U204" s="52">
        <v>658306000</v>
      </c>
      <c r="V204" s="52">
        <v>493729500</v>
      </c>
      <c r="W204" s="52">
        <v>164576500</v>
      </c>
      <c r="X204" s="57">
        <v>46008</v>
      </c>
      <c r="Y204" s="52">
        <v>0</v>
      </c>
      <c r="Z204" s="52">
        <v>0</v>
      </c>
      <c r="AA204" s="52">
        <v>2</v>
      </c>
      <c r="AB204" s="52">
        <v>65830600</v>
      </c>
      <c r="AC204" s="52">
        <v>4923768.17</v>
      </c>
      <c r="AD204" s="52">
        <v>4923768.17</v>
      </c>
      <c r="AE204" s="52">
        <v>0</v>
      </c>
      <c r="AF204" s="52">
        <v>0</v>
      </c>
      <c r="AG204" s="52">
        <v>0</v>
      </c>
      <c r="AH204" s="52">
        <v>0</v>
      </c>
      <c r="AI204" s="52">
        <v>0</v>
      </c>
      <c r="AJ204" s="52">
        <v>2</v>
      </c>
      <c r="AK204" s="52"/>
      <c r="AL204" s="61">
        <v>2456735019803</v>
      </c>
      <c r="AM204" s="61">
        <v>164576500</v>
      </c>
      <c r="AN204" s="61">
        <v>789967200</v>
      </c>
      <c r="AO204" s="52">
        <v>0</v>
      </c>
      <c r="AP204" s="52">
        <v>0</v>
      </c>
      <c r="AQ204" s="58">
        <v>0</v>
      </c>
      <c r="AR204" s="58">
        <v>0</v>
      </c>
      <c r="AS204" s="58">
        <v>0</v>
      </c>
      <c r="AT204" s="58">
        <v>0</v>
      </c>
      <c r="AU204" s="58">
        <v>0</v>
      </c>
      <c r="AV204" s="58">
        <v>0</v>
      </c>
      <c r="AW204" s="58">
        <v>0</v>
      </c>
      <c r="AX204" s="58">
        <v>0</v>
      </c>
    </row>
    <row r="205" spans="1:50" x14ac:dyDescent="0.25">
      <c r="A205" s="52">
        <f t="shared" si="20"/>
        <v>200</v>
      </c>
      <c r="B205" s="60" t="str">
        <f t="shared" si="19"/>
        <v>00472102935</v>
      </c>
      <c r="C205" s="67" t="s">
        <v>28</v>
      </c>
      <c r="D205" s="59" t="s">
        <v>2058</v>
      </c>
      <c r="E205" s="55" t="str">
        <f t="shared" si="18"/>
        <v>00472</v>
      </c>
      <c r="F205" s="53" t="s">
        <v>2067</v>
      </c>
      <c r="G205" s="55" t="s">
        <v>15</v>
      </c>
      <c r="H205" s="60" t="s">
        <v>329</v>
      </c>
      <c r="I205" s="55">
        <v>205937636</v>
      </c>
      <c r="J205" s="55">
        <v>102935</v>
      </c>
      <c r="K205" s="55" t="s">
        <v>343</v>
      </c>
      <c r="L205" s="53" t="s">
        <v>2068</v>
      </c>
      <c r="M205" s="55" t="s">
        <v>49</v>
      </c>
      <c r="N205" s="52">
        <v>651448808</v>
      </c>
      <c r="O205" s="52">
        <v>651448808</v>
      </c>
      <c r="P205" s="52">
        <v>651448808</v>
      </c>
      <c r="Q205" s="57">
        <v>45582</v>
      </c>
      <c r="R205" s="57">
        <v>47396</v>
      </c>
      <c r="S205" s="56">
        <v>26</v>
      </c>
      <c r="T205" s="54">
        <v>24</v>
      </c>
      <c r="U205" s="52">
        <v>651448808</v>
      </c>
      <c r="V205" s="52">
        <v>651448808</v>
      </c>
      <c r="W205" s="52">
        <v>0</v>
      </c>
      <c r="X205" s="57"/>
      <c r="Y205" s="52">
        <v>0</v>
      </c>
      <c r="Z205" s="52">
        <v>0</v>
      </c>
      <c r="AA205" s="52">
        <v>1</v>
      </c>
      <c r="AB205" s="52">
        <v>0</v>
      </c>
      <c r="AC205" s="52">
        <v>41611726.799999997</v>
      </c>
      <c r="AD205" s="52">
        <v>15837708.77</v>
      </c>
      <c r="AE205" s="52">
        <v>0</v>
      </c>
      <c r="AF205" s="52">
        <v>25774018.030000001</v>
      </c>
      <c r="AG205" s="52">
        <v>0</v>
      </c>
      <c r="AH205" s="52">
        <v>0</v>
      </c>
      <c r="AI205" s="52">
        <v>0</v>
      </c>
      <c r="AJ205" s="52">
        <v>2</v>
      </c>
      <c r="AK205" s="52"/>
      <c r="AL205" s="61">
        <v>206282138812</v>
      </c>
      <c r="AM205" s="52">
        <v>0</v>
      </c>
      <c r="AN205" s="61">
        <v>7817385696</v>
      </c>
      <c r="AO205" s="52">
        <v>0</v>
      </c>
      <c r="AP205" s="52">
        <v>0</v>
      </c>
      <c r="AQ205" s="58">
        <v>0</v>
      </c>
      <c r="AR205" s="58">
        <v>0</v>
      </c>
      <c r="AS205" s="58">
        <v>0</v>
      </c>
      <c r="AT205" s="58">
        <v>0</v>
      </c>
      <c r="AU205" s="58">
        <v>0</v>
      </c>
      <c r="AV205" s="58">
        <v>0</v>
      </c>
      <c r="AW205" s="58">
        <v>0</v>
      </c>
      <c r="AX205" s="58">
        <v>0</v>
      </c>
    </row>
    <row r="206" spans="1:50" x14ac:dyDescent="0.25">
      <c r="A206" s="52">
        <f t="shared" si="20"/>
        <v>201</v>
      </c>
      <c r="B206" s="60" t="str">
        <f t="shared" si="19"/>
        <v>00472118128</v>
      </c>
      <c r="C206" s="67" t="s">
        <v>28</v>
      </c>
      <c r="D206" s="59" t="s">
        <v>2058</v>
      </c>
      <c r="E206" s="55" t="str">
        <f t="shared" si="18"/>
        <v>00472</v>
      </c>
      <c r="F206" s="53" t="s">
        <v>2067</v>
      </c>
      <c r="G206" s="55" t="s">
        <v>15</v>
      </c>
      <c r="H206" s="60" t="s">
        <v>2405</v>
      </c>
      <c r="I206" s="55">
        <v>206040724</v>
      </c>
      <c r="J206" s="55">
        <v>118128</v>
      </c>
      <c r="K206" s="55" t="s">
        <v>344</v>
      </c>
      <c r="L206" s="53" t="s">
        <v>2068</v>
      </c>
      <c r="M206" s="55" t="s">
        <v>49</v>
      </c>
      <c r="N206" s="52">
        <v>930851064</v>
      </c>
      <c r="O206" s="52">
        <v>930851064</v>
      </c>
      <c r="P206" s="52">
        <v>493351063.83999997</v>
      </c>
      <c r="Q206" s="57">
        <v>45757</v>
      </c>
      <c r="R206" s="57">
        <v>47582</v>
      </c>
      <c r="S206" s="56">
        <v>14</v>
      </c>
      <c r="T206" s="54">
        <v>24</v>
      </c>
      <c r="U206" s="52">
        <v>574707562.51999998</v>
      </c>
      <c r="V206" s="52">
        <v>574707562.51999998</v>
      </c>
      <c r="W206" s="52">
        <v>0</v>
      </c>
      <c r="X206" s="57"/>
      <c r="Y206" s="52">
        <v>0</v>
      </c>
      <c r="Z206" s="52">
        <v>0</v>
      </c>
      <c r="AA206" s="52">
        <v>1</v>
      </c>
      <c r="AB206" s="52">
        <v>0</v>
      </c>
      <c r="AC206" s="52">
        <v>440871.56</v>
      </c>
      <c r="AD206" s="52">
        <v>440871.56</v>
      </c>
      <c r="AE206" s="52">
        <v>0</v>
      </c>
      <c r="AF206" s="52">
        <v>0</v>
      </c>
      <c r="AG206" s="52">
        <v>0</v>
      </c>
      <c r="AH206" s="52">
        <v>0</v>
      </c>
      <c r="AI206" s="52">
        <v>0</v>
      </c>
      <c r="AJ206" s="52">
        <v>2</v>
      </c>
      <c r="AK206" s="52"/>
      <c r="AL206" s="61">
        <v>10887425578</v>
      </c>
      <c r="AM206" s="52">
        <v>0</v>
      </c>
      <c r="AN206" s="61">
        <v>592021276608</v>
      </c>
      <c r="AO206" s="52">
        <v>0</v>
      </c>
      <c r="AP206" s="52">
        <v>0</v>
      </c>
      <c r="AQ206" s="58">
        <v>0</v>
      </c>
      <c r="AR206" s="58">
        <v>0</v>
      </c>
      <c r="AS206" s="58">
        <v>0</v>
      </c>
      <c r="AT206" s="58">
        <v>0</v>
      </c>
      <c r="AU206" s="58">
        <v>0</v>
      </c>
      <c r="AV206" s="58">
        <v>0</v>
      </c>
      <c r="AW206" s="58">
        <v>0</v>
      </c>
      <c r="AX206" s="58">
        <v>0</v>
      </c>
    </row>
    <row r="207" spans="1:50" x14ac:dyDescent="0.25">
      <c r="A207" s="52">
        <f t="shared" si="20"/>
        <v>202</v>
      </c>
      <c r="B207" s="60" t="str">
        <f t="shared" si="19"/>
        <v>0047292204</v>
      </c>
      <c r="C207" s="67" t="s">
        <v>28</v>
      </c>
      <c r="D207" s="59" t="s">
        <v>2058</v>
      </c>
      <c r="E207" s="55" t="str">
        <f t="shared" si="18"/>
        <v>00472</v>
      </c>
      <c r="F207" s="53" t="s">
        <v>2067</v>
      </c>
      <c r="G207" s="55" t="s">
        <v>15</v>
      </c>
      <c r="H207" s="60" t="s">
        <v>2406</v>
      </c>
      <c r="I207" s="55">
        <v>206033756</v>
      </c>
      <c r="J207" s="55">
        <v>92204</v>
      </c>
      <c r="K207" s="55" t="s">
        <v>345</v>
      </c>
      <c r="L207" s="53" t="s">
        <v>2068</v>
      </c>
      <c r="M207" s="55" t="s">
        <v>49</v>
      </c>
      <c r="N207" s="52">
        <v>838829788</v>
      </c>
      <c r="O207" s="52">
        <v>838829788</v>
      </c>
      <c r="P207" s="52">
        <v>838829787.27999997</v>
      </c>
      <c r="Q207" s="57">
        <v>45397</v>
      </c>
      <c r="R207" s="57">
        <v>47222</v>
      </c>
      <c r="S207" s="56">
        <v>14</v>
      </c>
      <c r="T207" s="54">
        <v>24</v>
      </c>
      <c r="U207" s="52">
        <v>554777987.47000003</v>
      </c>
      <c r="V207" s="52">
        <v>554777987.47000003</v>
      </c>
      <c r="W207" s="52">
        <v>0</v>
      </c>
      <c r="X207" s="57"/>
      <c r="Y207" s="52">
        <v>0</v>
      </c>
      <c r="Z207" s="52">
        <v>0</v>
      </c>
      <c r="AA207" s="52">
        <v>1</v>
      </c>
      <c r="AB207" s="52">
        <v>0</v>
      </c>
      <c r="AC207" s="52">
        <v>6596538.2599999998</v>
      </c>
      <c r="AD207" s="52">
        <v>3617456.46</v>
      </c>
      <c r="AE207" s="52">
        <v>0</v>
      </c>
      <c r="AF207" s="52">
        <v>0</v>
      </c>
      <c r="AG207" s="52">
        <v>2979081.8</v>
      </c>
      <c r="AH207" s="52">
        <v>0</v>
      </c>
      <c r="AI207" s="52">
        <v>0</v>
      </c>
      <c r="AJ207" s="52">
        <v>2</v>
      </c>
      <c r="AK207" s="52"/>
      <c r="AL207" s="61">
        <v>106015970179</v>
      </c>
      <c r="AM207" s="52">
        <v>0</v>
      </c>
      <c r="AN207" s="61">
        <v>1006595744736</v>
      </c>
      <c r="AO207" s="52">
        <v>0</v>
      </c>
      <c r="AP207" s="52">
        <v>0</v>
      </c>
      <c r="AQ207" s="58">
        <v>0</v>
      </c>
      <c r="AR207" s="58">
        <v>0</v>
      </c>
      <c r="AS207" s="58">
        <v>0</v>
      </c>
      <c r="AT207" s="58">
        <v>0</v>
      </c>
      <c r="AU207" s="58">
        <v>0</v>
      </c>
      <c r="AV207" s="58">
        <v>0</v>
      </c>
      <c r="AW207" s="58">
        <v>0</v>
      </c>
      <c r="AX207" s="58">
        <v>0</v>
      </c>
    </row>
    <row r="208" spans="1:50" x14ac:dyDescent="0.25">
      <c r="A208" s="52">
        <f t="shared" si="20"/>
        <v>203</v>
      </c>
      <c r="B208" s="60" t="str">
        <f t="shared" si="19"/>
        <v>0047281656</v>
      </c>
      <c r="C208" s="67" t="s">
        <v>28</v>
      </c>
      <c r="D208" s="59" t="s">
        <v>2058</v>
      </c>
      <c r="E208" s="55" t="str">
        <f t="shared" si="18"/>
        <v>00472</v>
      </c>
      <c r="F208" s="53" t="s">
        <v>2067</v>
      </c>
      <c r="G208" s="55" t="s">
        <v>15</v>
      </c>
      <c r="H208" s="60" t="s">
        <v>2406</v>
      </c>
      <c r="I208" s="55">
        <v>206033756</v>
      </c>
      <c r="J208" s="55">
        <v>81656</v>
      </c>
      <c r="K208" s="55" t="s">
        <v>346</v>
      </c>
      <c r="L208" s="53" t="s">
        <v>2068</v>
      </c>
      <c r="M208" s="55" t="s">
        <v>49</v>
      </c>
      <c r="N208" s="52">
        <v>631450000</v>
      </c>
      <c r="O208" s="52">
        <v>631450000</v>
      </c>
      <c r="P208" s="52">
        <v>631450000</v>
      </c>
      <c r="Q208" s="57">
        <v>45181</v>
      </c>
      <c r="R208" s="57">
        <v>47001</v>
      </c>
      <c r="S208" s="56">
        <v>23.99</v>
      </c>
      <c r="T208" s="54">
        <v>24</v>
      </c>
      <c r="U208" s="52">
        <v>491127777.79000002</v>
      </c>
      <c r="V208" s="52">
        <v>491127777.79000002</v>
      </c>
      <c r="W208" s="52">
        <v>0</v>
      </c>
      <c r="X208" s="57"/>
      <c r="Y208" s="52">
        <v>0</v>
      </c>
      <c r="Z208" s="52">
        <v>0</v>
      </c>
      <c r="AA208" s="52">
        <v>1</v>
      </c>
      <c r="AB208" s="52">
        <v>0</v>
      </c>
      <c r="AC208" s="52">
        <v>10006762.109999999</v>
      </c>
      <c r="AD208" s="52">
        <v>10006762.109999999</v>
      </c>
      <c r="AE208" s="52">
        <v>0</v>
      </c>
      <c r="AF208" s="52">
        <v>0</v>
      </c>
      <c r="AG208" s="52">
        <v>0</v>
      </c>
      <c r="AH208" s="52">
        <v>0</v>
      </c>
      <c r="AI208" s="52">
        <v>0</v>
      </c>
      <c r="AJ208" s="52">
        <v>2</v>
      </c>
      <c r="AK208" s="52"/>
      <c r="AL208" s="61">
        <v>106015970179</v>
      </c>
      <c r="AM208" s="61">
        <v>7016111111</v>
      </c>
      <c r="AN208" s="61">
        <v>757740000</v>
      </c>
      <c r="AO208" s="52">
        <v>0</v>
      </c>
      <c r="AP208" s="52">
        <v>0</v>
      </c>
      <c r="AQ208" s="58">
        <v>0</v>
      </c>
      <c r="AR208" s="58">
        <v>0</v>
      </c>
      <c r="AS208" s="58">
        <v>0</v>
      </c>
      <c r="AT208" s="58">
        <v>0</v>
      </c>
      <c r="AU208" s="58">
        <v>0</v>
      </c>
      <c r="AV208" s="58">
        <v>0</v>
      </c>
      <c r="AW208" s="58">
        <v>0</v>
      </c>
      <c r="AX208" s="58">
        <v>0</v>
      </c>
    </row>
    <row r="209" spans="1:50" x14ac:dyDescent="0.25">
      <c r="A209" s="52">
        <f t="shared" si="20"/>
        <v>204</v>
      </c>
      <c r="B209" s="60" t="str">
        <f t="shared" si="19"/>
        <v>0047289517</v>
      </c>
      <c r="C209" s="67" t="s">
        <v>28</v>
      </c>
      <c r="D209" s="59" t="s">
        <v>2058</v>
      </c>
      <c r="E209" s="55" t="str">
        <f t="shared" si="18"/>
        <v>00472</v>
      </c>
      <c r="F209" s="53" t="s">
        <v>2067</v>
      </c>
      <c r="G209" s="55" t="s">
        <v>15</v>
      </c>
      <c r="H209" s="60" t="s">
        <v>2407</v>
      </c>
      <c r="I209" s="55">
        <v>206055024</v>
      </c>
      <c r="J209" s="55">
        <v>89517</v>
      </c>
      <c r="K209" s="55" t="s">
        <v>347</v>
      </c>
      <c r="L209" s="53" t="s">
        <v>2068</v>
      </c>
      <c r="M209" s="55" t="s">
        <v>49</v>
      </c>
      <c r="N209" s="52">
        <v>664893618</v>
      </c>
      <c r="O209" s="52">
        <v>664893618</v>
      </c>
      <c r="P209" s="52">
        <v>664893617.08000004</v>
      </c>
      <c r="Q209" s="57">
        <v>45343</v>
      </c>
      <c r="R209" s="57">
        <v>47169</v>
      </c>
      <c r="S209" s="56">
        <v>14</v>
      </c>
      <c r="T209" s="54">
        <v>24</v>
      </c>
      <c r="U209" s="52">
        <v>455993230.89999998</v>
      </c>
      <c r="V209" s="52">
        <v>455993230.89999998</v>
      </c>
      <c r="W209" s="52">
        <v>0</v>
      </c>
      <c r="X209" s="57"/>
      <c r="Y209" s="52">
        <v>0</v>
      </c>
      <c r="Z209" s="52">
        <v>0</v>
      </c>
      <c r="AA209" s="52">
        <v>1</v>
      </c>
      <c r="AB209" s="52">
        <v>0</v>
      </c>
      <c r="AC209" s="52">
        <v>5421946.9100000001</v>
      </c>
      <c r="AD209" s="52">
        <v>3498030.26</v>
      </c>
      <c r="AE209" s="52">
        <v>0</v>
      </c>
      <c r="AF209" s="52">
        <v>0</v>
      </c>
      <c r="AG209" s="52">
        <v>1923916.65</v>
      </c>
      <c r="AH209" s="52">
        <v>0</v>
      </c>
      <c r="AI209" s="52">
        <v>0</v>
      </c>
      <c r="AJ209" s="52">
        <v>2</v>
      </c>
      <c r="AK209" s="52"/>
      <c r="AL209" s="61">
        <v>115478132224</v>
      </c>
      <c r="AM209" s="52">
        <v>0</v>
      </c>
      <c r="AN209" s="61">
        <v>797872340496</v>
      </c>
      <c r="AO209" s="52">
        <v>0</v>
      </c>
      <c r="AP209" s="52">
        <v>0</v>
      </c>
      <c r="AQ209" s="58">
        <v>0</v>
      </c>
      <c r="AR209" s="58">
        <v>0</v>
      </c>
      <c r="AS209" s="58">
        <v>0</v>
      </c>
      <c r="AT209" s="58">
        <v>0</v>
      </c>
      <c r="AU209" s="58">
        <v>0</v>
      </c>
      <c r="AV209" s="58">
        <v>0</v>
      </c>
      <c r="AW209" s="58">
        <v>0</v>
      </c>
      <c r="AX209" s="58">
        <v>0</v>
      </c>
    </row>
    <row r="210" spans="1:50" x14ac:dyDescent="0.25">
      <c r="A210" s="52">
        <f t="shared" si="20"/>
        <v>205</v>
      </c>
      <c r="B210" s="60" t="str">
        <f t="shared" si="19"/>
        <v>0047282188</v>
      </c>
      <c r="C210" s="67" t="s">
        <v>28</v>
      </c>
      <c r="D210" s="59" t="s">
        <v>2058</v>
      </c>
      <c r="E210" s="55" t="str">
        <f t="shared" si="18"/>
        <v>00472</v>
      </c>
      <c r="F210" s="53" t="s">
        <v>2067</v>
      </c>
      <c r="G210" s="55" t="s">
        <v>15</v>
      </c>
      <c r="H210" s="60" t="s">
        <v>2407</v>
      </c>
      <c r="I210" s="55">
        <v>206055024</v>
      </c>
      <c r="J210" s="55">
        <v>82188</v>
      </c>
      <c r="K210" s="55" t="s">
        <v>348</v>
      </c>
      <c r="L210" s="53" t="s">
        <v>2068</v>
      </c>
      <c r="M210" s="55" t="s">
        <v>49</v>
      </c>
      <c r="N210" s="52">
        <v>517787500</v>
      </c>
      <c r="O210" s="52">
        <v>517787500</v>
      </c>
      <c r="P210" s="52">
        <v>517787500</v>
      </c>
      <c r="Q210" s="57">
        <v>45187</v>
      </c>
      <c r="R210" s="57">
        <v>47001</v>
      </c>
      <c r="S210" s="56">
        <v>23.99</v>
      </c>
      <c r="T210" s="54">
        <v>24</v>
      </c>
      <c r="U210" s="52">
        <v>450666898.19999999</v>
      </c>
      <c r="V210" s="52">
        <v>450666898.19999999</v>
      </c>
      <c r="W210" s="52">
        <v>0</v>
      </c>
      <c r="X210" s="57"/>
      <c r="Y210" s="52">
        <v>0</v>
      </c>
      <c r="Z210" s="52">
        <v>0</v>
      </c>
      <c r="AA210" s="52">
        <v>1</v>
      </c>
      <c r="AB210" s="52">
        <v>0</v>
      </c>
      <c r="AC210" s="52">
        <v>9182368.9199999999</v>
      </c>
      <c r="AD210" s="52">
        <v>9182368.9199999999</v>
      </c>
      <c r="AE210" s="52">
        <v>0</v>
      </c>
      <c r="AF210" s="52">
        <v>0</v>
      </c>
      <c r="AG210" s="52">
        <v>0</v>
      </c>
      <c r="AH210" s="52">
        <v>0</v>
      </c>
      <c r="AI210" s="52">
        <v>0</v>
      </c>
      <c r="AJ210" s="52">
        <v>2</v>
      </c>
      <c r="AK210" s="52"/>
      <c r="AL210" s="61">
        <v>115478132224</v>
      </c>
      <c r="AM210" s="52">
        <v>0</v>
      </c>
      <c r="AN210" s="61">
        <v>621345000</v>
      </c>
      <c r="AO210" s="52">
        <v>0</v>
      </c>
      <c r="AP210" s="52">
        <v>0</v>
      </c>
      <c r="AQ210" s="58">
        <v>0</v>
      </c>
      <c r="AR210" s="58">
        <v>0</v>
      </c>
      <c r="AS210" s="58">
        <v>0</v>
      </c>
      <c r="AT210" s="58">
        <v>0</v>
      </c>
      <c r="AU210" s="58">
        <v>0</v>
      </c>
      <c r="AV210" s="58">
        <v>0</v>
      </c>
      <c r="AW210" s="58">
        <v>0</v>
      </c>
      <c r="AX210" s="58">
        <v>0</v>
      </c>
    </row>
    <row r="211" spans="1:50" x14ac:dyDescent="0.25">
      <c r="A211" s="52">
        <f t="shared" si="20"/>
        <v>206</v>
      </c>
      <c r="B211" s="60" t="str">
        <f t="shared" si="19"/>
        <v>00472123787</v>
      </c>
      <c r="C211" s="67" t="s">
        <v>28</v>
      </c>
      <c r="D211" s="59" t="s">
        <v>2058</v>
      </c>
      <c r="E211" s="55" t="str">
        <f t="shared" si="18"/>
        <v>00472</v>
      </c>
      <c r="F211" s="53" t="s">
        <v>2067</v>
      </c>
      <c r="G211" s="55" t="s">
        <v>15</v>
      </c>
      <c r="H211" s="60" t="s">
        <v>329</v>
      </c>
      <c r="I211" s="55">
        <v>205937636</v>
      </c>
      <c r="J211" s="55">
        <v>123787</v>
      </c>
      <c r="K211" s="55" t="s">
        <v>349</v>
      </c>
      <c r="L211" s="53" t="s">
        <v>2068</v>
      </c>
      <c r="M211" s="55" t="s">
        <v>49</v>
      </c>
      <c r="N211" s="52">
        <v>551620000</v>
      </c>
      <c r="O211" s="52">
        <v>551620000</v>
      </c>
      <c r="P211" s="52">
        <v>450000000</v>
      </c>
      <c r="Q211" s="57">
        <v>45818</v>
      </c>
      <c r="R211" s="57">
        <v>46182</v>
      </c>
      <c r="S211" s="56">
        <v>14</v>
      </c>
      <c r="T211" s="54">
        <v>24</v>
      </c>
      <c r="U211" s="52">
        <v>450000000</v>
      </c>
      <c r="V211" s="52">
        <v>450000000</v>
      </c>
      <c r="W211" s="52">
        <v>0</v>
      </c>
      <c r="X211" s="57"/>
      <c r="Y211" s="52">
        <v>0</v>
      </c>
      <c r="Z211" s="52">
        <v>0</v>
      </c>
      <c r="AA211" s="52">
        <v>2</v>
      </c>
      <c r="AB211" s="52">
        <v>45000000</v>
      </c>
      <c r="AC211" s="52">
        <v>10717808.220000001</v>
      </c>
      <c r="AD211" s="52">
        <v>4660273.9800000004</v>
      </c>
      <c r="AE211" s="52">
        <v>0</v>
      </c>
      <c r="AF211" s="52">
        <v>6057534.2400000002</v>
      </c>
      <c r="AG211" s="52">
        <v>0</v>
      </c>
      <c r="AH211" s="52">
        <v>0</v>
      </c>
      <c r="AI211" s="52">
        <v>0</v>
      </c>
      <c r="AJ211" s="52">
        <v>2</v>
      </c>
      <c r="AK211" s="52"/>
      <c r="AL211" s="61">
        <v>206282138812</v>
      </c>
      <c r="AM211" s="52">
        <v>0</v>
      </c>
      <c r="AN211" s="61">
        <v>540000000</v>
      </c>
      <c r="AO211" s="52">
        <v>0</v>
      </c>
      <c r="AP211" s="52">
        <v>0</v>
      </c>
      <c r="AQ211" s="58">
        <v>0</v>
      </c>
      <c r="AR211" s="58">
        <v>0</v>
      </c>
      <c r="AS211" s="58">
        <v>0</v>
      </c>
      <c r="AT211" s="58">
        <v>0</v>
      </c>
      <c r="AU211" s="58">
        <v>0</v>
      </c>
      <c r="AV211" s="58">
        <v>0</v>
      </c>
      <c r="AW211" s="58">
        <v>0</v>
      </c>
      <c r="AX211" s="58">
        <v>0</v>
      </c>
    </row>
    <row r="212" spans="1:50" x14ac:dyDescent="0.25">
      <c r="A212" s="52">
        <f t="shared" si="20"/>
        <v>207</v>
      </c>
      <c r="B212" s="60" t="str">
        <f t="shared" si="19"/>
        <v>0047292696</v>
      </c>
      <c r="C212" s="67" t="s">
        <v>28</v>
      </c>
      <c r="D212" s="59" t="s">
        <v>2058</v>
      </c>
      <c r="E212" s="55" t="str">
        <f t="shared" si="18"/>
        <v>00472</v>
      </c>
      <c r="F212" s="53" t="s">
        <v>2067</v>
      </c>
      <c r="G212" s="55" t="s">
        <v>15</v>
      </c>
      <c r="H212" s="60" t="s">
        <v>2408</v>
      </c>
      <c r="I212" s="55">
        <v>206033771</v>
      </c>
      <c r="J212" s="55">
        <v>92696</v>
      </c>
      <c r="K212" s="55" t="s">
        <v>350</v>
      </c>
      <c r="L212" s="53" t="s">
        <v>2068</v>
      </c>
      <c r="M212" s="55" t="s">
        <v>49</v>
      </c>
      <c r="N212" s="52">
        <v>664893618</v>
      </c>
      <c r="O212" s="52">
        <v>664893618</v>
      </c>
      <c r="P212" s="52">
        <v>664893617.08000004</v>
      </c>
      <c r="Q212" s="57">
        <v>45406</v>
      </c>
      <c r="R212" s="57">
        <v>47231</v>
      </c>
      <c r="S212" s="56">
        <v>14</v>
      </c>
      <c r="T212" s="54">
        <v>24</v>
      </c>
      <c r="U212" s="52">
        <v>434030814.77999997</v>
      </c>
      <c r="V212" s="52">
        <v>434030814.77999997</v>
      </c>
      <c r="W212" s="52">
        <v>0</v>
      </c>
      <c r="X212" s="57"/>
      <c r="Y212" s="52">
        <v>0</v>
      </c>
      <c r="Z212" s="52">
        <v>0</v>
      </c>
      <c r="AA212" s="52">
        <v>1</v>
      </c>
      <c r="AB212" s="52">
        <v>0</v>
      </c>
      <c r="AC212" s="52">
        <v>5160804.76</v>
      </c>
      <c r="AD212" s="52">
        <v>998865.44</v>
      </c>
      <c r="AE212" s="52">
        <v>0</v>
      </c>
      <c r="AF212" s="52">
        <v>0</v>
      </c>
      <c r="AG212" s="52">
        <v>4161939.32</v>
      </c>
      <c r="AH212" s="52">
        <v>0</v>
      </c>
      <c r="AI212" s="52">
        <v>0</v>
      </c>
      <c r="AJ212" s="52">
        <v>2</v>
      </c>
      <c r="AK212" s="52"/>
      <c r="AL212" s="52">
        <v>0</v>
      </c>
      <c r="AM212" s="52">
        <v>0</v>
      </c>
      <c r="AN212" s="61">
        <v>797872340496</v>
      </c>
      <c r="AO212" s="52">
        <v>0</v>
      </c>
      <c r="AP212" s="52">
        <v>0</v>
      </c>
      <c r="AQ212" s="58">
        <v>0</v>
      </c>
      <c r="AR212" s="58">
        <v>0</v>
      </c>
      <c r="AS212" s="58">
        <v>0</v>
      </c>
      <c r="AT212" s="58">
        <v>0</v>
      </c>
      <c r="AU212" s="58">
        <v>0</v>
      </c>
      <c r="AV212" s="58">
        <v>0</v>
      </c>
      <c r="AW212" s="58">
        <v>0</v>
      </c>
      <c r="AX212" s="58">
        <v>0</v>
      </c>
    </row>
    <row r="213" spans="1:50" x14ac:dyDescent="0.25">
      <c r="A213" s="52">
        <f t="shared" si="20"/>
        <v>208</v>
      </c>
      <c r="B213" s="60" t="str">
        <f t="shared" si="19"/>
        <v>0047292134</v>
      </c>
      <c r="C213" s="67" t="s">
        <v>28</v>
      </c>
      <c r="D213" s="59" t="s">
        <v>2058</v>
      </c>
      <c r="E213" s="55" t="str">
        <f t="shared" si="18"/>
        <v>00472</v>
      </c>
      <c r="F213" s="53" t="s">
        <v>2067</v>
      </c>
      <c r="G213" s="55" t="s">
        <v>15</v>
      </c>
      <c r="H213" s="60" t="s">
        <v>2401</v>
      </c>
      <c r="I213" s="55">
        <v>303504120</v>
      </c>
      <c r="J213" s="55">
        <v>92134</v>
      </c>
      <c r="K213" s="55" t="s">
        <v>351</v>
      </c>
      <c r="L213" s="53" t="s">
        <v>2068</v>
      </c>
      <c r="M213" s="55" t="s">
        <v>49</v>
      </c>
      <c r="N213" s="52">
        <v>617021277</v>
      </c>
      <c r="O213" s="52">
        <v>617021277</v>
      </c>
      <c r="P213" s="52">
        <v>617021276.62</v>
      </c>
      <c r="Q213" s="57">
        <v>45395</v>
      </c>
      <c r="R213" s="57">
        <v>47220</v>
      </c>
      <c r="S213" s="56">
        <v>14</v>
      </c>
      <c r="T213" s="54">
        <v>24</v>
      </c>
      <c r="U213" s="52">
        <v>409042170.39999998</v>
      </c>
      <c r="V213" s="52">
        <v>409042170.39999998</v>
      </c>
      <c r="W213" s="52">
        <v>0</v>
      </c>
      <c r="X213" s="57"/>
      <c r="Y213" s="52">
        <v>0</v>
      </c>
      <c r="Z213" s="52">
        <v>0</v>
      </c>
      <c r="AA213" s="52">
        <v>1</v>
      </c>
      <c r="AB213" s="52">
        <v>0</v>
      </c>
      <c r="AC213" s="52">
        <v>11630482.039999999</v>
      </c>
      <c r="AD213" s="52">
        <v>11630482.039999999</v>
      </c>
      <c r="AE213" s="52">
        <v>0</v>
      </c>
      <c r="AF213" s="52">
        <v>0</v>
      </c>
      <c r="AG213" s="52">
        <v>0</v>
      </c>
      <c r="AH213" s="52">
        <v>0</v>
      </c>
      <c r="AI213" s="52">
        <v>0</v>
      </c>
      <c r="AJ213" s="52">
        <v>2</v>
      </c>
      <c r="AK213" s="52"/>
      <c r="AL213" s="61">
        <v>200714494779</v>
      </c>
      <c r="AM213" s="52">
        <v>0</v>
      </c>
      <c r="AN213" s="61">
        <v>740425531944</v>
      </c>
      <c r="AO213" s="52">
        <v>0</v>
      </c>
      <c r="AP213" s="52">
        <v>0</v>
      </c>
      <c r="AQ213" s="58">
        <v>0</v>
      </c>
      <c r="AR213" s="58">
        <v>0</v>
      </c>
      <c r="AS213" s="58">
        <v>0</v>
      </c>
      <c r="AT213" s="58">
        <v>0</v>
      </c>
      <c r="AU213" s="58">
        <v>0</v>
      </c>
      <c r="AV213" s="58">
        <v>0</v>
      </c>
      <c r="AW213" s="58">
        <v>0</v>
      </c>
      <c r="AX213" s="58">
        <v>0</v>
      </c>
    </row>
    <row r="214" spans="1:50" x14ac:dyDescent="0.25">
      <c r="A214" s="52">
        <f t="shared" si="20"/>
        <v>209</v>
      </c>
      <c r="B214" s="60" t="str">
        <f t="shared" si="19"/>
        <v>00472113780</v>
      </c>
      <c r="C214" s="67" t="s">
        <v>28</v>
      </c>
      <c r="D214" s="59" t="s">
        <v>2058</v>
      </c>
      <c r="E214" s="55" t="str">
        <f t="shared" si="18"/>
        <v>00472</v>
      </c>
      <c r="F214" s="53" t="s">
        <v>2067</v>
      </c>
      <c r="G214" s="55" t="s">
        <v>15</v>
      </c>
      <c r="H214" s="60" t="s">
        <v>2408</v>
      </c>
      <c r="I214" s="55">
        <v>206033771</v>
      </c>
      <c r="J214" s="55">
        <v>113780</v>
      </c>
      <c r="K214" s="55" t="s">
        <v>352</v>
      </c>
      <c r="L214" s="53" t="s">
        <v>2068</v>
      </c>
      <c r="M214" s="55" t="s">
        <v>49</v>
      </c>
      <c r="N214" s="52">
        <v>585106383</v>
      </c>
      <c r="O214" s="52">
        <v>585106383</v>
      </c>
      <c r="P214" s="52">
        <v>585106382.98000002</v>
      </c>
      <c r="Q214" s="57">
        <v>45716</v>
      </c>
      <c r="R214" s="57">
        <v>47541</v>
      </c>
      <c r="S214" s="56">
        <v>14</v>
      </c>
      <c r="T214" s="54">
        <v>24</v>
      </c>
      <c r="U214" s="52">
        <v>375926202.27999997</v>
      </c>
      <c r="V214" s="52">
        <v>375926202.27999997</v>
      </c>
      <c r="W214" s="52">
        <v>0</v>
      </c>
      <c r="X214" s="57"/>
      <c r="Y214" s="52">
        <v>0</v>
      </c>
      <c r="Z214" s="52">
        <v>0</v>
      </c>
      <c r="AA214" s="52">
        <v>1</v>
      </c>
      <c r="AB214" s="52">
        <v>0</v>
      </c>
      <c r="AC214" s="52">
        <v>4469917.0299999993</v>
      </c>
      <c r="AD214" s="52">
        <v>576763.48</v>
      </c>
      <c r="AE214" s="52">
        <v>0</v>
      </c>
      <c r="AF214" s="52">
        <v>0</v>
      </c>
      <c r="AG214" s="52">
        <v>3893153.55</v>
      </c>
      <c r="AH214" s="52">
        <v>0</v>
      </c>
      <c r="AI214" s="52">
        <v>0</v>
      </c>
      <c r="AJ214" s="52">
        <v>2</v>
      </c>
      <c r="AK214" s="52"/>
      <c r="AL214" s="52">
        <v>0</v>
      </c>
      <c r="AM214" s="52">
        <v>0</v>
      </c>
      <c r="AN214" s="61">
        <v>702127659576</v>
      </c>
      <c r="AO214" s="52">
        <v>0</v>
      </c>
      <c r="AP214" s="52">
        <v>0</v>
      </c>
      <c r="AQ214" s="58">
        <v>0</v>
      </c>
      <c r="AR214" s="58">
        <v>0</v>
      </c>
      <c r="AS214" s="58">
        <v>0</v>
      </c>
      <c r="AT214" s="58">
        <v>0</v>
      </c>
      <c r="AU214" s="58">
        <v>0</v>
      </c>
      <c r="AV214" s="58">
        <v>0</v>
      </c>
      <c r="AW214" s="58">
        <v>0</v>
      </c>
      <c r="AX214" s="58">
        <v>0</v>
      </c>
    </row>
    <row r="215" spans="1:50" x14ac:dyDescent="0.25">
      <c r="A215" s="52">
        <f t="shared" si="20"/>
        <v>210</v>
      </c>
      <c r="B215" s="60" t="str">
        <f t="shared" si="19"/>
        <v>0047292566</v>
      </c>
      <c r="C215" s="67" t="s">
        <v>28</v>
      </c>
      <c r="D215" s="59" t="s">
        <v>2058</v>
      </c>
      <c r="E215" s="55" t="str">
        <f t="shared" si="18"/>
        <v>00472</v>
      </c>
      <c r="F215" s="53" t="s">
        <v>2067</v>
      </c>
      <c r="G215" s="55" t="s">
        <v>15</v>
      </c>
      <c r="H215" s="60" t="s">
        <v>2407</v>
      </c>
      <c r="I215" s="55">
        <v>206055024</v>
      </c>
      <c r="J215" s="55">
        <v>92566</v>
      </c>
      <c r="K215" s="55" t="s">
        <v>353</v>
      </c>
      <c r="L215" s="53" t="s">
        <v>2068</v>
      </c>
      <c r="M215" s="55" t="s">
        <v>49</v>
      </c>
      <c r="N215" s="52">
        <v>265957447</v>
      </c>
      <c r="O215" s="52">
        <v>265957447</v>
      </c>
      <c r="P215" s="52">
        <v>265957446.81999999</v>
      </c>
      <c r="Q215" s="57">
        <v>45404</v>
      </c>
      <c r="R215" s="57">
        <v>47229</v>
      </c>
      <c r="S215" s="56">
        <v>14</v>
      </c>
      <c r="T215" s="54">
        <v>24</v>
      </c>
      <c r="U215" s="52">
        <v>265957446.81999999</v>
      </c>
      <c r="V215" s="52">
        <v>265957446.81999999</v>
      </c>
      <c r="W215" s="52">
        <v>0</v>
      </c>
      <c r="X215" s="57"/>
      <c r="Y215" s="52">
        <v>0</v>
      </c>
      <c r="Z215" s="52">
        <v>0</v>
      </c>
      <c r="AA215" s="52">
        <v>1</v>
      </c>
      <c r="AB215" s="52">
        <v>0</v>
      </c>
      <c r="AC215" s="52">
        <v>3162343.34</v>
      </c>
      <c r="AD215" s="52">
        <v>1020110.75</v>
      </c>
      <c r="AE215" s="52">
        <v>0</v>
      </c>
      <c r="AF215" s="52">
        <v>0</v>
      </c>
      <c r="AG215" s="52">
        <v>2142232.59</v>
      </c>
      <c r="AH215" s="52">
        <v>0</v>
      </c>
      <c r="AI215" s="52">
        <v>0</v>
      </c>
      <c r="AJ215" s="52">
        <v>2</v>
      </c>
      <c r="AK215" s="52"/>
      <c r="AL215" s="61">
        <v>115478132224</v>
      </c>
      <c r="AM215" s="52">
        <v>0</v>
      </c>
      <c r="AN215" s="61">
        <v>319148936184</v>
      </c>
      <c r="AO215" s="52">
        <v>0</v>
      </c>
      <c r="AP215" s="52">
        <v>0</v>
      </c>
      <c r="AQ215" s="58">
        <v>0</v>
      </c>
      <c r="AR215" s="58">
        <v>0</v>
      </c>
      <c r="AS215" s="58">
        <v>0</v>
      </c>
      <c r="AT215" s="58">
        <v>0</v>
      </c>
      <c r="AU215" s="58">
        <v>0</v>
      </c>
      <c r="AV215" s="58">
        <v>0</v>
      </c>
      <c r="AW215" s="58">
        <v>0</v>
      </c>
      <c r="AX215" s="58">
        <v>0</v>
      </c>
    </row>
    <row r="216" spans="1:50" x14ac:dyDescent="0.25">
      <c r="A216" s="52">
        <f t="shared" si="20"/>
        <v>211</v>
      </c>
      <c r="B216" s="60" t="str">
        <f t="shared" si="19"/>
        <v>0047216223</v>
      </c>
      <c r="C216" s="67" t="s">
        <v>28</v>
      </c>
      <c r="D216" s="59" t="s">
        <v>2058</v>
      </c>
      <c r="E216" s="55" t="str">
        <f t="shared" si="18"/>
        <v>00472</v>
      </c>
      <c r="F216" s="53" t="s">
        <v>2067</v>
      </c>
      <c r="G216" s="55" t="s">
        <v>15</v>
      </c>
      <c r="H216" s="60" t="s">
        <v>336</v>
      </c>
      <c r="I216" s="55">
        <v>303513854</v>
      </c>
      <c r="J216" s="55">
        <v>16223</v>
      </c>
      <c r="K216" s="55" t="s">
        <v>354</v>
      </c>
      <c r="L216" s="53" t="s">
        <v>2068</v>
      </c>
      <c r="M216" s="55" t="s">
        <v>49</v>
      </c>
      <c r="N216" s="52">
        <v>743970000</v>
      </c>
      <c r="O216" s="52">
        <v>743970000</v>
      </c>
      <c r="P216" s="52">
        <v>743970000</v>
      </c>
      <c r="Q216" s="57">
        <v>43829</v>
      </c>
      <c r="R216" s="57">
        <v>46556</v>
      </c>
      <c r="S216" s="56">
        <v>5</v>
      </c>
      <c r="T216" s="54">
        <v>24</v>
      </c>
      <c r="U216" s="52">
        <v>265703700</v>
      </c>
      <c r="V216" s="52">
        <v>265703700</v>
      </c>
      <c r="W216" s="52">
        <v>0</v>
      </c>
      <c r="X216" s="57"/>
      <c r="Y216" s="52">
        <v>0</v>
      </c>
      <c r="Z216" s="52">
        <v>0</v>
      </c>
      <c r="AA216" s="52">
        <v>1</v>
      </c>
      <c r="AB216" s="52">
        <v>0</v>
      </c>
      <c r="AC216" s="52">
        <v>1128330.78</v>
      </c>
      <c r="AD216" s="52">
        <v>1128330.78</v>
      </c>
      <c r="AE216" s="52">
        <v>0</v>
      </c>
      <c r="AF216" s="52">
        <v>0</v>
      </c>
      <c r="AG216" s="52">
        <v>0</v>
      </c>
      <c r="AH216" s="52">
        <v>0</v>
      </c>
      <c r="AI216" s="52">
        <v>0</v>
      </c>
      <c r="AJ216" s="52">
        <v>2</v>
      </c>
      <c r="AK216" s="52"/>
      <c r="AL216" s="61">
        <v>11239794459</v>
      </c>
      <c r="AM216" s="52">
        <v>0</v>
      </c>
      <c r="AN216" s="61">
        <v>892764000</v>
      </c>
      <c r="AO216" s="52">
        <v>0</v>
      </c>
      <c r="AP216" s="52">
        <v>0</v>
      </c>
      <c r="AQ216" s="58">
        <v>0</v>
      </c>
      <c r="AR216" s="58">
        <v>0</v>
      </c>
      <c r="AS216" s="58">
        <v>0</v>
      </c>
      <c r="AT216" s="58">
        <v>0</v>
      </c>
      <c r="AU216" s="58">
        <v>0</v>
      </c>
      <c r="AV216" s="58">
        <v>0</v>
      </c>
      <c r="AW216" s="58">
        <v>0</v>
      </c>
      <c r="AX216" s="58">
        <v>0</v>
      </c>
    </row>
    <row r="217" spans="1:50" x14ac:dyDescent="0.25">
      <c r="A217" s="52">
        <f t="shared" si="20"/>
        <v>212</v>
      </c>
      <c r="B217" s="60" t="str">
        <f t="shared" si="19"/>
        <v>00472123290</v>
      </c>
      <c r="C217" s="67" t="s">
        <v>28</v>
      </c>
      <c r="D217" s="59" t="s">
        <v>2058</v>
      </c>
      <c r="E217" s="55" t="str">
        <f t="shared" si="18"/>
        <v>00472</v>
      </c>
      <c r="F217" s="53" t="s">
        <v>2067</v>
      </c>
      <c r="G217" s="55" t="s">
        <v>15</v>
      </c>
      <c r="H217" s="60" t="s">
        <v>2402</v>
      </c>
      <c r="I217" s="55">
        <v>206040700</v>
      </c>
      <c r="J217" s="55">
        <v>123290</v>
      </c>
      <c r="K217" s="55" t="s">
        <v>355</v>
      </c>
      <c r="L217" s="53" t="s">
        <v>2068</v>
      </c>
      <c r="M217" s="55" t="s">
        <v>49</v>
      </c>
      <c r="N217" s="52">
        <v>625199500</v>
      </c>
      <c r="O217" s="52">
        <v>625199500</v>
      </c>
      <c r="P217" s="52">
        <v>625199500</v>
      </c>
      <c r="Q217" s="57">
        <v>45812</v>
      </c>
      <c r="R217" s="57">
        <v>46359</v>
      </c>
      <c r="S217" s="56">
        <v>26</v>
      </c>
      <c r="T217" s="54">
        <v>24</v>
      </c>
      <c r="U217" s="52">
        <v>247721130.88999999</v>
      </c>
      <c r="V217" s="52">
        <v>247721130.88999999</v>
      </c>
      <c r="W217" s="52">
        <v>0</v>
      </c>
      <c r="X217" s="57"/>
      <c r="Y217" s="52">
        <v>0</v>
      </c>
      <c r="Z217" s="52">
        <v>0</v>
      </c>
      <c r="AA217" s="52">
        <v>1</v>
      </c>
      <c r="AB217" s="52">
        <v>0</v>
      </c>
      <c r="AC217" s="52">
        <v>3529177.76</v>
      </c>
      <c r="AD217" s="52">
        <v>3529177.76</v>
      </c>
      <c r="AE217" s="52">
        <v>0</v>
      </c>
      <c r="AF217" s="52">
        <v>0</v>
      </c>
      <c r="AG217" s="52">
        <v>0</v>
      </c>
      <c r="AH217" s="52">
        <v>0</v>
      </c>
      <c r="AI217" s="52">
        <v>0</v>
      </c>
      <c r="AJ217" s="52">
        <v>2</v>
      </c>
      <c r="AK217" s="52"/>
      <c r="AL217" s="61">
        <v>322133684</v>
      </c>
      <c r="AM217" s="52">
        <v>0</v>
      </c>
      <c r="AN217" s="61">
        <v>750239400</v>
      </c>
      <c r="AO217" s="52">
        <v>0</v>
      </c>
      <c r="AP217" s="52">
        <v>0</v>
      </c>
      <c r="AQ217" s="58">
        <v>0</v>
      </c>
      <c r="AR217" s="58">
        <v>0</v>
      </c>
      <c r="AS217" s="58">
        <v>0</v>
      </c>
      <c r="AT217" s="58">
        <v>0</v>
      </c>
      <c r="AU217" s="58">
        <v>0</v>
      </c>
      <c r="AV217" s="58">
        <v>0</v>
      </c>
      <c r="AW217" s="58">
        <v>0</v>
      </c>
      <c r="AX217" s="58">
        <v>0</v>
      </c>
    </row>
    <row r="218" spans="1:50" x14ac:dyDescent="0.25">
      <c r="A218" s="52">
        <f t="shared" si="20"/>
        <v>213</v>
      </c>
      <c r="B218" s="60" t="str">
        <f t="shared" si="19"/>
        <v>00474160528</v>
      </c>
      <c r="C218" s="67" t="s">
        <v>28</v>
      </c>
      <c r="D218" s="59" t="s">
        <v>2058</v>
      </c>
      <c r="E218" s="55" t="str">
        <f t="shared" si="18"/>
        <v>00474</v>
      </c>
      <c r="F218" s="53" t="s">
        <v>2069</v>
      </c>
      <c r="G218" s="55" t="s">
        <v>23</v>
      </c>
      <c r="H218" s="60" t="s">
        <v>356</v>
      </c>
      <c r="I218" s="55">
        <v>311693651</v>
      </c>
      <c r="J218" s="55">
        <v>160528</v>
      </c>
      <c r="K218" s="55" t="s">
        <v>357</v>
      </c>
      <c r="L218" s="53" t="s">
        <v>2070</v>
      </c>
      <c r="M218" s="55" t="s">
        <v>49</v>
      </c>
      <c r="N218" s="52">
        <v>50000000000</v>
      </c>
      <c r="O218" s="52">
        <v>50000000000</v>
      </c>
      <c r="P218" s="52">
        <v>49649356880.910004</v>
      </c>
      <c r="Q218" s="57">
        <v>45664</v>
      </c>
      <c r="R218" s="57">
        <v>47465</v>
      </c>
      <c r="S218" s="56">
        <v>14</v>
      </c>
      <c r="T218" s="54">
        <v>24</v>
      </c>
      <c r="U218" s="52">
        <v>49649356880.910004</v>
      </c>
      <c r="V218" s="52">
        <v>49649356880.910004</v>
      </c>
      <c r="W218" s="52">
        <v>0</v>
      </c>
      <c r="X218" s="57"/>
      <c r="Y218" s="52">
        <v>0</v>
      </c>
      <c r="Z218" s="52">
        <v>0</v>
      </c>
      <c r="AA218" s="52">
        <v>1</v>
      </c>
      <c r="AB218" s="52">
        <v>0</v>
      </c>
      <c r="AC218" s="52">
        <v>881552159.88999999</v>
      </c>
      <c r="AD218" s="52">
        <v>361828189.87</v>
      </c>
      <c r="AE218" s="52">
        <v>0</v>
      </c>
      <c r="AF218" s="52">
        <v>0</v>
      </c>
      <c r="AG218" s="52">
        <v>519723970.01999998</v>
      </c>
      <c r="AH218" s="52">
        <v>0</v>
      </c>
      <c r="AI218" s="52">
        <v>0</v>
      </c>
      <c r="AJ218" s="52">
        <v>2</v>
      </c>
      <c r="AK218" s="52"/>
      <c r="AL218" s="52">
        <v>0</v>
      </c>
      <c r="AM218" s="52">
        <v>0</v>
      </c>
      <c r="AN218" s="52">
        <v>60000000000</v>
      </c>
      <c r="AO218" s="52">
        <v>9477061379974</v>
      </c>
      <c r="AP218" s="52">
        <v>0</v>
      </c>
      <c r="AQ218" s="58">
        <v>0</v>
      </c>
      <c r="AR218" s="58">
        <v>0</v>
      </c>
      <c r="AS218" s="58">
        <v>0</v>
      </c>
      <c r="AT218" s="58">
        <v>0</v>
      </c>
      <c r="AU218" s="58">
        <v>0</v>
      </c>
      <c r="AV218" s="58">
        <v>0</v>
      </c>
      <c r="AW218" s="58">
        <v>0</v>
      </c>
      <c r="AX218" s="58">
        <v>0</v>
      </c>
    </row>
    <row r="219" spans="1:50" x14ac:dyDescent="0.25">
      <c r="A219" s="52">
        <f t="shared" si="20"/>
        <v>214</v>
      </c>
      <c r="B219" s="60" t="str">
        <f t="shared" si="19"/>
        <v>00474122135</v>
      </c>
      <c r="C219" s="67" t="s">
        <v>28</v>
      </c>
      <c r="D219" s="59" t="s">
        <v>2058</v>
      </c>
      <c r="E219" s="55" t="str">
        <f t="shared" si="18"/>
        <v>00474</v>
      </c>
      <c r="F219" s="53" t="s">
        <v>2069</v>
      </c>
      <c r="G219" s="55" t="s">
        <v>23</v>
      </c>
      <c r="H219" s="60" t="s">
        <v>2409</v>
      </c>
      <c r="I219" s="55">
        <v>306997789</v>
      </c>
      <c r="J219" s="55">
        <v>122135</v>
      </c>
      <c r="K219" s="55" t="s">
        <v>358</v>
      </c>
      <c r="L219" s="53" t="s">
        <v>2070</v>
      </c>
      <c r="M219" s="55" t="s">
        <v>49</v>
      </c>
      <c r="N219" s="52">
        <v>1625000000</v>
      </c>
      <c r="O219" s="52">
        <v>1625000000</v>
      </c>
      <c r="P219" s="52">
        <v>1625000000</v>
      </c>
      <c r="Q219" s="57">
        <v>45191</v>
      </c>
      <c r="R219" s="57">
        <v>47031</v>
      </c>
      <c r="S219" s="56">
        <v>14</v>
      </c>
      <c r="T219" s="54">
        <v>18</v>
      </c>
      <c r="U219" s="52">
        <v>1556047412.9400001</v>
      </c>
      <c r="V219" s="52">
        <v>1556047412.9400001</v>
      </c>
      <c r="W219" s="52">
        <v>0</v>
      </c>
      <c r="X219" s="57"/>
      <c r="Y219" s="52">
        <v>0</v>
      </c>
      <c r="Z219" s="52">
        <v>0</v>
      </c>
      <c r="AA219" s="52">
        <v>1</v>
      </c>
      <c r="AB219" s="52">
        <v>0</v>
      </c>
      <c r="AC219" s="52">
        <v>0</v>
      </c>
      <c r="AD219" s="52">
        <v>0</v>
      </c>
      <c r="AE219" s="52">
        <v>0</v>
      </c>
      <c r="AF219" s="52">
        <v>0</v>
      </c>
      <c r="AG219" s="52">
        <v>0</v>
      </c>
      <c r="AH219" s="52">
        <v>0</v>
      </c>
      <c r="AI219" s="52">
        <v>0</v>
      </c>
      <c r="AJ219" s="52">
        <v>2</v>
      </c>
      <c r="AK219" s="52"/>
      <c r="AL219" s="52">
        <v>0</v>
      </c>
      <c r="AM219" s="52">
        <v>0</v>
      </c>
      <c r="AN219" s="52">
        <v>4644214409</v>
      </c>
      <c r="AO219" s="52">
        <v>685207645</v>
      </c>
      <c r="AP219" s="52">
        <v>79757000</v>
      </c>
      <c r="AQ219" s="58">
        <v>0</v>
      </c>
      <c r="AR219" s="58">
        <v>0</v>
      </c>
      <c r="AS219" s="58">
        <v>0</v>
      </c>
      <c r="AT219" s="58">
        <v>0</v>
      </c>
      <c r="AU219" s="58">
        <v>0</v>
      </c>
      <c r="AV219" s="58">
        <v>0</v>
      </c>
      <c r="AW219" s="58">
        <v>0</v>
      </c>
      <c r="AX219" s="58">
        <v>0</v>
      </c>
    </row>
    <row r="220" spans="1:50" x14ac:dyDescent="0.25">
      <c r="A220" s="52">
        <f t="shared" si="20"/>
        <v>215</v>
      </c>
      <c r="B220" s="60" t="str">
        <f t="shared" si="19"/>
        <v>0047465081</v>
      </c>
      <c r="C220" s="67" t="s">
        <v>28</v>
      </c>
      <c r="D220" s="59" t="s">
        <v>2058</v>
      </c>
      <c r="E220" s="55" t="str">
        <f t="shared" si="18"/>
        <v>00474</v>
      </c>
      <c r="F220" s="53" t="s">
        <v>2069</v>
      </c>
      <c r="G220" s="55" t="s">
        <v>23</v>
      </c>
      <c r="H220" s="60" t="s">
        <v>2410</v>
      </c>
      <c r="I220" s="55">
        <v>200458096</v>
      </c>
      <c r="J220" s="55">
        <v>65081</v>
      </c>
      <c r="K220" s="55" t="s">
        <v>359</v>
      </c>
      <c r="L220" s="53" t="s">
        <v>2070</v>
      </c>
      <c r="M220" s="55" t="s">
        <v>49</v>
      </c>
      <c r="N220" s="52">
        <v>2000000000</v>
      </c>
      <c r="O220" s="52">
        <v>2000000000</v>
      </c>
      <c r="P220" s="52">
        <v>1980449345</v>
      </c>
      <c r="Q220" s="57">
        <v>44662</v>
      </c>
      <c r="R220" s="57">
        <v>46289</v>
      </c>
      <c r="S220" s="56">
        <v>14</v>
      </c>
      <c r="T220" s="54">
        <v>24</v>
      </c>
      <c r="U220" s="52">
        <v>1285068888.8299999</v>
      </c>
      <c r="V220" s="52">
        <v>1285068888.8299999</v>
      </c>
      <c r="W220" s="52">
        <v>0</v>
      </c>
      <c r="X220" s="57"/>
      <c r="Y220" s="52">
        <v>0</v>
      </c>
      <c r="Z220" s="52">
        <v>0</v>
      </c>
      <c r="AA220" s="52">
        <v>1</v>
      </c>
      <c r="AB220" s="52">
        <v>0</v>
      </c>
      <c r="AC220" s="52">
        <v>43767238.689999998</v>
      </c>
      <c r="AD220" s="52">
        <v>43767238.689999998</v>
      </c>
      <c r="AE220" s="52">
        <v>0</v>
      </c>
      <c r="AF220" s="52">
        <v>0</v>
      </c>
      <c r="AG220" s="52">
        <v>0</v>
      </c>
      <c r="AH220" s="52">
        <v>0</v>
      </c>
      <c r="AI220" s="52">
        <v>0</v>
      </c>
      <c r="AJ220" s="52">
        <v>2</v>
      </c>
      <c r="AK220" s="52"/>
      <c r="AL220" s="52">
        <v>150822360.93000001</v>
      </c>
      <c r="AM220" s="52">
        <v>12848939855</v>
      </c>
      <c r="AN220" s="52">
        <v>2400000000</v>
      </c>
      <c r="AO220" s="52">
        <v>446663811896</v>
      </c>
      <c r="AP220" s="52">
        <v>670000000</v>
      </c>
      <c r="AQ220" s="58">
        <v>0</v>
      </c>
      <c r="AR220" s="58">
        <v>0</v>
      </c>
      <c r="AS220" s="58">
        <v>0</v>
      </c>
      <c r="AT220" s="58">
        <v>0</v>
      </c>
      <c r="AU220" s="58">
        <v>0</v>
      </c>
      <c r="AV220" s="58">
        <v>0</v>
      </c>
      <c r="AW220" s="58">
        <v>0</v>
      </c>
      <c r="AX220" s="58">
        <v>0</v>
      </c>
    </row>
    <row r="221" spans="1:50" x14ac:dyDescent="0.25">
      <c r="A221" s="52">
        <f t="shared" si="20"/>
        <v>216</v>
      </c>
      <c r="B221" s="60" t="str">
        <f t="shared" si="19"/>
        <v>00475170095</v>
      </c>
      <c r="C221" s="67" t="s">
        <v>28</v>
      </c>
      <c r="D221" s="59" t="s">
        <v>2058</v>
      </c>
      <c r="E221" s="55" t="str">
        <f t="shared" si="18"/>
        <v>00475</v>
      </c>
      <c r="F221" s="53" t="s">
        <v>2071</v>
      </c>
      <c r="G221" s="55" t="s">
        <v>16</v>
      </c>
      <c r="H221" s="60" t="s">
        <v>2411</v>
      </c>
      <c r="I221" s="55">
        <v>307878302</v>
      </c>
      <c r="J221" s="55">
        <v>170095</v>
      </c>
      <c r="K221" s="55" t="s">
        <v>360</v>
      </c>
      <c r="L221" s="53" t="s">
        <v>2035</v>
      </c>
      <c r="M221" s="55" t="s">
        <v>91</v>
      </c>
      <c r="N221" s="52">
        <v>574267964.04999912</v>
      </c>
      <c r="O221" s="52">
        <v>973401427103.67004</v>
      </c>
      <c r="P221" s="52">
        <f>+O221</f>
        <v>973401427103.67004</v>
      </c>
      <c r="Q221" s="57">
        <v>45821</v>
      </c>
      <c r="R221" s="57">
        <v>47606</v>
      </c>
      <c r="S221" s="56">
        <v>10</v>
      </c>
      <c r="T221" s="54">
        <v>24</v>
      </c>
      <c r="U221" s="52">
        <v>1008701678853.83</v>
      </c>
      <c r="V221" s="52">
        <v>1008701678853.83</v>
      </c>
      <c r="W221" s="52">
        <v>0</v>
      </c>
      <c r="X221" s="57"/>
      <c r="Y221" s="52">
        <v>0</v>
      </c>
      <c r="Z221" s="52">
        <v>0</v>
      </c>
      <c r="AA221" s="52">
        <v>1</v>
      </c>
      <c r="AB221" s="52">
        <v>0</v>
      </c>
      <c r="AC221" s="52">
        <v>7461628862.3999996</v>
      </c>
      <c r="AD221" s="52">
        <v>7461628862.3999996</v>
      </c>
      <c r="AE221" s="52">
        <v>0</v>
      </c>
      <c r="AF221" s="52">
        <v>0</v>
      </c>
      <c r="AG221" s="52">
        <v>0</v>
      </c>
      <c r="AH221" s="52">
        <v>0</v>
      </c>
      <c r="AI221" s="52">
        <v>0</v>
      </c>
      <c r="AJ221" s="52">
        <v>2</v>
      </c>
      <c r="AK221" s="52"/>
      <c r="AL221" s="52">
        <v>0</v>
      </c>
      <c r="AM221" s="52">
        <v>0</v>
      </c>
      <c r="AN221" s="52">
        <v>1212943525876</v>
      </c>
      <c r="AO221" s="52">
        <v>60821719540926</v>
      </c>
      <c r="AP221" s="52">
        <v>0</v>
      </c>
      <c r="AQ221" s="58">
        <v>0</v>
      </c>
      <c r="AR221" s="58">
        <v>0</v>
      </c>
      <c r="AS221" s="58">
        <v>0</v>
      </c>
      <c r="AT221" s="58">
        <v>0</v>
      </c>
      <c r="AU221" s="58">
        <v>29</v>
      </c>
      <c r="AV221" s="58">
        <v>46136918.260000005</v>
      </c>
      <c r="AW221" s="58">
        <v>33</v>
      </c>
      <c r="AX221" s="58">
        <v>4749540486.3299999</v>
      </c>
    </row>
    <row r="222" spans="1:50" x14ac:dyDescent="0.25">
      <c r="A222" s="52">
        <f t="shared" si="20"/>
        <v>217</v>
      </c>
      <c r="B222" s="60" t="str">
        <f t="shared" si="19"/>
        <v>0047599625</v>
      </c>
      <c r="C222" s="67" t="s">
        <v>28</v>
      </c>
      <c r="D222" s="59" t="s">
        <v>2058</v>
      </c>
      <c r="E222" s="55" t="str">
        <f t="shared" si="18"/>
        <v>00475</v>
      </c>
      <c r="F222" s="53" t="s">
        <v>2071</v>
      </c>
      <c r="G222" s="55" t="s">
        <v>16</v>
      </c>
      <c r="H222" s="60" t="s">
        <v>2412</v>
      </c>
      <c r="I222" s="55">
        <v>306223896</v>
      </c>
      <c r="J222" s="55">
        <v>99625</v>
      </c>
      <c r="K222" s="55" t="s">
        <v>361</v>
      </c>
      <c r="L222" s="53" t="s">
        <v>2035</v>
      </c>
      <c r="M222" s="55" t="s">
        <v>75</v>
      </c>
      <c r="N222" s="52">
        <v>26775120</v>
      </c>
      <c r="O222" s="52">
        <v>323115722131.20001</v>
      </c>
      <c r="P222" s="52">
        <v>314483801711.5</v>
      </c>
      <c r="Q222" s="57">
        <v>45068</v>
      </c>
      <c r="R222" s="57">
        <v>49551</v>
      </c>
      <c r="S222" s="56">
        <v>8</v>
      </c>
      <c r="T222" s="54">
        <v>24</v>
      </c>
      <c r="U222" s="52">
        <v>326632366392</v>
      </c>
      <c r="V222" s="52">
        <v>326632366392</v>
      </c>
      <c r="W222" s="52">
        <v>0</v>
      </c>
      <c r="X222" s="57"/>
      <c r="Y222" s="52">
        <v>0</v>
      </c>
      <c r="Z222" s="52">
        <v>0</v>
      </c>
      <c r="AA222" s="52">
        <v>1</v>
      </c>
      <c r="AB222" s="52">
        <v>0</v>
      </c>
      <c r="AC222" s="52">
        <v>19193230131.52</v>
      </c>
      <c r="AD222" s="52">
        <v>15821534911.48</v>
      </c>
      <c r="AE222" s="52">
        <v>0</v>
      </c>
      <c r="AF222" s="52">
        <v>3371695220.04</v>
      </c>
      <c r="AG222" s="52">
        <v>0</v>
      </c>
      <c r="AH222" s="52">
        <v>0</v>
      </c>
      <c r="AI222" s="52">
        <v>0</v>
      </c>
      <c r="AJ222" s="52">
        <v>2</v>
      </c>
      <c r="AK222" s="52"/>
      <c r="AL222" s="52">
        <v>0</v>
      </c>
      <c r="AM222" s="52">
        <v>0</v>
      </c>
      <c r="AN222" s="52">
        <v>44293299182496</v>
      </c>
      <c r="AO222" s="52">
        <v>0</v>
      </c>
      <c r="AP222" s="52">
        <v>0</v>
      </c>
      <c r="AQ222" s="58">
        <v>0</v>
      </c>
      <c r="AR222" s="58">
        <v>0</v>
      </c>
      <c r="AS222" s="58">
        <v>0</v>
      </c>
      <c r="AT222" s="58">
        <v>0</v>
      </c>
      <c r="AU222" s="58">
        <v>123</v>
      </c>
      <c r="AV222" s="58">
        <v>143142459.29999995</v>
      </c>
      <c r="AW222" s="58">
        <v>22</v>
      </c>
      <c r="AX222" s="58">
        <v>2512310.7000000002</v>
      </c>
    </row>
    <row r="223" spans="1:50" x14ac:dyDescent="0.25">
      <c r="A223" s="52">
        <f t="shared" si="20"/>
        <v>218</v>
      </c>
      <c r="B223" s="60" t="str">
        <f t="shared" si="19"/>
        <v>0047591411</v>
      </c>
      <c r="C223" s="67" t="s">
        <v>28</v>
      </c>
      <c r="D223" s="59" t="s">
        <v>2058</v>
      </c>
      <c r="E223" s="55" t="str">
        <f t="shared" si="18"/>
        <v>00475</v>
      </c>
      <c r="F223" s="53" t="s">
        <v>2071</v>
      </c>
      <c r="G223" s="55" t="s">
        <v>16</v>
      </c>
      <c r="H223" s="60" t="s">
        <v>2412</v>
      </c>
      <c r="I223" s="55">
        <v>306223896</v>
      </c>
      <c r="J223" s="55">
        <v>91411</v>
      </c>
      <c r="K223" s="55" t="s">
        <v>362</v>
      </c>
      <c r="L223" s="53" t="s">
        <v>2035</v>
      </c>
      <c r="M223" s="55" t="s">
        <v>75</v>
      </c>
      <c r="N223" s="52">
        <v>15647000</v>
      </c>
      <c r="O223" s="52">
        <v>188824240720</v>
      </c>
      <c r="P223" s="52">
        <v>176849591619.98999</v>
      </c>
      <c r="Q223" s="57">
        <v>44972</v>
      </c>
      <c r="R223" s="57">
        <v>49551</v>
      </c>
      <c r="S223" s="56">
        <v>8</v>
      </c>
      <c r="T223" s="54">
        <v>10</v>
      </c>
      <c r="U223" s="52">
        <v>190879317700</v>
      </c>
      <c r="V223" s="52">
        <v>190879317700</v>
      </c>
      <c r="W223" s="52">
        <v>0</v>
      </c>
      <c r="X223" s="57"/>
      <c r="Y223" s="52">
        <v>0</v>
      </c>
      <c r="Z223" s="52">
        <v>0</v>
      </c>
      <c r="AA223" s="52">
        <v>1</v>
      </c>
      <c r="AB223" s="52">
        <v>0</v>
      </c>
      <c r="AC223" s="52">
        <v>11566125664.280001</v>
      </c>
      <c r="AD223" s="52">
        <v>9245880388.5400009</v>
      </c>
      <c r="AE223" s="52">
        <v>0</v>
      </c>
      <c r="AF223" s="52">
        <v>2320245275.7399998</v>
      </c>
      <c r="AG223" s="52">
        <v>0</v>
      </c>
      <c r="AH223" s="52">
        <v>0</v>
      </c>
      <c r="AI223" s="52">
        <v>0</v>
      </c>
      <c r="AJ223" s="52">
        <v>2</v>
      </c>
      <c r="AK223" s="52"/>
      <c r="AL223" s="52">
        <v>0</v>
      </c>
      <c r="AM223" s="52">
        <v>0</v>
      </c>
      <c r="AN223" s="52">
        <v>212549223528</v>
      </c>
      <c r="AO223" s="52">
        <v>0</v>
      </c>
      <c r="AP223" s="52">
        <v>0</v>
      </c>
      <c r="AQ223" s="58">
        <v>0</v>
      </c>
      <c r="AR223" s="58">
        <v>0</v>
      </c>
      <c r="AS223" s="58">
        <v>0</v>
      </c>
      <c r="AT223" s="58">
        <v>0</v>
      </c>
      <c r="AU223" s="58">
        <v>123</v>
      </c>
      <c r="AV223" s="58">
        <v>143142459.29999995</v>
      </c>
      <c r="AW223" s="58">
        <v>22</v>
      </c>
      <c r="AX223" s="58">
        <v>2512310.7000000002</v>
      </c>
    </row>
    <row r="224" spans="1:50" x14ac:dyDescent="0.25">
      <c r="A224" s="52">
        <f t="shared" si="20"/>
        <v>219</v>
      </c>
      <c r="B224" s="60" t="str">
        <f t="shared" si="19"/>
        <v>00475119493</v>
      </c>
      <c r="C224" s="67" t="s">
        <v>28</v>
      </c>
      <c r="D224" s="59" t="s">
        <v>2058</v>
      </c>
      <c r="E224" s="55" t="str">
        <f t="shared" si="18"/>
        <v>00475</v>
      </c>
      <c r="F224" s="53" t="s">
        <v>2071</v>
      </c>
      <c r="G224" s="55" t="s">
        <v>16</v>
      </c>
      <c r="H224" s="60" t="s">
        <v>2411</v>
      </c>
      <c r="I224" s="55">
        <v>307878302</v>
      </c>
      <c r="J224" s="55">
        <v>119493</v>
      </c>
      <c r="K224" s="55" t="s">
        <v>363</v>
      </c>
      <c r="L224" s="53" t="s">
        <v>2035</v>
      </c>
      <c r="M224" s="55" t="s">
        <v>91</v>
      </c>
      <c r="N224" s="52">
        <v>157890195.19000253</v>
      </c>
      <c r="O224" s="52">
        <v>267628617552.91</v>
      </c>
      <c r="P224" s="52">
        <v>267331783985.95001</v>
      </c>
      <c r="Q224" s="57">
        <v>45366</v>
      </c>
      <c r="R224" s="57">
        <v>46086</v>
      </c>
      <c r="S224" s="56">
        <v>6.45</v>
      </c>
      <c r="T224" s="54">
        <v>9</v>
      </c>
      <c r="U224" s="52">
        <v>174951000438.57001</v>
      </c>
      <c r="V224" s="52">
        <v>174951000438.57001</v>
      </c>
      <c r="W224" s="52">
        <v>0</v>
      </c>
      <c r="X224" s="57"/>
      <c r="Y224" s="52">
        <v>0</v>
      </c>
      <c r="Z224" s="52">
        <v>0</v>
      </c>
      <c r="AA224" s="52">
        <v>1</v>
      </c>
      <c r="AB224" s="52">
        <v>0</v>
      </c>
      <c r="AC224" s="52">
        <v>834731974.76999998</v>
      </c>
      <c r="AD224" s="52">
        <v>834731974.76999998</v>
      </c>
      <c r="AE224" s="52">
        <v>0</v>
      </c>
      <c r="AF224" s="52">
        <v>0</v>
      </c>
      <c r="AG224" s="52">
        <v>0</v>
      </c>
      <c r="AH224" s="52">
        <v>0</v>
      </c>
      <c r="AI224" s="52">
        <v>0</v>
      </c>
      <c r="AJ224" s="52">
        <v>2</v>
      </c>
      <c r="AK224" s="52"/>
      <c r="AL224" s="52">
        <v>0</v>
      </c>
      <c r="AM224" s="52">
        <v>0</v>
      </c>
      <c r="AN224" s="52">
        <v>32079814078314</v>
      </c>
      <c r="AO224" s="52">
        <v>60821719540926</v>
      </c>
      <c r="AP224" s="52">
        <v>0</v>
      </c>
      <c r="AQ224" s="58">
        <v>0</v>
      </c>
      <c r="AR224" s="58">
        <v>0</v>
      </c>
      <c r="AS224" s="58">
        <v>0</v>
      </c>
      <c r="AT224" s="58">
        <v>0</v>
      </c>
      <c r="AU224" s="58">
        <v>29</v>
      </c>
      <c r="AV224" s="58">
        <v>46136918.260000005</v>
      </c>
      <c r="AW224" s="58">
        <v>33</v>
      </c>
      <c r="AX224" s="58">
        <v>4749540486.3299999</v>
      </c>
    </row>
    <row r="225" spans="1:50" x14ac:dyDescent="0.25">
      <c r="A225" s="52">
        <f t="shared" si="20"/>
        <v>220</v>
      </c>
      <c r="B225" s="60" t="str">
        <f t="shared" si="19"/>
        <v>0047591422</v>
      </c>
      <c r="C225" s="67" t="s">
        <v>28</v>
      </c>
      <c r="D225" s="59" t="s">
        <v>2058</v>
      </c>
      <c r="E225" s="55" t="str">
        <f t="shared" si="18"/>
        <v>00475</v>
      </c>
      <c r="F225" s="53" t="s">
        <v>2071</v>
      </c>
      <c r="G225" s="55" t="s">
        <v>16</v>
      </c>
      <c r="H225" s="60" t="s">
        <v>2412</v>
      </c>
      <c r="I225" s="55">
        <v>306223896</v>
      </c>
      <c r="J225" s="55">
        <v>91422</v>
      </c>
      <c r="K225" s="55" t="s">
        <v>364</v>
      </c>
      <c r="L225" s="53" t="s">
        <v>2035</v>
      </c>
      <c r="M225" s="55" t="s">
        <v>75</v>
      </c>
      <c r="N225" s="52">
        <v>11000000</v>
      </c>
      <c r="O225" s="52">
        <v>132745360000</v>
      </c>
      <c r="P225" s="52">
        <v>124348061198.28999</v>
      </c>
      <c r="Q225" s="57">
        <v>44972</v>
      </c>
      <c r="R225" s="57">
        <v>49551</v>
      </c>
      <c r="S225" s="56">
        <v>8</v>
      </c>
      <c r="T225" s="54">
        <v>14</v>
      </c>
      <c r="U225" s="52">
        <v>134190100000</v>
      </c>
      <c r="V225" s="52">
        <v>134190100000</v>
      </c>
      <c r="W225" s="52">
        <v>0</v>
      </c>
      <c r="X225" s="57"/>
      <c r="Y225" s="52">
        <v>0</v>
      </c>
      <c r="Z225" s="52">
        <v>0</v>
      </c>
      <c r="AA225" s="52">
        <v>1</v>
      </c>
      <c r="AB225" s="52">
        <v>0</v>
      </c>
      <c r="AC225" s="52">
        <v>8347480352.8400002</v>
      </c>
      <c r="AD225" s="52">
        <v>6499947884.2700005</v>
      </c>
      <c r="AE225" s="52">
        <v>0</v>
      </c>
      <c r="AF225" s="52">
        <v>1847532468.5699999</v>
      </c>
      <c r="AG225" s="52">
        <v>0</v>
      </c>
      <c r="AH225" s="52">
        <v>0</v>
      </c>
      <c r="AI225" s="52">
        <v>0</v>
      </c>
      <c r="AJ225" s="52">
        <v>2</v>
      </c>
      <c r="AK225" s="52"/>
      <c r="AL225" s="52">
        <v>0</v>
      </c>
      <c r="AM225" s="52">
        <v>0</v>
      </c>
      <c r="AN225" s="52">
        <v>306810942353</v>
      </c>
      <c r="AO225" s="52">
        <v>0</v>
      </c>
      <c r="AP225" s="52">
        <v>0</v>
      </c>
      <c r="AQ225" s="58">
        <v>0</v>
      </c>
      <c r="AR225" s="58">
        <v>0</v>
      </c>
      <c r="AS225" s="58">
        <v>0</v>
      </c>
      <c r="AT225" s="58">
        <v>0</v>
      </c>
      <c r="AU225" s="58">
        <v>123</v>
      </c>
      <c r="AV225" s="58">
        <v>143142459.29999995</v>
      </c>
      <c r="AW225" s="58">
        <v>22</v>
      </c>
      <c r="AX225" s="58">
        <v>2512310.7000000002</v>
      </c>
    </row>
    <row r="226" spans="1:50" x14ac:dyDescent="0.25">
      <c r="A226" s="52">
        <f t="shared" si="20"/>
        <v>221</v>
      </c>
      <c r="B226" s="60" t="str">
        <f t="shared" si="19"/>
        <v>0047591407</v>
      </c>
      <c r="C226" s="67" t="s">
        <v>28</v>
      </c>
      <c r="D226" s="59" t="s">
        <v>2058</v>
      </c>
      <c r="E226" s="55" t="str">
        <f t="shared" si="18"/>
        <v>00475</v>
      </c>
      <c r="F226" s="53" t="s">
        <v>2071</v>
      </c>
      <c r="G226" s="55" t="s">
        <v>16</v>
      </c>
      <c r="H226" s="60" t="s">
        <v>2412</v>
      </c>
      <c r="I226" s="55">
        <v>306223896</v>
      </c>
      <c r="J226" s="55">
        <v>91407</v>
      </c>
      <c r="K226" s="55" t="s">
        <v>365</v>
      </c>
      <c r="L226" s="53" t="s">
        <v>2035</v>
      </c>
      <c r="M226" s="55" t="s">
        <v>75</v>
      </c>
      <c r="N226" s="52">
        <v>16650000</v>
      </c>
      <c r="O226" s="52">
        <v>200928204000</v>
      </c>
      <c r="P226" s="52">
        <v>130333561659.03999</v>
      </c>
      <c r="Q226" s="57">
        <v>44972</v>
      </c>
      <c r="R226" s="57">
        <v>49551</v>
      </c>
      <c r="S226" s="56">
        <v>8</v>
      </c>
      <c r="T226" s="54">
        <v>0</v>
      </c>
      <c r="U226" s="52">
        <v>131835188785.78</v>
      </c>
      <c r="V226" s="52">
        <v>131835188785.78</v>
      </c>
      <c r="W226" s="52">
        <v>0</v>
      </c>
      <c r="X226" s="57"/>
      <c r="Y226" s="52">
        <v>0</v>
      </c>
      <c r="Z226" s="52">
        <v>0</v>
      </c>
      <c r="AA226" s="52">
        <v>1</v>
      </c>
      <c r="AB226" s="52">
        <v>0</v>
      </c>
      <c r="AC226" s="52">
        <v>9555618099.3500004</v>
      </c>
      <c r="AD226" s="52">
        <v>6385879833.75</v>
      </c>
      <c r="AE226" s="52">
        <v>0</v>
      </c>
      <c r="AF226" s="52">
        <v>3169738265.5999999</v>
      </c>
      <c r="AG226" s="52">
        <v>0</v>
      </c>
      <c r="AH226" s="52">
        <v>0</v>
      </c>
      <c r="AI226" s="52">
        <v>0</v>
      </c>
      <c r="AJ226" s="52">
        <v>2</v>
      </c>
      <c r="AK226" s="52"/>
      <c r="AL226" s="52">
        <v>0</v>
      </c>
      <c r="AM226" s="52">
        <v>0</v>
      </c>
      <c r="AN226" s="52">
        <v>165024357953868</v>
      </c>
      <c r="AO226" s="52">
        <v>0</v>
      </c>
      <c r="AP226" s="52">
        <v>0</v>
      </c>
      <c r="AQ226" s="58">
        <v>0</v>
      </c>
      <c r="AR226" s="58">
        <v>0</v>
      </c>
      <c r="AS226" s="58">
        <v>0</v>
      </c>
      <c r="AT226" s="58">
        <v>0</v>
      </c>
      <c r="AU226" s="58">
        <v>123</v>
      </c>
      <c r="AV226" s="58">
        <v>143142459.29999995</v>
      </c>
      <c r="AW226" s="58">
        <v>22</v>
      </c>
      <c r="AX226" s="58">
        <v>2512310.7000000002</v>
      </c>
    </row>
    <row r="227" spans="1:50" x14ac:dyDescent="0.25">
      <c r="A227" s="52">
        <f t="shared" si="20"/>
        <v>222</v>
      </c>
      <c r="B227" s="60" t="str">
        <f t="shared" si="19"/>
        <v>0047562377</v>
      </c>
      <c r="C227" s="67" t="s">
        <v>28</v>
      </c>
      <c r="D227" s="59" t="s">
        <v>2058</v>
      </c>
      <c r="E227" s="55" t="str">
        <f t="shared" si="18"/>
        <v>00475</v>
      </c>
      <c r="F227" s="53" t="s">
        <v>2071</v>
      </c>
      <c r="G227" s="55" t="s">
        <v>16</v>
      </c>
      <c r="H227" s="60" t="s">
        <v>366</v>
      </c>
      <c r="I227" s="55">
        <v>306651665</v>
      </c>
      <c r="J227" s="55">
        <v>62377</v>
      </c>
      <c r="K227" s="55" t="s">
        <v>367</v>
      </c>
      <c r="L227" s="53" t="s">
        <v>2035</v>
      </c>
      <c r="M227" s="55" t="s">
        <v>75</v>
      </c>
      <c r="N227" s="52">
        <v>10000000</v>
      </c>
      <c r="O227" s="52">
        <v>120677600000</v>
      </c>
      <c r="P227" s="52">
        <v>120601500000</v>
      </c>
      <c r="Q227" s="57">
        <v>44629</v>
      </c>
      <c r="R227" s="57">
        <v>47184</v>
      </c>
      <c r="S227" s="56">
        <v>8</v>
      </c>
      <c r="T227" s="54">
        <v>36</v>
      </c>
      <c r="U227" s="52">
        <v>121990345396.28999</v>
      </c>
      <c r="V227" s="52">
        <v>121990345396.28999</v>
      </c>
      <c r="W227" s="52">
        <v>0</v>
      </c>
      <c r="X227" s="57"/>
      <c r="Y227" s="52">
        <v>0</v>
      </c>
      <c r="Z227" s="52">
        <v>0</v>
      </c>
      <c r="AA227" s="52">
        <v>1</v>
      </c>
      <c r="AB227" s="52">
        <v>0</v>
      </c>
      <c r="AC227" s="52">
        <v>1947103962.5899999</v>
      </c>
      <c r="AD227" s="52">
        <v>1947103962.5899999</v>
      </c>
      <c r="AE227" s="52">
        <v>0</v>
      </c>
      <c r="AF227" s="52">
        <v>0</v>
      </c>
      <c r="AG227" s="52">
        <v>0</v>
      </c>
      <c r="AH227" s="52">
        <v>0</v>
      </c>
      <c r="AI227" s="52">
        <v>0</v>
      </c>
      <c r="AJ227" s="52">
        <v>2</v>
      </c>
      <c r="AK227" s="52"/>
      <c r="AL227" s="52">
        <v>27083719744</v>
      </c>
      <c r="AM227" s="52">
        <v>0</v>
      </c>
      <c r="AN227" s="52">
        <v>63797014000</v>
      </c>
      <c r="AO227" s="52">
        <v>1640126343</v>
      </c>
      <c r="AP227" s="52">
        <v>0</v>
      </c>
      <c r="AQ227" s="58">
        <v>0</v>
      </c>
      <c r="AR227" s="58">
        <v>0</v>
      </c>
      <c r="AS227" s="58">
        <v>0</v>
      </c>
      <c r="AT227" s="58">
        <v>0</v>
      </c>
      <c r="AU227" s="58">
        <v>0</v>
      </c>
      <c r="AV227" s="58">
        <v>0</v>
      </c>
      <c r="AW227" s="58">
        <v>16</v>
      </c>
      <c r="AX227" s="58">
        <v>1205795.1000000001</v>
      </c>
    </row>
    <row r="228" spans="1:50" x14ac:dyDescent="0.25">
      <c r="A228" s="52">
        <f t="shared" si="20"/>
        <v>223</v>
      </c>
      <c r="B228" s="60" t="str">
        <f t="shared" si="19"/>
        <v>0047591404</v>
      </c>
      <c r="C228" s="67" t="s">
        <v>28</v>
      </c>
      <c r="D228" s="59" t="s">
        <v>2058</v>
      </c>
      <c r="E228" s="55" t="str">
        <f t="shared" si="18"/>
        <v>00475</v>
      </c>
      <c r="F228" s="53" t="s">
        <v>2071</v>
      </c>
      <c r="G228" s="55" t="s">
        <v>16</v>
      </c>
      <c r="H228" s="60" t="s">
        <v>2413</v>
      </c>
      <c r="I228" s="55">
        <v>307975435</v>
      </c>
      <c r="J228" s="55">
        <v>91404</v>
      </c>
      <c r="K228" s="55" t="s">
        <v>368</v>
      </c>
      <c r="L228" s="53" t="s">
        <v>2035</v>
      </c>
      <c r="M228" s="55" t="s">
        <v>75</v>
      </c>
      <c r="N228" s="52">
        <v>8250000</v>
      </c>
      <c r="O228" s="52">
        <v>99559020000</v>
      </c>
      <c r="P228" s="52">
        <v>99496237500</v>
      </c>
      <c r="Q228" s="57">
        <v>44972</v>
      </c>
      <c r="R228" s="57">
        <v>49551</v>
      </c>
      <c r="S228" s="56">
        <v>8</v>
      </c>
      <c r="T228" s="54">
        <v>0</v>
      </c>
      <c r="U228" s="52">
        <v>97568401800</v>
      </c>
      <c r="V228" s="52">
        <v>97568401800</v>
      </c>
      <c r="W228" s="52">
        <v>0</v>
      </c>
      <c r="X228" s="57"/>
      <c r="Y228" s="52">
        <v>0</v>
      </c>
      <c r="Z228" s="52">
        <v>0</v>
      </c>
      <c r="AA228" s="52">
        <v>1</v>
      </c>
      <c r="AB228" s="52">
        <v>0</v>
      </c>
      <c r="AC228" s="52">
        <v>12571415312.09</v>
      </c>
      <c r="AD228" s="52">
        <v>4726052965.0299997</v>
      </c>
      <c r="AE228" s="52">
        <v>0</v>
      </c>
      <c r="AF228" s="52">
        <v>7845362347.0600004</v>
      </c>
      <c r="AG228" s="52">
        <v>0</v>
      </c>
      <c r="AH228" s="52">
        <v>0</v>
      </c>
      <c r="AI228" s="52">
        <v>0</v>
      </c>
      <c r="AJ228" s="52">
        <v>2</v>
      </c>
      <c r="AK228" s="52"/>
      <c r="AL228" s="52">
        <v>0</v>
      </c>
      <c r="AM228" s="52">
        <v>0</v>
      </c>
      <c r="AN228" s="52">
        <v>119395485000</v>
      </c>
      <c r="AO228" s="52">
        <v>2936047523514</v>
      </c>
      <c r="AP228" s="52">
        <v>0</v>
      </c>
      <c r="AQ228" s="58">
        <v>0</v>
      </c>
      <c r="AR228" s="58">
        <v>0</v>
      </c>
      <c r="AS228" s="58">
        <v>0</v>
      </c>
      <c r="AT228" s="58">
        <v>0</v>
      </c>
      <c r="AU228" s="58">
        <v>11</v>
      </c>
      <c r="AV228" s="58">
        <v>11450000</v>
      </c>
      <c r="AW228" s="58">
        <v>0</v>
      </c>
      <c r="AX228" s="58">
        <v>0</v>
      </c>
    </row>
    <row r="229" spans="1:50" x14ac:dyDescent="0.25">
      <c r="A229" s="52">
        <f t="shared" si="20"/>
        <v>224</v>
      </c>
      <c r="B229" s="60" t="str">
        <f t="shared" si="19"/>
        <v>0047591423</v>
      </c>
      <c r="C229" s="67" t="s">
        <v>28</v>
      </c>
      <c r="D229" s="59" t="s">
        <v>2058</v>
      </c>
      <c r="E229" s="55" t="str">
        <f t="shared" si="18"/>
        <v>00475</v>
      </c>
      <c r="F229" s="53" t="s">
        <v>2071</v>
      </c>
      <c r="G229" s="55" t="s">
        <v>16</v>
      </c>
      <c r="H229" s="60" t="s">
        <v>2412</v>
      </c>
      <c r="I229" s="55">
        <v>306223896</v>
      </c>
      <c r="J229" s="55">
        <v>91423</v>
      </c>
      <c r="K229" s="55" t="s">
        <v>369</v>
      </c>
      <c r="L229" s="53" t="s">
        <v>2035</v>
      </c>
      <c r="M229" s="55" t="s">
        <v>75</v>
      </c>
      <c r="N229" s="52">
        <v>4250000</v>
      </c>
      <c r="O229" s="52">
        <v>51287980000</v>
      </c>
      <c r="P229" s="52">
        <v>48760245782.440002</v>
      </c>
      <c r="Q229" s="57">
        <v>44973</v>
      </c>
      <c r="R229" s="57">
        <v>49551</v>
      </c>
      <c r="S229" s="56">
        <v>11.5</v>
      </c>
      <c r="T229" s="54">
        <v>19</v>
      </c>
      <c r="U229" s="52">
        <v>51846175000</v>
      </c>
      <c r="V229" s="52">
        <v>51846175000</v>
      </c>
      <c r="W229" s="52">
        <v>0</v>
      </c>
      <c r="X229" s="57"/>
      <c r="Y229" s="52">
        <v>0</v>
      </c>
      <c r="Z229" s="52">
        <v>0</v>
      </c>
      <c r="AA229" s="52">
        <v>1</v>
      </c>
      <c r="AB229" s="52">
        <v>0</v>
      </c>
      <c r="AC229" s="52">
        <v>3453597415.6199999</v>
      </c>
      <c r="AD229" s="52">
        <v>3453597415.6199999</v>
      </c>
      <c r="AE229" s="52">
        <v>0</v>
      </c>
      <c r="AF229" s="52">
        <v>0</v>
      </c>
      <c r="AG229" s="52">
        <v>0</v>
      </c>
      <c r="AH229" s="52">
        <v>0</v>
      </c>
      <c r="AI229" s="52">
        <v>0</v>
      </c>
      <c r="AJ229" s="52">
        <v>2</v>
      </c>
      <c r="AK229" s="52"/>
      <c r="AL229" s="52">
        <v>0</v>
      </c>
      <c r="AM229" s="52">
        <v>0</v>
      </c>
      <c r="AN229" s="52">
        <v>70306509000</v>
      </c>
      <c r="AO229" s="52">
        <v>0</v>
      </c>
      <c r="AP229" s="52">
        <v>0</v>
      </c>
      <c r="AQ229" s="58">
        <v>0</v>
      </c>
      <c r="AR229" s="58">
        <v>0</v>
      </c>
      <c r="AS229" s="58">
        <v>0</v>
      </c>
      <c r="AT229" s="58">
        <v>0</v>
      </c>
      <c r="AU229" s="58">
        <v>123</v>
      </c>
      <c r="AV229" s="58">
        <v>143142459.29999995</v>
      </c>
      <c r="AW229" s="58">
        <v>22</v>
      </c>
      <c r="AX229" s="58">
        <v>2512310.7000000002</v>
      </c>
    </row>
    <row r="230" spans="1:50" x14ac:dyDescent="0.25">
      <c r="A230" s="52">
        <f t="shared" si="20"/>
        <v>225</v>
      </c>
      <c r="B230" s="60" t="str">
        <f t="shared" si="19"/>
        <v>00475178273</v>
      </c>
      <c r="C230" s="67" t="s">
        <v>28</v>
      </c>
      <c r="D230" s="59" t="s">
        <v>2058</v>
      </c>
      <c r="E230" s="55" t="str">
        <f t="shared" si="18"/>
        <v>00475</v>
      </c>
      <c r="F230" s="53" t="s">
        <v>2071</v>
      </c>
      <c r="G230" s="55" t="s">
        <v>16</v>
      </c>
      <c r="H230" s="60" t="s">
        <v>370</v>
      </c>
      <c r="I230" s="55">
        <v>309586997</v>
      </c>
      <c r="J230" s="55">
        <v>178273</v>
      </c>
      <c r="K230" s="55" t="s">
        <v>371</v>
      </c>
      <c r="L230" s="53" t="s">
        <v>2035</v>
      </c>
      <c r="M230" s="55" t="s">
        <v>49</v>
      </c>
      <c r="N230" s="52">
        <v>68332433000</v>
      </c>
      <c r="O230" s="52">
        <v>68332433000</v>
      </c>
      <c r="P230" s="52">
        <v>44797461591</v>
      </c>
      <c r="Q230" s="57">
        <v>45861</v>
      </c>
      <c r="R230" s="57">
        <v>46225</v>
      </c>
      <c r="S230" s="56">
        <v>7</v>
      </c>
      <c r="T230" s="54">
        <v>0</v>
      </c>
      <c r="U230" s="52">
        <v>32590208114.68</v>
      </c>
      <c r="V230" s="52">
        <v>32590208114.68</v>
      </c>
      <c r="W230" s="52">
        <v>0</v>
      </c>
      <c r="X230" s="57"/>
      <c r="Y230" s="52">
        <v>0</v>
      </c>
      <c r="Z230" s="52">
        <v>0</v>
      </c>
      <c r="AA230" s="52">
        <v>1</v>
      </c>
      <c r="AB230" s="52">
        <v>0</v>
      </c>
      <c r="AC230" s="52">
        <v>0</v>
      </c>
      <c r="AD230" s="52">
        <v>0</v>
      </c>
      <c r="AE230" s="52">
        <v>0</v>
      </c>
      <c r="AF230" s="52">
        <v>0</v>
      </c>
      <c r="AG230" s="52">
        <v>0</v>
      </c>
      <c r="AH230" s="52">
        <v>0</v>
      </c>
      <c r="AI230" s="52">
        <v>0</v>
      </c>
      <c r="AJ230" s="52">
        <v>2</v>
      </c>
      <c r="AK230" s="52"/>
      <c r="AL230" s="52">
        <v>0</v>
      </c>
      <c r="AM230" s="52">
        <v>0</v>
      </c>
      <c r="AN230" s="61">
        <v>81998919600</v>
      </c>
      <c r="AO230" s="52">
        <v>0</v>
      </c>
      <c r="AP230" s="52">
        <v>0</v>
      </c>
      <c r="AQ230" s="58">
        <v>0</v>
      </c>
      <c r="AR230" s="58">
        <v>0</v>
      </c>
      <c r="AS230" s="58">
        <v>0</v>
      </c>
      <c r="AT230" s="58">
        <v>0</v>
      </c>
      <c r="AU230" s="58">
        <v>0</v>
      </c>
      <c r="AV230" s="58">
        <v>0</v>
      </c>
      <c r="AW230" s="58">
        <v>0</v>
      </c>
      <c r="AX230" s="58">
        <v>0</v>
      </c>
    </row>
    <row r="231" spans="1:50" x14ac:dyDescent="0.25">
      <c r="A231" s="52">
        <f t="shared" si="20"/>
        <v>226</v>
      </c>
      <c r="B231" s="60" t="str">
        <f t="shared" si="19"/>
        <v>00475188678</v>
      </c>
      <c r="C231" s="67" t="s">
        <v>28</v>
      </c>
      <c r="D231" s="59" t="s">
        <v>2058</v>
      </c>
      <c r="E231" s="55" t="str">
        <f t="shared" si="18"/>
        <v>00475</v>
      </c>
      <c r="F231" s="53" t="s">
        <v>2071</v>
      </c>
      <c r="G231" s="55" t="s">
        <v>16</v>
      </c>
      <c r="H231" s="60" t="s">
        <v>372</v>
      </c>
      <c r="I231" s="55">
        <v>310991875</v>
      </c>
      <c r="J231" s="55">
        <v>188678</v>
      </c>
      <c r="K231" s="55" t="s">
        <v>373</v>
      </c>
      <c r="L231" s="53" t="s">
        <v>2035</v>
      </c>
      <c r="M231" s="55" t="s">
        <v>49</v>
      </c>
      <c r="N231" s="52">
        <v>35489000000</v>
      </c>
      <c r="O231" s="52">
        <v>35489000000</v>
      </c>
      <c r="P231" s="52">
        <v>26976137553</v>
      </c>
      <c r="Q231" s="57">
        <v>45917</v>
      </c>
      <c r="R231" s="57">
        <v>46261</v>
      </c>
      <c r="S231" s="56">
        <v>14</v>
      </c>
      <c r="T231" s="54">
        <v>0</v>
      </c>
      <c r="U231" s="52">
        <v>30215416729</v>
      </c>
      <c r="V231" s="52">
        <v>30215416729</v>
      </c>
      <c r="W231" s="52">
        <v>0</v>
      </c>
      <c r="X231" s="57"/>
      <c r="Y231" s="52">
        <v>0</v>
      </c>
      <c r="Z231" s="52">
        <v>0</v>
      </c>
      <c r="AA231" s="52">
        <v>1</v>
      </c>
      <c r="AB231" s="52">
        <v>0</v>
      </c>
      <c r="AC231" s="52">
        <v>710369492.44000006</v>
      </c>
      <c r="AD231" s="52">
        <v>312915822.56999999</v>
      </c>
      <c r="AE231" s="52">
        <v>0</v>
      </c>
      <c r="AF231" s="52">
        <v>0</v>
      </c>
      <c r="AG231" s="52">
        <v>397453669.87</v>
      </c>
      <c r="AH231" s="52">
        <v>0</v>
      </c>
      <c r="AI231" s="52">
        <v>0</v>
      </c>
      <c r="AJ231" s="52">
        <v>2</v>
      </c>
      <c r="AK231" s="52"/>
      <c r="AL231" s="52">
        <v>0</v>
      </c>
      <c r="AM231" s="52">
        <v>0</v>
      </c>
      <c r="AN231" s="61">
        <v>42586800000</v>
      </c>
      <c r="AO231" s="52">
        <v>0</v>
      </c>
      <c r="AP231" s="52">
        <v>0</v>
      </c>
      <c r="AQ231" s="58">
        <v>4</v>
      </c>
      <c r="AR231" s="58">
        <v>918052.31</v>
      </c>
      <c r="AS231" s="58">
        <v>2</v>
      </c>
      <c r="AT231" s="58">
        <v>343450.76</v>
      </c>
      <c r="AU231" s="58">
        <v>0</v>
      </c>
      <c r="AV231" s="58">
        <v>0</v>
      </c>
      <c r="AW231" s="58">
        <v>0</v>
      </c>
      <c r="AX231" s="58">
        <v>0</v>
      </c>
    </row>
    <row r="232" spans="1:50" x14ac:dyDescent="0.25">
      <c r="A232" s="52">
        <f t="shared" si="20"/>
        <v>227</v>
      </c>
      <c r="B232" s="60" t="str">
        <f t="shared" si="19"/>
        <v>00475158010</v>
      </c>
      <c r="C232" s="67" t="s">
        <v>28</v>
      </c>
      <c r="D232" s="59" t="s">
        <v>2058</v>
      </c>
      <c r="E232" s="55" t="str">
        <f t="shared" si="18"/>
        <v>00475</v>
      </c>
      <c r="F232" s="53" t="s">
        <v>2071</v>
      </c>
      <c r="G232" s="55" t="s">
        <v>16</v>
      </c>
      <c r="H232" s="60" t="s">
        <v>2412</v>
      </c>
      <c r="I232" s="55">
        <v>306223896</v>
      </c>
      <c r="J232" s="55">
        <v>158010</v>
      </c>
      <c r="K232" s="55" t="s">
        <v>374</v>
      </c>
      <c r="L232" s="53" t="s">
        <v>2035</v>
      </c>
      <c r="M232" s="55" t="s">
        <v>75</v>
      </c>
      <c r="N232" s="52">
        <v>2400000</v>
      </c>
      <c r="O232" s="52">
        <v>28962624000</v>
      </c>
      <c r="P232" s="52">
        <v>28962624000</v>
      </c>
      <c r="Q232" s="57">
        <v>45742</v>
      </c>
      <c r="R232" s="57">
        <v>46815</v>
      </c>
      <c r="S232" s="56">
        <v>4</v>
      </c>
      <c r="T232" s="54">
        <v>12</v>
      </c>
      <c r="U232" s="52">
        <v>28557049954.959999</v>
      </c>
      <c r="V232" s="52">
        <v>28557049954.959999</v>
      </c>
      <c r="W232" s="52">
        <v>0</v>
      </c>
      <c r="X232" s="57"/>
      <c r="Y232" s="52">
        <v>0</v>
      </c>
      <c r="Z232" s="52">
        <v>0</v>
      </c>
      <c r="AA232" s="52">
        <v>1</v>
      </c>
      <c r="AB232" s="52">
        <v>0</v>
      </c>
      <c r="AC232" s="52">
        <v>162736115.99000001</v>
      </c>
      <c r="AD232" s="52">
        <v>84497554.109999999</v>
      </c>
      <c r="AE232" s="52">
        <v>0</v>
      </c>
      <c r="AF232" s="52">
        <v>0</v>
      </c>
      <c r="AG232" s="52">
        <v>78238561.879999995</v>
      </c>
      <c r="AH232" s="52">
        <v>0</v>
      </c>
      <c r="AI232" s="52">
        <v>0</v>
      </c>
      <c r="AJ232" s="52">
        <v>2</v>
      </c>
      <c r="AK232" s="52"/>
      <c r="AL232" s="52">
        <v>0</v>
      </c>
      <c r="AM232" s="52">
        <v>0</v>
      </c>
      <c r="AN232" s="52">
        <v>37189987200</v>
      </c>
      <c r="AO232" s="52">
        <v>0</v>
      </c>
      <c r="AP232" s="52">
        <v>0</v>
      </c>
      <c r="AQ232" s="58">
        <v>0</v>
      </c>
      <c r="AR232" s="58">
        <v>0</v>
      </c>
      <c r="AS232" s="58">
        <v>0</v>
      </c>
      <c r="AT232" s="58">
        <v>0</v>
      </c>
      <c r="AU232" s="58">
        <v>123</v>
      </c>
      <c r="AV232" s="58">
        <v>143142459.29999995</v>
      </c>
      <c r="AW232" s="58">
        <v>22</v>
      </c>
      <c r="AX232" s="58">
        <v>2512310.7000000002</v>
      </c>
    </row>
    <row r="233" spans="1:50" x14ac:dyDescent="0.25">
      <c r="A233" s="52">
        <f t="shared" si="20"/>
        <v>228</v>
      </c>
      <c r="B233" s="60" t="str">
        <f t="shared" si="19"/>
        <v>0047591412</v>
      </c>
      <c r="C233" s="67" t="s">
        <v>28</v>
      </c>
      <c r="D233" s="59" t="s">
        <v>2058</v>
      </c>
      <c r="E233" s="55" t="str">
        <f t="shared" si="18"/>
        <v>00475</v>
      </c>
      <c r="F233" s="53" t="s">
        <v>2071</v>
      </c>
      <c r="G233" s="55" t="s">
        <v>16</v>
      </c>
      <c r="H233" s="60" t="s">
        <v>2412</v>
      </c>
      <c r="I233" s="55">
        <v>306223896</v>
      </c>
      <c r="J233" s="55">
        <v>91412</v>
      </c>
      <c r="K233" s="55" t="s">
        <v>375</v>
      </c>
      <c r="L233" s="53" t="s">
        <v>2035</v>
      </c>
      <c r="M233" s="55" t="s">
        <v>75</v>
      </c>
      <c r="N233" s="52">
        <v>1878000</v>
      </c>
      <c r="O233" s="52">
        <v>22663253280</v>
      </c>
      <c r="P233" s="52">
        <v>21226019880</v>
      </c>
      <c r="Q233" s="57">
        <v>44973</v>
      </c>
      <c r="R233" s="57">
        <v>49551</v>
      </c>
      <c r="S233" s="56">
        <v>8</v>
      </c>
      <c r="T233" s="54">
        <v>10</v>
      </c>
      <c r="U233" s="52">
        <v>22909909800</v>
      </c>
      <c r="V233" s="52">
        <v>22909909800</v>
      </c>
      <c r="W233" s="52">
        <v>0</v>
      </c>
      <c r="X233" s="57"/>
      <c r="Y233" s="52">
        <v>0</v>
      </c>
      <c r="Z233" s="52">
        <v>0</v>
      </c>
      <c r="AA233" s="52">
        <v>1</v>
      </c>
      <c r="AB233" s="52">
        <v>0</v>
      </c>
      <c r="AC233" s="52">
        <v>1424397169.77</v>
      </c>
      <c r="AD233" s="52">
        <v>1109718335.49</v>
      </c>
      <c r="AE233" s="52">
        <v>0</v>
      </c>
      <c r="AF233" s="52">
        <v>314678834.27999997</v>
      </c>
      <c r="AG233" s="52">
        <v>0</v>
      </c>
      <c r="AH233" s="52">
        <v>0</v>
      </c>
      <c r="AI233" s="52">
        <v>0</v>
      </c>
      <c r="AJ233" s="52">
        <v>2</v>
      </c>
      <c r="AK233" s="52"/>
      <c r="AL233" s="52">
        <v>0</v>
      </c>
      <c r="AM233" s="52">
        <v>0</v>
      </c>
      <c r="AN233" s="52">
        <v>31067205624</v>
      </c>
      <c r="AO233" s="52">
        <v>0</v>
      </c>
      <c r="AP233" s="52">
        <v>0</v>
      </c>
      <c r="AQ233" s="58">
        <v>0</v>
      </c>
      <c r="AR233" s="58">
        <v>0</v>
      </c>
      <c r="AS233" s="58">
        <v>0</v>
      </c>
      <c r="AT233" s="58">
        <v>0</v>
      </c>
      <c r="AU233" s="58">
        <v>123</v>
      </c>
      <c r="AV233" s="58">
        <v>143142459.29999995</v>
      </c>
      <c r="AW233" s="58">
        <v>22</v>
      </c>
      <c r="AX233" s="58">
        <v>2512310.7000000002</v>
      </c>
    </row>
    <row r="234" spans="1:50" x14ac:dyDescent="0.25">
      <c r="A234" s="52">
        <f t="shared" si="20"/>
        <v>229</v>
      </c>
      <c r="B234" s="60" t="str">
        <f t="shared" si="19"/>
        <v>00475158199</v>
      </c>
      <c r="C234" s="67" t="s">
        <v>28</v>
      </c>
      <c r="D234" s="59" t="s">
        <v>2058</v>
      </c>
      <c r="E234" s="55" t="str">
        <f t="shared" si="18"/>
        <v>00475</v>
      </c>
      <c r="F234" s="53" t="s">
        <v>2071</v>
      </c>
      <c r="G234" s="55" t="s">
        <v>16</v>
      </c>
      <c r="H234" s="60" t="s">
        <v>366</v>
      </c>
      <c r="I234" s="55">
        <v>306651665</v>
      </c>
      <c r="J234" s="55">
        <v>158199</v>
      </c>
      <c r="K234" s="55" t="s">
        <v>376</v>
      </c>
      <c r="L234" s="53" t="s">
        <v>2035</v>
      </c>
      <c r="M234" s="55" t="s">
        <v>75</v>
      </c>
      <c r="N234" s="52">
        <v>700000</v>
      </c>
      <c r="O234" s="52">
        <v>8447432000</v>
      </c>
      <c r="P234" s="52">
        <v>6212797939.6000004</v>
      </c>
      <c r="Q234" s="57">
        <v>45743</v>
      </c>
      <c r="R234" s="57">
        <v>46815</v>
      </c>
      <c r="S234" s="56">
        <v>4</v>
      </c>
      <c r="T234" s="54">
        <v>12</v>
      </c>
      <c r="U234" s="52">
        <v>8538603896.5200005</v>
      </c>
      <c r="V234" s="52">
        <v>8538603896.5200005</v>
      </c>
      <c r="W234" s="52">
        <v>0</v>
      </c>
      <c r="X234" s="57"/>
      <c r="Y234" s="52">
        <v>0</v>
      </c>
      <c r="Z234" s="52">
        <v>0</v>
      </c>
      <c r="AA234" s="52">
        <v>1</v>
      </c>
      <c r="AB234" s="52">
        <v>0</v>
      </c>
      <c r="AC234" s="52">
        <v>58209835.519999996</v>
      </c>
      <c r="AD234" s="52">
        <v>25264946.059999999</v>
      </c>
      <c r="AE234" s="52">
        <v>0</v>
      </c>
      <c r="AF234" s="52">
        <v>0</v>
      </c>
      <c r="AG234" s="52">
        <v>32944889.460000001</v>
      </c>
      <c r="AH234" s="52">
        <v>0</v>
      </c>
      <c r="AI234" s="52">
        <v>0</v>
      </c>
      <c r="AJ234" s="52">
        <v>2</v>
      </c>
      <c r="AK234" s="52"/>
      <c r="AL234" s="52">
        <v>27083719744</v>
      </c>
      <c r="AM234" s="52">
        <v>2356842606</v>
      </c>
      <c r="AN234" s="52">
        <v>10841418000</v>
      </c>
      <c r="AO234" s="52">
        <v>1640126343</v>
      </c>
      <c r="AP234" s="52">
        <v>0</v>
      </c>
      <c r="AQ234" s="58">
        <v>0</v>
      </c>
      <c r="AR234" s="58">
        <v>0</v>
      </c>
      <c r="AS234" s="58">
        <v>0</v>
      </c>
      <c r="AT234" s="58">
        <v>0</v>
      </c>
      <c r="AU234" s="58">
        <v>0</v>
      </c>
      <c r="AV234" s="58">
        <v>0</v>
      </c>
      <c r="AW234" s="58">
        <v>16</v>
      </c>
      <c r="AX234" s="58">
        <v>1205795.1000000001</v>
      </c>
    </row>
    <row r="235" spans="1:50" x14ac:dyDescent="0.25">
      <c r="A235" s="52">
        <f t="shared" si="20"/>
        <v>230</v>
      </c>
      <c r="B235" s="60" t="str">
        <f t="shared" si="19"/>
        <v>00475166094</v>
      </c>
      <c r="C235" s="67" t="s">
        <v>28</v>
      </c>
      <c r="D235" s="59" t="s">
        <v>2058</v>
      </c>
      <c r="E235" s="55" t="str">
        <f t="shared" si="18"/>
        <v>00475</v>
      </c>
      <c r="F235" s="53" t="s">
        <v>2071</v>
      </c>
      <c r="G235" s="55" t="s">
        <v>16</v>
      </c>
      <c r="H235" s="60" t="s">
        <v>2414</v>
      </c>
      <c r="I235" s="55">
        <v>305406874</v>
      </c>
      <c r="J235" s="55">
        <v>166094</v>
      </c>
      <c r="K235" s="55" t="s">
        <v>377</v>
      </c>
      <c r="L235" s="53" t="s">
        <v>2035</v>
      </c>
      <c r="M235" s="55" t="s">
        <v>49</v>
      </c>
      <c r="N235" s="52">
        <v>12900000000</v>
      </c>
      <c r="O235" s="52">
        <v>12900000000</v>
      </c>
      <c r="P235" s="52">
        <v>6450000000</v>
      </c>
      <c r="Q235" s="57">
        <v>45796</v>
      </c>
      <c r="R235" s="57">
        <v>47606</v>
      </c>
      <c r="S235" s="56">
        <v>14</v>
      </c>
      <c r="T235" s="54">
        <v>0</v>
      </c>
      <c r="U235" s="52">
        <v>6450000000</v>
      </c>
      <c r="V235" s="52">
        <v>6450000000</v>
      </c>
      <c r="W235" s="52">
        <v>0</v>
      </c>
      <c r="X235" s="57"/>
      <c r="Y235" s="52">
        <v>0</v>
      </c>
      <c r="Z235" s="52">
        <v>0</v>
      </c>
      <c r="AA235" s="52">
        <v>1</v>
      </c>
      <c r="AB235" s="52">
        <v>0</v>
      </c>
      <c r="AC235" s="52">
        <v>42057534.25</v>
      </c>
      <c r="AD235" s="52">
        <v>42057534.25</v>
      </c>
      <c r="AE235" s="52">
        <v>0</v>
      </c>
      <c r="AF235" s="52">
        <v>0</v>
      </c>
      <c r="AG235" s="52">
        <v>0</v>
      </c>
      <c r="AH235" s="52">
        <v>0</v>
      </c>
      <c r="AI235" s="52">
        <v>0</v>
      </c>
      <c r="AJ235" s="52">
        <v>2</v>
      </c>
      <c r="AK235" s="52"/>
      <c r="AL235" s="52">
        <v>0</v>
      </c>
      <c r="AM235" s="52">
        <v>0</v>
      </c>
      <c r="AN235" s="61">
        <v>15480000000</v>
      </c>
      <c r="AO235" s="52">
        <v>0</v>
      </c>
      <c r="AP235" s="52">
        <v>0</v>
      </c>
      <c r="AQ235" s="58">
        <v>5</v>
      </c>
      <c r="AR235" s="58">
        <v>21529.53</v>
      </c>
      <c r="AS235" s="58">
        <v>0</v>
      </c>
      <c r="AT235" s="58">
        <v>0</v>
      </c>
      <c r="AU235" s="58">
        <v>209</v>
      </c>
      <c r="AV235" s="58">
        <v>20768534.98</v>
      </c>
      <c r="AW235" s="58">
        <v>10</v>
      </c>
      <c r="AX235" s="58">
        <v>158673.11000000002</v>
      </c>
    </row>
    <row r="236" spans="1:50" x14ac:dyDescent="0.25">
      <c r="A236" s="52">
        <f t="shared" si="20"/>
        <v>231</v>
      </c>
      <c r="B236" s="60" t="str">
        <f t="shared" si="19"/>
        <v>0047534332</v>
      </c>
      <c r="C236" s="67" t="s">
        <v>28</v>
      </c>
      <c r="D236" s="59" t="s">
        <v>2058</v>
      </c>
      <c r="E236" s="55" t="str">
        <f t="shared" si="18"/>
        <v>00475</v>
      </c>
      <c r="F236" s="53" t="s">
        <v>2071</v>
      </c>
      <c r="G236" s="55" t="s">
        <v>16</v>
      </c>
      <c r="H236" s="60" t="s">
        <v>378</v>
      </c>
      <c r="I236" s="55">
        <v>307386345</v>
      </c>
      <c r="J236" s="55">
        <v>34332</v>
      </c>
      <c r="K236" s="55" t="s">
        <v>379</v>
      </c>
      <c r="L236" s="53" t="s">
        <v>2035</v>
      </c>
      <c r="M236" s="55" t="s">
        <v>49</v>
      </c>
      <c r="N236" s="52">
        <v>5000000000</v>
      </c>
      <c r="O236" s="52">
        <v>5000000000</v>
      </c>
      <c r="P236" s="52">
        <v>5000000000</v>
      </c>
      <c r="Q236" s="57">
        <v>44160</v>
      </c>
      <c r="R236" s="57">
        <v>46122</v>
      </c>
      <c r="S236" s="56">
        <v>0</v>
      </c>
      <c r="T236" s="54">
        <v>0</v>
      </c>
      <c r="U236" s="52">
        <v>4900000000</v>
      </c>
      <c r="V236" s="52">
        <v>4900000000</v>
      </c>
      <c r="W236" s="52">
        <v>0</v>
      </c>
      <c r="X236" s="57"/>
      <c r="Y236" s="52">
        <v>0</v>
      </c>
      <c r="Z236" s="52">
        <v>0</v>
      </c>
      <c r="AA236" s="52">
        <v>1</v>
      </c>
      <c r="AB236" s="52">
        <v>0</v>
      </c>
      <c r="AC236" s="52">
        <v>392304199.51999998</v>
      </c>
      <c r="AD236" s="52">
        <v>0</v>
      </c>
      <c r="AE236" s="52">
        <v>0</v>
      </c>
      <c r="AF236" s="52">
        <v>392304199.51999998</v>
      </c>
      <c r="AG236" s="52">
        <v>0</v>
      </c>
      <c r="AH236" s="52">
        <v>0</v>
      </c>
      <c r="AI236" s="52">
        <v>0</v>
      </c>
      <c r="AJ236" s="52">
        <v>2</v>
      </c>
      <c r="AK236" s="52"/>
      <c r="AL236" s="52">
        <v>0</v>
      </c>
      <c r="AM236" s="52">
        <v>0</v>
      </c>
      <c r="AN236" s="61">
        <v>6000000000</v>
      </c>
      <c r="AO236" s="52">
        <v>0</v>
      </c>
      <c r="AP236" s="52">
        <v>0</v>
      </c>
      <c r="AQ236" s="58">
        <v>0</v>
      </c>
      <c r="AR236" s="58">
        <v>0</v>
      </c>
      <c r="AS236" s="58">
        <v>0</v>
      </c>
      <c r="AT236" s="58">
        <v>0</v>
      </c>
      <c r="AU236" s="58">
        <v>0</v>
      </c>
      <c r="AV236" s="58">
        <v>0</v>
      </c>
      <c r="AW236" s="58">
        <v>0</v>
      </c>
      <c r="AX236" s="58">
        <v>0</v>
      </c>
    </row>
    <row r="237" spans="1:50" x14ac:dyDescent="0.25">
      <c r="A237" s="52">
        <f t="shared" si="20"/>
        <v>232</v>
      </c>
      <c r="B237" s="60" t="str">
        <f t="shared" si="19"/>
        <v>00475158014</v>
      </c>
      <c r="C237" s="67" t="s">
        <v>28</v>
      </c>
      <c r="D237" s="59" t="s">
        <v>2058</v>
      </c>
      <c r="E237" s="55" t="str">
        <f t="shared" si="18"/>
        <v>00475</v>
      </c>
      <c r="F237" s="53" t="s">
        <v>2071</v>
      </c>
      <c r="G237" s="55" t="s">
        <v>16</v>
      </c>
      <c r="H237" s="60" t="s">
        <v>2413</v>
      </c>
      <c r="I237" s="55">
        <v>307975435</v>
      </c>
      <c r="J237" s="55">
        <v>158014</v>
      </c>
      <c r="K237" s="55" t="s">
        <v>380</v>
      </c>
      <c r="L237" s="53" t="s">
        <v>2035</v>
      </c>
      <c r="M237" s="55" t="s">
        <v>75</v>
      </c>
      <c r="N237" s="52">
        <v>370000</v>
      </c>
      <c r="O237" s="52">
        <v>4465071200</v>
      </c>
      <c r="P237" s="52">
        <f>+O237</f>
        <v>4465071200</v>
      </c>
      <c r="Q237" s="57">
        <v>45742</v>
      </c>
      <c r="R237" s="57">
        <v>46815</v>
      </c>
      <c r="S237" s="56">
        <v>4</v>
      </c>
      <c r="T237" s="54">
        <v>12</v>
      </c>
      <c r="U237" s="52">
        <v>4513667000</v>
      </c>
      <c r="V237" s="52">
        <v>4513667000</v>
      </c>
      <c r="W237" s="52">
        <v>0</v>
      </c>
      <c r="X237" s="57"/>
      <c r="Y237" s="52">
        <v>0</v>
      </c>
      <c r="Z237" s="52">
        <v>0</v>
      </c>
      <c r="AA237" s="52">
        <v>1</v>
      </c>
      <c r="AB237" s="52">
        <v>0</v>
      </c>
      <c r="AC237" s="52">
        <v>39077133.049999997</v>
      </c>
      <c r="AD237" s="52">
        <v>13355452.689999999</v>
      </c>
      <c r="AE237" s="52">
        <v>0</v>
      </c>
      <c r="AF237" s="52">
        <v>0</v>
      </c>
      <c r="AG237" s="52">
        <v>25721680.359999999</v>
      </c>
      <c r="AH237" s="52">
        <v>0</v>
      </c>
      <c r="AI237" s="52">
        <v>0</v>
      </c>
      <c r="AJ237" s="52">
        <v>2</v>
      </c>
      <c r="AK237" s="52"/>
      <c r="AL237" s="52">
        <v>0</v>
      </c>
      <c r="AM237" s="52">
        <v>0</v>
      </c>
      <c r="AN237" s="52">
        <v>5733456360</v>
      </c>
      <c r="AO237" s="52">
        <v>2936047523514</v>
      </c>
      <c r="AP237" s="52">
        <v>0</v>
      </c>
      <c r="AQ237" s="58">
        <v>0</v>
      </c>
      <c r="AR237" s="58">
        <v>0</v>
      </c>
      <c r="AS237" s="58">
        <v>0</v>
      </c>
      <c r="AT237" s="58">
        <v>0</v>
      </c>
      <c r="AU237" s="58">
        <v>11</v>
      </c>
      <c r="AV237" s="58">
        <v>11450000</v>
      </c>
      <c r="AW237" s="58">
        <v>0</v>
      </c>
      <c r="AX237" s="58">
        <v>0</v>
      </c>
    </row>
    <row r="238" spans="1:50" x14ac:dyDescent="0.25">
      <c r="A238" s="52">
        <f t="shared" si="20"/>
        <v>233</v>
      </c>
      <c r="B238" s="60" t="str">
        <f t="shared" si="19"/>
        <v>00475145194</v>
      </c>
      <c r="C238" s="67" t="s">
        <v>28</v>
      </c>
      <c r="D238" s="59" t="s">
        <v>2058</v>
      </c>
      <c r="E238" s="55" t="str">
        <f t="shared" si="18"/>
        <v>00475</v>
      </c>
      <c r="F238" s="53" t="s">
        <v>2071</v>
      </c>
      <c r="G238" s="55" t="s">
        <v>16</v>
      </c>
      <c r="H238" s="60" t="s">
        <v>366</v>
      </c>
      <c r="I238" s="55">
        <v>306651665</v>
      </c>
      <c r="J238" s="55">
        <v>145194</v>
      </c>
      <c r="K238" s="55" t="s">
        <v>381</v>
      </c>
      <c r="L238" s="53" t="s">
        <v>2035</v>
      </c>
      <c r="M238" s="55" t="s">
        <v>75</v>
      </c>
      <c r="N238" s="52">
        <v>339600</v>
      </c>
      <c r="O238" s="52">
        <v>4098211296</v>
      </c>
      <c r="P238" s="52">
        <v>4095626940</v>
      </c>
      <c r="Q238" s="57">
        <v>45650</v>
      </c>
      <c r="R238" s="57">
        <v>46122</v>
      </c>
      <c r="S238" s="56">
        <v>4</v>
      </c>
      <c r="T238" s="54">
        <v>3</v>
      </c>
      <c r="U238" s="52">
        <v>4142814360</v>
      </c>
      <c r="V238" s="52">
        <v>3682501328.02</v>
      </c>
      <c r="W238" s="52">
        <v>460313031.98000002</v>
      </c>
      <c r="X238" s="57">
        <v>45996</v>
      </c>
      <c r="Y238" s="52">
        <v>0</v>
      </c>
      <c r="Z238" s="52">
        <v>0</v>
      </c>
      <c r="AA238" s="52">
        <v>1</v>
      </c>
      <c r="AB238" s="52">
        <v>0</v>
      </c>
      <c r="AC238" s="52">
        <v>25222615.18</v>
      </c>
      <c r="AD238" s="52">
        <v>25222615.18</v>
      </c>
      <c r="AE238" s="52">
        <v>0</v>
      </c>
      <c r="AF238" s="52">
        <v>0</v>
      </c>
      <c r="AG238" s="52">
        <v>0</v>
      </c>
      <c r="AH238" s="52">
        <v>0</v>
      </c>
      <c r="AI238" s="52">
        <v>0</v>
      </c>
      <c r="AJ238" s="52">
        <v>2</v>
      </c>
      <c r="AK238" s="52"/>
      <c r="AL238" s="52">
        <v>27083719744</v>
      </c>
      <c r="AM238" s="52">
        <v>93396774032</v>
      </c>
      <c r="AN238" s="52">
        <v>5316156000</v>
      </c>
      <c r="AO238" s="52">
        <v>1640126343</v>
      </c>
      <c r="AP238" s="52">
        <v>0</v>
      </c>
      <c r="AQ238" s="58">
        <v>0</v>
      </c>
      <c r="AR238" s="58">
        <v>0</v>
      </c>
      <c r="AS238" s="58">
        <v>0</v>
      </c>
      <c r="AT238" s="58">
        <v>0</v>
      </c>
      <c r="AU238" s="58">
        <v>0</v>
      </c>
      <c r="AV238" s="58">
        <v>0</v>
      </c>
      <c r="AW238" s="58">
        <v>16</v>
      </c>
      <c r="AX238" s="58">
        <v>1205795.1000000001</v>
      </c>
    </row>
    <row r="239" spans="1:50" x14ac:dyDescent="0.25">
      <c r="A239" s="52">
        <f t="shared" si="20"/>
        <v>234</v>
      </c>
      <c r="B239" s="60" t="str">
        <f t="shared" si="19"/>
        <v>00475167457</v>
      </c>
      <c r="C239" s="67" t="s">
        <v>28</v>
      </c>
      <c r="D239" s="59" t="s">
        <v>2058</v>
      </c>
      <c r="E239" s="55" t="str">
        <f t="shared" si="18"/>
        <v>00475</v>
      </c>
      <c r="F239" s="53" t="s">
        <v>2071</v>
      </c>
      <c r="G239" s="55" t="s">
        <v>16</v>
      </c>
      <c r="H239" s="60" t="s">
        <v>382</v>
      </c>
      <c r="I239" s="55">
        <v>304918546</v>
      </c>
      <c r="J239" s="55">
        <v>167457</v>
      </c>
      <c r="K239" s="55" t="s">
        <v>383</v>
      </c>
      <c r="L239" s="53" t="s">
        <v>2035</v>
      </c>
      <c r="M239" s="55" t="s">
        <v>49</v>
      </c>
      <c r="N239" s="52">
        <v>8065387200</v>
      </c>
      <c r="O239" s="52">
        <v>8065387200</v>
      </c>
      <c r="P239" s="52">
        <v>5699387200</v>
      </c>
      <c r="Q239" s="57">
        <v>45804</v>
      </c>
      <c r="R239" s="57">
        <v>46148</v>
      </c>
      <c r="S239" s="56">
        <v>14</v>
      </c>
      <c r="T239" s="54">
        <v>0</v>
      </c>
      <c r="U239" s="52">
        <v>3799591466</v>
      </c>
      <c r="V239" s="52">
        <v>3799591466</v>
      </c>
      <c r="W239" s="52">
        <v>0</v>
      </c>
      <c r="X239" s="57"/>
      <c r="Y239" s="52">
        <v>0</v>
      </c>
      <c r="Z239" s="52">
        <v>0</v>
      </c>
      <c r="AA239" s="52">
        <v>1</v>
      </c>
      <c r="AB239" s="52">
        <v>0</v>
      </c>
      <c r="AC239" s="52">
        <v>18945908.129999999</v>
      </c>
      <c r="AD239" s="52">
        <v>18945908.129999999</v>
      </c>
      <c r="AE239" s="52">
        <v>0</v>
      </c>
      <c r="AF239" s="52">
        <v>0</v>
      </c>
      <c r="AG239" s="52">
        <v>0</v>
      </c>
      <c r="AH239" s="52">
        <v>0</v>
      </c>
      <c r="AI239" s="52">
        <v>0</v>
      </c>
      <c r="AJ239" s="52">
        <v>2</v>
      </c>
      <c r="AK239" s="52"/>
      <c r="AL239" s="52">
        <v>0</v>
      </c>
      <c r="AM239" s="52">
        <v>0</v>
      </c>
      <c r="AN239" s="61">
        <v>9678464640</v>
      </c>
      <c r="AO239" s="52">
        <v>0</v>
      </c>
      <c r="AP239" s="52">
        <v>0</v>
      </c>
      <c r="AQ239" s="58">
        <v>25</v>
      </c>
      <c r="AR239" s="58">
        <v>189870.64</v>
      </c>
      <c r="AS239" s="58">
        <v>6</v>
      </c>
      <c r="AT239" s="58">
        <v>63519</v>
      </c>
      <c r="AU239" s="58">
        <v>74</v>
      </c>
      <c r="AV239" s="58">
        <v>2489717.3800000008</v>
      </c>
      <c r="AW239" s="58">
        <v>21</v>
      </c>
      <c r="AX239" s="58">
        <v>133778.32</v>
      </c>
    </row>
    <row r="240" spans="1:50" x14ac:dyDescent="0.25">
      <c r="A240" s="52">
        <f t="shared" si="20"/>
        <v>235</v>
      </c>
      <c r="B240" s="60" t="str">
        <f t="shared" si="19"/>
        <v>00475122884</v>
      </c>
      <c r="C240" s="67" t="s">
        <v>28</v>
      </c>
      <c r="D240" s="59" t="s">
        <v>2058</v>
      </c>
      <c r="E240" s="55" t="str">
        <f t="shared" si="18"/>
        <v>00475</v>
      </c>
      <c r="F240" s="53" t="s">
        <v>2071</v>
      </c>
      <c r="G240" s="55" t="s">
        <v>16</v>
      </c>
      <c r="H240" s="60" t="s">
        <v>382</v>
      </c>
      <c r="I240" s="55">
        <v>304918546</v>
      </c>
      <c r="J240" s="55">
        <v>122884</v>
      </c>
      <c r="K240" s="55" t="s">
        <v>384</v>
      </c>
      <c r="L240" s="53" t="s">
        <v>2035</v>
      </c>
      <c r="M240" s="55" t="s">
        <v>49</v>
      </c>
      <c r="N240" s="52">
        <v>7978723405</v>
      </c>
      <c r="O240" s="52">
        <v>7978723405</v>
      </c>
      <c r="P240" s="52">
        <v>7500000000</v>
      </c>
      <c r="Q240" s="57">
        <v>45422</v>
      </c>
      <c r="R240" s="57">
        <v>47247</v>
      </c>
      <c r="S240" s="56">
        <v>14</v>
      </c>
      <c r="T240" s="54">
        <v>0</v>
      </c>
      <c r="U240" s="52">
        <v>3531650082.1900001</v>
      </c>
      <c r="V240" s="52">
        <v>3531650082.1900001</v>
      </c>
      <c r="W240" s="52">
        <v>0</v>
      </c>
      <c r="X240" s="57"/>
      <c r="Y240" s="52">
        <v>0</v>
      </c>
      <c r="Z240" s="52">
        <v>0</v>
      </c>
      <c r="AA240" s="52">
        <v>1</v>
      </c>
      <c r="AB240" s="52">
        <v>0</v>
      </c>
      <c r="AC240" s="52">
        <v>8580331.6500000004</v>
      </c>
      <c r="AD240" s="52">
        <v>8580331.6500000004</v>
      </c>
      <c r="AE240" s="52">
        <v>0</v>
      </c>
      <c r="AF240" s="52">
        <v>0</v>
      </c>
      <c r="AG240" s="52">
        <v>0</v>
      </c>
      <c r="AH240" s="52">
        <v>0</v>
      </c>
      <c r="AI240" s="52">
        <v>0</v>
      </c>
      <c r="AJ240" s="52">
        <v>2</v>
      </c>
      <c r="AK240" s="52"/>
      <c r="AL240" s="52">
        <v>0</v>
      </c>
      <c r="AM240" s="52">
        <v>0</v>
      </c>
      <c r="AN240" s="61">
        <v>9574468086</v>
      </c>
      <c r="AO240" s="52">
        <v>0</v>
      </c>
      <c r="AP240" s="52">
        <v>0</v>
      </c>
      <c r="AQ240" s="58">
        <v>25</v>
      </c>
      <c r="AR240" s="58">
        <v>189870.64</v>
      </c>
      <c r="AS240" s="58">
        <v>6</v>
      </c>
      <c r="AT240" s="58">
        <v>63519</v>
      </c>
      <c r="AU240" s="58">
        <v>74</v>
      </c>
      <c r="AV240" s="58">
        <v>2489717.3800000008</v>
      </c>
      <c r="AW240" s="58">
        <v>21</v>
      </c>
      <c r="AX240" s="58">
        <v>133778.32</v>
      </c>
    </row>
    <row r="241" spans="1:50" x14ac:dyDescent="0.25">
      <c r="A241" s="52">
        <f t="shared" si="20"/>
        <v>236</v>
      </c>
      <c r="B241" s="60" t="str">
        <f t="shared" si="19"/>
        <v>0047582347</v>
      </c>
      <c r="C241" s="67" t="s">
        <v>28</v>
      </c>
      <c r="D241" s="59" t="s">
        <v>2058</v>
      </c>
      <c r="E241" s="55" t="str">
        <f t="shared" si="18"/>
        <v>00475</v>
      </c>
      <c r="F241" s="53" t="s">
        <v>2071</v>
      </c>
      <c r="G241" s="55" t="s">
        <v>16</v>
      </c>
      <c r="H241" s="60" t="s">
        <v>385</v>
      </c>
      <c r="I241" s="55">
        <v>307280787</v>
      </c>
      <c r="J241" s="55">
        <v>82347</v>
      </c>
      <c r="K241" s="55" t="s">
        <v>386</v>
      </c>
      <c r="L241" s="53" t="s">
        <v>2035</v>
      </c>
      <c r="M241" s="55" t="s">
        <v>49</v>
      </c>
      <c r="N241" s="52">
        <v>4640000000</v>
      </c>
      <c r="O241" s="52">
        <v>4640000000</v>
      </c>
      <c r="P241" s="52">
        <v>4640000000</v>
      </c>
      <c r="Q241" s="57">
        <v>44852</v>
      </c>
      <c r="R241" s="57">
        <v>46693</v>
      </c>
      <c r="S241" s="56">
        <v>23.99</v>
      </c>
      <c r="T241" s="54">
        <v>12</v>
      </c>
      <c r="U241" s="52">
        <v>3436389282.54</v>
      </c>
      <c r="V241" s="52">
        <v>3337665878.29</v>
      </c>
      <c r="W241" s="52">
        <v>98723404.25</v>
      </c>
      <c r="X241" s="57">
        <v>46027</v>
      </c>
      <c r="Y241" s="52">
        <v>0</v>
      </c>
      <c r="Z241" s="52">
        <v>0</v>
      </c>
      <c r="AA241" s="52">
        <v>1</v>
      </c>
      <c r="AB241" s="52">
        <v>0</v>
      </c>
      <c r="AC241" s="52">
        <v>193450366.31999999</v>
      </c>
      <c r="AD241" s="52">
        <v>193450366.31999999</v>
      </c>
      <c r="AE241" s="52">
        <v>0</v>
      </c>
      <c r="AF241" s="52">
        <v>0</v>
      </c>
      <c r="AG241" s="52">
        <v>0</v>
      </c>
      <c r="AH241" s="52">
        <v>0</v>
      </c>
      <c r="AI241" s="52">
        <v>0</v>
      </c>
      <c r="AJ241" s="52">
        <v>2</v>
      </c>
      <c r="AK241" s="52"/>
      <c r="AL241" s="52">
        <v>6875696138</v>
      </c>
      <c r="AM241" s="52">
        <v>6875696138</v>
      </c>
      <c r="AN241" s="52">
        <v>5570000000</v>
      </c>
      <c r="AO241" s="52">
        <v>349073609522</v>
      </c>
      <c r="AP241" s="52">
        <v>2595369825</v>
      </c>
      <c r="AQ241" s="58">
        <v>0</v>
      </c>
      <c r="AR241" s="58">
        <v>0</v>
      </c>
      <c r="AS241" s="58">
        <v>0</v>
      </c>
      <c r="AT241" s="58">
        <v>0</v>
      </c>
      <c r="AU241" s="58">
        <v>0</v>
      </c>
      <c r="AV241" s="58">
        <v>0</v>
      </c>
      <c r="AW241" s="58">
        <v>1</v>
      </c>
      <c r="AX241" s="58">
        <v>409000</v>
      </c>
    </row>
    <row r="242" spans="1:50" x14ac:dyDescent="0.25">
      <c r="A242" s="52">
        <f t="shared" si="20"/>
        <v>237</v>
      </c>
      <c r="B242" s="60" t="str">
        <f t="shared" si="19"/>
        <v>00475103552</v>
      </c>
      <c r="C242" s="67" t="s">
        <v>28</v>
      </c>
      <c r="D242" s="59" t="s">
        <v>2058</v>
      </c>
      <c r="E242" s="55" t="str">
        <f t="shared" si="18"/>
        <v>00475</v>
      </c>
      <c r="F242" s="53" t="s">
        <v>2071</v>
      </c>
      <c r="G242" s="55" t="s">
        <v>16</v>
      </c>
      <c r="H242" s="60" t="s">
        <v>387</v>
      </c>
      <c r="I242" s="55">
        <v>307359045</v>
      </c>
      <c r="J242" s="55">
        <v>103552</v>
      </c>
      <c r="K242" s="55" t="s">
        <v>388</v>
      </c>
      <c r="L242" s="53" t="s">
        <v>2035</v>
      </c>
      <c r="M242" s="55" t="s">
        <v>49</v>
      </c>
      <c r="N242" s="52">
        <v>3800000000</v>
      </c>
      <c r="O242" s="52">
        <v>3800000000</v>
      </c>
      <c r="P242" s="52">
        <v>3800000000</v>
      </c>
      <c r="Q242" s="57">
        <v>45104</v>
      </c>
      <c r="R242" s="57">
        <v>46930</v>
      </c>
      <c r="S242" s="56">
        <v>10</v>
      </c>
      <c r="T242" s="54">
        <v>0</v>
      </c>
      <c r="U242" s="52">
        <v>3280000000</v>
      </c>
      <c r="V242" s="52">
        <v>3080000000</v>
      </c>
      <c r="W242" s="52">
        <v>200000000</v>
      </c>
      <c r="X242" s="57">
        <v>46034</v>
      </c>
      <c r="Y242" s="52">
        <v>0</v>
      </c>
      <c r="Z242" s="52">
        <v>0</v>
      </c>
      <c r="AA242" s="52">
        <v>1</v>
      </c>
      <c r="AB242" s="52">
        <v>0</v>
      </c>
      <c r="AC242" s="52">
        <v>27857534.25</v>
      </c>
      <c r="AD242" s="52">
        <v>26652054.789999999</v>
      </c>
      <c r="AE242" s="52">
        <v>0</v>
      </c>
      <c r="AF242" s="52">
        <v>0</v>
      </c>
      <c r="AG242" s="52">
        <v>1205479.46</v>
      </c>
      <c r="AH242" s="52">
        <v>0</v>
      </c>
      <c r="AI242" s="52">
        <v>0</v>
      </c>
      <c r="AJ242" s="52">
        <v>2</v>
      </c>
      <c r="AK242" s="52"/>
      <c r="AL242" s="52">
        <v>0</v>
      </c>
      <c r="AM242" s="52">
        <v>0</v>
      </c>
      <c r="AN242" s="61">
        <v>4560000000</v>
      </c>
      <c r="AO242" s="52">
        <v>0</v>
      </c>
      <c r="AP242" s="52">
        <v>0</v>
      </c>
      <c r="AQ242" s="58">
        <v>0</v>
      </c>
      <c r="AR242" s="58">
        <v>0</v>
      </c>
      <c r="AS242" s="58">
        <v>0</v>
      </c>
      <c r="AT242" s="58">
        <v>0</v>
      </c>
      <c r="AU242" s="58">
        <v>0</v>
      </c>
      <c r="AV242" s="58">
        <v>0</v>
      </c>
      <c r="AW242" s="58">
        <v>2</v>
      </c>
      <c r="AX242" s="58">
        <v>1312000</v>
      </c>
    </row>
    <row r="243" spans="1:50" x14ac:dyDescent="0.25">
      <c r="A243" s="52">
        <f t="shared" si="20"/>
        <v>238</v>
      </c>
      <c r="B243" s="60" t="str">
        <f t="shared" si="19"/>
        <v>0047598490</v>
      </c>
      <c r="C243" s="67" t="s">
        <v>28</v>
      </c>
      <c r="D243" s="59" t="s">
        <v>2058</v>
      </c>
      <c r="E243" s="55" t="str">
        <f t="shared" si="18"/>
        <v>00475</v>
      </c>
      <c r="F243" s="53" t="s">
        <v>2071</v>
      </c>
      <c r="G243" s="55" t="s">
        <v>16</v>
      </c>
      <c r="H243" s="60" t="s">
        <v>389</v>
      </c>
      <c r="I243" s="55">
        <v>204704824</v>
      </c>
      <c r="J243" s="55">
        <v>98490</v>
      </c>
      <c r="K243" s="55" t="s">
        <v>390</v>
      </c>
      <c r="L243" s="53" t="s">
        <v>2035</v>
      </c>
      <c r="M243" s="55" t="s">
        <v>49</v>
      </c>
      <c r="N243" s="52">
        <v>5142369240</v>
      </c>
      <c r="O243" s="52">
        <v>5142369240</v>
      </c>
      <c r="P243" s="52">
        <v>5142369240</v>
      </c>
      <c r="Q243" s="57">
        <v>45063</v>
      </c>
      <c r="R243" s="57">
        <v>46854</v>
      </c>
      <c r="S243" s="56">
        <v>10</v>
      </c>
      <c r="T243" s="54">
        <v>0</v>
      </c>
      <c r="U243" s="52">
        <v>2999500000</v>
      </c>
      <c r="V243" s="52">
        <v>2999500000</v>
      </c>
      <c r="W243" s="52">
        <v>0</v>
      </c>
      <c r="X243" s="57"/>
      <c r="Y243" s="52">
        <v>0</v>
      </c>
      <c r="Z243" s="52">
        <v>0</v>
      </c>
      <c r="AA243" s="52">
        <v>1</v>
      </c>
      <c r="AB243" s="52">
        <v>0</v>
      </c>
      <c r="AC243" s="52">
        <v>0</v>
      </c>
      <c r="AD243" s="52">
        <v>0</v>
      </c>
      <c r="AE243" s="52">
        <v>0</v>
      </c>
      <c r="AF243" s="52">
        <v>0</v>
      </c>
      <c r="AG243" s="52">
        <v>0</v>
      </c>
      <c r="AH243" s="52">
        <v>0</v>
      </c>
      <c r="AI243" s="52">
        <v>0</v>
      </c>
      <c r="AJ243" s="52">
        <v>2</v>
      </c>
      <c r="AK243" s="52"/>
      <c r="AL243" s="52">
        <v>0</v>
      </c>
      <c r="AM243" s="52">
        <v>0</v>
      </c>
      <c r="AN243" s="61">
        <v>6170843088</v>
      </c>
      <c r="AO243" s="52">
        <v>0</v>
      </c>
      <c r="AP243" s="52">
        <v>0</v>
      </c>
      <c r="AQ243" s="58">
        <v>0</v>
      </c>
      <c r="AR243" s="58">
        <v>0</v>
      </c>
      <c r="AS243" s="58">
        <v>0</v>
      </c>
      <c r="AT243" s="58">
        <v>0</v>
      </c>
      <c r="AU243" s="58">
        <v>5</v>
      </c>
      <c r="AV243" s="58">
        <v>214575.43</v>
      </c>
      <c r="AW243" s="58">
        <v>7</v>
      </c>
      <c r="AX243" s="58">
        <v>3991000</v>
      </c>
    </row>
    <row r="244" spans="1:50" x14ac:dyDescent="0.25">
      <c r="A244" s="52">
        <f t="shared" si="20"/>
        <v>239</v>
      </c>
      <c r="B244" s="60" t="str">
        <f t="shared" si="19"/>
        <v>00475117683</v>
      </c>
      <c r="C244" s="67" t="s">
        <v>28</v>
      </c>
      <c r="D244" s="59" t="s">
        <v>2058</v>
      </c>
      <c r="E244" s="55" t="str">
        <f t="shared" si="18"/>
        <v>00475</v>
      </c>
      <c r="F244" s="53" t="s">
        <v>2071</v>
      </c>
      <c r="G244" s="55" t="s">
        <v>16</v>
      </c>
      <c r="H244" s="60" t="s">
        <v>391</v>
      </c>
      <c r="I244" s="55">
        <v>307836433</v>
      </c>
      <c r="J244" s="55">
        <v>117683</v>
      </c>
      <c r="K244" s="55" t="s">
        <v>392</v>
      </c>
      <c r="L244" s="53" t="s">
        <v>2035</v>
      </c>
      <c r="M244" s="55" t="s">
        <v>49</v>
      </c>
      <c r="N244" s="52">
        <v>2500000000</v>
      </c>
      <c r="O244" s="52">
        <v>2500000000</v>
      </c>
      <c r="P244" s="52">
        <v>2500000000</v>
      </c>
      <c r="Q244" s="57">
        <v>45344</v>
      </c>
      <c r="R244" s="57">
        <v>47884</v>
      </c>
      <c r="S244" s="56">
        <v>14</v>
      </c>
      <c r="T244" s="54">
        <v>24</v>
      </c>
      <c r="U244" s="52">
        <v>2500000000</v>
      </c>
      <c r="V244" s="52">
        <v>2500000000</v>
      </c>
      <c r="W244" s="52">
        <v>0</v>
      </c>
      <c r="X244" s="57"/>
      <c r="Y244" s="52">
        <v>0</v>
      </c>
      <c r="Z244" s="52">
        <v>0</v>
      </c>
      <c r="AA244" s="52">
        <v>1</v>
      </c>
      <c r="AB244" s="52">
        <v>0</v>
      </c>
      <c r="AC244" s="52">
        <v>52028451.219999999</v>
      </c>
      <c r="AD244" s="52">
        <v>25890410.960000001</v>
      </c>
      <c r="AE244" s="52">
        <v>0</v>
      </c>
      <c r="AF244" s="52">
        <v>26138040.260000002</v>
      </c>
      <c r="AG244" s="52">
        <v>0</v>
      </c>
      <c r="AH244" s="52">
        <v>0</v>
      </c>
      <c r="AI244" s="52">
        <v>0</v>
      </c>
      <c r="AJ244" s="52">
        <v>2</v>
      </c>
      <c r="AK244" s="52"/>
      <c r="AL244" s="52">
        <v>0</v>
      </c>
      <c r="AM244" s="52">
        <v>0</v>
      </c>
      <c r="AN244" s="52">
        <v>4000000000</v>
      </c>
      <c r="AO244" s="52">
        <v>0</v>
      </c>
      <c r="AP244" s="52">
        <v>0</v>
      </c>
      <c r="AQ244" s="58">
        <v>0</v>
      </c>
      <c r="AR244" s="58">
        <v>0</v>
      </c>
      <c r="AS244" s="58">
        <v>0</v>
      </c>
      <c r="AT244" s="58">
        <v>0</v>
      </c>
      <c r="AU244" s="58">
        <v>0</v>
      </c>
      <c r="AV244" s="58">
        <v>0</v>
      </c>
      <c r="AW244" s="58">
        <v>0</v>
      </c>
      <c r="AX244" s="58">
        <v>0</v>
      </c>
    </row>
    <row r="245" spans="1:50" x14ac:dyDescent="0.25">
      <c r="A245" s="52">
        <f t="shared" si="20"/>
        <v>240</v>
      </c>
      <c r="B245" s="60" t="str">
        <f t="shared" si="19"/>
        <v>00475162709</v>
      </c>
      <c r="C245" s="67" t="s">
        <v>28</v>
      </c>
      <c r="D245" s="59" t="s">
        <v>2058</v>
      </c>
      <c r="E245" s="55" t="str">
        <f t="shared" ref="E245:E308" si="21">+G245</f>
        <v>00475</v>
      </c>
      <c r="F245" s="53" t="s">
        <v>2071</v>
      </c>
      <c r="G245" s="55" t="s">
        <v>16</v>
      </c>
      <c r="H245" s="60" t="s">
        <v>391</v>
      </c>
      <c r="I245" s="55">
        <v>307836433</v>
      </c>
      <c r="J245" s="55">
        <v>162709</v>
      </c>
      <c r="K245" s="55" t="s">
        <v>393</v>
      </c>
      <c r="L245" s="53" t="s">
        <v>2035</v>
      </c>
      <c r="M245" s="55" t="s">
        <v>49</v>
      </c>
      <c r="N245" s="52">
        <v>2000000000</v>
      </c>
      <c r="O245" s="52">
        <v>2000000000</v>
      </c>
      <c r="P245" s="52">
        <v>2000000000</v>
      </c>
      <c r="Q245" s="57">
        <v>45771</v>
      </c>
      <c r="R245" s="57">
        <v>47578</v>
      </c>
      <c r="S245" s="56">
        <v>14</v>
      </c>
      <c r="T245" s="54">
        <v>24</v>
      </c>
      <c r="U245" s="52">
        <v>2000000000</v>
      </c>
      <c r="V245" s="52">
        <v>2000000000</v>
      </c>
      <c r="W245" s="52">
        <v>0</v>
      </c>
      <c r="X245" s="57"/>
      <c r="Y245" s="52">
        <v>0</v>
      </c>
      <c r="Z245" s="52">
        <v>0</v>
      </c>
      <c r="AA245" s="52">
        <v>1</v>
      </c>
      <c r="AB245" s="52">
        <v>0</v>
      </c>
      <c r="AC245" s="52">
        <v>48225384.590000004</v>
      </c>
      <c r="AD245" s="52">
        <v>20712328.760000002</v>
      </c>
      <c r="AE245" s="52">
        <v>0</v>
      </c>
      <c r="AF245" s="52">
        <v>27513055.829999998</v>
      </c>
      <c r="AG245" s="52">
        <v>0</v>
      </c>
      <c r="AH245" s="52">
        <v>0</v>
      </c>
      <c r="AI245" s="52">
        <v>0</v>
      </c>
      <c r="AJ245" s="52">
        <v>2</v>
      </c>
      <c r="AK245" s="52"/>
      <c r="AL245" s="52">
        <v>0</v>
      </c>
      <c r="AM245" s="52">
        <v>0</v>
      </c>
      <c r="AN245" s="52">
        <v>800000000</v>
      </c>
      <c r="AO245" s="52">
        <v>0</v>
      </c>
      <c r="AP245" s="52">
        <v>0</v>
      </c>
      <c r="AQ245" s="58">
        <v>0</v>
      </c>
      <c r="AR245" s="58">
        <v>0</v>
      </c>
      <c r="AS245" s="58">
        <v>0</v>
      </c>
      <c r="AT245" s="58">
        <v>0</v>
      </c>
      <c r="AU245" s="58">
        <v>0</v>
      </c>
      <c r="AV245" s="58">
        <v>0</v>
      </c>
      <c r="AW245" s="58">
        <v>0</v>
      </c>
      <c r="AX245" s="58">
        <v>0</v>
      </c>
    </row>
    <row r="246" spans="1:50" x14ac:dyDescent="0.25">
      <c r="A246" s="52">
        <f t="shared" si="20"/>
        <v>241</v>
      </c>
      <c r="B246" s="60" t="str">
        <f t="shared" si="19"/>
        <v>00475163572</v>
      </c>
      <c r="C246" s="67" t="s">
        <v>28</v>
      </c>
      <c r="D246" s="59" t="s">
        <v>2058</v>
      </c>
      <c r="E246" s="55" t="str">
        <f t="shared" si="21"/>
        <v>00475</v>
      </c>
      <c r="F246" s="53" t="s">
        <v>2071</v>
      </c>
      <c r="G246" s="55" t="s">
        <v>16</v>
      </c>
      <c r="H246" s="60" t="s">
        <v>382</v>
      </c>
      <c r="I246" s="55">
        <v>304918546</v>
      </c>
      <c r="J246" s="55">
        <v>163572</v>
      </c>
      <c r="K246" s="55" t="s">
        <v>394</v>
      </c>
      <c r="L246" s="53" t="s">
        <v>2035</v>
      </c>
      <c r="M246" s="55" t="s">
        <v>49</v>
      </c>
      <c r="N246" s="52">
        <v>3480000000</v>
      </c>
      <c r="O246" s="52">
        <v>3480000000</v>
      </c>
      <c r="P246" s="52">
        <v>3350400000</v>
      </c>
      <c r="Q246" s="57">
        <v>45779</v>
      </c>
      <c r="R246" s="57">
        <v>47578</v>
      </c>
      <c r="S246" s="56">
        <v>14</v>
      </c>
      <c r="T246" s="54">
        <v>0</v>
      </c>
      <c r="U246" s="52">
        <v>1915428000</v>
      </c>
      <c r="V246" s="52">
        <v>1915428000</v>
      </c>
      <c r="W246" s="52">
        <v>0</v>
      </c>
      <c r="X246" s="57"/>
      <c r="Y246" s="52">
        <v>0</v>
      </c>
      <c r="Z246" s="52">
        <v>0</v>
      </c>
      <c r="AA246" s="52">
        <v>1</v>
      </c>
      <c r="AB246" s="52">
        <v>0</v>
      </c>
      <c r="AC246" s="52">
        <v>9550901.2599999998</v>
      </c>
      <c r="AD246" s="52">
        <v>9550901.2599999998</v>
      </c>
      <c r="AE246" s="52">
        <v>0</v>
      </c>
      <c r="AF246" s="52">
        <v>0</v>
      </c>
      <c r="AG246" s="52">
        <v>0</v>
      </c>
      <c r="AH246" s="52">
        <v>0</v>
      </c>
      <c r="AI246" s="52">
        <v>0</v>
      </c>
      <c r="AJ246" s="52">
        <v>2</v>
      </c>
      <c r="AK246" s="52"/>
      <c r="AL246" s="52">
        <v>0</v>
      </c>
      <c r="AM246" s="52">
        <v>0</v>
      </c>
      <c r="AN246" s="61">
        <v>4176000000</v>
      </c>
      <c r="AO246" s="52">
        <v>0</v>
      </c>
      <c r="AP246" s="52">
        <v>0</v>
      </c>
      <c r="AQ246" s="58">
        <v>25</v>
      </c>
      <c r="AR246" s="58">
        <v>189870.64</v>
      </c>
      <c r="AS246" s="58">
        <v>6</v>
      </c>
      <c r="AT246" s="58">
        <v>63519</v>
      </c>
      <c r="AU246" s="58">
        <v>74</v>
      </c>
      <c r="AV246" s="58">
        <v>2489717.3800000008</v>
      </c>
      <c r="AW246" s="58">
        <v>21</v>
      </c>
      <c r="AX246" s="58">
        <v>133778.32</v>
      </c>
    </row>
    <row r="247" spans="1:50" x14ac:dyDescent="0.25">
      <c r="A247" s="52">
        <f t="shared" si="20"/>
        <v>242</v>
      </c>
      <c r="B247" s="60" t="str">
        <f t="shared" si="19"/>
        <v>00475166447</v>
      </c>
      <c r="C247" s="67" t="s">
        <v>28</v>
      </c>
      <c r="D247" s="59" t="s">
        <v>2058</v>
      </c>
      <c r="E247" s="55" t="str">
        <f t="shared" si="21"/>
        <v>00475</v>
      </c>
      <c r="F247" s="53" t="s">
        <v>2071</v>
      </c>
      <c r="G247" s="55" t="s">
        <v>16</v>
      </c>
      <c r="H247" s="60" t="s">
        <v>2415</v>
      </c>
      <c r="I247" s="55">
        <v>302275202</v>
      </c>
      <c r="J247" s="55">
        <v>166447</v>
      </c>
      <c r="K247" s="55" t="s">
        <v>395</v>
      </c>
      <c r="L247" s="53" t="s">
        <v>2035</v>
      </c>
      <c r="M247" s="55" t="s">
        <v>49</v>
      </c>
      <c r="N247" s="52">
        <v>3630000000</v>
      </c>
      <c r="O247" s="52">
        <v>3630000000</v>
      </c>
      <c r="P247" s="52">
        <v>1815000000</v>
      </c>
      <c r="Q247" s="57">
        <v>45797</v>
      </c>
      <c r="R247" s="57">
        <v>47606</v>
      </c>
      <c r="S247" s="56">
        <v>14</v>
      </c>
      <c r="T247" s="54">
        <v>0</v>
      </c>
      <c r="U247" s="52">
        <v>1815000000</v>
      </c>
      <c r="V247" s="52">
        <v>1815000000</v>
      </c>
      <c r="W247" s="52">
        <v>0</v>
      </c>
      <c r="X247" s="57"/>
      <c r="Y247" s="52">
        <v>0</v>
      </c>
      <c r="Z247" s="52">
        <v>0</v>
      </c>
      <c r="AA247" s="52">
        <v>1</v>
      </c>
      <c r="AB247" s="52">
        <v>0</v>
      </c>
      <c r="AC247" s="52">
        <v>11834794.52</v>
      </c>
      <c r="AD247" s="52">
        <v>11834794.52</v>
      </c>
      <c r="AE247" s="52">
        <v>0</v>
      </c>
      <c r="AF247" s="52">
        <v>0</v>
      </c>
      <c r="AG247" s="52">
        <v>0</v>
      </c>
      <c r="AH247" s="52">
        <v>0</v>
      </c>
      <c r="AI247" s="52">
        <v>0</v>
      </c>
      <c r="AJ247" s="52">
        <v>2</v>
      </c>
      <c r="AK247" s="52"/>
      <c r="AL247" s="52">
        <v>0</v>
      </c>
      <c r="AM247" s="52">
        <v>0</v>
      </c>
      <c r="AN247" s="61">
        <v>4356000000</v>
      </c>
      <c r="AO247" s="52">
        <v>0</v>
      </c>
      <c r="AP247" s="52">
        <v>0</v>
      </c>
      <c r="AQ247" s="58">
        <v>0</v>
      </c>
      <c r="AR247" s="58">
        <v>0</v>
      </c>
      <c r="AS247" s="58">
        <v>0</v>
      </c>
      <c r="AT247" s="58">
        <v>0</v>
      </c>
      <c r="AU247" s="58">
        <v>5</v>
      </c>
      <c r="AV247" s="58">
        <v>91173.66</v>
      </c>
      <c r="AW247" s="58">
        <v>0</v>
      </c>
      <c r="AX247" s="58">
        <v>0</v>
      </c>
    </row>
    <row r="248" spans="1:50" x14ac:dyDescent="0.25">
      <c r="A248" s="52">
        <f t="shared" si="20"/>
        <v>243</v>
      </c>
      <c r="B248" s="60" t="str">
        <f t="shared" si="19"/>
        <v>00475118178</v>
      </c>
      <c r="C248" s="67" t="s">
        <v>28</v>
      </c>
      <c r="D248" s="59" t="s">
        <v>2058</v>
      </c>
      <c r="E248" s="55" t="str">
        <f t="shared" si="21"/>
        <v>00475</v>
      </c>
      <c r="F248" s="53" t="s">
        <v>2071</v>
      </c>
      <c r="G248" s="55" t="s">
        <v>16</v>
      </c>
      <c r="H248" s="60" t="s">
        <v>396</v>
      </c>
      <c r="I248" s="55">
        <v>303521472</v>
      </c>
      <c r="J248" s="55">
        <v>118178</v>
      </c>
      <c r="K248" s="55" t="s">
        <v>397</v>
      </c>
      <c r="L248" s="53" t="s">
        <v>2035</v>
      </c>
      <c r="M248" s="55" t="s">
        <v>49</v>
      </c>
      <c r="N248" s="52">
        <v>2015957447</v>
      </c>
      <c r="O248" s="52">
        <v>2015957447</v>
      </c>
      <c r="P248" s="52">
        <v>2015957446.8199999</v>
      </c>
      <c r="Q248" s="57">
        <v>45344</v>
      </c>
      <c r="R248" s="57">
        <v>47170</v>
      </c>
      <c r="S248" s="56">
        <v>14</v>
      </c>
      <c r="T248" s="54">
        <v>0</v>
      </c>
      <c r="U248" s="52">
        <v>1772943429.04</v>
      </c>
      <c r="V248" s="52">
        <v>1763962765.9400001</v>
      </c>
      <c r="W248" s="52">
        <v>8980663.0999999996</v>
      </c>
      <c r="X248" s="57">
        <v>46034</v>
      </c>
      <c r="Y248" s="52">
        <v>0</v>
      </c>
      <c r="Z248" s="52">
        <v>0</v>
      </c>
      <c r="AA248" s="52">
        <v>1</v>
      </c>
      <c r="AB248" s="52">
        <v>0</v>
      </c>
      <c r="AC248" s="52">
        <v>21081025.98</v>
      </c>
      <c r="AD248" s="52">
        <v>13524879.890000001</v>
      </c>
      <c r="AE248" s="52">
        <v>0</v>
      </c>
      <c r="AF248" s="52">
        <v>0</v>
      </c>
      <c r="AG248" s="52">
        <v>7556146.0899999999</v>
      </c>
      <c r="AH248" s="52">
        <v>0</v>
      </c>
      <c r="AI248" s="52">
        <v>0</v>
      </c>
      <c r="AJ248" s="52">
        <v>2</v>
      </c>
      <c r="AK248" s="52"/>
      <c r="AL248" s="52">
        <v>0</v>
      </c>
      <c r="AM248" s="52">
        <v>0</v>
      </c>
      <c r="AN248" s="61">
        <v>24191489364</v>
      </c>
      <c r="AO248" s="52">
        <v>0</v>
      </c>
      <c r="AP248" s="52">
        <v>0</v>
      </c>
      <c r="AQ248" s="58">
        <v>0</v>
      </c>
      <c r="AR248" s="58">
        <v>0</v>
      </c>
      <c r="AS248" s="58">
        <v>0</v>
      </c>
      <c r="AT248" s="58">
        <v>0</v>
      </c>
      <c r="AU248" s="58">
        <v>0</v>
      </c>
      <c r="AV248" s="58">
        <v>0</v>
      </c>
      <c r="AW248" s="58">
        <v>0</v>
      </c>
      <c r="AX248" s="58">
        <v>0</v>
      </c>
    </row>
    <row r="249" spans="1:50" x14ac:dyDescent="0.25">
      <c r="A249" s="52">
        <f t="shared" si="20"/>
        <v>244</v>
      </c>
      <c r="B249" s="60" t="str">
        <f t="shared" si="19"/>
        <v>0047564770</v>
      </c>
      <c r="C249" s="67" t="s">
        <v>28</v>
      </c>
      <c r="D249" s="59" t="s">
        <v>2058</v>
      </c>
      <c r="E249" s="55" t="str">
        <f t="shared" si="21"/>
        <v>00475</v>
      </c>
      <c r="F249" s="53" t="s">
        <v>2071</v>
      </c>
      <c r="G249" s="55" t="s">
        <v>16</v>
      </c>
      <c r="H249" s="60" t="s">
        <v>398</v>
      </c>
      <c r="I249" s="55">
        <v>307406216</v>
      </c>
      <c r="J249" s="55">
        <v>64770</v>
      </c>
      <c r="K249" s="55" t="s">
        <v>399</v>
      </c>
      <c r="L249" s="53" t="s">
        <v>2035</v>
      </c>
      <c r="M249" s="55" t="s">
        <v>49</v>
      </c>
      <c r="N249" s="52">
        <v>2600000000</v>
      </c>
      <c r="O249" s="52">
        <v>2600000000</v>
      </c>
      <c r="P249" s="52">
        <v>2600000000</v>
      </c>
      <c r="Q249" s="57">
        <v>44665</v>
      </c>
      <c r="R249" s="57">
        <v>46482</v>
      </c>
      <c r="S249" s="56">
        <v>14</v>
      </c>
      <c r="T249" s="54">
        <v>36</v>
      </c>
      <c r="U249" s="52">
        <v>1520267616.79</v>
      </c>
      <c r="V249" s="52">
        <v>1520267616.79</v>
      </c>
      <c r="W249" s="52">
        <v>0</v>
      </c>
      <c r="X249" s="57"/>
      <c r="Y249" s="52">
        <v>0</v>
      </c>
      <c r="Z249" s="52">
        <v>0</v>
      </c>
      <c r="AA249" s="52">
        <v>1</v>
      </c>
      <c r="AB249" s="52">
        <v>0</v>
      </c>
      <c r="AC249" s="52">
        <v>11079210.57</v>
      </c>
      <c r="AD249" s="52">
        <v>11079210.57</v>
      </c>
      <c r="AE249" s="52">
        <v>0</v>
      </c>
      <c r="AF249" s="52">
        <v>0</v>
      </c>
      <c r="AG249" s="52">
        <v>0</v>
      </c>
      <c r="AH249" s="52">
        <v>0</v>
      </c>
      <c r="AI249" s="52">
        <v>0</v>
      </c>
      <c r="AJ249" s="52">
        <v>2</v>
      </c>
      <c r="AK249" s="52"/>
      <c r="AL249" s="52">
        <v>0</v>
      </c>
      <c r="AM249" s="52">
        <v>0</v>
      </c>
      <c r="AN249" s="52">
        <v>4160000000</v>
      </c>
      <c r="AO249" s="52">
        <v>0</v>
      </c>
      <c r="AP249" s="52">
        <v>0</v>
      </c>
      <c r="AQ249" s="58">
        <v>0</v>
      </c>
      <c r="AR249" s="58">
        <v>0</v>
      </c>
      <c r="AS249" s="58">
        <v>0</v>
      </c>
      <c r="AT249" s="58">
        <v>0</v>
      </c>
      <c r="AU249" s="58">
        <v>2</v>
      </c>
      <c r="AV249" s="58">
        <v>55000</v>
      </c>
      <c r="AW249" s="58">
        <v>4</v>
      </c>
      <c r="AX249" s="58">
        <v>38000</v>
      </c>
    </row>
    <row r="250" spans="1:50" x14ac:dyDescent="0.25">
      <c r="A250" s="52">
        <f t="shared" si="20"/>
        <v>245</v>
      </c>
      <c r="B250" s="60" t="str">
        <f t="shared" si="19"/>
        <v>0047527398</v>
      </c>
      <c r="C250" s="67" t="s">
        <v>28</v>
      </c>
      <c r="D250" s="59" t="s">
        <v>2058</v>
      </c>
      <c r="E250" s="55" t="str">
        <f t="shared" si="21"/>
        <v>00475</v>
      </c>
      <c r="F250" s="53" t="s">
        <v>2071</v>
      </c>
      <c r="G250" s="55" t="s">
        <v>16</v>
      </c>
      <c r="H250" s="60" t="s">
        <v>378</v>
      </c>
      <c r="I250" s="55">
        <v>307386345</v>
      </c>
      <c r="J250" s="55">
        <v>27398</v>
      </c>
      <c r="K250" s="55" t="s">
        <v>400</v>
      </c>
      <c r="L250" s="53" t="s">
        <v>2035</v>
      </c>
      <c r="M250" s="55" t="s">
        <v>49</v>
      </c>
      <c r="N250" s="52">
        <v>2800000000</v>
      </c>
      <c r="O250" s="52">
        <v>2800000000</v>
      </c>
      <c r="P250" s="52">
        <v>1800000000</v>
      </c>
      <c r="Q250" s="57">
        <v>43980</v>
      </c>
      <c r="R250" s="57">
        <v>46122</v>
      </c>
      <c r="S250" s="56">
        <v>0</v>
      </c>
      <c r="T250" s="54">
        <v>0</v>
      </c>
      <c r="U250" s="52">
        <v>1422276153.9200001</v>
      </c>
      <c r="V250" s="52">
        <v>1422276153.9200001</v>
      </c>
      <c r="W250" s="52">
        <v>0</v>
      </c>
      <c r="X250" s="57"/>
      <c r="Y250" s="52">
        <v>0</v>
      </c>
      <c r="Z250" s="52">
        <v>0</v>
      </c>
      <c r="AA250" s="52">
        <v>1</v>
      </c>
      <c r="AB250" s="52">
        <v>0</v>
      </c>
      <c r="AC250" s="52">
        <v>201974360.69</v>
      </c>
      <c r="AD250" s="52">
        <v>0</v>
      </c>
      <c r="AE250" s="52">
        <v>0</v>
      </c>
      <c r="AF250" s="52">
        <v>201974360.69</v>
      </c>
      <c r="AG250" s="52">
        <v>0</v>
      </c>
      <c r="AH250" s="52">
        <v>0</v>
      </c>
      <c r="AI250" s="52">
        <v>0</v>
      </c>
      <c r="AJ250" s="52">
        <v>2</v>
      </c>
      <c r="AK250" s="52"/>
      <c r="AL250" s="52">
        <v>0</v>
      </c>
      <c r="AM250" s="52">
        <v>0</v>
      </c>
      <c r="AN250" s="61">
        <v>2160000000</v>
      </c>
      <c r="AO250" s="52">
        <v>0</v>
      </c>
      <c r="AP250" s="52">
        <v>0</v>
      </c>
      <c r="AQ250" s="58">
        <v>0</v>
      </c>
      <c r="AR250" s="58">
        <v>0</v>
      </c>
      <c r="AS250" s="58">
        <v>0</v>
      </c>
      <c r="AT250" s="58">
        <v>0</v>
      </c>
      <c r="AU250" s="58">
        <v>0</v>
      </c>
      <c r="AV250" s="58">
        <v>0</v>
      </c>
      <c r="AW250" s="58">
        <v>0</v>
      </c>
      <c r="AX250" s="58">
        <v>0</v>
      </c>
    </row>
    <row r="251" spans="1:50" x14ac:dyDescent="0.25">
      <c r="A251" s="52">
        <f t="shared" si="20"/>
        <v>246</v>
      </c>
      <c r="B251" s="60" t="str">
        <f t="shared" si="19"/>
        <v>0047535195</v>
      </c>
      <c r="C251" s="67" t="s">
        <v>28</v>
      </c>
      <c r="D251" s="59" t="s">
        <v>2058</v>
      </c>
      <c r="E251" s="55" t="str">
        <f t="shared" si="21"/>
        <v>00475</v>
      </c>
      <c r="F251" s="53" t="s">
        <v>2071</v>
      </c>
      <c r="G251" s="55" t="s">
        <v>16</v>
      </c>
      <c r="H251" s="60" t="s">
        <v>2416</v>
      </c>
      <c r="I251" s="55">
        <v>303536564</v>
      </c>
      <c r="J251" s="55">
        <v>35195</v>
      </c>
      <c r="K251" s="55" t="s">
        <v>401</v>
      </c>
      <c r="L251" s="53" t="s">
        <v>2035</v>
      </c>
      <c r="M251" s="55" t="s">
        <v>49</v>
      </c>
      <c r="N251" s="52">
        <v>1335000000</v>
      </c>
      <c r="O251" s="52">
        <v>1335000000</v>
      </c>
      <c r="P251" s="52">
        <v>1306082750</v>
      </c>
      <c r="Q251" s="57">
        <v>44172</v>
      </c>
      <c r="R251" s="57">
        <v>47823</v>
      </c>
      <c r="S251" s="56">
        <v>14</v>
      </c>
      <c r="T251" s="54">
        <v>0</v>
      </c>
      <c r="U251" s="52">
        <v>1306082750</v>
      </c>
      <c r="V251" s="52">
        <v>1306082750</v>
      </c>
      <c r="W251" s="52">
        <v>0</v>
      </c>
      <c r="X251" s="57"/>
      <c r="Y251" s="52">
        <v>0</v>
      </c>
      <c r="Z251" s="52">
        <v>0</v>
      </c>
      <c r="AA251" s="52">
        <v>3</v>
      </c>
      <c r="AB251" s="52">
        <v>326520687.5</v>
      </c>
      <c r="AC251" s="52">
        <v>89290257.760000005</v>
      </c>
      <c r="AD251" s="52">
        <v>10019264.93</v>
      </c>
      <c r="AE251" s="52">
        <v>0</v>
      </c>
      <c r="AF251" s="52">
        <v>73760397.120000005</v>
      </c>
      <c r="AG251" s="52">
        <v>5510595.71</v>
      </c>
      <c r="AH251" s="52">
        <v>0</v>
      </c>
      <c r="AI251" s="52">
        <v>0</v>
      </c>
      <c r="AJ251" s="52">
        <v>2</v>
      </c>
      <c r="AK251" s="52"/>
      <c r="AL251" s="52">
        <v>0</v>
      </c>
      <c r="AM251" s="52">
        <v>0</v>
      </c>
      <c r="AN251" s="61">
        <v>1602000000</v>
      </c>
      <c r="AO251" s="52">
        <v>0</v>
      </c>
      <c r="AP251" s="52">
        <v>0</v>
      </c>
      <c r="AQ251" s="58">
        <v>0</v>
      </c>
      <c r="AR251" s="58">
        <v>0</v>
      </c>
      <c r="AS251" s="58">
        <v>0</v>
      </c>
      <c r="AT251" s="58">
        <v>0</v>
      </c>
      <c r="AU251" s="58">
        <v>0</v>
      </c>
      <c r="AV251" s="58">
        <v>0</v>
      </c>
      <c r="AW251" s="58">
        <v>0</v>
      </c>
      <c r="AX251" s="58">
        <v>0</v>
      </c>
    </row>
    <row r="252" spans="1:50" x14ac:dyDescent="0.25">
      <c r="A252" s="52">
        <f t="shared" si="20"/>
        <v>247</v>
      </c>
      <c r="B252" s="60" t="str">
        <f t="shared" si="19"/>
        <v>0047535379</v>
      </c>
      <c r="C252" s="67" t="s">
        <v>28</v>
      </c>
      <c r="D252" s="59" t="s">
        <v>2058</v>
      </c>
      <c r="E252" s="55" t="str">
        <f t="shared" si="21"/>
        <v>00475</v>
      </c>
      <c r="F252" s="53" t="s">
        <v>2071</v>
      </c>
      <c r="G252" s="55" t="s">
        <v>16</v>
      </c>
      <c r="H252" s="60" t="s">
        <v>2417</v>
      </c>
      <c r="I252" s="55">
        <v>304576238</v>
      </c>
      <c r="J252" s="55">
        <v>35379</v>
      </c>
      <c r="K252" s="55" t="s">
        <v>402</v>
      </c>
      <c r="L252" s="53" t="s">
        <v>2035</v>
      </c>
      <c r="M252" s="55" t="s">
        <v>49</v>
      </c>
      <c r="N252" s="52">
        <v>1335000000</v>
      </c>
      <c r="O252" s="52">
        <v>1335000000</v>
      </c>
      <c r="P252" s="52">
        <v>1275350000</v>
      </c>
      <c r="Q252" s="57">
        <v>44174</v>
      </c>
      <c r="R252" s="57">
        <v>47823</v>
      </c>
      <c r="S252" s="56">
        <v>14</v>
      </c>
      <c r="T252" s="54">
        <v>0</v>
      </c>
      <c r="U252" s="52">
        <v>1270350000</v>
      </c>
      <c r="V252" s="52">
        <v>1270350000</v>
      </c>
      <c r="W252" s="52">
        <v>0</v>
      </c>
      <c r="X252" s="57"/>
      <c r="Y252" s="52">
        <v>0</v>
      </c>
      <c r="Z252" s="52">
        <v>0</v>
      </c>
      <c r="AA252" s="52">
        <v>1</v>
      </c>
      <c r="AB252" s="52">
        <v>0</v>
      </c>
      <c r="AC252" s="52">
        <v>86947161.859999985</v>
      </c>
      <c r="AD252" s="52">
        <v>9745150.6799999997</v>
      </c>
      <c r="AE252" s="52">
        <v>0</v>
      </c>
      <c r="AF252" s="52">
        <v>71842178.299999997</v>
      </c>
      <c r="AG252" s="52">
        <v>5359832.88</v>
      </c>
      <c r="AH252" s="52">
        <v>0</v>
      </c>
      <c r="AI252" s="52">
        <v>0</v>
      </c>
      <c r="AJ252" s="52">
        <v>2</v>
      </c>
      <c r="AK252" s="52"/>
      <c r="AL252" s="52">
        <v>0</v>
      </c>
      <c r="AM252" s="52">
        <v>0</v>
      </c>
      <c r="AN252" s="61">
        <v>1602000000</v>
      </c>
      <c r="AO252" s="52">
        <v>0</v>
      </c>
      <c r="AP252" s="52">
        <v>0</v>
      </c>
      <c r="AQ252" s="58">
        <v>0</v>
      </c>
      <c r="AR252" s="58">
        <v>0</v>
      </c>
      <c r="AS252" s="58">
        <v>0</v>
      </c>
      <c r="AT252" s="58">
        <v>0</v>
      </c>
      <c r="AU252" s="58">
        <v>0</v>
      </c>
      <c r="AV252" s="58">
        <v>0</v>
      </c>
      <c r="AW252" s="58">
        <v>0</v>
      </c>
      <c r="AX252" s="58">
        <v>0</v>
      </c>
    </row>
    <row r="253" spans="1:50" x14ac:dyDescent="0.25">
      <c r="A253" s="52">
        <f t="shared" si="20"/>
        <v>248</v>
      </c>
      <c r="B253" s="60" t="str">
        <f t="shared" ref="B253:B316" si="22">+E253&amp;J253</f>
        <v>0047534314</v>
      </c>
      <c r="C253" s="67" t="s">
        <v>28</v>
      </c>
      <c r="D253" s="59" t="s">
        <v>2058</v>
      </c>
      <c r="E253" s="55" t="str">
        <f t="shared" si="21"/>
        <v>00475</v>
      </c>
      <c r="F253" s="53" t="s">
        <v>2071</v>
      </c>
      <c r="G253" s="55" t="s">
        <v>16</v>
      </c>
      <c r="H253" s="60" t="s">
        <v>2418</v>
      </c>
      <c r="I253" s="55">
        <v>303536556</v>
      </c>
      <c r="J253" s="55">
        <v>34314</v>
      </c>
      <c r="K253" s="55" t="s">
        <v>403</v>
      </c>
      <c r="L253" s="53" t="s">
        <v>2035</v>
      </c>
      <c r="M253" s="55" t="s">
        <v>49</v>
      </c>
      <c r="N253" s="52">
        <v>1335000000</v>
      </c>
      <c r="O253" s="52">
        <v>1335000000</v>
      </c>
      <c r="P253" s="52">
        <v>1306082750</v>
      </c>
      <c r="Q253" s="57">
        <v>44160</v>
      </c>
      <c r="R253" s="57">
        <v>47809</v>
      </c>
      <c r="S253" s="56">
        <v>14</v>
      </c>
      <c r="T253" s="54">
        <v>0</v>
      </c>
      <c r="U253" s="52">
        <v>1256082750</v>
      </c>
      <c r="V253" s="52">
        <v>1256082750</v>
      </c>
      <c r="W253" s="52">
        <v>0</v>
      </c>
      <c r="X253" s="57"/>
      <c r="Y253" s="52">
        <v>0</v>
      </c>
      <c r="Z253" s="52">
        <v>0</v>
      </c>
      <c r="AA253" s="52">
        <v>1</v>
      </c>
      <c r="AB253" s="52">
        <v>0</v>
      </c>
      <c r="AC253" s="52">
        <v>85948107.060000002</v>
      </c>
      <c r="AD253" s="52">
        <v>9635703.2899999991</v>
      </c>
      <c r="AE253" s="52">
        <v>0</v>
      </c>
      <c r="AF253" s="52">
        <v>71012766.959999993</v>
      </c>
      <c r="AG253" s="52">
        <v>5299636.8099999996</v>
      </c>
      <c r="AH253" s="52">
        <v>0</v>
      </c>
      <c r="AI253" s="52">
        <v>0</v>
      </c>
      <c r="AJ253" s="52">
        <v>2</v>
      </c>
      <c r="AK253" s="52"/>
      <c r="AL253" s="52">
        <v>0</v>
      </c>
      <c r="AM253" s="52">
        <v>0</v>
      </c>
      <c r="AN253" s="61">
        <v>1602000000</v>
      </c>
      <c r="AO253" s="52">
        <v>0</v>
      </c>
      <c r="AP253" s="52">
        <v>0</v>
      </c>
      <c r="AQ253" s="58">
        <v>0</v>
      </c>
      <c r="AR253" s="58">
        <v>0</v>
      </c>
      <c r="AS253" s="58">
        <v>0</v>
      </c>
      <c r="AT253" s="58">
        <v>0</v>
      </c>
      <c r="AU253" s="58">
        <v>0</v>
      </c>
      <c r="AV253" s="58">
        <v>0</v>
      </c>
      <c r="AW253" s="58">
        <v>0</v>
      </c>
      <c r="AX253" s="58">
        <v>0</v>
      </c>
    </row>
    <row r="254" spans="1:50" x14ac:dyDescent="0.25">
      <c r="A254" s="52">
        <f t="shared" si="20"/>
        <v>249</v>
      </c>
      <c r="B254" s="60" t="str">
        <f t="shared" si="22"/>
        <v>0047534312</v>
      </c>
      <c r="C254" s="67" t="s">
        <v>28</v>
      </c>
      <c r="D254" s="59" t="s">
        <v>2058</v>
      </c>
      <c r="E254" s="55" t="str">
        <f t="shared" si="21"/>
        <v>00475</v>
      </c>
      <c r="F254" s="53" t="s">
        <v>2071</v>
      </c>
      <c r="G254" s="55" t="s">
        <v>16</v>
      </c>
      <c r="H254" s="60" t="s">
        <v>2419</v>
      </c>
      <c r="I254" s="55">
        <v>303510185</v>
      </c>
      <c r="J254" s="55">
        <v>34312</v>
      </c>
      <c r="K254" s="55" t="s">
        <v>404</v>
      </c>
      <c r="L254" s="53" t="s">
        <v>2035</v>
      </c>
      <c r="M254" s="55" t="s">
        <v>49</v>
      </c>
      <c r="N254" s="52">
        <v>1335000000</v>
      </c>
      <c r="O254" s="52">
        <v>1335000000</v>
      </c>
      <c r="P254" s="52">
        <v>1306082750</v>
      </c>
      <c r="Q254" s="57">
        <v>44160</v>
      </c>
      <c r="R254" s="57">
        <v>47809</v>
      </c>
      <c r="S254" s="56">
        <v>14</v>
      </c>
      <c r="T254" s="54">
        <v>0</v>
      </c>
      <c r="U254" s="52">
        <v>1256082750</v>
      </c>
      <c r="V254" s="52">
        <v>1256082750</v>
      </c>
      <c r="W254" s="52">
        <v>0</v>
      </c>
      <c r="X254" s="57"/>
      <c r="Y254" s="52">
        <v>0</v>
      </c>
      <c r="Z254" s="52">
        <v>0</v>
      </c>
      <c r="AA254" s="52">
        <v>1</v>
      </c>
      <c r="AB254" s="52">
        <v>0</v>
      </c>
      <c r="AC254" s="52">
        <v>113701298.79000001</v>
      </c>
      <c r="AD254" s="52">
        <v>9635703.2899999991</v>
      </c>
      <c r="AE254" s="52">
        <v>0</v>
      </c>
      <c r="AF254" s="52">
        <v>98765958.700000003</v>
      </c>
      <c r="AG254" s="52">
        <v>5299636.8</v>
      </c>
      <c r="AH254" s="52">
        <v>0</v>
      </c>
      <c r="AI254" s="52">
        <v>0</v>
      </c>
      <c r="AJ254" s="52">
        <v>2</v>
      </c>
      <c r="AK254" s="52"/>
      <c r="AL254" s="52">
        <v>0</v>
      </c>
      <c r="AM254" s="52">
        <v>0</v>
      </c>
      <c r="AN254" s="61">
        <v>1602000000</v>
      </c>
      <c r="AO254" s="52">
        <v>0</v>
      </c>
      <c r="AP254" s="52">
        <v>0</v>
      </c>
      <c r="AQ254" s="58">
        <v>0</v>
      </c>
      <c r="AR254" s="58">
        <v>0</v>
      </c>
      <c r="AS254" s="58">
        <v>0</v>
      </c>
      <c r="AT254" s="58">
        <v>0</v>
      </c>
      <c r="AU254" s="58">
        <v>0</v>
      </c>
      <c r="AV254" s="58">
        <v>0</v>
      </c>
      <c r="AW254" s="58">
        <v>0</v>
      </c>
      <c r="AX254" s="58">
        <v>0</v>
      </c>
    </row>
    <row r="255" spans="1:50" x14ac:dyDescent="0.25">
      <c r="A255" s="52">
        <f t="shared" si="20"/>
        <v>250</v>
      </c>
      <c r="B255" s="60" t="str">
        <f t="shared" si="22"/>
        <v>00475121036</v>
      </c>
      <c r="C255" s="67" t="s">
        <v>28</v>
      </c>
      <c r="D255" s="59" t="s">
        <v>2058</v>
      </c>
      <c r="E255" s="55" t="str">
        <f t="shared" si="21"/>
        <v>00475</v>
      </c>
      <c r="F255" s="53" t="s">
        <v>2071</v>
      </c>
      <c r="G255" s="55" t="s">
        <v>16</v>
      </c>
      <c r="H255" s="60" t="s">
        <v>405</v>
      </c>
      <c r="I255" s="55">
        <v>308146144</v>
      </c>
      <c r="J255" s="55">
        <v>121036</v>
      </c>
      <c r="K255" s="55" t="s">
        <v>406</v>
      </c>
      <c r="L255" s="53" t="s">
        <v>2035</v>
      </c>
      <c r="M255" s="55" t="s">
        <v>49</v>
      </c>
      <c r="N255" s="52">
        <v>1835106383</v>
      </c>
      <c r="O255" s="52">
        <v>1835106383</v>
      </c>
      <c r="P255" s="52">
        <v>1660106382.98</v>
      </c>
      <c r="Q255" s="57">
        <v>45395</v>
      </c>
      <c r="R255" s="57">
        <v>47220</v>
      </c>
      <c r="S255" s="56">
        <v>14</v>
      </c>
      <c r="T255" s="54">
        <v>0</v>
      </c>
      <c r="U255" s="52">
        <v>1228453916.9300001</v>
      </c>
      <c r="V255" s="52">
        <v>1228453916.9300001</v>
      </c>
      <c r="W255" s="52">
        <v>0</v>
      </c>
      <c r="X255" s="57"/>
      <c r="Y255" s="52">
        <v>0</v>
      </c>
      <c r="Z255" s="52">
        <v>0</v>
      </c>
      <c r="AA255" s="52">
        <v>2</v>
      </c>
      <c r="AB255" s="52">
        <v>122845391.69</v>
      </c>
      <c r="AC255" s="52">
        <v>41335409.630000003</v>
      </c>
      <c r="AD255" s="52">
        <v>8952568.2799999993</v>
      </c>
      <c r="AE255" s="52">
        <v>0</v>
      </c>
      <c r="AF255" s="52">
        <v>31408587.710000001</v>
      </c>
      <c r="AG255" s="52">
        <v>974253.64</v>
      </c>
      <c r="AH255" s="52">
        <v>0</v>
      </c>
      <c r="AI255" s="52">
        <v>0</v>
      </c>
      <c r="AJ255" s="52">
        <v>2</v>
      </c>
      <c r="AK255" s="52"/>
      <c r="AL255" s="52">
        <v>0</v>
      </c>
      <c r="AM255" s="52">
        <v>0</v>
      </c>
      <c r="AN255" s="61">
        <v>22021276596</v>
      </c>
      <c r="AO255" s="52">
        <v>0</v>
      </c>
      <c r="AP255" s="52">
        <v>0</v>
      </c>
      <c r="AQ255" s="58">
        <v>0</v>
      </c>
      <c r="AR255" s="58">
        <v>0</v>
      </c>
      <c r="AS255" s="58">
        <v>0</v>
      </c>
      <c r="AT255" s="58">
        <v>0</v>
      </c>
      <c r="AU255" s="58">
        <v>0</v>
      </c>
      <c r="AV255" s="58">
        <v>0</v>
      </c>
      <c r="AW255" s="58">
        <v>0</v>
      </c>
      <c r="AX255" s="58">
        <v>0</v>
      </c>
    </row>
    <row r="256" spans="1:50" x14ac:dyDescent="0.25">
      <c r="A256" s="52">
        <f t="shared" si="20"/>
        <v>251</v>
      </c>
      <c r="B256" s="60" t="str">
        <f t="shared" si="22"/>
        <v>00475119730</v>
      </c>
      <c r="C256" s="67" t="s">
        <v>28</v>
      </c>
      <c r="D256" s="59" t="s">
        <v>2058</v>
      </c>
      <c r="E256" s="55" t="str">
        <f t="shared" si="21"/>
        <v>00475</v>
      </c>
      <c r="F256" s="53" t="s">
        <v>2071</v>
      </c>
      <c r="G256" s="55" t="s">
        <v>16</v>
      </c>
      <c r="H256" s="60" t="s">
        <v>405</v>
      </c>
      <c r="I256" s="55">
        <v>308146144</v>
      </c>
      <c r="J256" s="55">
        <v>119730</v>
      </c>
      <c r="K256" s="55" t="s">
        <v>407</v>
      </c>
      <c r="L256" s="53" t="s">
        <v>2035</v>
      </c>
      <c r="M256" s="55" t="s">
        <v>49</v>
      </c>
      <c r="N256" s="52">
        <v>1462765958</v>
      </c>
      <c r="O256" s="52">
        <v>1462765958</v>
      </c>
      <c r="P256" s="52">
        <v>1137765957.48</v>
      </c>
      <c r="Q256" s="57">
        <v>45371</v>
      </c>
      <c r="R256" s="57">
        <v>47196</v>
      </c>
      <c r="S256" s="56">
        <v>14</v>
      </c>
      <c r="T256" s="54">
        <v>0</v>
      </c>
      <c r="U256" s="52">
        <v>1137765957.48</v>
      </c>
      <c r="V256" s="52">
        <v>1137765957.48</v>
      </c>
      <c r="W256" s="52">
        <v>0</v>
      </c>
      <c r="X256" s="57"/>
      <c r="Y256" s="52">
        <v>0</v>
      </c>
      <c r="Z256" s="52">
        <v>0</v>
      </c>
      <c r="AA256" s="52">
        <v>2</v>
      </c>
      <c r="AB256" s="52">
        <v>113776595.73999999</v>
      </c>
      <c r="AC256" s="52">
        <v>33321917.810000002</v>
      </c>
      <c r="AD256" s="52">
        <v>5236840.57</v>
      </c>
      <c r="AE256" s="52">
        <v>0</v>
      </c>
      <c r="AF256" s="52">
        <v>19793413</v>
      </c>
      <c r="AG256" s="52">
        <v>8291664.2400000002</v>
      </c>
      <c r="AH256" s="52">
        <v>0</v>
      </c>
      <c r="AI256" s="52">
        <v>0</v>
      </c>
      <c r="AJ256" s="52">
        <v>2</v>
      </c>
      <c r="AK256" s="52"/>
      <c r="AL256" s="52">
        <v>0</v>
      </c>
      <c r="AM256" s="52">
        <v>0</v>
      </c>
      <c r="AN256" s="61">
        <v>17553191496</v>
      </c>
      <c r="AO256" s="52">
        <v>0</v>
      </c>
      <c r="AP256" s="52">
        <v>0</v>
      </c>
      <c r="AQ256" s="58">
        <v>0</v>
      </c>
      <c r="AR256" s="58">
        <v>0</v>
      </c>
      <c r="AS256" s="58">
        <v>0</v>
      </c>
      <c r="AT256" s="58">
        <v>0</v>
      </c>
      <c r="AU256" s="58">
        <v>0</v>
      </c>
      <c r="AV256" s="58">
        <v>0</v>
      </c>
      <c r="AW256" s="58">
        <v>0</v>
      </c>
      <c r="AX256" s="58">
        <v>0</v>
      </c>
    </row>
    <row r="257" spans="1:50" x14ac:dyDescent="0.25">
      <c r="A257" s="52">
        <f t="shared" si="20"/>
        <v>252</v>
      </c>
      <c r="B257" s="60" t="str">
        <f t="shared" si="22"/>
        <v>00475111628</v>
      </c>
      <c r="C257" s="67" t="s">
        <v>28</v>
      </c>
      <c r="D257" s="59" t="s">
        <v>2058</v>
      </c>
      <c r="E257" s="55" t="str">
        <f t="shared" si="21"/>
        <v>00475</v>
      </c>
      <c r="F257" s="53" t="s">
        <v>2071</v>
      </c>
      <c r="G257" s="55" t="s">
        <v>16</v>
      </c>
      <c r="H257" s="60" t="s">
        <v>2420</v>
      </c>
      <c r="I257" s="55">
        <v>303145347</v>
      </c>
      <c r="J257" s="55">
        <v>111628</v>
      </c>
      <c r="K257" s="55" t="s">
        <v>408</v>
      </c>
      <c r="L257" s="53" t="s">
        <v>2035</v>
      </c>
      <c r="M257" s="55" t="s">
        <v>49</v>
      </c>
      <c r="N257" s="52">
        <v>1303400000</v>
      </c>
      <c r="O257" s="52">
        <v>1303400000</v>
      </c>
      <c r="P257" s="52">
        <v>1303400000</v>
      </c>
      <c r="Q257" s="57">
        <v>45217</v>
      </c>
      <c r="R257" s="57">
        <v>47043</v>
      </c>
      <c r="S257" s="56">
        <v>10</v>
      </c>
      <c r="T257" s="54">
        <v>0</v>
      </c>
      <c r="U257" s="52">
        <v>1078400000</v>
      </c>
      <c r="V257" s="52">
        <v>1078400000</v>
      </c>
      <c r="W257" s="52">
        <v>0</v>
      </c>
      <c r="X257" s="57"/>
      <c r="Y257" s="52">
        <v>0</v>
      </c>
      <c r="Z257" s="52">
        <v>0</v>
      </c>
      <c r="AA257" s="52">
        <v>1</v>
      </c>
      <c r="AB257" s="52">
        <v>0</v>
      </c>
      <c r="AC257" s="52">
        <v>18318027.25</v>
      </c>
      <c r="AD257" s="52">
        <v>18318027.25</v>
      </c>
      <c r="AE257" s="52">
        <v>0</v>
      </c>
      <c r="AF257" s="52">
        <v>0</v>
      </c>
      <c r="AG257" s="52">
        <v>0</v>
      </c>
      <c r="AH257" s="52">
        <v>0</v>
      </c>
      <c r="AI257" s="52">
        <v>0</v>
      </c>
      <c r="AJ257" s="52">
        <v>2</v>
      </c>
      <c r="AK257" s="52"/>
      <c r="AL257" s="52">
        <v>0</v>
      </c>
      <c r="AM257" s="52">
        <v>0</v>
      </c>
      <c r="AN257" s="61">
        <v>1564080000</v>
      </c>
      <c r="AO257" s="52">
        <v>0</v>
      </c>
      <c r="AP257" s="52">
        <v>0</v>
      </c>
      <c r="AQ257" s="58">
        <v>0</v>
      </c>
      <c r="AR257" s="58">
        <v>0</v>
      </c>
      <c r="AS257" s="58">
        <v>0</v>
      </c>
      <c r="AT257" s="58">
        <v>0</v>
      </c>
      <c r="AU257" s="58">
        <v>0</v>
      </c>
      <c r="AV257" s="58">
        <v>0</v>
      </c>
      <c r="AW257" s="58">
        <v>0</v>
      </c>
      <c r="AX257" s="58">
        <v>0</v>
      </c>
    </row>
    <row r="258" spans="1:50" x14ac:dyDescent="0.25">
      <c r="A258" s="52">
        <f t="shared" si="20"/>
        <v>253</v>
      </c>
      <c r="B258" s="60" t="str">
        <f t="shared" si="22"/>
        <v>00475103215</v>
      </c>
      <c r="C258" s="67" t="s">
        <v>28</v>
      </c>
      <c r="D258" s="59" t="s">
        <v>2058</v>
      </c>
      <c r="E258" s="55" t="str">
        <f t="shared" si="21"/>
        <v>00475</v>
      </c>
      <c r="F258" s="53" t="s">
        <v>2071</v>
      </c>
      <c r="G258" s="55" t="s">
        <v>16</v>
      </c>
      <c r="H258" s="60" t="s">
        <v>409</v>
      </c>
      <c r="I258" s="55">
        <v>310208525</v>
      </c>
      <c r="J258" s="55">
        <v>103215</v>
      </c>
      <c r="K258" s="55" t="s">
        <v>410</v>
      </c>
      <c r="L258" s="53" t="s">
        <v>2035</v>
      </c>
      <c r="M258" s="55" t="s">
        <v>49</v>
      </c>
      <c r="N258" s="52">
        <v>1074999999.7</v>
      </c>
      <c r="O258" s="52">
        <v>1074999999.7</v>
      </c>
      <c r="P258" s="52">
        <v>1074999999.7</v>
      </c>
      <c r="Q258" s="57">
        <v>45099</v>
      </c>
      <c r="R258" s="57">
        <v>47638</v>
      </c>
      <c r="S258" s="56">
        <v>14</v>
      </c>
      <c r="T258" s="54">
        <v>6</v>
      </c>
      <c r="U258" s="52">
        <v>1074999999.7</v>
      </c>
      <c r="V258" s="52">
        <v>1074999999.7</v>
      </c>
      <c r="W258" s="52">
        <v>0</v>
      </c>
      <c r="X258" s="57"/>
      <c r="Y258" s="52">
        <v>0</v>
      </c>
      <c r="Z258" s="52">
        <v>0</v>
      </c>
      <c r="AA258" s="52">
        <v>1</v>
      </c>
      <c r="AB258" s="52">
        <v>0</v>
      </c>
      <c r="AC258" s="52">
        <v>14019178.08</v>
      </c>
      <c r="AD258" s="52">
        <v>14019178.08</v>
      </c>
      <c r="AE258" s="52">
        <v>0</v>
      </c>
      <c r="AF258" s="52">
        <v>0</v>
      </c>
      <c r="AG258" s="52">
        <v>0</v>
      </c>
      <c r="AH258" s="52">
        <v>0</v>
      </c>
      <c r="AI258" s="52">
        <v>0</v>
      </c>
      <c r="AJ258" s="52">
        <v>2</v>
      </c>
      <c r="AK258" s="52"/>
      <c r="AL258" s="52">
        <v>0</v>
      </c>
      <c r="AM258" s="52">
        <v>0</v>
      </c>
      <c r="AN258" s="52">
        <v>171999999952</v>
      </c>
      <c r="AO258" s="52">
        <v>0</v>
      </c>
      <c r="AP258" s="52">
        <v>0</v>
      </c>
      <c r="AQ258" s="58">
        <v>0</v>
      </c>
      <c r="AR258" s="58">
        <v>0</v>
      </c>
      <c r="AS258" s="58">
        <v>0</v>
      </c>
      <c r="AT258" s="58">
        <v>0</v>
      </c>
      <c r="AU258" s="58">
        <v>0</v>
      </c>
      <c r="AV258" s="58">
        <v>0</v>
      </c>
      <c r="AW258" s="58">
        <v>0</v>
      </c>
      <c r="AX258" s="58">
        <v>0</v>
      </c>
    </row>
    <row r="259" spans="1:50" x14ac:dyDescent="0.25">
      <c r="A259" s="52">
        <f t="shared" si="20"/>
        <v>254</v>
      </c>
      <c r="B259" s="60" t="str">
        <f t="shared" si="22"/>
        <v>0047584841</v>
      </c>
      <c r="C259" s="67" t="s">
        <v>28</v>
      </c>
      <c r="D259" s="59" t="s">
        <v>2058</v>
      </c>
      <c r="E259" s="55" t="str">
        <f t="shared" si="21"/>
        <v>00475</v>
      </c>
      <c r="F259" s="53" t="s">
        <v>2071</v>
      </c>
      <c r="G259" s="55" t="s">
        <v>16</v>
      </c>
      <c r="H259" s="60" t="s">
        <v>2421</v>
      </c>
      <c r="I259" s="55">
        <v>303614356</v>
      </c>
      <c r="J259" s="55">
        <v>84841</v>
      </c>
      <c r="K259" s="55" t="s">
        <v>411</v>
      </c>
      <c r="L259" s="53" t="s">
        <v>2035</v>
      </c>
      <c r="M259" s="55" t="s">
        <v>49</v>
      </c>
      <c r="N259" s="52">
        <v>1088197000</v>
      </c>
      <c r="O259" s="52">
        <v>1088197000</v>
      </c>
      <c r="P259" s="52">
        <v>1088197000</v>
      </c>
      <c r="Q259" s="57">
        <v>44888</v>
      </c>
      <c r="R259" s="57">
        <v>46703</v>
      </c>
      <c r="S259" s="56">
        <v>14</v>
      </c>
      <c r="T259" s="54">
        <v>24</v>
      </c>
      <c r="U259" s="52">
        <v>1024582790.34</v>
      </c>
      <c r="V259" s="52">
        <v>994355096.34000003</v>
      </c>
      <c r="W259" s="52">
        <v>30227694</v>
      </c>
      <c r="X259" s="57">
        <v>46037</v>
      </c>
      <c r="Y259" s="52">
        <v>0</v>
      </c>
      <c r="Z259" s="52">
        <v>0</v>
      </c>
      <c r="AA259" s="52">
        <v>1</v>
      </c>
      <c r="AB259" s="52">
        <v>0</v>
      </c>
      <c r="AC259" s="52">
        <v>30842053.960000001</v>
      </c>
      <c r="AD259" s="52">
        <v>30842053.960000001</v>
      </c>
      <c r="AE259" s="52">
        <v>0</v>
      </c>
      <c r="AF259" s="52">
        <v>0</v>
      </c>
      <c r="AG259" s="52">
        <v>0</v>
      </c>
      <c r="AH259" s="52">
        <v>0</v>
      </c>
      <c r="AI259" s="52">
        <v>0</v>
      </c>
      <c r="AJ259" s="52">
        <v>2</v>
      </c>
      <c r="AK259" s="52"/>
      <c r="AL259" s="52">
        <v>0</v>
      </c>
      <c r="AM259" s="52">
        <v>0</v>
      </c>
      <c r="AN259" s="52">
        <v>1741115200</v>
      </c>
      <c r="AO259" s="52">
        <v>0</v>
      </c>
      <c r="AP259" s="52">
        <v>0</v>
      </c>
      <c r="AQ259" s="58">
        <v>0</v>
      </c>
      <c r="AR259" s="58">
        <v>0</v>
      </c>
      <c r="AS259" s="58">
        <v>0</v>
      </c>
      <c r="AT259" s="58">
        <v>0</v>
      </c>
      <c r="AU259" s="58">
        <v>0</v>
      </c>
      <c r="AV259" s="58">
        <v>0</v>
      </c>
      <c r="AW259" s="58">
        <v>0</v>
      </c>
      <c r="AX259" s="58">
        <v>0</v>
      </c>
    </row>
    <row r="260" spans="1:50" x14ac:dyDescent="0.25">
      <c r="A260" s="52">
        <f t="shared" si="20"/>
        <v>255</v>
      </c>
      <c r="B260" s="60" t="str">
        <f t="shared" si="22"/>
        <v>00475188919</v>
      </c>
      <c r="C260" s="67" t="s">
        <v>28</v>
      </c>
      <c r="D260" s="59" t="s">
        <v>2058</v>
      </c>
      <c r="E260" s="55" t="str">
        <f t="shared" si="21"/>
        <v>00475</v>
      </c>
      <c r="F260" s="53" t="s">
        <v>2071</v>
      </c>
      <c r="G260" s="55" t="s">
        <v>16</v>
      </c>
      <c r="H260" s="60" t="s">
        <v>2422</v>
      </c>
      <c r="I260" s="55">
        <v>303521401</v>
      </c>
      <c r="J260" s="55">
        <v>188919</v>
      </c>
      <c r="K260" s="55" t="s">
        <v>412</v>
      </c>
      <c r="L260" s="53" t="s">
        <v>2035</v>
      </c>
      <c r="M260" s="55" t="s">
        <v>49</v>
      </c>
      <c r="N260" s="52">
        <v>1000000001</v>
      </c>
      <c r="O260" s="52">
        <v>1000000001</v>
      </c>
      <c r="P260" s="52">
        <v>530000001</v>
      </c>
      <c r="Q260" s="57">
        <v>45919</v>
      </c>
      <c r="R260" s="57">
        <v>47744</v>
      </c>
      <c r="S260" s="56">
        <v>24</v>
      </c>
      <c r="T260" s="54">
        <v>0</v>
      </c>
      <c r="U260" s="52">
        <v>1000000001</v>
      </c>
      <c r="V260" s="52">
        <v>1000000001</v>
      </c>
      <c r="W260" s="52">
        <v>0</v>
      </c>
      <c r="X260" s="57"/>
      <c r="Y260" s="52">
        <v>0</v>
      </c>
      <c r="Z260" s="52">
        <v>0</v>
      </c>
      <c r="AA260" s="52">
        <v>2</v>
      </c>
      <c r="AB260" s="52">
        <v>100000000.09999999</v>
      </c>
      <c r="AC260" s="52">
        <v>61880548.030000001</v>
      </c>
      <c r="AD260" s="52">
        <v>8547945.2100000009</v>
      </c>
      <c r="AE260" s="52">
        <v>0</v>
      </c>
      <c r="AF260" s="52">
        <v>0</v>
      </c>
      <c r="AG260" s="52">
        <v>53332602.82</v>
      </c>
      <c r="AH260" s="52">
        <v>0</v>
      </c>
      <c r="AI260" s="52">
        <v>0</v>
      </c>
      <c r="AJ260" s="52">
        <v>2</v>
      </c>
      <c r="AK260" s="52"/>
      <c r="AL260" s="52">
        <v>0</v>
      </c>
      <c r="AM260" s="52">
        <v>0</v>
      </c>
      <c r="AN260" s="61">
        <v>12000000012</v>
      </c>
      <c r="AO260" s="52">
        <v>0</v>
      </c>
      <c r="AP260" s="52">
        <v>0</v>
      </c>
      <c r="AQ260" s="58">
        <v>0</v>
      </c>
      <c r="AR260" s="58">
        <v>0</v>
      </c>
      <c r="AS260" s="58">
        <v>0</v>
      </c>
      <c r="AT260" s="58">
        <v>0</v>
      </c>
      <c r="AU260" s="58">
        <v>0</v>
      </c>
      <c r="AV260" s="58">
        <v>0</v>
      </c>
      <c r="AW260" s="58">
        <v>0</v>
      </c>
      <c r="AX260" s="58">
        <v>0</v>
      </c>
    </row>
    <row r="261" spans="1:50" x14ac:dyDescent="0.25">
      <c r="A261" s="52">
        <f t="shared" si="20"/>
        <v>256</v>
      </c>
      <c r="B261" s="60" t="str">
        <f t="shared" si="22"/>
        <v>00475144535</v>
      </c>
      <c r="C261" s="67" t="s">
        <v>28</v>
      </c>
      <c r="D261" s="59" t="s">
        <v>2058</v>
      </c>
      <c r="E261" s="55" t="str">
        <f t="shared" si="21"/>
        <v>00475</v>
      </c>
      <c r="F261" s="53" t="s">
        <v>2071</v>
      </c>
      <c r="G261" s="55" t="s">
        <v>16</v>
      </c>
      <c r="H261" s="60" t="s">
        <v>2420</v>
      </c>
      <c r="I261" s="55">
        <v>303145347</v>
      </c>
      <c r="J261" s="55">
        <v>144535</v>
      </c>
      <c r="K261" s="55" t="s">
        <v>413</v>
      </c>
      <c r="L261" s="53" t="s">
        <v>2035</v>
      </c>
      <c r="M261" s="55" t="s">
        <v>91</v>
      </c>
      <c r="N261" s="52">
        <v>568574</v>
      </c>
      <c r="O261" s="52">
        <v>963749987.22000003</v>
      </c>
      <c r="P261" s="52">
        <f>+O261</f>
        <v>963749987.22000003</v>
      </c>
      <c r="Q261" s="57">
        <v>45644</v>
      </c>
      <c r="R261" s="57">
        <v>47457</v>
      </c>
      <c r="S261" s="56">
        <v>10</v>
      </c>
      <c r="T261" s="54">
        <v>0</v>
      </c>
      <c r="U261" s="52">
        <v>983617042.54999995</v>
      </c>
      <c r="V261" s="52">
        <v>887733343.5</v>
      </c>
      <c r="W261" s="52">
        <v>95883699.049999997</v>
      </c>
      <c r="X261" s="57">
        <v>45996</v>
      </c>
      <c r="Y261" s="52">
        <v>0</v>
      </c>
      <c r="Z261" s="52">
        <v>0</v>
      </c>
      <c r="AA261" s="52">
        <v>1</v>
      </c>
      <c r="AB261" s="52">
        <v>0</v>
      </c>
      <c r="AC261" s="52">
        <v>23456546.920000002</v>
      </c>
      <c r="AD261" s="52">
        <v>6566798.21</v>
      </c>
      <c r="AE261" s="52">
        <v>0</v>
      </c>
      <c r="AF261" s="52">
        <v>970167.65</v>
      </c>
      <c r="AG261" s="52">
        <v>15919581.060000001</v>
      </c>
      <c r="AH261" s="52">
        <v>0</v>
      </c>
      <c r="AI261" s="52">
        <v>0</v>
      </c>
      <c r="AJ261" s="52">
        <v>2</v>
      </c>
      <c r="AK261" s="52"/>
      <c r="AL261" s="52">
        <v>0</v>
      </c>
      <c r="AM261" s="52">
        <v>0</v>
      </c>
      <c r="AN261" s="61">
        <v>1156499984664</v>
      </c>
      <c r="AO261" s="52">
        <v>0</v>
      </c>
      <c r="AP261" s="52">
        <v>0</v>
      </c>
      <c r="AQ261" s="58">
        <v>0</v>
      </c>
      <c r="AR261" s="58">
        <v>0</v>
      </c>
      <c r="AS261" s="58">
        <v>0</v>
      </c>
      <c r="AT261" s="58">
        <v>0</v>
      </c>
      <c r="AU261" s="58">
        <v>0</v>
      </c>
      <c r="AV261" s="58">
        <v>0</v>
      </c>
      <c r="AW261" s="58">
        <v>0</v>
      </c>
      <c r="AX261" s="58">
        <v>0</v>
      </c>
    </row>
    <row r="262" spans="1:50" x14ac:dyDescent="0.25">
      <c r="A262" s="52">
        <f t="shared" si="20"/>
        <v>257</v>
      </c>
      <c r="B262" s="60" t="str">
        <f t="shared" si="22"/>
        <v>00475133240</v>
      </c>
      <c r="C262" s="67" t="s">
        <v>28</v>
      </c>
      <c r="D262" s="59" t="s">
        <v>2058</v>
      </c>
      <c r="E262" s="55" t="str">
        <f t="shared" si="21"/>
        <v>00475</v>
      </c>
      <c r="F262" s="53" t="s">
        <v>2071</v>
      </c>
      <c r="G262" s="55" t="s">
        <v>16</v>
      </c>
      <c r="H262" s="60" t="s">
        <v>2423</v>
      </c>
      <c r="I262" s="55">
        <v>303556294</v>
      </c>
      <c r="J262" s="55">
        <v>133240</v>
      </c>
      <c r="K262" s="55" t="s">
        <v>414</v>
      </c>
      <c r="L262" s="53" t="s">
        <v>2035</v>
      </c>
      <c r="M262" s="55" t="s">
        <v>49</v>
      </c>
      <c r="N262" s="52">
        <v>928587463</v>
      </c>
      <c r="O262" s="52">
        <v>928587463</v>
      </c>
      <c r="P262" s="52">
        <v>928587463</v>
      </c>
      <c r="Q262" s="57">
        <v>45551</v>
      </c>
      <c r="R262" s="57">
        <v>47366</v>
      </c>
      <c r="S262" s="56">
        <v>26</v>
      </c>
      <c r="T262" s="54">
        <v>0</v>
      </c>
      <c r="U262" s="52">
        <v>928587463</v>
      </c>
      <c r="V262" s="52">
        <v>928587463</v>
      </c>
      <c r="W262" s="52">
        <v>0</v>
      </c>
      <c r="X262" s="57"/>
      <c r="Y262" s="52">
        <v>0</v>
      </c>
      <c r="Z262" s="52">
        <v>0</v>
      </c>
      <c r="AA262" s="52">
        <v>1</v>
      </c>
      <c r="AB262" s="52">
        <v>0</v>
      </c>
      <c r="AC262" s="52">
        <v>200060840.32999998</v>
      </c>
      <c r="AD262" s="52">
        <v>17859408.190000001</v>
      </c>
      <c r="AE262" s="52">
        <v>0</v>
      </c>
      <c r="AF262" s="52">
        <v>161696185.69</v>
      </c>
      <c r="AG262" s="52">
        <v>20505246.449999999</v>
      </c>
      <c r="AH262" s="52">
        <v>0</v>
      </c>
      <c r="AI262" s="52">
        <v>0</v>
      </c>
      <c r="AJ262" s="52">
        <v>2</v>
      </c>
      <c r="AK262" s="52"/>
      <c r="AL262" s="52">
        <v>0</v>
      </c>
      <c r="AM262" s="52">
        <v>0</v>
      </c>
      <c r="AN262" s="61">
        <v>11143049556</v>
      </c>
      <c r="AO262" s="52">
        <v>0</v>
      </c>
      <c r="AP262" s="52">
        <v>0</v>
      </c>
      <c r="AQ262" s="58">
        <v>0</v>
      </c>
      <c r="AR262" s="58">
        <v>0</v>
      </c>
      <c r="AS262" s="58">
        <v>0</v>
      </c>
      <c r="AT262" s="58">
        <v>0</v>
      </c>
      <c r="AU262" s="58">
        <v>0</v>
      </c>
      <c r="AV262" s="58">
        <v>0</v>
      </c>
      <c r="AW262" s="58">
        <v>0</v>
      </c>
      <c r="AX262" s="58">
        <v>0</v>
      </c>
    </row>
    <row r="263" spans="1:50" x14ac:dyDescent="0.25">
      <c r="A263" s="52">
        <f t="shared" si="20"/>
        <v>258</v>
      </c>
      <c r="B263" s="60" t="str">
        <f t="shared" si="22"/>
        <v>00475136990</v>
      </c>
      <c r="C263" s="67" t="s">
        <v>28</v>
      </c>
      <c r="D263" s="59" t="s">
        <v>2058</v>
      </c>
      <c r="E263" s="55" t="str">
        <f t="shared" si="21"/>
        <v>00475</v>
      </c>
      <c r="F263" s="53" t="s">
        <v>2071</v>
      </c>
      <c r="G263" s="55" t="s">
        <v>16</v>
      </c>
      <c r="H263" s="60" t="s">
        <v>2422</v>
      </c>
      <c r="I263" s="55">
        <v>303521401</v>
      </c>
      <c r="J263" s="55">
        <v>136990</v>
      </c>
      <c r="K263" s="55" t="s">
        <v>415</v>
      </c>
      <c r="L263" s="53" t="s">
        <v>2035</v>
      </c>
      <c r="M263" s="55" t="s">
        <v>49</v>
      </c>
      <c r="N263" s="52">
        <v>1212765958</v>
      </c>
      <c r="O263" s="52">
        <v>1212765958</v>
      </c>
      <c r="P263" s="52">
        <v>1212765957.48</v>
      </c>
      <c r="Q263" s="57">
        <v>45576</v>
      </c>
      <c r="R263" s="57">
        <v>47401</v>
      </c>
      <c r="S263" s="56">
        <v>14</v>
      </c>
      <c r="T263" s="54">
        <v>0</v>
      </c>
      <c r="U263" s="52">
        <v>925379959.34000003</v>
      </c>
      <c r="V263" s="52">
        <v>925379959.34000003</v>
      </c>
      <c r="W263" s="52">
        <v>0</v>
      </c>
      <c r="X263" s="57"/>
      <c r="Y263" s="52">
        <v>0</v>
      </c>
      <c r="Z263" s="52">
        <v>0</v>
      </c>
      <c r="AA263" s="52">
        <v>2</v>
      </c>
      <c r="AB263" s="52">
        <v>92537995.930000007</v>
      </c>
      <c r="AC263" s="52">
        <v>38131942.450000003</v>
      </c>
      <c r="AD263" s="52">
        <v>7098805.1699999999</v>
      </c>
      <c r="AE263" s="52">
        <v>0</v>
      </c>
      <c r="AF263" s="52">
        <v>27128794.440000001</v>
      </c>
      <c r="AG263" s="52">
        <v>3904342.84</v>
      </c>
      <c r="AH263" s="52">
        <v>0</v>
      </c>
      <c r="AI263" s="52">
        <v>0</v>
      </c>
      <c r="AJ263" s="52">
        <v>2</v>
      </c>
      <c r="AK263" s="52"/>
      <c r="AL263" s="52">
        <v>0</v>
      </c>
      <c r="AM263" s="52">
        <v>0</v>
      </c>
      <c r="AN263" s="61">
        <v>14553191496</v>
      </c>
      <c r="AO263" s="52">
        <v>0</v>
      </c>
      <c r="AP263" s="52">
        <v>0</v>
      </c>
      <c r="AQ263" s="58">
        <v>0</v>
      </c>
      <c r="AR263" s="58">
        <v>0</v>
      </c>
      <c r="AS263" s="58">
        <v>0</v>
      </c>
      <c r="AT263" s="58">
        <v>0</v>
      </c>
      <c r="AU263" s="58">
        <v>0</v>
      </c>
      <c r="AV263" s="58">
        <v>0</v>
      </c>
      <c r="AW263" s="58">
        <v>0</v>
      </c>
      <c r="AX263" s="58">
        <v>0</v>
      </c>
    </row>
    <row r="264" spans="1:50" x14ac:dyDescent="0.25">
      <c r="A264" s="52">
        <f t="shared" ref="A264:A327" si="23">+A263+1</f>
        <v>259</v>
      </c>
      <c r="B264" s="60" t="str">
        <f t="shared" si="22"/>
        <v>00475108150</v>
      </c>
      <c r="C264" s="67" t="s">
        <v>28</v>
      </c>
      <c r="D264" s="59" t="s">
        <v>2058</v>
      </c>
      <c r="E264" s="55" t="str">
        <f t="shared" si="21"/>
        <v>00475</v>
      </c>
      <c r="F264" s="53" t="s">
        <v>2071</v>
      </c>
      <c r="G264" s="55" t="s">
        <v>16</v>
      </c>
      <c r="H264" s="60" t="s">
        <v>2424</v>
      </c>
      <c r="I264" s="55">
        <v>201550189</v>
      </c>
      <c r="J264" s="55">
        <v>108150</v>
      </c>
      <c r="K264" s="55" t="s">
        <v>416</v>
      </c>
      <c r="L264" s="53" t="s">
        <v>2035</v>
      </c>
      <c r="M264" s="55" t="s">
        <v>49</v>
      </c>
      <c r="N264" s="52">
        <v>831712500</v>
      </c>
      <c r="O264" s="52">
        <v>831712500</v>
      </c>
      <c r="P264" s="52">
        <v>831712500</v>
      </c>
      <c r="Q264" s="57">
        <v>45177</v>
      </c>
      <c r="R264" s="57">
        <v>47003</v>
      </c>
      <c r="S264" s="56">
        <v>23.99</v>
      </c>
      <c r="T264" s="54">
        <v>0</v>
      </c>
      <c r="U264" s="52">
        <v>831712500</v>
      </c>
      <c r="V264" s="52">
        <v>831712500</v>
      </c>
      <c r="W264" s="52">
        <v>0</v>
      </c>
      <c r="X264" s="57"/>
      <c r="Y264" s="52">
        <v>0</v>
      </c>
      <c r="Z264" s="52">
        <v>0</v>
      </c>
      <c r="AA264" s="52">
        <v>3</v>
      </c>
      <c r="AB264" s="52">
        <v>207928125</v>
      </c>
      <c r="AC264" s="52">
        <v>213084788.06999999</v>
      </c>
      <c r="AD264" s="52">
        <v>100583891.75</v>
      </c>
      <c r="AE264" s="52">
        <v>0</v>
      </c>
      <c r="AF264" s="52">
        <v>112500896.31999999</v>
      </c>
      <c r="AG264" s="52">
        <v>0</v>
      </c>
      <c r="AH264" s="52">
        <v>0</v>
      </c>
      <c r="AI264" s="52">
        <v>0</v>
      </c>
      <c r="AJ264" s="52">
        <v>2</v>
      </c>
      <c r="AK264" s="52"/>
      <c r="AL264" s="52">
        <v>0</v>
      </c>
      <c r="AM264" s="52">
        <v>0</v>
      </c>
      <c r="AN264" s="61">
        <v>998055000</v>
      </c>
      <c r="AO264" s="52">
        <v>0</v>
      </c>
      <c r="AP264" s="52">
        <v>0</v>
      </c>
      <c r="AQ264" s="58">
        <v>0</v>
      </c>
      <c r="AR264" s="58">
        <v>0</v>
      </c>
      <c r="AS264" s="58">
        <v>0</v>
      </c>
      <c r="AT264" s="58">
        <v>0</v>
      </c>
      <c r="AU264" s="58">
        <v>0</v>
      </c>
      <c r="AV264" s="58">
        <v>0</v>
      </c>
      <c r="AW264" s="58">
        <v>0</v>
      </c>
      <c r="AX264" s="58">
        <v>0</v>
      </c>
    </row>
    <row r="265" spans="1:50" x14ac:dyDescent="0.25">
      <c r="A265" s="52">
        <f t="shared" si="23"/>
        <v>260</v>
      </c>
      <c r="B265" s="60" t="str">
        <f t="shared" si="22"/>
        <v>00475141262</v>
      </c>
      <c r="C265" s="67" t="s">
        <v>28</v>
      </c>
      <c r="D265" s="59" t="s">
        <v>2058</v>
      </c>
      <c r="E265" s="55" t="str">
        <f t="shared" si="21"/>
        <v>00475</v>
      </c>
      <c r="F265" s="53" t="s">
        <v>2071</v>
      </c>
      <c r="G265" s="55" t="s">
        <v>16</v>
      </c>
      <c r="H265" s="60" t="s">
        <v>2425</v>
      </c>
      <c r="I265" s="55">
        <v>206032274</v>
      </c>
      <c r="J265" s="55">
        <v>141262</v>
      </c>
      <c r="K265" s="55" t="s">
        <v>417</v>
      </c>
      <c r="L265" s="53" t="s">
        <v>2035</v>
      </c>
      <c r="M265" s="55" t="s">
        <v>49</v>
      </c>
      <c r="N265" s="52">
        <v>1245744681</v>
      </c>
      <c r="O265" s="52">
        <v>1245744681</v>
      </c>
      <c r="P265" s="52">
        <v>1245744680.8599999</v>
      </c>
      <c r="Q265" s="57">
        <v>45616</v>
      </c>
      <c r="R265" s="57">
        <v>47441</v>
      </c>
      <c r="S265" s="56">
        <v>14</v>
      </c>
      <c r="T265" s="54">
        <v>0</v>
      </c>
      <c r="U265" s="52">
        <v>820133109.04999995</v>
      </c>
      <c r="V265" s="52">
        <v>820133109.04999995</v>
      </c>
      <c r="W265" s="52">
        <v>0</v>
      </c>
      <c r="X265" s="57"/>
      <c r="Y265" s="52">
        <v>0</v>
      </c>
      <c r="Z265" s="52">
        <v>0</v>
      </c>
      <c r="AA265" s="52">
        <v>1</v>
      </c>
      <c r="AB265" s="52">
        <v>0</v>
      </c>
      <c r="AC265" s="52">
        <v>5997009.4000000004</v>
      </c>
      <c r="AD265" s="52">
        <v>3774859.24</v>
      </c>
      <c r="AE265" s="52">
        <v>0</v>
      </c>
      <c r="AF265" s="52">
        <v>0</v>
      </c>
      <c r="AG265" s="52">
        <v>2222150.16</v>
      </c>
      <c r="AH265" s="52">
        <v>0</v>
      </c>
      <c r="AI265" s="52">
        <v>0</v>
      </c>
      <c r="AJ265" s="52">
        <v>2</v>
      </c>
      <c r="AK265" s="52"/>
      <c r="AL265" s="52">
        <v>0</v>
      </c>
      <c r="AM265" s="52">
        <v>0</v>
      </c>
      <c r="AN265" s="61">
        <v>14948936172</v>
      </c>
      <c r="AO265" s="52">
        <v>0</v>
      </c>
      <c r="AP265" s="52">
        <v>0</v>
      </c>
      <c r="AQ265" s="58">
        <v>0</v>
      </c>
      <c r="AR265" s="58">
        <v>0</v>
      </c>
      <c r="AS265" s="58">
        <v>0</v>
      </c>
      <c r="AT265" s="58">
        <v>0</v>
      </c>
      <c r="AU265" s="58">
        <v>0</v>
      </c>
      <c r="AV265" s="58">
        <v>0</v>
      </c>
      <c r="AW265" s="58">
        <v>0</v>
      </c>
      <c r="AX265" s="58">
        <v>0</v>
      </c>
    </row>
    <row r="266" spans="1:50" x14ac:dyDescent="0.25">
      <c r="A266" s="52">
        <f t="shared" si="23"/>
        <v>261</v>
      </c>
      <c r="B266" s="60" t="str">
        <f t="shared" si="22"/>
        <v>00475121035</v>
      </c>
      <c r="C266" s="67" t="s">
        <v>28</v>
      </c>
      <c r="D266" s="59" t="s">
        <v>2058</v>
      </c>
      <c r="E266" s="55" t="str">
        <f t="shared" si="21"/>
        <v>00475</v>
      </c>
      <c r="F266" s="53" t="s">
        <v>2071</v>
      </c>
      <c r="G266" s="55" t="s">
        <v>16</v>
      </c>
      <c r="H266" s="60" t="s">
        <v>396</v>
      </c>
      <c r="I266" s="55">
        <v>303521472</v>
      </c>
      <c r="J266" s="55">
        <v>121035</v>
      </c>
      <c r="K266" s="55" t="s">
        <v>418</v>
      </c>
      <c r="L266" s="53" t="s">
        <v>2035</v>
      </c>
      <c r="M266" s="55" t="s">
        <v>49</v>
      </c>
      <c r="N266" s="52">
        <v>904255320</v>
      </c>
      <c r="O266" s="52">
        <v>904255320</v>
      </c>
      <c r="P266" s="52">
        <v>904255319.20000005</v>
      </c>
      <c r="Q266" s="57">
        <v>45395</v>
      </c>
      <c r="R266" s="57">
        <v>47220</v>
      </c>
      <c r="S266" s="56">
        <v>14</v>
      </c>
      <c r="T266" s="54">
        <v>0</v>
      </c>
      <c r="U266" s="52">
        <v>664108755.28999996</v>
      </c>
      <c r="V266" s="52">
        <v>664108755.28999996</v>
      </c>
      <c r="W266" s="52">
        <v>0</v>
      </c>
      <c r="X266" s="57"/>
      <c r="Y266" s="52">
        <v>0</v>
      </c>
      <c r="Z266" s="52">
        <v>0</v>
      </c>
      <c r="AA266" s="52">
        <v>1</v>
      </c>
      <c r="AB266" s="52">
        <v>0</v>
      </c>
      <c r="AC266" s="52">
        <v>5409528.7299999995</v>
      </c>
      <c r="AD266" s="52">
        <v>4839806.2699999996</v>
      </c>
      <c r="AE266" s="52">
        <v>0</v>
      </c>
      <c r="AF266" s="52">
        <v>0</v>
      </c>
      <c r="AG266" s="52">
        <v>569722.46</v>
      </c>
      <c r="AH266" s="52">
        <v>0</v>
      </c>
      <c r="AI266" s="52">
        <v>0</v>
      </c>
      <c r="AJ266" s="52">
        <v>2</v>
      </c>
      <c r="AK266" s="52"/>
      <c r="AL266" s="52">
        <v>0</v>
      </c>
      <c r="AM266" s="52">
        <v>0</v>
      </c>
      <c r="AN266" s="61">
        <v>1085106384</v>
      </c>
      <c r="AO266" s="52">
        <v>0</v>
      </c>
      <c r="AP266" s="52">
        <v>0</v>
      </c>
      <c r="AQ266" s="58">
        <v>0</v>
      </c>
      <c r="AR266" s="58">
        <v>0</v>
      </c>
      <c r="AS266" s="58">
        <v>0</v>
      </c>
      <c r="AT266" s="58">
        <v>0</v>
      </c>
      <c r="AU266" s="58">
        <v>0</v>
      </c>
      <c r="AV266" s="58">
        <v>0</v>
      </c>
      <c r="AW266" s="58">
        <v>0</v>
      </c>
      <c r="AX266" s="58">
        <v>0</v>
      </c>
    </row>
    <row r="267" spans="1:50" x14ac:dyDescent="0.25">
      <c r="A267" s="52">
        <f t="shared" si="23"/>
        <v>262</v>
      </c>
      <c r="B267" s="60" t="str">
        <f t="shared" si="22"/>
        <v>00475121788</v>
      </c>
      <c r="C267" s="67" t="s">
        <v>28</v>
      </c>
      <c r="D267" s="59" t="s">
        <v>2058</v>
      </c>
      <c r="E267" s="55" t="str">
        <f t="shared" si="21"/>
        <v>00475</v>
      </c>
      <c r="F267" s="53" t="s">
        <v>2071</v>
      </c>
      <c r="G267" s="55" t="s">
        <v>16</v>
      </c>
      <c r="H267" s="60" t="s">
        <v>2426</v>
      </c>
      <c r="I267" s="55">
        <v>303521765</v>
      </c>
      <c r="J267" s="55">
        <v>121788</v>
      </c>
      <c r="K267" s="55" t="s">
        <v>419</v>
      </c>
      <c r="L267" s="53" t="s">
        <v>2035</v>
      </c>
      <c r="M267" s="55" t="s">
        <v>49</v>
      </c>
      <c r="N267" s="52">
        <v>654255320</v>
      </c>
      <c r="O267" s="52">
        <v>654255320</v>
      </c>
      <c r="P267" s="52">
        <v>654255319.20000005</v>
      </c>
      <c r="Q267" s="57">
        <v>45406</v>
      </c>
      <c r="R267" s="57">
        <v>47231</v>
      </c>
      <c r="S267" s="56">
        <v>14</v>
      </c>
      <c r="T267" s="54">
        <v>0</v>
      </c>
      <c r="U267" s="52">
        <v>654255319.20000005</v>
      </c>
      <c r="V267" s="52">
        <v>654255319.20000005</v>
      </c>
      <c r="W267" s="52">
        <v>0</v>
      </c>
      <c r="X267" s="57"/>
      <c r="Y267" s="52">
        <v>0</v>
      </c>
      <c r="Z267" s="52">
        <v>0</v>
      </c>
      <c r="AA267" s="52">
        <v>2</v>
      </c>
      <c r="AB267" s="52">
        <v>65425531.920000002</v>
      </c>
      <c r="AC267" s="52">
        <v>28605909.200000003</v>
      </c>
      <c r="AD267" s="52">
        <v>1505683.48</v>
      </c>
      <c r="AE267" s="52">
        <v>0</v>
      </c>
      <c r="AF267" s="52">
        <v>15445398.73</v>
      </c>
      <c r="AG267" s="52">
        <v>11654826.99</v>
      </c>
      <c r="AH267" s="52">
        <v>0</v>
      </c>
      <c r="AI267" s="52">
        <v>0</v>
      </c>
      <c r="AJ267" s="52">
        <v>2</v>
      </c>
      <c r="AK267" s="52"/>
      <c r="AL267" s="52">
        <v>0</v>
      </c>
      <c r="AM267" s="52">
        <v>0</v>
      </c>
      <c r="AN267" s="61">
        <v>785106384</v>
      </c>
      <c r="AO267" s="52">
        <v>0</v>
      </c>
      <c r="AP267" s="52">
        <v>0</v>
      </c>
      <c r="AQ267" s="58">
        <v>0</v>
      </c>
      <c r="AR267" s="58">
        <v>0</v>
      </c>
      <c r="AS267" s="58">
        <v>0</v>
      </c>
      <c r="AT267" s="58">
        <v>0</v>
      </c>
      <c r="AU267" s="58">
        <v>0</v>
      </c>
      <c r="AV267" s="58">
        <v>0</v>
      </c>
      <c r="AW267" s="58">
        <v>0</v>
      </c>
      <c r="AX267" s="58">
        <v>0</v>
      </c>
    </row>
    <row r="268" spans="1:50" x14ac:dyDescent="0.25">
      <c r="A268" s="52">
        <f t="shared" si="23"/>
        <v>263</v>
      </c>
      <c r="B268" s="60" t="str">
        <f t="shared" si="22"/>
        <v>00475133597</v>
      </c>
      <c r="C268" s="67" t="s">
        <v>28</v>
      </c>
      <c r="D268" s="59" t="s">
        <v>2058</v>
      </c>
      <c r="E268" s="55" t="str">
        <f t="shared" si="21"/>
        <v>00475</v>
      </c>
      <c r="F268" s="53" t="s">
        <v>2071</v>
      </c>
      <c r="G268" s="55" t="s">
        <v>16</v>
      </c>
      <c r="H268" s="60" t="s">
        <v>2423</v>
      </c>
      <c r="I268" s="55">
        <v>303556294</v>
      </c>
      <c r="J268" s="55">
        <v>133597</v>
      </c>
      <c r="K268" s="55" t="s">
        <v>420</v>
      </c>
      <c r="L268" s="53" t="s">
        <v>2035</v>
      </c>
      <c r="M268" s="55" t="s">
        <v>49</v>
      </c>
      <c r="N268" s="52">
        <v>630434330</v>
      </c>
      <c r="O268" s="52">
        <v>630434330</v>
      </c>
      <c r="P268" s="52">
        <v>630434330</v>
      </c>
      <c r="Q268" s="57">
        <v>45553</v>
      </c>
      <c r="R268" s="57">
        <v>47366</v>
      </c>
      <c r="S268" s="56">
        <v>26</v>
      </c>
      <c r="T268" s="54">
        <v>0</v>
      </c>
      <c r="U268" s="52">
        <v>630434330</v>
      </c>
      <c r="V268" s="52">
        <v>630434330</v>
      </c>
      <c r="W268" s="52">
        <v>0</v>
      </c>
      <c r="X268" s="57"/>
      <c r="Y268" s="52">
        <v>0</v>
      </c>
      <c r="Z268" s="52">
        <v>0</v>
      </c>
      <c r="AA268" s="52">
        <v>1</v>
      </c>
      <c r="AB268" s="52">
        <v>0</v>
      </c>
      <c r="AC268" s="52">
        <v>134363691.50999999</v>
      </c>
      <c r="AD268" s="52">
        <v>12125065.74</v>
      </c>
      <c r="AE268" s="52">
        <v>0</v>
      </c>
      <c r="AF268" s="52">
        <v>108317253.98999999</v>
      </c>
      <c r="AG268" s="52">
        <v>13921371.779999999</v>
      </c>
      <c r="AH268" s="52">
        <v>0</v>
      </c>
      <c r="AI268" s="52">
        <v>0</v>
      </c>
      <c r="AJ268" s="52">
        <v>2</v>
      </c>
      <c r="AK268" s="52"/>
      <c r="AL268" s="52">
        <v>0</v>
      </c>
      <c r="AM268" s="52">
        <v>0</v>
      </c>
      <c r="AN268" s="61">
        <v>756521196</v>
      </c>
      <c r="AO268" s="52">
        <v>0</v>
      </c>
      <c r="AP268" s="52">
        <v>0</v>
      </c>
      <c r="AQ268" s="58">
        <v>0</v>
      </c>
      <c r="AR268" s="58">
        <v>0</v>
      </c>
      <c r="AS268" s="58">
        <v>0</v>
      </c>
      <c r="AT268" s="58">
        <v>0</v>
      </c>
      <c r="AU268" s="58">
        <v>0</v>
      </c>
      <c r="AV268" s="58">
        <v>0</v>
      </c>
      <c r="AW268" s="58">
        <v>0</v>
      </c>
      <c r="AX268" s="58">
        <v>0</v>
      </c>
    </row>
    <row r="269" spans="1:50" x14ac:dyDescent="0.25">
      <c r="A269" s="52">
        <f t="shared" si="23"/>
        <v>264</v>
      </c>
      <c r="B269" s="60" t="str">
        <f t="shared" si="22"/>
        <v>00475121015</v>
      </c>
      <c r="C269" s="67" t="s">
        <v>28</v>
      </c>
      <c r="D269" s="59" t="s">
        <v>2058</v>
      </c>
      <c r="E269" s="55" t="str">
        <f t="shared" si="21"/>
        <v>00475</v>
      </c>
      <c r="F269" s="53" t="s">
        <v>2071</v>
      </c>
      <c r="G269" s="55" t="s">
        <v>16</v>
      </c>
      <c r="H269" s="60" t="s">
        <v>2422</v>
      </c>
      <c r="I269" s="55">
        <v>303521401</v>
      </c>
      <c r="J269" s="55">
        <v>121015</v>
      </c>
      <c r="K269" s="55" t="s">
        <v>421</v>
      </c>
      <c r="L269" s="53" t="s">
        <v>2035</v>
      </c>
      <c r="M269" s="55" t="s">
        <v>49</v>
      </c>
      <c r="N269" s="52">
        <v>831382979</v>
      </c>
      <c r="O269" s="52">
        <v>831382979</v>
      </c>
      <c r="P269" s="52">
        <v>831382978.74000001</v>
      </c>
      <c r="Q269" s="57">
        <v>45395</v>
      </c>
      <c r="R269" s="57">
        <v>47220</v>
      </c>
      <c r="S269" s="56">
        <v>14</v>
      </c>
      <c r="T269" s="54">
        <v>0</v>
      </c>
      <c r="U269" s="52">
        <v>604009550.78999996</v>
      </c>
      <c r="V269" s="52">
        <v>604009550.78999996</v>
      </c>
      <c r="W269" s="52">
        <v>0</v>
      </c>
      <c r="X269" s="57"/>
      <c r="Y269" s="52">
        <v>0</v>
      </c>
      <c r="Z269" s="52">
        <v>0</v>
      </c>
      <c r="AA269" s="52">
        <v>2</v>
      </c>
      <c r="AB269" s="52">
        <v>60400955.07</v>
      </c>
      <c r="AC269" s="52">
        <v>24517806.420000002</v>
      </c>
      <c r="AD269" s="52">
        <v>4401823.03</v>
      </c>
      <c r="AE269" s="52">
        <v>0</v>
      </c>
      <c r="AF269" s="52">
        <v>16249814.720000001</v>
      </c>
      <c r="AG269" s="52">
        <v>3866168.67</v>
      </c>
      <c r="AH269" s="52">
        <v>0</v>
      </c>
      <c r="AI269" s="52">
        <v>0</v>
      </c>
      <c r="AJ269" s="52">
        <v>2</v>
      </c>
      <c r="AK269" s="52"/>
      <c r="AL269" s="52">
        <v>0</v>
      </c>
      <c r="AM269" s="52">
        <v>0</v>
      </c>
      <c r="AN269" s="61">
        <v>9976595748</v>
      </c>
      <c r="AO269" s="52">
        <v>0</v>
      </c>
      <c r="AP269" s="52">
        <v>0</v>
      </c>
      <c r="AQ269" s="58">
        <v>0</v>
      </c>
      <c r="AR269" s="58">
        <v>0</v>
      </c>
      <c r="AS269" s="58">
        <v>0</v>
      </c>
      <c r="AT269" s="58">
        <v>0</v>
      </c>
      <c r="AU269" s="58">
        <v>0</v>
      </c>
      <c r="AV269" s="58">
        <v>0</v>
      </c>
      <c r="AW269" s="58">
        <v>0</v>
      </c>
      <c r="AX269" s="58">
        <v>0</v>
      </c>
    </row>
    <row r="270" spans="1:50" x14ac:dyDescent="0.25">
      <c r="A270" s="52">
        <f t="shared" si="23"/>
        <v>265</v>
      </c>
      <c r="B270" s="60" t="str">
        <f t="shared" si="22"/>
        <v>00475169326</v>
      </c>
      <c r="C270" s="67" t="s">
        <v>28</v>
      </c>
      <c r="D270" s="59" t="s">
        <v>2058</v>
      </c>
      <c r="E270" s="55" t="str">
        <f t="shared" si="21"/>
        <v>00475</v>
      </c>
      <c r="F270" s="53" t="s">
        <v>2071</v>
      </c>
      <c r="G270" s="55" t="s">
        <v>16</v>
      </c>
      <c r="H270" s="60" t="s">
        <v>2427</v>
      </c>
      <c r="I270" s="55">
        <v>303667006</v>
      </c>
      <c r="J270" s="55">
        <v>169326</v>
      </c>
      <c r="K270" s="55" t="s">
        <v>422</v>
      </c>
      <c r="L270" s="53" t="s">
        <v>2035</v>
      </c>
      <c r="M270" s="55" t="s">
        <v>49</v>
      </c>
      <c r="N270" s="52">
        <v>575046676</v>
      </c>
      <c r="O270" s="52">
        <v>575046676</v>
      </c>
      <c r="P270" s="52">
        <v>575046676</v>
      </c>
      <c r="Q270" s="57">
        <v>45818</v>
      </c>
      <c r="R270" s="57">
        <v>47639</v>
      </c>
      <c r="S270" s="56">
        <v>26</v>
      </c>
      <c r="T270" s="54">
        <v>0</v>
      </c>
      <c r="U270" s="52">
        <v>575046676</v>
      </c>
      <c r="V270" s="52">
        <v>517542008.39999998</v>
      </c>
      <c r="W270" s="52">
        <v>57504667.600000001</v>
      </c>
      <c r="X270" s="57">
        <v>45996</v>
      </c>
      <c r="Y270" s="52">
        <v>0</v>
      </c>
      <c r="Z270" s="52">
        <v>0</v>
      </c>
      <c r="AA270" s="52">
        <v>3</v>
      </c>
      <c r="AB270" s="52">
        <v>143761669</v>
      </c>
      <c r="AC270" s="52">
        <v>75024823.920000002</v>
      </c>
      <c r="AD270" s="52">
        <v>9953821.6400000006</v>
      </c>
      <c r="AE270" s="52">
        <v>0</v>
      </c>
      <c r="AF270" s="52">
        <v>24313584.449999999</v>
      </c>
      <c r="AG270" s="52">
        <v>40757417.829999998</v>
      </c>
      <c r="AH270" s="52">
        <v>0</v>
      </c>
      <c r="AI270" s="52">
        <v>0</v>
      </c>
      <c r="AJ270" s="52">
        <v>2</v>
      </c>
      <c r="AK270" s="52"/>
      <c r="AL270" s="52">
        <v>0</v>
      </c>
      <c r="AM270" s="52">
        <v>0</v>
      </c>
      <c r="AN270" s="61">
        <v>6900560112</v>
      </c>
      <c r="AO270" s="52">
        <v>0</v>
      </c>
      <c r="AP270" s="52">
        <v>0</v>
      </c>
      <c r="AQ270" s="58">
        <v>0</v>
      </c>
      <c r="AR270" s="58">
        <v>0</v>
      </c>
      <c r="AS270" s="58">
        <v>0</v>
      </c>
      <c r="AT270" s="58">
        <v>0</v>
      </c>
      <c r="AU270" s="58">
        <v>0</v>
      </c>
      <c r="AV270" s="58">
        <v>0</v>
      </c>
      <c r="AW270" s="58">
        <v>0</v>
      </c>
      <c r="AX270" s="58">
        <v>0</v>
      </c>
    </row>
    <row r="271" spans="1:50" x14ac:dyDescent="0.25">
      <c r="A271" s="52">
        <f t="shared" si="23"/>
        <v>266</v>
      </c>
      <c r="B271" s="60" t="str">
        <f t="shared" si="22"/>
        <v>0047555951</v>
      </c>
      <c r="C271" s="67" t="s">
        <v>28</v>
      </c>
      <c r="D271" s="59" t="s">
        <v>2058</v>
      </c>
      <c r="E271" s="55" t="str">
        <f t="shared" si="21"/>
        <v>00475</v>
      </c>
      <c r="F271" s="53" t="s">
        <v>2071</v>
      </c>
      <c r="G271" s="55" t="s">
        <v>16</v>
      </c>
      <c r="H271" s="60" t="s">
        <v>2428</v>
      </c>
      <c r="I271" s="55">
        <v>308651474</v>
      </c>
      <c r="J271" s="55">
        <v>55951</v>
      </c>
      <c r="K271" s="55" t="s">
        <v>423</v>
      </c>
      <c r="L271" s="53" t="s">
        <v>2035</v>
      </c>
      <c r="M271" s="55" t="s">
        <v>49</v>
      </c>
      <c r="N271" s="52">
        <v>539500000</v>
      </c>
      <c r="O271" s="52">
        <v>539500000</v>
      </c>
      <c r="P271" s="52">
        <v>539500000</v>
      </c>
      <c r="Q271" s="57">
        <v>44547</v>
      </c>
      <c r="R271" s="57">
        <v>47091</v>
      </c>
      <c r="S271" s="56">
        <v>15</v>
      </c>
      <c r="T271" s="54">
        <v>24</v>
      </c>
      <c r="U271" s="52">
        <v>539500000</v>
      </c>
      <c r="V271" s="52">
        <v>539500000</v>
      </c>
      <c r="W271" s="52">
        <v>0</v>
      </c>
      <c r="X271" s="57"/>
      <c r="Y271" s="52">
        <v>0</v>
      </c>
      <c r="Z271" s="52">
        <v>0</v>
      </c>
      <c r="AA271" s="52">
        <v>2</v>
      </c>
      <c r="AB271" s="52">
        <v>53950000</v>
      </c>
      <c r="AC271" s="52">
        <v>82693161.870000005</v>
      </c>
      <c r="AD271" s="52">
        <v>57702846.579999998</v>
      </c>
      <c r="AE271" s="52">
        <v>0</v>
      </c>
      <c r="AF271" s="52">
        <v>24990315.289999999</v>
      </c>
      <c r="AG271" s="52">
        <v>0</v>
      </c>
      <c r="AH271" s="52">
        <v>0</v>
      </c>
      <c r="AI271" s="52">
        <v>0</v>
      </c>
      <c r="AJ271" s="52">
        <v>2</v>
      </c>
      <c r="AK271" s="52"/>
      <c r="AL271" s="52">
        <v>0</v>
      </c>
      <c r="AM271" s="52">
        <v>0</v>
      </c>
      <c r="AN271" s="52">
        <v>539500000</v>
      </c>
      <c r="AO271" s="52">
        <v>56222000</v>
      </c>
      <c r="AP271" s="52">
        <v>0</v>
      </c>
      <c r="AQ271" s="58">
        <v>0</v>
      </c>
      <c r="AR271" s="58">
        <v>0</v>
      </c>
      <c r="AS271" s="58">
        <v>0</v>
      </c>
      <c r="AT271" s="58">
        <v>0</v>
      </c>
      <c r="AU271" s="58">
        <v>0</v>
      </c>
      <c r="AV271" s="58">
        <v>0</v>
      </c>
      <c r="AW271" s="58">
        <v>0</v>
      </c>
      <c r="AX271" s="58">
        <v>0</v>
      </c>
    </row>
    <row r="272" spans="1:50" x14ac:dyDescent="0.25">
      <c r="A272" s="52">
        <f t="shared" si="23"/>
        <v>267</v>
      </c>
      <c r="B272" s="60" t="str">
        <f t="shared" si="22"/>
        <v>0047555954</v>
      </c>
      <c r="C272" s="67" t="s">
        <v>28</v>
      </c>
      <c r="D272" s="59" t="s">
        <v>2058</v>
      </c>
      <c r="E272" s="55" t="str">
        <f t="shared" si="21"/>
        <v>00475</v>
      </c>
      <c r="F272" s="53" t="s">
        <v>2071</v>
      </c>
      <c r="G272" s="55" t="s">
        <v>16</v>
      </c>
      <c r="H272" s="60" t="s">
        <v>2428</v>
      </c>
      <c r="I272" s="55">
        <v>308651474</v>
      </c>
      <c r="J272" s="55">
        <v>55954</v>
      </c>
      <c r="K272" s="55" t="s">
        <v>424</v>
      </c>
      <c r="L272" s="53" t="s">
        <v>2035</v>
      </c>
      <c r="M272" s="55" t="s">
        <v>49</v>
      </c>
      <c r="N272" s="52">
        <v>534200000</v>
      </c>
      <c r="O272" s="52">
        <v>534200000</v>
      </c>
      <c r="P272" s="52">
        <v>534200000</v>
      </c>
      <c r="Q272" s="57">
        <v>44547</v>
      </c>
      <c r="R272" s="57">
        <v>47063</v>
      </c>
      <c r="S272" s="56">
        <v>15</v>
      </c>
      <c r="T272" s="54">
        <v>24</v>
      </c>
      <c r="U272" s="52">
        <v>534200000</v>
      </c>
      <c r="V272" s="52">
        <v>534200000</v>
      </c>
      <c r="W272" s="52">
        <v>0</v>
      </c>
      <c r="X272" s="57"/>
      <c r="Y272" s="52">
        <v>0</v>
      </c>
      <c r="Z272" s="52">
        <v>0</v>
      </c>
      <c r="AA272" s="52">
        <v>2</v>
      </c>
      <c r="AB272" s="52">
        <v>53420000</v>
      </c>
      <c r="AC272" s="52">
        <v>90850589.039999992</v>
      </c>
      <c r="AD272" s="52">
        <v>65640739.909999996</v>
      </c>
      <c r="AE272" s="52">
        <v>0</v>
      </c>
      <c r="AF272" s="52">
        <v>25209849.129999999</v>
      </c>
      <c r="AG272" s="52">
        <v>0</v>
      </c>
      <c r="AH272" s="52">
        <v>0</v>
      </c>
      <c r="AI272" s="52">
        <v>0</v>
      </c>
      <c r="AJ272" s="52">
        <v>2</v>
      </c>
      <c r="AK272" s="52"/>
      <c r="AL272" s="52">
        <v>0</v>
      </c>
      <c r="AM272" s="52">
        <v>0</v>
      </c>
      <c r="AN272" s="52">
        <v>534200000</v>
      </c>
      <c r="AO272" s="52">
        <v>56222000</v>
      </c>
      <c r="AP272" s="52">
        <v>0</v>
      </c>
      <c r="AQ272" s="58">
        <v>0</v>
      </c>
      <c r="AR272" s="58">
        <v>0</v>
      </c>
      <c r="AS272" s="58">
        <v>0</v>
      </c>
      <c r="AT272" s="58">
        <v>0</v>
      </c>
      <c r="AU272" s="58">
        <v>0</v>
      </c>
      <c r="AV272" s="58">
        <v>0</v>
      </c>
      <c r="AW272" s="58">
        <v>0</v>
      </c>
      <c r="AX272" s="58">
        <v>0</v>
      </c>
    </row>
    <row r="273" spans="1:50" x14ac:dyDescent="0.25">
      <c r="A273" s="52">
        <f t="shared" si="23"/>
        <v>268</v>
      </c>
      <c r="B273" s="60" t="str">
        <f t="shared" si="22"/>
        <v>00475121817</v>
      </c>
      <c r="C273" s="67" t="s">
        <v>28</v>
      </c>
      <c r="D273" s="59" t="s">
        <v>2058</v>
      </c>
      <c r="E273" s="55" t="str">
        <f t="shared" si="21"/>
        <v>00475</v>
      </c>
      <c r="F273" s="53" t="s">
        <v>2071</v>
      </c>
      <c r="G273" s="55" t="s">
        <v>16</v>
      </c>
      <c r="H273" s="60" t="s">
        <v>2426</v>
      </c>
      <c r="I273" s="55">
        <v>303521765</v>
      </c>
      <c r="J273" s="55">
        <v>121817</v>
      </c>
      <c r="K273" s="55" t="s">
        <v>425</v>
      </c>
      <c r="L273" s="53" t="s">
        <v>2035</v>
      </c>
      <c r="M273" s="55" t="s">
        <v>49</v>
      </c>
      <c r="N273" s="52">
        <v>991914894</v>
      </c>
      <c r="O273" s="52">
        <v>991914894</v>
      </c>
      <c r="P273" s="52">
        <v>525714893.63999999</v>
      </c>
      <c r="Q273" s="57">
        <v>45407</v>
      </c>
      <c r="R273" s="57">
        <v>47232</v>
      </c>
      <c r="S273" s="56">
        <v>14</v>
      </c>
      <c r="T273" s="54">
        <v>0</v>
      </c>
      <c r="U273" s="52">
        <v>525714893.63999999</v>
      </c>
      <c r="V273" s="52">
        <v>525714893.63999999</v>
      </c>
      <c r="W273" s="52">
        <v>0</v>
      </c>
      <c r="X273" s="57"/>
      <c r="Y273" s="52">
        <v>0</v>
      </c>
      <c r="Z273" s="52">
        <v>0</v>
      </c>
      <c r="AA273" s="52">
        <v>2</v>
      </c>
      <c r="AB273" s="52">
        <v>52571489.369999997</v>
      </c>
      <c r="AC273" s="52">
        <v>22978542.579999998</v>
      </c>
      <c r="AD273" s="52">
        <v>1209864.4099999999</v>
      </c>
      <c r="AE273" s="52">
        <v>0</v>
      </c>
      <c r="AF273" s="52">
        <v>16727576.449999999</v>
      </c>
      <c r="AG273" s="52">
        <v>5041101.72</v>
      </c>
      <c r="AH273" s="52">
        <v>0</v>
      </c>
      <c r="AI273" s="52">
        <v>0</v>
      </c>
      <c r="AJ273" s="52">
        <v>2</v>
      </c>
      <c r="AK273" s="52"/>
      <c r="AL273" s="52">
        <v>0</v>
      </c>
      <c r="AM273" s="52">
        <v>0</v>
      </c>
      <c r="AN273" s="61">
        <v>11902978728</v>
      </c>
      <c r="AO273" s="52">
        <v>0</v>
      </c>
      <c r="AP273" s="52">
        <v>0</v>
      </c>
      <c r="AQ273" s="58">
        <v>0</v>
      </c>
      <c r="AR273" s="58">
        <v>0</v>
      </c>
      <c r="AS273" s="58">
        <v>0</v>
      </c>
      <c r="AT273" s="58">
        <v>0</v>
      </c>
      <c r="AU273" s="58">
        <v>0</v>
      </c>
      <c r="AV273" s="58">
        <v>0</v>
      </c>
      <c r="AW273" s="58">
        <v>0</v>
      </c>
      <c r="AX273" s="58">
        <v>0</v>
      </c>
    </row>
    <row r="274" spans="1:50" x14ac:dyDescent="0.25">
      <c r="A274" s="52">
        <f t="shared" si="23"/>
        <v>269</v>
      </c>
      <c r="B274" s="60" t="str">
        <f t="shared" si="22"/>
        <v>00475113206</v>
      </c>
      <c r="C274" s="67" t="s">
        <v>28</v>
      </c>
      <c r="D274" s="59" t="s">
        <v>2058</v>
      </c>
      <c r="E274" s="55" t="str">
        <f t="shared" si="21"/>
        <v>00475</v>
      </c>
      <c r="F274" s="53" t="s">
        <v>2071</v>
      </c>
      <c r="G274" s="55" t="s">
        <v>16</v>
      </c>
      <c r="H274" s="60" t="s">
        <v>2426</v>
      </c>
      <c r="I274" s="55">
        <v>303521765</v>
      </c>
      <c r="J274" s="55">
        <v>113206</v>
      </c>
      <c r="K274" s="55" t="s">
        <v>426</v>
      </c>
      <c r="L274" s="53" t="s">
        <v>2035</v>
      </c>
      <c r="M274" s="55" t="s">
        <v>49</v>
      </c>
      <c r="N274" s="52">
        <v>561088000</v>
      </c>
      <c r="O274" s="52">
        <v>561088000</v>
      </c>
      <c r="P274" s="52">
        <v>561088000</v>
      </c>
      <c r="Q274" s="57">
        <v>45240</v>
      </c>
      <c r="R274" s="57">
        <v>47031</v>
      </c>
      <c r="S274" s="56">
        <v>23.99</v>
      </c>
      <c r="T274" s="54">
        <v>0</v>
      </c>
      <c r="U274" s="52">
        <v>504979200</v>
      </c>
      <c r="V274" s="52">
        <v>504979200</v>
      </c>
      <c r="W274" s="52">
        <v>0</v>
      </c>
      <c r="X274" s="57"/>
      <c r="Y274" s="52">
        <v>0</v>
      </c>
      <c r="Z274" s="52">
        <v>0</v>
      </c>
      <c r="AA274" s="52">
        <v>2</v>
      </c>
      <c r="AB274" s="52">
        <v>50497920</v>
      </c>
      <c r="AC274" s="52">
        <v>42289782.399999999</v>
      </c>
      <c r="AD274" s="52">
        <v>41035927.5</v>
      </c>
      <c r="AE274" s="52">
        <v>0</v>
      </c>
      <c r="AF274" s="52">
        <v>1253854.8999999999</v>
      </c>
      <c r="AG274" s="52">
        <v>0</v>
      </c>
      <c r="AH274" s="52">
        <v>0</v>
      </c>
      <c r="AI274" s="52">
        <v>0</v>
      </c>
      <c r="AJ274" s="52">
        <v>2</v>
      </c>
      <c r="AK274" s="52"/>
      <c r="AL274" s="52">
        <v>0</v>
      </c>
      <c r="AM274" s="52">
        <v>0</v>
      </c>
      <c r="AN274" s="61">
        <v>673305600</v>
      </c>
      <c r="AO274" s="52">
        <v>0</v>
      </c>
      <c r="AP274" s="52">
        <v>0</v>
      </c>
      <c r="AQ274" s="58">
        <v>0</v>
      </c>
      <c r="AR274" s="58">
        <v>0</v>
      </c>
      <c r="AS274" s="58">
        <v>0</v>
      </c>
      <c r="AT274" s="58">
        <v>0</v>
      </c>
      <c r="AU274" s="58">
        <v>0</v>
      </c>
      <c r="AV274" s="58">
        <v>0</v>
      </c>
      <c r="AW274" s="58">
        <v>0</v>
      </c>
      <c r="AX274" s="58">
        <v>0</v>
      </c>
    </row>
    <row r="275" spans="1:50" x14ac:dyDescent="0.25">
      <c r="A275" s="52">
        <f t="shared" si="23"/>
        <v>270</v>
      </c>
      <c r="B275" s="60" t="str">
        <f t="shared" si="22"/>
        <v>00475172847</v>
      </c>
      <c r="C275" s="67" t="s">
        <v>28</v>
      </c>
      <c r="D275" s="59" t="s">
        <v>2058</v>
      </c>
      <c r="E275" s="55" t="str">
        <f t="shared" si="21"/>
        <v>00475</v>
      </c>
      <c r="F275" s="53" t="s">
        <v>2071</v>
      </c>
      <c r="G275" s="55" t="s">
        <v>16</v>
      </c>
      <c r="H275" s="60" t="s">
        <v>396</v>
      </c>
      <c r="I275" s="55">
        <v>303521472</v>
      </c>
      <c r="J275" s="55">
        <v>172847</v>
      </c>
      <c r="K275" s="55" t="s">
        <v>427</v>
      </c>
      <c r="L275" s="53" t="s">
        <v>2035</v>
      </c>
      <c r="M275" s="55" t="s">
        <v>49</v>
      </c>
      <c r="N275" s="52">
        <v>500000001</v>
      </c>
      <c r="O275" s="52">
        <v>500000001</v>
      </c>
      <c r="P275" s="52">
        <v>500000001</v>
      </c>
      <c r="Q275" s="57">
        <v>45834</v>
      </c>
      <c r="R275" s="57">
        <v>47659</v>
      </c>
      <c r="S275" s="56">
        <v>14</v>
      </c>
      <c r="T275" s="54">
        <v>0</v>
      </c>
      <c r="U275" s="52">
        <v>500000001</v>
      </c>
      <c r="V275" s="52">
        <v>500000001</v>
      </c>
      <c r="W275" s="52">
        <v>0</v>
      </c>
      <c r="X275" s="57"/>
      <c r="Y275" s="52">
        <v>0</v>
      </c>
      <c r="Z275" s="52">
        <v>0</v>
      </c>
      <c r="AA275" s="52">
        <v>1</v>
      </c>
      <c r="AB275" s="52">
        <v>0</v>
      </c>
      <c r="AC275" s="52">
        <v>12849315.09</v>
      </c>
      <c r="AD275" s="52">
        <v>1150684.93</v>
      </c>
      <c r="AE275" s="52">
        <v>0</v>
      </c>
      <c r="AF275" s="52">
        <v>0</v>
      </c>
      <c r="AG275" s="52">
        <v>11698630.16</v>
      </c>
      <c r="AH275" s="52">
        <v>0</v>
      </c>
      <c r="AI275" s="52">
        <v>0</v>
      </c>
      <c r="AJ275" s="52">
        <v>2</v>
      </c>
      <c r="AK275" s="52"/>
      <c r="AL275" s="52">
        <v>0</v>
      </c>
      <c r="AM275" s="52">
        <v>0</v>
      </c>
      <c r="AN275" s="61">
        <v>6000000012</v>
      </c>
      <c r="AO275" s="52">
        <v>0</v>
      </c>
      <c r="AP275" s="52">
        <v>0</v>
      </c>
      <c r="AQ275" s="58">
        <v>0</v>
      </c>
      <c r="AR275" s="58">
        <v>0</v>
      </c>
      <c r="AS275" s="58">
        <v>0</v>
      </c>
      <c r="AT275" s="58">
        <v>0</v>
      </c>
      <c r="AU275" s="58">
        <v>0</v>
      </c>
      <c r="AV275" s="58">
        <v>0</v>
      </c>
      <c r="AW275" s="58">
        <v>0</v>
      </c>
      <c r="AX275" s="58">
        <v>0</v>
      </c>
    </row>
    <row r="276" spans="1:50" x14ac:dyDescent="0.25">
      <c r="A276" s="52">
        <f t="shared" si="23"/>
        <v>271</v>
      </c>
      <c r="B276" s="60" t="str">
        <f t="shared" si="22"/>
        <v>00475172845</v>
      </c>
      <c r="C276" s="67" t="s">
        <v>28</v>
      </c>
      <c r="D276" s="59" t="s">
        <v>2058</v>
      </c>
      <c r="E276" s="55" t="str">
        <f t="shared" si="21"/>
        <v>00475</v>
      </c>
      <c r="F276" s="53" t="s">
        <v>2071</v>
      </c>
      <c r="G276" s="55" t="s">
        <v>16</v>
      </c>
      <c r="H276" s="60" t="s">
        <v>405</v>
      </c>
      <c r="I276" s="55">
        <v>308146144</v>
      </c>
      <c r="J276" s="55">
        <v>172845</v>
      </c>
      <c r="K276" s="55" t="s">
        <v>428</v>
      </c>
      <c r="L276" s="53" t="s">
        <v>2035</v>
      </c>
      <c r="M276" s="55" t="s">
        <v>49</v>
      </c>
      <c r="N276" s="52">
        <v>500000001</v>
      </c>
      <c r="O276" s="52">
        <v>500000001</v>
      </c>
      <c r="P276" s="52">
        <v>500000001</v>
      </c>
      <c r="Q276" s="57">
        <v>45834</v>
      </c>
      <c r="R276" s="57">
        <v>47659</v>
      </c>
      <c r="S276" s="56">
        <v>14</v>
      </c>
      <c r="T276" s="54">
        <v>0</v>
      </c>
      <c r="U276" s="52">
        <v>500000001</v>
      </c>
      <c r="V276" s="52">
        <v>500000001</v>
      </c>
      <c r="W276" s="52">
        <v>0</v>
      </c>
      <c r="X276" s="57"/>
      <c r="Y276" s="52">
        <v>0</v>
      </c>
      <c r="Z276" s="52">
        <v>0</v>
      </c>
      <c r="AA276" s="52">
        <v>2</v>
      </c>
      <c r="AB276" s="52">
        <v>50000000.100000001</v>
      </c>
      <c r="AC276" s="52">
        <v>16833561.699999999</v>
      </c>
      <c r="AD276" s="52">
        <v>1150684.93</v>
      </c>
      <c r="AE276" s="52">
        <v>0</v>
      </c>
      <c r="AF276" s="52">
        <v>15308356.210000001</v>
      </c>
      <c r="AG276" s="52">
        <v>374520.56</v>
      </c>
      <c r="AH276" s="52">
        <v>0</v>
      </c>
      <c r="AI276" s="52">
        <v>0</v>
      </c>
      <c r="AJ276" s="52">
        <v>2</v>
      </c>
      <c r="AK276" s="52"/>
      <c r="AL276" s="52">
        <v>0</v>
      </c>
      <c r="AM276" s="52">
        <v>0</v>
      </c>
      <c r="AN276" s="61">
        <v>6000000012</v>
      </c>
      <c r="AO276" s="52">
        <v>0</v>
      </c>
      <c r="AP276" s="52">
        <v>0</v>
      </c>
      <c r="AQ276" s="58">
        <v>0</v>
      </c>
      <c r="AR276" s="58">
        <v>0</v>
      </c>
      <c r="AS276" s="58">
        <v>0</v>
      </c>
      <c r="AT276" s="58">
        <v>0</v>
      </c>
      <c r="AU276" s="58">
        <v>0</v>
      </c>
      <c r="AV276" s="58">
        <v>0</v>
      </c>
      <c r="AW276" s="58">
        <v>0</v>
      </c>
      <c r="AX276" s="58">
        <v>0</v>
      </c>
    </row>
    <row r="277" spans="1:50" x14ac:dyDescent="0.25">
      <c r="A277" s="52">
        <f t="shared" si="23"/>
        <v>272</v>
      </c>
      <c r="B277" s="60" t="str">
        <f t="shared" si="22"/>
        <v>00475181529</v>
      </c>
      <c r="C277" s="67" t="s">
        <v>28</v>
      </c>
      <c r="D277" s="59" t="s">
        <v>2058</v>
      </c>
      <c r="E277" s="55" t="str">
        <f t="shared" si="21"/>
        <v>00475</v>
      </c>
      <c r="F277" s="53" t="s">
        <v>2071</v>
      </c>
      <c r="G277" s="55" t="s">
        <v>16</v>
      </c>
      <c r="H277" s="60" t="s">
        <v>2427</v>
      </c>
      <c r="I277" s="55">
        <v>303667006</v>
      </c>
      <c r="J277" s="55">
        <v>181529</v>
      </c>
      <c r="K277" s="55" t="s">
        <v>429</v>
      </c>
      <c r="L277" s="53" t="s">
        <v>2035</v>
      </c>
      <c r="M277" s="55" t="s">
        <v>49</v>
      </c>
      <c r="N277" s="52">
        <v>500000001</v>
      </c>
      <c r="O277" s="52">
        <v>500000001</v>
      </c>
      <c r="P277" s="52">
        <v>265000001</v>
      </c>
      <c r="Q277" s="57">
        <v>45877</v>
      </c>
      <c r="R277" s="57">
        <v>47702</v>
      </c>
      <c r="S277" s="56">
        <v>24</v>
      </c>
      <c r="T277" s="54">
        <v>0</v>
      </c>
      <c r="U277" s="52">
        <v>500000001</v>
      </c>
      <c r="V277" s="52">
        <v>500000001</v>
      </c>
      <c r="W277" s="52">
        <v>0</v>
      </c>
      <c r="X277" s="57"/>
      <c r="Y277" s="52">
        <v>0</v>
      </c>
      <c r="Z277" s="52">
        <v>0</v>
      </c>
      <c r="AA277" s="52">
        <v>3</v>
      </c>
      <c r="AB277" s="52">
        <v>125000000.25</v>
      </c>
      <c r="AC277" s="52">
        <v>43144109.700000003</v>
      </c>
      <c r="AD277" s="52">
        <v>7890410.9699999997</v>
      </c>
      <c r="AE277" s="52">
        <v>0</v>
      </c>
      <c r="AF277" s="52">
        <v>10106301.41</v>
      </c>
      <c r="AG277" s="52">
        <v>25147397.32</v>
      </c>
      <c r="AH277" s="52">
        <v>0</v>
      </c>
      <c r="AI277" s="52">
        <v>0</v>
      </c>
      <c r="AJ277" s="52">
        <v>2</v>
      </c>
      <c r="AK277" s="52"/>
      <c r="AL277" s="52">
        <v>0</v>
      </c>
      <c r="AM277" s="52">
        <v>0</v>
      </c>
      <c r="AN277" s="61">
        <v>6000000012</v>
      </c>
      <c r="AO277" s="52">
        <v>0</v>
      </c>
      <c r="AP277" s="52">
        <v>0</v>
      </c>
      <c r="AQ277" s="58">
        <v>0</v>
      </c>
      <c r="AR277" s="58">
        <v>0</v>
      </c>
      <c r="AS277" s="58">
        <v>0</v>
      </c>
      <c r="AT277" s="58">
        <v>0</v>
      </c>
      <c r="AU277" s="58">
        <v>0</v>
      </c>
      <c r="AV277" s="58">
        <v>0</v>
      </c>
      <c r="AW277" s="58">
        <v>0</v>
      </c>
      <c r="AX277" s="58">
        <v>0</v>
      </c>
    </row>
    <row r="278" spans="1:50" x14ac:dyDescent="0.25">
      <c r="A278" s="52">
        <f t="shared" si="23"/>
        <v>273</v>
      </c>
      <c r="B278" s="60" t="str">
        <f t="shared" si="22"/>
        <v>0047553979</v>
      </c>
      <c r="C278" s="67" t="s">
        <v>28</v>
      </c>
      <c r="D278" s="59" t="s">
        <v>2058</v>
      </c>
      <c r="E278" s="55" t="str">
        <f t="shared" si="21"/>
        <v>00475</v>
      </c>
      <c r="F278" s="53" t="s">
        <v>2071</v>
      </c>
      <c r="G278" s="55" t="s">
        <v>16</v>
      </c>
      <c r="H278" s="60" t="s">
        <v>2428</v>
      </c>
      <c r="I278" s="55">
        <v>308651474</v>
      </c>
      <c r="J278" s="55">
        <v>53979</v>
      </c>
      <c r="K278" s="55" t="s">
        <v>430</v>
      </c>
      <c r="L278" s="53" t="s">
        <v>2035</v>
      </c>
      <c r="M278" s="55" t="s">
        <v>49</v>
      </c>
      <c r="N278" s="52">
        <v>446300000</v>
      </c>
      <c r="O278" s="52">
        <v>446300000</v>
      </c>
      <c r="P278" s="52">
        <v>446300000</v>
      </c>
      <c r="Q278" s="57">
        <v>44498</v>
      </c>
      <c r="R278" s="57">
        <v>47029</v>
      </c>
      <c r="S278" s="56">
        <v>15</v>
      </c>
      <c r="T278" s="54">
        <v>24</v>
      </c>
      <c r="U278" s="52">
        <v>446300000</v>
      </c>
      <c r="V278" s="52">
        <v>446300000</v>
      </c>
      <c r="W278" s="52">
        <v>0</v>
      </c>
      <c r="X278" s="57"/>
      <c r="Y278" s="52">
        <v>0</v>
      </c>
      <c r="Z278" s="52">
        <v>0</v>
      </c>
      <c r="AA278" s="52">
        <v>2</v>
      </c>
      <c r="AB278" s="52">
        <v>44630000</v>
      </c>
      <c r="AC278" s="52">
        <v>68549353.159999996</v>
      </c>
      <c r="AD278" s="52">
        <v>54839877.200000003</v>
      </c>
      <c r="AE278" s="52">
        <v>0</v>
      </c>
      <c r="AF278" s="52">
        <v>13709475.960000001</v>
      </c>
      <c r="AG278" s="52">
        <v>0</v>
      </c>
      <c r="AH278" s="52">
        <v>0</v>
      </c>
      <c r="AI278" s="52">
        <v>0</v>
      </c>
      <c r="AJ278" s="52">
        <v>2</v>
      </c>
      <c r="AK278" s="52"/>
      <c r="AL278" s="52">
        <v>0</v>
      </c>
      <c r="AM278" s="52">
        <v>0</v>
      </c>
      <c r="AN278" s="52">
        <v>446300000</v>
      </c>
      <c r="AO278" s="52">
        <v>56222000</v>
      </c>
      <c r="AP278" s="52">
        <v>0</v>
      </c>
      <c r="AQ278" s="58">
        <v>0</v>
      </c>
      <c r="AR278" s="58">
        <v>0</v>
      </c>
      <c r="AS278" s="58">
        <v>0</v>
      </c>
      <c r="AT278" s="58">
        <v>0</v>
      </c>
      <c r="AU278" s="58">
        <v>0</v>
      </c>
      <c r="AV278" s="58">
        <v>0</v>
      </c>
      <c r="AW278" s="58">
        <v>0</v>
      </c>
      <c r="AX278" s="58">
        <v>0</v>
      </c>
    </row>
    <row r="279" spans="1:50" x14ac:dyDescent="0.25">
      <c r="A279" s="52">
        <f t="shared" si="23"/>
        <v>274</v>
      </c>
      <c r="B279" s="60" t="str">
        <f t="shared" si="22"/>
        <v>0047556307</v>
      </c>
      <c r="C279" s="67" t="s">
        <v>28</v>
      </c>
      <c r="D279" s="59" t="s">
        <v>2058</v>
      </c>
      <c r="E279" s="55" t="str">
        <f t="shared" si="21"/>
        <v>00475</v>
      </c>
      <c r="F279" s="53" t="s">
        <v>2071</v>
      </c>
      <c r="G279" s="55" t="s">
        <v>16</v>
      </c>
      <c r="H279" s="60" t="s">
        <v>2428</v>
      </c>
      <c r="I279" s="55">
        <v>308651474</v>
      </c>
      <c r="J279" s="55">
        <v>56307</v>
      </c>
      <c r="K279" s="55" t="s">
        <v>431</v>
      </c>
      <c r="L279" s="53" t="s">
        <v>2035</v>
      </c>
      <c r="M279" s="55" t="s">
        <v>49</v>
      </c>
      <c r="N279" s="52">
        <v>401300000</v>
      </c>
      <c r="O279" s="52">
        <v>401300000</v>
      </c>
      <c r="P279" s="52">
        <v>401300000</v>
      </c>
      <c r="Q279" s="57">
        <v>44547</v>
      </c>
      <c r="R279" s="57">
        <v>48159</v>
      </c>
      <c r="S279" s="56">
        <v>16</v>
      </c>
      <c r="T279" s="54">
        <v>24</v>
      </c>
      <c r="U279" s="52">
        <v>401300000</v>
      </c>
      <c r="V279" s="52">
        <v>401300000</v>
      </c>
      <c r="W279" s="52">
        <v>0</v>
      </c>
      <c r="X279" s="57"/>
      <c r="Y279" s="52">
        <v>0</v>
      </c>
      <c r="Z279" s="52">
        <v>0</v>
      </c>
      <c r="AA279" s="52">
        <v>2</v>
      </c>
      <c r="AB279" s="52">
        <v>40130000</v>
      </c>
      <c r="AC279" s="52">
        <v>65127086.859999999</v>
      </c>
      <c r="AD279" s="52">
        <v>52597785.850000001</v>
      </c>
      <c r="AE279" s="52">
        <v>0</v>
      </c>
      <c r="AF279" s="52">
        <v>12529301.01</v>
      </c>
      <c r="AG279" s="52">
        <v>0</v>
      </c>
      <c r="AH279" s="52">
        <v>0</v>
      </c>
      <c r="AI279" s="52">
        <v>0</v>
      </c>
      <c r="AJ279" s="52">
        <v>2</v>
      </c>
      <c r="AK279" s="52"/>
      <c r="AL279" s="52">
        <v>0</v>
      </c>
      <c r="AM279" s="52">
        <v>0</v>
      </c>
      <c r="AN279" s="52">
        <v>401300000</v>
      </c>
      <c r="AO279" s="52">
        <v>56222000</v>
      </c>
      <c r="AP279" s="52">
        <v>0</v>
      </c>
      <c r="AQ279" s="58">
        <v>0</v>
      </c>
      <c r="AR279" s="58">
        <v>0</v>
      </c>
      <c r="AS279" s="58">
        <v>0</v>
      </c>
      <c r="AT279" s="58">
        <v>0</v>
      </c>
      <c r="AU279" s="58">
        <v>0</v>
      </c>
      <c r="AV279" s="58">
        <v>0</v>
      </c>
      <c r="AW279" s="58">
        <v>0</v>
      </c>
      <c r="AX279" s="58">
        <v>0</v>
      </c>
    </row>
    <row r="280" spans="1:50" x14ac:dyDescent="0.25">
      <c r="A280" s="52">
        <f t="shared" si="23"/>
        <v>275</v>
      </c>
      <c r="B280" s="60" t="str">
        <f t="shared" si="22"/>
        <v>00475157346</v>
      </c>
      <c r="C280" s="67" t="s">
        <v>28</v>
      </c>
      <c r="D280" s="59" t="s">
        <v>2058</v>
      </c>
      <c r="E280" s="55" t="str">
        <f t="shared" si="21"/>
        <v>00475</v>
      </c>
      <c r="F280" s="53" t="s">
        <v>2071</v>
      </c>
      <c r="G280" s="55" t="s">
        <v>16</v>
      </c>
      <c r="H280" s="60" t="s">
        <v>2426</v>
      </c>
      <c r="I280" s="55">
        <v>303521765</v>
      </c>
      <c r="J280" s="55">
        <v>157346</v>
      </c>
      <c r="K280" s="55" t="s">
        <v>432</v>
      </c>
      <c r="L280" s="53" t="s">
        <v>2035</v>
      </c>
      <c r="M280" s="55" t="s">
        <v>49</v>
      </c>
      <c r="N280" s="52">
        <v>390000000</v>
      </c>
      <c r="O280" s="52">
        <v>390000000</v>
      </c>
      <c r="P280" s="52">
        <v>390000000</v>
      </c>
      <c r="Q280" s="57">
        <v>45740</v>
      </c>
      <c r="R280" s="57">
        <v>46832</v>
      </c>
      <c r="S280" s="56">
        <v>14</v>
      </c>
      <c r="T280" s="54">
        <v>0</v>
      </c>
      <c r="U280" s="52">
        <v>390000000</v>
      </c>
      <c r="V280" s="52">
        <v>390000000</v>
      </c>
      <c r="W280" s="52">
        <v>0</v>
      </c>
      <c r="X280" s="57"/>
      <c r="Y280" s="52">
        <v>0</v>
      </c>
      <c r="Z280" s="52">
        <v>0</v>
      </c>
      <c r="AA280" s="52">
        <v>2</v>
      </c>
      <c r="AB280" s="52">
        <v>39000000</v>
      </c>
      <c r="AC280" s="52">
        <v>18043869.859999999</v>
      </c>
      <c r="AD280" s="52">
        <v>4038904.11</v>
      </c>
      <c r="AE280" s="52">
        <v>0</v>
      </c>
      <c r="AF280" s="52">
        <v>9367705.4800000004</v>
      </c>
      <c r="AG280" s="52">
        <v>4637260.2699999996</v>
      </c>
      <c r="AH280" s="52">
        <v>0</v>
      </c>
      <c r="AI280" s="52">
        <v>0</v>
      </c>
      <c r="AJ280" s="52">
        <v>2</v>
      </c>
      <c r="AK280" s="52"/>
      <c r="AL280" s="52">
        <v>0</v>
      </c>
      <c r="AM280" s="52">
        <v>0</v>
      </c>
      <c r="AN280" s="61">
        <v>468000000</v>
      </c>
      <c r="AO280" s="52">
        <v>0</v>
      </c>
      <c r="AP280" s="52">
        <v>0</v>
      </c>
      <c r="AQ280" s="58">
        <v>0</v>
      </c>
      <c r="AR280" s="58">
        <v>0</v>
      </c>
      <c r="AS280" s="58">
        <v>0</v>
      </c>
      <c r="AT280" s="58">
        <v>0</v>
      </c>
      <c r="AU280" s="58">
        <v>0</v>
      </c>
      <c r="AV280" s="58">
        <v>0</v>
      </c>
      <c r="AW280" s="58">
        <v>0</v>
      </c>
      <c r="AX280" s="58">
        <v>0</v>
      </c>
    </row>
    <row r="281" spans="1:50" x14ac:dyDescent="0.25">
      <c r="A281" s="52">
        <f t="shared" si="23"/>
        <v>276</v>
      </c>
      <c r="B281" s="60" t="str">
        <f t="shared" si="22"/>
        <v>00475157348</v>
      </c>
      <c r="C281" s="67" t="s">
        <v>28</v>
      </c>
      <c r="D281" s="59" t="s">
        <v>2058</v>
      </c>
      <c r="E281" s="55" t="str">
        <f t="shared" si="21"/>
        <v>00475</v>
      </c>
      <c r="F281" s="53" t="s">
        <v>2071</v>
      </c>
      <c r="G281" s="55" t="s">
        <v>16</v>
      </c>
      <c r="H281" s="60" t="s">
        <v>2423</v>
      </c>
      <c r="I281" s="55">
        <v>303556294</v>
      </c>
      <c r="J281" s="55">
        <v>157348</v>
      </c>
      <c r="K281" s="55" t="s">
        <v>433</v>
      </c>
      <c r="L281" s="53" t="s">
        <v>2035</v>
      </c>
      <c r="M281" s="55" t="s">
        <v>49</v>
      </c>
      <c r="N281" s="52">
        <v>425000000</v>
      </c>
      <c r="O281" s="52">
        <v>425000000</v>
      </c>
      <c r="P281" s="52">
        <v>378829331.80000001</v>
      </c>
      <c r="Q281" s="57">
        <v>45740</v>
      </c>
      <c r="R281" s="57">
        <v>46832</v>
      </c>
      <c r="S281" s="56">
        <v>14</v>
      </c>
      <c r="T281" s="54">
        <v>0</v>
      </c>
      <c r="U281" s="52">
        <v>378829331.80000001</v>
      </c>
      <c r="V281" s="52">
        <v>378829331.80000001</v>
      </c>
      <c r="W281" s="52">
        <v>0</v>
      </c>
      <c r="X281" s="57"/>
      <c r="Y281" s="52">
        <v>0</v>
      </c>
      <c r="Z281" s="52">
        <v>0</v>
      </c>
      <c r="AA281" s="52">
        <v>1</v>
      </c>
      <c r="AB281" s="52">
        <v>0</v>
      </c>
      <c r="AC281" s="52">
        <v>41557058.75</v>
      </c>
      <c r="AD281" s="52">
        <v>3923218.83</v>
      </c>
      <c r="AE281" s="52">
        <v>0</v>
      </c>
      <c r="AF281" s="52">
        <v>33129403.48</v>
      </c>
      <c r="AG281" s="52">
        <v>4504436.4400000004</v>
      </c>
      <c r="AH281" s="52">
        <v>0</v>
      </c>
      <c r="AI281" s="52">
        <v>0</v>
      </c>
      <c r="AJ281" s="52">
        <v>2</v>
      </c>
      <c r="AK281" s="52"/>
      <c r="AL281" s="52">
        <v>0</v>
      </c>
      <c r="AM281" s="52">
        <v>0</v>
      </c>
      <c r="AN281" s="61">
        <v>510000000</v>
      </c>
      <c r="AO281" s="52">
        <v>0</v>
      </c>
      <c r="AP281" s="52">
        <v>0</v>
      </c>
      <c r="AQ281" s="58">
        <v>0</v>
      </c>
      <c r="AR281" s="58">
        <v>0</v>
      </c>
      <c r="AS281" s="58">
        <v>0</v>
      </c>
      <c r="AT281" s="58">
        <v>0</v>
      </c>
      <c r="AU281" s="58">
        <v>0</v>
      </c>
      <c r="AV281" s="58">
        <v>0</v>
      </c>
      <c r="AW281" s="58">
        <v>0</v>
      </c>
      <c r="AX281" s="58">
        <v>0</v>
      </c>
    </row>
    <row r="282" spans="1:50" x14ac:dyDescent="0.25">
      <c r="A282" s="52">
        <f t="shared" si="23"/>
        <v>277</v>
      </c>
      <c r="B282" s="60" t="str">
        <f t="shared" si="22"/>
        <v>0047557067</v>
      </c>
      <c r="C282" s="67" t="s">
        <v>28</v>
      </c>
      <c r="D282" s="59" t="s">
        <v>2058</v>
      </c>
      <c r="E282" s="55" t="str">
        <f t="shared" si="21"/>
        <v>00475</v>
      </c>
      <c r="F282" s="53" t="s">
        <v>2071</v>
      </c>
      <c r="G282" s="55" t="s">
        <v>16</v>
      </c>
      <c r="H282" s="60" t="s">
        <v>2423</v>
      </c>
      <c r="I282" s="55">
        <v>303556294</v>
      </c>
      <c r="J282" s="55">
        <v>57067</v>
      </c>
      <c r="K282" s="55" t="s">
        <v>434</v>
      </c>
      <c r="L282" s="53" t="s">
        <v>2035</v>
      </c>
      <c r="M282" s="55" t="s">
        <v>49</v>
      </c>
      <c r="N282" s="52">
        <v>1100000000</v>
      </c>
      <c r="O282" s="52">
        <v>1100000000</v>
      </c>
      <c r="P282" s="52">
        <v>1100000000</v>
      </c>
      <c r="Q282" s="57">
        <v>44558</v>
      </c>
      <c r="R282" s="57">
        <v>46017</v>
      </c>
      <c r="S282" s="56">
        <v>22.99</v>
      </c>
      <c r="T282" s="54">
        <v>0</v>
      </c>
      <c r="U282" s="52">
        <v>350000000</v>
      </c>
      <c r="V282" s="52">
        <v>0</v>
      </c>
      <c r="W282" s="52">
        <v>350000000</v>
      </c>
      <c r="X282" s="57">
        <v>46006</v>
      </c>
      <c r="Y282" s="52">
        <v>0</v>
      </c>
      <c r="Z282" s="52">
        <v>0</v>
      </c>
      <c r="AA282" s="52">
        <v>1</v>
      </c>
      <c r="AB282" s="52">
        <v>0</v>
      </c>
      <c r="AC282" s="52">
        <v>63049287</v>
      </c>
      <c r="AD282" s="52">
        <v>0</v>
      </c>
      <c r="AE282" s="52">
        <v>0</v>
      </c>
      <c r="AF282" s="52">
        <v>60309382.869999997</v>
      </c>
      <c r="AG282" s="52">
        <v>2739904.13</v>
      </c>
      <c r="AH282" s="52">
        <v>0</v>
      </c>
      <c r="AI282" s="52">
        <v>0</v>
      </c>
      <c r="AJ282" s="52">
        <v>2</v>
      </c>
      <c r="AK282" s="52"/>
      <c r="AL282" s="52">
        <v>0</v>
      </c>
      <c r="AM282" s="52">
        <v>0</v>
      </c>
      <c r="AN282" s="61">
        <v>1320000000</v>
      </c>
      <c r="AO282" s="52">
        <v>0</v>
      </c>
      <c r="AP282" s="52">
        <v>0</v>
      </c>
      <c r="AQ282" s="58">
        <v>0</v>
      </c>
      <c r="AR282" s="58">
        <v>0</v>
      </c>
      <c r="AS282" s="58">
        <v>0</v>
      </c>
      <c r="AT282" s="58">
        <v>0</v>
      </c>
      <c r="AU282" s="58">
        <v>0</v>
      </c>
      <c r="AV282" s="58">
        <v>0</v>
      </c>
      <c r="AW282" s="58">
        <v>0</v>
      </c>
      <c r="AX282" s="58">
        <v>0</v>
      </c>
    </row>
    <row r="283" spans="1:50" x14ac:dyDescent="0.25">
      <c r="A283" s="52">
        <f t="shared" si="23"/>
        <v>278</v>
      </c>
      <c r="B283" s="60" t="str">
        <f t="shared" si="22"/>
        <v>00475150425</v>
      </c>
      <c r="C283" s="67" t="s">
        <v>28</v>
      </c>
      <c r="D283" s="59" t="s">
        <v>2058</v>
      </c>
      <c r="E283" s="55" t="str">
        <f t="shared" si="21"/>
        <v>00475</v>
      </c>
      <c r="F283" s="53" t="s">
        <v>2071</v>
      </c>
      <c r="G283" s="55" t="s">
        <v>16</v>
      </c>
      <c r="H283" s="60" t="s">
        <v>2427</v>
      </c>
      <c r="I283" s="55">
        <v>303667006</v>
      </c>
      <c r="J283" s="55">
        <v>150425</v>
      </c>
      <c r="K283" s="55" t="s">
        <v>435</v>
      </c>
      <c r="L283" s="53" t="s">
        <v>2035</v>
      </c>
      <c r="M283" s="55" t="s">
        <v>49</v>
      </c>
      <c r="N283" s="52">
        <v>531914894</v>
      </c>
      <c r="O283" s="52">
        <v>531914894</v>
      </c>
      <c r="P283" s="52">
        <v>499414893.63999999</v>
      </c>
      <c r="Q283" s="57">
        <v>45692</v>
      </c>
      <c r="R283" s="57">
        <v>47517</v>
      </c>
      <c r="S283" s="56">
        <v>14</v>
      </c>
      <c r="T283" s="54">
        <v>0</v>
      </c>
      <c r="U283" s="52">
        <v>342830632.30000001</v>
      </c>
      <c r="V283" s="52">
        <v>342830632.30000001</v>
      </c>
      <c r="W283" s="52">
        <v>0</v>
      </c>
      <c r="X283" s="57"/>
      <c r="Y283" s="52">
        <v>0</v>
      </c>
      <c r="Z283" s="52">
        <v>0</v>
      </c>
      <c r="AA283" s="52">
        <v>3</v>
      </c>
      <c r="AB283" s="52">
        <v>85707658.069999993</v>
      </c>
      <c r="AC283" s="52">
        <v>23300899.239999998</v>
      </c>
      <c r="AD283" s="52">
        <v>23300899.239999998</v>
      </c>
      <c r="AE283" s="52">
        <v>0</v>
      </c>
      <c r="AF283" s="52">
        <v>0</v>
      </c>
      <c r="AG283" s="52">
        <v>0</v>
      </c>
      <c r="AH283" s="52">
        <v>0</v>
      </c>
      <c r="AI283" s="52">
        <v>0</v>
      </c>
      <c r="AJ283" s="52">
        <v>2</v>
      </c>
      <c r="AK283" s="52"/>
      <c r="AL283" s="52">
        <v>0</v>
      </c>
      <c r="AM283" s="52">
        <v>0</v>
      </c>
      <c r="AN283" s="61">
        <v>6382978728</v>
      </c>
      <c r="AO283" s="52">
        <v>0</v>
      </c>
      <c r="AP283" s="52">
        <v>0</v>
      </c>
      <c r="AQ283" s="58">
        <v>0</v>
      </c>
      <c r="AR283" s="58">
        <v>0</v>
      </c>
      <c r="AS283" s="58">
        <v>0</v>
      </c>
      <c r="AT283" s="58">
        <v>0</v>
      </c>
      <c r="AU283" s="58">
        <v>0</v>
      </c>
      <c r="AV283" s="58">
        <v>0</v>
      </c>
      <c r="AW283" s="58">
        <v>0</v>
      </c>
      <c r="AX283" s="58">
        <v>0</v>
      </c>
    </row>
    <row r="284" spans="1:50" x14ac:dyDescent="0.25">
      <c r="A284" s="52">
        <f t="shared" si="23"/>
        <v>279</v>
      </c>
      <c r="B284" s="60" t="str">
        <f t="shared" si="22"/>
        <v>0047555957</v>
      </c>
      <c r="C284" s="67" t="s">
        <v>28</v>
      </c>
      <c r="D284" s="59" t="s">
        <v>2058</v>
      </c>
      <c r="E284" s="55" t="str">
        <f t="shared" si="21"/>
        <v>00475</v>
      </c>
      <c r="F284" s="53" t="s">
        <v>2071</v>
      </c>
      <c r="G284" s="55" t="s">
        <v>16</v>
      </c>
      <c r="H284" s="60" t="s">
        <v>2428</v>
      </c>
      <c r="I284" s="55">
        <v>308651474</v>
      </c>
      <c r="J284" s="55">
        <v>55957</v>
      </c>
      <c r="K284" s="55" t="s">
        <v>436</v>
      </c>
      <c r="L284" s="53" t="s">
        <v>2035</v>
      </c>
      <c r="M284" s="55" t="s">
        <v>49</v>
      </c>
      <c r="N284" s="52">
        <v>320200000</v>
      </c>
      <c r="O284" s="52">
        <v>320200000</v>
      </c>
      <c r="P284" s="52">
        <v>320200000</v>
      </c>
      <c r="Q284" s="57">
        <v>44547</v>
      </c>
      <c r="R284" s="57">
        <v>47063</v>
      </c>
      <c r="S284" s="56">
        <v>14</v>
      </c>
      <c r="T284" s="54">
        <v>24</v>
      </c>
      <c r="U284" s="52">
        <v>320200000</v>
      </c>
      <c r="V284" s="52">
        <v>320200000</v>
      </c>
      <c r="W284" s="52">
        <v>0</v>
      </c>
      <c r="X284" s="57"/>
      <c r="Y284" s="52">
        <v>0</v>
      </c>
      <c r="Z284" s="52">
        <v>0</v>
      </c>
      <c r="AA284" s="52">
        <v>2</v>
      </c>
      <c r="AB284" s="52">
        <v>32020000</v>
      </c>
      <c r="AC284" s="52">
        <v>45891136.989999995</v>
      </c>
      <c r="AD284" s="52">
        <v>36722114.939999998</v>
      </c>
      <c r="AE284" s="52">
        <v>0</v>
      </c>
      <c r="AF284" s="52">
        <v>9169022.0500000007</v>
      </c>
      <c r="AG284" s="52">
        <v>0</v>
      </c>
      <c r="AH284" s="52">
        <v>0</v>
      </c>
      <c r="AI284" s="52">
        <v>0</v>
      </c>
      <c r="AJ284" s="52">
        <v>2</v>
      </c>
      <c r="AK284" s="52"/>
      <c r="AL284" s="52">
        <v>0</v>
      </c>
      <c r="AM284" s="52">
        <v>0</v>
      </c>
      <c r="AN284" s="52">
        <v>320200000</v>
      </c>
      <c r="AO284" s="52">
        <v>56222000</v>
      </c>
      <c r="AP284" s="52">
        <v>0</v>
      </c>
      <c r="AQ284" s="58">
        <v>0</v>
      </c>
      <c r="AR284" s="58">
        <v>0</v>
      </c>
      <c r="AS284" s="58">
        <v>0</v>
      </c>
      <c r="AT284" s="58">
        <v>0</v>
      </c>
      <c r="AU284" s="58">
        <v>0</v>
      </c>
      <c r="AV284" s="58">
        <v>0</v>
      </c>
      <c r="AW284" s="58">
        <v>0</v>
      </c>
      <c r="AX284" s="58">
        <v>0</v>
      </c>
    </row>
    <row r="285" spans="1:50" x14ac:dyDescent="0.25">
      <c r="A285" s="52">
        <f t="shared" si="23"/>
        <v>280</v>
      </c>
      <c r="B285" s="60" t="str">
        <f t="shared" si="22"/>
        <v>00475157337</v>
      </c>
      <c r="C285" s="67" t="s">
        <v>28</v>
      </c>
      <c r="D285" s="59" t="s">
        <v>2058</v>
      </c>
      <c r="E285" s="55" t="str">
        <f t="shared" si="21"/>
        <v>00475</v>
      </c>
      <c r="F285" s="53" t="s">
        <v>2071</v>
      </c>
      <c r="G285" s="55" t="s">
        <v>16</v>
      </c>
      <c r="H285" s="60" t="s">
        <v>2417</v>
      </c>
      <c r="I285" s="55">
        <v>304576238</v>
      </c>
      <c r="J285" s="55">
        <v>157337</v>
      </c>
      <c r="K285" s="55" t="s">
        <v>437</v>
      </c>
      <c r="L285" s="53" t="s">
        <v>2035</v>
      </c>
      <c r="M285" s="55" t="s">
        <v>49</v>
      </c>
      <c r="N285" s="52">
        <v>340000000</v>
      </c>
      <c r="O285" s="52">
        <v>340000000</v>
      </c>
      <c r="P285" s="52">
        <v>303420195</v>
      </c>
      <c r="Q285" s="57">
        <v>45740</v>
      </c>
      <c r="R285" s="57">
        <v>46832</v>
      </c>
      <c r="S285" s="56">
        <v>14</v>
      </c>
      <c r="T285" s="54">
        <v>0</v>
      </c>
      <c r="U285" s="52">
        <v>303420195</v>
      </c>
      <c r="V285" s="52">
        <v>303420195</v>
      </c>
      <c r="W285" s="52">
        <v>0</v>
      </c>
      <c r="X285" s="57"/>
      <c r="Y285" s="52">
        <v>0</v>
      </c>
      <c r="Z285" s="52">
        <v>0</v>
      </c>
      <c r="AA285" s="52">
        <v>1</v>
      </c>
      <c r="AB285" s="52">
        <v>0</v>
      </c>
      <c r="AC285" s="52">
        <v>20548462.780000001</v>
      </c>
      <c r="AD285" s="52">
        <v>3142269.42</v>
      </c>
      <c r="AE285" s="52">
        <v>0</v>
      </c>
      <c r="AF285" s="52">
        <v>10306992.09</v>
      </c>
      <c r="AG285" s="52">
        <v>7099201.2699999996</v>
      </c>
      <c r="AH285" s="52">
        <v>0</v>
      </c>
      <c r="AI285" s="52">
        <v>0</v>
      </c>
      <c r="AJ285" s="52">
        <v>2</v>
      </c>
      <c r="AK285" s="52"/>
      <c r="AL285" s="52">
        <v>0</v>
      </c>
      <c r="AM285" s="52">
        <v>0</v>
      </c>
      <c r="AN285" s="61">
        <v>408000000</v>
      </c>
      <c r="AO285" s="52">
        <v>0</v>
      </c>
      <c r="AP285" s="52">
        <v>0</v>
      </c>
      <c r="AQ285" s="58">
        <v>0</v>
      </c>
      <c r="AR285" s="58">
        <v>0</v>
      </c>
      <c r="AS285" s="58">
        <v>0</v>
      </c>
      <c r="AT285" s="58">
        <v>0</v>
      </c>
      <c r="AU285" s="58">
        <v>0</v>
      </c>
      <c r="AV285" s="58">
        <v>0</v>
      </c>
      <c r="AW285" s="58">
        <v>0</v>
      </c>
      <c r="AX285" s="58">
        <v>0</v>
      </c>
    </row>
    <row r="286" spans="1:50" x14ac:dyDescent="0.25">
      <c r="A286" s="52">
        <f t="shared" si="23"/>
        <v>281</v>
      </c>
      <c r="B286" s="60" t="str">
        <f t="shared" si="22"/>
        <v>00475157259</v>
      </c>
      <c r="C286" s="67" t="s">
        <v>28</v>
      </c>
      <c r="D286" s="59" t="s">
        <v>2058</v>
      </c>
      <c r="E286" s="55" t="str">
        <f t="shared" si="21"/>
        <v>00475</v>
      </c>
      <c r="F286" s="53" t="s">
        <v>2071</v>
      </c>
      <c r="G286" s="55" t="s">
        <v>16</v>
      </c>
      <c r="H286" s="60" t="s">
        <v>2416</v>
      </c>
      <c r="I286" s="55">
        <v>303536564</v>
      </c>
      <c r="J286" s="55">
        <v>157259</v>
      </c>
      <c r="K286" s="55" t="s">
        <v>438</v>
      </c>
      <c r="L286" s="53" t="s">
        <v>2035</v>
      </c>
      <c r="M286" s="55" t="s">
        <v>49</v>
      </c>
      <c r="N286" s="52">
        <v>290000000</v>
      </c>
      <c r="O286" s="52">
        <v>290000000</v>
      </c>
      <c r="P286" s="52">
        <v>282531091</v>
      </c>
      <c r="Q286" s="57">
        <v>45740</v>
      </c>
      <c r="R286" s="57">
        <v>46832</v>
      </c>
      <c r="S286" s="56">
        <v>14</v>
      </c>
      <c r="T286" s="54">
        <v>0</v>
      </c>
      <c r="U286" s="52">
        <v>282531091</v>
      </c>
      <c r="V286" s="52">
        <v>282531091</v>
      </c>
      <c r="W286" s="52">
        <v>0</v>
      </c>
      <c r="X286" s="57"/>
      <c r="Y286" s="52">
        <v>0</v>
      </c>
      <c r="Z286" s="52">
        <v>0</v>
      </c>
      <c r="AA286" s="52">
        <v>3</v>
      </c>
      <c r="AB286" s="52">
        <v>70632772.75</v>
      </c>
      <c r="AC286" s="52">
        <v>19132611.640000001</v>
      </c>
      <c r="AD286" s="52">
        <v>19132611.640000001</v>
      </c>
      <c r="AE286" s="52">
        <v>0</v>
      </c>
      <c r="AF286" s="52">
        <v>0</v>
      </c>
      <c r="AG286" s="52">
        <v>0</v>
      </c>
      <c r="AH286" s="52">
        <v>0</v>
      </c>
      <c r="AI286" s="52">
        <v>0</v>
      </c>
      <c r="AJ286" s="52">
        <v>2</v>
      </c>
      <c r="AK286" s="52"/>
      <c r="AL286" s="52">
        <v>0</v>
      </c>
      <c r="AM286" s="52">
        <v>0</v>
      </c>
      <c r="AN286" s="61">
        <v>348000000</v>
      </c>
      <c r="AO286" s="52">
        <v>0</v>
      </c>
      <c r="AP286" s="52">
        <v>0</v>
      </c>
      <c r="AQ286" s="58">
        <v>0</v>
      </c>
      <c r="AR286" s="58">
        <v>0</v>
      </c>
      <c r="AS286" s="58">
        <v>0</v>
      </c>
      <c r="AT286" s="58">
        <v>0</v>
      </c>
      <c r="AU286" s="58">
        <v>0</v>
      </c>
      <c r="AV286" s="58">
        <v>0</v>
      </c>
      <c r="AW286" s="58">
        <v>0</v>
      </c>
      <c r="AX286" s="58">
        <v>0</v>
      </c>
    </row>
    <row r="287" spans="1:50" x14ac:dyDescent="0.25">
      <c r="A287" s="52">
        <f t="shared" si="23"/>
        <v>282</v>
      </c>
      <c r="B287" s="60" t="str">
        <f t="shared" si="22"/>
        <v>00475160494</v>
      </c>
      <c r="C287" s="67" t="s">
        <v>28</v>
      </c>
      <c r="D287" s="59" t="s">
        <v>2058</v>
      </c>
      <c r="E287" s="55" t="str">
        <f t="shared" si="21"/>
        <v>00475</v>
      </c>
      <c r="F287" s="53" t="s">
        <v>2071</v>
      </c>
      <c r="G287" s="55" t="s">
        <v>16</v>
      </c>
      <c r="H287" s="60" t="s">
        <v>389</v>
      </c>
      <c r="I287" s="55">
        <v>204704824</v>
      </c>
      <c r="J287" s="55">
        <v>160494</v>
      </c>
      <c r="K287" s="55" t="s">
        <v>439</v>
      </c>
      <c r="L287" s="53" t="s">
        <v>2035</v>
      </c>
      <c r="M287" s="55" t="s">
        <v>49</v>
      </c>
      <c r="N287" s="52">
        <v>556851064</v>
      </c>
      <c r="O287" s="52">
        <v>556851064</v>
      </c>
      <c r="P287" s="52">
        <v>556851063.84000003</v>
      </c>
      <c r="Q287" s="57">
        <v>45757</v>
      </c>
      <c r="R287" s="57">
        <v>47582</v>
      </c>
      <c r="S287" s="56">
        <v>14</v>
      </c>
      <c r="T287" s="54">
        <v>0</v>
      </c>
      <c r="U287" s="52">
        <v>280975691.06</v>
      </c>
      <c r="V287" s="52">
        <v>280975691.06</v>
      </c>
      <c r="W287" s="52">
        <v>0</v>
      </c>
      <c r="X287" s="57"/>
      <c r="Y287" s="52">
        <v>0</v>
      </c>
      <c r="Z287" s="52">
        <v>0</v>
      </c>
      <c r="AA287" s="52">
        <v>1</v>
      </c>
      <c r="AB287" s="52">
        <v>0</v>
      </c>
      <c r="AC287" s="52">
        <v>2155429.9500000002</v>
      </c>
      <c r="AD287" s="52">
        <v>2155429.9500000002</v>
      </c>
      <c r="AE287" s="52">
        <v>0</v>
      </c>
      <c r="AF287" s="52">
        <v>0</v>
      </c>
      <c r="AG287" s="52">
        <v>0</v>
      </c>
      <c r="AH287" s="52">
        <v>0</v>
      </c>
      <c r="AI287" s="52">
        <v>0</v>
      </c>
      <c r="AJ287" s="52">
        <v>2</v>
      </c>
      <c r="AK287" s="52"/>
      <c r="AL287" s="52">
        <v>0</v>
      </c>
      <c r="AM287" s="52">
        <v>0</v>
      </c>
      <c r="AN287" s="61">
        <v>6682212768</v>
      </c>
      <c r="AO287" s="52">
        <v>0</v>
      </c>
      <c r="AP287" s="52">
        <v>0</v>
      </c>
      <c r="AQ287" s="58">
        <v>0</v>
      </c>
      <c r="AR287" s="58">
        <v>0</v>
      </c>
      <c r="AS287" s="58">
        <v>0</v>
      </c>
      <c r="AT287" s="58">
        <v>0</v>
      </c>
      <c r="AU287" s="58">
        <v>5</v>
      </c>
      <c r="AV287" s="58">
        <v>214575.43</v>
      </c>
      <c r="AW287" s="58">
        <v>7</v>
      </c>
      <c r="AX287" s="58">
        <v>3991000</v>
      </c>
    </row>
    <row r="288" spans="1:50" x14ac:dyDescent="0.25">
      <c r="A288" s="52">
        <f t="shared" si="23"/>
        <v>283</v>
      </c>
      <c r="B288" s="60" t="str">
        <f t="shared" si="22"/>
        <v>00475172394</v>
      </c>
      <c r="C288" s="67" t="s">
        <v>28</v>
      </c>
      <c r="D288" s="59" t="s">
        <v>2058</v>
      </c>
      <c r="E288" s="55" t="str">
        <f t="shared" si="21"/>
        <v>00475</v>
      </c>
      <c r="F288" s="53" t="s">
        <v>2071</v>
      </c>
      <c r="G288" s="55" t="s">
        <v>16</v>
      </c>
      <c r="H288" s="60" t="s">
        <v>2418</v>
      </c>
      <c r="I288" s="55">
        <v>303536556</v>
      </c>
      <c r="J288" s="55">
        <v>172394</v>
      </c>
      <c r="K288" s="55" t="s">
        <v>440</v>
      </c>
      <c r="L288" s="53" t="s">
        <v>2035</v>
      </c>
      <c r="M288" s="55" t="s">
        <v>49</v>
      </c>
      <c r="N288" s="52">
        <v>275000000</v>
      </c>
      <c r="O288" s="52">
        <v>275000000</v>
      </c>
      <c r="P288" s="52">
        <v>270849650.82999998</v>
      </c>
      <c r="Q288" s="57">
        <v>45832</v>
      </c>
      <c r="R288" s="57">
        <v>46909</v>
      </c>
      <c r="S288" s="56">
        <v>14</v>
      </c>
      <c r="T288" s="54">
        <v>0</v>
      </c>
      <c r="U288" s="52">
        <v>270849650.82999998</v>
      </c>
      <c r="V288" s="52">
        <v>270849650.82999998</v>
      </c>
      <c r="W288" s="52">
        <v>0</v>
      </c>
      <c r="X288" s="57"/>
      <c r="Y288" s="52">
        <v>0</v>
      </c>
      <c r="Z288" s="52">
        <v>0</v>
      </c>
      <c r="AA288" s="52">
        <v>1</v>
      </c>
      <c r="AB288" s="52">
        <v>0</v>
      </c>
      <c r="AC288" s="52">
        <v>18324157.91</v>
      </c>
      <c r="AD288" s="52">
        <v>2804963.51</v>
      </c>
      <c r="AE288" s="52">
        <v>0</v>
      </c>
      <c r="AF288" s="52">
        <v>9182054.6300000008</v>
      </c>
      <c r="AG288" s="52">
        <v>6337139.7699999996</v>
      </c>
      <c r="AH288" s="52">
        <v>0</v>
      </c>
      <c r="AI288" s="52">
        <v>0</v>
      </c>
      <c r="AJ288" s="52">
        <v>2</v>
      </c>
      <c r="AK288" s="52"/>
      <c r="AL288" s="52">
        <v>0</v>
      </c>
      <c r="AM288" s="52">
        <v>0</v>
      </c>
      <c r="AN288" s="61">
        <v>330000000</v>
      </c>
      <c r="AO288" s="52">
        <v>0</v>
      </c>
      <c r="AP288" s="52">
        <v>0</v>
      </c>
      <c r="AQ288" s="58">
        <v>0</v>
      </c>
      <c r="AR288" s="58">
        <v>0</v>
      </c>
      <c r="AS288" s="58">
        <v>0</v>
      </c>
      <c r="AT288" s="58">
        <v>0</v>
      </c>
      <c r="AU288" s="58">
        <v>0</v>
      </c>
      <c r="AV288" s="58">
        <v>0</v>
      </c>
      <c r="AW288" s="58">
        <v>0</v>
      </c>
      <c r="AX288" s="58">
        <v>0</v>
      </c>
    </row>
    <row r="289" spans="1:50" x14ac:dyDescent="0.25">
      <c r="A289" s="52">
        <f t="shared" si="23"/>
        <v>284</v>
      </c>
      <c r="B289" s="60" t="str">
        <f t="shared" si="22"/>
        <v>00475117134</v>
      </c>
      <c r="C289" s="67" t="s">
        <v>28</v>
      </c>
      <c r="D289" s="59" t="s">
        <v>2058</v>
      </c>
      <c r="E289" s="55" t="str">
        <f t="shared" si="21"/>
        <v>00475</v>
      </c>
      <c r="F289" s="53" t="s">
        <v>2071</v>
      </c>
      <c r="G289" s="55" t="s">
        <v>16</v>
      </c>
      <c r="H289" s="60" t="s">
        <v>2420</v>
      </c>
      <c r="I289" s="55">
        <v>303145347</v>
      </c>
      <c r="J289" s="55">
        <v>117134</v>
      </c>
      <c r="K289" s="55" t="s">
        <v>441</v>
      </c>
      <c r="L289" s="53" t="s">
        <v>2035</v>
      </c>
      <c r="M289" s="55" t="s">
        <v>49</v>
      </c>
      <c r="N289" s="52">
        <v>260000000</v>
      </c>
      <c r="O289" s="52">
        <v>260000000</v>
      </c>
      <c r="P289" s="52">
        <v>260000000</v>
      </c>
      <c r="Q289" s="57">
        <v>45328</v>
      </c>
      <c r="R289" s="57">
        <v>47182</v>
      </c>
      <c r="S289" s="56">
        <v>14</v>
      </c>
      <c r="T289" s="54">
        <v>0</v>
      </c>
      <c r="U289" s="52">
        <v>260000000</v>
      </c>
      <c r="V289" s="52">
        <v>260000000</v>
      </c>
      <c r="W289" s="52">
        <v>0</v>
      </c>
      <c r="X289" s="57"/>
      <c r="Y289" s="52">
        <v>0</v>
      </c>
      <c r="Z289" s="52">
        <v>0</v>
      </c>
      <c r="AA289" s="52">
        <v>1</v>
      </c>
      <c r="AB289" s="52">
        <v>0</v>
      </c>
      <c r="AC289" s="52">
        <v>8773698.629999999</v>
      </c>
      <c r="AD289" s="52">
        <v>2692602.74</v>
      </c>
      <c r="AE289" s="52">
        <v>0</v>
      </c>
      <c r="AF289" s="52">
        <v>6081095.8899999997</v>
      </c>
      <c r="AG289" s="52">
        <v>0</v>
      </c>
      <c r="AH289" s="52">
        <v>0</v>
      </c>
      <c r="AI289" s="52">
        <v>0</v>
      </c>
      <c r="AJ289" s="52">
        <v>2</v>
      </c>
      <c r="AK289" s="52"/>
      <c r="AL289" s="52">
        <v>0</v>
      </c>
      <c r="AM289" s="52">
        <v>0</v>
      </c>
      <c r="AN289" s="61">
        <v>312000000</v>
      </c>
      <c r="AO289" s="52">
        <v>0</v>
      </c>
      <c r="AP289" s="52">
        <v>0</v>
      </c>
      <c r="AQ289" s="58">
        <v>0</v>
      </c>
      <c r="AR289" s="58">
        <v>0</v>
      </c>
      <c r="AS289" s="58">
        <v>0</v>
      </c>
      <c r="AT289" s="58">
        <v>0</v>
      </c>
      <c r="AU289" s="58">
        <v>0</v>
      </c>
      <c r="AV289" s="58">
        <v>0</v>
      </c>
      <c r="AW289" s="58">
        <v>0</v>
      </c>
      <c r="AX289" s="58">
        <v>0</v>
      </c>
    </row>
    <row r="290" spans="1:50" x14ac:dyDescent="0.25">
      <c r="A290" s="52">
        <f t="shared" si="23"/>
        <v>285</v>
      </c>
      <c r="B290" s="60" t="str">
        <f t="shared" si="22"/>
        <v>00475157340</v>
      </c>
      <c r="C290" s="67" t="s">
        <v>28</v>
      </c>
      <c r="D290" s="59" t="s">
        <v>2058</v>
      </c>
      <c r="E290" s="55" t="str">
        <f t="shared" si="21"/>
        <v>00475</v>
      </c>
      <c r="F290" s="53" t="s">
        <v>2071</v>
      </c>
      <c r="G290" s="55" t="s">
        <v>16</v>
      </c>
      <c r="H290" s="60" t="s">
        <v>2419</v>
      </c>
      <c r="I290" s="55">
        <v>303510185</v>
      </c>
      <c r="J290" s="55">
        <v>157340</v>
      </c>
      <c r="K290" s="55" t="s">
        <v>442</v>
      </c>
      <c r="L290" s="53" t="s">
        <v>2035</v>
      </c>
      <c r="M290" s="55" t="s">
        <v>49</v>
      </c>
      <c r="N290" s="52">
        <v>349000000</v>
      </c>
      <c r="O290" s="52">
        <v>349000000</v>
      </c>
      <c r="P290" s="52">
        <v>241388000</v>
      </c>
      <c r="Q290" s="57">
        <v>45740</v>
      </c>
      <c r="R290" s="57">
        <v>46832</v>
      </c>
      <c r="S290" s="56">
        <v>14</v>
      </c>
      <c r="T290" s="54">
        <v>0</v>
      </c>
      <c r="U290" s="52">
        <v>241388000</v>
      </c>
      <c r="V290" s="52">
        <v>241388000</v>
      </c>
      <c r="W290" s="52">
        <v>0</v>
      </c>
      <c r="X290" s="57"/>
      <c r="Y290" s="52">
        <v>0</v>
      </c>
      <c r="Z290" s="52">
        <v>0</v>
      </c>
      <c r="AA290" s="52">
        <v>1</v>
      </c>
      <c r="AB290" s="52">
        <v>0</v>
      </c>
      <c r="AC290" s="52">
        <v>20554353.530000001</v>
      </c>
      <c r="AD290" s="52">
        <v>2499853.7999999998</v>
      </c>
      <c r="AE290" s="52">
        <v>0</v>
      </c>
      <c r="AF290" s="52">
        <v>15184297.210000001</v>
      </c>
      <c r="AG290" s="52">
        <v>2870202.52</v>
      </c>
      <c r="AH290" s="52">
        <v>0</v>
      </c>
      <c r="AI290" s="52">
        <v>0</v>
      </c>
      <c r="AJ290" s="52">
        <v>2</v>
      </c>
      <c r="AK290" s="52"/>
      <c r="AL290" s="52">
        <v>0</v>
      </c>
      <c r="AM290" s="52">
        <v>0</v>
      </c>
      <c r="AN290" s="61">
        <v>418800000</v>
      </c>
      <c r="AO290" s="52">
        <v>0</v>
      </c>
      <c r="AP290" s="52">
        <v>0</v>
      </c>
      <c r="AQ290" s="58">
        <v>0</v>
      </c>
      <c r="AR290" s="58">
        <v>0</v>
      </c>
      <c r="AS290" s="58">
        <v>0</v>
      </c>
      <c r="AT290" s="58">
        <v>0</v>
      </c>
      <c r="AU290" s="58">
        <v>0</v>
      </c>
      <c r="AV290" s="58">
        <v>0</v>
      </c>
      <c r="AW290" s="58">
        <v>0</v>
      </c>
      <c r="AX290" s="58">
        <v>0</v>
      </c>
    </row>
    <row r="291" spans="1:50" x14ac:dyDescent="0.25">
      <c r="A291" s="52">
        <f t="shared" si="23"/>
        <v>286</v>
      </c>
      <c r="B291" s="60" t="str">
        <f t="shared" si="22"/>
        <v>00475157342</v>
      </c>
      <c r="C291" s="67" t="s">
        <v>28</v>
      </c>
      <c r="D291" s="59" t="s">
        <v>2058</v>
      </c>
      <c r="E291" s="55" t="str">
        <f t="shared" si="21"/>
        <v>00475</v>
      </c>
      <c r="F291" s="53" t="s">
        <v>2071</v>
      </c>
      <c r="G291" s="55" t="s">
        <v>16</v>
      </c>
      <c r="H291" s="60" t="s">
        <v>2424</v>
      </c>
      <c r="I291" s="55">
        <v>201550189</v>
      </c>
      <c r="J291" s="55">
        <v>157342</v>
      </c>
      <c r="K291" s="55" t="s">
        <v>443</v>
      </c>
      <c r="L291" s="53" t="s">
        <v>2035</v>
      </c>
      <c r="M291" s="55" t="s">
        <v>49</v>
      </c>
      <c r="N291" s="52">
        <v>235000000</v>
      </c>
      <c r="O291" s="52">
        <v>235000000</v>
      </c>
      <c r="P291" s="52">
        <v>202163257.5</v>
      </c>
      <c r="Q291" s="57">
        <v>45740</v>
      </c>
      <c r="R291" s="57">
        <v>46817</v>
      </c>
      <c r="S291" s="56">
        <v>14</v>
      </c>
      <c r="T291" s="54">
        <v>0</v>
      </c>
      <c r="U291" s="52">
        <v>202163257.5</v>
      </c>
      <c r="V291" s="52">
        <v>202163257.5</v>
      </c>
      <c r="W291" s="52">
        <v>0</v>
      </c>
      <c r="X291" s="57"/>
      <c r="Y291" s="52">
        <v>0</v>
      </c>
      <c r="Z291" s="52">
        <v>0</v>
      </c>
      <c r="AA291" s="52">
        <v>3</v>
      </c>
      <c r="AB291" s="52">
        <v>50540814.369999997</v>
      </c>
      <c r="AC291" s="52">
        <v>22480704.699999999</v>
      </c>
      <c r="AD291" s="52">
        <v>2093635.93</v>
      </c>
      <c r="AE291" s="52">
        <v>0</v>
      </c>
      <c r="AF291" s="52">
        <v>13330740.279999999</v>
      </c>
      <c r="AG291" s="52">
        <v>7056328.4900000002</v>
      </c>
      <c r="AH291" s="52">
        <v>0</v>
      </c>
      <c r="AI291" s="52">
        <v>0</v>
      </c>
      <c r="AJ291" s="52">
        <v>2</v>
      </c>
      <c r="AK291" s="52"/>
      <c r="AL291" s="52">
        <v>0</v>
      </c>
      <c r="AM291" s="52">
        <v>0</v>
      </c>
      <c r="AN291" s="61">
        <v>282000000</v>
      </c>
      <c r="AO291" s="52">
        <v>0</v>
      </c>
      <c r="AP291" s="52">
        <v>0</v>
      </c>
      <c r="AQ291" s="58">
        <v>0</v>
      </c>
      <c r="AR291" s="58">
        <v>0</v>
      </c>
      <c r="AS291" s="58">
        <v>0</v>
      </c>
      <c r="AT291" s="58">
        <v>0</v>
      </c>
      <c r="AU291" s="58">
        <v>0</v>
      </c>
      <c r="AV291" s="58">
        <v>0</v>
      </c>
      <c r="AW291" s="58">
        <v>0</v>
      </c>
      <c r="AX291" s="58">
        <v>0</v>
      </c>
    </row>
    <row r="292" spans="1:50" x14ac:dyDescent="0.25">
      <c r="A292" s="52">
        <f t="shared" si="23"/>
        <v>287</v>
      </c>
      <c r="B292" s="60" t="str">
        <f t="shared" si="22"/>
        <v>0047626952</v>
      </c>
      <c r="C292" s="67" t="s">
        <v>28</v>
      </c>
      <c r="D292" s="59" t="s">
        <v>2058</v>
      </c>
      <c r="E292" s="55" t="str">
        <f t="shared" si="21"/>
        <v>00476</v>
      </c>
      <c r="F292" s="53" t="s">
        <v>2072</v>
      </c>
      <c r="G292" s="55" t="s">
        <v>12</v>
      </c>
      <c r="H292" s="60" t="s">
        <v>2429</v>
      </c>
      <c r="I292" s="55">
        <v>307389547</v>
      </c>
      <c r="J292" s="55">
        <v>26952</v>
      </c>
      <c r="K292" s="55" t="s">
        <v>444</v>
      </c>
      <c r="L292" s="53" t="s">
        <v>2073</v>
      </c>
      <c r="M292" s="55" t="s">
        <v>49</v>
      </c>
      <c r="N292" s="52">
        <v>2200000000</v>
      </c>
      <c r="O292" s="52">
        <v>2200000000</v>
      </c>
      <c r="P292" s="52">
        <v>2200000000</v>
      </c>
      <c r="Q292" s="57">
        <v>44172</v>
      </c>
      <c r="R292" s="57">
        <v>46122</v>
      </c>
      <c r="S292" s="56">
        <v>0</v>
      </c>
      <c r="T292" s="54">
        <v>6</v>
      </c>
      <c r="U292" s="52">
        <v>2106935535.9000001</v>
      </c>
      <c r="V292" s="52">
        <v>2106935535.9000001</v>
      </c>
      <c r="W292" s="52">
        <v>0</v>
      </c>
      <c r="X292" s="57"/>
      <c r="Y292" s="52">
        <v>0</v>
      </c>
      <c r="Z292" s="52">
        <v>0</v>
      </c>
      <c r="AA292" s="52">
        <v>1</v>
      </c>
      <c r="AB292" s="52">
        <v>0</v>
      </c>
      <c r="AC292" s="52">
        <v>178447947.84999999</v>
      </c>
      <c r="AD292" s="52">
        <v>0</v>
      </c>
      <c r="AE292" s="52">
        <v>0</v>
      </c>
      <c r="AF292" s="52">
        <v>178447947.84999999</v>
      </c>
      <c r="AG292" s="52">
        <v>0</v>
      </c>
      <c r="AH292" s="52">
        <v>0</v>
      </c>
      <c r="AI292" s="52">
        <v>0</v>
      </c>
      <c r="AJ292" s="52">
        <v>2</v>
      </c>
      <c r="AK292" s="52"/>
      <c r="AL292" s="52">
        <v>389077434238</v>
      </c>
      <c r="AM292" s="52">
        <v>70337283105</v>
      </c>
      <c r="AN292" s="52">
        <v>2640000000</v>
      </c>
      <c r="AO292" s="52">
        <v>1507554398515</v>
      </c>
      <c r="AP292" s="52">
        <v>110051471091595</v>
      </c>
      <c r="AQ292" s="58">
        <v>0</v>
      </c>
      <c r="AR292" s="58">
        <v>0</v>
      </c>
      <c r="AS292" s="58">
        <v>0</v>
      </c>
      <c r="AT292" s="58">
        <v>0</v>
      </c>
      <c r="AU292" s="58">
        <v>0</v>
      </c>
      <c r="AV292" s="58">
        <v>0</v>
      </c>
      <c r="AW292" s="58">
        <v>0</v>
      </c>
      <c r="AX292" s="58">
        <v>0</v>
      </c>
    </row>
    <row r="293" spans="1:50" x14ac:dyDescent="0.25">
      <c r="A293" s="52">
        <f t="shared" si="23"/>
        <v>288</v>
      </c>
      <c r="B293" s="60" t="str">
        <f t="shared" si="22"/>
        <v>00476124185</v>
      </c>
      <c r="C293" s="67" t="s">
        <v>28</v>
      </c>
      <c r="D293" s="59" t="s">
        <v>2058</v>
      </c>
      <c r="E293" s="55" t="str">
        <f t="shared" si="21"/>
        <v>00476</v>
      </c>
      <c r="F293" s="53" t="s">
        <v>2072</v>
      </c>
      <c r="G293" s="55" t="s">
        <v>12</v>
      </c>
      <c r="H293" s="60" t="s">
        <v>445</v>
      </c>
      <c r="I293" s="55">
        <v>310037826</v>
      </c>
      <c r="J293" s="55">
        <v>124185</v>
      </c>
      <c r="K293" s="55" t="s">
        <v>446</v>
      </c>
      <c r="L293" s="53" t="s">
        <v>2073</v>
      </c>
      <c r="M293" s="55" t="s">
        <v>49</v>
      </c>
      <c r="N293" s="52">
        <v>1798520000</v>
      </c>
      <c r="O293" s="52">
        <v>1798520000</v>
      </c>
      <c r="P293" s="52">
        <v>1798520000</v>
      </c>
      <c r="Q293" s="57">
        <v>45756</v>
      </c>
      <c r="R293" s="57">
        <v>48677</v>
      </c>
      <c r="S293" s="56">
        <v>10</v>
      </c>
      <c r="T293" s="54">
        <v>12</v>
      </c>
      <c r="U293" s="52">
        <v>1798520000</v>
      </c>
      <c r="V293" s="52">
        <v>1798520000</v>
      </c>
      <c r="W293" s="52">
        <v>0</v>
      </c>
      <c r="X293" s="57"/>
      <c r="Y293" s="52">
        <v>0</v>
      </c>
      <c r="Z293" s="52">
        <v>0</v>
      </c>
      <c r="AA293" s="52">
        <v>1</v>
      </c>
      <c r="AB293" s="52">
        <v>0</v>
      </c>
      <c r="AC293" s="52">
        <v>15275101.360000001</v>
      </c>
      <c r="AD293" s="52">
        <v>11333139.720000001</v>
      </c>
      <c r="AE293" s="52">
        <v>0</v>
      </c>
      <c r="AF293" s="52">
        <v>0</v>
      </c>
      <c r="AG293" s="52">
        <v>3941961.64</v>
      </c>
      <c r="AH293" s="52">
        <v>0</v>
      </c>
      <c r="AI293" s="52">
        <v>0</v>
      </c>
      <c r="AJ293" s="52">
        <v>2</v>
      </c>
      <c r="AK293" s="52"/>
      <c r="AL293" s="52">
        <v>12757758717</v>
      </c>
      <c r="AM293" s="52">
        <v>3018762099</v>
      </c>
      <c r="AN293" s="52">
        <v>2158224000</v>
      </c>
      <c r="AO293" s="52">
        <v>4985117995</v>
      </c>
      <c r="AP293" s="52">
        <v>363913613635</v>
      </c>
      <c r="AQ293" s="58">
        <v>0</v>
      </c>
      <c r="AR293" s="58">
        <v>0</v>
      </c>
      <c r="AS293" s="58">
        <v>0</v>
      </c>
      <c r="AT293" s="58">
        <v>0</v>
      </c>
      <c r="AU293" s="58">
        <v>0</v>
      </c>
      <c r="AV293" s="58">
        <v>0</v>
      </c>
      <c r="AW293" s="58">
        <v>0</v>
      </c>
      <c r="AX293" s="58">
        <v>0</v>
      </c>
    </row>
    <row r="294" spans="1:50" x14ac:dyDescent="0.25">
      <c r="A294" s="52">
        <f t="shared" si="23"/>
        <v>289</v>
      </c>
      <c r="B294" s="60" t="str">
        <f t="shared" si="22"/>
        <v>0047629663</v>
      </c>
      <c r="C294" s="67" t="s">
        <v>28</v>
      </c>
      <c r="D294" s="59" t="s">
        <v>2058</v>
      </c>
      <c r="E294" s="55" t="str">
        <f t="shared" si="21"/>
        <v>00476</v>
      </c>
      <c r="F294" s="53" t="s">
        <v>2072</v>
      </c>
      <c r="G294" s="55" t="s">
        <v>12</v>
      </c>
      <c r="H294" s="60" t="s">
        <v>2430</v>
      </c>
      <c r="I294" s="55">
        <v>300810621</v>
      </c>
      <c r="J294" s="55">
        <v>29663</v>
      </c>
      <c r="K294" s="55" t="s">
        <v>447</v>
      </c>
      <c r="L294" s="53" t="s">
        <v>2073</v>
      </c>
      <c r="M294" s="55" t="s">
        <v>49</v>
      </c>
      <c r="N294" s="52">
        <v>4100000000</v>
      </c>
      <c r="O294" s="52">
        <v>4100000000</v>
      </c>
      <c r="P294" s="52">
        <v>4100000000</v>
      </c>
      <c r="Q294" s="57">
        <v>44306</v>
      </c>
      <c r="R294" s="57">
        <v>46126</v>
      </c>
      <c r="S294" s="56">
        <v>21</v>
      </c>
      <c r="T294" s="54">
        <v>24</v>
      </c>
      <c r="U294" s="52">
        <v>1455024976.6199999</v>
      </c>
      <c r="V294" s="52">
        <v>1162055918.25</v>
      </c>
      <c r="W294" s="52">
        <v>292969058.37</v>
      </c>
      <c r="X294" s="57">
        <v>45986</v>
      </c>
      <c r="Y294" s="52">
        <v>0</v>
      </c>
      <c r="Z294" s="52">
        <v>0</v>
      </c>
      <c r="AA294" s="52">
        <v>2</v>
      </c>
      <c r="AB294" s="52">
        <v>145502497.66</v>
      </c>
      <c r="AC294" s="52">
        <v>155228706.15000001</v>
      </c>
      <c r="AD294" s="52">
        <v>148981448.28</v>
      </c>
      <c r="AE294" s="52">
        <v>0</v>
      </c>
      <c r="AF294" s="52">
        <v>8304.0300000000007</v>
      </c>
      <c r="AG294" s="52">
        <v>6238953.8399999999</v>
      </c>
      <c r="AH294" s="52">
        <v>0</v>
      </c>
      <c r="AI294" s="52">
        <v>0</v>
      </c>
      <c r="AJ294" s="52">
        <v>2</v>
      </c>
      <c r="AK294" s="52"/>
      <c r="AL294" s="52">
        <v>47580444094</v>
      </c>
      <c r="AM294" s="52">
        <v>37663941096</v>
      </c>
      <c r="AN294" s="52">
        <v>4920000000</v>
      </c>
      <c r="AO294" s="52">
        <v>554825731907</v>
      </c>
      <c r="AP294" s="52">
        <v>39392626965397</v>
      </c>
      <c r="AQ294" s="58">
        <v>0</v>
      </c>
      <c r="AR294" s="58">
        <v>0</v>
      </c>
      <c r="AS294" s="58">
        <v>0</v>
      </c>
      <c r="AT294" s="58">
        <v>0</v>
      </c>
      <c r="AU294" s="58">
        <v>0</v>
      </c>
      <c r="AV294" s="58">
        <v>0</v>
      </c>
      <c r="AW294" s="58">
        <v>0</v>
      </c>
      <c r="AX294" s="58">
        <v>0</v>
      </c>
    </row>
    <row r="295" spans="1:50" x14ac:dyDescent="0.25">
      <c r="A295" s="52">
        <f t="shared" si="23"/>
        <v>290</v>
      </c>
      <c r="B295" s="60" t="str">
        <f t="shared" si="22"/>
        <v>0047626806</v>
      </c>
      <c r="C295" s="67" t="s">
        <v>28</v>
      </c>
      <c r="D295" s="59" t="s">
        <v>2058</v>
      </c>
      <c r="E295" s="55" t="str">
        <f t="shared" si="21"/>
        <v>00476</v>
      </c>
      <c r="F295" s="53" t="s">
        <v>2072</v>
      </c>
      <c r="G295" s="55" t="s">
        <v>12</v>
      </c>
      <c r="H295" s="60" t="s">
        <v>2431</v>
      </c>
      <c r="I295" s="55">
        <v>303621980</v>
      </c>
      <c r="J295" s="55">
        <v>26806</v>
      </c>
      <c r="K295" s="55" t="s">
        <v>448</v>
      </c>
      <c r="L295" s="53" t="s">
        <v>2073</v>
      </c>
      <c r="M295" s="55" t="s">
        <v>49</v>
      </c>
      <c r="N295" s="52">
        <v>1325000000</v>
      </c>
      <c r="O295" s="52">
        <v>1325000000</v>
      </c>
      <c r="P295" s="52">
        <v>1306082750</v>
      </c>
      <c r="Q295" s="57">
        <v>44160</v>
      </c>
      <c r="R295" s="57">
        <v>47809</v>
      </c>
      <c r="S295" s="56">
        <v>14</v>
      </c>
      <c r="T295" s="54">
        <v>84</v>
      </c>
      <c r="U295" s="52">
        <v>1306082750</v>
      </c>
      <c r="V295" s="52">
        <v>1306082750</v>
      </c>
      <c r="W295" s="52">
        <v>0</v>
      </c>
      <c r="X295" s="57"/>
      <c r="Y295" s="52">
        <v>0</v>
      </c>
      <c r="Z295" s="52">
        <v>0</v>
      </c>
      <c r="AA295" s="52">
        <v>1</v>
      </c>
      <c r="AB295" s="52">
        <v>0</v>
      </c>
      <c r="AC295" s="52">
        <v>0</v>
      </c>
      <c r="AD295" s="52">
        <v>0</v>
      </c>
      <c r="AE295" s="52">
        <v>0</v>
      </c>
      <c r="AF295" s="52">
        <v>0</v>
      </c>
      <c r="AG295" s="52">
        <v>0</v>
      </c>
      <c r="AH295" s="52">
        <v>0</v>
      </c>
      <c r="AI295" s="52">
        <v>0</v>
      </c>
      <c r="AJ295" s="52">
        <v>2</v>
      </c>
      <c r="AK295" s="52"/>
      <c r="AL295" s="52">
        <v>76448148208</v>
      </c>
      <c r="AM295" s="52">
        <v>9312491344</v>
      </c>
      <c r="AN295" s="52">
        <v>1590407750</v>
      </c>
      <c r="AO295" s="52">
        <v>37838535666</v>
      </c>
      <c r="AP295" s="52">
        <v>2762213103618</v>
      </c>
      <c r="AQ295" s="58">
        <v>0</v>
      </c>
      <c r="AR295" s="58">
        <v>0</v>
      </c>
      <c r="AS295" s="58">
        <v>0</v>
      </c>
      <c r="AT295" s="58">
        <v>0</v>
      </c>
      <c r="AU295" s="58">
        <v>0</v>
      </c>
      <c r="AV295" s="58">
        <v>0</v>
      </c>
      <c r="AW295" s="58">
        <v>0</v>
      </c>
      <c r="AX295" s="58">
        <v>0</v>
      </c>
    </row>
    <row r="296" spans="1:50" x14ac:dyDescent="0.25">
      <c r="A296" s="52">
        <f t="shared" si="23"/>
        <v>291</v>
      </c>
      <c r="B296" s="60" t="str">
        <f t="shared" si="22"/>
        <v>0047626926</v>
      </c>
      <c r="C296" s="67" t="s">
        <v>28</v>
      </c>
      <c r="D296" s="59" t="s">
        <v>2058</v>
      </c>
      <c r="E296" s="55" t="str">
        <f t="shared" si="21"/>
        <v>00476</v>
      </c>
      <c r="F296" s="53" t="s">
        <v>2072</v>
      </c>
      <c r="G296" s="55" t="s">
        <v>12</v>
      </c>
      <c r="H296" s="60" t="s">
        <v>2432</v>
      </c>
      <c r="I296" s="55">
        <v>305313254</v>
      </c>
      <c r="J296" s="55">
        <v>26926</v>
      </c>
      <c r="K296" s="55" t="s">
        <v>449</v>
      </c>
      <c r="L296" s="53" t="s">
        <v>2073</v>
      </c>
      <c r="M296" s="55" t="s">
        <v>49</v>
      </c>
      <c r="N296" s="52">
        <v>1325000000</v>
      </c>
      <c r="O296" s="52">
        <v>1325000000</v>
      </c>
      <c r="P296" s="52">
        <v>1305732750</v>
      </c>
      <c r="Q296" s="57">
        <v>44169</v>
      </c>
      <c r="R296" s="57">
        <v>47820</v>
      </c>
      <c r="S296" s="56">
        <v>14</v>
      </c>
      <c r="T296" s="54">
        <v>84</v>
      </c>
      <c r="U296" s="52">
        <v>1305732750</v>
      </c>
      <c r="V296" s="52">
        <v>1305732750</v>
      </c>
      <c r="W296" s="52">
        <v>0</v>
      </c>
      <c r="X296" s="57"/>
      <c r="Y296" s="52">
        <v>0</v>
      </c>
      <c r="Z296" s="52">
        <v>0</v>
      </c>
      <c r="AA296" s="52">
        <v>1</v>
      </c>
      <c r="AB296" s="52">
        <v>0</v>
      </c>
      <c r="AC296" s="52">
        <v>0</v>
      </c>
      <c r="AD296" s="52">
        <v>0</v>
      </c>
      <c r="AE296" s="52">
        <v>0</v>
      </c>
      <c r="AF296" s="52">
        <v>0</v>
      </c>
      <c r="AG296" s="52">
        <v>0</v>
      </c>
      <c r="AH296" s="52">
        <v>0</v>
      </c>
      <c r="AI296" s="52">
        <v>0</v>
      </c>
      <c r="AJ296" s="52">
        <v>2</v>
      </c>
      <c r="AK296" s="52"/>
      <c r="AL296" s="52">
        <v>242189225647</v>
      </c>
      <c r="AM296" s="52">
        <v>188618070675</v>
      </c>
      <c r="AN296" s="52">
        <v>1590000000</v>
      </c>
      <c r="AO296" s="52">
        <v>2119280314</v>
      </c>
      <c r="AP296" s="52">
        <v>152588182608</v>
      </c>
      <c r="AQ296" s="58">
        <v>0</v>
      </c>
      <c r="AR296" s="58">
        <v>0</v>
      </c>
      <c r="AS296" s="58">
        <v>0</v>
      </c>
      <c r="AT296" s="58">
        <v>0</v>
      </c>
      <c r="AU296" s="58">
        <v>0</v>
      </c>
      <c r="AV296" s="58">
        <v>0</v>
      </c>
      <c r="AW296" s="58">
        <v>0</v>
      </c>
      <c r="AX296" s="58">
        <v>0</v>
      </c>
    </row>
    <row r="297" spans="1:50" x14ac:dyDescent="0.25">
      <c r="A297" s="52">
        <f t="shared" si="23"/>
        <v>292</v>
      </c>
      <c r="B297" s="60" t="str">
        <f t="shared" si="22"/>
        <v>00476120967</v>
      </c>
      <c r="C297" s="67" t="s">
        <v>28</v>
      </c>
      <c r="D297" s="59" t="s">
        <v>2058</v>
      </c>
      <c r="E297" s="55" t="str">
        <f t="shared" si="21"/>
        <v>00476</v>
      </c>
      <c r="F297" s="53" t="s">
        <v>2072</v>
      </c>
      <c r="G297" s="55" t="s">
        <v>12</v>
      </c>
      <c r="H297" s="60" t="s">
        <v>450</v>
      </c>
      <c r="I297" s="55">
        <v>310685084</v>
      </c>
      <c r="J297" s="55">
        <v>120967</v>
      </c>
      <c r="K297" s="55" t="s">
        <v>451</v>
      </c>
      <c r="L297" s="53" t="s">
        <v>2073</v>
      </c>
      <c r="M297" s="55" t="s">
        <v>49</v>
      </c>
      <c r="N297" s="52">
        <v>1276595745</v>
      </c>
      <c r="O297" s="52">
        <v>1276595745</v>
      </c>
      <c r="P297" s="52">
        <v>1276595744.7</v>
      </c>
      <c r="Q297" s="57">
        <v>45728</v>
      </c>
      <c r="R297" s="57">
        <v>47553</v>
      </c>
      <c r="S297" s="56">
        <v>14</v>
      </c>
      <c r="T297" s="54">
        <v>24</v>
      </c>
      <c r="U297" s="52">
        <v>1276595744.7</v>
      </c>
      <c r="V297" s="52">
        <v>1276595744.7</v>
      </c>
      <c r="W297" s="52">
        <v>0</v>
      </c>
      <c r="X297" s="57"/>
      <c r="Y297" s="52">
        <v>0</v>
      </c>
      <c r="Z297" s="52">
        <v>0</v>
      </c>
      <c r="AA297" s="52">
        <v>1</v>
      </c>
      <c r="AB297" s="52">
        <v>0</v>
      </c>
      <c r="AC297" s="52">
        <v>43068026.82</v>
      </c>
      <c r="AD297" s="52">
        <v>12241329.060000001</v>
      </c>
      <c r="AE297" s="52">
        <v>0</v>
      </c>
      <c r="AF297" s="52">
        <v>30826697.760000002</v>
      </c>
      <c r="AG297" s="52">
        <v>0</v>
      </c>
      <c r="AH297" s="52">
        <v>0</v>
      </c>
      <c r="AI297" s="52">
        <v>0</v>
      </c>
      <c r="AJ297" s="52">
        <v>2</v>
      </c>
      <c r="AK297" s="52"/>
      <c r="AL297" s="52">
        <v>5572738198</v>
      </c>
      <c r="AM297" s="52">
        <v>3639819537</v>
      </c>
      <c r="AN297" s="52">
        <v>1531914894</v>
      </c>
      <c r="AO297" s="52">
        <v>167565845</v>
      </c>
      <c r="AP297" s="52">
        <v>1206474084</v>
      </c>
      <c r="AQ297" s="58">
        <v>0</v>
      </c>
      <c r="AR297" s="58">
        <v>0</v>
      </c>
      <c r="AS297" s="58">
        <v>0</v>
      </c>
      <c r="AT297" s="58">
        <v>0</v>
      </c>
      <c r="AU297" s="58">
        <v>0</v>
      </c>
      <c r="AV297" s="58">
        <v>0</v>
      </c>
      <c r="AW297" s="58">
        <v>0</v>
      </c>
      <c r="AX297" s="58">
        <v>0</v>
      </c>
    </row>
    <row r="298" spans="1:50" x14ac:dyDescent="0.25">
      <c r="A298" s="52">
        <f t="shared" si="23"/>
        <v>293</v>
      </c>
      <c r="B298" s="60" t="str">
        <f t="shared" si="22"/>
        <v>00476110583</v>
      </c>
      <c r="C298" s="67" t="s">
        <v>28</v>
      </c>
      <c r="D298" s="59" t="s">
        <v>2058</v>
      </c>
      <c r="E298" s="55" t="str">
        <f t="shared" si="21"/>
        <v>00476</v>
      </c>
      <c r="F298" s="53" t="s">
        <v>2072</v>
      </c>
      <c r="G298" s="55" t="s">
        <v>12</v>
      </c>
      <c r="H298" s="60" t="s">
        <v>452</v>
      </c>
      <c r="I298" s="55">
        <v>303114954</v>
      </c>
      <c r="J298" s="55">
        <v>110583</v>
      </c>
      <c r="K298" s="55" t="s">
        <v>453</v>
      </c>
      <c r="L298" s="53" t="s">
        <v>2073</v>
      </c>
      <c r="M298" s="55" t="s">
        <v>49</v>
      </c>
      <c r="N298" s="52">
        <v>1270478724</v>
      </c>
      <c r="O298" s="52">
        <v>1270478724</v>
      </c>
      <c r="P298" s="52">
        <v>1270478723.4400001</v>
      </c>
      <c r="Q298" s="57">
        <v>45617</v>
      </c>
      <c r="R298" s="57">
        <v>47442</v>
      </c>
      <c r="S298" s="56">
        <v>14</v>
      </c>
      <c r="T298" s="54">
        <v>24</v>
      </c>
      <c r="U298" s="52">
        <v>1270478723.4400001</v>
      </c>
      <c r="V298" s="52">
        <v>1270478723.4400001</v>
      </c>
      <c r="W298" s="52">
        <v>0</v>
      </c>
      <c r="X298" s="57"/>
      <c r="Y298" s="52">
        <v>0</v>
      </c>
      <c r="Z298" s="52">
        <v>0</v>
      </c>
      <c r="AA298" s="52">
        <v>1</v>
      </c>
      <c r="AB298" s="52">
        <v>0</v>
      </c>
      <c r="AC298" s="52">
        <v>33907148.990000002</v>
      </c>
      <c r="AD298" s="52">
        <v>5360375.99</v>
      </c>
      <c r="AE298" s="52">
        <v>0</v>
      </c>
      <c r="AF298" s="52">
        <v>0</v>
      </c>
      <c r="AG298" s="52">
        <v>28546773</v>
      </c>
      <c r="AH298" s="52">
        <v>0</v>
      </c>
      <c r="AI298" s="52">
        <v>0</v>
      </c>
      <c r="AJ298" s="52">
        <v>2</v>
      </c>
      <c r="AK298" s="52"/>
      <c r="AL298" s="52">
        <v>4972046851</v>
      </c>
      <c r="AM298" s="52">
        <v>255460435</v>
      </c>
      <c r="AN298" s="52">
        <v>15245744688</v>
      </c>
      <c r="AO298" s="52">
        <v>467550027</v>
      </c>
      <c r="AP298" s="52">
        <v>3272850189</v>
      </c>
      <c r="AQ298" s="58">
        <v>0</v>
      </c>
      <c r="AR298" s="58">
        <v>0</v>
      </c>
      <c r="AS298" s="58">
        <v>0</v>
      </c>
      <c r="AT298" s="58">
        <v>0</v>
      </c>
      <c r="AU298" s="58">
        <v>0</v>
      </c>
      <c r="AV298" s="58">
        <v>0</v>
      </c>
      <c r="AW298" s="58">
        <v>0</v>
      </c>
      <c r="AX298" s="58">
        <v>0</v>
      </c>
    </row>
    <row r="299" spans="1:50" x14ac:dyDescent="0.25">
      <c r="A299" s="52">
        <f t="shared" si="23"/>
        <v>294</v>
      </c>
      <c r="B299" s="60" t="str">
        <f t="shared" si="22"/>
        <v>0047629183</v>
      </c>
      <c r="C299" s="67" t="s">
        <v>28</v>
      </c>
      <c r="D299" s="59" t="s">
        <v>2058</v>
      </c>
      <c r="E299" s="55" t="str">
        <f t="shared" si="21"/>
        <v>00476</v>
      </c>
      <c r="F299" s="53" t="s">
        <v>2072</v>
      </c>
      <c r="G299" s="55" t="s">
        <v>12</v>
      </c>
      <c r="H299" s="60" t="s">
        <v>454</v>
      </c>
      <c r="I299" s="55">
        <v>200455171</v>
      </c>
      <c r="J299" s="55">
        <v>29183</v>
      </c>
      <c r="K299" s="55" t="s">
        <v>455</v>
      </c>
      <c r="L299" s="53" t="s">
        <v>2073</v>
      </c>
      <c r="M299" s="55" t="s">
        <v>75</v>
      </c>
      <c r="N299" s="52">
        <v>143400</v>
      </c>
      <c r="O299" s="52">
        <v>1730516784</v>
      </c>
      <c r="P299" s="52">
        <v>1726974214.6199999</v>
      </c>
      <c r="Q299" s="57">
        <v>44302</v>
      </c>
      <c r="R299" s="57">
        <v>46091</v>
      </c>
      <c r="S299" s="56">
        <v>10</v>
      </c>
      <c r="T299" s="54">
        <v>24</v>
      </c>
      <c r="U299" s="52">
        <v>1164078257.04</v>
      </c>
      <c r="V299" s="52">
        <v>920096257.03999996</v>
      </c>
      <c r="W299" s="52">
        <v>243982000</v>
      </c>
      <c r="X299" s="57">
        <v>46001</v>
      </c>
      <c r="Y299" s="52">
        <v>0</v>
      </c>
      <c r="Z299" s="52">
        <v>0</v>
      </c>
      <c r="AA299" s="52">
        <v>1</v>
      </c>
      <c r="AB299" s="52">
        <v>0</v>
      </c>
      <c r="AC299" s="52">
        <v>24553494.549999997</v>
      </c>
      <c r="AD299" s="52">
        <v>5041644.05</v>
      </c>
      <c r="AE299" s="52">
        <v>0</v>
      </c>
      <c r="AF299" s="52">
        <v>18209474.579999998</v>
      </c>
      <c r="AG299" s="52">
        <v>1302375.92</v>
      </c>
      <c r="AH299" s="52">
        <v>0</v>
      </c>
      <c r="AI299" s="52">
        <v>0</v>
      </c>
      <c r="AJ299" s="52">
        <v>2</v>
      </c>
      <c r="AK299" s="52"/>
      <c r="AL299" s="52">
        <v>44672910999</v>
      </c>
      <c r="AM299" s="52">
        <v>4740997401</v>
      </c>
      <c r="AN299" s="52">
        <v>20766201408</v>
      </c>
      <c r="AO299" s="52">
        <v>348745301032</v>
      </c>
      <c r="AP299" s="52">
        <v>2441217107224</v>
      </c>
      <c r="AQ299" s="58">
        <v>0</v>
      </c>
      <c r="AR299" s="58">
        <v>0</v>
      </c>
      <c r="AS299" s="58">
        <v>0</v>
      </c>
      <c r="AT299" s="58">
        <v>0</v>
      </c>
      <c r="AU299" s="58">
        <v>0</v>
      </c>
      <c r="AV299" s="58">
        <v>0</v>
      </c>
      <c r="AW299" s="58">
        <v>0</v>
      </c>
      <c r="AX299" s="58">
        <v>0</v>
      </c>
    </row>
    <row r="300" spans="1:50" x14ac:dyDescent="0.25">
      <c r="A300" s="52">
        <f t="shared" si="23"/>
        <v>295</v>
      </c>
      <c r="B300" s="60" t="str">
        <f t="shared" si="22"/>
        <v>0047662931</v>
      </c>
      <c r="C300" s="67" t="s">
        <v>28</v>
      </c>
      <c r="D300" s="59" t="s">
        <v>2058</v>
      </c>
      <c r="E300" s="55" t="str">
        <f t="shared" si="21"/>
        <v>00476</v>
      </c>
      <c r="F300" s="53" t="s">
        <v>2072</v>
      </c>
      <c r="G300" s="55" t="s">
        <v>12</v>
      </c>
      <c r="H300" s="60" t="s">
        <v>456</v>
      </c>
      <c r="I300" s="55">
        <v>305870118</v>
      </c>
      <c r="J300" s="55">
        <v>62931</v>
      </c>
      <c r="K300" s="55" t="s">
        <v>457</v>
      </c>
      <c r="L300" s="53" t="s">
        <v>2073</v>
      </c>
      <c r="M300" s="55" t="s">
        <v>49</v>
      </c>
      <c r="N300" s="52">
        <v>1546000000</v>
      </c>
      <c r="O300" s="52">
        <v>1546000000</v>
      </c>
      <c r="P300" s="52">
        <v>1546000000</v>
      </c>
      <c r="Q300" s="57">
        <v>44831</v>
      </c>
      <c r="R300" s="57">
        <v>45677</v>
      </c>
      <c r="S300" s="56">
        <v>5</v>
      </c>
      <c r="T300" s="54">
        <v>24</v>
      </c>
      <c r="U300" s="52">
        <v>1159633852.8900001</v>
      </c>
      <c r="V300" s="52">
        <v>1159633852.8900001</v>
      </c>
      <c r="W300" s="52">
        <v>0</v>
      </c>
      <c r="X300" s="57"/>
      <c r="Y300" s="52">
        <v>0</v>
      </c>
      <c r="Z300" s="52">
        <v>0</v>
      </c>
      <c r="AA300" s="52">
        <v>1</v>
      </c>
      <c r="AB300" s="52">
        <v>0</v>
      </c>
      <c r="AC300" s="52">
        <v>12189944.189999999</v>
      </c>
      <c r="AD300" s="52">
        <v>12189944.189999999</v>
      </c>
      <c r="AE300" s="52">
        <v>0</v>
      </c>
      <c r="AF300" s="52">
        <v>0</v>
      </c>
      <c r="AG300" s="52">
        <v>0</v>
      </c>
      <c r="AH300" s="52">
        <v>0</v>
      </c>
      <c r="AI300" s="52">
        <v>0</v>
      </c>
      <c r="AJ300" s="52">
        <v>2</v>
      </c>
      <c r="AK300" s="52"/>
      <c r="AL300" s="52">
        <v>6010367697</v>
      </c>
      <c r="AM300" s="52">
        <v>2579153697</v>
      </c>
      <c r="AN300" s="52">
        <v>1855200000</v>
      </c>
      <c r="AO300" s="52">
        <v>1315080000</v>
      </c>
      <c r="AP300" s="52">
        <v>920556000</v>
      </c>
      <c r="AQ300" s="58">
        <v>0</v>
      </c>
      <c r="AR300" s="58">
        <v>0</v>
      </c>
      <c r="AS300" s="58">
        <v>0</v>
      </c>
      <c r="AT300" s="58">
        <v>0</v>
      </c>
      <c r="AU300" s="58">
        <v>0</v>
      </c>
      <c r="AV300" s="58">
        <v>0</v>
      </c>
      <c r="AW300" s="58">
        <v>0</v>
      </c>
      <c r="AX300" s="58">
        <v>0</v>
      </c>
    </row>
    <row r="301" spans="1:50" x14ac:dyDescent="0.25">
      <c r="A301" s="52">
        <f t="shared" si="23"/>
        <v>296</v>
      </c>
      <c r="B301" s="60" t="str">
        <f t="shared" si="22"/>
        <v>0047626871</v>
      </c>
      <c r="C301" s="67" t="s">
        <v>28</v>
      </c>
      <c r="D301" s="59" t="s">
        <v>2058</v>
      </c>
      <c r="E301" s="55" t="str">
        <f t="shared" si="21"/>
        <v>00476</v>
      </c>
      <c r="F301" s="53" t="s">
        <v>2072</v>
      </c>
      <c r="G301" s="55" t="s">
        <v>12</v>
      </c>
      <c r="H301" s="60" t="s">
        <v>2433</v>
      </c>
      <c r="I301" s="55">
        <v>206022872</v>
      </c>
      <c r="J301" s="55">
        <v>26871</v>
      </c>
      <c r="K301" s="55" t="s">
        <v>458</v>
      </c>
      <c r="L301" s="53" t="s">
        <v>2073</v>
      </c>
      <c r="M301" s="55" t="s">
        <v>49</v>
      </c>
      <c r="N301" s="52">
        <v>1325000000</v>
      </c>
      <c r="O301" s="52">
        <v>1325000000</v>
      </c>
      <c r="P301" s="52">
        <v>1306082750</v>
      </c>
      <c r="Q301" s="57">
        <v>44165</v>
      </c>
      <c r="R301" s="57">
        <v>47816</v>
      </c>
      <c r="S301" s="56">
        <v>14</v>
      </c>
      <c r="T301" s="54">
        <v>84</v>
      </c>
      <c r="U301" s="52">
        <v>1140457750</v>
      </c>
      <c r="V301" s="52">
        <v>1140457750</v>
      </c>
      <c r="W301" s="52">
        <v>0</v>
      </c>
      <c r="X301" s="57"/>
      <c r="Y301" s="52">
        <v>0</v>
      </c>
      <c r="Z301" s="52">
        <v>0</v>
      </c>
      <c r="AA301" s="52">
        <v>1</v>
      </c>
      <c r="AB301" s="52">
        <v>0</v>
      </c>
      <c r="AC301" s="52">
        <v>51465556.32</v>
      </c>
      <c r="AD301" s="52">
        <v>8748716.9800000004</v>
      </c>
      <c r="AE301" s="52">
        <v>0</v>
      </c>
      <c r="AF301" s="52">
        <v>37905044.990000002</v>
      </c>
      <c r="AG301" s="52">
        <v>4811794.3499999996</v>
      </c>
      <c r="AH301" s="52">
        <v>0</v>
      </c>
      <c r="AI301" s="52">
        <v>0</v>
      </c>
      <c r="AJ301" s="52">
        <v>2</v>
      </c>
      <c r="AK301" s="52"/>
      <c r="AL301" s="52">
        <v>1073942065</v>
      </c>
      <c r="AM301" s="52">
        <v>0</v>
      </c>
      <c r="AN301" s="52">
        <v>1590407750</v>
      </c>
      <c r="AO301" s="52">
        <v>88159725514</v>
      </c>
      <c r="AP301" s="52">
        <v>6435659962522</v>
      </c>
      <c r="AQ301" s="58">
        <v>0</v>
      </c>
      <c r="AR301" s="58">
        <v>0</v>
      </c>
      <c r="AS301" s="58">
        <v>0</v>
      </c>
      <c r="AT301" s="58">
        <v>0</v>
      </c>
      <c r="AU301" s="58">
        <v>0</v>
      </c>
      <c r="AV301" s="58">
        <v>0</v>
      </c>
      <c r="AW301" s="58">
        <v>0</v>
      </c>
      <c r="AX301" s="58">
        <v>0</v>
      </c>
    </row>
    <row r="302" spans="1:50" x14ac:dyDescent="0.25">
      <c r="A302" s="52">
        <f t="shared" si="23"/>
        <v>297</v>
      </c>
      <c r="B302" s="60" t="str">
        <f t="shared" si="22"/>
        <v>0047621337</v>
      </c>
      <c r="C302" s="67" t="s">
        <v>28</v>
      </c>
      <c r="D302" s="59" t="s">
        <v>2058</v>
      </c>
      <c r="E302" s="55" t="str">
        <f t="shared" si="21"/>
        <v>00476</v>
      </c>
      <c r="F302" s="53" t="s">
        <v>2072</v>
      </c>
      <c r="G302" s="55" t="s">
        <v>12</v>
      </c>
      <c r="H302" s="60" t="s">
        <v>2434</v>
      </c>
      <c r="I302" s="55">
        <v>304716924</v>
      </c>
      <c r="J302" s="55">
        <v>21337</v>
      </c>
      <c r="K302" s="55" t="s">
        <v>459</v>
      </c>
      <c r="L302" s="53" t="s">
        <v>2073</v>
      </c>
      <c r="M302" s="55" t="s">
        <v>49</v>
      </c>
      <c r="N302" s="52">
        <v>2800000000</v>
      </c>
      <c r="O302" s="52">
        <v>2800000000</v>
      </c>
      <c r="P302" s="52">
        <v>2800000000</v>
      </c>
      <c r="Q302" s="57">
        <v>43798</v>
      </c>
      <c r="R302" s="57">
        <v>46122</v>
      </c>
      <c r="S302" s="56">
        <v>5</v>
      </c>
      <c r="T302" s="54">
        <v>24</v>
      </c>
      <c r="U302" s="52">
        <v>1021159489.45</v>
      </c>
      <c r="V302" s="52">
        <v>721559643.51999998</v>
      </c>
      <c r="W302" s="52">
        <v>299599845.93000001</v>
      </c>
      <c r="X302" s="57">
        <v>45979</v>
      </c>
      <c r="Y302" s="52">
        <v>0</v>
      </c>
      <c r="Z302" s="52">
        <v>0</v>
      </c>
      <c r="AA302" s="52">
        <v>1</v>
      </c>
      <c r="AB302" s="52">
        <v>0</v>
      </c>
      <c r="AC302" s="52">
        <v>1186125.45</v>
      </c>
      <c r="AD302" s="52">
        <v>1186125.45</v>
      </c>
      <c r="AE302" s="52">
        <v>0</v>
      </c>
      <c r="AF302" s="52">
        <v>0</v>
      </c>
      <c r="AG302" s="52">
        <v>0</v>
      </c>
      <c r="AH302" s="52">
        <v>0</v>
      </c>
      <c r="AI302" s="52">
        <v>0</v>
      </c>
      <c r="AJ302" s="52">
        <v>2</v>
      </c>
      <c r="AK302" s="52"/>
      <c r="AL302" s="52">
        <v>266244609346</v>
      </c>
      <c r="AM302" s="52">
        <v>52609888</v>
      </c>
      <c r="AN302" s="52">
        <v>3360000000</v>
      </c>
      <c r="AO302" s="52">
        <v>1533182243018</v>
      </c>
      <c r="AP302" s="52">
        <v>110389121497296</v>
      </c>
      <c r="AQ302" s="58">
        <v>0</v>
      </c>
      <c r="AR302" s="58">
        <v>0</v>
      </c>
      <c r="AS302" s="58">
        <v>0</v>
      </c>
      <c r="AT302" s="58">
        <v>0</v>
      </c>
      <c r="AU302" s="58">
        <v>0</v>
      </c>
      <c r="AV302" s="58">
        <v>0</v>
      </c>
      <c r="AW302" s="58">
        <v>0</v>
      </c>
      <c r="AX302" s="58">
        <v>0</v>
      </c>
    </row>
    <row r="303" spans="1:50" x14ac:dyDescent="0.25">
      <c r="A303" s="52">
        <f t="shared" si="23"/>
        <v>298</v>
      </c>
      <c r="B303" s="60" t="str">
        <f t="shared" si="22"/>
        <v>0047683770</v>
      </c>
      <c r="C303" s="67" t="s">
        <v>28</v>
      </c>
      <c r="D303" s="59" t="s">
        <v>2058</v>
      </c>
      <c r="E303" s="55" t="str">
        <f t="shared" si="21"/>
        <v>00476</v>
      </c>
      <c r="F303" s="53" t="s">
        <v>2072</v>
      </c>
      <c r="G303" s="55" t="s">
        <v>12</v>
      </c>
      <c r="H303" s="60" t="s">
        <v>2435</v>
      </c>
      <c r="I303" s="55">
        <v>200906234</v>
      </c>
      <c r="J303" s="55">
        <v>83770</v>
      </c>
      <c r="K303" s="55" t="s">
        <v>460</v>
      </c>
      <c r="L303" s="53" t="s">
        <v>2073</v>
      </c>
      <c r="M303" s="55" t="s">
        <v>204</v>
      </c>
      <c r="N303" s="52">
        <v>7028754</v>
      </c>
      <c r="O303" s="52">
        <v>1023667732.5599999</v>
      </c>
      <c r="P303" s="52">
        <f>+O303</f>
        <v>1023667732.5599999</v>
      </c>
      <c r="Q303" s="57">
        <v>45174</v>
      </c>
      <c r="R303" s="57">
        <v>47000</v>
      </c>
      <c r="S303" s="56">
        <v>17</v>
      </c>
      <c r="T303" s="54">
        <v>24</v>
      </c>
      <c r="U303" s="52">
        <v>1021082647.8099999</v>
      </c>
      <c r="V303" s="52">
        <v>894177748.14999998</v>
      </c>
      <c r="W303" s="52">
        <v>126904899.66</v>
      </c>
      <c r="X303" s="57">
        <v>46016</v>
      </c>
      <c r="Y303" s="52">
        <v>0</v>
      </c>
      <c r="Z303" s="52">
        <v>0</v>
      </c>
      <c r="AA303" s="52">
        <v>1</v>
      </c>
      <c r="AB303" s="52">
        <v>0</v>
      </c>
      <c r="AC303" s="52">
        <v>41319159.979999997</v>
      </c>
      <c r="AD303" s="52">
        <v>39946230.619999997</v>
      </c>
      <c r="AE303" s="52">
        <v>0</v>
      </c>
      <c r="AF303" s="52">
        <v>0</v>
      </c>
      <c r="AG303" s="52">
        <v>1372929.36</v>
      </c>
      <c r="AH303" s="52">
        <v>0</v>
      </c>
      <c r="AI303" s="52">
        <v>0</v>
      </c>
      <c r="AJ303" s="52">
        <v>2</v>
      </c>
      <c r="AK303" s="52"/>
      <c r="AL303" s="52">
        <v>166333039244</v>
      </c>
      <c r="AM303" s="52">
        <v>1951708143</v>
      </c>
      <c r="AN303" s="52">
        <v>12489815004</v>
      </c>
      <c r="AO303" s="52">
        <v>496998231831</v>
      </c>
      <c r="AP303" s="52">
        <v>35286874460001</v>
      </c>
      <c r="AQ303" s="58">
        <v>0</v>
      </c>
      <c r="AR303" s="58">
        <v>0</v>
      </c>
      <c r="AS303" s="58">
        <v>0</v>
      </c>
      <c r="AT303" s="58">
        <v>0</v>
      </c>
      <c r="AU303" s="58">
        <v>0</v>
      </c>
      <c r="AV303" s="58">
        <v>0</v>
      </c>
      <c r="AW303" s="58">
        <v>0</v>
      </c>
      <c r="AX303" s="58">
        <v>0</v>
      </c>
    </row>
    <row r="304" spans="1:50" x14ac:dyDescent="0.25">
      <c r="A304" s="52">
        <f t="shared" si="23"/>
        <v>299</v>
      </c>
      <c r="B304" s="60" t="str">
        <f t="shared" si="22"/>
        <v>00476123215</v>
      </c>
      <c r="C304" s="67" t="s">
        <v>28</v>
      </c>
      <c r="D304" s="59" t="s">
        <v>2058</v>
      </c>
      <c r="E304" s="55" t="str">
        <f t="shared" si="21"/>
        <v>00476</v>
      </c>
      <c r="F304" s="53" t="s">
        <v>2072</v>
      </c>
      <c r="G304" s="55" t="s">
        <v>12</v>
      </c>
      <c r="H304" s="60" t="s">
        <v>452</v>
      </c>
      <c r="I304" s="55">
        <v>303114954</v>
      </c>
      <c r="J304" s="55">
        <v>123215</v>
      </c>
      <c r="K304" s="55" t="s">
        <v>461</v>
      </c>
      <c r="L304" s="53" t="s">
        <v>2073</v>
      </c>
      <c r="M304" s="55" t="s">
        <v>49</v>
      </c>
      <c r="N304" s="52">
        <v>1148542000</v>
      </c>
      <c r="O304" s="52">
        <v>1148542000</v>
      </c>
      <c r="P304" s="52">
        <v>1148542000</v>
      </c>
      <c r="Q304" s="57">
        <v>45749</v>
      </c>
      <c r="R304" s="57">
        <v>46722</v>
      </c>
      <c r="S304" s="56">
        <v>5</v>
      </c>
      <c r="T304" s="54">
        <v>24</v>
      </c>
      <c r="U304" s="52">
        <v>918833600</v>
      </c>
      <c r="V304" s="52">
        <v>918833600</v>
      </c>
      <c r="W304" s="52">
        <v>0</v>
      </c>
      <c r="X304" s="57"/>
      <c r="Y304" s="52">
        <v>0</v>
      </c>
      <c r="Z304" s="52">
        <v>0</v>
      </c>
      <c r="AA304" s="52">
        <v>1</v>
      </c>
      <c r="AB304" s="52">
        <v>0</v>
      </c>
      <c r="AC304" s="52">
        <v>8290089.040000001</v>
      </c>
      <c r="AD304" s="52">
        <v>3398425.64</v>
      </c>
      <c r="AE304" s="52">
        <v>0</v>
      </c>
      <c r="AF304" s="52">
        <v>0</v>
      </c>
      <c r="AG304" s="52">
        <v>4891663.4000000004</v>
      </c>
      <c r="AH304" s="52">
        <v>0</v>
      </c>
      <c r="AI304" s="52">
        <v>0</v>
      </c>
      <c r="AJ304" s="52">
        <v>2</v>
      </c>
      <c r="AK304" s="52"/>
      <c r="AL304" s="52">
        <v>4972046851</v>
      </c>
      <c r="AM304" s="52">
        <v>255460435</v>
      </c>
      <c r="AN304" s="52">
        <v>1378250400</v>
      </c>
      <c r="AO304" s="52">
        <v>670550027</v>
      </c>
      <c r="AP304" s="52">
        <v>47609051917</v>
      </c>
      <c r="AQ304" s="58">
        <v>0</v>
      </c>
      <c r="AR304" s="58">
        <v>0</v>
      </c>
      <c r="AS304" s="58">
        <v>0</v>
      </c>
      <c r="AT304" s="58">
        <v>0</v>
      </c>
      <c r="AU304" s="58">
        <v>0</v>
      </c>
      <c r="AV304" s="58">
        <v>0</v>
      </c>
      <c r="AW304" s="58">
        <v>0</v>
      </c>
      <c r="AX304" s="58">
        <v>0</v>
      </c>
    </row>
    <row r="305" spans="1:50" x14ac:dyDescent="0.25">
      <c r="A305" s="52">
        <f t="shared" si="23"/>
        <v>300</v>
      </c>
      <c r="B305" s="60" t="str">
        <f t="shared" si="22"/>
        <v>00476136726</v>
      </c>
      <c r="C305" s="67" t="s">
        <v>28</v>
      </c>
      <c r="D305" s="59" t="s">
        <v>2058</v>
      </c>
      <c r="E305" s="55" t="str">
        <f t="shared" si="21"/>
        <v>00476</v>
      </c>
      <c r="F305" s="53" t="s">
        <v>2072</v>
      </c>
      <c r="G305" s="55" t="s">
        <v>12</v>
      </c>
      <c r="H305" s="60" t="s">
        <v>452</v>
      </c>
      <c r="I305" s="55">
        <v>303114954</v>
      </c>
      <c r="J305" s="55">
        <v>136726</v>
      </c>
      <c r="K305" s="55" t="s">
        <v>462</v>
      </c>
      <c r="L305" s="53" t="s">
        <v>2073</v>
      </c>
      <c r="M305" s="55" t="s">
        <v>49</v>
      </c>
      <c r="N305" s="52">
        <v>679000000</v>
      </c>
      <c r="O305" s="52">
        <v>679000000</v>
      </c>
      <c r="P305" s="52">
        <v>679000000</v>
      </c>
      <c r="Q305" s="57">
        <v>45869</v>
      </c>
      <c r="R305" s="57">
        <v>46392</v>
      </c>
      <c r="S305" s="56">
        <v>10</v>
      </c>
      <c r="T305" s="54">
        <v>6</v>
      </c>
      <c r="U305" s="52">
        <v>679000000</v>
      </c>
      <c r="V305" s="52">
        <v>452666667</v>
      </c>
      <c r="W305" s="52">
        <v>226333333</v>
      </c>
      <c r="X305" s="57">
        <v>46027</v>
      </c>
      <c r="Y305" s="52">
        <v>0</v>
      </c>
      <c r="Z305" s="52">
        <v>0</v>
      </c>
      <c r="AA305" s="52">
        <v>1</v>
      </c>
      <c r="AB305" s="52">
        <v>0</v>
      </c>
      <c r="AC305" s="52">
        <v>15068219.18</v>
      </c>
      <c r="AD305" s="52">
        <v>3348493.15</v>
      </c>
      <c r="AE305" s="52">
        <v>0</v>
      </c>
      <c r="AF305" s="52">
        <v>0</v>
      </c>
      <c r="AG305" s="52">
        <v>11719726.029999999</v>
      </c>
      <c r="AH305" s="52">
        <v>0</v>
      </c>
      <c r="AI305" s="52">
        <v>0</v>
      </c>
      <c r="AJ305" s="52">
        <v>2</v>
      </c>
      <c r="AK305" s="52"/>
      <c r="AL305" s="52">
        <v>4972046851</v>
      </c>
      <c r="AM305" s="52">
        <v>255460435</v>
      </c>
      <c r="AN305" s="52">
        <v>814800000</v>
      </c>
      <c r="AO305" s="52">
        <v>517533222</v>
      </c>
      <c r="AP305" s="52">
        <v>37262391984</v>
      </c>
      <c r="AQ305" s="58">
        <v>0</v>
      </c>
      <c r="AR305" s="58">
        <v>0</v>
      </c>
      <c r="AS305" s="58">
        <v>0</v>
      </c>
      <c r="AT305" s="58">
        <v>0</v>
      </c>
      <c r="AU305" s="58">
        <v>0</v>
      </c>
      <c r="AV305" s="58">
        <v>0</v>
      </c>
      <c r="AW305" s="58">
        <v>0</v>
      </c>
      <c r="AX305" s="58">
        <v>0</v>
      </c>
    </row>
    <row r="306" spans="1:50" x14ac:dyDescent="0.25">
      <c r="A306" s="52">
        <f t="shared" si="23"/>
        <v>301</v>
      </c>
      <c r="B306" s="60" t="str">
        <f t="shared" si="22"/>
        <v>00476136662</v>
      </c>
      <c r="C306" s="67" t="s">
        <v>28</v>
      </c>
      <c r="D306" s="59" t="s">
        <v>2058</v>
      </c>
      <c r="E306" s="55" t="str">
        <f t="shared" si="21"/>
        <v>00476</v>
      </c>
      <c r="F306" s="53" t="s">
        <v>2072</v>
      </c>
      <c r="G306" s="55" t="s">
        <v>12</v>
      </c>
      <c r="H306" s="60" t="s">
        <v>2436</v>
      </c>
      <c r="I306" s="55">
        <v>304328988</v>
      </c>
      <c r="J306" s="55">
        <v>136662</v>
      </c>
      <c r="K306" s="55" t="s">
        <v>463</v>
      </c>
      <c r="L306" s="53" t="s">
        <v>2073</v>
      </c>
      <c r="M306" s="55" t="s">
        <v>49</v>
      </c>
      <c r="N306" s="52">
        <v>679000000</v>
      </c>
      <c r="O306" s="52">
        <v>679000000</v>
      </c>
      <c r="P306" s="52">
        <v>679000000</v>
      </c>
      <c r="Q306" s="57">
        <v>45869</v>
      </c>
      <c r="R306" s="57">
        <v>46392</v>
      </c>
      <c r="S306" s="56">
        <v>10</v>
      </c>
      <c r="T306" s="54">
        <v>6</v>
      </c>
      <c r="U306" s="52">
        <v>669000000</v>
      </c>
      <c r="V306" s="52">
        <v>669000000</v>
      </c>
      <c r="W306" s="52">
        <v>0</v>
      </c>
      <c r="X306" s="57"/>
      <c r="Y306" s="52">
        <v>0</v>
      </c>
      <c r="Z306" s="52">
        <v>0</v>
      </c>
      <c r="AA306" s="52">
        <v>1</v>
      </c>
      <c r="AB306" s="52">
        <v>0</v>
      </c>
      <c r="AC306" s="52">
        <v>14698767.129999999</v>
      </c>
      <c r="AD306" s="52">
        <v>4948767.13</v>
      </c>
      <c r="AE306" s="52">
        <v>0</v>
      </c>
      <c r="AF306" s="52">
        <v>9750000</v>
      </c>
      <c r="AG306" s="52">
        <v>0</v>
      </c>
      <c r="AH306" s="52">
        <v>0</v>
      </c>
      <c r="AI306" s="52">
        <v>0</v>
      </c>
      <c r="AJ306" s="52">
        <v>2</v>
      </c>
      <c r="AK306" s="52"/>
      <c r="AL306" s="52">
        <v>38144217447</v>
      </c>
      <c r="AM306" s="52">
        <v>1388760005</v>
      </c>
      <c r="AN306" s="52">
        <v>814800000</v>
      </c>
      <c r="AO306" s="52">
        <v>46031553075</v>
      </c>
      <c r="AP306" s="52">
        <v>3268240268325</v>
      </c>
      <c r="AQ306" s="58">
        <v>0</v>
      </c>
      <c r="AR306" s="58">
        <v>0</v>
      </c>
      <c r="AS306" s="58">
        <v>0</v>
      </c>
      <c r="AT306" s="58">
        <v>0</v>
      </c>
      <c r="AU306" s="58">
        <v>0</v>
      </c>
      <c r="AV306" s="58">
        <v>0</v>
      </c>
      <c r="AW306" s="58">
        <v>0</v>
      </c>
      <c r="AX306" s="58">
        <v>0</v>
      </c>
    </row>
    <row r="307" spans="1:50" x14ac:dyDescent="0.25">
      <c r="A307" s="52">
        <f t="shared" si="23"/>
        <v>302</v>
      </c>
      <c r="B307" s="60" t="str">
        <f t="shared" si="22"/>
        <v>0047628792</v>
      </c>
      <c r="C307" s="67" t="s">
        <v>28</v>
      </c>
      <c r="D307" s="59" t="s">
        <v>2058</v>
      </c>
      <c r="E307" s="55" t="str">
        <f t="shared" si="21"/>
        <v>00476</v>
      </c>
      <c r="F307" s="53" t="s">
        <v>2072</v>
      </c>
      <c r="G307" s="55" t="s">
        <v>12</v>
      </c>
      <c r="H307" s="60" t="s">
        <v>2437</v>
      </c>
      <c r="I307" s="55">
        <v>204017150</v>
      </c>
      <c r="J307" s="55">
        <v>28792</v>
      </c>
      <c r="K307" s="55" t="s">
        <v>464</v>
      </c>
      <c r="L307" s="53" t="s">
        <v>2073</v>
      </c>
      <c r="M307" s="55" t="s">
        <v>49</v>
      </c>
      <c r="N307" s="52">
        <v>1425000000</v>
      </c>
      <c r="O307" s="52">
        <v>1425000000</v>
      </c>
      <c r="P307" s="52">
        <v>1425000000</v>
      </c>
      <c r="Q307" s="57">
        <v>44286</v>
      </c>
      <c r="R307" s="57">
        <v>46111</v>
      </c>
      <c r="S307" s="56">
        <v>5</v>
      </c>
      <c r="T307" s="54">
        <v>24</v>
      </c>
      <c r="U307" s="52">
        <v>615926000</v>
      </c>
      <c r="V307" s="52">
        <v>470000000</v>
      </c>
      <c r="W307" s="52">
        <v>145926000</v>
      </c>
      <c r="X307" s="57">
        <v>45986</v>
      </c>
      <c r="Y307" s="52">
        <v>0</v>
      </c>
      <c r="Z307" s="52">
        <v>0</v>
      </c>
      <c r="AA307" s="52">
        <v>1</v>
      </c>
      <c r="AB307" s="52">
        <v>0</v>
      </c>
      <c r="AC307" s="52">
        <v>7284992.2600000007</v>
      </c>
      <c r="AD307" s="52">
        <v>7264891.7800000003</v>
      </c>
      <c r="AE307" s="52">
        <v>0</v>
      </c>
      <c r="AF307" s="52">
        <v>0</v>
      </c>
      <c r="AG307" s="52">
        <v>20100.48</v>
      </c>
      <c r="AH307" s="52">
        <v>0</v>
      </c>
      <c r="AI307" s="52">
        <v>0</v>
      </c>
      <c r="AJ307" s="52">
        <v>2</v>
      </c>
      <c r="AK307" s="52"/>
      <c r="AL307" s="52">
        <v>35444946924</v>
      </c>
      <c r="AM307" s="52">
        <v>2278631526</v>
      </c>
      <c r="AN307" s="52">
        <v>1710000000</v>
      </c>
      <c r="AO307" s="52">
        <v>1546479940</v>
      </c>
      <c r="AP307" s="52">
        <v>11134655568</v>
      </c>
      <c r="AQ307" s="58">
        <v>0</v>
      </c>
      <c r="AR307" s="58">
        <v>0</v>
      </c>
      <c r="AS307" s="58">
        <v>0</v>
      </c>
      <c r="AT307" s="58">
        <v>0</v>
      </c>
      <c r="AU307" s="58">
        <v>1</v>
      </c>
      <c r="AV307" s="58">
        <v>23762.01</v>
      </c>
      <c r="AW307" s="58">
        <v>0</v>
      </c>
      <c r="AX307" s="58">
        <v>0</v>
      </c>
    </row>
    <row r="308" spans="1:50" x14ac:dyDescent="0.25">
      <c r="A308" s="52">
        <f t="shared" si="23"/>
        <v>303</v>
      </c>
      <c r="B308" s="60" t="str">
        <f t="shared" si="22"/>
        <v>00476132115</v>
      </c>
      <c r="C308" s="67" t="s">
        <v>28</v>
      </c>
      <c r="D308" s="59" t="s">
        <v>2058</v>
      </c>
      <c r="E308" s="55" t="str">
        <f t="shared" si="21"/>
        <v>00476</v>
      </c>
      <c r="F308" s="53" t="s">
        <v>2072</v>
      </c>
      <c r="G308" s="55" t="s">
        <v>12</v>
      </c>
      <c r="H308" s="60" t="s">
        <v>2431</v>
      </c>
      <c r="I308" s="55">
        <v>303621980</v>
      </c>
      <c r="J308" s="55">
        <v>132115</v>
      </c>
      <c r="K308" s="55" t="s">
        <v>465</v>
      </c>
      <c r="L308" s="53" t="s">
        <v>2073</v>
      </c>
      <c r="M308" s="55" t="s">
        <v>49</v>
      </c>
      <c r="N308" s="52">
        <v>696000000</v>
      </c>
      <c r="O308" s="52">
        <v>696000000</v>
      </c>
      <c r="P308" s="52">
        <v>530895114.45999998</v>
      </c>
      <c r="Q308" s="57">
        <v>45833</v>
      </c>
      <c r="R308" s="57">
        <v>46927</v>
      </c>
      <c r="S308" s="56">
        <v>14</v>
      </c>
      <c r="T308" s="54">
        <v>12</v>
      </c>
      <c r="U308" s="52">
        <v>530895114.45999998</v>
      </c>
      <c r="V308" s="52">
        <v>530895114.45999998</v>
      </c>
      <c r="W308" s="52">
        <v>0</v>
      </c>
      <c r="X308" s="57"/>
      <c r="Y308" s="52">
        <v>0</v>
      </c>
      <c r="Z308" s="52">
        <v>0</v>
      </c>
      <c r="AA308" s="52">
        <v>1</v>
      </c>
      <c r="AB308" s="52">
        <v>0</v>
      </c>
      <c r="AC308" s="52">
        <v>6312561.0899999999</v>
      </c>
      <c r="AD308" s="52">
        <v>1221786.02</v>
      </c>
      <c r="AE308" s="52">
        <v>0</v>
      </c>
      <c r="AF308" s="52">
        <v>0</v>
      </c>
      <c r="AG308" s="52">
        <v>5090775.07</v>
      </c>
      <c r="AH308" s="52">
        <v>0</v>
      </c>
      <c r="AI308" s="52">
        <v>0</v>
      </c>
      <c r="AJ308" s="52">
        <v>2</v>
      </c>
      <c r="AK308" s="52"/>
      <c r="AL308" s="52">
        <v>76448148208</v>
      </c>
      <c r="AM308" s="52">
        <v>9312491344</v>
      </c>
      <c r="AN308" s="52">
        <v>835200000</v>
      </c>
      <c r="AO308" s="52">
        <v>1009553131</v>
      </c>
      <c r="AP308" s="52">
        <v>72687825432</v>
      </c>
      <c r="AQ308" s="58">
        <v>0</v>
      </c>
      <c r="AR308" s="58">
        <v>0</v>
      </c>
      <c r="AS308" s="58">
        <v>0</v>
      </c>
      <c r="AT308" s="58">
        <v>0</v>
      </c>
      <c r="AU308" s="58">
        <v>0</v>
      </c>
      <c r="AV308" s="58">
        <v>0</v>
      </c>
      <c r="AW308" s="58">
        <v>0</v>
      </c>
      <c r="AX308" s="58">
        <v>0</v>
      </c>
    </row>
    <row r="309" spans="1:50" x14ac:dyDescent="0.25">
      <c r="A309" s="52">
        <f t="shared" si="23"/>
        <v>304</v>
      </c>
      <c r="B309" s="60" t="str">
        <f t="shared" si="22"/>
        <v>0047685899</v>
      </c>
      <c r="C309" s="67" t="s">
        <v>28</v>
      </c>
      <c r="D309" s="59" t="s">
        <v>2058</v>
      </c>
      <c r="E309" s="55" t="str">
        <f t="shared" ref="E309:E372" si="24">+G309</f>
        <v>00476</v>
      </c>
      <c r="F309" s="53" t="s">
        <v>2072</v>
      </c>
      <c r="G309" s="55" t="s">
        <v>12</v>
      </c>
      <c r="H309" s="60" t="s">
        <v>2438</v>
      </c>
      <c r="I309" s="55">
        <v>310784831</v>
      </c>
      <c r="J309" s="55">
        <v>85899</v>
      </c>
      <c r="K309" s="55" t="s">
        <v>466</v>
      </c>
      <c r="L309" s="53" t="s">
        <v>2073</v>
      </c>
      <c r="M309" s="55" t="s">
        <v>49</v>
      </c>
      <c r="N309" s="52">
        <v>600000000</v>
      </c>
      <c r="O309" s="52">
        <v>600000000</v>
      </c>
      <c r="P309" s="52">
        <v>600000000</v>
      </c>
      <c r="Q309" s="57">
        <v>45211</v>
      </c>
      <c r="R309" s="57">
        <v>45950</v>
      </c>
      <c r="S309" s="56">
        <v>26</v>
      </c>
      <c r="T309" s="54">
        <v>3</v>
      </c>
      <c r="U309" s="52">
        <v>517503013.69999999</v>
      </c>
      <c r="V309" s="52">
        <v>0</v>
      </c>
      <c r="W309" s="52">
        <v>517503013.69999999</v>
      </c>
      <c r="X309" s="57">
        <v>45950</v>
      </c>
      <c r="Y309" s="52">
        <v>0</v>
      </c>
      <c r="Z309" s="52">
        <v>0</v>
      </c>
      <c r="AA309" s="52">
        <v>3</v>
      </c>
      <c r="AB309" s="52">
        <v>129375753.43000001</v>
      </c>
      <c r="AC309" s="52">
        <v>125313306.06</v>
      </c>
      <c r="AD309" s="52">
        <v>72251927.980000004</v>
      </c>
      <c r="AE309" s="52">
        <v>0</v>
      </c>
      <c r="AF309" s="52">
        <v>38303580.210000001</v>
      </c>
      <c r="AG309" s="52">
        <v>14757797.869999999</v>
      </c>
      <c r="AH309" s="52">
        <v>0</v>
      </c>
      <c r="AI309" s="52">
        <v>0</v>
      </c>
      <c r="AJ309" s="52">
        <v>2</v>
      </c>
      <c r="AK309" s="52"/>
      <c r="AL309" s="52">
        <v>0</v>
      </c>
      <c r="AM309" s="52">
        <v>0</v>
      </c>
      <c r="AN309" s="52">
        <v>1440000000</v>
      </c>
      <c r="AO309" s="52">
        <v>0</v>
      </c>
      <c r="AP309" s="52">
        <v>0</v>
      </c>
      <c r="AQ309" s="58">
        <v>0</v>
      </c>
      <c r="AR309" s="58">
        <v>0</v>
      </c>
      <c r="AS309" s="58">
        <v>0</v>
      </c>
      <c r="AT309" s="58">
        <v>0</v>
      </c>
      <c r="AU309" s="58">
        <v>0</v>
      </c>
      <c r="AV309" s="58">
        <v>0</v>
      </c>
      <c r="AW309" s="58">
        <v>0</v>
      </c>
      <c r="AX309" s="58">
        <v>0</v>
      </c>
    </row>
    <row r="310" spans="1:50" x14ac:dyDescent="0.25">
      <c r="A310" s="52">
        <f t="shared" si="23"/>
        <v>305</v>
      </c>
      <c r="B310" s="60" t="str">
        <f t="shared" si="22"/>
        <v>00476132139</v>
      </c>
      <c r="C310" s="67" t="s">
        <v>28</v>
      </c>
      <c r="D310" s="59" t="s">
        <v>2058</v>
      </c>
      <c r="E310" s="55" t="str">
        <f t="shared" si="24"/>
        <v>00476</v>
      </c>
      <c r="F310" s="53" t="s">
        <v>2072</v>
      </c>
      <c r="G310" s="55" t="s">
        <v>12</v>
      </c>
      <c r="H310" s="60" t="s">
        <v>2432</v>
      </c>
      <c r="I310" s="55">
        <v>305313254</v>
      </c>
      <c r="J310" s="55">
        <v>132139</v>
      </c>
      <c r="K310" s="55" t="s">
        <v>467</v>
      </c>
      <c r="L310" s="53" t="s">
        <v>2073</v>
      </c>
      <c r="M310" s="55" t="s">
        <v>49</v>
      </c>
      <c r="N310" s="52">
        <v>626000000</v>
      </c>
      <c r="O310" s="52">
        <v>626000000</v>
      </c>
      <c r="P310" s="52">
        <v>494974639.27999997</v>
      </c>
      <c r="Q310" s="57">
        <v>45833</v>
      </c>
      <c r="R310" s="57">
        <v>46927</v>
      </c>
      <c r="S310" s="56">
        <v>14</v>
      </c>
      <c r="T310" s="54">
        <v>12</v>
      </c>
      <c r="U310" s="52">
        <v>494974639.27999997</v>
      </c>
      <c r="V310" s="52">
        <v>494974639.27999997</v>
      </c>
      <c r="W310" s="52">
        <v>0</v>
      </c>
      <c r="X310" s="57"/>
      <c r="Y310" s="52">
        <v>0</v>
      </c>
      <c r="Z310" s="52">
        <v>0</v>
      </c>
      <c r="AA310" s="52">
        <v>2</v>
      </c>
      <c r="AB310" s="52">
        <v>49497463.920000002</v>
      </c>
      <c r="AC310" s="52">
        <v>16697089.190000001</v>
      </c>
      <c r="AD310" s="52">
        <v>1139119.72</v>
      </c>
      <c r="AE310" s="52">
        <v>0</v>
      </c>
      <c r="AF310" s="52">
        <v>15557969.470000001</v>
      </c>
      <c r="AG310" s="52">
        <v>0</v>
      </c>
      <c r="AH310" s="52">
        <v>0</v>
      </c>
      <c r="AI310" s="52">
        <v>0</v>
      </c>
      <c r="AJ310" s="52">
        <v>2</v>
      </c>
      <c r="AK310" s="52"/>
      <c r="AL310" s="52">
        <v>242189225647</v>
      </c>
      <c r="AM310" s="52">
        <v>188618070675</v>
      </c>
      <c r="AN310" s="52">
        <v>751200000</v>
      </c>
      <c r="AO310" s="52">
        <v>454280193</v>
      </c>
      <c r="AP310" s="52">
        <v>33162454089</v>
      </c>
      <c r="AQ310" s="58">
        <v>0</v>
      </c>
      <c r="AR310" s="58">
        <v>0</v>
      </c>
      <c r="AS310" s="58">
        <v>0</v>
      </c>
      <c r="AT310" s="58">
        <v>0</v>
      </c>
      <c r="AU310" s="58">
        <v>0</v>
      </c>
      <c r="AV310" s="58">
        <v>0</v>
      </c>
      <c r="AW310" s="58">
        <v>0</v>
      </c>
      <c r="AX310" s="58">
        <v>0</v>
      </c>
    </row>
    <row r="311" spans="1:50" x14ac:dyDescent="0.25">
      <c r="A311" s="52">
        <f t="shared" si="23"/>
        <v>306</v>
      </c>
      <c r="B311" s="60" t="str">
        <f t="shared" si="22"/>
        <v>0047688084</v>
      </c>
      <c r="C311" s="67" t="s">
        <v>28</v>
      </c>
      <c r="D311" s="59" t="s">
        <v>2058</v>
      </c>
      <c r="E311" s="55" t="str">
        <f t="shared" si="24"/>
        <v>00476</v>
      </c>
      <c r="F311" s="53" t="s">
        <v>2072</v>
      </c>
      <c r="G311" s="55" t="s">
        <v>12</v>
      </c>
      <c r="H311" s="60" t="s">
        <v>2438</v>
      </c>
      <c r="I311" s="55">
        <v>310784831</v>
      </c>
      <c r="J311" s="55">
        <v>88084</v>
      </c>
      <c r="K311" s="55" t="s">
        <v>468</v>
      </c>
      <c r="L311" s="53" t="s">
        <v>2073</v>
      </c>
      <c r="M311" s="55" t="s">
        <v>49</v>
      </c>
      <c r="N311" s="52">
        <v>476472500</v>
      </c>
      <c r="O311" s="52">
        <v>476472500</v>
      </c>
      <c r="P311" s="52">
        <v>476472500</v>
      </c>
      <c r="Q311" s="57">
        <v>45252</v>
      </c>
      <c r="R311" s="57">
        <v>47060</v>
      </c>
      <c r="S311" s="56">
        <v>23.99</v>
      </c>
      <c r="T311" s="54">
        <v>6</v>
      </c>
      <c r="U311" s="52">
        <v>476472500</v>
      </c>
      <c r="V311" s="52">
        <v>432354675.94999999</v>
      </c>
      <c r="W311" s="52">
        <v>44117824.049999997</v>
      </c>
      <c r="X311" s="57">
        <v>45905</v>
      </c>
      <c r="Y311" s="52">
        <v>0</v>
      </c>
      <c r="Z311" s="52">
        <v>0</v>
      </c>
      <c r="AA311" s="52">
        <v>3</v>
      </c>
      <c r="AB311" s="52">
        <v>119118125</v>
      </c>
      <c r="AC311" s="52">
        <v>122564067.91</v>
      </c>
      <c r="AD311" s="52">
        <v>55523250.979999997</v>
      </c>
      <c r="AE311" s="52">
        <v>0</v>
      </c>
      <c r="AF311" s="52">
        <v>67029218.18</v>
      </c>
      <c r="AG311" s="52">
        <v>11598.75</v>
      </c>
      <c r="AH311" s="52">
        <v>0</v>
      </c>
      <c r="AI311" s="52">
        <v>0</v>
      </c>
      <c r="AJ311" s="52">
        <v>2</v>
      </c>
      <c r="AK311" s="52"/>
      <c r="AL311" s="52">
        <v>0</v>
      </c>
      <c r="AM311" s="52">
        <v>0</v>
      </c>
      <c r="AN311" s="52">
        <v>571767000</v>
      </c>
      <c r="AO311" s="52">
        <v>0</v>
      </c>
      <c r="AP311" s="52">
        <v>0</v>
      </c>
      <c r="AQ311" s="58">
        <v>0</v>
      </c>
      <c r="AR311" s="58">
        <v>0</v>
      </c>
      <c r="AS311" s="58">
        <v>0</v>
      </c>
      <c r="AT311" s="58">
        <v>0</v>
      </c>
      <c r="AU311" s="58">
        <v>0</v>
      </c>
      <c r="AV311" s="58">
        <v>0</v>
      </c>
      <c r="AW311" s="58">
        <v>0</v>
      </c>
      <c r="AX311" s="58">
        <v>0</v>
      </c>
    </row>
    <row r="312" spans="1:50" x14ac:dyDescent="0.25">
      <c r="A312" s="52">
        <f t="shared" si="23"/>
        <v>307</v>
      </c>
      <c r="B312" s="60" t="str">
        <f t="shared" si="22"/>
        <v>0047693085</v>
      </c>
      <c r="C312" s="67" t="s">
        <v>28</v>
      </c>
      <c r="D312" s="59" t="s">
        <v>2058</v>
      </c>
      <c r="E312" s="55" t="str">
        <f t="shared" si="24"/>
        <v>00476</v>
      </c>
      <c r="F312" s="53" t="s">
        <v>2072</v>
      </c>
      <c r="G312" s="55" t="s">
        <v>12</v>
      </c>
      <c r="H312" s="60" t="s">
        <v>2439</v>
      </c>
      <c r="I312" s="55">
        <v>303715658</v>
      </c>
      <c r="J312" s="55">
        <v>93085</v>
      </c>
      <c r="K312" s="55" t="s">
        <v>469</v>
      </c>
      <c r="L312" s="53" t="s">
        <v>2073</v>
      </c>
      <c r="M312" s="55" t="s">
        <v>49</v>
      </c>
      <c r="N312" s="52">
        <v>744680852</v>
      </c>
      <c r="O312" s="52">
        <v>744680852</v>
      </c>
      <c r="P312" s="52">
        <v>744680851.12</v>
      </c>
      <c r="Q312" s="57">
        <v>45378</v>
      </c>
      <c r="R312" s="57">
        <v>47203</v>
      </c>
      <c r="S312" s="56">
        <v>14</v>
      </c>
      <c r="T312" s="54">
        <v>24</v>
      </c>
      <c r="U312" s="52">
        <v>453480851.12</v>
      </c>
      <c r="V312" s="52">
        <v>453480851.12</v>
      </c>
      <c r="W312" s="52">
        <v>0</v>
      </c>
      <c r="X312" s="57"/>
      <c r="Y312" s="52">
        <v>0</v>
      </c>
      <c r="Z312" s="52">
        <v>0</v>
      </c>
      <c r="AA312" s="52">
        <v>1</v>
      </c>
      <c r="AB312" s="52">
        <v>0</v>
      </c>
      <c r="AC312" s="52">
        <v>4174508.6500000004</v>
      </c>
      <c r="AD312" s="52">
        <v>869689.3</v>
      </c>
      <c r="AE312" s="52">
        <v>0</v>
      </c>
      <c r="AF312" s="52">
        <v>0</v>
      </c>
      <c r="AG312" s="52">
        <v>3304819.35</v>
      </c>
      <c r="AH312" s="52">
        <v>0</v>
      </c>
      <c r="AI312" s="52">
        <v>0</v>
      </c>
      <c r="AJ312" s="52">
        <v>2</v>
      </c>
      <c r="AK312" s="52"/>
      <c r="AL312" s="52">
        <v>1404324022</v>
      </c>
      <c r="AM312" s="52">
        <v>5351439986</v>
      </c>
      <c r="AN312" s="52">
        <v>8936170224</v>
      </c>
      <c r="AO312" s="52">
        <v>1918502370</v>
      </c>
      <c r="AP312" s="52">
        <v>13813217064</v>
      </c>
      <c r="AQ312" s="58">
        <v>0</v>
      </c>
      <c r="AR312" s="58">
        <v>0</v>
      </c>
      <c r="AS312" s="58">
        <v>0</v>
      </c>
      <c r="AT312" s="58">
        <v>0</v>
      </c>
      <c r="AU312" s="58">
        <v>0</v>
      </c>
      <c r="AV312" s="58">
        <v>0</v>
      </c>
      <c r="AW312" s="58">
        <v>0</v>
      </c>
      <c r="AX312" s="58">
        <v>0</v>
      </c>
    </row>
    <row r="313" spans="1:50" x14ac:dyDescent="0.25">
      <c r="A313" s="52">
        <f t="shared" si="23"/>
        <v>308</v>
      </c>
      <c r="B313" s="60" t="str">
        <f t="shared" si="22"/>
        <v>0047692424</v>
      </c>
      <c r="C313" s="67" t="s">
        <v>28</v>
      </c>
      <c r="D313" s="59" t="s">
        <v>2058</v>
      </c>
      <c r="E313" s="55" t="str">
        <f t="shared" si="24"/>
        <v>00476</v>
      </c>
      <c r="F313" s="53" t="s">
        <v>2072</v>
      </c>
      <c r="G313" s="55" t="s">
        <v>12</v>
      </c>
      <c r="H313" s="60" t="s">
        <v>2436</v>
      </c>
      <c r="I313" s="55">
        <v>304328988</v>
      </c>
      <c r="J313" s="55">
        <v>92424</v>
      </c>
      <c r="K313" s="55" t="s">
        <v>470</v>
      </c>
      <c r="L313" s="53" t="s">
        <v>2073</v>
      </c>
      <c r="M313" s="55" t="s">
        <v>49</v>
      </c>
      <c r="N313" s="52">
        <v>664893618</v>
      </c>
      <c r="O313" s="52">
        <v>664893618</v>
      </c>
      <c r="P313" s="52">
        <v>664893617.08000004</v>
      </c>
      <c r="Q313" s="57">
        <v>45363</v>
      </c>
      <c r="R313" s="57">
        <v>47188</v>
      </c>
      <c r="S313" s="56">
        <v>14</v>
      </c>
      <c r="T313" s="54">
        <v>24</v>
      </c>
      <c r="U313" s="52">
        <v>429186032.17000002</v>
      </c>
      <c r="V313" s="52">
        <v>429186032.17000002</v>
      </c>
      <c r="W313" s="52">
        <v>0</v>
      </c>
      <c r="X313" s="57"/>
      <c r="Y313" s="52">
        <v>0</v>
      </c>
      <c r="Z313" s="52">
        <v>0</v>
      </c>
      <c r="AA313" s="52">
        <v>2</v>
      </c>
      <c r="AB313" s="52">
        <v>42918603.210000001</v>
      </c>
      <c r="AC313" s="52">
        <v>14452386</v>
      </c>
      <c r="AD313" s="52">
        <v>3292386</v>
      </c>
      <c r="AE313" s="52">
        <v>0</v>
      </c>
      <c r="AF313" s="52">
        <v>11160000</v>
      </c>
      <c r="AG313" s="52">
        <v>0</v>
      </c>
      <c r="AH313" s="52">
        <v>0</v>
      </c>
      <c r="AI313" s="52">
        <v>0</v>
      </c>
      <c r="AJ313" s="52">
        <v>2</v>
      </c>
      <c r="AK313" s="52"/>
      <c r="AL313" s="52">
        <v>38144217447</v>
      </c>
      <c r="AM313" s="52">
        <v>1388760005</v>
      </c>
      <c r="AN313" s="52">
        <v>7978723416</v>
      </c>
      <c r="AO313" s="52">
        <v>17511678866</v>
      </c>
      <c r="AP313" s="52">
        <v>1260840878352</v>
      </c>
      <c r="AQ313" s="58">
        <v>0</v>
      </c>
      <c r="AR313" s="58">
        <v>0</v>
      </c>
      <c r="AS313" s="58">
        <v>0</v>
      </c>
      <c r="AT313" s="58">
        <v>0</v>
      </c>
      <c r="AU313" s="58">
        <v>0</v>
      </c>
      <c r="AV313" s="58">
        <v>0</v>
      </c>
      <c r="AW313" s="58">
        <v>0</v>
      </c>
      <c r="AX313" s="58">
        <v>0</v>
      </c>
    </row>
    <row r="314" spans="1:50" x14ac:dyDescent="0.25">
      <c r="A314" s="52">
        <f t="shared" si="23"/>
        <v>309</v>
      </c>
      <c r="B314" s="60" t="str">
        <f t="shared" si="22"/>
        <v>0047690166</v>
      </c>
      <c r="C314" s="67" t="s">
        <v>28</v>
      </c>
      <c r="D314" s="59" t="s">
        <v>2058</v>
      </c>
      <c r="E314" s="55" t="str">
        <f t="shared" si="24"/>
        <v>00476</v>
      </c>
      <c r="F314" s="53" t="s">
        <v>2072</v>
      </c>
      <c r="G314" s="55" t="s">
        <v>12</v>
      </c>
      <c r="H314" s="60" t="s">
        <v>2439</v>
      </c>
      <c r="I314" s="55">
        <v>303715658</v>
      </c>
      <c r="J314" s="55">
        <v>90166</v>
      </c>
      <c r="K314" s="55" t="s">
        <v>471</v>
      </c>
      <c r="L314" s="53" t="s">
        <v>2073</v>
      </c>
      <c r="M314" s="55" t="s">
        <v>49</v>
      </c>
      <c r="N314" s="52">
        <v>515140787</v>
      </c>
      <c r="O314" s="52">
        <v>515140787</v>
      </c>
      <c r="P314" s="52">
        <v>515140787</v>
      </c>
      <c r="Q314" s="57">
        <v>45324</v>
      </c>
      <c r="R314" s="57">
        <v>47154</v>
      </c>
      <c r="S314" s="56">
        <v>23.99</v>
      </c>
      <c r="T314" s="54">
        <v>6</v>
      </c>
      <c r="U314" s="52">
        <v>410000000</v>
      </c>
      <c r="V314" s="52">
        <v>410000000</v>
      </c>
      <c r="W314" s="52">
        <v>0</v>
      </c>
      <c r="X314" s="57"/>
      <c r="Y314" s="52">
        <v>0</v>
      </c>
      <c r="Z314" s="52">
        <v>0</v>
      </c>
      <c r="AA314" s="52">
        <v>1</v>
      </c>
      <c r="AB314" s="52">
        <v>0</v>
      </c>
      <c r="AC314" s="52">
        <v>6467441.0899999999</v>
      </c>
      <c r="AD314" s="52">
        <v>6467441.0899999999</v>
      </c>
      <c r="AE314" s="52">
        <v>0</v>
      </c>
      <c r="AF314" s="52">
        <v>0</v>
      </c>
      <c r="AG314" s="52">
        <v>0</v>
      </c>
      <c r="AH314" s="52">
        <v>0</v>
      </c>
      <c r="AI314" s="52">
        <v>0</v>
      </c>
      <c r="AJ314" s="52">
        <v>2</v>
      </c>
      <c r="AK314" s="52"/>
      <c r="AL314" s="52">
        <v>1404324022</v>
      </c>
      <c r="AM314" s="52">
        <v>5351439986</v>
      </c>
      <c r="AN314" s="52">
        <v>618169000</v>
      </c>
      <c r="AO314" s="52">
        <v>203422706527</v>
      </c>
      <c r="AP314" s="52">
        <v>1423958945689</v>
      </c>
      <c r="AQ314" s="58">
        <v>0</v>
      </c>
      <c r="AR314" s="58">
        <v>0</v>
      </c>
      <c r="AS314" s="58">
        <v>0</v>
      </c>
      <c r="AT314" s="58">
        <v>0</v>
      </c>
      <c r="AU314" s="58">
        <v>0</v>
      </c>
      <c r="AV314" s="58">
        <v>0</v>
      </c>
      <c r="AW314" s="58">
        <v>0</v>
      </c>
      <c r="AX314" s="58">
        <v>0</v>
      </c>
    </row>
    <row r="315" spans="1:50" x14ac:dyDescent="0.25">
      <c r="A315" s="52">
        <f t="shared" si="23"/>
        <v>310</v>
      </c>
      <c r="B315" s="60" t="str">
        <f t="shared" si="22"/>
        <v>00476129411</v>
      </c>
      <c r="C315" s="67" t="s">
        <v>28</v>
      </c>
      <c r="D315" s="59" t="s">
        <v>2058</v>
      </c>
      <c r="E315" s="55" t="str">
        <f t="shared" si="24"/>
        <v>00476</v>
      </c>
      <c r="F315" s="53" t="s">
        <v>2072</v>
      </c>
      <c r="G315" s="55" t="s">
        <v>12</v>
      </c>
      <c r="H315" s="60" t="s">
        <v>2437</v>
      </c>
      <c r="I315" s="55">
        <v>204017150</v>
      </c>
      <c r="J315" s="55">
        <v>129411</v>
      </c>
      <c r="K315" s="55" t="s">
        <v>472</v>
      </c>
      <c r="L315" s="53" t="s">
        <v>2073</v>
      </c>
      <c r="M315" s="55" t="s">
        <v>49</v>
      </c>
      <c r="N315" s="52">
        <v>500000000</v>
      </c>
      <c r="O315" s="52">
        <v>500000000</v>
      </c>
      <c r="P315" s="52">
        <v>500000000</v>
      </c>
      <c r="Q315" s="57">
        <v>45810</v>
      </c>
      <c r="R315" s="57">
        <v>46357</v>
      </c>
      <c r="S315" s="56">
        <v>26</v>
      </c>
      <c r="T315" s="54">
        <v>3</v>
      </c>
      <c r="U315" s="52">
        <v>375000000</v>
      </c>
      <c r="V315" s="52">
        <v>375000000</v>
      </c>
      <c r="W315" s="52">
        <v>0</v>
      </c>
      <c r="X315" s="57"/>
      <c r="Y315" s="52">
        <v>0</v>
      </c>
      <c r="Z315" s="52">
        <v>0</v>
      </c>
      <c r="AA315" s="52">
        <v>1</v>
      </c>
      <c r="AB315" s="52">
        <v>0</v>
      </c>
      <c r="AC315" s="52">
        <v>2070205.48</v>
      </c>
      <c r="AD315" s="52">
        <v>2070205.48</v>
      </c>
      <c r="AE315" s="52">
        <v>0</v>
      </c>
      <c r="AF315" s="52">
        <v>0</v>
      </c>
      <c r="AG315" s="52">
        <v>0</v>
      </c>
      <c r="AH315" s="52">
        <v>0</v>
      </c>
      <c r="AI315" s="52">
        <v>0</v>
      </c>
      <c r="AJ315" s="52">
        <v>2</v>
      </c>
      <c r="AK315" s="52"/>
      <c r="AL315" s="52">
        <v>35444946924</v>
      </c>
      <c r="AM315" s="52">
        <v>2278631526</v>
      </c>
      <c r="AN315" s="52">
        <v>600000000</v>
      </c>
      <c r="AO315" s="52">
        <v>126936940</v>
      </c>
      <c r="AP315" s="52">
        <v>901252274</v>
      </c>
      <c r="AQ315" s="58">
        <v>0</v>
      </c>
      <c r="AR315" s="58">
        <v>0</v>
      </c>
      <c r="AS315" s="58">
        <v>0</v>
      </c>
      <c r="AT315" s="58">
        <v>0</v>
      </c>
      <c r="AU315" s="58">
        <v>1</v>
      </c>
      <c r="AV315" s="58">
        <v>23762.01</v>
      </c>
      <c r="AW315" s="58">
        <v>0</v>
      </c>
      <c r="AX315" s="58">
        <v>0</v>
      </c>
    </row>
    <row r="316" spans="1:50" x14ac:dyDescent="0.25">
      <c r="A316" s="52">
        <f t="shared" si="23"/>
        <v>311</v>
      </c>
      <c r="B316" s="60" t="str">
        <f t="shared" si="22"/>
        <v>00476140581</v>
      </c>
      <c r="C316" s="67" t="s">
        <v>28</v>
      </c>
      <c r="D316" s="59" t="s">
        <v>2058</v>
      </c>
      <c r="E316" s="55" t="str">
        <f t="shared" si="24"/>
        <v>00476</v>
      </c>
      <c r="F316" s="53" t="s">
        <v>2072</v>
      </c>
      <c r="G316" s="55" t="s">
        <v>12</v>
      </c>
      <c r="H316" s="60" t="s">
        <v>2434</v>
      </c>
      <c r="I316" s="55">
        <v>304716924</v>
      </c>
      <c r="J316" s="55">
        <v>140581</v>
      </c>
      <c r="K316" s="55" t="s">
        <v>473</v>
      </c>
      <c r="L316" s="53" t="s">
        <v>2073</v>
      </c>
      <c r="M316" s="55" t="s">
        <v>49</v>
      </c>
      <c r="N316" s="52">
        <v>294399186</v>
      </c>
      <c r="O316" s="52">
        <v>294399186</v>
      </c>
      <c r="P316" s="52">
        <v>294399186</v>
      </c>
      <c r="Q316" s="57">
        <v>45898</v>
      </c>
      <c r="R316" s="57">
        <v>47723</v>
      </c>
      <c r="S316" s="56">
        <v>14</v>
      </c>
      <c r="T316" s="54">
        <v>12</v>
      </c>
      <c r="U316" s="52">
        <v>294399186</v>
      </c>
      <c r="V316" s="52">
        <v>294399186</v>
      </c>
      <c r="W316" s="52">
        <v>0</v>
      </c>
      <c r="X316" s="57"/>
      <c r="Y316" s="52">
        <v>0</v>
      </c>
      <c r="Z316" s="52">
        <v>0</v>
      </c>
      <c r="AA316" s="52">
        <v>1</v>
      </c>
      <c r="AB316" s="52">
        <v>0</v>
      </c>
      <c r="AC316" s="52">
        <v>4780968.95</v>
      </c>
      <c r="AD316" s="52">
        <v>338760.71</v>
      </c>
      <c r="AE316" s="52">
        <v>0</v>
      </c>
      <c r="AF316" s="52">
        <v>0</v>
      </c>
      <c r="AG316" s="52">
        <v>4442208.24</v>
      </c>
      <c r="AH316" s="52">
        <v>0</v>
      </c>
      <c r="AI316" s="52">
        <v>0</v>
      </c>
      <c r="AJ316" s="52">
        <v>2</v>
      </c>
      <c r="AK316" s="52"/>
      <c r="AL316" s="52">
        <v>266244609346</v>
      </c>
      <c r="AM316" s="52">
        <v>52609888</v>
      </c>
      <c r="AN316" s="52">
        <v>3532790232</v>
      </c>
      <c r="AO316" s="52">
        <v>1826160518</v>
      </c>
      <c r="AP316" s="52">
        <v>133309717814</v>
      </c>
      <c r="AQ316" s="58">
        <v>0</v>
      </c>
      <c r="AR316" s="58">
        <v>0</v>
      </c>
      <c r="AS316" s="58">
        <v>0</v>
      </c>
      <c r="AT316" s="58">
        <v>0</v>
      </c>
      <c r="AU316" s="58">
        <v>0</v>
      </c>
      <c r="AV316" s="58">
        <v>0</v>
      </c>
      <c r="AW316" s="58">
        <v>0</v>
      </c>
      <c r="AX316" s="58">
        <v>0</v>
      </c>
    </row>
    <row r="317" spans="1:50" x14ac:dyDescent="0.25">
      <c r="A317" s="52">
        <f t="shared" si="23"/>
        <v>312</v>
      </c>
      <c r="B317" s="60" t="str">
        <f t="shared" ref="B317:B380" si="25">+E317&amp;J317</f>
        <v>00476121518</v>
      </c>
      <c r="C317" s="67" t="s">
        <v>28</v>
      </c>
      <c r="D317" s="59" t="s">
        <v>2058</v>
      </c>
      <c r="E317" s="55" t="str">
        <f t="shared" si="24"/>
        <v>00476</v>
      </c>
      <c r="F317" s="53" t="s">
        <v>2072</v>
      </c>
      <c r="G317" s="55" t="s">
        <v>12</v>
      </c>
      <c r="H317" s="60" t="s">
        <v>2437</v>
      </c>
      <c r="I317" s="55">
        <v>204017150</v>
      </c>
      <c r="J317" s="55">
        <v>121518</v>
      </c>
      <c r="K317" s="55" t="s">
        <v>474</v>
      </c>
      <c r="L317" s="53" t="s">
        <v>2073</v>
      </c>
      <c r="M317" s="55" t="s">
        <v>49</v>
      </c>
      <c r="N317" s="52">
        <v>285132383</v>
      </c>
      <c r="O317" s="52">
        <v>285132383</v>
      </c>
      <c r="P317" s="52">
        <v>285132383</v>
      </c>
      <c r="Q317" s="57">
        <v>45733</v>
      </c>
      <c r="R317" s="57">
        <v>47558</v>
      </c>
      <c r="S317" s="56">
        <v>14</v>
      </c>
      <c r="T317" s="54">
        <v>12</v>
      </c>
      <c r="U317" s="52">
        <v>285132383</v>
      </c>
      <c r="V317" s="52">
        <v>285132383</v>
      </c>
      <c r="W317" s="52">
        <v>0</v>
      </c>
      <c r="X317" s="57"/>
      <c r="Y317" s="52">
        <v>0</v>
      </c>
      <c r="Z317" s="52">
        <v>0</v>
      </c>
      <c r="AA317" s="52">
        <v>1</v>
      </c>
      <c r="AB317" s="52">
        <v>0</v>
      </c>
      <c r="AC317" s="52">
        <v>9524194.4100000001</v>
      </c>
      <c r="AD317" s="52">
        <v>1421756</v>
      </c>
      <c r="AE317" s="52">
        <v>0</v>
      </c>
      <c r="AF317" s="52">
        <v>3948762.83</v>
      </c>
      <c r="AG317" s="52">
        <v>4153675.58</v>
      </c>
      <c r="AH317" s="52">
        <v>0</v>
      </c>
      <c r="AI317" s="52">
        <v>0</v>
      </c>
      <c r="AJ317" s="52">
        <v>2</v>
      </c>
      <c r="AK317" s="52"/>
      <c r="AL317" s="52">
        <v>35444946924</v>
      </c>
      <c r="AM317" s="52">
        <v>2278631526</v>
      </c>
      <c r="AN317" s="52">
        <v>3421588596</v>
      </c>
      <c r="AO317" s="52">
        <v>126936940</v>
      </c>
      <c r="AP317" s="52">
        <v>88855858</v>
      </c>
      <c r="AQ317" s="58">
        <v>0</v>
      </c>
      <c r="AR317" s="58">
        <v>0</v>
      </c>
      <c r="AS317" s="58">
        <v>0</v>
      </c>
      <c r="AT317" s="58">
        <v>0</v>
      </c>
      <c r="AU317" s="58">
        <v>1</v>
      </c>
      <c r="AV317" s="58">
        <v>23762.01</v>
      </c>
      <c r="AW317" s="58">
        <v>0</v>
      </c>
      <c r="AX317" s="58">
        <v>0</v>
      </c>
    </row>
    <row r="318" spans="1:50" x14ac:dyDescent="0.25">
      <c r="A318" s="52">
        <f t="shared" si="23"/>
        <v>313</v>
      </c>
      <c r="B318" s="60" t="str">
        <f t="shared" si="25"/>
        <v>00476129802</v>
      </c>
      <c r="C318" s="67" t="s">
        <v>28</v>
      </c>
      <c r="D318" s="59" t="s">
        <v>2058</v>
      </c>
      <c r="E318" s="55" t="str">
        <f t="shared" si="24"/>
        <v>00476</v>
      </c>
      <c r="F318" s="53" t="s">
        <v>2072</v>
      </c>
      <c r="G318" s="55" t="s">
        <v>12</v>
      </c>
      <c r="H318" s="60" t="s">
        <v>2435</v>
      </c>
      <c r="I318" s="55">
        <v>200906234</v>
      </c>
      <c r="J318" s="55">
        <v>129802</v>
      </c>
      <c r="K318" s="55" t="s">
        <v>475</v>
      </c>
      <c r="L318" s="53" t="s">
        <v>2073</v>
      </c>
      <c r="M318" s="55" t="s">
        <v>49</v>
      </c>
      <c r="N318" s="52">
        <v>318699500</v>
      </c>
      <c r="O318" s="52">
        <v>318699500</v>
      </c>
      <c r="P318" s="52">
        <v>318699500</v>
      </c>
      <c r="Q318" s="57">
        <v>45813</v>
      </c>
      <c r="R318" s="57">
        <v>46360</v>
      </c>
      <c r="S318" s="56">
        <v>26</v>
      </c>
      <c r="T318" s="54">
        <v>12</v>
      </c>
      <c r="U318" s="52">
        <v>268699500</v>
      </c>
      <c r="V318" s="52">
        <v>179699500</v>
      </c>
      <c r="W318" s="52">
        <v>89000000</v>
      </c>
      <c r="X318" s="57">
        <v>46027</v>
      </c>
      <c r="Y318" s="52">
        <v>0</v>
      </c>
      <c r="Z318" s="52">
        <v>0</v>
      </c>
      <c r="AA318" s="52">
        <v>1</v>
      </c>
      <c r="AB318" s="52">
        <v>0</v>
      </c>
      <c r="AC318" s="52">
        <v>16933601.539999999</v>
      </c>
      <c r="AD318" s="52">
        <v>3456138.33</v>
      </c>
      <c r="AE318" s="52">
        <v>0</v>
      </c>
      <c r="AF318" s="52">
        <v>866905.58</v>
      </c>
      <c r="AG318" s="52">
        <v>12610557.630000001</v>
      </c>
      <c r="AH318" s="52">
        <v>0</v>
      </c>
      <c r="AI318" s="52">
        <v>0</v>
      </c>
      <c r="AJ318" s="52">
        <v>2</v>
      </c>
      <c r="AK318" s="52"/>
      <c r="AL318" s="52">
        <v>166333039244</v>
      </c>
      <c r="AM318" s="52">
        <v>1951708143</v>
      </c>
      <c r="AN318" s="52">
        <v>382439400</v>
      </c>
      <c r="AO318" s="52">
        <v>1734769581</v>
      </c>
      <c r="AP318" s="52">
        <v>124903409832</v>
      </c>
      <c r="AQ318" s="58">
        <v>0</v>
      </c>
      <c r="AR318" s="58">
        <v>0</v>
      </c>
      <c r="AS318" s="58">
        <v>0</v>
      </c>
      <c r="AT318" s="58">
        <v>0</v>
      </c>
      <c r="AU318" s="58">
        <v>0</v>
      </c>
      <c r="AV318" s="58">
        <v>0</v>
      </c>
      <c r="AW318" s="58">
        <v>0</v>
      </c>
      <c r="AX318" s="58">
        <v>0</v>
      </c>
    </row>
    <row r="319" spans="1:50" x14ac:dyDescent="0.25">
      <c r="A319" s="52">
        <f t="shared" si="23"/>
        <v>314</v>
      </c>
      <c r="B319" s="60" t="str">
        <f t="shared" si="25"/>
        <v>00476112920</v>
      </c>
      <c r="C319" s="67" t="s">
        <v>28</v>
      </c>
      <c r="D319" s="59" t="s">
        <v>2058</v>
      </c>
      <c r="E319" s="55" t="str">
        <f t="shared" si="24"/>
        <v>00476</v>
      </c>
      <c r="F319" s="53" t="s">
        <v>2072</v>
      </c>
      <c r="G319" s="55" t="s">
        <v>12</v>
      </c>
      <c r="H319" s="60" t="s">
        <v>2438</v>
      </c>
      <c r="I319" s="55">
        <v>310784831</v>
      </c>
      <c r="J319" s="55">
        <v>112920</v>
      </c>
      <c r="K319" s="55" t="s">
        <v>476</v>
      </c>
      <c r="L319" s="53" t="s">
        <v>2073</v>
      </c>
      <c r="M319" s="55" t="s">
        <v>49</v>
      </c>
      <c r="N319" s="52">
        <v>267591680</v>
      </c>
      <c r="O319" s="52">
        <v>267591680</v>
      </c>
      <c r="P319" s="52">
        <v>267591680</v>
      </c>
      <c r="Q319" s="57">
        <v>45644</v>
      </c>
      <c r="R319" s="57">
        <v>46122</v>
      </c>
      <c r="S319" s="56">
        <v>14</v>
      </c>
      <c r="T319" s="54">
        <v>0</v>
      </c>
      <c r="U319" s="52">
        <v>267591680</v>
      </c>
      <c r="V319" s="52">
        <v>178394453.36000001</v>
      </c>
      <c r="W319" s="52">
        <v>89197226.640000001</v>
      </c>
      <c r="X319" s="57">
        <v>45905</v>
      </c>
      <c r="Y319" s="52">
        <v>0</v>
      </c>
      <c r="Z319" s="52">
        <v>0</v>
      </c>
      <c r="AA319" s="52">
        <v>3</v>
      </c>
      <c r="AB319" s="52">
        <v>66897920</v>
      </c>
      <c r="AC319" s="52">
        <v>44640539.079999998</v>
      </c>
      <c r="AD319" s="52">
        <v>6312231.1299999999</v>
      </c>
      <c r="AE319" s="52">
        <v>0</v>
      </c>
      <c r="AF319" s="52">
        <v>25233421.91</v>
      </c>
      <c r="AG319" s="52">
        <v>13094886.039999999</v>
      </c>
      <c r="AH319" s="52">
        <v>0</v>
      </c>
      <c r="AI319" s="52">
        <v>0</v>
      </c>
      <c r="AJ319" s="52">
        <v>2</v>
      </c>
      <c r="AK319" s="52"/>
      <c r="AL319" s="52">
        <v>0</v>
      </c>
      <c r="AM319" s="52">
        <v>0</v>
      </c>
      <c r="AN319" s="52">
        <v>321110016</v>
      </c>
      <c r="AO319" s="52">
        <v>0</v>
      </c>
      <c r="AP319" s="52">
        <v>0</v>
      </c>
      <c r="AQ319" s="58">
        <v>0</v>
      </c>
      <c r="AR319" s="58">
        <v>0</v>
      </c>
      <c r="AS319" s="58">
        <v>0</v>
      </c>
      <c r="AT319" s="58">
        <v>0</v>
      </c>
      <c r="AU319" s="58">
        <v>0</v>
      </c>
      <c r="AV319" s="58">
        <v>0</v>
      </c>
      <c r="AW319" s="58">
        <v>0</v>
      </c>
      <c r="AX319" s="58">
        <v>0</v>
      </c>
    </row>
    <row r="320" spans="1:50" x14ac:dyDescent="0.25">
      <c r="A320" s="52">
        <f t="shared" si="23"/>
        <v>315</v>
      </c>
      <c r="B320" s="60" t="str">
        <f t="shared" si="25"/>
        <v>00476102571</v>
      </c>
      <c r="C320" s="67" t="s">
        <v>28</v>
      </c>
      <c r="D320" s="59" t="s">
        <v>2058</v>
      </c>
      <c r="E320" s="55" t="str">
        <f t="shared" si="24"/>
        <v>00476</v>
      </c>
      <c r="F320" s="53" t="s">
        <v>2072</v>
      </c>
      <c r="G320" s="55" t="s">
        <v>12</v>
      </c>
      <c r="H320" s="60" t="s">
        <v>2439</v>
      </c>
      <c r="I320" s="55">
        <v>303715658</v>
      </c>
      <c r="J320" s="55">
        <v>102571</v>
      </c>
      <c r="K320" s="55" t="s">
        <v>477</v>
      </c>
      <c r="L320" s="53" t="s">
        <v>2073</v>
      </c>
      <c r="M320" s="55" t="s">
        <v>49</v>
      </c>
      <c r="N320" s="52">
        <v>264358453</v>
      </c>
      <c r="O320" s="52">
        <v>264358453</v>
      </c>
      <c r="P320" s="52">
        <v>264358453</v>
      </c>
      <c r="Q320" s="57">
        <v>45532</v>
      </c>
      <c r="R320" s="57">
        <v>47357</v>
      </c>
      <c r="S320" s="56">
        <v>14</v>
      </c>
      <c r="T320" s="54">
        <v>12</v>
      </c>
      <c r="U320" s="52">
        <v>264358453</v>
      </c>
      <c r="V320" s="52">
        <v>264358453</v>
      </c>
      <c r="W320" s="52">
        <v>0</v>
      </c>
      <c r="X320" s="57"/>
      <c r="Y320" s="52">
        <v>0</v>
      </c>
      <c r="Z320" s="52">
        <v>0</v>
      </c>
      <c r="AA320" s="52">
        <v>1</v>
      </c>
      <c r="AB320" s="52">
        <v>0</v>
      </c>
      <c r="AC320" s="52">
        <v>2433546.31</v>
      </c>
      <c r="AD320" s="52">
        <v>405591.05</v>
      </c>
      <c r="AE320" s="52">
        <v>0</v>
      </c>
      <c r="AF320" s="52">
        <v>0</v>
      </c>
      <c r="AG320" s="52">
        <v>2027955.26</v>
      </c>
      <c r="AH320" s="52">
        <v>0</v>
      </c>
      <c r="AI320" s="52">
        <v>0</v>
      </c>
      <c r="AJ320" s="52">
        <v>2</v>
      </c>
      <c r="AK320" s="52"/>
      <c r="AL320" s="52">
        <v>1404324022</v>
      </c>
      <c r="AM320" s="52">
        <v>5351439986</v>
      </c>
      <c r="AN320" s="52">
        <v>3172301436</v>
      </c>
      <c r="AO320" s="52">
        <v>200922706527</v>
      </c>
      <c r="AP320" s="52">
        <v>14667357576471</v>
      </c>
      <c r="AQ320" s="58">
        <v>0</v>
      </c>
      <c r="AR320" s="58">
        <v>0</v>
      </c>
      <c r="AS320" s="58">
        <v>0</v>
      </c>
      <c r="AT320" s="58">
        <v>0</v>
      </c>
      <c r="AU320" s="58">
        <v>0</v>
      </c>
      <c r="AV320" s="58">
        <v>0</v>
      </c>
      <c r="AW320" s="58">
        <v>0</v>
      </c>
      <c r="AX320" s="58">
        <v>0</v>
      </c>
    </row>
    <row r="321" spans="1:50" x14ac:dyDescent="0.25">
      <c r="A321" s="52">
        <f t="shared" si="23"/>
        <v>316</v>
      </c>
      <c r="B321" s="60" t="str">
        <f t="shared" si="25"/>
        <v>0047692507</v>
      </c>
      <c r="C321" s="67" t="s">
        <v>28</v>
      </c>
      <c r="D321" s="59" t="s">
        <v>2058</v>
      </c>
      <c r="E321" s="55" t="str">
        <f t="shared" si="24"/>
        <v>00476</v>
      </c>
      <c r="F321" s="53" t="s">
        <v>2072</v>
      </c>
      <c r="G321" s="55" t="s">
        <v>12</v>
      </c>
      <c r="H321" s="60" t="s">
        <v>2435</v>
      </c>
      <c r="I321" s="55">
        <v>200906234</v>
      </c>
      <c r="J321" s="55">
        <v>92507</v>
      </c>
      <c r="K321" s="55" t="s">
        <v>478</v>
      </c>
      <c r="L321" s="53" t="s">
        <v>2073</v>
      </c>
      <c r="M321" s="55" t="s">
        <v>49</v>
      </c>
      <c r="N321" s="52">
        <v>452127660</v>
      </c>
      <c r="O321" s="52">
        <v>452127660</v>
      </c>
      <c r="P321" s="52">
        <v>452127659.60000002</v>
      </c>
      <c r="Q321" s="57">
        <v>45366</v>
      </c>
      <c r="R321" s="57">
        <v>47191</v>
      </c>
      <c r="S321" s="56">
        <v>14</v>
      </c>
      <c r="T321" s="54">
        <v>24</v>
      </c>
      <c r="U321" s="52">
        <v>254965337.72</v>
      </c>
      <c r="V321" s="52">
        <v>254965337.72</v>
      </c>
      <c r="W321" s="52">
        <v>0</v>
      </c>
      <c r="X321" s="57"/>
      <c r="Y321" s="52">
        <v>0</v>
      </c>
      <c r="Z321" s="52">
        <v>0</v>
      </c>
      <c r="AA321" s="52">
        <v>2</v>
      </c>
      <c r="AB321" s="52">
        <v>25496533.77</v>
      </c>
      <c r="AC321" s="52">
        <v>8096378.1900000004</v>
      </c>
      <c r="AD321" s="52">
        <v>1662513.7</v>
      </c>
      <c r="AE321" s="52">
        <v>0</v>
      </c>
      <c r="AF321" s="52">
        <v>5474310.6699999999</v>
      </c>
      <c r="AG321" s="52">
        <v>959553.82</v>
      </c>
      <c r="AH321" s="52">
        <v>0</v>
      </c>
      <c r="AI321" s="52">
        <v>0</v>
      </c>
      <c r="AJ321" s="52">
        <v>2</v>
      </c>
      <c r="AK321" s="52"/>
      <c r="AL321" s="52">
        <v>166333039244</v>
      </c>
      <c r="AM321" s="52">
        <v>1951708143</v>
      </c>
      <c r="AN321" s="52">
        <v>542553192</v>
      </c>
      <c r="AO321" s="52">
        <v>415500936131</v>
      </c>
      <c r="AP321" s="52">
        <v>2908506552917</v>
      </c>
      <c r="AQ321" s="58">
        <v>0</v>
      </c>
      <c r="AR321" s="58">
        <v>0</v>
      </c>
      <c r="AS321" s="58">
        <v>0</v>
      </c>
      <c r="AT321" s="58">
        <v>0</v>
      </c>
      <c r="AU321" s="58">
        <v>0</v>
      </c>
      <c r="AV321" s="58">
        <v>0</v>
      </c>
      <c r="AW321" s="58">
        <v>0</v>
      </c>
      <c r="AX321" s="58">
        <v>0</v>
      </c>
    </row>
    <row r="322" spans="1:50" x14ac:dyDescent="0.25">
      <c r="A322" s="52">
        <f t="shared" si="23"/>
        <v>317</v>
      </c>
      <c r="B322" s="60" t="str">
        <f t="shared" si="25"/>
        <v>00476136400</v>
      </c>
      <c r="C322" s="67" t="s">
        <v>28</v>
      </c>
      <c r="D322" s="59" t="s">
        <v>2058</v>
      </c>
      <c r="E322" s="55" t="str">
        <f t="shared" si="24"/>
        <v>00476</v>
      </c>
      <c r="F322" s="53" t="s">
        <v>2072</v>
      </c>
      <c r="G322" s="55" t="s">
        <v>12</v>
      </c>
      <c r="H322" s="60" t="s">
        <v>2435</v>
      </c>
      <c r="I322" s="55">
        <v>200906234</v>
      </c>
      <c r="J322" s="55">
        <v>136400</v>
      </c>
      <c r="K322" s="55" t="s">
        <v>479</v>
      </c>
      <c r="L322" s="53" t="s">
        <v>2073</v>
      </c>
      <c r="M322" s="55" t="s">
        <v>49</v>
      </c>
      <c r="N322" s="52">
        <v>221276596</v>
      </c>
      <c r="O322" s="52">
        <v>221276596</v>
      </c>
      <c r="P322" s="52">
        <v>221276596</v>
      </c>
      <c r="Q322" s="57">
        <v>45866</v>
      </c>
      <c r="R322" s="57">
        <v>47691</v>
      </c>
      <c r="S322" s="56">
        <v>24</v>
      </c>
      <c r="T322" s="54">
        <v>12</v>
      </c>
      <c r="U322" s="52">
        <v>221276596</v>
      </c>
      <c r="V322" s="52">
        <v>221276596</v>
      </c>
      <c r="W322" s="52">
        <v>0</v>
      </c>
      <c r="X322" s="57"/>
      <c r="Y322" s="52">
        <v>0</v>
      </c>
      <c r="Z322" s="52">
        <v>0</v>
      </c>
      <c r="AA322" s="52">
        <v>2</v>
      </c>
      <c r="AB322" s="52">
        <v>22127659.600000001</v>
      </c>
      <c r="AC322" s="52">
        <v>12703730.710000001</v>
      </c>
      <c r="AD322" s="52">
        <v>581987.76</v>
      </c>
      <c r="AE322" s="52">
        <v>0</v>
      </c>
      <c r="AF322" s="52">
        <v>7802331.6900000004</v>
      </c>
      <c r="AG322" s="52">
        <v>4319411.26</v>
      </c>
      <c r="AH322" s="52">
        <v>0</v>
      </c>
      <c r="AI322" s="52">
        <v>0</v>
      </c>
      <c r="AJ322" s="52">
        <v>2</v>
      </c>
      <c r="AK322" s="52"/>
      <c r="AL322" s="52">
        <v>166333039244</v>
      </c>
      <c r="AM322" s="52">
        <v>1951708143</v>
      </c>
      <c r="AN322" s="52">
        <v>2655319152</v>
      </c>
      <c r="AO322" s="52">
        <v>1243935290</v>
      </c>
      <c r="AP322" s="52">
        <v>8831940559</v>
      </c>
      <c r="AQ322" s="58">
        <v>0</v>
      </c>
      <c r="AR322" s="58">
        <v>0</v>
      </c>
      <c r="AS322" s="58">
        <v>0</v>
      </c>
      <c r="AT322" s="58">
        <v>0</v>
      </c>
      <c r="AU322" s="58">
        <v>0</v>
      </c>
      <c r="AV322" s="58">
        <v>0</v>
      </c>
      <c r="AW322" s="58">
        <v>0</v>
      </c>
      <c r="AX322" s="58">
        <v>0</v>
      </c>
    </row>
    <row r="323" spans="1:50" x14ac:dyDescent="0.25">
      <c r="A323" s="52">
        <f t="shared" si="23"/>
        <v>318</v>
      </c>
      <c r="B323" s="60" t="str">
        <f t="shared" si="25"/>
        <v>00476111481</v>
      </c>
      <c r="C323" s="67" t="s">
        <v>28</v>
      </c>
      <c r="D323" s="59" t="s">
        <v>2058</v>
      </c>
      <c r="E323" s="55" t="str">
        <f t="shared" si="24"/>
        <v>00476</v>
      </c>
      <c r="F323" s="53" t="s">
        <v>2072</v>
      </c>
      <c r="G323" s="55" t="s">
        <v>12</v>
      </c>
      <c r="H323" s="60" t="s">
        <v>452</v>
      </c>
      <c r="I323" s="55">
        <v>303114954</v>
      </c>
      <c r="J323" s="55">
        <v>111481</v>
      </c>
      <c r="K323" s="55" t="s">
        <v>480</v>
      </c>
      <c r="L323" s="53" t="s">
        <v>2073</v>
      </c>
      <c r="M323" s="55" t="s">
        <v>49</v>
      </c>
      <c r="N323" s="52">
        <v>267311609</v>
      </c>
      <c r="O323" s="52">
        <v>267311609</v>
      </c>
      <c r="P323" s="52">
        <v>267311609</v>
      </c>
      <c r="Q323" s="57">
        <v>45628</v>
      </c>
      <c r="R323" s="57">
        <v>47453</v>
      </c>
      <c r="S323" s="56">
        <v>14</v>
      </c>
      <c r="T323" s="54">
        <v>12</v>
      </c>
      <c r="U323" s="52">
        <v>217311609</v>
      </c>
      <c r="V323" s="52">
        <v>217311609</v>
      </c>
      <c r="W323" s="52">
        <v>0</v>
      </c>
      <c r="X323" s="57"/>
      <c r="Y323" s="52">
        <v>0</v>
      </c>
      <c r="Z323" s="52">
        <v>0</v>
      </c>
      <c r="AA323" s="52">
        <v>1</v>
      </c>
      <c r="AB323" s="52">
        <v>0</v>
      </c>
      <c r="AC323" s="52">
        <v>5167848.68</v>
      </c>
      <c r="AD323" s="52">
        <v>2583924.34</v>
      </c>
      <c r="AE323" s="52">
        <v>0</v>
      </c>
      <c r="AF323" s="52">
        <v>0</v>
      </c>
      <c r="AG323" s="52">
        <v>2583924.34</v>
      </c>
      <c r="AH323" s="52">
        <v>0</v>
      </c>
      <c r="AI323" s="52">
        <v>0</v>
      </c>
      <c r="AJ323" s="52">
        <v>2</v>
      </c>
      <c r="AK323" s="52"/>
      <c r="AL323" s="52">
        <v>4972046851</v>
      </c>
      <c r="AM323" s="52">
        <v>255460435</v>
      </c>
      <c r="AN323" s="52">
        <v>3207739308</v>
      </c>
      <c r="AO323" s="52">
        <v>670550027</v>
      </c>
      <c r="AP323" s="52">
        <v>48950151971</v>
      </c>
      <c r="AQ323" s="58">
        <v>0</v>
      </c>
      <c r="AR323" s="58">
        <v>0</v>
      </c>
      <c r="AS323" s="58">
        <v>0</v>
      </c>
      <c r="AT323" s="58">
        <v>0</v>
      </c>
      <c r="AU323" s="58">
        <v>0</v>
      </c>
      <c r="AV323" s="58">
        <v>0</v>
      </c>
      <c r="AW323" s="58">
        <v>0</v>
      </c>
      <c r="AX323" s="58">
        <v>0</v>
      </c>
    </row>
    <row r="324" spans="1:50" x14ac:dyDescent="0.25">
      <c r="A324" s="52">
        <f t="shared" si="23"/>
        <v>319</v>
      </c>
      <c r="B324" s="60" t="str">
        <f t="shared" si="25"/>
        <v>00476111200</v>
      </c>
      <c r="C324" s="67" t="s">
        <v>28</v>
      </c>
      <c r="D324" s="59" t="s">
        <v>2058</v>
      </c>
      <c r="E324" s="55" t="str">
        <f t="shared" si="24"/>
        <v>00476</v>
      </c>
      <c r="F324" s="53" t="s">
        <v>2072</v>
      </c>
      <c r="G324" s="55" t="s">
        <v>12</v>
      </c>
      <c r="H324" s="60" t="s">
        <v>452</v>
      </c>
      <c r="I324" s="55">
        <v>303114954</v>
      </c>
      <c r="J324" s="55">
        <v>111200</v>
      </c>
      <c r="K324" s="55" t="s">
        <v>481</v>
      </c>
      <c r="L324" s="53" t="s">
        <v>2073</v>
      </c>
      <c r="M324" s="55" t="s">
        <v>49</v>
      </c>
      <c r="N324" s="52">
        <v>267311609</v>
      </c>
      <c r="O324" s="52">
        <v>267311609</v>
      </c>
      <c r="P324" s="52">
        <v>267311609</v>
      </c>
      <c r="Q324" s="57">
        <v>45624</v>
      </c>
      <c r="R324" s="57">
        <v>47449</v>
      </c>
      <c r="S324" s="56">
        <v>14</v>
      </c>
      <c r="T324" s="54">
        <v>12</v>
      </c>
      <c r="U324" s="52">
        <v>217311609</v>
      </c>
      <c r="V324" s="52">
        <v>217311609</v>
      </c>
      <c r="W324" s="52">
        <v>0</v>
      </c>
      <c r="X324" s="57"/>
      <c r="Y324" s="52">
        <v>0</v>
      </c>
      <c r="Z324" s="52">
        <v>0</v>
      </c>
      <c r="AA324" s="52">
        <v>1</v>
      </c>
      <c r="AB324" s="52">
        <v>0</v>
      </c>
      <c r="AC324" s="52">
        <v>5167848.67</v>
      </c>
      <c r="AD324" s="52">
        <v>333409.59000000003</v>
      </c>
      <c r="AE324" s="52">
        <v>0</v>
      </c>
      <c r="AF324" s="52">
        <v>0</v>
      </c>
      <c r="AG324" s="52">
        <v>4834439.08</v>
      </c>
      <c r="AH324" s="52">
        <v>0</v>
      </c>
      <c r="AI324" s="52">
        <v>0</v>
      </c>
      <c r="AJ324" s="52">
        <v>2</v>
      </c>
      <c r="AK324" s="52"/>
      <c r="AL324" s="52">
        <v>4972046851</v>
      </c>
      <c r="AM324" s="52">
        <v>255460435</v>
      </c>
      <c r="AN324" s="52">
        <v>3207739308</v>
      </c>
      <c r="AO324" s="52">
        <v>670550027</v>
      </c>
      <c r="AP324" s="52">
        <v>47609051917</v>
      </c>
      <c r="AQ324" s="58">
        <v>0</v>
      </c>
      <c r="AR324" s="58">
        <v>0</v>
      </c>
      <c r="AS324" s="58">
        <v>0</v>
      </c>
      <c r="AT324" s="58">
        <v>0</v>
      </c>
      <c r="AU324" s="58">
        <v>0</v>
      </c>
      <c r="AV324" s="58">
        <v>0</v>
      </c>
      <c r="AW324" s="58">
        <v>0</v>
      </c>
      <c r="AX324" s="58">
        <v>0</v>
      </c>
    </row>
    <row r="325" spans="1:50" x14ac:dyDescent="0.25">
      <c r="A325" s="52">
        <f t="shared" si="23"/>
        <v>320</v>
      </c>
      <c r="B325" s="60" t="str">
        <f t="shared" si="25"/>
        <v>0047622888</v>
      </c>
      <c r="C325" s="67" t="s">
        <v>28</v>
      </c>
      <c r="D325" s="59" t="s">
        <v>2058</v>
      </c>
      <c r="E325" s="55" t="str">
        <f t="shared" si="24"/>
        <v>00476</v>
      </c>
      <c r="F325" s="53" t="s">
        <v>2072</v>
      </c>
      <c r="G325" s="55" t="s">
        <v>12</v>
      </c>
      <c r="H325" s="60" t="s">
        <v>2431</v>
      </c>
      <c r="I325" s="55">
        <v>303621980</v>
      </c>
      <c r="J325" s="55">
        <v>22888</v>
      </c>
      <c r="K325" s="55" t="s">
        <v>482</v>
      </c>
      <c r="L325" s="53" t="s">
        <v>2073</v>
      </c>
      <c r="M325" s="55" t="s">
        <v>49</v>
      </c>
      <c r="N325" s="52">
        <v>247000000</v>
      </c>
      <c r="O325" s="52">
        <v>247000000</v>
      </c>
      <c r="P325" s="52">
        <v>247000000</v>
      </c>
      <c r="Q325" s="57">
        <v>43948</v>
      </c>
      <c r="R325" s="57">
        <v>46091</v>
      </c>
      <c r="S325" s="56">
        <v>5</v>
      </c>
      <c r="T325" s="54">
        <v>24</v>
      </c>
      <c r="U325" s="52">
        <v>188876045.65000001</v>
      </c>
      <c r="V325" s="52">
        <v>134876045.65000001</v>
      </c>
      <c r="W325" s="52">
        <v>54000000</v>
      </c>
      <c r="X325" s="57">
        <v>46041</v>
      </c>
      <c r="Y325" s="52">
        <v>0</v>
      </c>
      <c r="Z325" s="52">
        <v>0</v>
      </c>
      <c r="AA325" s="52">
        <v>1</v>
      </c>
      <c r="AB325" s="52">
        <v>0</v>
      </c>
      <c r="AC325" s="52">
        <v>698514.72</v>
      </c>
      <c r="AD325" s="52">
        <v>232792.95999999999</v>
      </c>
      <c r="AE325" s="52">
        <v>0</v>
      </c>
      <c r="AF325" s="52">
        <v>465721.76</v>
      </c>
      <c r="AG325" s="52">
        <v>0</v>
      </c>
      <c r="AH325" s="52">
        <v>0</v>
      </c>
      <c r="AI325" s="52">
        <v>0</v>
      </c>
      <c r="AJ325" s="52">
        <v>2</v>
      </c>
      <c r="AK325" s="52"/>
      <c r="AL325" s="52">
        <v>76448148208</v>
      </c>
      <c r="AM325" s="52">
        <v>9312491344</v>
      </c>
      <c r="AN325" s="52">
        <v>296400000</v>
      </c>
      <c r="AO325" s="52">
        <v>37838535666</v>
      </c>
      <c r="AP325" s="52">
        <v>264869749662</v>
      </c>
      <c r="AQ325" s="58">
        <v>0</v>
      </c>
      <c r="AR325" s="58">
        <v>0</v>
      </c>
      <c r="AS325" s="58">
        <v>0</v>
      </c>
      <c r="AT325" s="58">
        <v>0</v>
      </c>
      <c r="AU325" s="58">
        <v>0</v>
      </c>
      <c r="AV325" s="58">
        <v>0</v>
      </c>
      <c r="AW325" s="58">
        <v>0</v>
      </c>
      <c r="AX325" s="58">
        <v>0</v>
      </c>
    </row>
    <row r="326" spans="1:50" x14ac:dyDescent="0.25">
      <c r="A326" s="52">
        <f t="shared" si="23"/>
        <v>321</v>
      </c>
      <c r="B326" s="60" t="str">
        <f t="shared" si="25"/>
        <v>0048097340</v>
      </c>
      <c r="C326" s="67" t="s">
        <v>28</v>
      </c>
      <c r="D326" s="59" t="s">
        <v>2058</v>
      </c>
      <c r="E326" s="55" t="str">
        <f t="shared" si="24"/>
        <v>00480</v>
      </c>
      <c r="F326" s="53" t="s">
        <v>2074</v>
      </c>
      <c r="G326" s="55" t="s">
        <v>1</v>
      </c>
      <c r="H326" s="60" t="s">
        <v>2440</v>
      </c>
      <c r="I326" s="55">
        <v>310154562</v>
      </c>
      <c r="J326" s="55">
        <v>97340</v>
      </c>
      <c r="K326" s="55" t="s">
        <v>483</v>
      </c>
      <c r="L326" s="53" t="s">
        <v>2075</v>
      </c>
      <c r="M326" s="55" t="s">
        <v>49</v>
      </c>
      <c r="N326" s="52">
        <v>1780000000</v>
      </c>
      <c r="O326" s="52">
        <v>1780000000</v>
      </c>
      <c r="P326" s="52">
        <v>1780000000</v>
      </c>
      <c r="Q326" s="57">
        <v>45064</v>
      </c>
      <c r="R326" s="57">
        <v>46878</v>
      </c>
      <c r="S326" s="56">
        <v>10</v>
      </c>
      <c r="T326" s="54">
        <v>24</v>
      </c>
      <c r="U326" s="52">
        <v>1432929965.9200001</v>
      </c>
      <c r="V326" s="52">
        <v>1432929965.9200001</v>
      </c>
      <c r="W326" s="52">
        <v>0</v>
      </c>
      <c r="X326" s="57"/>
      <c r="Y326" s="52">
        <v>0</v>
      </c>
      <c r="Z326" s="52">
        <v>0</v>
      </c>
      <c r="AA326" s="52">
        <v>1</v>
      </c>
      <c r="AB326" s="52">
        <v>0</v>
      </c>
      <c r="AC326" s="52">
        <v>5541433.8899999997</v>
      </c>
      <c r="AD326" s="52">
        <v>5541433.8899999997</v>
      </c>
      <c r="AE326" s="52">
        <v>0</v>
      </c>
      <c r="AF326" s="52">
        <v>0</v>
      </c>
      <c r="AG326" s="52">
        <v>0</v>
      </c>
      <c r="AH326" s="52">
        <v>0</v>
      </c>
      <c r="AI326" s="52">
        <v>0</v>
      </c>
      <c r="AJ326" s="52">
        <v>2</v>
      </c>
      <c r="AK326" s="52"/>
      <c r="AL326" s="52">
        <v>0</v>
      </c>
      <c r="AM326" s="52">
        <v>0</v>
      </c>
      <c r="AN326" s="61">
        <v>2136000000</v>
      </c>
      <c r="AO326" s="52">
        <v>1386315800</v>
      </c>
      <c r="AP326" s="61">
        <v>986315800</v>
      </c>
      <c r="AQ326" s="58">
        <v>0</v>
      </c>
      <c r="AR326" s="58">
        <v>0</v>
      </c>
      <c r="AS326" s="58">
        <v>0</v>
      </c>
      <c r="AT326" s="58">
        <v>0</v>
      </c>
      <c r="AU326" s="58">
        <v>0</v>
      </c>
      <c r="AV326" s="58">
        <v>0</v>
      </c>
      <c r="AW326" s="58">
        <v>0</v>
      </c>
      <c r="AX326" s="58">
        <v>0</v>
      </c>
    </row>
    <row r="327" spans="1:50" x14ac:dyDescent="0.25">
      <c r="A327" s="52">
        <f t="shared" si="23"/>
        <v>322</v>
      </c>
      <c r="B327" s="60" t="str">
        <f t="shared" si="25"/>
        <v>0048097231</v>
      </c>
      <c r="C327" s="67" t="s">
        <v>28</v>
      </c>
      <c r="D327" s="59" t="s">
        <v>2058</v>
      </c>
      <c r="E327" s="55" t="str">
        <f t="shared" si="24"/>
        <v>00480</v>
      </c>
      <c r="F327" s="53" t="s">
        <v>2074</v>
      </c>
      <c r="G327" s="55" t="s">
        <v>1</v>
      </c>
      <c r="H327" s="60" t="s">
        <v>2441</v>
      </c>
      <c r="I327" s="55">
        <v>205626263</v>
      </c>
      <c r="J327" s="55">
        <v>97231</v>
      </c>
      <c r="K327" s="55" t="s">
        <v>484</v>
      </c>
      <c r="L327" s="53" t="s">
        <v>2075</v>
      </c>
      <c r="M327" s="55" t="s">
        <v>49</v>
      </c>
      <c r="N327" s="52">
        <v>2285000000</v>
      </c>
      <c r="O327" s="52">
        <v>2285000000</v>
      </c>
      <c r="P327" s="52">
        <v>2240000000</v>
      </c>
      <c r="Q327" s="57">
        <v>45063</v>
      </c>
      <c r="R327" s="57">
        <v>46848</v>
      </c>
      <c r="S327" s="56">
        <v>10</v>
      </c>
      <c r="T327" s="54">
        <v>6</v>
      </c>
      <c r="U327" s="52">
        <v>1357307637.5</v>
      </c>
      <c r="V327" s="52">
        <v>1357307637.5</v>
      </c>
      <c r="W327" s="52">
        <v>0</v>
      </c>
      <c r="X327" s="57"/>
      <c r="Y327" s="52">
        <v>0</v>
      </c>
      <c r="Z327" s="52">
        <v>0</v>
      </c>
      <c r="AA327" s="52">
        <v>1</v>
      </c>
      <c r="AB327" s="52">
        <v>0</v>
      </c>
      <c r="AC327" s="52">
        <v>3646554.44</v>
      </c>
      <c r="AD327" s="52">
        <v>3646554.44</v>
      </c>
      <c r="AE327" s="52">
        <v>0</v>
      </c>
      <c r="AF327" s="52">
        <v>0</v>
      </c>
      <c r="AG327" s="52">
        <v>0</v>
      </c>
      <c r="AH327" s="52">
        <v>0</v>
      </c>
      <c r="AI327" s="52">
        <v>0</v>
      </c>
      <c r="AJ327" s="52">
        <v>2</v>
      </c>
      <c r="AK327" s="52"/>
      <c r="AL327" s="61">
        <v>804820300</v>
      </c>
      <c r="AM327" s="61">
        <v>61254520</v>
      </c>
      <c r="AN327" s="61">
        <v>2742000000</v>
      </c>
      <c r="AO327" s="52">
        <v>0</v>
      </c>
      <c r="AP327" s="52">
        <v>0</v>
      </c>
      <c r="AQ327" s="58">
        <v>0</v>
      </c>
      <c r="AR327" s="58">
        <v>0</v>
      </c>
      <c r="AS327" s="58">
        <v>0</v>
      </c>
      <c r="AT327" s="58">
        <v>0</v>
      </c>
      <c r="AU327" s="58">
        <v>0</v>
      </c>
      <c r="AV327" s="58">
        <v>0</v>
      </c>
      <c r="AW327" s="58">
        <v>0</v>
      </c>
      <c r="AX327" s="58">
        <v>0</v>
      </c>
    </row>
    <row r="328" spans="1:50" x14ac:dyDescent="0.25">
      <c r="A328" s="52">
        <f t="shared" ref="A328:A391" si="26">+A327+1</f>
        <v>323</v>
      </c>
      <c r="B328" s="60" t="str">
        <f t="shared" si="25"/>
        <v>0048076941</v>
      </c>
      <c r="C328" s="67" t="s">
        <v>28</v>
      </c>
      <c r="D328" s="59" t="s">
        <v>2058</v>
      </c>
      <c r="E328" s="55" t="str">
        <f t="shared" si="24"/>
        <v>00480</v>
      </c>
      <c r="F328" s="53" t="s">
        <v>2074</v>
      </c>
      <c r="G328" s="55" t="s">
        <v>1</v>
      </c>
      <c r="H328" s="60" t="s">
        <v>485</v>
      </c>
      <c r="I328" s="55">
        <v>307441221</v>
      </c>
      <c r="J328" s="55">
        <v>76941</v>
      </c>
      <c r="K328" s="55" t="s">
        <v>486</v>
      </c>
      <c r="L328" s="53" t="s">
        <v>2075</v>
      </c>
      <c r="M328" s="55" t="s">
        <v>49</v>
      </c>
      <c r="N328" s="52">
        <v>1200000000</v>
      </c>
      <c r="O328" s="52">
        <v>1200000000</v>
      </c>
      <c r="P328" s="52">
        <f>+O328</f>
        <v>1200000000</v>
      </c>
      <c r="Q328" s="57">
        <v>44923</v>
      </c>
      <c r="R328" s="57">
        <v>46731</v>
      </c>
      <c r="S328" s="56">
        <v>0</v>
      </c>
      <c r="T328" s="54">
        <v>0</v>
      </c>
      <c r="U328" s="52">
        <v>1066659847.05</v>
      </c>
      <c r="V328" s="52">
        <v>1066659847.05</v>
      </c>
      <c r="W328" s="52">
        <v>0</v>
      </c>
      <c r="X328" s="57"/>
      <c r="Y328" s="52">
        <v>0</v>
      </c>
      <c r="Z328" s="52">
        <v>0</v>
      </c>
      <c r="AA328" s="52">
        <v>1</v>
      </c>
      <c r="AB328" s="52">
        <v>0</v>
      </c>
      <c r="AC328" s="52">
        <v>12452308.860000001</v>
      </c>
      <c r="AD328" s="52">
        <v>0</v>
      </c>
      <c r="AE328" s="52">
        <v>0</v>
      </c>
      <c r="AF328" s="52">
        <v>12043179.050000001</v>
      </c>
      <c r="AG328" s="52">
        <v>409129.81</v>
      </c>
      <c r="AH328" s="52">
        <v>0</v>
      </c>
      <c r="AI328" s="52">
        <v>0</v>
      </c>
      <c r="AJ328" s="52">
        <v>2</v>
      </c>
      <c r="AK328" s="52"/>
      <c r="AL328" s="52">
        <v>0</v>
      </c>
      <c r="AM328" s="52">
        <v>0</v>
      </c>
      <c r="AN328" s="52">
        <v>1560000000</v>
      </c>
      <c r="AO328" s="52">
        <v>605492999.75</v>
      </c>
      <c r="AP328" s="52">
        <v>145000000</v>
      </c>
      <c r="AQ328" s="58">
        <v>0</v>
      </c>
      <c r="AR328" s="58">
        <v>0</v>
      </c>
      <c r="AS328" s="58">
        <v>0</v>
      </c>
      <c r="AT328" s="58">
        <v>0</v>
      </c>
      <c r="AU328" s="58">
        <v>0</v>
      </c>
      <c r="AV328" s="58">
        <v>0</v>
      </c>
      <c r="AW328" s="58">
        <v>0</v>
      </c>
      <c r="AX328" s="58">
        <v>0</v>
      </c>
    </row>
    <row r="329" spans="1:50" x14ac:dyDescent="0.25">
      <c r="A329" s="52">
        <f t="shared" si="26"/>
        <v>324</v>
      </c>
      <c r="B329" s="60" t="str">
        <f t="shared" si="25"/>
        <v>0048096331</v>
      </c>
      <c r="C329" s="67" t="s">
        <v>28</v>
      </c>
      <c r="D329" s="59" t="s">
        <v>2058</v>
      </c>
      <c r="E329" s="55" t="str">
        <f t="shared" si="24"/>
        <v>00480</v>
      </c>
      <c r="F329" s="53" t="s">
        <v>2074</v>
      </c>
      <c r="G329" s="55" t="s">
        <v>1</v>
      </c>
      <c r="H329" s="60" t="s">
        <v>2442</v>
      </c>
      <c r="I329" s="55">
        <v>205387404</v>
      </c>
      <c r="J329" s="55">
        <v>96331</v>
      </c>
      <c r="K329" s="55" t="s">
        <v>487</v>
      </c>
      <c r="L329" s="53" t="s">
        <v>2075</v>
      </c>
      <c r="M329" s="55" t="s">
        <v>49</v>
      </c>
      <c r="N329" s="52">
        <v>2271000000</v>
      </c>
      <c r="O329" s="52">
        <v>2271000000</v>
      </c>
      <c r="P329" s="52">
        <v>2200000000</v>
      </c>
      <c r="Q329" s="57">
        <v>45057</v>
      </c>
      <c r="R329" s="57">
        <v>46848</v>
      </c>
      <c r="S329" s="56">
        <v>10</v>
      </c>
      <c r="T329" s="54">
        <v>6</v>
      </c>
      <c r="U329" s="52">
        <v>1064500000</v>
      </c>
      <c r="V329" s="52">
        <v>1064500000</v>
      </c>
      <c r="W329" s="52">
        <v>0</v>
      </c>
      <c r="X329" s="57"/>
      <c r="Y329" s="52">
        <v>0</v>
      </c>
      <c r="Z329" s="52">
        <v>0</v>
      </c>
      <c r="AA329" s="52">
        <v>1</v>
      </c>
      <c r="AB329" s="52">
        <v>0</v>
      </c>
      <c r="AC329" s="52">
        <v>0</v>
      </c>
      <c r="AD329" s="52">
        <v>0</v>
      </c>
      <c r="AE329" s="52">
        <v>0</v>
      </c>
      <c r="AF329" s="52">
        <v>0</v>
      </c>
      <c r="AG329" s="52">
        <v>0</v>
      </c>
      <c r="AH329" s="52">
        <v>0</v>
      </c>
      <c r="AI329" s="52">
        <v>0</v>
      </c>
      <c r="AJ329" s="52">
        <v>2</v>
      </c>
      <c r="AK329" s="52"/>
      <c r="AL329" s="61">
        <v>4455000</v>
      </c>
      <c r="AM329" s="52">
        <v>0</v>
      </c>
      <c r="AN329" s="61">
        <v>2725200000</v>
      </c>
      <c r="AO329" s="52">
        <v>0</v>
      </c>
      <c r="AP329" s="52">
        <v>0</v>
      </c>
      <c r="AQ329" s="58">
        <v>0</v>
      </c>
      <c r="AR329" s="58">
        <v>0</v>
      </c>
      <c r="AS329" s="58">
        <v>0</v>
      </c>
      <c r="AT329" s="58">
        <v>0</v>
      </c>
      <c r="AU329" s="58">
        <v>0</v>
      </c>
      <c r="AV329" s="58">
        <v>0</v>
      </c>
      <c r="AW329" s="58">
        <v>1</v>
      </c>
      <c r="AX329" s="58">
        <v>18500</v>
      </c>
    </row>
    <row r="330" spans="1:50" x14ac:dyDescent="0.25">
      <c r="A330" s="52">
        <f t="shared" si="26"/>
        <v>325</v>
      </c>
      <c r="B330" s="60" t="str">
        <f t="shared" si="25"/>
        <v>00480224331</v>
      </c>
      <c r="C330" s="67" t="s">
        <v>28</v>
      </c>
      <c r="D330" s="59" t="s">
        <v>2058</v>
      </c>
      <c r="E330" s="55" t="str">
        <f t="shared" si="24"/>
        <v>00480</v>
      </c>
      <c r="F330" s="53" t="s">
        <v>2074</v>
      </c>
      <c r="G330" s="55" t="s">
        <v>1</v>
      </c>
      <c r="H330" s="60" t="s">
        <v>488</v>
      </c>
      <c r="I330" s="55">
        <v>203874789</v>
      </c>
      <c r="J330" s="55">
        <v>224331</v>
      </c>
      <c r="K330" s="55" t="s">
        <v>489</v>
      </c>
      <c r="L330" s="53" t="s">
        <v>2075</v>
      </c>
      <c r="M330" s="55" t="s">
        <v>91</v>
      </c>
      <c r="N330" s="52">
        <v>598048</v>
      </c>
      <c r="O330" s="52">
        <v>1013709301.4400001</v>
      </c>
      <c r="P330" s="52">
        <f>+O330</f>
        <v>1013709301.4400001</v>
      </c>
      <c r="Q330" s="57">
        <v>45722</v>
      </c>
      <c r="R330" s="57">
        <v>47547</v>
      </c>
      <c r="S330" s="56">
        <v>10</v>
      </c>
      <c r="T330" s="54">
        <v>12</v>
      </c>
      <c r="U330" s="52">
        <v>1050471312</v>
      </c>
      <c r="V330" s="52">
        <v>1050471312</v>
      </c>
      <c r="W330" s="52">
        <v>0</v>
      </c>
      <c r="X330" s="57"/>
      <c r="Y330" s="52">
        <v>0</v>
      </c>
      <c r="Z330" s="52">
        <v>0</v>
      </c>
      <c r="AA330" s="52">
        <v>1</v>
      </c>
      <c r="AB330" s="52">
        <v>0</v>
      </c>
      <c r="AC330" s="52">
        <v>8748845.4600000009</v>
      </c>
      <c r="AD330" s="52">
        <v>7770615.4800000004</v>
      </c>
      <c r="AE330" s="52">
        <v>0</v>
      </c>
      <c r="AF330" s="52">
        <v>0</v>
      </c>
      <c r="AG330" s="52">
        <v>978229.98</v>
      </c>
      <c r="AH330" s="52">
        <v>0</v>
      </c>
      <c r="AI330" s="52">
        <v>0</v>
      </c>
      <c r="AJ330" s="52">
        <v>2</v>
      </c>
      <c r="AK330" s="52"/>
      <c r="AL330" s="61">
        <v>45873000</v>
      </c>
      <c r="AM330" s="52">
        <v>0</v>
      </c>
      <c r="AN330" s="61">
        <v>1255600000</v>
      </c>
      <c r="AO330" s="52">
        <v>0</v>
      </c>
      <c r="AP330" s="52">
        <v>0</v>
      </c>
      <c r="AQ330" s="58">
        <v>0</v>
      </c>
      <c r="AR330" s="58">
        <v>0</v>
      </c>
      <c r="AS330" s="58">
        <v>0</v>
      </c>
      <c r="AT330" s="58">
        <v>0</v>
      </c>
      <c r="AU330" s="58">
        <v>0</v>
      </c>
      <c r="AV330" s="58">
        <v>0</v>
      </c>
      <c r="AW330" s="58">
        <v>0</v>
      </c>
      <c r="AX330" s="58">
        <v>0</v>
      </c>
    </row>
    <row r="331" spans="1:50" x14ac:dyDescent="0.25">
      <c r="A331" s="52">
        <f t="shared" si="26"/>
        <v>326</v>
      </c>
      <c r="B331" s="60" t="str">
        <f t="shared" si="25"/>
        <v>0048039037</v>
      </c>
      <c r="C331" s="67" t="s">
        <v>28</v>
      </c>
      <c r="D331" s="59" t="s">
        <v>2058</v>
      </c>
      <c r="E331" s="55" t="str">
        <f t="shared" si="24"/>
        <v>00480</v>
      </c>
      <c r="F331" s="53" t="s">
        <v>2074</v>
      </c>
      <c r="G331" s="55" t="s">
        <v>1</v>
      </c>
      <c r="H331" s="60" t="s">
        <v>490</v>
      </c>
      <c r="I331" s="55">
        <v>202381572</v>
      </c>
      <c r="J331" s="55">
        <v>39037</v>
      </c>
      <c r="K331" s="55" t="s">
        <v>491</v>
      </c>
      <c r="L331" s="53" t="s">
        <v>2075</v>
      </c>
      <c r="M331" s="55" t="s">
        <v>49</v>
      </c>
      <c r="N331" s="52">
        <v>1200000000</v>
      </c>
      <c r="O331" s="52">
        <v>1200000000</v>
      </c>
      <c r="P331" s="52">
        <v>1200000000</v>
      </c>
      <c r="Q331" s="57">
        <v>44559</v>
      </c>
      <c r="R331" s="57">
        <v>45947</v>
      </c>
      <c r="S331" s="56">
        <v>22.99</v>
      </c>
      <c r="T331" s="54">
        <v>3</v>
      </c>
      <c r="U331" s="52">
        <v>1037381844.8200001</v>
      </c>
      <c r="V331" s="52">
        <v>1037381844.8200001</v>
      </c>
      <c r="W331" s="52">
        <v>0</v>
      </c>
      <c r="X331" s="57"/>
      <c r="Y331" s="52">
        <v>0</v>
      </c>
      <c r="Z331" s="52">
        <v>0</v>
      </c>
      <c r="AA331" s="52">
        <v>1</v>
      </c>
      <c r="AB331" s="52">
        <v>0</v>
      </c>
      <c r="AC331" s="52">
        <v>812370730.51999998</v>
      </c>
      <c r="AD331" s="52">
        <v>493008882.81999999</v>
      </c>
      <c r="AE331" s="52">
        <v>0</v>
      </c>
      <c r="AF331" s="52">
        <v>319361847.69999999</v>
      </c>
      <c r="AG331" s="52">
        <v>0</v>
      </c>
      <c r="AH331" s="52">
        <v>0</v>
      </c>
      <c r="AI331" s="52">
        <v>0</v>
      </c>
      <c r="AJ331" s="52">
        <v>2</v>
      </c>
      <c r="AK331" s="52"/>
      <c r="AL331" s="52">
        <v>0</v>
      </c>
      <c r="AM331" s="52">
        <v>0</v>
      </c>
      <c r="AN331" s="52">
        <v>1500000000</v>
      </c>
      <c r="AO331" s="52">
        <v>1386403713</v>
      </c>
      <c r="AP331" s="52">
        <v>16261815518</v>
      </c>
      <c r="AQ331" s="58">
        <v>0</v>
      </c>
      <c r="AR331" s="58">
        <v>0</v>
      </c>
      <c r="AS331" s="58">
        <v>0</v>
      </c>
      <c r="AT331" s="58">
        <v>0</v>
      </c>
      <c r="AU331" s="58">
        <v>0</v>
      </c>
      <c r="AV331" s="58">
        <v>0</v>
      </c>
      <c r="AW331" s="58">
        <v>0</v>
      </c>
      <c r="AX331" s="58">
        <v>0</v>
      </c>
    </row>
    <row r="332" spans="1:50" x14ac:dyDescent="0.25">
      <c r="A332" s="52">
        <f t="shared" si="26"/>
        <v>327</v>
      </c>
      <c r="B332" s="60" t="str">
        <f t="shared" si="25"/>
        <v>0048094337</v>
      </c>
      <c r="C332" s="67" t="s">
        <v>28</v>
      </c>
      <c r="D332" s="59" t="s">
        <v>2058</v>
      </c>
      <c r="E332" s="55" t="str">
        <f t="shared" si="24"/>
        <v>00480</v>
      </c>
      <c r="F332" s="53" t="s">
        <v>2074</v>
      </c>
      <c r="G332" s="55" t="s">
        <v>1</v>
      </c>
      <c r="H332" s="60" t="s">
        <v>492</v>
      </c>
      <c r="I332" s="55">
        <v>204030287</v>
      </c>
      <c r="J332" s="55">
        <v>94337</v>
      </c>
      <c r="K332" s="55" t="s">
        <v>493</v>
      </c>
      <c r="L332" s="53" t="s">
        <v>2075</v>
      </c>
      <c r="M332" s="55" t="s">
        <v>49</v>
      </c>
      <c r="N332" s="52">
        <v>1780000000</v>
      </c>
      <c r="O332" s="52">
        <v>1780000000</v>
      </c>
      <c r="P332" s="52">
        <v>1780000000</v>
      </c>
      <c r="Q332" s="57">
        <v>45044</v>
      </c>
      <c r="R332" s="57">
        <v>46848</v>
      </c>
      <c r="S332" s="56">
        <v>10</v>
      </c>
      <c r="T332" s="54">
        <v>6</v>
      </c>
      <c r="U332" s="52">
        <v>943490922.71000004</v>
      </c>
      <c r="V332" s="52">
        <v>943490922.71000004</v>
      </c>
      <c r="W332" s="52">
        <v>0</v>
      </c>
      <c r="X332" s="57"/>
      <c r="Y332" s="52">
        <v>0</v>
      </c>
      <c r="Z332" s="52">
        <v>0</v>
      </c>
      <c r="AA332" s="52">
        <v>1</v>
      </c>
      <c r="AB332" s="52">
        <v>0</v>
      </c>
      <c r="AC332" s="52">
        <v>0</v>
      </c>
      <c r="AD332" s="52">
        <v>0</v>
      </c>
      <c r="AE332" s="52">
        <v>0</v>
      </c>
      <c r="AF332" s="52">
        <v>0</v>
      </c>
      <c r="AG332" s="52">
        <v>0</v>
      </c>
      <c r="AH332" s="52">
        <v>0</v>
      </c>
      <c r="AI332" s="52">
        <v>0</v>
      </c>
      <c r="AJ332" s="52">
        <v>2</v>
      </c>
      <c r="AK332" s="52"/>
      <c r="AL332" s="61">
        <v>482474000</v>
      </c>
      <c r="AM332" s="61">
        <v>210117000</v>
      </c>
      <c r="AN332" s="61">
        <v>2136000000</v>
      </c>
      <c r="AO332" s="52">
        <v>0</v>
      </c>
      <c r="AP332" s="52">
        <v>0</v>
      </c>
      <c r="AQ332" s="58">
        <v>0</v>
      </c>
      <c r="AR332" s="58">
        <v>0</v>
      </c>
      <c r="AS332" s="58">
        <v>0</v>
      </c>
      <c r="AT332" s="58">
        <v>0</v>
      </c>
      <c r="AU332" s="58">
        <v>0</v>
      </c>
      <c r="AV332" s="58">
        <v>0</v>
      </c>
      <c r="AW332" s="58">
        <v>0</v>
      </c>
      <c r="AX332" s="58">
        <v>0</v>
      </c>
    </row>
    <row r="333" spans="1:50" x14ac:dyDescent="0.25">
      <c r="A333" s="52">
        <f t="shared" si="26"/>
        <v>328</v>
      </c>
      <c r="B333" s="60" t="str">
        <f t="shared" si="25"/>
        <v>0048083161</v>
      </c>
      <c r="C333" s="67" t="s">
        <v>28</v>
      </c>
      <c r="D333" s="59" t="s">
        <v>2058</v>
      </c>
      <c r="E333" s="55" t="str">
        <f t="shared" si="24"/>
        <v>00480</v>
      </c>
      <c r="F333" s="53" t="s">
        <v>2074</v>
      </c>
      <c r="G333" s="55" t="s">
        <v>1</v>
      </c>
      <c r="H333" s="60" t="s">
        <v>494</v>
      </c>
      <c r="I333" s="55">
        <v>300896261</v>
      </c>
      <c r="J333" s="55">
        <v>83161</v>
      </c>
      <c r="K333" s="55" t="s">
        <v>495</v>
      </c>
      <c r="L333" s="53" t="s">
        <v>2075</v>
      </c>
      <c r="M333" s="55" t="s">
        <v>49</v>
      </c>
      <c r="N333" s="52">
        <v>2000000000</v>
      </c>
      <c r="O333" s="52">
        <v>2000000000</v>
      </c>
      <c r="P333" s="52">
        <v>2000000000</v>
      </c>
      <c r="Q333" s="57">
        <v>44978</v>
      </c>
      <c r="R333" s="57">
        <v>46757</v>
      </c>
      <c r="S333" s="56">
        <v>5</v>
      </c>
      <c r="T333" s="54">
        <v>6</v>
      </c>
      <c r="U333" s="52">
        <v>800000000</v>
      </c>
      <c r="V333" s="52">
        <v>800000000</v>
      </c>
      <c r="W333" s="52">
        <v>0</v>
      </c>
      <c r="X333" s="57"/>
      <c r="Y333" s="52">
        <v>0</v>
      </c>
      <c r="Z333" s="52">
        <v>0</v>
      </c>
      <c r="AA333" s="52">
        <v>1</v>
      </c>
      <c r="AB333" s="52">
        <v>0</v>
      </c>
      <c r="AC333" s="52">
        <v>2958904.11</v>
      </c>
      <c r="AD333" s="52">
        <v>2958904.11</v>
      </c>
      <c r="AE333" s="52">
        <v>0</v>
      </c>
      <c r="AF333" s="52">
        <v>0</v>
      </c>
      <c r="AG333" s="52">
        <v>0</v>
      </c>
      <c r="AH333" s="52">
        <v>0</v>
      </c>
      <c r="AI333" s="52">
        <v>0</v>
      </c>
      <c r="AJ333" s="52">
        <v>2</v>
      </c>
      <c r="AK333" s="52"/>
      <c r="AL333" s="52">
        <v>0</v>
      </c>
      <c r="AM333" s="52">
        <v>0</v>
      </c>
      <c r="AN333" s="61">
        <v>2403240000</v>
      </c>
      <c r="AO333" s="52">
        <v>0</v>
      </c>
      <c r="AP333" s="52">
        <v>0</v>
      </c>
      <c r="AQ333" s="58">
        <v>0</v>
      </c>
      <c r="AR333" s="58">
        <v>0</v>
      </c>
      <c r="AS333" s="58">
        <v>0</v>
      </c>
      <c r="AT333" s="58">
        <v>0</v>
      </c>
      <c r="AU333" s="58">
        <v>3</v>
      </c>
      <c r="AV333" s="58">
        <v>93000</v>
      </c>
      <c r="AW333" s="58">
        <v>0</v>
      </c>
      <c r="AX333" s="58">
        <v>0</v>
      </c>
    </row>
    <row r="334" spans="1:50" x14ac:dyDescent="0.25">
      <c r="A334" s="52">
        <f t="shared" si="26"/>
        <v>329</v>
      </c>
      <c r="B334" s="60" t="str">
        <f t="shared" si="25"/>
        <v>0048084227</v>
      </c>
      <c r="C334" s="67" t="s">
        <v>28</v>
      </c>
      <c r="D334" s="59" t="s">
        <v>2058</v>
      </c>
      <c r="E334" s="55" t="str">
        <f t="shared" si="24"/>
        <v>00480</v>
      </c>
      <c r="F334" s="53" t="s">
        <v>2074</v>
      </c>
      <c r="G334" s="55" t="s">
        <v>1</v>
      </c>
      <c r="H334" s="60" t="s">
        <v>2443</v>
      </c>
      <c r="I334" s="55">
        <v>306575238</v>
      </c>
      <c r="J334" s="55">
        <v>84227</v>
      </c>
      <c r="K334" s="55" t="s">
        <v>496</v>
      </c>
      <c r="L334" s="53" t="s">
        <v>2075</v>
      </c>
      <c r="M334" s="55" t="s">
        <v>49</v>
      </c>
      <c r="N334" s="52">
        <v>1195000000</v>
      </c>
      <c r="O334" s="52">
        <v>1195000000</v>
      </c>
      <c r="P334" s="52">
        <v>1195000000</v>
      </c>
      <c r="Q334" s="57">
        <v>45015</v>
      </c>
      <c r="R334" s="57">
        <v>46757</v>
      </c>
      <c r="S334" s="56">
        <v>5</v>
      </c>
      <c r="T334" s="54">
        <v>6</v>
      </c>
      <c r="U334" s="52">
        <v>597500000</v>
      </c>
      <c r="V334" s="52">
        <v>597500000</v>
      </c>
      <c r="W334" s="52">
        <v>0</v>
      </c>
      <c r="X334" s="57"/>
      <c r="Y334" s="52">
        <v>0</v>
      </c>
      <c r="Z334" s="52">
        <v>0</v>
      </c>
      <c r="AA334" s="52">
        <v>1</v>
      </c>
      <c r="AB334" s="52">
        <v>0</v>
      </c>
      <c r="AC334" s="52">
        <v>245547.95</v>
      </c>
      <c r="AD334" s="52">
        <v>245547.95</v>
      </c>
      <c r="AE334" s="52">
        <v>0</v>
      </c>
      <c r="AF334" s="52">
        <v>0</v>
      </c>
      <c r="AG334" s="52">
        <v>0</v>
      </c>
      <c r="AH334" s="52">
        <v>0</v>
      </c>
      <c r="AI334" s="52">
        <v>0</v>
      </c>
      <c r="AJ334" s="52">
        <v>2</v>
      </c>
      <c r="AK334" s="52"/>
      <c r="AL334" s="61">
        <v>1769679</v>
      </c>
      <c r="AM334" s="61">
        <v>550000</v>
      </c>
      <c r="AN334" s="61">
        <v>1434000000</v>
      </c>
      <c r="AO334" s="61">
        <v>16955585248</v>
      </c>
      <c r="AP334" s="61">
        <v>6955585248</v>
      </c>
      <c r="AQ334" s="58">
        <v>0</v>
      </c>
      <c r="AR334" s="58">
        <v>0</v>
      </c>
      <c r="AS334" s="58">
        <v>0</v>
      </c>
      <c r="AT334" s="58">
        <v>0</v>
      </c>
      <c r="AU334" s="58">
        <v>0</v>
      </c>
      <c r="AV334" s="58">
        <v>0</v>
      </c>
      <c r="AW334" s="58">
        <v>0</v>
      </c>
      <c r="AX334" s="58">
        <v>0</v>
      </c>
    </row>
    <row r="335" spans="1:50" x14ac:dyDescent="0.25">
      <c r="A335" s="52">
        <f t="shared" si="26"/>
        <v>330</v>
      </c>
      <c r="B335" s="60" t="str">
        <f t="shared" si="25"/>
        <v>00480118811</v>
      </c>
      <c r="C335" s="67" t="s">
        <v>28</v>
      </c>
      <c r="D335" s="59" t="s">
        <v>2058</v>
      </c>
      <c r="E335" s="55" t="str">
        <f t="shared" si="24"/>
        <v>00480</v>
      </c>
      <c r="F335" s="53" t="s">
        <v>2074</v>
      </c>
      <c r="G335" s="55" t="s">
        <v>1</v>
      </c>
      <c r="H335" s="60" t="s">
        <v>2441</v>
      </c>
      <c r="I335" s="55">
        <v>205626263</v>
      </c>
      <c r="J335" s="55">
        <v>118811</v>
      </c>
      <c r="K335" s="55" t="s">
        <v>497</v>
      </c>
      <c r="L335" s="53" t="s">
        <v>2075</v>
      </c>
      <c r="M335" s="55" t="s">
        <v>49</v>
      </c>
      <c r="N335" s="52">
        <v>501550000</v>
      </c>
      <c r="O335" s="52">
        <v>501550000</v>
      </c>
      <c r="P335" s="52">
        <v>501550000</v>
      </c>
      <c r="Q335" s="57">
        <v>45219</v>
      </c>
      <c r="R335" s="57">
        <v>47031</v>
      </c>
      <c r="S335" s="56">
        <v>23.99</v>
      </c>
      <c r="T335" s="54">
        <v>6</v>
      </c>
      <c r="U335" s="52">
        <v>351085000</v>
      </c>
      <c r="V335" s="52">
        <v>351085000</v>
      </c>
      <c r="W335" s="52">
        <v>0</v>
      </c>
      <c r="X335" s="57"/>
      <c r="Y335" s="52">
        <v>0</v>
      </c>
      <c r="Z335" s="52">
        <v>0</v>
      </c>
      <c r="AA335" s="52">
        <v>1</v>
      </c>
      <c r="AB335" s="52">
        <v>0</v>
      </c>
      <c r="AC335" s="52">
        <v>0</v>
      </c>
      <c r="AD335" s="52">
        <v>0</v>
      </c>
      <c r="AE335" s="52">
        <v>0</v>
      </c>
      <c r="AF335" s="52">
        <v>0</v>
      </c>
      <c r="AG335" s="52">
        <v>0</v>
      </c>
      <c r="AH335" s="52">
        <v>0</v>
      </c>
      <c r="AI335" s="52">
        <v>0</v>
      </c>
      <c r="AJ335" s="52">
        <v>2</v>
      </c>
      <c r="AK335" s="52"/>
      <c r="AL335" s="61">
        <v>804820300</v>
      </c>
      <c r="AM335" s="61">
        <v>61254520</v>
      </c>
      <c r="AN335" s="61">
        <v>601860000</v>
      </c>
      <c r="AO335" s="52">
        <v>0</v>
      </c>
      <c r="AP335" s="52">
        <v>0</v>
      </c>
      <c r="AQ335" s="58">
        <v>0</v>
      </c>
      <c r="AR335" s="58">
        <v>0</v>
      </c>
      <c r="AS335" s="58">
        <v>0</v>
      </c>
      <c r="AT335" s="58">
        <v>0</v>
      </c>
      <c r="AU335" s="58">
        <v>0</v>
      </c>
      <c r="AV335" s="58">
        <v>0</v>
      </c>
      <c r="AW335" s="58">
        <v>0</v>
      </c>
      <c r="AX335" s="58">
        <v>0</v>
      </c>
    </row>
    <row r="336" spans="1:50" x14ac:dyDescent="0.25">
      <c r="A336" s="52">
        <f t="shared" si="26"/>
        <v>331</v>
      </c>
      <c r="B336" s="60" t="str">
        <f t="shared" si="25"/>
        <v>0048047283</v>
      </c>
      <c r="C336" s="67" t="s">
        <v>28</v>
      </c>
      <c r="D336" s="59" t="s">
        <v>2058</v>
      </c>
      <c r="E336" s="55" t="str">
        <f t="shared" si="24"/>
        <v>00480</v>
      </c>
      <c r="F336" s="53" t="s">
        <v>2074</v>
      </c>
      <c r="G336" s="55" t="s">
        <v>1</v>
      </c>
      <c r="H336" s="60" t="s">
        <v>2444</v>
      </c>
      <c r="I336" s="55">
        <v>308035654</v>
      </c>
      <c r="J336" s="55">
        <v>47283</v>
      </c>
      <c r="K336" s="55" t="s">
        <v>498</v>
      </c>
      <c r="L336" s="53" t="s">
        <v>2075</v>
      </c>
      <c r="M336" s="55" t="s">
        <v>49</v>
      </c>
      <c r="N336" s="52">
        <v>4500000000</v>
      </c>
      <c r="O336" s="52">
        <v>4500000000</v>
      </c>
      <c r="P336" s="52">
        <v>4500000000</v>
      </c>
      <c r="Q336" s="57">
        <v>44670</v>
      </c>
      <c r="R336" s="57">
        <v>46127</v>
      </c>
      <c r="S336" s="56">
        <v>22.99</v>
      </c>
      <c r="T336" s="54">
        <v>6</v>
      </c>
      <c r="U336" s="52">
        <v>281250000</v>
      </c>
      <c r="V336" s="52">
        <v>281250000</v>
      </c>
      <c r="W336" s="52">
        <v>0</v>
      </c>
      <c r="X336" s="57"/>
      <c r="Y336" s="52">
        <v>0</v>
      </c>
      <c r="Z336" s="52">
        <v>0</v>
      </c>
      <c r="AA336" s="52">
        <v>1</v>
      </c>
      <c r="AB336" s="52">
        <v>0</v>
      </c>
      <c r="AC336" s="52">
        <v>0</v>
      </c>
      <c r="AD336" s="52">
        <v>0</v>
      </c>
      <c r="AE336" s="52">
        <v>0</v>
      </c>
      <c r="AF336" s="52">
        <v>0</v>
      </c>
      <c r="AG336" s="52">
        <v>0</v>
      </c>
      <c r="AH336" s="52">
        <v>0</v>
      </c>
      <c r="AI336" s="52">
        <v>0</v>
      </c>
      <c r="AJ336" s="52">
        <v>2</v>
      </c>
      <c r="AK336" s="52"/>
      <c r="AL336" s="61">
        <v>1099654437</v>
      </c>
      <c r="AM336" s="52">
        <v>0</v>
      </c>
      <c r="AN336" s="61">
        <v>5400000000</v>
      </c>
      <c r="AO336" s="61">
        <v>34012695378</v>
      </c>
      <c r="AP336" s="61">
        <v>34012695378</v>
      </c>
      <c r="AQ336" s="58">
        <v>0</v>
      </c>
      <c r="AR336" s="58">
        <v>0</v>
      </c>
      <c r="AS336" s="58">
        <v>0</v>
      </c>
      <c r="AT336" s="58">
        <v>0</v>
      </c>
      <c r="AU336" s="58">
        <v>0</v>
      </c>
      <c r="AV336" s="58">
        <v>0</v>
      </c>
      <c r="AW336" s="58">
        <v>2</v>
      </c>
      <c r="AX336" s="58">
        <v>30500</v>
      </c>
    </row>
    <row r="337" spans="1:50" x14ac:dyDescent="0.25">
      <c r="A337" s="52">
        <f t="shared" si="26"/>
        <v>332</v>
      </c>
      <c r="B337" s="60" t="str">
        <f t="shared" si="25"/>
        <v>00480229569</v>
      </c>
      <c r="C337" s="67" t="s">
        <v>28</v>
      </c>
      <c r="D337" s="59" t="s">
        <v>2058</v>
      </c>
      <c r="E337" s="55" t="str">
        <f t="shared" si="24"/>
        <v>00480</v>
      </c>
      <c r="F337" s="53" t="s">
        <v>2074</v>
      </c>
      <c r="G337" s="55" t="s">
        <v>1</v>
      </c>
      <c r="H337" s="60" t="s">
        <v>2444</v>
      </c>
      <c r="I337" s="55">
        <v>308035654</v>
      </c>
      <c r="J337" s="55">
        <v>229569</v>
      </c>
      <c r="K337" s="55" t="s">
        <v>499</v>
      </c>
      <c r="L337" s="53" t="s">
        <v>2075</v>
      </c>
      <c r="M337" s="55" t="s">
        <v>49</v>
      </c>
      <c r="N337" s="52">
        <v>730000000</v>
      </c>
      <c r="O337" s="52">
        <v>730000000</v>
      </c>
      <c r="P337" s="52">
        <v>730000000</v>
      </c>
      <c r="Q337" s="57">
        <v>45740</v>
      </c>
      <c r="R337" s="57">
        <v>46269</v>
      </c>
      <c r="S337" s="56">
        <v>10</v>
      </c>
      <c r="T337" s="54">
        <v>6</v>
      </c>
      <c r="U337" s="52">
        <v>243333334</v>
      </c>
      <c r="V337" s="52">
        <v>243333334</v>
      </c>
      <c r="W337" s="52">
        <v>0</v>
      </c>
      <c r="X337" s="57"/>
      <c r="Y337" s="52">
        <v>0</v>
      </c>
      <c r="Z337" s="52">
        <v>0</v>
      </c>
      <c r="AA337" s="52">
        <v>1</v>
      </c>
      <c r="AB337" s="52">
        <v>0</v>
      </c>
      <c r="AC337" s="52">
        <v>0</v>
      </c>
      <c r="AD337" s="52">
        <v>0</v>
      </c>
      <c r="AE337" s="52">
        <v>0</v>
      </c>
      <c r="AF337" s="52">
        <v>0</v>
      </c>
      <c r="AG337" s="52">
        <v>0</v>
      </c>
      <c r="AH337" s="52">
        <v>0</v>
      </c>
      <c r="AI337" s="52">
        <v>0</v>
      </c>
      <c r="AJ337" s="52">
        <v>2</v>
      </c>
      <c r="AK337" s="52"/>
      <c r="AL337" s="61">
        <v>1099654437</v>
      </c>
      <c r="AM337" s="52">
        <v>248414666.31</v>
      </c>
      <c r="AN337" s="61">
        <v>876000000</v>
      </c>
      <c r="AO337" s="61">
        <v>2106988192</v>
      </c>
      <c r="AP337" s="61">
        <v>2106988192</v>
      </c>
      <c r="AQ337" s="58">
        <v>0</v>
      </c>
      <c r="AR337" s="58">
        <v>0</v>
      </c>
      <c r="AS337" s="58">
        <v>0</v>
      </c>
      <c r="AT337" s="58">
        <v>0</v>
      </c>
      <c r="AU337" s="58">
        <v>0</v>
      </c>
      <c r="AV337" s="58">
        <v>0</v>
      </c>
      <c r="AW337" s="58">
        <v>2</v>
      </c>
      <c r="AX337" s="58">
        <v>30500</v>
      </c>
    </row>
    <row r="338" spans="1:50" x14ac:dyDescent="0.25">
      <c r="A338" s="52">
        <f t="shared" si="26"/>
        <v>333</v>
      </c>
      <c r="B338" s="60" t="str">
        <f t="shared" si="25"/>
        <v>00480146914</v>
      </c>
      <c r="C338" s="67" t="s">
        <v>28</v>
      </c>
      <c r="D338" s="59" t="s">
        <v>2058</v>
      </c>
      <c r="E338" s="55" t="str">
        <f t="shared" si="24"/>
        <v>00480</v>
      </c>
      <c r="F338" s="53" t="s">
        <v>2074</v>
      </c>
      <c r="G338" s="55" t="s">
        <v>1</v>
      </c>
      <c r="H338" s="60" t="s">
        <v>2443</v>
      </c>
      <c r="I338" s="55">
        <v>306575238</v>
      </c>
      <c r="J338" s="55">
        <v>146914</v>
      </c>
      <c r="K338" s="55" t="s">
        <v>500</v>
      </c>
      <c r="L338" s="53" t="s">
        <v>2075</v>
      </c>
      <c r="M338" s="55" t="s">
        <v>49</v>
      </c>
      <c r="N338" s="52">
        <v>241344196</v>
      </c>
      <c r="O338" s="52">
        <v>241344196</v>
      </c>
      <c r="P338" s="52">
        <v>241344196</v>
      </c>
      <c r="Q338" s="57">
        <v>45441</v>
      </c>
      <c r="R338" s="57">
        <v>47266</v>
      </c>
      <c r="S338" s="56">
        <v>14</v>
      </c>
      <c r="T338" s="54">
        <v>24</v>
      </c>
      <c r="U338" s="52">
        <v>241344196</v>
      </c>
      <c r="V338" s="52">
        <v>241344196</v>
      </c>
      <c r="W338" s="52">
        <v>0</v>
      </c>
      <c r="X338" s="57"/>
      <c r="Y338" s="52">
        <v>0</v>
      </c>
      <c r="Z338" s="52">
        <v>0</v>
      </c>
      <c r="AA338" s="52">
        <v>1</v>
      </c>
      <c r="AB338" s="52">
        <v>0</v>
      </c>
      <c r="AC338" s="52">
        <v>277711.13</v>
      </c>
      <c r="AD338" s="52">
        <v>277711.13</v>
      </c>
      <c r="AE338" s="52">
        <v>0</v>
      </c>
      <c r="AF338" s="52">
        <v>0</v>
      </c>
      <c r="AG338" s="52">
        <v>0</v>
      </c>
      <c r="AH338" s="52">
        <v>0</v>
      </c>
      <c r="AI338" s="52">
        <v>0</v>
      </c>
      <c r="AJ338" s="52">
        <v>2</v>
      </c>
      <c r="AK338" s="52"/>
      <c r="AL338" s="61">
        <v>1769679</v>
      </c>
      <c r="AM338" s="61">
        <v>550000</v>
      </c>
      <c r="AN338" s="61">
        <v>289613035</v>
      </c>
      <c r="AO338" s="61">
        <v>1256628275</v>
      </c>
      <c r="AP338" s="61">
        <v>756000000</v>
      </c>
      <c r="AQ338" s="58">
        <v>0</v>
      </c>
      <c r="AR338" s="58">
        <v>0</v>
      </c>
      <c r="AS338" s="58">
        <v>0</v>
      </c>
      <c r="AT338" s="58">
        <v>0</v>
      </c>
      <c r="AU338" s="58">
        <v>0</v>
      </c>
      <c r="AV338" s="58">
        <v>0</v>
      </c>
      <c r="AW338" s="58">
        <v>0</v>
      </c>
      <c r="AX338" s="58">
        <v>0</v>
      </c>
    </row>
    <row r="339" spans="1:50" x14ac:dyDescent="0.25">
      <c r="A339" s="52">
        <f t="shared" si="26"/>
        <v>334</v>
      </c>
      <c r="B339" s="60" t="str">
        <f t="shared" si="25"/>
        <v>0048047280</v>
      </c>
      <c r="C339" s="67" t="s">
        <v>28</v>
      </c>
      <c r="D339" s="59" t="s">
        <v>2058</v>
      </c>
      <c r="E339" s="55" t="str">
        <f t="shared" si="24"/>
        <v>00480</v>
      </c>
      <c r="F339" s="53" t="s">
        <v>2074</v>
      </c>
      <c r="G339" s="55" t="s">
        <v>1</v>
      </c>
      <c r="H339" s="60" t="s">
        <v>2443</v>
      </c>
      <c r="I339" s="55">
        <v>306575238</v>
      </c>
      <c r="J339" s="55">
        <v>47280</v>
      </c>
      <c r="K339" s="55" t="s">
        <v>501</v>
      </c>
      <c r="L339" s="53" t="s">
        <v>2075</v>
      </c>
      <c r="M339" s="55" t="s">
        <v>49</v>
      </c>
      <c r="N339" s="52">
        <v>1400000000</v>
      </c>
      <c r="O339" s="52">
        <v>1400000000</v>
      </c>
      <c r="P339" s="52">
        <v>1400000000</v>
      </c>
      <c r="Q339" s="57">
        <v>44670</v>
      </c>
      <c r="R339" s="57">
        <v>46457</v>
      </c>
      <c r="S339" s="56">
        <v>14</v>
      </c>
      <c r="T339" s="54">
        <v>0</v>
      </c>
      <c r="U339" s="52">
        <v>203649600.05000001</v>
      </c>
      <c r="V339" s="52">
        <v>203649600.05000001</v>
      </c>
      <c r="W339" s="52">
        <v>0</v>
      </c>
      <c r="X339" s="57"/>
      <c r="Y339" s="52">
        <v>0</v>
      </c>
      <c r="Z339" s="52">
        <v>0</v>
      </c>
      <c r="AA339" s="52">
        <v>1</v>
      </c>
      <c r="AB339" s="52">
        <v>0</v>
      </c>
      <c r="AC339" s="52">
        <v>234336.53</v>
      </c>
      <c r="AD339" s="52">
        <v>234336.53</v>
      </c>
      <c r="AE339" s="52">
        <v>0</v>
      </c>
      <c r="AF339" s="52">
        <v>0</v>
      </c>
      <c r="AG339" s="52">
        <v>0</v>
      </c>
      <c r="AH339" s="52">
        <v>0</v>
      </c>
      <c r="AI339" s="52">
        <v>0</v>
      </c>
      <c r="AJ339" s="52">
        <v>2</v>
      </c>
      <c r="AK339" s="52"/>
      <c r="AL339" s="52">
        <v>0</v>
      </c>
      <c r="AM339" s="52">
        <v>0</v>
      </c>
      <c r="AN339" s="52">
        <v>1400000000</v>
      </c>
      <c r="AO339" s="52">
        <v>1900000000</v>
      </c>
      <c r="AP339" s="52">
        <v>1500000000</v>
      </c>
      <c r="AQ339" s="58">
        <v>0</v>
      </c>
      <c r="AR339" s="58">
        <v>0</v>
      </c>
      <c r="AS339" s="58">
        <v>0</v>
      </c>
      <c r="AT339" s="58">
        <v>0</v>
      </c>
      <c r="AU339" s="58">
        <v>0</v>
      </c>
      <c r="AV339" s="58">
        <v>0</v>
      </c>
      <c r="AW339" s="58">
        <v>0</v>
      </c>
      <c r="AX339" s="58">
        <v>0</v>
      </c>
    </row>
    <row r="340" spans="1:50" x14ac:dyDescent="0.25">
      <c r="A340" s="52">
        <f t="shared" si="26"/>
        <v>335</v>
      </c>
      <c r="B340" s="60" t="str">
        <f t="shared" si="25"/>
        <v>00480227772</v>
      </c>
      <c r="C340" s="67" t="s">
        <v>28</v>
      </c>
      <c r="D340" s="59" t="s">
        <v>2058</v>
      </c>
      <c r="E340" s="55" t="str">
        <f t="shared" si="24"/>
        <v>00480</v>
      </c>
      <c r="F340" s="53" t="s">
        <v>2074</v>
      </c>
      <c r="G340" s="55" t="s">
        <v>1</v>
      </c>
      <c r="H340" s="60" t="s">
        <v>502</v>
      </c>
      <c r="I340" s="55">
        <v>310764871</v>
      </c>
      <c r="J340" s="55">
        <v>227772</v>
      </c>
      <c r="K340" s="55" t="s">
        <v>503</v>
      </c>
      <c r="L340" s="53" t="s">
        <v>2075</v>
      </c>
      <c r="M340" s="55" t="s">
        <v>49</v>
      </c>
      <c r="N340" s="52">
        <v>300000000</v>
      </c>
      <c r="O340" s="52">
        <v>300000000</v>
      </c>
      <c r="P340" s="52">
        <v>300000000</v>
      </c>
      <c r="Q340" s="57">
        <v>45740</v>
      </c>
      <c r="R340" s="57">
        <v>46269</v>
      </c>
      <c r="S340" s="56">
        <v>28.9</v>
      </c>
      <c r="T340" s="54">
        <v>0</v>
      </c>
      <c r="U340" s="52">
        <v>159817060.91</v>
      </c>
      <c r="V340" s="52">
        <v>159817060.91</v>
      </c>
      <c r="W340" s="52">
        <v>0</v>
      </c>
      <c r="X340" s="57"/>
      <c r="Y340" s="52">
        <v>0</v>
      </c>
      <c r="Z340" s="52">
        <v>0</v>
      </c>
      <c r="AA340" s="52">
        <v>1</v>
      </c>
      <c r="AB340" s="52">
        <v>0</v>
      </c>
      <c r="AC340" s="52">
        <v>0</v>
      </c>
      <c r="AD340" s="52">
        <v>0</v>
      </c>
      <c r="AE340" s="52">
        <v>0</v>
      </c>
      <c r="AF340" s="52">
        <v>0</v>
      </c>
      <c r="AG340" s="52">
        <v>0</v>
      </c>
      <c r="AH340" s="52">
        <v>0</v>
      </c>
      <c r="AI340" s="52">
        <v>0</v>
      </c>
      <c r="AJ340" s="52">
        <v>2</v>
      </c>
      <c r="AK340" s="52"/>
      <c r="AL340" s="52">
        <v>0</v>
      </c>
      <c r="AM340" s="52">
        <v>0</v>
      </c>
      <c r="AN340" s="52">
        <v>360000000</v>
      </c>
      <c r="AO340" s="52">
        <v>647029806</v>
      </c>
      <c r="AP340" s="52">
        <v>80000000</v>
      </c>
      <c r="AQ340" s="58">
        <v>0</v>
      </c>
      <c r="AR340" s="58">
        <v>0</v>
      </c>
      <c r="AS340" s="58">
        <v>0</v>
      </c>
      <c r="AT340" s="58">
        <v>0</v>
      </c>
      <c r="AU340" s="58">
        <v>0</v>
      </c>
      <c r="AV340" s="58">
        <v>0</v>
      </c>
      <c r="AW340" s="58">
        <v>0</v>
      </c>
      <c r="AX340" s="58">
        <v>0</v>
      </c>
    </row>
    <row r="341" spans="1:50" x14ac:dyDescent="0.25">
      <c r="A341" s="52">
        <f t="shared" si="26"/>
        <v>336</v>
      </c>
      <c r="B341" s="60" t="str">
        <f t="shared" si="25"/>
        <v>0048224638</v>
      </c>
      <c r="C341" s="67" t="s">
        <v>28</v>
      </c>
      <c r="D341" s="59" t="s">
        <v>2058</v>
      </c>
      <c r="E341" s="55" t="str">
        <f t="shared" si="24"/>
        <v>00482</v>
      </c>
      <c r="F341" s="53" t="s">
        <v>2076</v>
      </c>
      <c r="G341" s="55" t="s">
        <v>17</v>
      </c>
      <c r="H341" s="60" t="s">
        <v>2445</v>
      </c>
      <c r="I341" s="55">
        <v>307528444</v>
      </c>
      <c r="J341" s="55">
        <v>24638</v>
      </c>
      <c r="K341" s="55" t="s">
        <v>504</v>
      </c>
      <c r="L341" s="53" t="s">
        <v>2077</v>
      </c>
      <c r="M341" s="55" t="s">
        <v>75</v>
      </c>
      <c r="N341" s="52">
        <v>1900000</v>
      </c>
      <c r="O341" s="52">
        <v>22928744000</v>
      </c>
      <c r="P341" s="52">
        <v>1900000</v>
      </c>
      <c r="Q341" s="57">
        <v>44120</v>
      </c>
      <c r="R341" s="57">
        <v>48380</v>
      </c>
      <c r="S341" s="56">
        <v>8</v>
      </c>
      <c r="T341" s="54">
        <v>12</v>
      </c>
      <c r="U341" s="52">
        <v>23178290000</v>
      </c>
      <c r="V341" s="52">
        <v>23178290000</v>
      </c>
      <c r="W341" s="52">
        <v>0</v>
      </c>
      <c r="X341" s="57"/>
      <c r="Y341" s="52">
        <v>0</v>
      </c>
      <c r="Z341" s="52">
        <v>0</v>
      </c>
      <c r="AA341" s="52">
        <v>1</v>
      </c>
      <c r="AB341" s="52">
        <v>0</v>
      </c>
      <c r="AC341" s="52">
        <v>5218165.03</v>
      </c>
      <c r="AD341" s="52">
        <v>5218165.03</v>
      </c>
      <c r="AE341" s="52">
        <v>0</v>
      </c>
      <c r="AF341" s="52">
        <v>0</v>
      </c>
      <c r="AG341" s="52">
        <v>0</v>
      </c>
      <c r="AH341" s="52">
        <v>0</v>
      </c>
      <c r="AI341" s="52">
        <v>0</v>
      </c>
      <c r="AJ341" s="52">
        <v>2</v>
      </c>
      <c r="AK341" s="52"/>
      <c r="AL341" s="52">
        <v>0</v>
      </c>
      <c r="AM341" s="52">
        <v>0</v>
      </c>
      <c r="AN341" s="52">
        <v>79700000000</v>
      </c>
      <c r="AO341" s="52">
        <v>56984516655</v>
      </c>
      <c r="AP341" s="52">
        <v>56984516655</v>
      </c>
      <c r="AQ341" s="58">
        <v>0</v>
      </c>
      <c r="AR341" s="58">
        <v>0</v>
      </c>
      <c r="AS341" s="58">
        <v>0</v>
      </c>
      <c r="AT341" s="58">
        <v>0</v>
      </c>
      <c r="AU341" s="58">
        <v>0</v>
      </c>
      <c r="AV341" s="58">
        <v>0</v>
      </c>
      <c r="AW341" s="58">
        <v>15</v>
      </c>
      <c r="AX341" s="58">
        <v>2564544.0100000002</v>
      </c>
    </row>
    <row r="342" spans="1:50" x14ac:dyDescent="0.25">
      <c r="A342" s="52">
        <f t="shared" si="26"/>
        <v>337</v>
      </c>
      <c r="B342" s="60" t="str">
        <f t="shared" si="25"/>
        <v>0048221955</v>
      </c>
      <c r="C342" s="67" t="s">
        <v>28</v>
      </c>
      <c r="D342" s="59" t="s">
        <v>2058</v>
      </c>
      <c r="E342" s="55" t="str">
        <f t="shared" si="24"/>
        <v>00482</v>
      </c>
      <c r="F342" s="53" t="s">
        <v>2076</v>
      </c>
      <c r="G342" s="55" t="s">
        <v>17</v>
      </c>
      <c r="H342" s="60" t="s">
        <v>2446</v>
      </c>
      <c r="I342" s="55">
        <v>201497870</v>
      </c>
      <c r="J342" s="55">
        <v>21955</v>
      </c>
      <c r="K342" s="55" t="s">
        <v>505</v>
      </c>
      <c r="L342" s="53" t="s">
        <v>2077</v>
      </c>
      <c r="M342" s="55" t="s">
        <v>75</v>
      </c>
      <c r="N342" s="52">
        <v>1450000</v>
      </c>
      <c r="O342" s="52">
        <v>17498252000</v>
      </c>
      <c r="P342" s="52">
        <v>1450000</v>
      </c>
      <c r="Q342" s="57">
        <v>43907</v>
      </c>
      <c r="R342" s="57">
        <v>49000</v>
      </c>
      <c r="S342" s="56">
        <v>10</v>
      </c>
      <c r="T342" s="54">
        <v>72</v>
      </c>
      <c r="U342" s="52">
        <v>17640541004.610001</v>
      </c>
      <c r="V342" s="52">
        <v>17640541004.610001</v>
      </c>
      <c r="W342" s="52">
        <v>0</v>
      </c>
      <c r="X342" s="57"/>
      <c r="Y342" s="52">
        <v>0</v>
      </c>
      <c r="Z342" s="52">
        <v>0</v>
      </c>
      <c r="AA342" s="52">
        <v>1</v>
      </c>
      <c r="AB342" s="52">
        <v>0</v>
      </c>
      <c r="AC342" s="52">
        <v>775915338.12</v>
      </c>
      <c r="AD342" s="52">
        <v>756743354.54999995</v>
      </c>
      <c r="AE342" s="52">
        <v>0</v>
      </c>
      <c r="AF342" s="52">
        <v>0</v>
      </c>
      <c r="AG342" s="52">
        <v>19171983.57</v>
      </c>
      <c r="AH342" s="52">
        <v>0</v>
      </c>
      <c r="AI342" s="52">
        <v>0</v>
      </c>
      <c r="AJ342" s="52">
        <v>2</v>
      </c>
      <c r="AK342" s="52"/>
      <c r="AL342" s="52">
        <v>0</v>
      </c>
      <c r="AM342" s="52">
        <v>0</v>
      </c>
      <c r="AN342" s="52">
        <v>1830000</v>
      </c>
      <c r="AO342" s="52">
        <v>15297</v>
      </c>
      <c r="AP342" s="52">
        <v>0</v>
      </c>
      <c r="AQ342" s="58">
        <v>0</v>
      </c>
      <c r="AR342" s="58">
        <v>0</v>
      </c>
      <c r="AS342" s="58">
        <v>0</v>
      </c>
      <c r="AT342" s="58">
        <v>0</v>
      </c>
      <c r="AU342" s="58">
        <v>0</v>
      </c>
      <c r="AV342" s="58">
        <v>0</v>
      </c>
      <c r="AW342" s="58">
        <v>3</v>
      </c>
      <c r="AX342" s="58">
        <v>1450000</v>
      </c>
    </row>
    <row r="343" spans="1:50" x14ac:dyDescent="0.25">
      <c r="A343" s="52">
        <f t="shared" si="26"/>
        <v>338</v>
      </c>
      <c r="B343" s="60" t="str">
        <f t="shared" si="25"/>
        <v>0048227210</v>
      </c>
      <c r="C343" s="67" t="s">
        <v>28</v>
      </c>
      <c r="D343" s="59" t="s">
        <v>2058</v>
      </c>
      <c r="E343" s="55" t="str">
        <f t="shared" si="24"/>
        <v>00482</v>
      </c>
      <c r="F343" s="53" t="s">
        <v>2076</v>
      </c>
      <c r="G343" s="55" t="s">
        <v>17</v>
      </c>
      <c r="H343" s="60" t="s">
        <v>2445</v>
      </c>
      <c r="I343" s="55">
        <v>307528444</v>
      </c>
      <c r="J343" s="55">
        <v>27210</v>
      </c>
      <c r="K343" s="55" t="s">
        <v>506</v>
      </c>
      <c r="L343" s="53" t="s">
        <v>2077</v>
      </c>
      <c r="M343" s="55" t="s">
        <v>75</v>
      </c>
      <c r="N343" s="52">
        <v>1300000</v>
      </c>
      <c r="O343" s="52">
        <v>15688088000</v>
      </c>
      <c r="P343" s="52">
        <v>1300000</v>
      </c>
      <c r="Q343" s="57">
        <v>44279</v>
      </c>
      <c r="R343" s="57">
        <v>48903</v>
      </c>
      <c r="S343" s="56">
        <v>8</v>
      </c>
      <c r="T343" s="54">
        <v>12</v>
      </c>
      <c r="U343" s="52">
        <v>15858830000</v>
      </c>
      <c r="V343" s="52">
        <v>15858830000</v>
      </c>
      <c r="W343" s="52">
        <v>0</v>
      </c>
      <c r="X343" s="57"/>
      <c r="Y343" s="52">
        <v>0</v>
      </c>
      <c r="Z343" s="52">
        <v>0</v>
      </c>
      <c r="AA343" s="52">
        <v>1</v>
      </c>
      <c r="AB343" s="52">
        <v>0</v>
      </c>
      <c r="AC343" s="52">
        <v>0</v>
      </c>
      <c r="AD343" s="52">
        <v>0</v>
      </c>
      <c r="AE343" s="52">
        <v>0</v>
      </c>
      <c r="AF343" s="52">
        <v>0</v>
      </c>
      <c r="AG343" s="52">
        <v>0</v>
      </c>
      <c r="AH343" s="52">
        <v>0</v>
      </c>
      <c r="AI343" s="52">
        <v>0</v>
      </c>
      <c r="AJ343" s="52">
        <v>2</v>
      </c>
      <c r="AK343" s="52"/>
      <c r="AL343" s="52">
        <v>0</v>
      </c>
      <c r="AM343" s="52">
        <v>0</v>
      </c>
      <c r="AN343" s="52">
        <v>67200000000</v>
      </c>
      <c r="AO343" s="52">
        <v>56984516655</v>
      </c>
      <c r="AP343" s="52">
        <v>56984516655</v>
      </c>
      <c r="AQ343" s="58">
        <v>0</v>
      </c>
      <c r="AR343" s="58">
        <v>0</v>
      </c>
      <c r="AS343" s="58">
        <v>0</v>
      </c>
      <c r="AT343" s="58">
        <v>0</v>
      </c>
      <c r="AU343" s="58">
        <v>0</v>
      </c>
      <c r="AV343" s="58">
        <v>0</v>
      </c>
      <c r="AW343" s="58">
        <v>15</v>
      </c>
      <c r="AX343" s="58">
        <v>2564544.0100000002</v>
      </c>
    </row>
    <row r="344" spans="1:50" x14ac:dyDescent="0.25">
      <c r="A344" s="52">
        <f t="shared" si="26"/>
        <v>339</v>
      </c>
      <c r="B344" s="60" t="str">
        <f t="shared" si="25"/>
        <v>0048228836</v>
      </c>
      <c r="C344" s="67" t="s">
        <v>28</v>
      </c>
      <c r="D344" s="59" t="s">
        <v>2058</v>
      </c>
      <c r="E344" s="55" t="str">
        <f t="shared" si="24"/>
        <v>00482</v>
      </c>
      <c r="F344" s="53" t="s">
        <v>2076</v>
      </c>
      <c r="G344" s="55" t="s">
        <v>17</v>
      </c>
      <c r="H344" s="60" t="s">
        <v>2445</v>
      </c>
      <c r="I344" s="55">
        <v>307528444</v>
      </c>
      <c r="J344" s="55">
        <v>28836</v>
      </c>
      <c r="K344" s="55" t="s">
        <v>507</v>
      </c>
      <c r="L344" s="53" t="s">
        <v>2077</v>
      </c>
      <c r="M344" s="55" t="s">
        <v>71</v>
      </c>
      <c r="N344" s="52">
        <v>1083000</v>
      </c>
      <c r="O344" s="52">
        <v>15314703000</v>
      </c>
      <c r="P344" s="52">
        <v>1083000</v>
      </c>
      <c r="Q344" s="57">
        <v>44313</v>
      </c>
      <c r="R344" s="57">
        <v>47447</v>
      </c>
      <c r="S344" s="56">
        <v>7.468</v>
      </c>
      <c r="T344" s="54">
        <v>9</v>
      </c>
      <c r="U344" s="52">
        <v>15652184727.17</v>
      </c>
      <c r="V344" s="52">
        <v>15652184727.17</v>
      </c>
      <c r="W344" s="52">
        <v>0</v>
      </c>
      <c r="X344" s="57"/>
      <c r="Y344" s="52">
        <v>0</v>
      </c>
      <c r="Z344" s="52">
        <v>0</v>
      </c>
      <c r="AA344" s="52">
        <v>1</v>
      </c>
      <c r="AB344" s="52">
        <v>0</v>
      </c>
      <c r="AC344" s="52">
        <v>931413.43</v>
      </c>
      <c r="AD344" s="52">
        <v>931413.43</v>
      </c>
      <c r="AE344" s="52">
        <v>0</v>
      </c>
      <c r="AF344" s="52">
        <v>0</v>
      </c>
      <c r="AG344" s="52">
        <v>0</v>
      </c>
      <c r="AH344" s="52">
        <v>0</v>
      </c>
      <c r="AI344" s="52">
        <v>0</v>
      </c>
      <c r="AJ344" s="52">
        <v>2</v>
      </c>
      <c r="AK344" s="52"/>
      <c r="AL344" s="52">
        <v>0</v>
      </c>
      <c r="AM344" s="52">
        <v>0</v>
      </c>
      <c r="AN344" s="52">
        <v>79700000000</v>
      </c>
      <c r="AO344" s="52">
        <v>56984516655</v>
      </c>
      <c r="AP344" s="52">
        <v>56984516655</v>
      </c>
      <c r="AQ344" s="58">
        <v>0</v>
      </c>
      <c r="AR344" s="58">
        <v>0</v>
      </c>
      <c r="AS344" s="58">
        <v>0</v>
      </c>
      <c r="AT344" s="58">
        <v>0</v>
      </c>
      <c r="AU344" s="58">
        <v>0</v>
      </c>
      <c r="AV344" s="58">
        <v>0</v>
      </c>
      <c r="AW344" s="58">
        <v>15</v>
      </c>
      <c r="AX344" s="58">
        <v>2564544.0100000002</v>
      </c>
    </row>
    <row r="345" spans="1:50" x14ac:dyDescent="0.25">
      <c r="A345" s="52">
        <f t="shared" si="26"/>
        <v>340</v>
      </c>
      <c r="B345" s="60" t="str">
        <f t="shared" si="25"/>
        <v>0048227212</v>
      </c>
      <c r="C345" s="67" t="s">
        <v>28</v>
      </c>
      <c r="D345" s="59" t="s">
        <v>2058</v>
      </c>
      <c r="E345" s="55" t="str">
        <f t="shared" si="24"/>
        <v>00482</v>
      </c>
      <c r="F345" s="53" t="s">
        <v>2076</v>
      </c>
      <c r="G345" s="55" t="s">
        <v>17</v>
      </c>
      <c r="H345" s="60" t="s">
        <v>2445</v>
      </c>
      <c r="I345" s="55">
        <v>307528444</v>
      </c>
      <c r="J345" s="55">
        <v>27212</v>
      </c>
      <c r="K345" s="55" t="s">
        <v>508</v>
      </c>
      <c r="L345" s="53" t="s">
        <v>2077</v>
      </c>
      <c r="M345" s="55" t="s">
        <v>71</v>
      </c>
      <c r="N345" s="52">
        <v>818800</v>
      </c>
      <c r="O345" s="52">
        <v>11578650800</v>
      </c>
      <c r="P345" s="52">
        <v>818800</v>
      </c>
      <c r="Q345" s="57">
        <v>44279</v>
      </c>
      <c r="R345" s="57">
        <v>47807</v>
      </c>
      <c r="S345" s="56">
        <v>5.3920000000000003</v>
      </c>
      <c r="T345" s="54">
        <v>9</v>
      </c>
      <c r="U345" s="52">
        <v>11942037173.620001</v>
      </c>
      <c r="V345" s="52">
        <v>11942037173.620001</v>
      </c>
      <c r="W345" s="52">
        <v>0</v>
      </c>
      <c r="X345" s="57"/>
      <c r="Y345" s="52">
        <v>0</v>
      </c>
      <c r="Z345" s="52">
        <v>0</v>
      </c>
      <c r="AA345" s="52">
        <v>1</v>
      </c>
      <c r="AB345" s="52">
        <v>0</v>
      </c>
      <c r="AC345" s="52">
        <v>0</v>
      </c>
      <c r="AD345" s="52">
        <v>0</v>
      </c>
      <c r="AE345" s="52">
        <v>0</v>
      </c>
      <c r="AF345" s="52">
        <v>0</v>
      </c>
      <c r="AG345" s="52">
        <v>0</v>
      </c>
      <c r="AH345" s="52">
        <v>0</v>
      </c>
      <c r="AI345" s="52">
        <v>0</v>
      </c>
      <c r="AJ345" s="52">
        <v>2</v>
      </c>
      <c r="AK345" s="52"/>
      <c r="AL345" s="52">
        <v>0</v>
      </c>
      <c r="AM345" s="52">
        <v>0</v>
      </c>
      <c r="AN345" s="52">
        <v>67200000000</v>
      </c>
      <c r="AO345" s="52">
        <v>56984516655</v>
      </c>
      <c r="AP345" s="52">
        <v>56984516655</v>
      </c>
      <c r="AQ345" s="58">
        <v>0</v>
      </c>
      <c r="AR345" s="58">
        <v>0</v>
      </c>
      <c r="AS345" s="58">
        <v>0</v>
      </c>
      <c r="AT345" s="58">
        <v>0</v>
      </c>
      <c r="AU345" s="58">
        <v>0</v>
      </c>
      <c r="AV345" s="58">
        <v>0</v>
      </c>
      <c r="AW345" s="58">
        <v>15</v>
      </c>
      <c r="AX345" s="58">
        <v>2564544.0100000002</v>
      </c>
    </row>
    <row r="346" spans="1:50" x14ac:dyDescent="0.25">
      <c r="A346" s="52">
        <f t="shared" si="26"/>
        <v>341</v>
      </c>
      <c r="B346" s="60" t="str">
        <f t="shared" si="25"/>
        <v>0048258728</v>
      </c>
      <c r="C346" s="67" t="s">
        <v>28</v>
      </c>
      <c r="D346" s="59" t="s">
        <v>2058</v>
      </c>
      <c r="E346" s="55" t="str">
        <f t="shared" si="24"/>
        <v>00482</v>
      </c>
      <c r="F346" s="53" t="s">
        <v>2076</v>
      </c>
      <c r="G346" s="55" t="s">
        <v>17</v>
      </c>
      <c r="H346" s="60" t="s">
        <v>509</v>
      </c>
      <c r="I346" s="55">
        <v>306192145</v>
      </c>
      <c r="J346" s="55">
        <v>58728</v>
      </c>
      <c r="K346" s="55" t="s">
        <v>510</v>
      </c>
      <c r="L346" s="53" t="s">
        <v>2077</v>
      </c>
      <c r="M346" s="55" t="s">
        <v>49</v>
      </c>
      <c r="N346" s="52">
        <v>8200000000</v>
      </c>
      <c r="O346" s="52">
        <v>8200000000</v>
      </c>
      <c r="P346" s="52">
        <v>8200000000</v>
      </c>
      <c r="Q346" s="57">
        <v>44747</v>
      </c>
      <c r="R346" s="57">
        <v>46615</v>
      </c>
      <c r="S346" s="56">
        <v>14</v>
      </c>
      <c r="T346" s="54">
        <v>24</v>
      </c>
      <c r="U346" s="52">
        <v>6432437034.1599998</v>
      </c>
      <c r="V346" s="52">
        <v>6139320958.3199997</v>
      </c>
      <c r="W346" s="52">
        <v>293116075.83999997</v>
      </c>
      <c r="X346" s="57">
        <v>46016</v>
      </c>
      <c r="Y346" s="52">
        <v>0</v>
      </c>
      <c r="Z346" s="52">
        <v>0</v>
      </c>
      <c r="AA346" s="52">
        <v>1</v>
      </c>
      <c r="AB346" s="52">
        <v>0</v>
      </c>
      <c r="AC346" s="52">
        <v>93501660.070000008</v>
      </c>
      <c r="AD346" s="52">
        <v>14128848.23</v>
      </c>
      <c r="AE346" s="52">
        <v>0</v>
      </c>
      <c r="AF346" s="52">
        <v>0</v>
      </c>
      <c r="AG346" s="52">
        <v>79372811.840000004</v>
      </c>
      <c r="AH346" s="52">
        <v>0</v>
      </c>
      <c r="AI346" s="52">
        <v>0</v>
      </c>
      <c r="AJ346" s="52">
        <v>2</v>
      </c>
      <c r="AK346" s="52"/>
      <c r="AL346" s="52">
        <v>3321649639</v>
      </c>
      <c r="AM346" s="52">
        <v>623210463</v>
      </c>
      <c r="AN346" s="52">
        <v>6969825000</v>
      </c>
      <c r="AO346" s="52">
        <v>56688652699</v>
      </c>
      <c r="AP346" s="52">
        <v>18514559641</v>
      </c>
      <c r="AQ346" s="58">
        <v>0</v>
      </c>
      <c r="AR346" s="58">
        <v>0</v>
      </c>
      <c r="AS346" s="58">
        <v>0</v>
      </c>
      <c r="AT346" s="58">
        <v>0</v>
      </c>
      <c r="AU346" s="58">
        <v>13</v>
      </c>
      <c r="AV346" s="58">
        <v>112700</v>
      </c>
      <c r="AW346" s="58">
        <v>7</v>
      </c>
      <c r="AX346" s="58">
        <v>473210.63</v>
      </c>
    </row>
    <row r="347" spans="1:50" x14ac:dyDescent="0.25">
      <c r="A347" s="52">
        <f t="shared" si="26"/>
        <v>342</v>
      </c>
      <c r="B347" s="60" t="str">
        <f t="shared" si="25"/>
        <v>00482167754</v>
      </c>
      <c r="C347" s="67" t="s">
        <v>28</v>
      </c>
      <c r="D347" s="59" t="s">
        <v>2058</v>
      </c>
      <c r="E347" s="55" t="str">
        <f t="shared" si="24"/>
        <v>00482</v>
      </c>
      <c r="F347" s="53" t="s">
        <v>2076</v>
      </c>
      <c r="G347" s="55" t="s">
        <v>17</v>
      </c>
      <c r="H347" s="60" t="s">
        <v>2445</v>
      </c>
      <c r="I347" s="55">
        <v>307528444</v>
      </c>
      <c r="J347" s="55">
        <v>167754</v>
      </c>
      <c r="K347" s="55" t="s">
        <v>511</v>
      </c>
      <c r="L347" s="53" t="s">
        <v>2077</v>
      </c>
      <c r="M347" s="55" t="s">
        <v>75</v>
      </c>
      <c r="N347" s="52">
        <v>447200</v>
      </c>
      <c r="O347" s="52">
        <v>5396702272</v>
      </c>
      <c r="P347" s="52">
        <v>447200</v>
      </c>
      <c r="Q347" s="57">
        <v>45653</v>
      </c>
      <c r="R347" s="57">
        <v>46015</v>
      </c>
      <c r="S347" s="56">
        <v>4</v>
      </c>
      <c r="T347" s="54">
        <v>3</v>
      </c>
      <c r="U347" s="52">
        <v>5270417064.0600004</v>
      </c>
      <c r="V347" s="52">
        <v>0</v>
      </c>
      <c r="W347" s="52">
        <v>5270417064.0600004</v>
      </c>
      <c r="X347" s="57">
        <v>46029</v>
      </c>
      <c r="Y347" s="52">
        <v>0</v>
      </c>
      <c r="Z347" s="52">
        <v>0</v>
      </c>
      <c r="AA347" s="52">
        <v>1</v>
      </c>
      <c r="AB347" s="52">
        <v>0</v>
      </c>
      <c r="AC347" s="52">
        <v>0</v>
      </c>
      <c r="AD347" s="52">
        <v>0</v>
      </c>
      <c r="AE347" s="52">
        <v>0</v>
      </c>
      <c r="AF347" s="52">
        <v>0</v>
      </c>
      <c r="AG347" s="52">
        <v>0</v>
      </c>
      <c r="AH347" s="52">
        <v>0</v>
      </c>
      <c r="AI347" s="52">
        <v>0</v>
      </c>
      <c r="AJ347" s="52">
        <v>2</v>
      </c>
      <c r="AK347" s="52"/>
      <c r="AL347" s="52">
        <v>0</v>
      </c>
      <c r="AM347" s="52">
        <v>0</v>
      </c>
      <c r="AN347" s="52">
        <v>536640</v>
      </c>
      <c r="AO347" s="52">
        <v>19111189681</v>
      </c>
      <c r="AP347" s="52">
        <v>19111189681</v>
      </c>
      <c r="AQ347" s="58">
        <v>0</v>
      </c>
      <c r="AR347" s="58">
        <v>0</v>
      </c>
      <c r="AS347" s="58">
        <v>0</v>
      </c>
      <c r="AT347" s="58">
        <v>0</v>
      </c>
      <c r="AU347" s="58">
        <v>0</v>
      </c>
      <c r="AV347" s="58">
        <v>0</v>
      </c>
      <c r="AW347" s="58">
        <v>15</v>
      </c>
      <c r="AX347" s="58">
        <v>2564544.0100000002</v>
      </c>
    </row>
    <row r="348" spans="1:50" x14ac:dyDescent="0.25">
      <c r="A348" s="52">
        <f t="shared" si="26"/>
        <v>343</v>
      </c>
      <c r="B348" s="60" t="str">
        <f t="shared" si="25"/>
        <v>0048224962</v>
      </c>
      <c r="C348" s="67" t="s">
        <v>28</v>
      </c>
      <c r="D348" s="59" t="s">
        <v>2058</v>
      </c>
      <c r="E348" s="55" t="str">
        <f t="shared" si="24"/>
        <v>00482</v>
      </c>
      <c r="F348" s="53" t="s">
        <v>2076</v>
      </c>
      <c r="G348" s="55" t="s">
        <v>17</v>
      </c>
      <c r="H348" s="60" t="s">
        <v>2445</v>
      </c>
      <c r="I348" s="55">
        <v>307528444</v>
      </c>
      <c r="J348" s="55">
        <v>24962</v>
      </c>
      <c r="K348" s="55" t="s">
        <v>512</v>
      </c>
      <c r="L348" s="53" t="s">
        <v>2077</v>
      </c>
      <c r="M348" s="55" t="s">
        <v>71</v>
      </c>
      <c r="N348" s="52">
        <v>320000</v>
      </c>
      <c r="O348" s="52">
        <v>4525120000</v>
      </c>
      <c r="P348" s="52">
        <v>320000</v>
      </c>
      <c r="Q348" s="57">
        <v>44140</v>
      </c>
      <c r="R348" s="57">
        <v>48033</v>
      </c>
      <c r="S348" s="56">
        <v>8</v>
      </c>
      <c r="T348" s="54">
        <v>12</v>
      </c>
      <c r="U348" s="52">
        <v>4467307617.21</v>
      </c>
      <c r="V348" s="52">
        <v>4467307617.21</v>
      </c>
      <c r="W348" s="52">
        <v>0</v>
      </c>
      <c r="X348" s="57"/>
      <c r="Y348" s="52">
        <v>0</v>
      </c>
      <c r="Z348" s="52">
        <v>0</v>
      </c>
      <c r="AA348" s="52">
        <v>1</v>
      </c>
      <c r="AB348" s="52">
        <v>0</v>
      </c>
      <c r="AC348" s="52">
        <v>0</v>
      </c>
      <c r="AD348" s="52">
        <v>0</v>
      </c>
      <c r="AE348" s="52">
        <v>0</v>
      </c>
      <c r="AF348" s="52">
        <v>0</v>
      </c>
      <c r="AG348" s="52">
        <v>0</v>
      </c>
      <c r="AH348" s="52">
        <v>0</v>
      </c>
      <c r="AI348" s="52">
        <v>0</v>
      </c>
      <c r="AJ348" s="52">
        <v>2</v>
      </c>
      <c r="AK348" s="52"/>
      <c r="AL348" s="52">
        <v>0</v>
      </c>
      <c r="AM348" s="52">
        <v>0</v>
      </c>
      <c r="AN348" s="52">
        <v>384000</v>
      </c>
      <c r="AO348" s="52">
        <v>56984516655</v>
      </c>
      <c r="AP348" s="52">
        <v>56984516655</v>
      </c>
      <c r="AQ348" s="58">
        <v>0</v>
      </c>
      <c r="AR348" s="58">
        <v>0</v>
      </c>
      <c r="AS348" s="58">
        <v>0</v>
      </c>
      <c r="AT348" s="58">
        <v>0</v>
      </c>
      <c r="AU348" s="58">
        <v>0</v>
      </c>
      <c r="AV348" s="58">
        <v>0</v>
      </c>
      <c r="AW348" s="58">
        <v>15</v>
      </c>
      <c r="AX348" s="58">
        <v>2564544.0100000002</v>
      </c>
    </row>
    <row r="349" spans="1:50" x14ac:dyDescent="0.25">
      <c r="A349" s="52">
        <f t="shared" si="26"/>
        <v>344</v>
      </c>
      <c r="B349" s="60" t="str">
        <f t="shared" si="25"/>
        <v>00482167755</v>
      </c>
      <c r="C349" s="67" t="s">
        <v>28</v>
      </c>
      <c r="D349" s="59" t="s">
        <v>2058</v>
      </c>
      <c r="E349" s="55" t="str">
        <f t="shared" si="24"/>
        <v>00482</v>
      </c>
      <c r="F349" s="53" t="s">
        <v>2076</v>
      </c>
      <c r="G349" s="55" t="s">
        <v>17</v>
      </c>
      <c r="H349" s="60" t="s">
        <v>2445</v>
      </c>
      <c r="I349" s="55">
        <v>307528444</v>
      </c>
      <c r="J349" s="55">
        <v>167755</v>
      </c>
      <c r="K349" s="55" t="s">
        <v>513</v>
      </c>
      <c r="L349" s="53" t="s">
        <v>2077</v>
      </c>
      <c r="M349" s="55" t="s">
        <v>71</v>
      </c>
      <c r="N349" s="52">
        <v>267500</v>
      </c>
      <c r="O349" s="52">
        <v>3782717500</v>
      </c>
      <c r="P349" s="52">
        <v>267500</v>
      </c>
      <c r="Q349" s="57">
        <v>45653</v>
      </c>
      <c r="R349" s="57">
        <v>46015</v>
      </c>
      <c r="S349" s="56">
        <v>4</v>
      </c>
      <c r="T349" s="54">
        <v>3</v>
      </c>
      <c r="U349" s="52">
        <v>3864650459.3899999</v>
      </c>
      <c r="V349" s="52">
        <v>0</v>
      </c>
      <c r="W349" s="52">
        <v>3864650459.3899999</v>
      </c>
      <c r="X349" s="57">
        <v>46029</v>
      </c>
      <c r="Y349" s="52">
        <v>0</v>
      </c>
      <c r="Z349" s="52">
        <v>0</v>
      </c>
      <c r="AA349" s="52">
        <v>1</v>
      </c>
      <c r="AB349" s="52">
        <v>0</v>
      </c>
      <c r="AC349" s="52">
        <v>0</v>
      </c>
      <c r="AD349" s="52">
        <v>0</v>
      </c>
      <c r="AE349" s="52">
        <v>0</v>
      </c>
      <c r="AF349" s="52">
        <v>0</v>
      </c>
      <c r="AG349" s="52">
        <v>0</v>
      </c>
      <c r="AH349" s="52">
        <v>0</v>
      </c>
      <c r="AI349" s="52">
        <v>0</v>
      </c>
      <c r="AJ349" s="52">
        <v>2</v>
      </c>
      <c r="AK349" s="52"/>
      <c r="AL349" s="52">
        <v>0</v>
      </c>
      <c r="AM349" s="52">
        <v>0</v>
      </c>
      <c r="AN349" s="52">
        <v>321000</v>
      </c>
      <c r="AO349" s="52">
        <v>19956172261</v>
      </c>
      <c r="AP349" s="52">
        <v>19956172261</v>
      </c>
      <c r="AQ349" s="58">
        <v>0</v>
      </c>
      <c r="AR349" s="58">
        <v>0</v>
      </c>
      <c r="AS349" s="58">
        <v>0</v>
      </c>
      <c r="AT349" s="58">
        <v>0</v>
      </c>
      <c r="AU349" s="58">
        <v>0</v>
      </c>
      <c r="AV349" s="58">
        <v>0</v>
      </c>
      <c r="AW349" s="58">
        <v>15</v>
      </c>
      <c r="AX349" s="58">
        <v>2564544.0100000002</v>
      </c>
    </row>
    <row r="350" spans="1:50" x14ac:dyDescent="0.25">
      <c r="A350" s="52">
        <f t="shared" si="26"/>
        <v>345</v>
      </c>
      <c r="B350" s="60" t="str">
        <f t="shared" si="25"/>
        <v>0048225599</v>
      </c>
      <c r="C350" s="67" t="s">
        <v>28</v>
      </c>
      <c r="D350" s="59" t="s">
        <v>2058</v>
      </c>
      <c r="E350" s="55" t="str">
        <f t="shared" si="24"/>
        <v>00482</v>
      </c>
      <c r="F350" s="53" t="s">
        <v>2076</v>
      </c>
      <c r="G350" s="55" t="s">
        <v>17</v>
      </c>
      <c r="H350" s="60" t="s">
        <v>2445</v>
      </c>
      <c r="I350" s="55">
        <v>307528444</v>
      </c>
      <c r="J350" s="55">
        <v>25599</v>
      </c>
      <c r="K350" s="55" t="s">
        <v>514</v>
      </c>
      <c r="L350" s="53" t="s">
        <v>2077</v>
      </c>
      <c r="M350" s="55" t="s">
        <v>75</v>
      </c>
      <c r="N350" s="52">
        <v>300000</v>
      </c>
      <c r="O350" s="52">
        <v>3620328000</v>
      </c>
      <c r="P350" s="52">
        <v>300000</v>
      </c>
      <c r="Q350" s="57">
        <v>44172</v>
      </c>
      <c r="R350" s="57">
        <v>48872</v>
      </c>
      <c r="S350" s="56">
        <v>8</v>
      </c>
      <c r="T350" s="54">
        <v>12</v>
      </c>
      <c r="U350" s="52">
        <v>3659729634.0300002</v>
      </c>
      <c r="V350" s="52">
        <v>3659729634.0300002</v>
      </c>
      <c r="W350" s="52">
        <v>0</v>
      </c>
      <c r="X350" s="57"/>
      <c r="Y350" s="52">
        <v>0</v>
      </c>
      <c r="Z350" s="52">
        <v>0</v>
      </c>
      <c r="AA350" s="52">
        <v>1</v>
      </c>
      <c r="AB350" s="52">
        <v>0</v>
      </c>
      <c r="AC350" s="52">
        <v>0</v>
      </c>
      <c r="AD350" s="52">
        <v>0</v>
      </c>
      <c r="AE350" s="52">
        <v>0</v>
      </c>
      <c r="AF350" s="52">
        <v>0</v>
      </c>
      <c r="AG350" s="52">
        <v>0</v>
      </c>
      <c r="AH350" s="52">
        <v>0</v>
      </c>
      <c r="AI350" s="52">
        <v>0</v>
      </c>
      <c r="AJ350" s="52">
        <v>2</v>
      </c>
      <c r="AK350" s="52"/>
      <c r="AL350" s="52">
        <v>0</v>
      </c>
      <c r="AM350" s="52">
        <v>0</v>
      </c>
      <c r="AN350" s="52">
        <v>360000</v>
      </c>
      <c r="AO350" s="52">
        <v>56984516655</v>
      </c>
      <c r="AP350" s="52">
        <v>56984516655</v>
      </c>
      <c r="AQ350" s="58">
        <v>0</v>
      </c>
      <c r="AR350" s="58">
        <v>0</v>
      </c>
      <c r="AS350" s="58">
        <v>0</v>
      </c>
      <c r="AT350" s="58">
        <v>0</v>
      </c>
      <c r="AU350" s="58">
        <v>0</v>
      </c>
      <c r="AV350" s="58">
        <v>0</v>
      </c>
      <c r="AW350" s="58">
        <v>15</v>
      </c>
      <c r="AX350" s="58">
        <v>2564544.0100000002</v>
      </c>
    </row>
    <row r="351" spans="1:50" x14ac:dyDescent="0.25">
      <c r="A351" s="52">
        <f t="shared" si="26"/>
        <v>346</v>
      </c>
      <c r="B351" s="60" t="str">
        <f t="shared" si="25"/>
        <v>00482179011</v>
      </c>
      <c r="C351" s="67" t="s">
        <v>28</v>
      </c>
      <c r="D351" s="59" t="s">
        <v>2058</v>
      </c>
      <c r="E351" s="55" t="str">
        <f t="shared" si="24"/>
        <v>00482</v>
      </c>
      <c r="F351" s="53" t="s">
        <v>2076</v>
      </c>
      <c r="G351" s="55" t="s">
        <v>17</v>
      </c>
      <c r="H351" s="60" t="s">
        <v>2446</v>
      </c>
      <c r="I351" s="55">
        <v>201497870</v>
      </c>
      <c r="J351" s="55">
        <v>179011</v>
      </c>
      <c r="K351" s="55" t="s">
        <v>515</v>
      </c>
      <c r="L351" s="53" t="s">
        <v>2077</v>
      </c>
      <c r="M351" s="55" t="s">
        <v>75</v>
      </c>
      <c r="N351" s="52">
        <v>270000</v>
      </c>
      <c r="O351" s="52">
        <v>3258295200</v>
      </c>
      <c r="P351" s="52">
        <v>270000</v>
      </c>
      <c r="Q351" s="57">
        <v>45740</v>
      </c>
      <c r="R351" s="57">
        <v>46818</v>
      </c>
      <c r="S351" s="56">
        <v>4</v>
      </c>
      <c r="T351" s="54">
        <v>12</v>
      </c>
      <c r="U351" s="52">
        <v>3118947068.77</v>
      </c>
      <c r="V351" s="52">
        <v>3118947068.77</v>
      </c>
      <c r="W351" s="52">
        <v>0</v>
      </c>
      <c r="X351" s="57"/>
      <c r="Y351" s="52">
        <v>0</v>
      </c>
      <c r="Z351" s="52">
        <v>0</v>
      </c>
      <c r="AA351" s="52">
        <v>1</v>
      </c>
      <c r="AB351" s="52">
        <v>0</v>
      </c>
      <c r="AC351" s="52">
        <v>10697634.77</v>
      </c>
      <c r="AD351" s="52">
        <v>9228741.1400000006</v>
      </c>
      <c r="AE351" s="52">
        <v>0</v>
      </c>
      <c r="AF351" s="52">
        <v>0</v>
      </c>
      <c r="AG351" s="52">
        <v>1468893.63</v>
      </c>
      <c r="AH351" s="52">
        <v>0</v>
      </c>
      <c r="AI351" s="52">
        <v>0</v>
      </c>
      <c r="AJ351" s="52">
        <v>2</v>
      </c>
      <c r="AK351" s="52"/>
      <c r="AL351" s="52">
        <v>0</v>
      </c>
      <c r="AM351" s="52">
        <v>0</v>
      </c>
      <c r="AN351" s="52">
        <v>324000</v>
      </c>
      <c r="AO351" s="52">
        <v>15297</v>
      </c>
      <c r="AP351" s="52">
        <v>0</v>
      </c>
      <c r="AQ351" s="58">
        <v>0</v>
      </c>
      <c r="AR351" s="58">
        <v>0</v>
      </c>
      <c r="AS351" s="58">
        <v>0</v>
      </c>
      <c r="AT351" s="58">
        <v>0</v>
      </c>
      <c r="AU351" s="58">
        <v>0</v>
      </c>
      <c r="AV351" s="58">
        <v>0</v>
      </c>
      <c r="AW351" s="58">
        <v>3</v>
      </c>
      <c r="AX351" s="58">
        <v>1450000</v>
      </c>
    </row>
    <row r="352" spans="1:50" x14ac:dyDescent="0.25">
      <c r="A352" s="52">
        <f t="shared" si="26"/>
        <v>347</v>
      </c>
      <c r="B352" s="60" t="str">
        <f t="shared" si="25"/>
        <v>00482131200</v>
      </c>
      <c r="C352" s="67" t="s">
        <v>28</v>
      </c>
      <c r="D352" s="59" t="s">
        <v>2058</v>
      </c>
      <c r="E352" s="55" t="str">
        <f t="shared" si="24"/>
        <v>00482</v>
      </c>
      <c r="F352" s="53" t="s">
        <v>2076</v>
      </c>
      <c r="G352" s="55" t="s">
        <v>17</v>
      </c>
      <c r="H352" s="60" t="s">
        <v>516</v>
      </c>
      <c r="I352" s="55">
        <v>308096262</v>
      </c>
      <c r="J352" s="55">
        <v>131200</v>
      </c>
      <c r="K352" s="55" t="s">
        <v>517</v>
      </c>
      <c r="L352" s="53" t="s">
        <v>2077</v>
      </c>
      <c r="M352" s="55" t="s">
        <v>75</v>
      </c>
      <c r="N352" s="52">
        <v>555000</v>
      </c>
      <c r="O352" s="52">
        <v>6697606800</v>
      </c>
      <c r="P352" s="52">
        <v>555000</v>
      </c>
      <c r="Q352" s="57">
        <v>45328</v>
      </c>
      <c r="R352" s="57">
        <v>45945</v>
      </c>
      <c r="S352" s="56">
        <v>4</v>
      </c>
      <c r="T352" s="54">
        <v>3</v>
      </c>
      <c r="U352" s="52">
        <v>2715257257.3600001</v>
      </c>
      <c r="V352" s="52">
        <v>2715257257.3600001</v>
      </c>
      <c r="W352" s="52">
        <v>0</v>
      </c>
      <c r="X352" s="57"/>
      <c r="Y352" s="52">
        <v>0</v>
      </c>
      <c r="Z352" s="52">
        <v>0</v>
      </c>
      <c r="AA352" s="52">
        <v>1</v>
      </c>
      <c r="AB352" s="52">
        <v>0</v>
      </c>
      <c r="AC352" s="52">
        <v>5029688.93</v>
      </c>
      <c r="AD352" s="52">
        <v>5029688.93</v>
      </c>
      <c r="AE352" s="52">
        <v>0</v>
      </c>
      <c r="AF352" s="52">
        <v>0</v>
      </c>
      <c r="AG352" s="52">
        <v>0</v>
      </c>
      <c r="AH352" s="52">
        <v>0</v>
      </c>
      <c r="AI352" s="52">
        <v>0</v>
      </c>
      <c r="AJ352" s="52">
        <v>2</v>
      </c>
      <c r="AK352" s="52"/>
      <c r="AL352" s="52">
        <v>0</v>
      </c>
      <c r="AM352" s="52">
        <v>0</v>
      </c>
      <c r="AN352" s="52">
        <v>694769</v>
      </c>
      <c r="AO352" s="52">
        <v>60250289</v>
      </c>
      <c r="AP352" s="52">
        <v>60250289</v>
      </c>
      <c r="AQ352" s="58">
        <v>881</v>
      </c>
      <c r="AR352" s="58">
        <v>50560946.669999957</v>
      </c>
      <c r="AS352" s="58">
        <v>139</v>
      </c>
      <c r="AT352" s="58">
        <v>4826758.0000000009</v>
      </c>
      <c r="AU352" s="58">
        <v>91</v>
      </c>
      <c r="AV352" s="58">
        <v>1334154.6399999999</v>
      </c>
      <c r="AW352" s="58">
        <v>0</v>
      </c>
      <c r="AX352" s="58">
        <v>0</v>
      </c>
    </row>
    <row r="353" spans="1:50" x14ac:dyDescent="0.25">
      <c r="A353" s="52">
        <f t="shared" si="26"/>
        <v>348</v>
      </c>
      <c r="B353" s="60" t="str">
        <f t="shared" si="25"/>
        <v>00482179113</v>
      </c>
      <c r="C353" s="67" t="s">
        <v>28</v>
      </c>
      <c r="D353" s="59" t="s">
        <v>2058</v>
      </c>
      <c r="E353" s="55" t="str">
        <f t="shared" si="24"/>
        <v>00482</v>
      </c>
      <c r="F353" s="53" t="s">
        <v>2076</v>
      </c>
      <c r="G353" s="55" t="s">
        <v>17</v>
      </c>
      <c r="H353" s="60" t="s">
        <v>2445</v>
      </c>
      <c r="I353" s="55">
        <v>307528444</v>
      </c>
      <c r="J353" s="55">
        <v>179113</v>
      </c>
      <c r="K353" s="55" t="s">
        <v>518</v>
      </c>
      <c r="L353" s="53" t="s">
        <v>2077</v>
      </c>
      <c r="M353" s="55" t="s">
        <v>75</v>
      </c>
      <c r="N353" s="52">
        <v>150000</v>
      </c>
      <c r="O353" s="52">
        <v>1810164000</v>
      </c>
      <c r="P353" s="52">
        <v>150000</v>
      </c>
      <c r="Q353" s="57">
        <v>45740</v>
      </c>
      <c r="R353" s="57">
        <v>46836</v>
      </c>
      <c r="S353" s="56">
        <v>4</v>
      </c>
      <c r="T353" s="54">
        <v>12</v>
      </c>
      <c r="U353" s="52">
        <v>1829865000</v>
      </c>
      <c r="V353" s="52">
        <v>1829865000</v>
      </c>
      <c r="W353" s="52">
        <v>0</v>
      </c>
      <c r="X353" s="57"/>
      <c r="Y353" s="52">
        <v>0</v>
      </c>
      <c r="Z353" s="52">
        <v>0</v>
      </c>
      <c r="AA353" s="52">
        <v>1</v>
      </c>
      <c r="AB353" s="52">
        <v>0</v>
      </c>
      <c r="AC353" s="52">
        <v>0</v>
      </c>
      <c r="AD353" s="52">
        <v>0</v>
      </c>
      <c r="AE353" s="52">
        <v>0</v>
      </c>
      <c r="AF353" s="52">
        <v>0</v>
      </c>
      <c r="AG353" s="52">
        <v>0</v>
      </c>
      <c r="AH353" s="52">
        <v>0</v>
      </c>
      <c r="AI353" s="52">
        <v>0</v>
      </c>
      <c r="AJ353" s="52">
        <v>2</v>
      </c>
      <c r="AK353" s="52"/>
      <c r="AL353" s="52">
        <v>0</v>
      </c>
      <c r="AM353" s="52">
        <v>0</v>
      </c>
      <c r="AN353" s="52">
        <v>180000</v>
      </c>
      <c r="AO353" s="52">
        <v>12772844015</v>
      </c>
      <c r="AP353" s="52">
        <v>12772844015</v>
      </c>
      <c r="AQ353" s="58">
        <v>0</v>
      </c>
      <c r="AR353" s="58">
        <v>0</v>
      </c>
      <c r="AS353" s="58">
        <v>0</v>
      </c>
      <c r="AT353" s="58">
        <v>0</v>
      </c>
      <c r="AU353" s="58">
        <v>0</v>
      </c>
      <c r="AV353" s="58">
        <v>0</v>
      </c>
      <c r="AW353" s="58">
        <v>15</v>
      </c>
      <c r="AX353" s="58">
        <v>2564544.0100000002</v>
      </c>
    </row>
    <row r="354" spans="1:50" x14ac:dyDescent="0.25">
      <c r="A354" s="52">
        <f t="shared" si="26"/>
        <v>349</v>
      </c>
      <c r="B354" s="60" t="str">
        <f t="shared" si="25"/>
        <v>00482189274</v>
      </c>
      <c r="C354" s="67" t="s">
        <v>28</v>
      </c>
      <c r="D354" s="59" t="s">
        <v>2058</v>
      </c>
      <c r="E354" s="55" t="str">
        <f t="shared" si="24"/>
        <v>00482</v>
      </c>
      <c r="F354" s="53" t="s">
        <v>2076</v>
      </c>
      <c r="G354" s="55" t="s">
        <v>17</v>
      </c>
      <c r="H354" s="60" t="s">
        <v>2445</v>
      </c>
      <c r="I354" s="55">
        <v>307528444</v>
      </c>
      <c r="J354" s="55">
        <v>189274</v>
      </c>
      <c r="K354" s="55" t="s">
        <v>519</v>
      </c>
      <c r="L354" s="53" t="s">
        <v>2077</v>
      </c>
      <c r="M354" s="55" t="s">
        <v>71</v>
      </c>
      <c r="N354" s="52">
        <v>120000</v>
      </c>
      <c r="O354" s="52">
        <v>1696920000</v>
      </c>
      <c r="P354" s="52">
        <v>120000</v>
      </c>
      <c r="Q354" s="57">
        <v>45838</v>
      </c>
      <c r="R354" s="57">
        <v>46927</v>
      </c>
      <c r="S354" s="56">
        <v>4</v>
      </c>
      <c r="T354" s="54">
        <v>12</v>
      </c>
      <c r="U354" s="52">
        <v>1615377317.27</v>
      </c>
      <c r="V354" s="52">
        <v>1615377317.27</v>
      </c>
      <c r="W354" s="52">
        <v>0</v>
      </c>
      <c r="X354" s="57"/>
      <c r="Y354" s="52">
        <v>0</v>
      </c>
      <c r="Z354" s="52">
        <v>0</v>
      </c>
      <c r="AA354" s="52">
        <v>1</v>
      </c>
      <c r="AB354" s="52">
        <v>0</v>
      </c>
      <c r="AC354" s="52">
        <v>42443.05</v>
      </c>
      <c r="AD354" s="52">
        <v>42443.05</v>
      </c>
      <c r="AE354" s="52">
        <v>0</v>
      </c>
      <c r="AF354" s="52">
        <v>0</v>
      </c>
      <c r="AG354" s="52">
        <v>0</v>
      </c>
      <c r="AH354" s="52">
        <v>0</v>
      </c>
      <c r="AI354" s="52">
        <v>0</v>
      </c>
      <c r="AJ354" s="52">
        <v>2</v>
      </c>
      <c r="AK354" s="52"/>
      <c r="AL354" s="52">
        <v>0</v>
      </c>
      <c r="AM354" s="52">
        <v>0</v>
      </c>
      <c r="AN354" s="52">
        <v>144000</v>
      </c>
      <c r="AO354" s="52">
        <v>7238518580</v>
      </c>
      <c r="AP354" s="52">
        <v>7238518580</v>
      </c>
      <c r="AQ354" s="58">
        <v>0</v>
      </c>
      <c r="AR354" s="58">
        <v>0</v>
      </c>
      <c r="AS354" s="58">
        <v>0</v>
      </c>
      <c r="AT354" s="58">
        <v>0</v>
      </c>
      <c r="AU354" s="58">
        <v>0</v>
      </c>
      <c r="AV354" s="58">
        <v>0</v>
      </c>
      <c r="AW354" s="58">
        <v>15</v>
      </c>
      <c r="AX354" s="58">
        <v>2564544.0100000002</v>
      </c>
    </row>
    <row r="355" spans="1:50" x14ac:dyDescent="0.25">
      <c r="A355" s="52">
        <f t="shared" si="26"/>
        <v>350</v>
      </c>
      <c r="B355" s="60" t="str">
        <f t="shared" si="25"/>
        <v>0048250370</v>
      </c>
      <c r="C355" s="67" t="s">
        <v>28</v>
      </c>
      <c r="D355" s="59" t="s">
        <v>2058</v>
      </c>
      <c r="E355" s="55" t="str">
        <f t="shared" si="24"/>
        <v>00482</v>
      </c>
      <c r="F355" s="53" t="s">
        <v>2076</v>
      </c>
      <c r="G355" s="55" t="s">
        <v>17</v>
      </c>
      <c r="H355" s="60" t="s">
        <v>2447</v>
      </c>
      <c r="I355" s="55">
        <v>308972494</v>
      </c>
      <c r="J355" s="55">
        <v>50370</v>
      </c>
      <c r="K355" s="55" t="s">
        <v>520</v>
      </c>
      <c r="L355" s="53" t="s">
        <v>2077</v>
      </c>
      <c r="M355" s="55" t="s">
        <v>49</v>
      </c>
      <c r="N355" s="52">
        <v>2000000000</v>
      </c>
      <c r="O355" s="52">
        <v>2000000000</v>
      </c>
      <c r="P355" s="52">
        <v>2000000000</v>
      </c>
      <c r="Q355" s="57">
        <v>44666</v>
      </c>
      <c r="R355" s="57">
        <v>46489</v>
      </c>
      <c r="S355" s="56">
        <v>14</v>
      </c>
      <c r="T355" s="54">
        <v>24</v>
      </c>
      <c r="U355" s="52">
        <v>818675240.09000003</v>
      </c>
      <c r="V355" s="52">
        <v>818675240.09000003</v>
      </c>
      <c r="W355" s="52">
        <v>0</v>
      </c>
      <c r="X355" s="57"/>
      <c r="Y355" s="52">
        <v>0</v>
      </c>
      <c r="Z355" s="52">
        <v>0</v>
      </c>
      <c r="AA355" s="52">
        <v>1</v>
      </c>
      <c r="AB355" s="52">
        <v>0</v>
      </c>
      <c r="AC355" s="52">
        <v>0</v>
      </c>
      <c r="AD355" s="52">
        <v>0</v>
      </c>
      <c r="AE355" s="52">
        <v>0</v>
      </c>
      <c r="AF355" s="52">
        <v>0</v>
      </c>
      <c r="AG355" s="52">
        <v>0</v>
      </c>
      <c r="AH355" s="52">
        <v>0</v>
      </c>
      <c r="AI355" s="52">
        <v>0</v>
      </c>
      <c r="AJ355" s="52">
        <v>2</v>
      </c>
      <c r="AK355" s="52"/>
      <c r="AL355" s="52">
        <v>0</v>
      </c>
      <c r="AM355" s="52">
        <v>0</v>
      </c>
      <c r="AN355" s="52">
        <v>2500000000</v>
      </c>
      <c r="AO355" s="52">
        <v>429100000</v>
      </c>
      <c r="AP355" s="52">
        <v>359100000</v>
      </c>
      <c r="AQ355" s="58">
        <v>0</v>
      </c>
      <c r="AR355" s="58">
        <v>0</v>
      </c>
      <c r="AS355" s="58">
        <v>0</v>
      </c>
      <c r="AT355" s="58">
        <v>0</v>
      </c>
      <c r="AU355" s="58">
        <v>0</v>
      </c>
      <c r="AV355" s="58">
        <v>0</v>
      </c>
      <c r="AW355" s="58">
        <v>0</v>
      </c>
      <c r="AX355" s="58">
        <v>0</v>
      </c>
    </row>
    <row r="356" spans="1:50" x14ac:dyDescent="0.25">
      <c r="A356" s="52">
        <f t="shared" si="26"/>
        <v>351</v>
      </c>
      <c r="B356" s="60" t="str">
        <f t="shared" si="25"/>
        <v>00482179124</v>
      </c>
      <c r="C356" s="67" t="s">
        <v>28</v>
      </c>
      <c r="D356" s="59" t="s">
        <v>2058</v>
      </c>
      <c r="E356" s="55" t="str">
        <f t="shared" si="24"/>
        <v>00482</v>
      </c>
      <c r="F356" s="53" t="s">
        <v>2076</v>
      </c>
      <c r="G356" s="55" t="s">
        <v>17</v>
      </c>
      <c r="H356" s="60" t="s">
        <v>2445</v>
      </c>
      <c r="I356" s="55">
        <v>307528444</v>
      </c>
      <c r="J356" s="55">
        <v>179124</v>
      </c>
      <c r="K356" s="55" t="s">
        <v>521</v>
      </c>
      <c r="L356" s="53" t="s">
        <v>2077</v>
      </c>
      <c r="M356" s="55" t="s">
        <v>71</v>
      </c>
      <c r="N356" s="52">
        <v>50000</v>
      </c>
      <c r="O356" s="52">
        <v>707050000</v>
      </c>
      <c r="P356" s="52">
        <v>50000</v>
      </c>
      <c r="Q356" s="57">
        <v>45740</v>
      </c>
      <c r="R356" s="57">
        <v>46836</v>
      </c>
      <c r="S356" s="56">
        <v>4</v>
      </c>
      <c r="T356" s="54">
        <v>12</v>
      </c>
      <c r="U356" s="52">
        <v>729262000</v>
      </c>
      <c r="V356" s="52">
        <v>729262000</v>
      </c>
      <c r="W356" s="52">
        <v>0</v>
      </c>
      <c r="X356" s="57"/>
      <c r="Y356" s="52">
        <v>0</v>
      </c>
      <c r="Z356" s="52">
        <v>0</v>
      </c>
      <c r="AA356" s="52">
        <v>1</v>
      </c>
      <c r="AB356" s="52">
        <v>0</v>
      </c>
      <c r="AC356" s="52">
        <v>0</v>
      </c>
      <c r="AD356" s="52">
        <v>0</v>
      </c>
      <c r="AE356" s="52">
        <v>0</v>
      </c>
      <c r="AF356" s="52">
        <v>0</v>
      </c>
      <c r="AG356" s="52">
        <v>0</v>
      </c>
      <c r="AH356" s="52">
        <v>0</v>
      </c>
      <c r="AI356" s="52">
        <v>0</v>
      </c>
      <c r="AJ356" s="52">
        <v>2</v>
      </c>
      <c r="AK356" s="52"/>
      <c r="AL356" s="52">
        <v>0</v>
      </c>
      <c r="AM356" s="52">
        <v>0</v>
      </c>
      <c r="AN356" s="52">
        <v>60000</v>
      </c>
      <c r="AO356" s="52">
        <v>12772844015</v>
      </c>
      <c r="AP356" s="52">
        <v>12772844015</v>
      </c>
      <c r="AQ356" s="58">
        <v>0</v>
      </c>
      <c r="AR356" s="58">
        <v>0</v>
      </c>
      <c r="AS356" s="58">
        <v>0</v>
      </c>
      <c r="AT356" s="58">
        <v>0</v>
      </c>
      <c r="AU356" s="58">
        <v>0</v>
      </c>
      <c r="AV356" s="58">
        <v>0</v>
      </c>
      <c r="AW356" s="58">
        <v>15</v>
      </c>
      <c r="AX356" s="58">
        <v>2564544.0100000002</v>
      </c>
    </row>
    <row r="357" spans="1:50" x14ac:dyDescent="0.25">
      <c r="A357" s="52">
        <f t="shared" si="26"/>
        <v>352</v>
      </c>
      <c r="B357" s="60" t="str">
        <f t="shared" si="25"/>
        <v>00482186204</v>
      </c>
      <c r="C357" s="67" t="s">
        <v>28</v>
      </c>
      <c r="D357" s="59" t="s">
        <v>2058</v>
      </c>
      <c r="E357" s="55" t="str">
        <f t="shared" si="24"/>
        <v>00482</v>
      </c>
      <c r="F357" s="53" t="s">
        <v>2076</v>
      </c>
      <c r="G357" s="55" t="s">
        <v>17</v>
      </c>
      <c r="H357" s="60" t="s">
        <v>522</v>
      </c>
      <c r="I357" s="55">
        <v>308083484</v>
      </c>
      <c r="J357" s="55">
        <v>186204</v>
      </c>
      <c r="K357" s="55" t="s">
        <v>523</v>
      </c>
      <c r="L357" s="53" t="s">
        <v>2077</v>
      </c>
      <c r="M357" s="55" t="s">
        <v>49</v>
      </c>
      <c r="N357" s="52">
        <v>700000000</v>
      </c>
      <c r="O357" s="52">
        <v>700000000</v>
      </c>
      <c r="P357" s="52">
        <v>700000000</v>
      </c>
      <c r="Q357" s="57">
        <v>45810</v>
      </c>
      <c r="R357" s="57">
        <v>46360</v>
      </c>
      <c r="S357" s="56">
        <v>26</v>
      </c>
      <c r="T357" s="54">
        <v>6</v>
      </c>
      <c r="U357" s="52">
        <v>641666666.66999996</v>
      </c>
      <c r="V357" s="52">
        <v>641666666.66999996</v>
      </c>
      <c r="W357" s="52">
        <v>0</v>
      </c>
      <c r="X357" s="57"/>
      <c r="Y357" s="52">
        <v>0</v>
      </c>
      <c r="Z357" s="52">
        <v>0</v>
      </c>
      <c r="AA357" s="52">
        <v>1</v>
      </c>
      <c r="AB357" s="52">
        <v>0</v>
      </c>
      <c r="AC357" s="52">
        <v>1371232.88</v>
      </c>
      <c r="AD357" s="52">
        <v>1371232.88</v>
      </c>
      <c r="AE357" s="52">
        <v>0</v>
      </c>
      <c r="AF357" s="52">
        <v>0</v>
      </c>
      <c r="AG357" s="52">
        <v>0</v>
      </c>
      <c r="AH357" s="52">
        <v>0</v>
      </c>
      <c r="AI357" s="52">
        <v>0</v>
      </c>
      <c r="AJ357" s="52">
        <v>2</v>
      </c>
      <c r="AK357" s="52"/>
      <c r="AL357" s="52">
        <v>0</v>
      </c>
      <c r="AM357" s="52">
        <v>0</v>
      </c>
      <c r="AN357" s="52">
        <v>770000000</v>
      </c>
      <c r="AO357" s="52">
        <v>650423268</v>
      </c>
      <c r="AP357" s="52">
        <v>650423268</v>
      </c>
      <c r="AQ357" s="58">
        <v>0</v>
      </c>
      <c r="AR357" s="58">
        <v>0</v>
      </c>
      <c r="AS357" s="58">
        <v>0</v>
      </c>
      <c r="AT357" s="58">
        <v>0</v>
      </c>
      <c r="AU357" s="58">
        <v>0</v>
      </c>
      <c r="AV357" s="58">
        <v>0</v>
      </c>
      <c r="AW357" s="58">
        <v>0</v>
      </c>
      <c r="AX357" s="58">
        <v>0</v>
      </c>
    </row>
    <row r="358" spans="1:50" x14ac:dyDescent="0.25">
      <c r="A358" s="52">
        <f t="shared" si="26"/>
        <v>353</v>
      </c>
      <c r="B358" s="60" t="str">
        <f t="shared" si="25"/>
        <v>0048223319</v>
      </c>
      <c r="C358" s="67" t="s">
        <v>28</v>
      </c>
      <c r="D358" s="59" t="s">
        <v>2058</v>
      </c>
      <c r="E358" s="55" t="str">
        <f t="shared" si="24"/>
        <v>00482</v>
      </c>
      <c r="F358" s="53" t="s">
        <v>2076</v>
      </c>
      <c r="G358" s="55" t="s">
        <v>17</v>
      </c>
      <c r="H358" s="60" t="s">
        <v>2448</v>
      </c>
      <c r="I358" s="55">
        <v>202081280</v>
      </c>
      <c r="J358" s="55">
        <v>23319</v>
      </c>
      <c r="K358" s="55" t="s">
        <v>524</v>
      </c>
      <c r="L358" s="53" t="s">
        <v>2077</v>
      </c>
      <c r="M358" s="55" t="s">
        <v>75</v>
      </c>
      <c r="N358" s="52">
        <v>142900</v>
      </c>
      <c r="O358" s="52">
        <v>1724482904</v>
      </c>
      <c r="P358" s="52">
        <v>142900</v>
      </c>
      <c r="Q358" s="57">
        <v>43992</v>
      </c>
      <c r="R358" s="57">
        <v>46898</v>
      </c>
      <c r="S358" s="56">
        <v>12.229699999999999</v>
      </c>
      <c r="T358" s="54">
        <v>12</v>
      </c>
      <c r="U358" s="52">
        <v>569009208.80999994</v>
      </c>
      <c r="V358" s="52">
        <v>569009208.80999994</v>
      </c>
      <c r="W358" s="52">
        <v>0</v>
      </c>
      <c r="X358" s="57"/>
      <c r="Y358" s="52">
        <v>0</v>
      </c>
      <c r="Z358" s="52">
        <v>0</v>
      </c>
      <c r="AA358" s="52">
        <v>1</v>
      </c>
      <c r="AB358" s="52">
        <v>0</v>
      </c>
      <c r="AC358" s="52">
        <v>15061252.84</v>
      </c>
      <c r="AD358" s="52">
        <v>15061252.84</v>
      </c>
      <c r="AE358" s="52">
        <v>0</v>
      </c>
      <c r="AF358" s="52">
        <v>0</v>
      </c>
      <c r="AG358" s="52">
        <v>0</v>
      </c>
      <c r="AH358" s="52">
        <v>0</v>
      </c>
      <c r="AI358" s="52">
        <v>0</v>
      </c>
      <c r="AJ358" s="52">
        <v>2</v>
      </c>
      <c r="AK358" s="52"/>
      <c r="AL358" s="52">
        <v>0</v>
      </c>
      <c r="AM358" s="52">
        <v>0</v>
      </c>
      <c r="AN358" s="52">
        <v>171480</v>
      </c>
      <c r="AO358" s="52">
        <v>9880874395</v>
      </c>
      <c r="AP358" s="52">
        <v>0</v>
      </c>
      <c r="AQ358" s="58">
        <v>0</v>
      </c>
      <c r="AR358" s="58">
        <v>0</v>
      </c>
      <c r="AS358" s="58">
        <v>0</v>
      </c>
      <c r="AT358" s="58">
        <v>0</v>
      </c>
      <c r="AU358" s="58">
        <v>0</v>
      </c>
      <c r="AV358" s="58">
        <v>0</v>
      </c>
      <c r="AW358" s="58">
        <v>3</v>
      </c>
      <c r="AX358" s="58">
        <v>142900</v>
      </c>
    </row>
    <row r="359" spans="1:50" x14ac:dyDescent="0.25">
      <c r="A359" s="52">
        <f t="shared" si="26"/>
        <v>354</v>
      </c>
      <c r="B359" s="60" t="str">
        <f t="shared" si="25"/>
        <v>00482166697</v>
      </c>
      <c r="C359" s="67" t="s">
        <v>28</v>
      </c>
      <c r="D359" s="59" t="s">
        <v>2058</v>
      </c>
      <c r="E359" s="55" t="str">
        <f t="shared" si="24"/>
        <v>00482</v>
      </c>
      <c r="F359" s="53" t="s">
        <v>2076</v>
      </c>
      <c r="G359" s="55" t="s">
        <v>17</v>
      </c>
      <c r="H359" s="60" t="s">
        <v>2446</v>
      </c>
      <c r="I359" s="55">
        <v>201497870</v>
      </c>
      <c r="J359" s="55">
        <v>166697</v>
      </c>
      <c r="K359" s="55" t="s">
        <v>525</v>
      </c>
      <c r="L359" s="53" t="s">
        <v>2077</v>
      </c>
      <c r="M359" s="55" t="s">
        <v>75</v>
      </c>
      <c r="N359" s="52">
        <v>50000</v>
      </c>
      <c r="O359" s="52">
        <v>603388000</v>
      </c>
      <c r="P359" s="52">
        <v>50000</v>
      </c>
      <c r="Q359" s="57">
        <v>45644</v>
      </c>
      <c r="R359" s="57">
        <v>45996</v>
      </c>
      <c r="S359" s="56">
        <v>4</v>
      </c>
      <c r="T359" s="54">
        <v>0</v>
      </c>
      <c r="U359" s="52">
        <v>475764900</v>
      </c>
      <c r="V359" s="52">
        <v>475764900</v>
      </c>
      <c r="W359" s="52">
        <v>0</v>
      </c>
      <c r="X359" s="57"/>
      <c r="Y359" s="52">
        <v>0</v>
      </c>
      <c r="Z359" s="52">
        <v>0</v>
      </c>
      <c r="AA359" s="52">
        <v>1</v>
      </c>
      <c r="AB359" s="52">
        <v>0</v>
      </c>
      <c r="AC359" s="52">
        <v>1616258.76</v>
      </c>
      <c r="AD359" s="52">
        <v>1616258.76</v>
      </c>
      <c r="AE359" s="52">
        <v>0</v>
      </c>
      <c r="AF359" s="52">
        <v>0</v>
      </c>
      <c r="AG359" s="52">
        <v>0</v>
      </c>
      <c r="AH359" s="52">
        <v>0</v>
      </c>
      <c r="AI359" s="52">
        <v>0</v>
      </c>
      <c r="AJ359" s="52">
        <v>2</v>
      </c>
      <c r="AK359" s="52"/>
      <c r="AL359" s="52">
        <v>0</v>
      </c>
      <c r="AM359" s="52">
        <v>0</v>
      </c>
      <c r="AN359" s="52">
        <v>771600000</v>
      </c>
      <c r="AO359" s="52">
        <v>15297</v>
      </c>
      <c r="AP359" s="52">
        <v>0</v>
      </c>
      <c r="AQ359" s="58">
        <v>0</v>
      </c>
      <c r="AR359" s="58">
        <v>0</v>
      </c>
      <c r="AS359" s="58">
        <v>0</v>
      </c>
      <c r="AT359" s="58">
        <v>0</v>
      </c>
      <c r="AU359" s="58">
        <v>0</v>
      </c>
      <c r="AV359" s="58">
        <v>0</v>
      </c>
      <c r="AW359" s="58">
        <v>3</v>
      </c>
      <c r="AX359" s="58">
        <v>1450000</v>
      </c>
    </row>
    <row r="360" spans="1:50" x14ac:dyDescent="0.25">
      <c r="A360" s="52">
        <f t="shared" si="26"/>
        <v>355</v>
      </c>
      <c r="B360" s="60" t="str">
        <f t="shared" si="25"/>
        <v>00482124025</v>
      </c>
      <c r="C360" s="67" t="s">
        <v>28</v>
      </c>
      <c r="D360" s="59" t="s">
        <v>2058</v>
      </c>
      <c r="E360" s="55" t="str">
        <f t="shared" si="24"/>
        <v>00482</v>
      </c>
      <c r="F360" s="53" t="s">
        <v>2076</v>
      </c>
      <c r="G360" s="55" t="s">
        <v>17</v>
      </c>
      <c r="H360" s="60" t="s">
        <v>2448</v>
      </c>
      <c r="I360" s="55">
        <v>202081280</v>
      </c>
      <c r="J360" s="55">
        <v>124025</v>
      </c>
      <c r="K360" s="55" t="s">
        <v>526</v>
      </c>
      <c r="L360" s="53" t="s">
        <v>2077</v>
      </c>
      <c r="M360" s="55" t="s">
        <v>49</v>
      </c>
      <c r="N360" s="52">
        <v>561088000</v>
      </c>
      <c r="O360" s="52">
        <v>561088000</v>
      </c>
      <c r="P360" s="52">
        <v>561088000</v>
      </c>
      <c r="Q360" s="57">
        <v>45253</v>
      </c>
      <c r="R360" s="57">
        <v>47078</v>
      </c>
      <c r="S360" s="56">
        <v>23.99</v>
      </c>
      <c r="T360" s="54">
        <v>6</v>
      </c>
      <c r="U360" s="52">
        <v>336652800</v>
      </c>
      <c r="V360" s="52">
        <v>336652800</v>
      </c>
      <c r="W360" s="52">
        <v>0</v>
      </c>
      <c r="X360" s="57"/>
      <c r="Y360" s="52">
        <v>0</v>
      </c>
      <c r="Z360" s="52">
        <v>0</v>
      </c>
      <c r="AA360" s="52">
        <v>1</v>
      </c>
      <c r="AB360" s="52">
        <v>0</v>
      </c>
      <c r="AC360" s="52">
        <v>2433953.63</v>
      </c>
      <c r="AD360" s="52">
        <v>2433953.63</v>
      </c>
      <c r="AE360" s="52">
        <v>0</v>
      </c>
      <c r="AF360" s="52">
        <v>0</v>
      </c>
      <c r="AG360" s="52">
        <v>0</v>
      </c>
      <c r="AH360" s="52">
        <v>0</v>
      </c>
      <c r="AI360" s="52">
        <v>0</v>
      </c>
      <c r="AJ360" s="52">
        <v>2</v>
      </c>
      <c r="AK360" s="52"/>
      <c r="AL360" s="52">
        <v>0</v>
      </c>
      <c r="AM360" s="52">
        <v>0</v>
      </c>
      <c r="AN360" s="52">
        <v>673305600</v>
      </c>
      <c r="AO360" s="52">
        <v>3113015835</v>
      </c>
      <c r="AP360" s="52">
        <v>3113015835</v>
      </c>
      <c r="AQ360" s="58">
        <v>0</v>
      </c>
      <c r="AR360" s="58">
        <v>0</v>
      </c>
      <c r="AS360" s="58">
        <v>0</v>
      </c>
      <c r="AT360" s="58">
        <v>0</v>
      </c>
      <c r="AU360" s="58">
        <v>0</v>
      </c>
      <c r="AV360" s="58">
        <v>0</v>
      </c>
      <c r="AW360" s="58">
        <v>3</v>
      </c>
      <c r="AX360" s="58">
        <v>142900</v>
      </c>
    </row>
    <row r="361" spans="1:50" x14ac:dyDescent="0.25">
      <c r="A361" s="52">
        <f t="shared" si="26"/>
        <v>356</v>
      </c>
      <c r="B361" s="60" t="str">
        <f t="shared" si="25"/>
        <v>00482179280</v>
      </c>
      <c r="C361" s="67" t="s">
        <v>28</v>
      </c>
      <c r="D361" s="59" t="s">
        <v>2058</v>
      </c>
      <c r="E361" s="55" t="str">
        <f t="shared" si="24"/>
        <v>00482</v>
      </c>
      <c r="F361" s="53" t="s">
        <v>2076</v>
      </c>
      <c r="G361" s="55" t="s">
        <v>17</v>
      </c>
      <c r="H361" s="60" t="s">
        <v>516</v>
      </c>
      <c r="I361" s="55">
        <v>308096262</v>
      </c>
      <c r="J361" s="55">
        <v>179280</v>
      </c>
      <c r="K361" s="55" t="s">
        <v>527</v>
      </c>
      <c r="L361" s="53" t="s">
        <v>2077</v>
      </c>
      <c r="M361" s="55" t="s">
        <v>75</v>
      </c>
      <c r="N361" s="52">
        <v>20000</v>
      </c>
      <c r="O361" s="52">
        <v>241355200</v>
      </c>
      <c r="P361" s="52">
        <v>20000</v>
      </c>
      <c r="Q361" s="57">
        <v>45741</v>
      </c>
      <c r="R361" s="57">
        <v>46818</v>
      </c>
      <c r="S361" s="56">
        <v>4</v>
      </c>
      <c r="T361" s="54">
        <v>12</v>
      </c>
      <c r="U361" s="52">
        <v>231441325.19999999</v>
      </c>
      <c r="V361" s="52">
        <v>231441325.19999999</v>
      </c>
      <c r="W361" s="52">
        <v>0</v>
      </c>
      <c r="X361" s="57"/>
      <c r="Y361" s="52">
        <v>0</v>
      </c>
      <c r="Z361" s="52">
        <v>0</v>
      </c>
      <c r="AA361" s="52">
        <v>1</v>
      </c>
      <c r="AB361" s="52">
        <v>0</v>
      </c>
      <c r="AC361" s="52">
        <v>278993.42</v>
      </c>
      <c r="AD361" s="52">
        <v>278993.42</v>
      </c>
      <c r="AE361" s="52">
        <v>0</v>
      </c>
      <c r="AF361" s="52">
        <v>0</v>
      </c>
      <c r="AG361" s="52">
        <v>0</v>
      </c>
      <c r="AH361" s="52">
        <v>0</v>
      </c>
      <c r="AI361" s="52">
        <v>0</v>
      </c>
      <c r="AJ361" s="52">
        <v>2</v>
      </c>
      <c r="AK361" s="52"/>
      <c r="AL361" s="52">
        <v>0</v>
      </c>
      <c r="AM361" s="52">
        <v>0</v>
      </c>
      <c r="AN361" s="52">
        <v>24000</v>
      </c>
      <c r="AO361" s="52">
        <v>60250289</v>
      </c>
      <c r="AP361" s="52">
        <v>60250289</v>
      </c>
      <c r="AQ361" s="58">
        <v>881</v>
      </c>
      <c r="AR361" s="58">
        <v>50560946.669999957</v>
      </c>
      <c r="AS361" s="58">
        <v>139</v>
      </c>
      <c r="AT361" s="58">
        <v>4826758.0000000009</v>
      </c>
      <c r="AU361" s="58">
        <v>91</v>
      </c>
      <c r="AV361" s="58">
        <v>1334154.6399999999</v>
      </c>
      <c r="AW361" s="58">
        <v>0</v>
      </c>
      <c r="AX361" s="58">
        <v>0</v>
      </c>
    </row>
    <row r="362" spans="1:50" x14ac:dyDescent="0.25">
      <c r="A362" s="52">
        <f t="shared" si="26"/>
        <v>357</v>
      </c>
      <c r="B362" s="60" t="str">
        <f t="shared" si="25"/>
        <v>00482178692</v>
      </c>
      <c r="C362" s="67" t="s">
        <v>28</v>
      </c>
      <c r="D362" s="59" t="s">
        <v>2058</v>
      </c>
      <c r="E362" s="55" t="str">
        <f t="shared" si="24"/>
        <v>00482</v>
      </c>
      <c r="F362" s="53" t="s">
        <v>2076</v>
      </c>
      <c r="G362" s="55" t="s">
        <v>17</v>
      </c>
      <c r="H362" s="60" t="s">
        <v>509</v>
      </c>
      <c r="I362" s="55">
        <v>306192145</v>
      </c>
      <c r="J362" s="55">
        <v>178692</v>
      </c>
      <c r="K362" s="55" t="s">
        <v>528</v>
      </c>
      <c r="L362" s="53" t="s">
        <v>2077</v>
      </c>
      <c r="M362" s="55" t="s">
        <v>49</v>
      </c>
      <c r="N362" s="52">
        <v>230000000</v>
      </c>
      <c r="O362" s="52">
        <v>230000000</v>
      </c>
      <c r="P362" s="52">
        <v>230000000</v>
      </c>
      <c r="Q362" s="57">
        <v>45736</v>
      </c>
      <c r="R362" s="57">
        <v>46818</v>
      </c>
      <c r="S362" s="56">
        <v>10</v>
      </c>
      <c r="T362" s="54">
        <v>12</v>
      </c>
      <c r="U362" s="52">
        <v>230000000</v>
      </c>
      <c r="V362" s="52">
        <v>230000000</v>
      </c>
      <c r="W362" s="52">
        <v>0</v>
      </c>
      <c r="X362" s="57"/>
      <c r="Y362" s="52">
        <v>0</v>
      </c>
      <c r="Z362" s="52">
        <v>0</v>
      </c>
      <c r="AA362" s="52">
        <v>1</v>
      </c>
      <c r="AB362" s="52">
        <v>0</v>
      </c>
      <c r="AC362" s="52">
        <v>2457534.25</v>
      </c>
      <c r="AD362" s="52">
        <v>1701369.87</v>
      </c>
      <c r="AE362" s="52">
        <v>0</v>
      </c>
      <c r="AF362" s="52">
        <v>0</v>
      </c>
      <c r="AG362" s="52">
        <v>756164.38</v>
      </c>
      <c r="AH362" s="52">
        <v>0</v>
      </c>
      <c r="AI362" s="52">
        <v>0</v>
      </c>
      <c r="AJ362" s="52">
        <v>2</v>
      </c>
      <c r="AK362" s="52"/>
      <c r="AL362" s="52">
        <v>3321649639</v>
      </c>
      <c r="AM362" s="52">
        <v>623210463</v>
      </c>
      <c r="AN362" s="52">
        <v>276000000</v>
      </c>
      <c r="AO362" s="52">
        <v>1293500000</v>
      </c>
      <c r="AP362" s="52">
        <v>857000000</v>
      </c>
      <c r="AQ362" s="58">
        <v>0</v>
      </c>
      <c r="AR362" s="58">
        <v>0</v>
      </c>
      <c r="AS362" s="58">
        <v>0</v>
      </c>
      <c r="AT362" s="58">
        <v>0</v>
      </c>
      <c r="AU362" s="58">
        <v>13</v>
      </c>
      <c r="AV362" s="58">
        <v>112700</v>
      </c>
      <c r="AW362" s="58">
        <v>7</v>
      </c>
      <c r="AX362" s="58">
        <v>473210.63</v>
      </c>
    </row>
    <row r="363" spans="1:50" x14ac:dyDescent="0.25">
      <c r="A363" s="52">
        <f t="shared" si="26"/>
        <v>358</v>
      </c>
      <c r="B363" s="60" t="str">
        <f t="shared" si="25"/>
        <v>00482167330</v>
      </c>
      <c r="C363" s="67" t="s">
        <v>28</v>
      </c>
      <c r="D363" s="59" t="s">
        <v>2058</v>
      </c>
      <c r="E363" s="55" t="str">
        <f t="shared" si="24"/>
        <v>00482</v>
      </c>
      <c r="F363" s="53" t="s">
        <v>2076</v>
      </c>
      <c r="G363" s="55" t="s">
        <v>17</v>
      </c>
      <c r="H363" s="60" t="s">
        <v>509</v>
      </c>
      <c r="I363" s="55">
        <v>306192145</v>
      </c>
      <c r="J363" s="55">
        <v>167330</v>
      </c>
      <c r="K363" s="55" t="s">
        <v>529</v>
      </c>
      <c r="L363" s="53" t="s">
        <v>2077</v>
      </c>
      <c r="M363" s="55" t="s">
        <v>49</v>
      </c>
      <c r="N363" s="52">
        <v>250000000</v>
      </c>
      <c r="O363" s="52">
        <v>250000000</v>
      </c>
      <c r="P363" s="52">
        <v>250000000</v>
      </c>
      <c r="Q363" s="57">
        <v>45649</v>
      </c>
      <c r="R363" s="57">
        <v>46122</v>
      </c>
      <c r="S363" s="56">
        <v>14</v>
      </c>
      <c r="T363" s="54">
        <v>3</v>
      </c>
      <c r="U363" s="52">
        <v>222222222.16</v>
      </c>
      <c r="V363" s="52">
        <v>222222222.16</v>
      </c>
      <c r="W363" s="52">
        <v>0</v>
      </c>
      <c r="X363" s="57"/>
      <c r="Y363" s="52">
        <v>0</v>
      </c>
      <c r="Z363" s="52">
        <v>0</v>
      </c>
      <c r="AA363" s="52">
        <v>1</v>
      </c>
      <c r="AB363" s="52">
        <v>0</v>
      </c>
      <c r="AC363" s="52">
        <v>3324200.91</v>
      </c>
      <c r="AD363" s="52">
        <v>3324200.91</v>
      </c>
      <c r="AE363" s="52">
        <v>0</v>
      </c>
      <c r="AF363" s="52">
        <v>0</v>
      </c>
      <c r="AG363" s="52">
        <v>0</v>
      </c>
      <c r="AH363" s="52">
        <v>0</v>
      </c>
      <c r="AI363" s="52">
        <v>0</v>
      </c>
      <c r="AJ363" s="52">
        <v>2</v>
      </c>
      <c r="AK363" s="52"/>
      <c r="AL363" s="52">
        <v>3321649639</v>
      </c>
      <c r="AM363" s="52">
        <v>623210463</v>
      </c>
      <c r="AN363" s="52">
        <v>300000000</v>
      </c>
      <c r="AO363" s="52">
        <v>1370511800</v>
      </c>
      <c r="AP363" s="52">
        <v>934011800</v>
      </c>
      <c r="AQ363" s="58">
        <v>0</v>
      </c>
      <c r="AR363" s="58">
        <v>0</v>
      </c>
      <c r="AS363" s="58">
        <v>0</v>
      </c>
      <c r="AT363" s="58">
        <v>0</v>
      </c>
      <c r="AU363" s="58">
        <v>13</v>
      </c>
      <c r="AV363" s="58">
        <v>112700</v>
      </c>
      <c r="AW363" s="58">
        <v>7</v>
      </c>
      <c r="AX363" s="58">
        <v>473210.63</v>
      </c>
    </row>
    <row r="364" spans="1:50" x14ac:dyDescent="0.25">
      <c r="A364" s="52">
        <f t="shared" si="26"/>
        <v>359</v>
      </c>
      <c r="B364" s="60" t="str">
        <f t="shared" si="25"/>
        <v>00482183806</v>
      </c>
      <c r="C364" s="67" t="s">
        <v>28</v>
      </c>
      <c r="D364" s="59" t="s">
        <v>2058</v>
      </c>
      <c r="E364" s="55" t="str">
        <f t="shared" si="24"/>
        <v>00482</v>
      </c>
      <c r="F364" s="53" t="s">
        <v>2076</v>
      </c>
      <c r="G364" s="55" t="s">
        <v>17</v>
      </c>
      <c r="H364" s="60" t="s">
        <v>522</v>
      </c>
      <c r="I364" s="55">
        <v>308083484</v>
      </c>
      <c r="J364" s="55">
        <v>183806</v>
      </c>
      <c r="K364" s="55" t="s">
        <v>530</v>
      </c>
      <c r="L364" s="53" t="s">
        <v>2077</v>
      </c>
      <c r="M364" s="55" t="s">
        <v>49</v>
      </c>
      <c r="N364" s="52">
        <v>300000000</v>
      </c>
      <c r="O364" s="52">
        <v>300000000</v>
      </c>
      <c r="P364" s="52">
        <v>300000000</v>
      </c>
      <c r="Q364" s="57">
        <v>45785</v>
      </c>
      <c r="R364" s="57">
        <v>46331</v>
      </c>
      <c r="S364" s="56">
        <v>28.9</v>
      </c>
      <c r="T364" s="54">
        <v>4</v>
      </c>
      <c r="U364" s="52">
        <v>214285714.31999999</v>
      </c>
      <c r="V364" s="52">
        <v>214285714.31999999</v>
      </c>
      <c r="W364" s="52">
        <v>0</v>
      </c>
      <c r="X364" s="57"/>
      <c r="Y364" s="52">
        <v>0</v>
      </c>
      <c r="Z364" s="52">
        <v>0</v>
      </c>
      <c r="AA364" s="52">
        <v>1</v>
      </c>
      <c r="AB364" s="52">
        <v>0</v>
      </c>
      <c r="AC364" s="52">
        <v>509001.95</v>
      </c>
      <c r="AD364" s="52">
        <v>509001.95</v>
      </c>
      <c r="AE364" s="52">
        <v>0</v>
      </c>
      <c r="AF364" s="52">
        <v>0</v>
      </c>
      <c r="AG364" s="52">
        <v>0</v>
      </c>
      <c r="AH364" s="52">
        <v>0</v>
      </c>
      <c r="AI364" s="52">
        <v>0</v>
      </c>
      <c r="AJ364" s="52">
        <v>2</v>
      </c>
      <c r="AK364" s="52"/>
      <c r="AL364" s="52">
        <v>0</v>
      </c>
      <c r="AM364" s="52">
        <v>0</v>
      </c>
      <c r="AN364" s="52">
        <v>360000000</v>
      </c>
      <c r="AO364" s="52">
        <v>650423268</v>
      </c>
      <c r="AP364" s="52">
        <v>650423268</v>
      </c>
      <c r="AQ364" s="58">
        <v>0</v>
      </c>
      <c r="AR364" s="58">
        <v>0</v>
      </c>
      <c r="AS364" s="58">
        <v>0</v>
      </c>
      <c r="AT364" s="58">
        <v>0</v>
      </c>
      <c r="AU364" s="58">
        <v>0</v>
      </c>
      <c r="AV364" s="58">
        <v>0</v>
      </c>
      <c r="AW364" s="58">
        <v>0</v>
      </c>
      <c r="AX364" s="58">
        <v>0</v>
      </c>
    </row>
    <row r="365" spans="1:50" x14ac:dyDescent="0.25">
      <c r="A365" s="52">
        <f t="shared" si="26"/>
        <v>360</v>
      </c>
      <c r="B365" s="60" t="str">
        <f t="shared" si="25"/>
        <v>00485166726</v>
      </c>
      <c r="C365" s="67" t="s">
        <v>28</v>
      </c>
      <c r="D365" s="59" t="s">
        <v>2058</v>
      </c>
      <c r="E365" s="55" t="str">
        <f t="shared" si="24"/>
        <v>00485</v>
      </c>
      <c r="F365" s="53" t="s">
        <v>2078</v>
      </c>
      <c r="G365" s="55" t="s">
        <v>18</v>
      </c>
      <c r="H365" s="60" t="s">
        <v>531</v>
      </c>
      <c r="I365" s="55">
        <v>306861429</v>
      </c>
      <c r="J365" s="55">
        <v>166726</v>
      </c>
      <c r="K365" s="55" t="s">
        <v>532</v>
      </c>
      <c r="L365" s="53" t="s">
        <v>2079</v>
      </c>
      <c r="M365" s="55" t="s">
        <v>75</v>
      </c>
      <c r="N365" s="52">
        <v>4500000</v>
      </c>
      <c r="O365" s="52">
        <v>54304920000</v>
      </c>
      <c r="P365" s="61">
        <v>3067024.04</v>
      </c>
      <c r="Q365" s="57">
        <v>45653</v>
      </c>
      <c r="R365" s="57">
        <v>47457</v>
      </c>
      <c r="S365" s="56">
        <v>8.6820000000000004</v>
      </c>
      <c r="T365" s="54">
        <v>24</v>
      </c>
      <c r="U365" s="52">
        <v>38380892959.760002</v>
      </c>
      <c r="V365" s="52">
        <v>38380892959.760002</v>
      </c>
      <c r="W365" s="52">
        <v>0</v>
      </c>
      <c r="X365" s="57"/>
      <c r="Y365" s="52">
        <v>0</v>
      </c>
      <c r="Z365" s="52">
        <v>0</v>
      </c>
      <c r="AA365" s="52">
        <v>1</v>
      </c>
      <c r="AB365" s="52">
        <v>0</v>
      </c>
      <c r="AC365" s="52">
        <v>177203638.63999999</v>
      </c>
      <c r="AD365" s="52">
        <v>177203638.63999999</v>
      </c>
      <c r="AE365" s="52">
        <v>0</v>
      </c>
      <c r="AF365" s="52">
        <v>0</v>
      </c>
      <c r="AG365" s="52">
        <v>0</v>
      </c>
      <c r="AH365" s="52">
        <v>0</v>
      </c>
      <c r="AI365" s="52">
        <v>0</v>
      </c>
      <c r="AJ365" s="52">
        <v>2</v>
      </c>
      <c r="AK365" s="52"/>
      <c r="AL365" s="52">
        <v>0</v>
      </c>
      <c r="AM365" s="52">
        <v>0</v>
      </c>
      <c r="AN365" s="61">
        <v>5023845</v>
      </c>
      <c r="AO365" s="61">
        <v>35000000000</v>
      </c>
      <c r="AP365" s="61">
        <v>32000000000</v>
      </c>
      <c r="AQ365" s="58">
        <v>6</v>
      </c>
      <c r="AR365" s="58">
        <v>225080</v>
      </c>
      <c r="AS365" s="58">
        <v>7</v>
      </c>
      <c r="AT365" s="58">
        <v>216847</v>
      </c>
      <c r="AU365" s="58">
        <v>1</v>
      </c>
      <c r="AV365" s="58">
        <v>2184000</v>
      </c>
      <c r="AW365" s="58">
        <v>34</v>
      </c>
      <c r="AX365" s="58">
        <v>2061576.83</v>
      </c>
    </row>
    <row r="366" spans="1:50" x14ac:dyDescent="0.25">
      <c r="A366" s="52">
        <f t="shared" si="26"/>
        <v>361</v>
      </c>
      <c r="B366" s="60" t="str">
        <f t="shared" si="25"/>
        <v>00485119485</v>
      </c>
      <c r="C366" s="67" t="s">
        <v>28</v>
      </c>
      <c r="D366" s="59" t="s">
        <v>2058</v>
      </c>
      <c r="E366" s="55" t="str">
        <f t="shared" si="24"/>
        <v>00485</v>
      </c>
      <c r="F366" s="53" t="s">
        <v>2078</v>
      </c>
      <c r="G366" s="55" t="s">
        <v>18</v>
      </c>
      <c r="H366" s="60" t="s">
        <v>533</v>
      </c>
      <c r="I366" s="55">
        <v>310807469</v>
      </c>
      <c r="J366" s="55">
        <v>119485</v>
      </c>
      <c r="K366" s="55" t="s">
        <v>534</v>
      </c>
      <c r="L366" s="53" t="s">
        <v>2079</v>
      </c>
      <c r="M366" s="55" t="s">
        <v>49</v>
      </c>
      <c r="N366" s="52">
        <v>31666689208</v>
      </c>
      <c r="O366" s="52">
        <v>31666689208</v>
      </c>
      <c r="P366" s="52">
        <v>31666689208</v>
      </c>
      <c r="Q366" s="57">
        <v>45278</v>
      </c>
      <c r="R366" s="57">
        <v>47098</v>
      </c>
      <c r="S366" s="56">
        <v>18</v>
      </c>
      <c r="T366" s="54">
        <v>12</v>
      </c>
      <c r="U366" s="52">
        <v>31666689208</v>
      </c>
      <c r="V366" s="52">
        <v>30424858258.68</v>
      </c>
      <c r="W366" s="52">
        <v>1241830949.3199999</v>
      </c>
      <c r="X366" s="57">
        <v>46001</v>
      </c>
      <c r="Y366" s="52">
        <v>0</v>
      </c>
      <c r="Z366" s="52">
        <v>0</v>
      </c>
      <c r="AA366" s="52">
        <v>1</v>
      </c>
      <c r="AB366" s="52">
        <v>0</v>
      </c>
      <c r="AC366" s="52">
        <v>4083906563.9000001</v>
      </c>
      <c r="AD366" s="52">
        <v>300080793.79000002</v>
      </c>
      <c r="AE366" s="52">
        <v>0</v>
      </c>
      <c r="AF366" s="52">
        <v>2754058719.6100001</v>
      </c>
      <c r="AG366" s="52">
        <v>1029767050.5</v>
      </c>
      <c r="AH366" s="52">
        <v>0</v>
      </c>
      <c r="AI366" s="52">
        <v>0</v>
      </c>
      <c r="AJ366" s="52">
        <v>2</v>
      </c>
      <c r="AK366" s="52"/>
      <c r="AL366" s="52">
        <v>0</v>
      </c>
      <c r="AM366" s="52">
        <v>0</v>
      </c>
      <c r="AN366" s="61">
        <v>380000270496</v>
      </c>
      <c r="AO366" s="52">
        <v>31666689208</v>
      </c>
      <c r="AP366" s="52">
        <v>0</v>
      </c>
      <c r="AQ366" s="58">
        <v>0</v>
      </c>
      <c r="AR366" s="58">
        <v>0</v>
      </c>
      <c r="AS366" s="58">
        <v>0</v>
      </c>
      <c r="AT366" s="58">
        <v>0</v>
      </c>
      <c r="AU366" s="58">
        <v>0</v>
      </c>
      <c r="AV366" s="58">
        <v>0</v>
      </c>
      <c r="AW366" s="58">
        <v>0</v>
      </c>
      <c r="AX366" s="58">
        <v>0</v>
      </c>
    </row>
    <row r="367" spans="1:50" x14ac:dyDescent="0.25">
      <c r="A367" s="52">
        <f t="shared" si="26"/>
        <v>362</v>
      </c>
      <c r="B367" s="60" t="str">
        <f t="shared" si="25"/>
        <v>0048578150</v>
      </c>
      <c r="C367" s="67" t="s">
        <v>28</v>
      </c>
      <c r="D367" s="59" t="s">
        <v>2058</v>
      </c>
      <c r="E367" s="55" t="str">
        <f t="shared" si="24"/>
        <v>00485</v>
      </c>
      <c r="F367" s="53" t="s">
        <v>2078</v>
      </c>
      <c r="G367" s="55" t="s">
        <v>18</v>
      </c>
      <c r="H367" s="60" t="s">
        <v>2449</v>
      </c>
      <c r="I367" s="55">
        <v>301726614</v>
      </c>
      <c r="J367" s="55">
        <v>78150</v>
      </c>
      <c r="K367" s="55" t="s">
        <v>535</v>
      </c>
      <c r="L367" s="53" t="s">
        <v>2045</v>
      </c>
      <c r="M367" s="55" t="s">
        <v>49</v>
      </c>
      <c r="N367" s="52">
        <v>10000000000</v>
      </c>
      <c r="O367" s="52">
        <v>10000000000</v>
      </c>
      <c r="P367" s="52">
        <v>10000000000</v>
      </c>
      <c r="Q367" s="57">
        <v>44789</v>
      </c>
      <c r="R367" s="57">
        <v>45945</v>
      </c>
      <c r="S367" s="56">
        <v>20</v>
      </c>
      <c r="T367" s="54">
        <v>4</v>
      </c>
      <c r="U367" s="52">
        <v>8888126563.5100002</v>
      </c>
      <c r="V367" s="52">
        <v>0</v>
      </c>
      <c r="W367" s="52">
        <v>8888126563.5100002</v>
      </c>
      <c r="X367" s="57">
        <v>46037</v>
      </c>
      <c r="Y367" s="52">
        <v>0</v>
      </c>
      <c r="Z367" s="52">
        <v>0</v>
      </c>
      <c r="AA367" s="52">
        <v>3</v>
      </c>
      <c r="AB367" s="52">
        <v>2222031640.8699999</v>
      </c>
      <c r="AC367" s="52">
        <v>1958196643.5</v>
      </c>
      <c r="AD367" s="52">
        <v>0</v>
      </c>
      <c r="AE367" s="52">
        <v>0</v>
      </c>
      <c r="AF367" s="52">
        <v>1455352589.54</v>
      </c>
      <c r="AG367" s="52">
        <v>502844053.95999998</v>
      </c>
      <c r="AH367" s="52">
        <v>0</v>
      </c>
      <c r="AI367" s="52">
        <v>0</v>
      </c>
      <c r="AJ367" s="52">
        <v>2</v>
      </c>
      <c r="AK367" s="52"/>
      <c r="AL367" s="52">
        <v>0</v>
      </c>
      <c r="AM367" s="52">
        <v>0</v>
      </c>
      <c r="AN367" s="61">
        <v>12500000000</v>
      </c>
      <c r="AO367" s="52">
        <v>0</v>
      </c>
      <c r="AP367" s="52">
        <v>0</v>
      </c>
      <c r="AQ367" s="58">
        <v>0</v>
      </c>
      <c r="AR367" s="58">
        <v>0</v>
      </c>
      <c r="AS367" s="58">
        <v>7</v>
      </c>
      <c r="AT367" s="58">
        <v>90836.680000000008</v>
      </c>
      <c r="AU367" s="58">
        <v>2</v>
      </c>
      <c r="AV367" s="58">
        <v>236790</v>
      </c>
      <c r="AW367" s="58">
        <v>12</v>
      </c>
      <c r="AX367" s="58">
        <v>3152498.77</v>
      </c>
    </row>
    <row r="368" spans="1:50" x14ac:dyDescent="0.25">
      <c r="A368" s="52">
        <f t="shared" si="26"/>
        <v>363</v>
      </c>
      <c r="B368" s="60" t="str">
        <f t="shared" si="25"/>
        <v>00485192484</v>
      </c>
      <c r="C368" s="67" t="s">
        <v>28</v>
      </c>
      <c r="D368" s="59" t="s">
        <v>2058</v>
      </c>
      <c r="E368" s="55" t="str">
        <f t="shared" si="24"/>
        <v>00485</v>
      </c>
      <c r="F368" s="53" t="s">
        <v>2078</v>
      </c>
      <c r="G368" s="55" t="s">
        <v>18</v>
      </c>
      <c r="H368" s="60" t="s">
        <v>533</v>
      </c>
      <c r="I368" s="55">
        <v>310807469</v>
      </c>
      <c r="J368" s="55">
        <v>192484</v>
      </c>
      <c r="K368" s="55" t="s">
        <v>536</v>
      </c>
      <c r="L368" s="53" t="s">
        <v>2079</v>
      </c>
      <c r="M368" s="55" t="s">
        <v>49</v>
      </c>
      <c r="N368" s="52">
        <v>7680000000</v>
      </c>
      <c r="O368" s="52">
        <v>7680000000</v>
      </c>
      <c r="P368" s="52">
        <v>7636859549.0900002</v>
      </c>
      <c r="Q368" s="57">
        <v>45740</v>
      </c>
      <c r="R368" s="57">
        <v>46818</v>
      </c>
      <c r="S368" s="56">
        <v>13</v>
      </c>
      <c r="T368" s="54">
        <v>12</v>
      </c>
      <c r="U368" s="52">
        <v>7636859549.0900002</v>
      </c>
      <c r="V368" s="52">
        <v>7636859549.0900002</v>
      </c>
      <c r="W368" s="52">
        <v>0</v>
      </c>
      <c r="X368" s="57"/>
      <c r="Y368" s="52">
        <v>0</v>
      </c>
      <c r="Z368" s="52">
        <v>0</v>
      </c>
      <c r="AA368" s="52">
        <v>1</v>
      </c>
      <c r="AB368" s="52">
        <v>0</v>
      </c>
      <c r="AC368" s="52">
        <v>691361931.50999999</v>
      </c>
      <c r="AD368" s="52">
        <v>73439389.090000004</v>
      </c>
      <c r="AE368" s="52">
        <v>0</v>
      </c>
      <c r="AF368" s="52">
        <v>452003922.63</v>
      </c>
      <c r="AG368" s="52">
        <v>165918619.78999999</v>
      </c>
      <c r="AH368" s="52">
        <v>0</v>
      </c>
      <c r="AI368" s="52">
        <v>0</v>
      </c>
      <c r="AJ368" s="52">
        <v>2</v>
      </c>
      <c r="AK368" s="52"/>
      <c r="AL368" s="52">
        <v>0</v>
      </c>
      <c r="AM368" s="52">
        <v>0</v>
      </c>
      <c r="AN368" s="61">
        <v>9216000000</v>
      </c>
      <c r="AO368" s="52">
        <v>7680000000</v>
      </c>
      <c r="AP368" s="52">
        <v>0</v>
      </c>
      <c r="AQ368" s="58">
        <v>0</v>
      </c>
      <c r="AR368" s="58">
        <v>0</v>
      </c>
      <c r="AS368" s="58">
        <v>0</v>
      </c>
      <c r="AT368" s="58">
        <v>0</v>
      </c>
      <c r="AU368" s="58">
        <v>0</v>
      </c>
      <c r="AV368" s="58">
        <v>0</v>
      </c>
      <c r="AW368" s="58">
        <v>0</v>
      </c>
      <c r="AX368" s="58">
        <v>0</v>
      </c>
    </row>
    <row r="369" spans="1:50" x14ac:dyDescent="0.25">
      <c r="A369" s="52">
        <f t="shared" si="26"/>
        <v>364</v>
      </c>
      <c r="B369" s="60" t="str">
        <f t="shared" si="25"/>
        <v>0048583638</v>
      </c>
      <c r="C369" s="67" t="s">
        <v>28</v>
      </c>
      <c r="D369" s="59" t="s">
        <v>2058</v>
      </c>
      <c r="E369" s="55" t="str">
        <f t="shared" si="24"/>
        <v>00485</v>
      </c>
      <c r="F369" s="53" t="s">
        <v>2078</v>
      </c>
      <c r="G369" s="55" t="s">
        <v>18</v>
      </c>
      <c r="H369" s="60" t="s">
        <v>2449</v>
      </c>
      <c r="I369" s="55">
        <v>301726614</v>
      </c>
      <c r="J369" s="55">
        <v>83638</v>
      </c>
      <c r="K369" s="55" t="s">
        <v>537</v>
      </c>
      <c r="L369" s="53" t="s">
        <v>2045</v>
      </c>
      <c r="M369" s="55" t="s">
        <v>49</v>
      </c>
      <c r="N369" s="52">
        <v>6000000000</v>
      </c>
      <c r="O369" s="52">
        <v>6000000000</v>
      </c>
      <c r="P369" s="52">
        <v>6000000000</v>
      </c>
      <c r="Q369" s="57">
        <v>44838</v>
      </c>
      <c r="R369" s="57">
        <v>46091</v>
      </c>
      <c r="S369" s="56">
        <v>20</v>
      </c>
      <c r="T369" s="54">
        <v>4</v>
      </c>
      <c r="U369" s="52">
        <v>6000000000</v>
      </c>
      <c r="V369" s="52">
        <v>6000000000</v>
      </c>
      <c r="W369" s="52">
        <v>0</v>
      </c>
      <c r="X369" s="57"/>
      <c r="Y369" s="52">
        <v>0</v>
      </c>
      <c r="Z369" s="52">
        <v>0</v>
      </c>
      <c r="AA369" s="52">
        <v>3</v>
      </c>
      <c r="AB369" s="52">
        <v>1500000000</v>
      </c>
      <c r="AC369" s="52">
        <v>1311780821.9100001</v>
      </c>
      <c r="AD369" s="52">
        <v>986301369.86000001</v>
      </c>
      <c r="AE369" s="52">
        <v>0</v>
      </c>
      <c r="AF369" s="52">
        <v>325479452.05000001</v>
      </c>
      <c r="AG369" s="52">
        <v>0</v>
      </c>
      <c r="AH369" s="52">
        <v>0</v>
      </c>
      <c r="AI369" s="52">
        <v>0</v>
      </c>
      <c r="AJ369" s="52">
        <v>2</v>
      </c>
      <c r="AK369" s="52"/>
      <c r="AL369" s="52">
        <v>0</v>
      </c>
      <c r="AM369" s="52">
        <v>0</v>
      </c>
      <c r="AN369" s="61">
        <v>7500000000</v>
      </c>
      <c r="AO369" s="52">
        <v>0</v>
      </c>
      <c r="AP369" s="52">
        <v>0</v>
      </c>
      <c r="AQ369" s="58">
        <v>0</v>
      </c>
      <c r="AR369" s="58">
        <v>0</v>
      </c>
      <c r="AS369" s="58">
        <v>7</v>
      </c>
      <c r="AT369" s="58">
        <v>90836.680000000008</v>
      </c>
      <c r="AU369" s="58">
        <v>2</v>
      </c>
      <c r="AV369" s="58">
        <v>236790</v>
      </c>
      <c r="AW369" s="58">
        <v>12</v>
      </c>
      <c r="AX369" s="58">
        <v>3152498.77</v>
      </c>
    </row>
    <row r="370" spans="1:50" x14ac:dyDescent="0.25">
      <c r="A370" s="52">
        <f t="shared" si="26"/>
        <v>365</v>
      </c>
      <c r="B370" s="60" t="str">
        <f t="shared" si="25"/>
        <v>00485147422</v>
      </c>
      <c r="C370" s="67" t="s">
        <v>28</v>
      </c>
      <c r="D370" s="59" t="s">
        <v>2058</v>
      </c>
      <c r="E370" s="55" t="str">
        <f t="shared" si="24"/>
        <v>00485</v>
      </c>
      <c r="F370" s="53" t="s">
        <v>2078</v>
      </c>
      <c r="G370" s="55" t="s">
        <v>18</v>
      </c>
      <c r="H370" s="60" t="s">
        <v>538</v>
      </c>
      <c r="I370" s="55">
        <v>308351508</v>
      </c>
      <c r="J370" s="55">
        <v>147422</v>
      </c>
      <c r="K370" s="55" t="s">
        <v>539</v>
      </c>
      <c r="L370" s="53" t="s">
        <v>2079</v>
      </c>
      <c r="M370" s="55" t="s">
        <v>49</v>
      </c>
      <c r="N370" s="52">
        <v>4300000000</v>
      </c>
      <c r="O370" s="52">
        <v>4300000000</v>
      </c>
      <c r="P370" s="61">
        <v>4300000000</v>
      </c>
      <c r="Q370" s="57">
        <v>45531</v>
      </c>
      <c r="R370" s="57">
        <v>47336</v>
      </c>
      <c r="S370" s="56">
        <v>14</v>
      </c>
      <c r="T370" s="54">
        <v>18</v>
      </c>
      <c r="U370" s="52">
        <v>4299615699.8400002</v>
      </c>
      <c r="V370" s="52">
        <v>4299615699.8400002</v>
      </c>
      <c r="W370" s="52">
        <v>0</v>
      </c>
      <c r="X370" s="57"/>
      <c r="Y370" s="52">
        <v>0</v>
      </c>
      <c r="Z370" s="52">
        <v>0</v>
      </c>
      <c r="AA370" s="52">
        <v>1</v>
      </c>
      <c r="AB370" s="52">
        <v>0</v>
      </c>
      <c r="AC370" s="52">
        <v>196613552.56999999</v>
      </c>
      <c r="AD370" s="52">
        <v>44527526.979999997</v>
      </c>
      <c r="AE370" s="52">
        <v>0</v>
      </c>
      <c r="AF370" s="52">
        <v>99782797.980000004</v>
      </c>
      <c r="AG370" s="52">
        <v>52303227.609999999</v>
      </c>
      <c r="AH370" s="52">
        <v>0</v>
      </c>
      <c r="AI370" s="52">
        <v>0</v>
      </c>
      <c r="AJ370" s="52">
        <v>2</v>
      </c>
      <c r="AK370" s="52"/>
      <c r="AL370" s="52">
        <v>0</v>
      </c>
      <c r="AM370" s="52">
        <v>0</v>
      </c>
      <c r="AN370" s="61">
        <v>5160000000</v>
      </c>
      <c r="AO370" s="52">
        <v>0</v>
      </c>
      <c r="AP370" s="52">
        <v>0</v>
      </c>
      <c r="AQ370" s="58">
        <v>0</v>
      </c>
      <c r="AR370" s="58">
        <v>0</v>
      </c>
      <c r="AS370" s="58">
        <v>0</v>
      </c>
      <c r="AT370" s="58">
        <v>0</v>
      </c>
      <c r="AU370" s="58">
        <v>0</v>
      </c>
      <c r="AV370" s="58">
        <v>0</v>
      </c>
      <c r="AW370" s="58">
        <v>0</v>
      </c>
      <c r="AX370" s="58">
        <v>0</v>
      </c>
    </row>
    <row r="371" spans="1:50" x14ac:dyDescent="0.25">
      <c r="A371" s="52">
        <f t="shared" si="26"/>
        <v>366</v>
      </c>
      <c r="B371" s="60" t="str">
        <f t="shared" si="25"/>
        <v>00485168348</v>
      </c>
      <c r="C371" s="67" t="s">
        <v>28</v>
      </c>
      <c r="D371" s="59" t="s">
        <v>2058</v>
      </c>
      <c r="E371" s="55" t="str">
        <f t="shared" si="24"/>
        <v>00485</v>
      </c>
      <c r="F371" s="53" t="s">
        <v>2078</v>
      </c>
      <c r="G371" s="55" t="s">
        <v>18</v>
      </c>
      <c r="H371" s="60" t="s">
        <v>540</v>
      </c>
      <c r="I371" s="55">
        <v>300734770</v>
      </c>
      <c r="J371" s="55">
        <v>168348</v>
      </c>
      <c r="K371" s="55" t="s">
        <v>541</v>
      </c>
      <c r="L371" s="53" t="s">
        <v>2079</v>
      </c>
      <c r="M371" s="55" t="s">
        <v>49</v>
      </c>
      <c r="N371" s="52">
        <v>5000000000</v>
      </c>
      <c r="O371" s="52">
        <v>5000000000</v>
      </c>
      <c r="P371" s="62">
        <v>5000000000</v>
      </c>
      <c r="Q371" s="57">
        <v>45652</v>
      </c>
      <c r="R371" s="57">
        <v>46178</v>
      </c>
      <c r="S371" s="56">
        <v>26</v>
      </c>
      <c r="T371" s="54">
        <v>6</v>
      </c>
      <c r="U371" s="52">
        <v>3697528900.3400002</v>
      </c>
      <c r="V371" s="52">
        <v>3697528900.3400002</v>
      </c>
      <c r="W371" s="52">
        <v>0</v>
      </c>
      <c r="X371" s="57"/>
      <c r="Y371" s="52">
        <v>0</v>
      </c>
      <c r="Z371" s="52">
        <v>0</v>
      </c>
      <c r="AA371" s="52">
        <v>1</v>
      </c>
      <c r="AB371" s="52">
        <v>0</v>
      </c>
      <c r="AC371" s="52">
        <v>12964555.48</v>
      </c>
      <c r="AD371" s="52">
        <v>12964555.48</v>
      </c>
      <c r="AE371" s="52">
        <v>0</v>
      </c>
      <c r="AF371" s="52">
        <v>0</v>
      </c>
      <c r="AG371" s="52">
        <v>0</v>
      </c>
      <c r="AH371" s="52">
        <v>0</v>
      </c>
      <c r="AI371" s="52">
        <v>0</v>
      </c>
      <c r="AJ371" s="52">
        <v>2</v>
      </c>
      <c r="AK371" s="52"/>
      <c r="AL371" s="52">
        <v>0</v>
      </c>
      <c r="AM371" s="52">
        <v>0</v>
      </c>
      <c r="AN371" s="52">
        <v>6000000000</v>
      </c>
      <c r="AO371" s="52">
        <v>7650999000</v>
      </c>
      <c r="AP371" s="52">
        <v>1460000000</v>
      </c>
      <c r="AQ371" s="58">
        <v>0</v>
      </c>
      <c r="AR371" s="58">
        <v>0</v>
      </c>
      <c r="AS371" s="58">
        <v>0</v>
      </c>
      <c r="AT371" s="58">
        <v>0</v>
      </c>
      <c r="AU371" s="58">
        <v>0</v>
      </c>
      <c r="AV371" s="58">
        <v>0</v>
      </c>
      <c r="AW371" s="58">
        <v>0</v>
      </c>
      <c r="AX371" s="58">
        <v>0</v>
      </c>
    </row>
    <row r="372" spans="1:50" x14ac:dyDescent="0.25">
      <c r="A372" s="52">
        <f t="shared" si="26"/>
        <v>367</v>
      </c>
      <c r="B372" s="60" t="str">
        <f t="shared" si="25"/>
        <v>00485187403</v>
      </c>
      <c r="C372" s="67" t="s">
        <v>28</v>
      </c>
      <c r="D372" s="59" t="s">
        <v>2058</v>
      </c>
      <c r="E372" s="55" t="str">
        <f t="shared" si="24"/>
        <v>00485</v>
      </c>
      <c r="F372" s="53" t="s">
        <v>2078</v>
      </c>
      <c r="G372" s="55" t="s">
        <v>18</v>
      </c>
      <c r="H372" s="60" t="s">
        <v>2450</v>
      </c>
      <c r="I372" s="55">
        <v>309940683</v>
      </c>
      <c r="J372" s="55">
        <v>187403</v>
      </c>
      <c r="K372" s="55" t="s">
        <v>542</v>
      </c>
      <c r="L372" s="53" t="s">
        <v>2079</v>
      </c>
      <c r="M372" s="55" t="s">
        <v>49</v>
      </c>
      <c r="N372" s="52">
        <v>119899077</v>
      </c>
      <c r="O372" s="52">
        <v>119899077</v>
      </c>
      <c r="P372" s="52">
        <v>119899077</v>
      </c>
      <c r="Q372" s="57">
        <v>45735</v>
      </c>
      <c r="R372" s="57">
        <v>49130</v>
      </c>
      <c r="S372" s="56">
        <v>0</v>
      </c>
      <c r="T372" s="54">
        <v>24</v>
      </c>
      <c r="U372" s="52">
        <v>3616072442</v>
      </c>
      <c r="V372" s="52">
        <v>3616072442</v>
      </c>
      <c r="W372" s="52">
        <v>0</v>
      </c>
      <c r="X372" s="57"/>
      <c r="Y372" s="52">
        <v>0</v>
      </c>
      <c r="Z372" s="52">
        <v>0</v>
      </c>
      <c r="AA372" s="52">
        <v>1</v>
      </c>
      <c r="AB372" s="52">
        <v>0</v>
      </c>
      <c r="AC372" s="52">
        <v>0</v>
      </c>
      <c r="AD372" s="52">
        <v>0</v>
      </c>
      <c r="AE372" s="52">
        <v>0</v>
      </c>
      <c r="AF372" s="52">
        <v>0</v>
      </c>
      <c r="AG372" s="52">
        <v>0</v>
      </c>
      <c r="AH372" s="52">
        <v>0</v>
      </c>
      <c r="AI372" s="52">
        <v>0</v>
      </c>
      <c r="AJ372" s="52">
        <v>2</v>
      </c>
      <c r="AK372" s="52"/>
      <c r="AL372" s="52">
        <v>0</v>
      </c>
      <c r="AM372" s="52">
        <v>0</v>
      </c>
      <c r="AN372" s="52">
        <v>119899077</v>
      </c>
      <c r="AO372" s="52">
        <v>137963000</v>
      </c>
      <c r="AP372" s="52">
        <v>0</v>
      </c>
      <c r="AQ372" s="58">
        <v>0</v>
      </c>
      <c r="AR372" s="58">
        <v>0</v>
      </c>
      <c r="AS372" s="58">
        <v>0</v>
      </c>
      <c r="AT372" s="58">
        <v>0</v>
      </c>
      <c r="AU372" s="58">
        <v>0</v>
      </c>
      <c r="AV372" s="58">
        <v>0</v>
      </c>
      <c r="AW372" s="58">
        <v>0</v>
      </c>
      <c r="AX372" s="58">
        <v>0</v>
      </c>
    </row>
    <row r="373" spans="1:50" x14ac:dyDescent="0.25">
      <c r="A373" s="52">
        <f t="shared" si="26"/>
        <v>368</v>
      </c>
      <c r="B373" s="60" t="str">
        <f t="shared" si="25"/>
        <v>00485228904</v>
      </c>
      <c r="C373" s="67" t="s">
        <v>28</v>
      </c>
      <c r="D373" s="59" t="s">
        <v>2058</v>
      </c>
      <c r="E373" s="55" t="str">
        <f t="shared" ref="E373:E394" si="27">+G373</f>
        <v>00485</v>
      </c>
      <c r="F373" s="53" t="s">
        <v>2078</v>
      </c>
      <c r="G373" s="55" t="s">
        <v>18</v>
      </c>
      <c r="H373" s="60" t="s">
        <v>543</v>
      </c>
      <c r="I373" s="55">
        <v>306629801</v>
      </c>
      <c r="J373" s="55">
        <v>228904</v>
      </c>
      <c r="K373" s="55" t="s">
        <v>544</v>
      </c>
      <c r="L373" s="53" t="s">
        <v>2079</v>
      </c>
      <c r="M373" s="55" t="s">
        <v>49</v>
      </c>
      <c r="N373" s="52">
        <v>3564432757</v>
      </c>
      <c r="O373" s="52">
        <v>3564432757</v>
      </c>
      <c r="P373" s="52">
        <v>3564432757</v>
      </c>
      <c r="Q373" s="57">
        <v>45905</v>
      </c>
      <c r="R373" s="57">
        <v>47609</v>
      </c>
      <c r="S373" s="56">
        <v>25.4</v>
      </c>
      <c r="T373" s="54">
        <v>0</v>
      </c>
      <c r="U373" s="52">
        <v>3564432757</v>
      </c>
      <c r="V373" s="52">
        <v>3528430843.0700002</v>
      </c>
      <c r="W373" s="52">
        <v>36001913.93</v>
      </c>
      <c r="X373" s="57">
        <v>46027</v>
      </c>
      <c r="Y373" s="52">
        <v>0</v>
      </c>
      <c r="Z373" s="52">
        <v>0</v>
      </c>
      <c r="AA373" s="52">
        <v>1</v>
      </c>
      <c r="AB373" s="52">
        <v>0</v>
      </c>
      <c r="AC373" s="52">
        <v>259476129.05999997</v>
      </c>
      <c r="AD373" s="52">
        <v>66295832.109999999</v>
      </c>
      <c r="AE373" s="52">
        <v>0</v>
      </c>
      <c r="AF373" s="52">
        <v>121127786.34999999</v>
      </c>
      <c r="AG373" s="52">
        <v>72052510.599999994</v>
      </c>
      <c r="AH373" s="52">
        <v>0</v>
      </c>
      <c r="AI373" s="52">
        <v>0</v>
      </c>
      <c r="AJ373" s="52">
        <v>2</v>
      </c>
      <c r="AK373" s="52"/>
      <c r="AL373" s="52">
        <v>0</v>
      </c>
      <c r="AM373" s="52">
        <v>0</v>
      </c>
      <c r="AN373" s="52">
        <v>42773193084</v>
      </c>
      <c r="AO373" s="52">
        <v>6000000</v>
      </c>
      <c r="AP373" s="52">
        <v>6000000</v>
      </c>
      <c r="AQ373" s="58">
        <v>72</v>
      </c>
      <c r="AR373" s="58">
        <v>9598299.7400000058</v>
      </c>
      <c r="AS373" s="58">
        <v>0</v>
      </c>
      <c r="AT373" s="58">
        <v>0</v>
      </c>
      <c r="AU373" s="58">
        <v>84</v>
      </c>
      <c r="AV373" s="58">
        <v>10957503.23</v>
      </c>
      <c r="AW373" s="58">
        <v>0</v>
      </c>
      <c r="AX373" s="58">
        <v>0</v>
      </c>
    </row>
    <row r="374" spans="1:50" x14ac:dyDescent="0.25">
      <c r="A374" s="52">
        <f t="shared" si="26"/>
        <v>369</v>
      </c>
      <c r="B374" s="60" t="str">
        <f t="shared" si="25"/>
        <v>0048592227</v>
      </c>
      <c r="C374" s="67" t="s">
        <v>28</v>
      </c>
      <c r="D374" s="59" t="s">
        <v>2058</v>
      </c>
      <c r="E374" s="55" t="str">
        <f t="shared" si="27"/>
        <v>00485</v>
      </c>
      <c r="F374" s="53" t="s">
        <v>2078</v>
      </c>
      <c r="G374" s="55" t="s">
        <v>18</v>
      </c>
      <c r="H374" s="60" t="s">
        <v>2449</v>
      </c>
      <c r="I374" s="55">
        <v>301726614</v>
      </c>
      <c r="J374" s="55">
        <v>92227</v>
      </c>
      <c r="K374" s="55" t="s">
        <v>545</v>
      </c>
      <c r="L374" s="53" t="s">
        <v>2045</v>
      </c>
      <c r="M374" s="55" t="s">
        <v>49</v>
      </c>
      <c r="N374" s="52">
        <v>4000000000</v>
      </c>
      <c r="O374" s="52">
        <v>4000000000</v>
      </c>
      <c r="P374" s="52">
        <v>3652000000</v>
      </c>
      <c r="Q374" s="57">
        <v>44917</v>
      </c>
      <c r="R374" s="57">
        <v>45948</v>
      </c>
      <c r="S374" s="56">
        <v>20</v>
      </c>
      <c r="T374" s="54">
        <v>4</v>
      </c>
      <c r="U374" s="52">
        <v>3060831711.3699999</v>
      </c>
      <c r="V374" s="52">
        <v>0</v>
      </c>
      <c r="W374" s="52">
        <v>3060831711.3699999</v>
      </c>
      <c r="X374" s="57">
        <v>45950</v>
      </c>
      <c r="Y374" s="52">
        <v>0</v>
      </c>
      <c r="Z374" s="52">
        <v>0</v>
      </c>
      <c r="AA374" s="52">
        <v>3</v>
      </c>
      <c r="AB374" s="52">
        <v>765207927.84000003</v>
      </c>
      <c r="AC374" s="52">
        <v>392488654.94</v>
      </c>
      <c r="AD374" s="52">
        <v>0</v>
      </c>
      <c r="AE374" s="52">
        <v>0</v>
      </c>
      <c r="AF374" s="52">
        <v>0</v>
      </c>
      <c r="AG374" s="52">
        <v>392488654.94</v>
      </c>
      <c r="AH374" s="52">
        <v>0</v>
      </c>
      <c r="AI374" s="52">
        <v>0</v>
      </c>
      <c r="AJ374" s="52">
        <v>2</v>
      </c>
      <c r="AK374" s="52"/>
      <c r="AL374" s="52">
        <v>0</v>
      </c>
      <c r="AM374" s="52">
        <v>0</v>
      </c>
      <c r="AN374" s="61">
        <v>4800000000</v>
      </c>
      <c r="AO374" s="52">
        <v>0</v>
      </c>
      <c r="AP374" s="52">
        <v>0</v>
      </c>
      <c r="AQ374" s="58">
        <v>0</v>
      </c>
      <c r="AR374" s="58">
        <v>0</v>
      </c>
      <c r="AS374" s="58">
        <v>7</v>
      </c>
      <c r="AT374" s="58">
        <v>90836.680000000008</v>
      </c>
      <c r="AU374" s="58">
        <v>2</v>
      </c>
      <c r="AV374" s="58">
        <v>236790</v>
      </c>
      <c r="AW374" s="58">
        <v>12</v>
      </c>
      <c r="AX374" s="58">
        <v>3152498.77</v>
      </c>
    </row>
    <row r="375" spans="1:50" x14ac:dyDescent="0.25">
      <c r="A375" s="52">
        <f t="shared" si="26"/>
        <v>370</v>
      </c>
      <c r="B375" s="60" t="str">
        <f t="shared" si="25"/>
        <v>00485203387</v>
      </c>
      <c r="C375" s="67" t="s">
        <v>28</v>
      </c>
      <c r="D375" s="59" t="s">
        <v>2058</v>
      </c>
      <c r="E375" s="55" t="str">
        <f t="shared" si="27"/>
        <v>00485</v>
      </c>
      <c r="F375" s="53" t="s">
        <v>2078</v>
      </c>
      <c r="G375" s="55" t="s">
        <v>18</v>
      </c>
      <c r="H375" s="60" t="s">
        <v>540</v>
      </c>
      <c r="I375" s="55">
        <v>300734770</v>
      </c>
      <c r="J375" s="55">
        <v>203387</v>
      </c>
      <c r="K375" s="55" t="s">
        <v>546</v>
      </c>
      <c r="L375" s="53" t="s">
        <v>2079</v>
      </c>
      <c r="M375" s="55" t="s">
        <v>49</v>
      </c>
      <c r="N375" s="52">
        <v>2500000000</v>
      </c>
      <c r="O375" s="52">
        <v>2500000000</v>
      </c>
      <c r="P375" s="62">
        <v>2000000000</v>
      </c>
      <c r="Q375" s="57">
        <v>45800</v>
      </c>
      <c r="R375" s="57">
        <v>46878</v>
      </c>
      <c r="S375" s="56">
        <v>26</v>
      </c>
      <c r="T375" s="54">
        <v>6</v>
      </c>
      <c r="U375" s="52">
        <v>2444196625.1900001</v>
      </c>
      <c r="V375" s="52">
        <v>2333333333.3400002</v>
      </c>
      <c r="W375" s="52">
        <v>110863291.84999999</v>
      </c>
      <c r="X375" s="57">
        <v>45996</v>
      </c>
      <c r="Y375" s="52">
        <v>0</v>
      </c>
      <c r="Z375" s="52">
        <v>0</v>
      </c>
      <c r="AA375" s="52">
        <v>1</v>
      </c>
      <c r="AB375" s="52">
        <v>0</v>
      </c>
      <c r="AC375" s="52">
        <v>8310502.2800000003</v>
      </c>
      <c r="AD375" s="52">
        <v>8310502.2800000003</v>
      </c>
      <c r="AE375" s="52">
        <v>0</v>
      </c>
      <c r="AF375" s="52">
        <v>0</v>
      </c>
      <c r="AG375" s="52">
        <v>0</v>
      </c>
      <c r="AH375" s="52">
        <v>0</v>
      </c>
      <c r="AI375" s="52">
        <v>0</v>
      </c>
      <c r="AJ375" s="52">
        <v>2</v>
      </c>
      <c r="AK375" s="52"/>
      <c r="AL375" s="52">
        <v>0</v>
      </c>
      <c r="AM375" s="52">
        <v>0</v>
      </c>
      <c r="AN375" s="52">
        <v>3000000000</v>
      </c>
      <c r="AO375" s="52">
        <v>3486407000</v>
      </c>
      <c r="AP375" s="52">
        <v>964000000</v>
      </c>
      <c r="AQ375" s="58">
        <v>0</v>
      </c>
      <c r="AR375" s="58">
        <v>0</v>
      </c>
      <c r="AS375" s="58">
        <v>0</v>
      </c>
      <c r="AT375" s="58">
        <v>0</v>
      </c>
      <c r="AU375" s="58">
        <v>0</v>
      </c>
      <c r="AV375" s="58">
        <v>0</v>
      </c>
      <c r="AW375" s="58">
        <v>0</v>
      </c>
      <c r="AX375" s="58">
        <v>0</v>
      </c>
    </row>
    <row r="376" spans="1:50" x14ac:dyDescent="0.25">
      <c r="A376" s="52">
        <f t="shared" si="26"/>
        <v>371</v>
      </c>
      <c r="B376" s="60" t="str">
        <f t="shared" si="25"/>
        <v>0048539721</v>
      </c>
      <c r="C376" s="67" t="s">
        <v>28</v>
      </c>
      <c r="D376" s="59" t="s">
        <v>2058</v>
      </c>
      <c r="E376" s="55" t="str">
        <f t="shared" si="27"/>
        <v>00485</v>
      </c>
      <c r="F376" s="53" t="s">
        <v>2078</v>
      </c>
      <c r="G376" s="55" t="s">
        <v>18</v>
      </c>
      <c r="H376" s="60" t="s">
        <v>2449</v>
      </c>
      <c r="I376" s="55">
        <v>301726614</v>
      </c>
      <c r="J376" s="55">
        <v>39721</v>
      </c>
      <c r="K376" s="55" t="s">
        <v>547</v>
      </c>
      <c r="L376" s="53" t="s">
        <v>2045</v>
      </c>
      <c r="M376" s="55" t="s">
        <v>49</v>
      </c>
      <c r="N376" s="52">
        <v>10000000000</v>
      </c>
      <c r="O376" s="52">
        <v>10000000000</v>
      </c>
      <c r="P376" s="52">
        <v>9186213943</v>
      </c>
      <c r="Q376" s="57">
        <v>43917</v>
      </c>
      <c r="R376" s="57">
        <v>45946</v>
      </c>
      <c r="S376" s="56">
        <v>16</v>
      </c>
      <c r="T376" s="54">
        <v>0</v>
      </c>
      <c r="U376" s="52">
        <v>2134751834.49</v>
      </c>
      <c r="V376" s="52">
        <v>0</v>
      </c>
      <c r="W376" s="52">
        <v>2134751834.49</v>
      </c>
      <c r="X376" s="57">
        <v>46037</v>
      </c>
      <c r="Y376" s="52">
        <v>0</v>
      </c>
      <c r="Z376" s="52">
        <v>0</v>
      </c>
      <c r="AA376" s="52">
        <v>3</v>
      </c>
      <c r="AB376" s="52">
        <v>533687958.62</v>
      </c>
      <c r="AC376" s="52">
        <v>81381916.090000004</v>
      </c>
      <c r="AD376" s="52">
        <v>0</v>
      </c>
      <c r="AE376" s="52">
        <v>0</v>
      </c>
      <c r="AF376" s="52">
        <v>4972054.41</v>
      </c>
      <c r="AG376" s="52">
        <v>76409861.680000007</v>
      </c>
      <c r="AH376" s="52">
        <v>0</v>
      </c>
      <c r="AI376" s="52">
        <v>0</v>
      </c>
      <c r="AJ376" s="52">
        <v>2</v>
      </c>
      <c r="AK376" s="52"/>
      <c r="AL376" s="52">
        <v>0</v>
      </c>
      <c r="AM376" s="52">
        <v>0</v>
      </c>
      <c r="AN376" s="61">
        <v>12300000000</v>
      </c>
      <c r="AO376" s="52">
        <v>0</v>
      </c>
      <c r="AP376" s="52">
        <v>0</v>
      </c>
      <c r="AQ376" s="58">
        <v>0</v>
      </c>
      <c r="AR376" s="58">
        <v>0</v>
      </c>
      <c r="AS376" s="58">
        <v>7</v>
      </c>
      <c r="AT376" s="58">
        <v>90836.680000000008</v>
      </c>
      <c r="AU376" s="58">
        <v>2</v>
      </c>
      <c r="AV376" s="58">
        <v>236790</v>
      </c>
      <c r="AW376" s="58">
        <v>12</v>
      </c>
      <c r="AX376" s="58">
        <v>3152498.77</v>
      </c>
    </row>
    <row r="377" spans="1:50" x14ac:dyDescent="0.25">
      <c r="A377" s="52">
        <f t="shared" si="26"/>
        <v>372</v>
      </c>
      <c r="B377" s="60" t="str">
        <f t="shared" si="25"/>
        <v>00485218798</v>
      </c>
      <c r="C377" s="67" t="s">
        <v>28</v>
      </c>
      <c r="D377" s="59" t="s">
        <v>2058</v>
      </c>
      <c r="E377" s="55" t="str">
        <f t="shared" si="27"/>
        <v>00485</v>
      </c>
      <c r="F377" s="53" t="s">
        <v>2078</v>
      </c>
      <c r="G377" s="55" t="s">
        <v>18</v>
      </c>
      <c r="H377" s="60" t="s">
        <v>2451</v>
      </c>
      <c r="I377" s="55">
        <v>310731905</v>
      </c>
      <c r="J377" s="55">
        <v>218798</v>
      </c>
      <c r="K377" s="55" t="s">
        <v>548</v>
      </c>
      <c r="L377" s="53" t="s">
        <v>2079</v>
      </c>
      <c r="M377" s="55" t="s">
        <v>49</v>
      </c>
      <c r="N377" s="52">
        <v>1450000000</v>
      </c>
      <c r="O377" s="52">
        <v>1450000000</v>
      </c>
      <c r="P377" s="52">
        <v>1450000000</v>
      </c>
      <c r="Q377" s="57">
        <v>45866</v>
      </c>
      <c r="R377" s="57">
        <v>46392</v>
      </c>
      <c r="S377" s="56">
        <v>26</v>
      </c>
      <c r="T377" s="54">
        <v>3</v>
      </c>
      <c r="U377" s="52">
        <v>1450000000</v>
      </c>
      <c r="V377" s="52">
        <v>1450000000</v>
      </c>
      <c r="W377" s="52">
        <v>0</v>
      </c>
      <c r="X377" s="57"/>
      <c r="Y377" s="52">
        <v>0</v>
      </c>
      <c r="Z377" s="52">
        <v>0</v>
      </c>
      <c r="AA377" s="52">
        <v>1</v>
      </c>
      <c r="AB377" s="52">
        <v>0</v>
      </c>
      <c r="AC377" s="52">
        <v>140070176.97</v>
      </c>
      <c r="AD377" s="52">
        <v>34222648.399999999</v>
      </c>
      <c r="AE377" s="52">
        <v>0</v>
      </c>
      <c r="AF377" s="52">
        <v>105847528.56999999</v>
      </c>
      <c r="AG377" s="52">
        <v>0</v>
      </c>
      <c r="AH377" s="52">
        <v>0</v>
      </c>
      <c r="AI377" s="52">
        <v>0</v>
      </c>
      <c r="AJ377" s="52">
        <v>2</v>
      </c>
      <c r="AK377" s="52"/>
      <c r="AL377" s="52">
        <v>0</v>
      </c>
      <c r="AM377" s="52">
        <v>0</v>
      </c>
      <c r="AN377" s="61">
        <v>1740000000</v>
      </c>
      <c r="AO377" s="52">
        <v>56000000</v>
      </c>
      <c r="AP377" s="52">
        <v>56000000</v>
      </c>
      <c r="AQ377" s="58">
        <v>0</v>
      </c>
      <c r="AR377" s="58">
        <v>0</v>
      </c>
      <c r="AS377" s="58">
        <v>0</v>
      </c>
      <c r="AT377" s="58">
        <v>0</v>
      </c>
      <c r="AU377" s="58">
        <v>0</v>
      </c>
      <c r="AV377" s="58">
        <v>0</v>
      </c>
      <c r="AW377" s="58">
        <v>0</v>
      </c>
      <c r="AX377" s="58">
        <v>0</v>
      </c>
    </row>
    <row r="378" spans="1:50" x14ac:dyDescent="0.25">
      <c r="A378" s="52">
        <f t="shared" si="26"/>
        <v>373</v>
      </c>
      <c r="B378" s="60" t="str">
        <f t="shared" si="25"/>
        <v>0048545219</v>
      </c>
      <c r="C378" s="67" t="s">
        <v>28</v>
      </c>
      <c r="D378" s="59" t="s">
        <v>2058</v>
      </c>
      <c r="E378" s="55" t="str">
        <f t="shared" si="27"/>
        <v>00485</v>
      </c>
      <c r="F378" s="53" t="s">
        <v>2078</v>
      </c>
      <c r="G378" s="55" t="s">
        <v>18</v>
      </c>
      <c r="H378" s="60" t="s">
        <v>2452</v>
      </c>
      <c r="I378" s="55">
        <v>306651056</v>
      </c>
      <c r="J378" s="55">
        <v>45219</v>
      </c>
      <c r="K378" s="55" t="s">
        <v>549</v>
      </c>
      <c r="L378" s="53" t="s">
        <v>2079</v>
      </c>
      <c r="M378" s="55" t="s">
        <v>49</v>
      </c>
      <c r="N378" s="52">
        <v>1500000000</v>
      </c>
      <c r="O378" s="52">
        <v>1500000000</v>
      </c>
      <c r="P378" s="52">
        <v>1500000000</v>
      </c>
      <c r="Q378" s="57">
        <v>44161</v>
      </c>
      <c r="R378" s="57">
        <v>46122</v>
      </c>
      <c r="S378" s="56">
        <v>0</v>
      </c>
      <c r="T378" s="54">
        <v>0</v>
      </c>
      <c r="U378" s="52">
        <v>1416666666.6700001</v>
      </c>
      <c r="V378" s="52">
        <v>1416666666.6700001</v>
      </c>
      <c r="W378" s="52">
        <v>0</v>
      </c>
      <c r="X378" s="57"/>
      <c r="Y378" s="52">
        <v>0</v>
      </c>
      <c r="Z378" s="52">
        <v>0</v>
      </c>
      <c r="AA378" s="52">
        <v>1</v>
      </c>
      <c r="AB378" s="52">
        <v>0</v>
      </c>
      <c r="AC378" s="52">
        <v>208224796.75</v>
      </c>
      <c r="AD378" s="52">
        <v>0</v>
      </c>
      <c r="AE378" s="52">
        <v>0</v>
      </c>
      <c r="AF378" s="52">
        <v>208224796.75</v>
      </c>
      <c r="AG378" s="52">
        <v>0</v>
      </c>
      <c r="AH378" s="52">
        <v>0</v>
      </c>
      <c r="AI378" s="52">
        <v>0</v>
      </c>
      <c r="AJ378" s="52">
        <v>2</v>
      </c>
      <c r="AK378" s="52"/>
      <c r="AL378" s="52">
        <v>0</v>
      </c>
      <c r="AM378" s="52">
        <v>0</v>
      </c>
      <c r="AN378" s="61">
        <v>3800000000</v>
      </c>
      <c r="AO378" s="52">
        <v>0</v>
      </c>
      <c r="AP378" s="52">
        <v>0</v>
      </c>
      <c r="AQ378" s="58">
        <v>0</v>
      </c>
      <c r="AR378" s="58">
        <v>0</v>
      </c>
      <c r="AS378" s="58">
        <v>0</v>
      </c>
      <c r="AT378" s="58">
        <v>0</v>
      </c>
      <c r="AU378" s="58">
        <v>0</v>
      </c>
      <c r="AV378" s="58">
        <v>0</v>
      </c>
      <c r="AW378" s="58">
        <v>0</v>
      </c>
      <c r="AX378" s="58">
        <v>0</v>
      </c>
    </row>
    <row r="379" spans="1:50" x14ac:dyDescent="0.25">
      <c r="A379" s="52">
        <f t="shared" si="26"/>
        <v>374</v>
      </c>
      <c r="B379" s="60" t="str">
        <f t="shared" si="25"/>
        <v>00485121895</v>
      </c>
      <c r="C379" s="67" t="s">
        <v>28</v>
      </c>
      <c r="D379" s="59" t="s">
        <v>2058</v>
      </c>
      <c r="E379" s="55" t="str">
        <f t="shared" si="27"/>
        <v>00485</v>
      </c>
      <c r="F379" s="53" t="s">
        <v>2078</v>
      </c>
      <c r="G379" s="55" t="s">
        <v>18</v>
      </c>
      <c r="H379" s="60" t="s">
        <v>2453</v>
      </c>
      <c r="I379" s="55">
        <v>305882141</v>
      </c>
      <c r="J379" s="55">
        <v>121895</v>
      </c>
      <c r="K379" s="55" t="s">
        <v>550</v>
      </c>
      <c r="L379" s="53" t="s">
        <v>2079</v>
      </c>
      <c r="M379" s="55" t="s">
        <v>49</v>
      </c>
      <c r="N379" s="52">
        <v>2500000000</v>
      </c>
      <c r="O379" s="52">
        <v>2500000000</v>
      </c>
      <c r="P379" s="52">
        <v>1016154333</v>
      </c>
      <c r="Q379" s="57">
        <v>45289</v>
      </c>
      <c r="R379" s="57">
        <v>47101</v>
      </c>
      <c r="S379" s="56">
        <v>14</v>
      </c>
      <c r="T379" s="54">
        <v>24</v>
      </c>
      <c r="U379" s="52">
        <v>951167754.13999999</v>
      </c>
      <c r="V379" s="52">
        <v>946709888.55999994</v>
      </c>
      <c r="W379" s="52">
        <v>4457865.58</v>
      </c>
      <c r="X379" s="57">
        <v>46036</v>
      </c>
      <c r="Y379" s="52">
        <v>0</v>
      </c>
      <c r="Z379" s="52">
        <v>0</v>
      </c>
      <c r="AA379" s="52">
        <v>1</v>
      </c>
      <c r="AB379" s="52">
        <v>0</v>
      </c>
      <c r="AC379" s="52">
        <v>1824157.34</v>
      </c>
      <c r="AD379" s="52">
        <v>1815608.01</v>
      </c>
      <c r="AE379" s="52">
        <v>0</v>
      </c>
      <c r="AF379" s="52">
        <v>0</v>
      </c>
      <c r="AG379" s="52">
        <v>8549.33</v>
      </c>
      <c r="AH379" s="52">
        <v>0</v>
      </c>
      <c r="AI379" s="52">
        <v>0</v>
      </c>
      <c r="AJ379" s="52">
        <v>2</v>
      </c>
      <c r="AK379" s="52"/>
      <c r="AL379" s="52">
        <v>0</v>
      </c>
      <c r="AM379" s="52">
        <v>0</v>
      </c>
      <c r="AN379" s="61">
        <v>3000000000</v>
      </c>
      <c r="AO379" s="52">
        <v>5530254000</v>
      </c>
      <c r="AP379" s="52">
        <v>302152365</v>
      </c>
      <c r="AQ379" s="58">
        <v>0</v>
      </c>
      <c r="AR379" s="58">
        <v>0</v>
      </c>
      <c r="AS379" s="58">
        <v>1</v>
      </c>
      <c r="AT379" s="58">
        <v>9700.4</v>
      </c>
      <c r="AU379" s="58">
        <v>14</v>
      </c>
      <c r="AV379" s="58">
        <v>391457.1</v>
      </c>
      <c r="AW379" s="58">
        <v>0</v>
      </c>
      <c r="AX379" s="58">
        <v>0</v>
      </c>
    </row>
    <row r="380" spans="1:50" x14ac:dyDescent="0.25">
      <c r="A380" s="52">
        <f t="shared" si="26"/>
        <v>375</v>
      </c>
      <c r="B380" s="60" t="str">
        <f t="shared" si="25"/>
        <v>00485116863</v>
      </c>
      <c r="C380" s="67" t="s">
        <v>28</v>
      </c>
      <c r="D380" s="59" t="s">
        <v>2058</v>
      </c>
      <c r="E380" s="55" t="str">
        <f t="shared" si="27"/>
        <v>00485</v>
      </c>
      <c r="F380" s="53" t="s">
        <v>2078</v>
      </c>
      <c r="G380" s="55" t="s">
        <v>18</v>
      </c>
      <c r="H380" s="60" t="s">
        <v>2453</v>
      </c>
      <c r="I380" s="55">
        <v>305882141</v>
      </c>
      <c r="J380" s="55">
        <v>116863</v>
      </c>
      <c r="K380" s="55" t="s">
        <v>551</v>
      </c>
      <c r="L380" s="53" t="s">
        <v>2079</v>
      </c>
      <c r="M380" s="55" t="s">
        <v>49</v>
      </c>
      <c r="N380" s="52">
        <v>814000000</v>
      </c>
      <c r="O380" s="52">
        <v>814000000</v>
      </c>
      <c r="P380" s="52">
        <v>814000000</v>
      </c>
      <c r="Q380" s="57">
        <v>45216</v>
      </c>
      <c r="R380" s="57">
        <v>48866</v>
      </c>
      <c r="S380" s="56">
        <v>10</v>
      </c>
      <c r="T380" s="54">
        <v>24</v>
      </c>
      <c r="U380" s="52">
        <v>788562500.01999998</v>
      </c>
      <c r="V380" s="52">
        <v>788562500.01999998</v>
      </c>
      <c r="W380" s="52">
        <v>0</v>
      </c>
      <c r="X380" s="57"/>
      <c r="Y380" s="52">
        <v>0</v>
      </c>
      <c r="Z380" s="52">
        <v>0</v>
      </c>
      <c r="AA380" s="52">
        <v>1</v>
      </c>
      <c r="AB380" s="52">
        <v>0</v>
      </c>
      <c r="AC380" s="52">
        <v>3456712.33</v>
      </c>
      <c r="AD380" s="52">
        <v>3456712.33</v>
      </c>
      <c r="AE380" s="52">
        <v>0</v>
      </c>
      <c r="AF380" s="52">
        <v>0</v>
      </c>
      <c r="AG380" s="52">
        <v>0</v>
      </c>
      <c r="AH380" s="52">
        <v>0</v>
      </c>
      <c r="AI380" s="52">
        <v>0</v>
      </c>
      <c r="AJ380" s="52">
        <v>2</v>
      </c>
      <c r="AK380" s="52"/>
      <c r="AL380" s="52">
        <v>0</v>
      </c>
      <c r="AM380" s="52">
        <v>0</v>
      </c>
      <c r="AN380" s="61">
        <v>814000000</v>
      </c>
      <c r="AO380" s="52">
        <v>2958549200</v>
      </c>
      <c r="AP380" s="52">
        <v>154850690</v>
      </c>
      <c r="AQ380" s="58">
        <v>0</v>
      </c>
      <c r="AR380" s="58">
        <v>0</v>
      </c>
      <c r="AS380" s="58">
        <v>1</v>
      </c>
      <c r="AT380" s="58">
        <v>9700.4</v>
      </c>
      <c r="AU380" s="58">
        <v>14</v>
      </c>
      <c r="AV380" s="58">
        <v>391457.1</v>
      </c>
      <c r="AW380" s="58">
        <v>0</v>
      </c>
      <c r="AX380" s="58">
        <v>0</v>
      </c>
    </row>
    <row r="381" spans="1:50" x14ac:dyDescent="0.25">
      <c r="A381" s="52">
        <f t="shared" si="26"/>
        <v>376</v>
      </c>
      <c r="B381" s="60" t="str">
        <f t="shared" ref="B381:B444" si="28">+E381&amp;J381</f>
        <v>0048540450</v>
      </c>
      <c r="C381" s="67" t="s">
        <v>28</v>
      </c>
      <c r="D381" s="59" t="s">
        <v>2058</v>
      </c>
      <c r="E381" s="55" t="str">
        <f t="shared" si="27"/>
        <v>00485</v>
      </c>
      <c r="F381" s="53" t="s">
        <v>2078</v>
      </c>
      <c r="G381" s="55" t="s">
        <v>18</v>
      </c>
      <c r="H381" s="60" t="s">
        <v>552</v>
      </c>
      <c r="I381" s="55">
        <v>306453832</v>
      </c>
      <c r="J381" s="55">
        <v>40450</v>
      </c>
      <c r="K381" s="55" t="s">
        <v>553</v>
      </c>
      <c r="L381" s="53" t="s">
        <v>2079</v>
      </c>
      <c r="M381" s="55" t="s">
        <v>49</v>
      </c>
      <c r="N381" s="52">
        <v>1105402920</v>
      </c>
      <c r="O381" s="52">
        <v>1105402920</v>
      </c>
      <c r="P381" s="52">
        <v>1105402920</v>
      </c>
      <c r="Q381" s="57">
        <v>43965</v>
      </c>
      <c r="R381" s="57">
        <v>46520</v>
      </c>
      <c r="S381" s="56">
        <v>5</v>
      </c>
      <c r="T381" s="54">
        <v>1</v>
      </c>
      <c r="U381" s="52">
        <v>538475733.11000001</v>
      </c>
      <c r="V381" s="52">
        <v>524303900.81</v>
      </c>
      <c r="W381" s="52">
        <v>14171832.300000001</v>
      </c>
      <c r="X381" s="57">
        <v>46035</v>
      </c>
      <c r="Y381" s="52">
        <v>0</v>
      </c>
      <c r="Z381" s="52">
        <v>0</v>
      </c>
      <c r="AA381" s="52">
        <v>3</v>
      </c>
      <c r="AB381" s="52">
        <v>134618933.27000001</v>
      </c>
      <c r="AC381" s="52">
        <v>42074832.649999999</v>
      </c>
      <c r="AD381" s="52">
        <v>12576724.039999999</v>
      </c>
      <c r="AE381" s="52">
        <v>0</v>
      </c>
      <c r="AF381" s="52">
        <v>29498108.609999999</v>
      </c>
      <c r="AG381" s="52">
        <v>0</v>
      </c>
      <c r="AH381" s="52">
        <v>0</v>
      </c>
      <c r="AI381" s="52">
        <v>0</v>
      </c>
      <c r="AJ381" s="52">
        <v>2</v>
      </c>
      <c r="AK381" s="52"/>
      <c r="AL381" s="52">
        <v>0</v>
      </c>
      <c r="AM381" s="52">
        <v>0</v>
      </c>
      <c r="AN381" s="61">
        <v>1437394876</v>
      </c>
      <c r="AO381" s="52">
        <v>0</v>
      </c>
      <c r="AP381" s="52">
        <v>0</v>
      </c>
      <c r="AQ381" s="58">
        <v>0</v>
      </c>
      <c r="AR381" s="58">
        <v>0</v>
      </c>
      <c r="AS381" s="58">
        <v>0</v>
      </c>
      <c r="AT381" s="58">
        <v>0</v>
      </c>
      <c r="AU381" s="58">
        <v>0</v>
      </c>
      <c r="AV381" s="58">
        <v>0</v>
      </c>
      <c r="AW381" s="58">
        <v>0</v>
      </c>
      <c r="AX381" s="58">
        <v>0</v>
      </c>
    </row>
    <row r="382" spans="1:50" x14ac:dyDescent="0.25">
      <c r="A382" s="52">
        <f t="shared" si="26"/>
        <v>377</v>
      </c>
      <c r="B382" s="60" t="str">
        <f t="shared" si="28"/>
        <v>00485147657</v>
      </c>
      <c r="C382" s="67" t="s">
        <v>28</v>
      </c>
      <c r="D382" s="59" t="s">
        <v>2058</v>
      </c>
      <c r="E382" s="55" t="str">
        <f t="shared" si="27"/>
        <v>00485</v>
      </c>
      <c r="F382" s="53" t="s">
        <v>2078</v>
      </c>
      <c r="G382" s="55" t="s">
        <v>18</v>
      </c>
      <c r="H382" s="60" t="s">
        <v>552</v>
      </c>
      <c r="I382" s="55">
        <v>306453832</v>
      </c>
      <c r="J382" s="55">
        <v>147657</v>
      </c>
      <c r="K382" s="55" t="s">
        <v>554</v>
      </c>
      <c r="L382" s="53" t="s">
        <v>2079</v>
      </c>
      <c r="M382" s="55" t="s">
        <v>49</v>
      </c>
      <c r="N382" s="52">
        <v>520764064</v>
      </c>
      <c r="O382" s="52">
        <v>520764064</v>
      </c>
      <c r="P382" s="52">
        <v>520764064</v>
      </c>
      <c r="Q382" s="57">
        <v>45532</v>
      </c>
      <c r="R382" s="57">
        <v>46972</v>
      </c>
      <c r="S382" s="56">
        <v>26</v>
      </c>
      <c r="T382" s="54">
        <v>1</v>
      </c>
      <c r="U382" s="52">
        <v>504471367.27999997</v>
      </c>
      <c r="V382" s="52">
        <v>504471367.27999997</v>
      </c>
      <c r="W382" s="52">
        <v>0</v>
      </c>
      <c r="X382" s="57"/>
      <c r="Y382" s="52">
        <v>0</v>
      </c>
      <c r="Z382" s="52">
        <v>0</v>
      </c>
      <c r="AA382" s="52">
        <v>3</v>
      </c>
      <c r="AB382" s="52">
        <v>126117841.81999999</v>
      </c>
      <c r="AC382" s="52">
        <v>151202010.03</v>
      </c>
      <c r="AD382" s="52">
        <v>9702435.6099999994</v>
      </c>
      <c r="AE382" s="52">
        <v>0</v>
      </c>
      <c r="AF382" s="52">
        <v>130359740.94</v>
      </c>
      <c r="AG382" s="52">
        <v>11139833.48</v>
      </c>
      <c r="AH382" s="52">
        <v>0</v>
      </c>
      <c r="AI382" s="52">
        <v>0</v>
      </c>
      <c r="AJ382" s="52">
        <v>2</v>
      </c>
      <c r="AK382" s="52"/>
      <c r="AL382" s="52">
        <v>0</v>
      </c>
      <c r="AM382" s="52">
        <v>0</v>
      </c>
      <c r="AN382" s="61">
        <v>1088458438</v>
      </c>
      <c r="AO382" s="52">
        <v>0</v>
      </c>
      <c r="AP382" s="52">
        <v>0</v>
      </c>
      <c r="AQ382" s="58">
        <v>0</v>
      </c>
      <c r="AR382" s="58">
        <v>0</v>
      </c>
      <c r="AS382" s="58">
        <v>0</v>
      </c>
      <c r="AT382" s="58">
        <v>0</v>
      </c>
      <c r="AU382" s="58">
        <v>0</v>
      </c>
      <c r="AV382" s="58">
        <v>0</v>
      </c>
      <c r="AW382" s="58">
        <v>0</v>
      </c>
      <c r="AX382" s="58">
        <v>0</v>
      </c>
    </row>
    <row r="383" spans="1:50" x14ac:dyDescent="0.25">
      <c r="A383" s="52">
        <f t="shared" si="26"/>
        <v>378</v>
      </c>
      <c r="B383" s="60" t="str">
        <f t="shared" si="28"/>
        <v>0048557745</v>
      </c>
      <c r="C383" s="67" t="s">
        <v>28</v>
      </c>
      <c r="D383" s="59" t="s">
        <v>2058</v>
      </c>
      <c r="E383" s="55" t="str">
        <f t="shared" si="27"/>
        <v>00485</v>
      </c>
      <c r="F383" s="53" t="s">
        <v>2078</v>
      </c>
      <c r="G383" s="55" t="s">
        <v>18</v>
      </c>
      <c r="H383" s="60" t="s">
        <v>555</v>
      </c>
      <c r="I383" s="55">
        <v>308449597</v>
      </c>
      <c r="J383" s="55">
        <v>57745</v>
      </c>
      <c r="K383" s="55" t="s">
        <v>556</v>
      </c>
      <c r="L383" s="53" t="s">
        <v>2079</v>
      </c>
      <c r="M383" s="55" t="s">
        <v>49</v>
      </c>
      <c r="N383" s="52">
        <v>347315000</v>
      </c>
      <c r="O383" s="52">
        <v>347315000</v>
      </c>
      <c r="P383" s="61">
        <v>347315000</v>
      </c>
      <c r="Q383" s="57">
        <v>44539</v>
      </c>
      <c r="R383" s="57">
        <v>48282</v>
      </c>
      <c r="S383" s="56">
        <v>0</v>
      </c>
      <c r="T383" s="54">
        <v>39</v>
      </c>
      <c r="U383" s="52">
        <v>347315000</v>
      </c>
      <c r="V383" s="52">
        <v>347315000</v>
      </c>
      <c r="W383" s="52">
        <v>0</v>
      </c>
      <c r="X383" s="57"/>
      <c r="Y383" s="52">
        <v>0</v>
      </c>
      <c r="Z383" s="52">
        <v>0</v>
      </c>
      <c r="AA383" s="52">
        <v>1</v>
      </c>
      <c r="AB383" s="52">
        <v>0</v>
      </c>
      <c r="AC383" s="52">
        <v>51570273.68</v>
      </c>
      <c r="AD383" s="52">
        <v>0</v>
      </c>
      <c r="AE383" s="52">
        <v>0</v>
      </c>
      <c r="AF383" s="52">
        <v>51528586.82</v>
      </c>
      <c r="AG383" s="52">
        <v>41686.86</v>
      </c>
      <c r="AH383" s="52">
        <v>0</v>
      </c>
      <c r="AI383" s="52">
        <v>0</v>
      </c>
      <c r="AJ383" s="52">
        <v>2</v>
      </c>
      <c r="AK383" s="52"/>
      <c r="AL383" s="52">
        <v>0</v>
      </c>
      <c r="AM383" s="52">
        <v>0</v>
      </c>
      <c r="AN383" s="52">
        <v>347315000</v>
      </c>
      <c r="AO383" s="52">
        <v>8200000</v>
      </c>
      <c r="AP383" s="52">
        <v>8200000</v>
      </c>
      <c r="AQ383" s="58">
        <v>0</v>
      </c>
      <c r="AR383" s="58">
        <v>0</v>
      </c>
      <c r="AS383" s="58">
        <v>0</v>
      </c>
      <c r="AT383" s="58">
        <v>0</v>
      </c>
      <c r="AU383" s="58">
        <v>0</v>
      </c>
      <c r="AV383" s="58">
        <v>0</v>
      </c>
      <c r="AW383" s="58">
        <v>0</v>
      </c>
      <c r="AX383" s="58">
        <v>0</v>
      </c>
    </row>
    <row r="384" spans="1:50" x14ac:dyDescent="0.25">
      <c r="A384" s="52">
        <f t="shared" si="26"/>
        <v>379</v>
      </c>
      <c r="B384" s="60" t="str">
        <f t="shared" si="28"/>
        <v>0048557744</v>
      </c>
      <c r="C384" s="67" t="s">
        <v>28</v>
      </c>
      <c r="D384" s="59" t="s">
        <v>2058</v>
      </c>
      <c r="E384" s="55" t="str">
        <f t="shared" si="27"/>
        <v>00485</v>
      </c>
      <c r="F384" s="53" t="s">
        <v>2078</v>
      </c>
      <c r="G384" s="55" t="s">
        <v>18</v>
      </c>
      <c r="H384" s="60" t="s">
        <v>555</v>
      </c>
      <c r="I384" s="55">
        <v>308449597</v>
      </c>
      <c r="J384" s="55">
        <v>57744</v>
      </c>
      <c r="K384" s="55" t="s">
        <v>557</v>
      </c>
      <c r="L384" s="53" t="s">
        <v>2079</v>
      </c>
      <c r="M384" s="55" t="s">
        <v>49</v>
      </c>
      <c r="N384" s="52">
        <v>338981000</v>
      </c>
      <c r="O384" s="52">
        <v>338981000</v>
      </c>
      <c r="P384" s="61">
        <v>338981000</v>
      </c>
      <c r="Q384" s="57">
        <v>44539</v>
      </c>
      <c r="R384" s="57">
        <v>48253</v>
      </c>
      <c r="S384" s="56">
        <v>0</v>
      </c>
      <c r="T384" s="54">
        <v>38</v>
      </c>
      <c r="U384" s="52">
        <v>338981000</v>
      </c>
      <c r="V384" s="52">
        <v>338981000</v>
      </c>
      <c r="W384" s="52">
        <v>0</v>
      </c>
      <c r="X384" s="57"/>
      <c r="Y384" s="52">
        <v>0</v>
      </c>
      <c r="Z384" s="52">
        <v>0</v>
      </c>
      <c r="AA384" s="52">
        <v>1</v>
      </c>
      <c r="AB384" s="52">
        <v>0</v>
      </c>
      <c r="AC384" s="52">
        <v>44161949.359999999</v>
      </c>
      <c r="AD384" s="52">
        <v>0</v>
      </c>
      <c r="AE384" s="52">
        <v>0</v>
      </c>
      <c r="AF384" s="52">
        <v>44161949.359999999</v>
      </c>
      <c r="AG384" s="52">
        <v>0</v>
      </c>
      <c r="AH384" s="52">
        <v>0</v>
      </c>
      <c r="AI384" s="52">
        <v>0</v>
      </c>
      <c r="AJ384" s="52">
        <v>2</v>
      </c>
      <c r="AK384" s="52"/>
      <c r="AL384" s="52">
        <v>0</v>
      </c>
      <c r="AM384" s="52">
        <v>0</v>
      </c>
      <c r="AN384" s="52">
        <v>338981000</v>
      </c>
      <c r="AO384" s="52">
        <v>8200000</v>
      </c>
      <c r="AP384" s="52">
        <v>8200000</v>
      </c>
      <c r="AQ384" s="58">
        <v>0</v>
      </c>
      <c r="AR384" s="58">
        <v>0</v>
      </c>
      <c r="AS384" s="58">
        <v>0</v>
      </c>
      <c r="AT384" s="58">
        <v>0</v>
      </c>
      <c r="AU384" s="58">
        <v>0</v>
      </c>
      <c r="AV384" s="58">
        <v>0</v>
      </c>
      <c r="AW384" s="58">
        <v>0</v>
      </c>
      <c r="AX384" s="58">
        <v>0</v>
      </c>
    </row>
    <row r="385" spans="1:50" x14ac:dyDescent="0.25">
      <c r="A385" s="52">
        <f t="shared" si="26"/>
        <v>380</v>
      </c>
      <c r="B385" s="60" t="str">
        <f t="shared" si="28"/>
        <v>0048557726</v>
      </c>
      <c r="C385" s="67" t="s">
        <v>28</v>
      </c>
      <c r="D385" s="59" t="s">
        <v>2058</v>
      </c>
      <c r="E385" s="55" t="str">
        <f t="shared" si="27"/>
        <v>00485</v>
      </c>
      <c r="F385" s="53" t="s">
        <v>2078</v>
      </c>
      <c r="G385" s="55" t="s">
        <v>18</v>
      </c>
      <c r="H385" s="60" t="s">
        <v>555</v>
      </c>
      <c r="I385" s="55">
        <v>308449597</v>
      </c>
      <c r="J385" s="55">
        <v>57726</v>
      </c>
      <c r="K385" s="55" t="s">
        <v>558</v>
      </c>
      <c r="L385" s="53" t="s">
        <v>2079</v>
      </c>
      <c r="M385" s="55" t="s">
        <v>49</v>
      </c>
      <c r="N385" s="52">
        <v>332069000</v>
      </c>
      <c r="O385" s="52">
        <v>332069000</v>
      </c>
      <c r="P385" s="61">
        <v>332069000</v>
      </c>
      <c r="Q385" s="57">
        <v>44536</v>
      </c>
      <c r="R385" s="57">
        <v>48249</v>
      </c>
      <c r="S385" s="56">
        <v>0</v>
      </c>
      <c r="T385" s="54">
        <v>36</v>
      </c>
      <c r="U385" s="52">
        <v>332069000</v>
      </c>
      <c r="V385" s="52">
        <v>332069000</v>
      </c>
      <c r="W385" s="52">
        <v>0</v>
      </c>
      <c r="X385" s="57"/>
      <c r="Y385" s="52">
        <v>0</v>
      </c>
      <c r="Z385" s="52">
        <v>0</v>
      </c>
      <c r="AA385" s="52">
        <v>1</v>
      </c>
      <c r="AB385" s="52">
        <v>0</v>
      </c>
      <c r="AC385" s="52">
        <v>42674904.810000002</v>
      </c>
      <c r="AD385" s="52">
        <v>0</v>
      </c>
      <c r="AE385" s="52">
        <v>0</v>
      </c>
      <c r="AF385" s="52">
        <v>42674904.810000002</v>
      </c>
      <c r="AG385" s="52">
        <v>0</v>
      </c>
      <c r="AH385" s="52">
        <v>0</v>
      </c>
      <c r="AI385" s="52">
        <v>0</v>
      </c>
      <c r="AJ385" s="52">
        <v>2</v>
      </c>
      <c r="AK385" s="52"/>
      <c r="AL385" s="52">
        <v>0</v>
      </c>
      <c r="AM385" s="52">
        <v>0</v>
      </c>
      <c r="AN385" s="52">
        <v>332069000</v>
      </c>
      <c r="AO385" s="52">
        <v>8200000</v>
      </c>
      <c r="AP385" s="52">
        <v>8200000</v>
      </c>
      <c r="AQ385" s="58">
        <v>0</v>
      </c>
      <c r="AR385" s="58">
        <v>0</v>
      </c>
      <c r="AS385" s="58">
        <v>0</v>
      </c>
      <c r="AT385" s="58">
        <v>0</v>
      </c>
      <c r="AU385" s="58">
        <v>0</v>
      </c>
      <c r="AV385" s="58">
        <v>0</v>
      </c>
      <c r="AW385" s="58">
        <v>0</v>
      </c>
      <c r="AX385" s="58">
        <v>0</v>
      </c>
    </row>
    <row r="386" spans="1:50" x14ac:dyDescent="0.25">
      <c r="A386" s="52">
        <f t="shared" si="26"/>
        <v>381</v>
      </c>
      <c r="B386" s="60" t="str">
        <f t="shared" si="28"/>
        <v>0048557725</v>
      </c>
      <c r="C386" s="67" t="s">
        <v>28</v>
      </c>
      <c r="D386" s="59" t="s">
        <v>2058</v>
      </c>
      <c r="E386" s="55" t="str">
        <f t="shared" si="27"/>
        <v>00485</v>
      </c>
      <c r="F386" s="53" t="s">
        <v>2078</v>
      </c>
      <c r="G386" s="55" t="s">
        <v>18</v>
      </c>
      <c r="H386" s="60" t="s">
        <v>555</v>
      </c>
      <c r="I386" s="55">
        <v>308449597</v>
      </c>
      <c r="J386" s="55">
        <v>57725</v>
      </c>
      <c r="K386" s="55" t="s">
        <v>559</v>
      </c>
      <c r="L386" s="53" t="s">
        <v>2079</v>
      </c>
      <c r="M386" s="55" t="s">
        <v>49</v>
      </c>
      <c r="N386" s="52">
        <v>328288000</v>
      </c>
      <c r="O386" s="52">
        <v>328288000</v>
      </c>
      <c r="P386" s="61">
        <v>328288000</v>
      </c>
      <c r="Q386" s="57">
        <v>44536</v>
      </c>
      <c r="R386" s="57">
        <v>48218</v>
      </c>
      <c r="S386" s="56">
        <v>0</v>
      </c>
      <c r="T386" s="54">
        <v>37</v>
      </c>
      <c r="U386" s="52">
        <v>328288000</v>
      </c>
      <c r="V386" s="52">
        <v>328288000</v>
      </c>
      <c r="W386" s="52">
        <v>0</v>
      </c>
      <c r="X386" s="57"/>
      <c r="Y386" s="52">
        <v>0</v>
      </c>
      <c r="Z386" s="52">
        <v>0</v>
      </c>
      <c r="AA386" s="52">
        <v>1</v>
      </c>
      <c r="AB386" s="52">
        <v>0</v>
      </c>
      <c r="AC386" s="52">
        <v>42866318.030000001</v>
      </c>
      <c r="AD386" s="52">
        <v>0</v>
      </c>
      <c r="AE386" s="52">
        <v>0</v>
      </c>
      <c r="AF386" s="52">
        <v>42866318.030000001</v>
      </c>
      <c r="AG386" s="52">
        <v>0</v>
      </c>
      <c r="AH386" s="52">
        <v>0</v>
      </c>
      <c r="AI386" s="52">
        <v>0</v>
      </c>
      <c r="AJ386" s="52">
        <v>2</v>
      </c>
      <c r="AK386" s="52"/>
      <c r="AL386" s="52">
        <v>0</v>
      </c>
      <c r="AM386" s="52">
        <v>0</v>
      </c>
      <c r="AN386" s="52">
        <v>328288000</v>
      </c>
      <c r="AO386" s="52">
        <v>8200000</v>
      </c>
      <c r="AP386" s="52">
        <v>8200000</v>
      </c>
      <c r="AQ386" s="58">
        <v>0</v>
      </c>
      <c r="AR386" s="58">
        <v>0</v>
      </c>
      <c r="AS386" s="58">
        <v>0</v>
      </c>
      <c r="AT386" s="58">
        <v>0</v>
      </c>
      <c r="AU386" s="58">
        <v>0</v>
      </c>
      <c r="AV386" s="58">
        <v>0</v>
      </c>
      <c r="AW386" s="58">
        <v>0</v>
      </c>
      <c r="AX386" s="58">
        <v>0</v>
      </c>
    </row>
    <row r="387" spans="1:50" x14ac:dyDescent="0.25">
      <c r="A387" s="52">
        <f t="shared" si="26"/>
        <v>382</v>
      </c>
      <c r="B387" s="60" t="str">
        <f t="shared" si="28"/>
        <v>0048557716</v>
      </c>
      <c r="C387" s="67" t="s">
        <v>28</v>
      </c>
      <c r="D387" s="59" t="s">
        <v>2058</v>
      </c>
      <c r="E387" s="55" t="str">
        <f t="shared" si="27"/>
        <v>00485</v>
      </c>
      <c r="F387" s="53" t="s">
        <v>2078</v>
      </c>
      <c r="G387" s="55" t="s">
        <v>18</v>
      </c>
      <c r="H387" s="60" t="s">
        <v>555</v>
      </c>
      <c r="I387" s="55">
        <v>308449597</v>
      </c>
      <c r="J387" s="55">
        <v>57716</v>
      </c>
      <c r="K387" s="55" t="s">
        <v>560</v>
      </c>
      <c r="L387" s="53" t="s">
        <v>2079</v>
      </c>
      <c r="M387" s="55" t="s">
        <v>49</v>
      </c>
      <c r="N387" s="52">
        <v>328211000</v>
      </c>
      <c r="O387" s="52">
        <v>328211000</v>
      </c>
      <c r="P387" s="61">
        <v>328211000</v>
      </c>
      <c r="Q387" s="57">
        <v>44532</v>
      </c>
      <c r="R387" s="57">
        <v>48184</v>
      </c>
      <c r="S387" s="56">
        <v>0</v>
      </c>
      <c r="T387" s="54">
        <v>24</v>
      </c>
      <c r="U387" s="52">
        <v>328211000</v>
      </c>
      <c r="V387" s="52">
        <v>328211000</v>
      </c>
      <c r="W387" s="52">
        <v>0</v>
      </c>
      <c r="X387" s="57"/>
      <c r="Y387" s="52">
        <v>0</v>
      </c>
      <c r="Z387" s="52">
        <v>0</v>
      </c>
      <c r="AA387" s="52">
        <v>1</v>
      </c>
      <c r="AB387" s="52">
        <v>0</v>
      </c>
      <c r="AC387" s="52">
        <v>42670497.890000001</v>
      </c>
      <c r="AD387" s="52">
        <v>0</v>
      </c>
      <c r="AE387" s="52">
        <v>0</v>
      </c>
      <c r="AF387" s="52">
        <v>42670497.890000001</v>
      </c>
      <c r="AG387" s="52">
        <v>0</v>
      </c>
      <c r="AH387" s="52">
        <v>0</v>
      </c>
      <c r="AI387" s="52">
        <v>0</v>
      </c>
      <c r="AJ387" s="52">
        <v>2</v>
      </c>
      <c r="AK387" s="52"/>
      <c r="AL387" s="52">
        <v>0</v>
      </c>
      <c r="AM387" s="52">
        <v>0</v>
      </c>
      <c r="AN387" s="52">
        <v>328211000</v>
      </c>
      <c r="AO387" s="52">
        <v>8200000</v>
      </c>
      <c r="AP387" s="52">
        <v>8200000</v>
      </c>
      <c r="AQ387" s="58">
        <v>0</v>
      </c>
      <c r="AR387" s="58">
        <v>0</v>
      </c>
      <c r="AS387" s="58">
        <v>0</v>
      </c>
      <c r="AT387" s="58">
        <v>0</v>
      </c>
      <c r="AU387" s="58">
        <v>0</v>
      </c>
      <c r="AV387" s="58">
        <v>0</v>
      </c>
      <c r="AW387" s="58">
        <v>0</v>
      </c>
      <c r="AX387" s="58">
        <v>0</v>
      </c>
    </row>
    <row r="388" spans="1:50" x14ac:dyDescent="0.25">
      <c r="A388" s="52">
        <f t="shared" si="26"/>
        <v>383</v>
      </c>
      <c r="B388" s="60" t="str">
        <f t="shared" si="28"/>
        <v>00485133915</v>
      </c>
      <c r="C388" s="67" t="s">
        <v>28</v>
      </c>
      <c r="D388" s="59" t="s">
        <v>2058</v>
      </c>
      <c r="E388" s="55" t="str">
        <f t="shared" si="27"/>
        <v>00485</v>
      </c>
      <c r="F388" s="53" t="s">
        <v>2078</v>
      </c>
      <c r="G388" s="55" t="s">
        <v>18</v>
      </c>
      <c r="H388" s="60" t="s">
        <v>2453</v>
      </c>
      <c r="I388" s="55">
        <v>305882141</v>
      </c>
      <c r="J388" s="55">
        <v>133915</v>
      </c>
      <c r="K388" s="55" t="s">
        <v>561</v>
      </c>
      <c r="L388" s="53" t="s">
        <v>2079</v>
      </c>
      <c r="M388" s="55" t="s">
        <v>49</v>
      </c>
      <c r="N388" s="52">
        <v>305000000</v>
      </c>
      <c r="O388" s="52">
        <v>305000000</v>
      </c>
      <c r="P388" s="52">
        <v>305000000</v>
      </c>
      <c r="Q388" s="57">
        <v>45450</v>
      </c>
      <c r="R388" s="57">
        <v>49101</v>
      </c>
      <c r="S388" s="56">
        <v>10</v>
      </c>
      <c r="T388" s="54">
        <v>24</v>
      </c>
      <c r="U388" s="52">
        <v>305000000</v>
      </c>
      <c r="V388" s="52">
        <v>305000000</v>
      </c>
      <c r="W388" s="52">
        <v>0</v>
      </c>
      <c r="X388" s="57"/>
      <c r="Y388" s="52">
        <v>0</v>
      </c>
      <c r="Z388" s="52">
        <v>0</v>
      </c>
      <c r="AA388" s="52">
        <v>1</v>
      </c>
      <c r="AB388" s="52">
        <v>0</v>
      </c>
      <c r="AC388" s="52">
        <v>5013698.6300000008</v>
      </c>
      <c r="AD388" s="52">
        <v>2172602.7400000002</v>
      </c>
      <c r="AE388" s="52">
        <v>0</v>
      </c>
      <c r="AF388" s="52">
        <v>2841095.89</v>
      </c>
      <c r="AG388" s="52">
        <v>0</v>
      </c>
      <c r="AH388" s="52">
        <v>0</v>
      </c>
      <c r="AI388" s="52">
        <v>0</v>
      </c>
      <c r="AJ388" s="52">
        <v>2</v>
      </c>
      <c r="AK388" s="52"/>
      <c r="AL388" s="52">
        <v>0</v>
      </c>
      <c r="AM388" s="52">
        <v>0</v>
      </c>
      <c r="AN388" s="61">
        <v>1098000000</v>
      </c>
      <c r="AO388" s="52">
        <v>375645800</v>
      </c>
      <c r="AP388" s="52">
        <v>84705450</v>
      </c>
      <c r="AQ388" s="58">
        <v>0</v>
      </c>
      <c r="AR388" s="58">
        <v>0</v>
      </c>
      <c r="AS388" s="58">
        <v>1</v>
      </c>
      <c r="AT388" s="58">
        <v>9700.4</v>
      </c>
      <c r="AU388" s="58">
        <v>14</v>
      </c>
      <c r="AV388" s="58">
        <v>391457.1</v>
      </c>
      <c r="AW388" s="58">
        <v>0</v>
      </c>
      <c r="AX388" s="58">
        <v>0</v>
      </c>
    </row>
    <row r="389" spans="1:50" x14ac:dyDescent="0.25">
      <c r="A389" s="52">
        <f t="shared" si="26"/>
        <v>384</v>
      </c>
      <c r="B389" s="60" t="str">
        <f t="shared" si="28"/>
        <v>00485210298</v>
      </c>
      <c r="C389" s="67" t="s">
        <v>28</v>
      </c>
      <c r="D389" s="59" t="s">
        <v>2058</v>
      </c>
      <c r="E389" s="55" t="str">
        <f t="shared" si="27"/>
        <v>00485</v>
      </c>
      <c r="F389" s="53" t="s">
        <v>2078</v>
      </c>
      <c r="G389" s="55" t="s">
        <v>18</v>
      </c>
      <c r="H389" s="60" t="s">
        <v>538</v>
      </c>
      <c r="I389" s="55">
        <v>308351508</v>
      </c>
      <c r="J389" s="55">
        <v>210298</v>
      </c>
      <c r="K389" s="55" t="s">
        <v>562</v>
      </c>
      <c r="L389" s="53" t="s">
        <v>2079</v>
      </c>
      <c r="M389" s="55" t="s">
        <v>49</v>
      </c>
      <c r="N389" s="52">
        <v>236026000</v>
      </c>
      <c r="O389" s="52">
        <v>236026000</v>
      </c>
      <c r="P389" s="61">
        <v>236026000</v>
      </c>
      <c r="Q389" s="57">
        <v>45833</v>
      </c>
      <c r="R389" s="57">
        <v>46909</v>
      </c>
      <c r="S389" s="56">
        <v>14</v>
      </c>
      <c r="T389" s="54">
        <v>12</v>
      </c>
      <c r="U389" s="52">
        <v>235500000</v>
      </c>
      <c r="V389" s="52">
        <v>235500000</v>
      </c>
      <c r="W389" s="52">
        <v>0</v>
      </c>
      <c r="X389" s="57"/>
      <c r="Y389" s="52">
        <v>0</v>
      </c>
      <c r="Z389" s="52">
        <v>0</v>
      </c>
      <c r="AA389" s="52">
        <v>1</v>
      </c>
      <c r="AB389" s="52">
        <v>0</v>
      </c>
      <c r="AC389" s="52">
        <v>10665325</v>
      </c>
      <c r="AD389" s="52">
        <v>2438876.71</v>
      </c>
      <c r="AE389" s="52">
        <v>0</v>
      </c>
      <c r="AF389" s="52">
        <v>8226448.29</v>
      </c>
      <c r="AG389" s="52">
        <v>0</v>
      </c>
      <c r="AH389" s="52">
        <v>0</v>
      </c>
      <c r="AI389" s="52">
        <v>0</v>
      </c>
      <c r="AJ389" s="52">
        <v>2</v>
      </c>
      <c r="AK389" s="52"/>
      <c r="AL389" s="52">
        <v>0</v>
      </c>
      <c r="AM389" s="52">
        <v>0</v>
      </c>
      <c r="AN389" s="61">
        <v>283231200</v>
      </c>
      <c r="AO389" s="52">
        <v>900000000</v>
      </c>
      <c r="AP389" s="52">
        <v>750000000</v>
      </c>
      <c r="AQ389" s="58">
        <v>0</v>
      </c>
      <c r="AR389" s="58">
        <v>0</v>
      </c>
      <c r="AS389" s="58">
        <v>0</v>
      </c>
      <c r="AT389" s="58">
        <v>0</v>
      </c>
      <c r="AU389" s="58">
        <v>0</v>
      </c>
      <c r="AV389" s="58">
        <v>0</v>
      </c>
      <c r="AW389" s="58">
        <v>0</v>
      </c>
      <c r="AX389" s="58">
        <v>0</v>
      </c>
    </row>
    <row r="390" spans="1:50" x14ac:dyDescent="0.25">
      <c r="A390" s="52">
        <f t="shared" si="26"/>
        <v>385</v>
      </c>
      <c r="B390" s="60" t="str">
        <f t="shared" si="28"/>
        <v>0048557747</v>
      </c>
      <c r="C390" s="67" t="s">
        <v>28</v>
      </c>
      <c r="D390" s="59" t="s">
        <v>2058</v>
      </c>
      <c r="E390" s="55" t="str">
        <f t="shared" si="27"/>
        <v>00485</v>
      </c>
      <c r="F390" s="53" t="s">
        <v>2078</v>
      </c>
      <c r="G390" s="55" t="s">
        <v>18</v>
      </c>
      <c r="H390" s="60" t="s">
        <v>555</v>
      </c>
      <c r="I390" s="55">
        <v>308449597</v>
      </c>
      <c r="J390" s="55">
        <v>57747</v>
      </c>
      <c r="K390" s="55" t="s">
        <v>563</v>
      </c>
      <c r="L390" s="53" t="s">
        <v>2079</v>
      </c>
      <c r="M390" s="55" t="s">
        <v>49</v>
      </c>
      <c r="N390" s="52">
        <v>227762000</v>
      </c>
      <c r="O390" s="52">
        <v>227762000</v>
      </c>
      <c r="P390" s="61">
        <v>227762000</v>
      </c>
      <c r="Q390" s="57">
        <v>44539</v>
      </c>
      <c r="R390" s="57">
        <v>47094</v>
      </c>
      <c r="S390" s="56">
        <v>0</v>
      </c>
      <c r="T390" s="54">
        <v>36</v>
      </c>
      <c r="U390" s="52">
        <v>227762000</v>
      </c>
      <c r="V390" s="52">
        <v>227762000</v>
      </c>
      <c r="W390" s="52">
        <v>0</v>
      </c>
      <c r="X390" s="57"/>
      <c r="Y390" s="52">
        <v>0</v>
      </c>
      <c r="Z390" s="52">
        <v>0</v>
      </c>
      <c r="AA390" s="52">
        <v>1</v>
      </c>
      <c r="AB390" s="52">
        <v>0</v>
      </c>
      <c r="AC390" s="52">
        <v>30396086.91</v>
      </c>
      <c r="AD390" s="52">
        <v>0</v>
      </c>
      <c r="AE390" s="52">
        <v>0</v>
      </c>
      <c r="AF390" s="52">
        <v>30396086.91</v>
      </c>
      <c r="AG390" s="52">
        <v>0</v>
      </c>
      <c r="AH390" s="52">
        <v>0</v>
      </c>
      <c r="AI390" s="52">
        <v>0</v>
      </c>
      <c r="AJ390" s="52">
        <v>2</v>
      </c>
      <c r="AK390" s="52"/>
      <c r="AL390" s="52">
        <v>0</v>
      </c>
      <c r="AM390" s="52">
        <v>0</v>
      </c>
      <c r="AN390" s="52">
        <v>227762000</v>
      </c>
      <c r="AO390" s="52">
        <v>8200000</v>
      </c>
      <c r="AP390" s="52">
        <v>8200000</v>
      </c>
      <c r="AQ390" s="58">
        <v>0</v>
      </c>
      <c r="AR390" s="58">
        <v>0</v>
      </c>
      <c r="AS390" s="58">
        <v>0</v>
      </c>
      <c r="AT390" s="58">
        <v>0</v>
      </c>
      <c r="AU390" s="58">
        <v>0</v>
      </c>
      <c r="AV390" s="58">
        <v>0</v>
      </c>
      <c r="AW390" s="58">
        <v>0</v>
      </c>
      <c r="AX390" s="58">
        <v>0</v>
      </c>
    </row>
    <row r="391" spans="1:50" x14ac:dyDescent="0.25">
      <c r="A391" s="52">
        <f t="shared" si="26"/>
        <v>386</v>
      </c>
      <c r="B391" s="60" t="str">
        <f t="shared" si="28"/>
        <v>0048557730</v>
      </c>
      <c r="C391" s="67" t="s">
        <v>28</v>
      </c>
      <c r="D391" s="59" t="s">
        <v>2058</v>
      </c>
      <c r="E391" s="55" t="str">
        <f t="shared" si="27"/>
        <v>00485</v>
      </c>
      <c r="F391" s="53" t="s">
        <v>2078</v>
      </c>
      <c r="G391" s="55" t="s">
        <v>18</v>
      </c>
      <c r="H391" s="60" t="s">
        <v>555</v>
      </c>
      <c r="I391" s="55">
        <v>308449597</v>
      </c>
      <c r="J391" s="55">
        <v>57730</v>
      </c>
      <c r="K391" s="55" t="s">
        <v>564</v>
      </c>
      <c r="L391" s="53" t="s">
        <v>2079</v>
      </c>
      <c r="M391" s="55" t="s">
        <v>49</v>
      </c>
      <c r="N391" s="52">
        <v>223500000</v>
      </c>
      <c r="O391" s="52">
        <v>223500000</v>
      </c>
      <c r="P391" s="61">
        <v>223500000</v>
      </c>
      <c r="Q391" s="57">
        <v>44536</v>
      </c>
      <c r="R391" s="57">
        <v>47092</v>
      </c>
      <c r="S391" s="56">
        <v>0</v>
      </c>
      <c r="T391" s="54">
        <v>36</v>
      </c>
      <c r="U391" s="52">
        <v>223500000</v>
      </c>
      <c r="V391" s="52">
        <v>223500000</v>
      </c>
      <c r="W391" s="52">
        <v>0</v>
      </c>
      <c r="X391" s="57"/>
      <c r="Y391" s="52">
        <v>0</v>
      </c>
      <c r="Z391" s="52">
        <v>0</v>
      </c>
      <c r="AA391" s="52">
        <v>1</v>
      </c>
      <c r="AB391" s="52">
        <v>0</v>
      </c>
      <c r="AC391" s="52">
        <v>29761219.18</v>
      </c>
      <c r="AD391" s="52">
        <v>0</v>
      </c>
      <c r="AE391" s="52">
        <v>0</v>
      </c>
      <c r="AF391" s="52">
        <v>29761219.18</v>
      </c>
      <c r="AG391" s="52">
        <v>0</v>
      </c>
      <c r="AH391" s="52">
        <v>0</v>
      </c>
      <c r="AI391" s="52">
        <v>0</v>
      </c>
      <c r="AJ391" s="52">
        <v>2</v>
      </c>
      <c r="AK391" s="52"/>
      <c r="AL391" s="52">
        <v>0</v>
      </c>
      <c r="AM391" s="52">
        <v>0</v>
      </c>
      <c r="AN391" s="52">
        <v>223500000</v>
      </c>
      <c r="AO391" s="52">
        <v>8200000</v>
      </c>
      <c r="AP391" s="52">
        <v>8200000</v>
      </c>
      <c r="AQ391" s="58">
        <v>0</v>
      </c>
      <c r="AR391" s="58">
        <v>0</v>
      </c>
      <c r="AS391" s="58">
        <v>0</v>
      </c>
      <c r="AT391" s="58">
        <v>0</v>
      </c>
      <c r="AU391" s="58">
        <v>0</v>
      </c>
      <c r="AV391" s="58">
        <v>0</v>
      </c>
      <c r="AW391" s="58">
        <v>0</v>
      </c>
      <c r="AX391" s="58">
        <v>0</v>
      </c>
    </row>
    <row r="392" spans="1:50" x14ac:dyDescent="0.25">
      <c r="A392" s="52">
        <f t="shared" ref="A392:A455" si="29">+A391+1</f>
        <v>387</v>
      </c>
      <c r="B392" s="60" t="str">
        <f t="shared" si="28"/>
        <v>0048557717</v>
      </c>
      <c r="C392" s="67" t="s">
        <v>28</v>
      </c>
      <c r="D392" s="59" t="s">
        <v>2058</v>
      </c>
      <c r="E392" s="55" t="str">
        <f t="shared" si="27"/>
        <v>00485</v>
      </c>
      <c r="F392" s="53" t="s">
        <v>2078</v>
      </c>
      <c r="G392" s="55" t="s">
        <v>18</v>
      </c>
      <c r="H392" s="60" t="s">
        <v>555</v>
      </c>
      <c r="I392" s="55">
        <v>308449597</v>
      </c>
      <c r="J392" s="55">
        <v>57717</v>
      </c>
      <c r="K392" s="55" t="s">
        <v>565</v>
      </c>
      <c r="L392" s="53" t="s">
        <v>2079</v>
      </c>
      <c r="M392" s="55" t="s">
        <v>49</v>
      </c>
      <c r="N392" s="52">
        <v>220434000</v>
      </c>
      <c r="O392" s="52">
        <v>220434000</v>
      </c>
      <c r="P392" s="61">
        <v>220434000</v>
      </c>
      <c r="Q392" s="57">
        <v>44532</v>
      </c>
      <c r="R392" s="57">
        <v>48306</v>
      </c>
      <c r="S392" s="56">
        <v>0</v>
      </c>
      <c r="T392" s="54">
        <v>36</v>
      </c>
      <c r="U392" s="52">
        <v>220434000</v>
      </c>
      <c r="V392" s="52">
        <v>220434000</v>
      </c>
      <c r="W392" s="52">
        <v>0</v>
      </c>
      <c r="X392" s="57"/>
      <c r="Y392" s="52">
        <v>0</v>
      </c>
      <c r="Z392" s="52">
        <v>0</v>
      </c>
      <c r="AA392" s="52">
        <v>1</v>
      </c>
      <c r="AB392" s="52">
        <v>0</v>
      </c>
      <c r="AC392" s="52">
        <v>28942050.859999999</v>
      </c>
      <c r="AD392" s="52">
        <v>0</v>
      </c>
      <c r="AE392" s="52">
        <v>0</v>
      </c>
      <c r="AF392" s="52">
        <v>28942050.859999999</v>
      </c>
      <c r="AG392" s="52">
        <v>0</v>
      </c>
      <c r="AH392" s="52">
        <v>0</v>
      </c>
      <c r="AI392" s="52">
        <v>0</v>
      </c>
      <c r="AJ392" s="52">
        <v>2</v>
      </c>
      <c r="AK392" s="52"/>
      <c r="AL392" s="52">
        <v>0</v>
      </c>
      <c r="AM392" s="52">
        <v>0</v>
      </c>
      <c r="AN392" s="52">
        <v>220434000</v>
      </c>
      <c r="AO392" s="52">
        <v>8200000</v>
      </c>
      <c r="AP392" s="52">
        <v>8200000</v>
      </c>
      <c r="AQ392" s="58">
        <v>0</v>
      </c>
      <c r="AR392" s="58">
        <v>0</v>
      </c>
      <c r="AS392" s="58">
        <v>0</v>
      </c>
      <c r="AT392" s="58">
        <v>0</v>
      </c>
      <c r="AU392" s="58">
        <v>0</v>
      </c>
      <c r="AV392" s="58">
        <v>0</v>
      </c>
      <c r="AW392" s="58">
        <v>0</v>
      </c>
      <c r="AX392" s="58">
        <v>0</v>
      </c>
    </row>
    <row r="393" spans="1:50" x14ac:dyDescent="0.25">
      <c r="A393" s="52">
        <f t="shared" si="29"/>
        <v>388</v>
      </c>
      <c r="B393" s="60" t="str">
        <f t="shared" si="28"/>
        <v>0048557734</v>
      </c>
      <c r="C393" s="67" t="s">
        <v>28</v>
      </c>
      <c r="D393" s="59" t="s">
        <v>2058</v>
      </c>
      <c r="E393" s="55" t="str">
        <f t="shared" si="27"/>
        <v>00485</v>
      </c>
      <c r="F393" s="53" t="s">
        <v>2078</v>
      </c>
      <c r="G393" s="55" t="s">
        <v>18</v>
      </c>
      <c r="H393" s="60" t="s">
        <v>555</v>
      </c>
      <c r="I393" s="55">
        <v>308449597</v>
      </c>
      <c r="J393" s="55">
        <v>57734</v>
      </c>
      <c r="K393" s="55" t="s">
        <v>566</v>
      </c>
      <c r="L393" s="53" t="s">
        <v>2079</v>
      </c>
      <c r="M393" s="55" t="s">
        <v>49</v>
      </c>
      <c r="N393" s="52">
        <v>214454000</v>
      </c>
      <c r="O393" s="52">
        <v>214454000</v>
      </c>
      <c r="P393" s="61">
        <v>214454000</v>
      </c>
      <c r="Q393" s="57">
        <v>44539</v>
      </c>
      <c r="R393" s="57">
        <v>48282</v>
      </c>
      <c r="S393" s="56">
        <v>0</v>
      </c>
      <c r="T393" s="54">
        <v>39</v>
      </c>
      <c r="U393" s="52">
        <v>214454000</v>
      </c>
      <c r="V393" s="52">
        <v>214454000</v>
      </c>
      <c r="W393" s="52">
        <v>0</v>
      </c>
      <c r="X393" s="57"/>
      <c r="Y393" s="52">
        <v>0</v>
      </c>
      <c r="Z393" s="52">
        <v>0</v>
      </c>
      <c r="AA393" s="52">
        <v>1</v>
      </c>
      <c r="AB393" s="52">
        <v>0</v>
      </c>
      <c r="AC393" s="52">
        <v>27792882.649999999</v>
      </c>
      <c r="AD393" s="52">
        <v>0</v>
      </c>
      <c r="AE393" s="52">
        <v>0</v>
      </c>
      <c r="AF393" s="52">
        <v>27770360.079999998</v>
      </c>
      <c r="AG393" s="52">
        <v>22522.57</v>
      </c>
      <c r="AH393" s="52">
        <v>0</v>
      </c>
      <c r="AI393" s="52">
        <v>0</v>
      </c>
      <c r="AJ393" s="52">
        <v>2</v>
      </c>
      <c r="AK393" s="52"/>
      <c r="AL393" s="52">
        <v>0</v>
      </c>
      <c r="AM393" s="52">
        <v>0</v>
      </c>
      <c r="AN393" s="52">
        <v>214454000</v>
      </c>
      <c r="AO393" s="52">
        <v>8200000</v>
      </c>
      <c r="AP393" s="52">
        <v>8200000</v>
      </c>
      <c r="AQ393" s="58">
        <v>0</v>
      </c>
      <c r="AR393" s="58">
        <v>0</v>
      </c>
      <c r="AS393" s="58">
        <v>0</v>
      </c>
      <c r="AT393" s="58">
        <v>0</v>
      </c>
      <c r="AU393" s="58">
        <v>0</v>
      </c>
      <c r="AV393" s="58">
        <v>0</v>
      </c>
      <c r="AW393" s="58">
        <v>0</v>
      </c>
      <c r="AX393" s="58">
        <v>0</v>
      </c>
    </row>
    <row r="394" spans="1:50" x14ac:dyDescent="0.25">
      <c r="A394" s="52">
        <f t="shared" si="29"/>
        <v>389</v>
      </c>
      <c r="B394" s="60" t="str">
        <f t="shared" si="28"/>
        <v>0048557746</v>
      </c>
      <c r="C394" s="67" t="s">
        <v>28</v>
      </c>
      <c r="D394" s="59" t="s">
        <v>2058</v>
      </c>
      <c r="E394" s="55" t="str">
        <f t="shared" si="27"/>
        <v>00485</v>
      </c>
      <c r="F394" s="53" t="s">
        <v>2078</v>
      </c>
      <c r="G394" s="55" t="s">
        <v>18</v>
      </c>
      <c r="H394" s="60" t="s">
        <v>555</v>
      </c>
      <c r="I394" s="55">
        <v>308449597</v>
      </c>
      <c r="J394" s="55">
        <v>57746</v>
      </c>
      <c r="K394" s="55" t="s">
        <v>567</v>
      </c>
      <c r="L394" s="53" t="s">
        <v>2079</v>
      </c>
      <c r="M394" s="55" t="s">
        <v>49</v>
      </c>
      <c r="N394" s="52">
        <v>201750000</v>
      </c>
      <c r="O394" s="52">
        <v>201750000</v>
      </c>
      <c r="P394" s="61">
        <v>201750000</v>
      </c>
      <c r="Q394" s="57">
        <v>44539</v>
      </c>
      <c r="R394" s="57">
        <v>46730</v>
      </c>
      <c r="S394" s="56">
        <v>0</v>
      </c>
      <c r="T394" s="54">
        <v>36</v>
      </c>
      <c r="U394" s="52">
        <v>201750000</v>
      </c>
      <c r="V394" s="52">
        <v>201750000</v>
      </c>
      <c r="W394" s="52">
        <v>0</v>
      </c>
      <c r="X394" s="57"/>
      <c r="Y394" s="52">
        <v>0</v>
      </c>
      <c r="Z394" s="52">
        <v>0</v>
      </c>
      <c r="AA394" s="52">
        <v>1</v>
      </c>
      <c r="AB394" s="52">
        <v>0</v>
      </c>
      <c r="AC394" s="52">
        <v>31063972.600000001</v>
      </c>
      <c r="AD394" s="52">
        <v>0</v>
      </c>
      <c r="AE394" s="52">
        <v>0</v>
      </c>
      <c r="AF394" s="52">
        <v>31063972.600000001</v>
      </c>
      <c r="AG394" s="52">
        <v>0</v>
      </c>
      <c r="AH394" s="52">
        <v>0</v>
      </c>
      <c r="AI394" s="52">
        <v>0</v>
      </c>
      <c r="AJ394" s="52">
        <v>2</v>
      </c>
      <c r="AK394" s="52"/>
      <c r="AL394" s="52">
        <v>0</v>
      </c>
      <c r="AM394" s="52">
        <v>0</v>
      </c>
      <c r="AN394" s="52">
        <v>201750000</v>
      </c>
      <c r="AO394" s="52">
        <v>8200000</v>
      </c>
      <c r="AP394" s="52">
        <v>8200000</v>
      </c>
      <c r="AQ394" s="58">
        <v>0</v>
      </c>
      <c r="AR394" s="58">
        <v>0</v>
      </c>
      <c r="AS394" s="58">
        <v>0</v>
      </c>
      <c r="AT394" s="58">
        <v>0</v>
      </c>
      <c r="AU394" s="58">
        <v>0</v>
      </c>
      <c r="AV394" s="58">
        <v>0</v>
      </c>
      <c r="AW394" s="58">
        <v>0</v>
      </c>
      <c r="AX394" s="58">
        <v>0</v>
      </c>
    </row>
    <row r="395" spans="1:50" x14ac:dyDescent="0.25">
      <c r="A395" s="52">
        <f t="shared" si="29"/>
        <v>390</v>
      </c>
      <c r="B395" s="60" t="str">
        <f t="shared" si="28"/>
        <v>0043312761829</v>
      </c>
      <c r="C395" s="55" t="s">
        <v>29</v>
      </c>
      <c r="D395" s="53" t="s">
        <v>2080</v>
      </c>
      <c r="E395" s="55" t="s">
        <v>568</v>
      </c>
      <c r="F395" s="53" t="s">
        <v>2092</v>
      </c>
      <c r="G395" s="55">
        <v>10443</v>
      </c>
      <c r="H395" s="53" t="s">
        <v>569</v>
      </c>
      <c r="I395" s="55">
        <v>305542936</v>
      </c>
      <c r="J395" s="55">
        <v>12761829</v>
      </c>
      <c r="K395" s="55" t="s">
        <v>570</v>
      </c>
      <c r="L395" s="53" t="s">
        <v>2047</v>
      </c>
      <c r="M395" s="55" t="s">
        <v>49</v>
      </c>
      <c r="N395" s="52">
        <v>2850000000</v>
      </c>
      <c r="O395" s="52">
        <v>2850000000</v>
      </c>
      <c r="P395" s="52">
        <v>2850000000</v>
      </c>
      <c r="Q395" s="57">
        <v>45482</v>
      </c>
      <c r="R395" s="57">
        <v>46208</v>
      </c>
      <c r="S395" s="56">
        <v>26</v>
      </c>
      <c r="T395" s="54">
        <v>6</v>
      </c>
      <c r="U395" s="52">
        <v>567689495</v>
      </c>
      <c r="V395" s="52">
        <v>567689495</v>
      </c>
      <c r="W395" s="52">
        <v>0</v>
      </c>
      <c r="X395" s="57"/>
      <c r="Y395" s="52">
        <v>0</v>
      </c>
      <c r="Z395" s="52">
        <v>0</v>
      </c>
      <c r="AA395" s="52">
        <v>4</v>
      </c>
      <c r="AB395" s="52">
        <v>283844747.5</v>
      </c>
      <c r="AC395" s="52">
        <v>930446633.51999998</v>
      </c>
      <c r="AD395" s="52">
        <v>11322683.630000001</v>
      </c>
      <c r="AE395" s="52">
        <v>0</v>
      </c>
      <c r="AF395" s="52">
        <v>0</v>
      </c>
      <c r="AG395" s="52">
        <v>919123949.88999999</v>
      </c>
      <c r="AH395" s="52">
        <v>0</v>
      </c>
      <c r="AI395" s="52">
        <v>0</v>
      </c>
      <c r="AJ395" s="52">
        <v>2</v>
      </c>
      <c r="AK395" s="52"/>
      <c r="AL395" s="52">
        <v>769832557994</v>
      </c>
      <c r="AM395" s="52">
        <v>217572955678</v>
      </c>
      <c r="AN395" s="52">
        <v>3043080674</v>
      </c>
      <c r="AO395" s="52">
        <v>155403000</v>
      </c>
      <c r="AP395" s="52">
        <v>155403000</v>
      </c>
      <c r="AQ395" s="58">
        <v>0</v>
      </c>
      <c r="AR395" s="58">
        <v>0</v>
      </c>
      <c r="AS395" s="58">
        <v>0</v>
      </c>
      <c r="AT395" s="58">
        <v>0</v>
      </c>
      <c r="AU395" s="58">
        <v>0</v>
      </c>
      <c r="AV395" s="58">
        <v>0</v>
      </c>
      <c r="AW395" s="58">
        <v>0</v>
      </c>
      <c r="AX395" s="58">
        <v>0</v>
      </c>
    </row>
    <row r="396" spans="1:50" x14ac:dyDescent="0.25">
      <c r="A396" s="52">
        <f t="shared" si="29"/>
        <v>391</v>
      </c>
      <c r="B396" s="60" t="str">
        <f t="shared" si="28"/>
        <v>0043312141065</v>
      </c>
      <c r="C396" s="55" t="s">
        <v>29</v>
      </c>
      <c r="D396" s="53" t="s">
        <v>2080</v>
      </c>
      <c r="E396" s="55" t="s">
        <v>568</v>
      </c>
      <c r="F396" s="53" t="s">
        <v>2082</v>
      </c>
      <c r="G396" s="55">
        <v>11412</v>
      </c>
      <c r="H396" s="53" t="s">
        <v>2454</v>
      </c>
      <c r="I396" s="55">
        <v>307432880</v>
      </c>
      <c r="J396" s="55">
        <v>12141065</v>
      </c>
      <c r="K396" s="55" t="s">
        <v>571</v>
      </c>
      <c r="L396" s="53" t="s">
        <v>2062</v>
      </c>
      <c r="M396" s="55" t="s">
        <v>71</v>
      </c>
      <c r="N396" s="52">
        <v>1526341</v>
      </c>
      <c r="O396" s="52">
        <v>21583988081</v>
      </c>
      <c r="P396" s="52">
        <v>1526341</v>
      </c>
      <c r="Q396" s="57">
        <v>44273</v>
      </c>
      <c r="R396" s="57">
        <v>46829</v>
      </c>
      <c r="S396" s="56">
        <v>8</v>
      </c>
      <c r="T396" s="54">
        <v>24</v>
      </c>
      <c r="U396" s="52">
        <v>21148948045.759998</v>
      </c>
      <c r="V396" s="52">
        <v>21148948045.759998</v>
      </c>
      <c r="W396" s="52">
        <v>0</v>
      </c>
      <c r="X396" s="57"/>
      <c r="Y396" s="52">
        <v>0</v>
      </c>
      <c r="Z396" s="52">
        <v>0</v>
      </c>
      <c r="AA396" s="52">
        <v>1</v>
      </c>
      <c r="AB396" s="52">
        <v>0</v>
      </c>
      <c r="AC396" s="52">
        <v>3971872976.1300001</v>
      </c>
      <c r="AD396" s="52">
        <v>582771058.19000006</v>
      </c>
      <c r="AE396" s="52">
        <v>0</v>
      </c>
      <c r="AF396" s="52">
        <v>3389101917.9400001</v>
      </c>
      <c r="AG396" s="52">
        <v>0</v>
      </c>
      <c r="AH396" s="52">
        <v>0</v>
      </c>
      <c r="AI396" s="52">
        <v>0</v>
      </c>
      <c r="AJ396" s="52">
        <v>2</v>
      </c>
      <c r="AK396" s="52"/>
      <c r="AL396" s="52">
        <v>0</v>
      </c>
      <c r="AM396" s="52">
        <v>0</v>
      </c>
      <c r="AN396" s="52">
        <v>13547220000</v>
      </c>
      <c r="AO396" s="52">
        <v>488418350</v>
      </c>
      <c r="AP396" s="52">
        <v>200000000</v>
      </c>
      <c r="AQ396" s="58">
        <v>0</v>
      </c>
      <c r="AR396" s="58">
        <v>0</v>
      </c>
      <c r="AS396" s="58">
        <v>0</v>
      </c>
      <c r="AT396" s="58">
        <v>0</v>
      </c>
      <c r="AU396" s="58">
        <v>0</v>
      </c>
      <c r="AV396" s="58">
        <v>0</v>
      </c>
      <c r="AW396" s="58">
        <v>17</v>
      </c>
      <c r="AX396" s="58">
        <v>1790343.56</v>
      </c>
    </row>
    <row r="397" spans="1:50" x14ac:dyDescent="0.25">
      <c r="A397" s="52">
        <f t="shared" si="29"/>
        <v>392</v>
      </c>
      <c r="B397" s="60" t="str">
        <f t="shared" si="28"/>
        <v>0043312141061</v>
      </c>
      <c r="C397" s="55" t="s">
        <v>29</v>
      </c>
      <c r="D397" s="53" t="s">
        <v>2080</v>
      </c>
      <c r="E397" s="55" t="s">
        <v>568</v>
      </c>
      <c r="F397" s="53" t="s">
        <v>2082</v>
      </c>
      <c r="G397" s="55">
        <v>11412</v>
      </c>
      <c r="H397" s="53" t="s">
        <v>2455</v>
      </c>
      <c r="I397" s="55">
        <v>306762844</v>
      </c>
      <c r="J397" s="55">
        <v>12141061</v>
      </c>
      <c r="K397" s="55" t="s">
        <v>572</v>
      </c>
      <c r="L397" s="53" t="s">
        <v>2062</v>
      </c>
      <c r="M397" s="55" t="s">
        <v>71</v>
      </c>
      <c r="N397" s="52">
        <v>1525381</v>
      </c>
      <c r="O397" s="52">
        <v>21570412721</v>
      </c>
      <c r="P397" s="52">
        <v>1525381</v>
      </c>
      <c r="Q397" s="57">
        <v>44273</v>
      </c>
      <c r="R397" s="57">
        <v>46829</v>
      </c>
      <c r="S397" s="56">
        <v>8</v>
      </c>
      <c r="T397" s="54">
        <v>24</v>
      </c>
      <c r="U397" s="52">
        <v>21135646306.880001</v>
      </c>
      <c r="V397" s="52">
        <v>21135646306.880001</v>
      </c>
      <c r="W397" s="52">
        <v>0</v>
      </c>
      <c r="X397" s="57"/>
      <c r="Y397" s="52">
        <v>0</v>
      </c>
      <c r="Z397" s="52">
        <v>0</v>
      </c>
      <c r="AA397" s="52">
        <v>1</v>
      </c>
      <c r="AB397" s="52">
        <v>0</v>
      </c>
      <c r="AC397" s="52">
        <v>3479279393.96</v>
      </c>
      <c r="AD397" s="52">
        <v>582404531.11000001</v>
      </c>
      <c r="AE397" s="52">
        <v>0</v>
      </c>
      <c r="AF397" s="52">
        <v>2896874862.8499999</v>
      </c>
      <c r="AG397" s="52">
        <v>0</v>
      </c>
      <c r="AH397" s="52">
        <v>0</v>
      </c>
      <c r="AI397" s="52">
        <v>0</v>
      </c>
      <c r="AJ397" s="52">
        <v>2</v>
      </c>
      <c r="AK397" s="52"/>
      <c r="AL397" s="52">
        <v>0</v>
      </c>
      <c r="AM397" s="52">
        <v>0</v>
      </c>
      <c r="AN397" s="52">
        <v>6600000000</v>
      </c>
      <c r="AO397" s="52">
        <v>0</v>
      </c>
      <c r="AP397" s="52">
        <v>0</v>
      </c>
      <c r="AQ397" s="58">
        <v>0</v>
      </c>
      <c r="AR397" s="58">
        <v>0</v>
      </c>
      <c r="AS397" s="58">
        <v>77</v>
      </c>
      <c r="AT397" s="58">
        <v>1616219.43</v>
      </c>
      <c r="AU397" s="58">
        <v>0</v>
      </c>
      <c r="AV397" s="58">
        <v>0</v>
      </c>
      <c r="AW397" s="58">
        <v>63</v>
      </c>
      <c r="AX397" s="58">
        <v>92728177.640000001</v>
      </c>
    </row>
    <row r="398" spans="1:50" x14ac:dyDescent="0.25">
      <c r="A398" s="52">
        <f t="shared" si="29"/>
        <v>393</v>
      </c>
      <c r="B398" s="60" t="str">
        <f t="shared" si="28"/>
        <v>0043312141059</v>
      </c>
      <c r="C398" s="55" t="s">
        <v>29</v>
      </c>
      <c r="D398" s="53" t="s">
        <v>2080</v>
      </c>
      <c r="E398" s="55" t="s">
        <v>568</v>
      </c>
      <c r="F398" s="53" t="s">
        <v>2082</v>
      </c>
      <c r="G398" s="55">
        <v>11412</v>
      </c>
      <c r="H398" s="53" t="s">
        <v>2456</v>
      </c>
      <c r="I398" s="55">
        <v>307306009</v>
      </c>
      <c r="J398" s="55">
        <v>12141059</v>
      </c>
      <c r="K398" s="55" t="s">
        <v>573</v>
      </c>
      <c r="L398" s="53" t="s">
        <v>2062</v>
      </c>
      <c r="M398" s="55" t="s">
        <v>71</v>
      </c>
      <c r="N398" s="52">
        <v>1523716</v>
      </c>
      <c r="O398" s="52">
        <v>21546867956</v>
      </c>
      <c r="P398" s="52">
        <v>1523716</v>
      </c>
      <c r="Q398" s="57">
        <v>44273</v>
      </c>
      <c r="R398" s="57">
        <v>46829</v>
      </c>
      <c r="S398" s="56">
        <v>8</v>
      </c>
      <c r="T398" s="54">
        <v>24</v>
      </c>
      <c r="U398" s="52">
        <v>21112572457.200001</v>
      </c>
      <c r="V398" s="52">
        <v>21112572457.200001</v>
      </c>
      <c r="W398" s="52">
        <v>0</v>
      </c>
      <c r="X398" s="57"/>
      <c r="Y398" s="52">
        <v>0</v>
      </c>
      <c r="Z398" s="52">
        <v>0</v>
      </c>
      <c r="AA398" s="52">
        <v>1</v>
      </c>
      <c r="AB398" s="52">
        <v>0</v>
      </c>
      <c r="AC398" s="52">
        <v>3979697082.2800002</v>
      </c>
      <c r="AD398" s="52">
        <v>272117551.94</v>
      </c>
      <c r="AE398" s="52">
        <v>0</v>
      </c>
      <c r="AF398" s="52">
        <v>3707579530.3400002</v>
      </c>
      <c r="AG398" s="52">
        <v>0</v>
      </c>
      <c r="AH398" s="52">
        <v>0</v>
      </c>
      <c r="AI398" s="52">
        <v>0</v>
      </c>
      <c r="AJ398" s="52">
        <v>2</v>
      </c>
      <c r="AK398" s="52"/>
      <c r="AL398" s="52">
        <v>0</v>
      </c>
      <c r="AM398" s="52">
        <v>0</v>
      </c>
      <c r="AN398" s="52">
        <v>13887630000</v>
      </c>
      <c r="AO398" s="52">
        <v>0</v>
      </c>
      <c r="AP398" s="52">
        <v>0</v>
      </c>
      <c r="AQ398" s="58">
        <v>0</v>
      </c>
      <c r="AR398" s="58">
        <v>0</v>
      </c>
      <c r="AS398" s="58">
        <v>0</v>
      </c>
      <c r="AT398" s="58">
        <v>0</v>
      </c>
      <c r="AU398" s="58">
        <v>0</v>
      </c>
      <c r="AV398" s="58">
        <v>0</v>
      </c>
      <c r="AW398" s="58">
        <v>26</v>
      </c>
      <c r="AX398" s="58">
        <v>1728646.2600000005</v>
      </c>
    </row>
    <row r="399" spans="1:50" x14ac:dyDescent="0.25">
      <c r="A399" s="52">
        <f t="shared" si="29"/>
        <v>394</v>
      </c>
      <c r="B399" s="60" t="str">
        <f t="shared" si="28"/>
        <v>0043312141057</v>
      </c>
      <c r="C399" s="55" t="s">
        <v>29</v>
      </c>
      <c r="D399" s="53" t="s">
        <v>2080</v>
      </c>
      <c r="E399" s="55" t="s">
        <v>568</v>
      </c>
      <c r="F399" s="53" t="s">
        <v>2082</v>
      </c>
      <c r="G399" s="55">
        <v>11412</v>
      </c>
      <c r="H399" s="53" t="s">
        <v>2457</v>
      </c>
      <c r="I399" s="55">
        <v>307792237</v>
      </c>
      <c r="J399" s="55">
        <v>12141057</v>
      </c>
      <c r="K399" s="55" t="s">
        <v>574</v>
      </c>
      <c r="L399" s="53" t="s">
        <v>2062</v>
      </c>
      <c r="M399" s="55" t="s">
        <v>71</v>
      </c>
      <c r="N399" s="52">
        <v>1515076</v>
      </c>
      <c r="O399" s="52">
        <v>21424689716</v>
      </c>
      <c r="P399" s="52">
        <v>1515076</v>
      </c>
      <c r="Q399" s="57">
        <v>44273</v>
      </c>
      <c r="R399" s="57">
        <v>46829</v>
      </c>
      <c r="S399" s="56">
        <v>8</v>
      </c>
      <c r="T399" s="54">
        <v>24</v>
      </c>
      <c r="U399" s="52">
        <v>20992856807.279999</v>
      </c>
      <c r="V399" s="52">
        <v>20992856807.279999</v>
      </c>
      <c r="W399" s="52">
        <v>0</v>
      </c>
      <c r="X399" s="57"/>
      <c r="Y399" s="52">
        <v>0</v>
      </c>
      <c r="Z399" s="52">
        <v>0</v>
      </c>
      <c r="AA399" s="52">
        <v>1</v>
      </c>
      <c r="AB399" s="52">
        <v>0</v>
      </c>
      <c r="AC399" s="52">
        <v>4198339601.9899998</v>
      </c>
      <c r="AD399" s="52">
        <v>550479336.83000004</v>
      </c>
      <c r="AE399" s="52">
        <v>0</v>
      </c>
      <c r="AF399" s="52">
        <v>3647860265.1599998</v>
      </c>
      <c r="AG399" s="52">
        <v>0</v>
      </c>
      <c r="AH399" s="52">
        <v>0</v>
      </c>
      <c r="AI399" s="52">
        <v>0</v>
      </c>
      <c r="AJ399" s="52">
        <v>2</v>
      </c>
      <c r="AK399" s="52"/>
      <c r="AL399" s="52">
        <v>0</v>
      </c>
      <c r="AM399" s="52">
        <v>0</v>
      </c>
      <c r="AN399" s="52">
        <v>12615105000</v>
      </c>
      <c r="AO399" s="52">
        <v>0</v>
      </c>
      <c r="AP399" s="52">
        <v>0</v>
      </c>
      <c r="AQ399" s="58">
        <v>0</v>
      </c>
      <c r="AR399" s="58">
        <v>0</v>
      </c>
      <c r="AS399" s="58">
        <v>0</v>
      </c>
      <c r="AT399" s="58">
        <v>0</v>
      </c>
      <c r="AU399" s="58">
        <v>0</v>
      </c>
      <c r="AV399" s="58">
        <v>0</v>
      </c>
      <c r="AW399" s="58">
        <v>12</v>
      </c>
      <c r="AX399" s="58">
        <v>1629884.04</v>
      </c>
    </row>
    <row r="400" spans="1:50" x14ac:dyDescent="0.25">
      <c r="A400" s="52">
        <f t="shared" si="29"/>
        <v>395</v>
      </c>
      <c r="B400" s="60" t="str">
        <f t="shared" si="28"/>
        <v>0043312141064</v>
      </c>
      <c r="C400" s="55" t="s">
        <v>29</v>
      </c>
      <c r="D400" s="53" t="s">
        <v>2080</v>
      </c>
      <c r="E400" s="55" t="s">
        <v>568</v>
      </c>
      <c r="F400" s="53" t="s">
        <v>2082</v>
      </c>
      <c r="G400" s="55">
        <v>11412</v>
      </c>
      <c r="H400" s="53" t="s">
        <v>2458</v>
      </c>
      <c r="I400" s="55">
        <v>307423916</v>
      </c>
      <c r="J400" s="55">
        <v>12141064</v>
      </c>
      <c r="K400" s="55" t="s">
        <v>575</v>
      </c>
      <c r="L400" s="53" t="s">
        <v>2062</v>
      </c>
      <c r="M400" s="55" t="s">
        <v>71</v>
      </c>
      <c r="N400" s="52">
        <v>1516128</v>
      </c>
      <c r="O400" s="52">
        <v>21439566048</v>
      </c>
      <c r="P400" s="52">
        <v>1516128</v>
      </c>
      <c r="Q400" s="57">
        <v>44273</v>
      </c>
      <c r="R400" s="57">
        <v>46829</v>
      </c>
      <c r="S400" s="56">
        <v>8</v>
      </c>
      <c r="T400" s="54">
        <v>24</v>
      </c>
      <c r="U400" s="52">
        <v>20643360910.830002</v>
      </c>
      <c r="V400" s="52">
        <v>20643360910.830002</v>
      </c>
      <c r="W400" s="52">
        <v>0</v>
      </c>
      <c r="X400" s="57"/>
      <c r="Y400" s="52">
        <v>0</v>
      </c>
      <c r="Z400" s="52">
        <v>0</v>
      </c>
      <c r="AA400" s="52">
        <v>1</v>
      </c>
      <c r="AB400" s="52">
        <v>0</v>
      </c>
      <c r="AC400" s="52">
        <v>4129703942.04</v>
      </c>
      <c r="AD400" s="52">
        <v>568839236.94000006</v>
      </c>
      <c r="AE400" s="52">
        <v>0</v>
      </c>
      <c r="AF400" s="52">
        <v>3560864705.0999999</v>
      </c>
      <c r="AG400" s="52">
        <v>0</v>
      </c>
      <c r="AH400" s="52">
        <v>0</v>
      </c>
      <c r="AI400" s="52">
        <v>0</v>
      </c>
      <c r="AJ400" s="52">
        <v>2</v>
      </c>
      <c r="AK400" s="52"/>
      <c r="AL400" s="52">
        <v>0</v>
      </c>
      <c r="AM400" s="52">
        <v>0</v>
      </c>
      <c r="AN400" s="52">
        <v>16100000000</v>
      </c>
      <c r="AO400" s="52">
        <v>0</v>
      </c>
      <c r="AP400" s="52">
        <v>0</v>
      </c>
      <c r="AQ400" s="58">
        <v>0</v>
      </c>
      <c r="AR400" s="58">
        <v>0</v>
      </c>
      <c r="AS400" s="58">
        <v>0</v>
      </c>
      <c r="AT400" s="58">
        <v>0</v>
      </c>
      <c r="AU400" s="58">
        <v>0</v>
      </c>
      <c r="AV400" s="58">
        <v>0</v>
      </c>
      <c r="AW400" s="58">
        <v>9</v>
      </c>
      <c r="AX400" s="58">
        <v>1640809.31</v>
      </c>
    </row>
    <row r="401" spans="1:50" x14ac:dyDescent="0.25">
      <c r="A401" s="52">
        <f t="shared" si="29"/>
        <v>396</v>
      </c>
      <c r="B401" s="60" t="str">
        <f t="shared" si="28"/>
        <v>0043312141066</v>
      </c>
      <c r="C401" s="55" t="s">
        <v>29</v>
      </c>
      <c r="D401" s="53" t="s">
        <v>2080</v>
      </c>
      <c r="E401" s="55" t="s">
        <v>568</v>
      </c>
      <c r="F401" s="53" t="s">
        <v>2082</v>
      </c>
      <c r="G401" s="55">
        <v>11412</v>
      </c>
      <c r="H401" s="53" t="s">
        <v>2459</v>
      </c>
      <c r="I401" s="55">
        <v>307423955</v>
      </c>
      <c r="J401" s="55">
        <v>12141066</v>
      </c>
      <c r="K401" s="55" t="s">
        <v>576</v>
      </c>
      <c r="L401" s="53" t="s">
        <v>2062</v>
      </c>
      <c r="M401" s="55" t="s">
        <v>71</v>
      </c>
      <c r="N401" s="52">
        <v>1527913</v>
      </c>
      <c r="O401" s="52">
        <v>21606217733</v>
      </c>
      <c r="P401" s="52">
        <v>1527913</v>
      </c>
      <c r="Q401" s="57">
        <v>44273</v>
      </c>
      <c r="R401" s="57">
        <v>46829</v>
      </c>
      <c r="S401" s="56">
        <v>8</v>
      </c>
      <c r="T401" s="54">
        <v>24</v>
      </c>
      <c r="U401" s="52">
        <v>20536744264.950001</v>
      </c>
      <c r="V401" s="52">
        <v>20536744264.950001</v>
      </c>
      <c r="W401" s="52">
        <v>0</v>
      </c>
      <c r="X401" s="57"/>
      <c r="Y401" s="52">
        <v>0</v>
      </c>
      <c r="Z401" s="52">
        <v>0</v>
      </c>
      <c r="AA401" s="52">
        <v>1</v>
      </c>
      <c r="AB401" s="52">
        <v>0</v>
      </c>
      <c r="AC401" s="52">
        <v>4101919205.6899996</v>
      </c>
      <c r="AD401" s="52">
        <v>565901332.04999995</v>
      </c>
      <c r="AE401" s="52">
        <v>0</v>
      </c>
      <c r="AF401" s="52">
        <v>3536017873.6399999</v>
      </c>
      <c r="AG401" s="52">
        <v>0</v>
      </c>
      <c r="AH401" s="52">
        <v>0</v>
      </c>
      <c r="AI401" s="52">
        <v>0</v>
      </c>
      <c r="AJ401" s="52">
        <v>2</v>
      </c>
      <c r="AK401" s="52"/>
      <c r="AL401" s="52">
        <v>0</v>
      </c>
      <c r="AM401" s="52">
        <v>0</v>
      </c>
      <c r="AN401" s="52">
        <v>12954300000</v>
      </c>
      <c r="AO401" s="52">
        <v>0</v>
      </c>
      <c r="AP401" s="52">
        <v>0</v>
      </c>
      <c r="AQ401" s="58">
        <v>0</v>
      </c>
      <c r="AR401" s="58">
        <v>0</v>
      </c>
      <c r="AS401" s="58">
        <v>0</v>
      </c>
      <c r="AT401" s="58">
        <v>0</v>
      </c>
      <c r="AU401" s="58">
        <v>0</v>
      </c>
      <c r="AV401" s="58">
        <v>0</v>
      </c>
      <c r="AW401" s="58">
        <v>10</v>
      </c>
      <c r="AX401" s="58">
        <v>1647787.38</v>
      </c>
    </row>
    <row r="402" spans="1:50" x14ac:dyDescent="0.25">
      <c r="A402" s="52">
        <f t="shared" si="29"/>
        <v>397</v>
      </c>
      <c r="B402" s="60" t="str">
        <f t="shared" si="28"/>
        <v>0043312141058</v>
      </c>
      <c r="C402" s="55" t="s">
        <v>29</v>
      </c>
      <c r="D402" s="53" t="s">
        <v>2080</v>
      </c>
      <c r="E402" s="55" t="s">
        <v>568</v>
      </c>
      <c r="F402" s="53" t="s">
        <v>2082</v>
      </c>
      <c r="G402" s="55">
        <v>11412</v>
      </c>
      <c r="H402" s="53" t="s">
        <v>2460</v>
      </c>
      <c r="I402" s="55">
        <v>306952623</v>
      </c>
      <c r="J402" s="55">
        <v>12141058</v>
      </c>
      <c r="K402" s="55" t="s">
        <v>577</v>
      </c>
      <c r="L402" s="53" t="s">
        <v>2062</v>
      </c>
      <c r="M402" s="55" t="s">
        <v>71</v>
      </c>
      <c r="N402" s="52">
        <v>1545358</v>
      </c>
      <c r="O402" s="52">
        <v>21852907478</v>
      </c>
      <c r="P402" s="52">
        <v>1545358</v>
      </c>
      <c r="Q402" s="57">
        <v>44273</v>
      </c>
      <c r="R402" s="57">
        <v>46829</v>
      </c>
      <c r="S402" s="56">
        <v>8</v>
      </c>
      <c r="T402" s="54">
        <v>24</v>
      </c>
      <c r="U402" s="52">
        <v>19741358475.040001</v>
      </c>
      <c r="V402" s="52">
        <v>19741358475.040001</v>
      </c>
      <c r="W402" s="52">
        <v>0</v>
      </c>
      <c r="X402" s="57"/>
      <c r="Y402" s="52">
        <v>0</v>
      </c>
      <c r="Z402" s="52">
        <v>0</v>
      </c>
      <c r="AA402" s="52">
        <v>1</v>
      </c>
      <c r="AB402" s="52">
        <v>0</v>
      </c>
      <c r="AC402" s="52">
        <v>3793795655.1700001</v>
      </c>
      <c r="AD402" s="52">
        <v>543984091.89999998</v>
      </c>
      <c r="AE402" s="52">
        <v>0</v>
      </c>
      <c r="AF402" s="52">
        <v>3249811563.27</v>
      </c>
      <c r="AG402" s="52">
        <v>0</v>
      </c>
      <c r="AH402" s="52">
        <v>0</v>
      </c>
      <c r="AI402" s="52">
        <v>0</v>
      </c>
      <c r="AJ402" s="52">
        <v>2</v>
      </c>
      <c r="AK402" s="52"/>
      <c r="AL402" s="52">
        <v>0</v>
      </c>
      <c r="AM402" s="52">
        <v>0</v>
      </c>
      <c r="AN402" s="52">
        <v>14614760000</v>
      </c>
      <c r="AO402" s="52">
        <v>0</v>
      </c>
      <c r="AP402" s="52">
        <v>0</v>
      </c>
      <c r="AQ402" s="58">
        <v>0</v>
      </c>
      <c r="AR402" s="58">
        <v>0</v>
      </c>
      <c r="AS402" s="58">
        <v>0</v>
      </c>
      <c r="AT402" s="58">
        <v>0</v>
      </c>
      <c r="AU402" s="58">
        <v>0</v>
      </c>
      <c r="AV402" s="58">
        <v>0</v>
      </c>
      <c r="AW402" s="58">
        <v>9</v>
      </c>
      <c r="AX402" s="58">
        <v>1561908.97</v>
      </c>
    </row>
    <row r="403" spans="1:50" x14ac:dyDescent="0.25">
      <c r="A403" s="52">
        <f t="shared" si="29"/>
        <v>398</v>
      </c>
      <c r="B403" s="60" t="str">
        <f t="shared" si="28"/>
        <v>0043312878693</v>
      </c>
      <c r="C403" s="55" t="s">
        <v>29</v>
      </c>
      <c r="D403" s="53" t="s">
        <v>2080</v>
      </c>
      <c r="E403" s="55" t="s">
        <v>568</v>
      </c>
      <c r="F403" s="53" t="s">
        <v>2082</v>
      </c>
      <c r="G403" s="55">
        <v>11412</v>
      </c>
      <c r="H403" s="53" t="s">
        <v>2455</v>
      </c>
      <c r="I403" s="55">
        <v>306762844</v>
      </c>
      <c r="J403" s="55">
        <v>12878693</v>
      </c>
      <c r="K403" s="55" t="s">
        <v>578</v>
      </c>
      <c r="L403" s="53" t="s">
        <v>2062</v>
      </c>
      <c r="M403" s="55" t="s">
        <v>75</v>
      </c>
      <c r="N403" s="52">
        <v>950000</v>
      </c>
      <c r="O403" s="52">
        <v>11464372000</v>
      </c>
      <c r="P403" s="52">
        <v>815686</v>
      </c>
      <c r="Q403" s="57">
        <v>45622</v>
      </c>
      <c r="R403" s="57">
        <v>46323</v>
      </c>
      <c r="S403" s="56">
        <v>14</v>
      </c>
      <c r="T403" s="54">
        <v>24</v>
      </c>
      <c r="U403" s="52">
        <v>11589145000</v>
      </c>
      <c r="V403" s="52">
        <v>11589145000</v>
      </c>
      <c r="W403" s="52">
        <v>0</v>
      </c>
      <c r="X403" s="57"/>
      <c r="Y403" s="52">
        <v>0</v>
      </c>
      <c r="Z403" s="52">
        <v>0</v>
      </c>
      <c r="AA403" s="52">
        <v>1</v>
      </c>
      <c r="AB403" s="52">
        <v>0</v>
      </c>
      <c r="AC403" s="52">
        <v>1786809618.45</v>
      </c>
      <c r="AD403" s="52">
        <v>592137848.48000002</v>
      </c>
      <c r="AE403" s="52">
        <v>0</v>
      </c>
      <c r="AF403" s="52">
        <v>1194671769.97</v>
      </c>
      <c r="AG403" s="52">
        <v>0</v>
      </c>
      <c r="AH403" s="52">
        <v>0</v>
      </c>
      <c r="AI403" s="52">
        <v>0</v>
      </c>
      <c r="AJ403" s="52">
        <v>2</v>
      </c>
      <c r="AK403" s="52"/>
      <c r="AL403" s="52">
        <v>0</v>
      </c>
      <c r="AM403" s="52">
        <v>0</v>
      </c>
      <c r="AN403" s="52">
        <v>15500000000</v>
      </c>
      <c r="AO403" s="52">
        <v>0</v>
      </c>
      <c r="AP403" s="52">
        <v>0</v>
      </c>
      <c r="AQ403" s="58">
        <v>0</v>
      </c>
      <c r="AR403" s="58">
        <v>0</v>
      </c>
      <c r="AS403" s="58">
        <v>77</v>
      </c>
      <c r="AT403" s="58">
        <v>1616219.43</v>
      </c>
      <c r="AU403" s="58">
        <v>0</v>
      </c>
      <c r="AV403" s="58">
        <v>0</v>
      </c>
      <c r="AW403" s="58">
        <v>63</v>
      </c>
      <c r="AX403" s="58">
        <v>92728177.640000001</v>
      </c>
    </row>
    <row r="404" spans="1:50" x14ac:dyDescent="0.25">
      <c r="A404" s="52">
        <f t="shared" si="29"/>
        <v>399</v>
      </c>
      <c r="B404" s="60" t="str">
        <f t="shared" si="28"/>
        <v>0043312898068</v>
      </c>
      <c r="C404" s="55" t="s">
        <v>29</v>
      </c>
      <c r="D404" s="53" t="s">
        <v>2080</v>
      </c>
      <c r="E404" s="55" t="s">
        <v>568</v>
      </c>
      <c r="F404" s="53" t="s">
        <v>2082</v>
      </c>
      <c r="G404" s="55">
        <v>11412</v>
      </c>
      <c r="H404" s="53" t="s">
        <v>2455</v>
      </c>
      <c r="I404" s="55">
        <v>306762844</v>
      </c>
      <c r="J404" s="55">
        <v>12898068</v>
      </c>
      <c r="K404" s="55" t="s">
        <v>579</v>
      </c>
      <c r="L404" s="53" t="s">
        <v>2062</v>
      </c>
      <c r="M404" s="55" t="s">
        <v>75</v>
      </c>
      <c r="N404" s="52">
        <v>815686</v>
      </c>
      <c r="O404" s="52">
        <v>9843502883.3600006</v>
      </c>
      <c r="P404" s="52">
        <v>950000</v>
      </c>
      <c r="Q404" s="57">
        <v>45644</v>
      </c>
      <c r="R404" s="57">
        <v>46543</v>
      </c>
      <c r="S404" s="56">
        <v>10.35</v>
      </c>
      <c r="T404" s="54">
        <v>24</v>
      </c>
      <c r="U404" s="52">
        <v>8741723913.1499996</v>
      </c>
      <c r="V404" s="52">
        <v>0</v>
      </c>
      <c r="W404" s="52">
        <v>0</v>
      </c>
      <c r="X404" s="57"/>
      <c r="Y404" s="52">
        <v>8741723913.1499996</v>
      </c>
      <c r="Z404" s="52">
        <v>0</v>
      </c>
      <c r="AA404" s="52">
        <v>1</v>
      </c>
      <c r="AB404" s="52">
        <v>0</v>
      </c>
      <c r="AC404" s="52">
        <v>437301747.66000003</v>
      </c>
      <c r="AD404" s="52">
        <v>307373403.24000001</v>
      </c>
      <c r="AE404" s="52">
        <v>0</v>
      </c>
      <c r="AF404" s="52">
        <v>129928344.42</v>
      </c>
      <c r="AG404" s="52">
        <v>0</v>
      </c>
      <c r="AH404" s="52">
        <v>0</v>
      </c>
      <c r="AI404" s="52">
        <v>0</v>
      </c>
      <c r="AJ404" s="52">
        <v>2</v>
      </c>
      <c r="AK404" s="52"/>
      <c r="AL404" s="52">
        <v>0</v>
      </c>
      <c r="AM404" s="52">
        <v>0</v>
      </c>
      <c r="AN404" s="52">
        <v>15500000000</v>
      </c>
      <c r="AO404" s="52">
        <v>0</v>
      </c>
      <c r="AP404" s="52">
        <v>0</v>
      </c>
      <c r="AQ404" s="58">
        <v>0</v>
      </c>
      <c r="AR404" s="58">
        <v>0</v>
      </c>
      <c r="AS404" s="58">
        <v>77</v>
      </c>
      <c r="AT404" s="58">
        <v>1616219.43</v>
      </c>
      <c r="AU404" s="58">
        <v>0</v>
      </c>
      <c r="AV404" s="58">
        <v>0</v>
      </c>
      <c r="AW404" s="58">
        <v>63</v>
      </c>
      <c r="AX404" s="58">
        <v>92728177.640000001</v>
      </c>
    </row>
    <row r="405" spans="1:50" x14ac:dyDescent="0.25">
      <c r="A405" s="52">
        <f t="shared" si="29"/>
        <v>400</v>
      </c>
      <c r="B405" s="60" t="str">
        <f t="shared" si="28"/>
        <v>0043312146322</v>
      </c>
      <c r="C405" s="55" t="s">
        <v>29</v>
      </c>
      <c r="D405" s="53" t="s">
        <v>2080</v>
      </c>
      <c r="E405" s="55" t="s">
        <v>568</v>
      </c>
      <c r="F405" s="53" t="s">
        <v>2082</v>
      </c>
      <c r="G405" s="55">
        <v>11412</v>
      </c>
      <c r="H405" s="53" t="s">
        <v>2461</v>
      </c>
      <c r="I405" s="55">
        <v>203989866</v>
      </c>
      <c r="J405" s="55">
        <v>12146322</v>
      </c>
      <c r="K405" s="55" t="s">
        <v>580</v>
      </c>
      <c r="L405" s="53" t="s">
        <v>2062</v>
      </c>
      <c r="M405" s="55" t="s">
        <v>49</v>
      </c>
      <c r="N405" s="52">
        <v>4535000000</v>
      </c>
      <c r="O405" s="52">
        <v>4535000000</v>
      </c>
      <c r="P405" s="52">
        <v>4535000000</v>
      </c>
      <c r="Q405" s="57">
        <v>44932</v>
      </c>
      <c r="R405" s="57">
        <v>46696</v>
      </c>
      <c r="S405" s="56">
        <v>20</v>
      </c>
      <c r="T405" s="54">
        <v>13</v>
      </c>
      <c r="U405" s="52">
        <v>2299000000</v>
      </c>
      <c r="V405" s="52">
        <v>2299000000</v>
      </c>
      <c r="W405" s="52">
        <v>0</v>
      </c>
      <c r="X405" s="57"/>
      <c r="Y405" s="52">
        <v>0</v>
      </c>
      <c r="Z405" s="52">
        <v>0</v>
      </c>
      <c r="AA405" s="52">
        <v>1</v>
      </c>
      <c r="AB405" s="52">
        <v>0</v>
      </c>
      <c r="AC405" s="52">
        <v>210111851.82000002</v>
      </c>
      <c r="AD405" s="52">
        <v>27336054.800000001</v>
      </c>
      <c r="AE405" s="52">
        <v>182775797.02000001</v>
      </c>
      <c r="AF405" s="52">
        <v>0</v>
      </c>
      <c r="AG405" s="52">
        <v>0</v>
      </c>
      <c r="AH405" s="52">
        <v>0</v>
      </c>
      <c r="AI405" s="52">
        <v>0</v>
      </c>
      <c r="AJ405" s="52">
        <v>2</v>
      </c>
      <c r="AK405" s="52"/>
      <c r="AL405" s="52">
        <v>0</v>
      </c>
      <c r="AM405" s="52">
        <v>0</v>
      </c>
      <c r="AN405" s="52">
        <v>5668750000</v>
      </c>
      <c r="AO405" s="52">
        <v>0</v>
      </c>
      <c r="AP405" s="52">
        <v>0</v>
      </c>
      <c r="AQ405" s="58">
        <v>0</v>
      </c>
      <c r="AR405" s="58">
        <v>0</v>
      </c>
      <c r="AS405" s="58">
        <v>0</v>
      </c>
      <c r="AT405" s="58">
        <v>0</v>
      </c>
      <c r="AU405" s="58">
        <v>1</v>
      </c>
      <c r="AV405" s="58">
        <v>156753</v>
      </c>
      <c r="AW405" s="58">
        <v>6</v>
      </c>
      <c r="AX405" s="58">
        <v>492817.99</v>
      </c>
    </row>
    <row r="406" spans="1:50" x14ac:dyDescent="0.25">
      <c r="A406" s="52">
        <f t="shared" si="29"/>
        <v>401</v>
      </c>
      <c r="B406" s="60" t="str">
        <f t="shared" si="28"/>
        <v>0043312145472</v>
      </c>
      <c r="C406" s="55" t="s">
        <v>29</v>
      </c>
      <c r="D406" s="53" t="s">
        <v>2080</v>
      </c>
      <c r="E406" s="55" t="s">
        <v>568</v>
      </c>
      <c r="F406" s="53" t="s">
        <v>2082</v>
      </c>
      <c r="G406" s="55">
        <v>11412</v>
      </c>
      <c r="H406" s="53" t="s">
        <v>2462</v>
      </c>
      <c r="I406" s="55">
        <v>305454128</v>
      </c>
      <c r="J406" s="55">
        <v>12145472</v>
      </c>
      <c r="K406" s="55" t="s">
        <v>581</v>
      </c>
      <c r="L406" s="53" t="s">
        <v>2062</v>
      </c>
      <c r="M406" s="55" t="s">
        <v>49</v>
      </c>
      <c r="N406" s="52">
        <v>2000000000</v>
      </c>
      <c r="O406" s="52">
        <v>2000000000</v>
      </c>
      <c r="P406" s="52">
        <v>2000000000</v>
      </c>
      <c r="Q406" s="57">
        <v>44887</v>
      </c>
      <c r="R406" s="57">
        <v>46697</v>
      </c>
      <c r="S406" s="56">
        <v>22.5</v>
      </c>
      <c r="T406" s="54">
        <v>60</v>
      </c>
      <c r="U406" s="52">
        <v>1386605178.23</v>
      </c>
      <c r="V406" s="52">
        <v>1222222216</v>
      </c>
      <c r="W406" s="52">
        <v>164382962.22999999</v>
      </c>
      <c r="X406" s="57">
        <v>45966</v>
      </c>
      <c r="Y406" s="52">
        <v>0</v>
      </c>
      <c r="Z406" s="52">
        <v>0</v>
      </c>
      <c r="AA406" s="52">
        <v>2</v>
      </c>
      <c r="AB406" s="52">
        <v>0</v>
      </c>
      <c r="AC406" s="52">
        <v>163810956.91</v>
      </c>
      <c r="AD406" s="52">
        <v>21130136.879999999</v>
      </c>
      <c r="AE406" s="52">
        <v>115047314.31</v>
      </c>
      <c r="AF406" s="52">
        <v>0</v>
      </c>
      <c r="AG406" s="52">
        <v>27633505.719999999</v>
      </c>
      <c r="AH406" s="52">
        <v>0</v>
      </c>
      <c r="AI406" s="52">
        <v>0</v>
      </c>
      <c r="AJ406" s="52">
        <v>2</v>
      </c>
      <c r="AK406" s="52"/>
      <c r="AL406" s="52">
        <v>0</v>
      </c>
      <c r="AM406" s="52">
        <v>0</v>
      </c>
      <c r="AN406" s="52">
        <v>2500000000</v>
      </c>
      <c r="AO406" s="52">
        <v>132103362766</v>
      </c>
      <c r="AP406" s="52">
        <v>650000000</v>
      </c>
      <c r="AQ406" s="58">
        <v>0</v>
      </c>
      <c r="AR406" s="58">
        <v>0</v>
      </c>
      <c r="AS406" s="58">
        <v>0</v>
      </c>
      <c r="AT406" s="58">
        <v>0</v>
      </c>
      <c r="AU406" s="58">
        <v>0</v>
      </c>
      <c r="AV406" s="58">
        <v>0</v>
      </c>
      <c r="AW406" s="58">
        <v>0</v>
      </c>
      <c r="AX406" s="58">
        <v>0</v>
      </c>
    </row>
    <row r="407" spans="1:50" x14ac:dyDescent="0.25">
      <c r="A407" s="52">
        <f t="shared" si="29"/>
        <v>402</v>
      </c>
      <c r="B407" s="60" t="str">
        <f t="shared" si="28"/>
        <v>0043312143689</v>
      </c>
      <c r="C407" s="55" t="s">
        <v>29</v>
      </c>
      <c r="D407" s="53" t="s">
        <v>2080</v>
      </c>
      <c r="E407" s="55" t="s">
        <v>568</v>
      </c>
      <c r="F407" s="53" t="s">
        <v>2082</v>
      </c>
      <c r="G407" s="55">
        <v>11412</v>
      </c>
      <c r="H407" s="53" t="s">
        <v>582</v>
      </c>
      <c r="I407" s="55">
        <v>308083113</v>
      </c>
      <c r="J407" s="55">
        <v>12143689</v>
      </c>
      <c r="K407" s="55" t="s">
        <v>583</v>
      </c>
      <c r="L407" s="53" t="s">
        <v>2062</v>
      </c>
      <c r="M407" s="55" t="s">
        <v>49</v>
      </c>
      <c r="N407" s="52">
        <v>2000000000</v>
      </c>
      <c r="O407" s="52">
        <v>2000000000</v>
      </c>
      <c r="P407" s="52">
        <v>2000000000</v>
      </c>
      <c r="Q407" s="57">
        <v>44810</v>
      </c>
      <c r="R407" s="57">
        <v>46264</v>
      </c>
      <c r="S407" s="56">
        <v>22.5</v>
      </c>
      <c r="T407" s="54">
        <v>6</v>
      </c>
      <c r="U407" s="52">
        <v>1121052885.74</v>
      </c>
      <c r="V407" s="52">
        <v>0</v>
      </c>
      <c r="W407" s="52">
        <v>517384050.39999998</v>
      </c>
      <c r="X407" s="57">
        <v>45874</v>
      </c>
      <c r="Y407" s="52">
        <v>603668835.34000003</v>
      </c>
      <c r="Z407" s="52">
        <v>0</v>
      </c>
      <c r="AA407" s="52">
        <v>3</v>
      </c>
      <c r="AB407" s="52">
        <v>0</v>
      </c>
      <c r="AC407" s="52">
        <v>190483128.31</v>
      </c>
      <c r="AD407" s="52">
        <v>10472650.15</v>
      </c>
      <c r="AE407" s="52">
        <v>0</v>
      </c>
      <c r="AF407" s="52">
        <v>0</v>
      </c>
      <c r="AG407" s="52">
        <v>180010478.16</v>
      </c>
      <c r="AH407" s="52">
        <v>0</v>
      </c>
      <c r="AI407" s="52">
        <v>0</v>
      </c>
      <c r="AJ407" s="52">
        <v>2</v>
      </c>
      <c r="AK407" s="52"/>
      <c r="AL407" s="52">
        <v>0</v>
      </c>
      <c r="AM407" s="52">
        <v>0</v>
      </c>
      <c r="AN407" s="52">
        <v>2502000000</v>
      </c>
      <c r="AO407" s="52">
        <v>0</v>
      </c>
      <c r="AP407" s="52">
        <v>0</v>
      </c>
      <c r="AQ407" s="58">
        <v>0</v>
      </c>
      <c r="AR407" s="58">
        <v>0</v>
      </c>
      <c r="AS407" s="58">
        <v>0</v>
      </c>
      <c r="AT407" s="58">
        <v>0</v>
      </c>
      <c r="AU407" s="58">
        <v>0</v>
      </c>
      <c r="AV407" s="58">
        <v>0</v>
      </c>
      <c r="AW407" s="58">
        <v>1</v>
      </c>
      <c r="AX407" s="58">
        <v>180000</v>
      </c>
    </row>
    <row r="408" spans="1:50" x14ac:dyDescent="0.25">
      <c r="A408" s="52">
        <f t="shared" si="29"/>
        <v>403</v>
      </c>
      <c r="B408" s="60" t="str">
        <f t="shared" si="28"/>
        <v>0043312630320</v>
      </c>
      <c r="C408" s="55" t="s">
        <v>29</v>
      </c>
      <c r="D408" s="53" t="s">
        <v>2080</v>
      </c>
      <c r="E408" s="55" t="s">
        <v>568</v>
      </c>
      <c r="F408" s="53" t="s">
        <v>2082</v>
      </c>
      <c r="G408" s="55">
        <v>11412</v>
      </c>
      <c r="H408" s="53" t="s">
        <v>2463</v>
      </c>
      <c r="I408" s="55">
        <v>202230110</v>
      </c>
      <c r="J408" s="55">
        <v>12630320</v>
      </c>
      <c r="K408" s="55" t="s">
        <v>584</v>
      </c>
      <c r="L408" s="53" t="s">
        <v>2045</v>
      </c>
      <c r="M408" s="55" t="s">
        <v>49</v>
      </c>
      <c r="N408" s="52">
        <v>1060680529</v>
      </c>
      <c r="O408" s="52">
        <v>1060680529</v>
      </c>
      <c r="P408" s="52">
        <v>1060680529</v>
      </c>
      <c r="Q408" s="57">
        <v>45370</v>
      </c>
      <c r="R408" s="57">
        <v>47820</v>
      </c>
      <c r="S408" s="56">
        <v>0</v>
      </c>
      <c r="T408" s="54">
        <v>48</v>
      </c>
      <c r="U408" s="52">
        <v>1060680529</v>
      </c>
      <c r="V408" s="52">
        <v>1060680529</v>
      </c>
      <c r="W408" s="52">
        <v>0</v>
      </c>
      <c r="X408" s="57"/>
      <c r="Y408" s="52">
        <v>0</v>
      </c>
      <c r="Z408" s="52">
        <v>0</v>
      </c>
      <c r="AA408" s="52">
        <v>1</v>
      </c>
      <c r="AB408" s="52">
        <v>0</v>
      </c>
      <c r="AC408" s="52">
        <v>184700273.66</v>
      </c>
      <c r="AD408" s="52">
        <v>0</v>
      </c>
      <c r="AE408" s="52">
        <v>0</v>
      </c>
      <c r="AF408" s="52">
        <v>184700273.66</v>
      </c>
      <c r="AG408" s="52">
        <v>0</v>
      </c>
      <c r="AH408" s="52">
        <v>0</v>
      </c>
      <c r="AI408" s="52">
        <v>0</v>
      </c>
      <c r="AJ408" s="52">
        <v>2</v>
      </c>
      <c r="AK408" s="52"/>
      <c r="AL408" s="52">
        <v>0</v>
      </c>
      <c r="AM408" s="52">
        <v>0</v>
      </c>
      <c r="AN408" s="52">
        <v>132585066125</v>
      </c>
      <c r="AO408" s="52">
        <v>0</v>
      </c>
      <c r="AP408" s="52">
        <v>0</v>
      </c>
      <c r="AQ408" s="58">
        <v>0</v>
      </c>
      <c r="AR408" s="58">
        <v>0</v>
      </c>
      <c r="AS408" s="58">
        <v>0</v>
      </c>
      <c r="AT408" s="58">
        <v>0</v>
      </c>
      <c r="AU408" s="58">
        <v>0</v>
      </c>
      <c r="AV408" s="58">
        <v>0</v>
      </c>
      <c r="AW408" s="58">
        <v>0</v>
      </c>
      <c r="AX408" s="58">
        <v>0</v>
      </c>
    </row>
    <row r="409" spans="1:50" x14ac:dyDescent="0.25">
      <c r="A409" s="52">
        <f t="shared" si="29"/>
        <v>404</v>
      </c>
      <c r="B409" s="60" t="str">
        <f t="shared" si="28"/>
        <v>0043312884083</v>
      </c>
      <c r="C409" s="55" t="s">
        <v>29</v>
      </c>
      <c r="D409" s="53" t="s">
        <v>2080</v>
      </c>
      <c r="E409" s="55" t="s">
        <v>568</v>
      </c>
      <c r="F409" s="53" t="s">
        <v>2083</v>
      </c>
      <c r="G409" s="55">
        <v>11413</v>
      </c>
      <c r="H409" s="53" t="s">
        <v>585</v>
      </c>
      <c r="I409" s="55">
        <v>309750366</v>
      </c>
      <c r="J409" s="55">
        <v>12884083</v>
      </c>
      <c r="K409" s="55" t="s">
        <v>586</v>
      </c>
      <c r="L409" s="53" t="s">
        <v>2043</v>
      </c>
      <c r="M409" s="55" t="s">
        <v>75</v>
      </c>
      <c r="N409" s="52">
        <v>409500</v>
      </c>
      <c r="O409" s="52">
        <v>4941747720</v>
      </c>
      <c r="P409" s="52">
        <v>409500</v>
      </c>
      <c r="Q409" s="57">
        <v>45625</v>
      </c>
      <c r="R409" s="57">
        <v>48178</v>
      </c>
      <c r="S409" s="56">
        <v>11</v>
      </c>
      <c r="T409" s="54">
        <v>0</v>
      </c>
      <c r="U409" s="52">
        <v>4879640000</v>
      </c>
      <c r="V409" s="52">
        <v>4879640000</v>
      </c>
      <c r="W409" s="52">
        <v>0</v>
      </c>
      <c r="X409" s="57"/>
      <c r="Y409" s="52">
        <v>0</v>
      </c>
      <c r="Z409" s="52">
        <v>0</v>
      </c>
      <c r="AA409" s="52">
        <v>1</v>
      </c>
      <c r="AB409" s="52">
        <v>0</v>
      </c>
      <c r="AC409" s="52">
        <v>40257030</v>
      </c>
      <c r="AD409" s="52">
        <v>40257030</v>
      </c>
      <c r="AE409" s="52">
        <v>0</v>
      </c>
      <c r="AF409" s="52">
        <v>0</v>
      </c>
      <c r="AG409" s="52">
        <v>0</v>
      </c>
      <c r="AH409" s="52">
        <v>0</v>
      </c>
      <c r="AI409" s="52">
        <v>0</v>
      </c>
      <c r="AJ409" s="52">
        <v>2</v>
      </c>
      <c r="AK409" s="52"/>
      <c r="AL409" s="52">
        <v>0</v>
      </c>
      <c r="AM409" s="52">
        <v>0</v>
      </c>
      <c r="AN409" s="52">
        <v>11977875000</v>
      </c>
      <c r="AO409" s="52">
        <v>152850</v>
      </c>
      <c r="AP409" s="52">
        <v>152850</v>
      </c>
      <c r="AQ409" s="58">
        <v>0</v>
      </c>
      <c r="AR409" s="58">
        <v>0</v>
      </c>
      <c r="AS409" s="58">
        <v>1</v>
      </c>
      <c r="AT409" s="58">
        <v>80000</v>
      </c>
      <c r="AU409" s="58">
        <v>3</v>
      </c>
      <c r="AV409" s="58">
        <v>447160</v>
      </c>
      <c r="AW409" s="58">
        <v>2</v>
      </c>
      <c r="AX409" s="58">
        <v>400000</v>
      </c>
    </row>
    <row r="410" spans="1:50" x14ac:dyDescent="0.25">
      <c r="A410" s="52">
        <f t="shared" si="29"/>
        <v>405</v>
      </c>
      <c r="B410" s="60" t="str">
        <f t="shared" si="28"/>
        <v>0043312706109</v>
      </c>
      <c r="C410" s="55" t="s">
        <v>29</v>
      </c>
      <c r="D410" s="53" t="s">
        <v>2080</v>
      </c>
      <c r="E410" s="55" t="s">
        <v>568</v>
      </c>
      <c r="F410" s="53" t="s">
        <v>2083</v>
      </c>
      <c r="G410" s="55">
        <v>11413</v>
      </c>
      <c r="H410" s="53" t="s">
        <v>587</v>
      </c>
      <c r="I410" s="55">
        <v>305693757</v>
      </c>
      <c r="J410" s="55">
        <v>12706109</v>
      </c>
      <c r="K410" s="55" t="s">
        <v>588</v>
      </c>
      <c r="L410" s="53" t="s">
        <v>2043</v>
      </c>
      <c r="M410" s="55" t="s">
        <v>49</v>
      </c>
      <c r="N410" s="52">
        <v>4500000000</v>
      </c>
      <c r="O410" s="52">
        <v>4500000000</v>
      </c>
      <c r="P410" s="52">
        <v>4500000000</v>
      </c>
      <c r="Q410" s="57">
        <v>45422</v>
      </c>
      <c r="R410" s="57">
        <v>47241</v>
      </c>
      <c r="S410" s="56">
        <v>19</v>
      </c>
      <c r="T410" s="54">
        <v>12</v>
      </c>
      <c r="U410" s="52">
        <v>3750000000</v>
      </c>
      <c r="V410" s="52">
        <v>3750000000</v>
      </c>
      <c r="W410" s="52">
        <v>0</v>
      </c>
      <c r="X410" s="57"/>
      <c r="Y410" s="52">
        <v>0</v>
      </c>
      <c r="Z410" s="52">
        <v>0</v>
      </c>
      <c r="AA410" s="52">
        <v>1</v>
      </c>
      <c r="AB410" s="52">
        <v>0</v>
      </c>
      <c r="AC410" s="52">
        <v>52705479.450000003</v>
      </c>
      <c r="AD410" s="52">
        <v>52705479.450000003</v>
      </c>
      <c r="AE410" s="52">
        <v>0</v>
      </c>
      <c r="AF410" s="52">
        <v>0</v>
      </c>
      <c r="AG410" s="52">
        <v>0</v>
      </c>
      <c r="AH410" s="52">
        <v>0</v>
      </c>
      <c r="AI410" s="52">
        <v>0</v>
      </c>
      <c r="AJ410" s="52">
        <v>2</v>
      </c>
      <c r="AK410" s="52"/>
      <c r="AL410" s="52">
        <v>0</v>
      </c>
      <c r="AM410" s="52">
        <v>0</v>
      </c>
      <c r="AN410" s="52">
        <v>5625000000</v>
      </c>
      <c r="AO410" s="52">
        <v>9134912160</v>
      </c>
      <c r="AP410" s="52">
        <v>9134912160</v>
      </c>
      <c r="AQ410" s="58">
        <v>0</v>
      </c>
      <c r="AR410" s="58">
        <v>0</v>
      </c>
      <c r="AS410" s="58">
        <v>0</v>
      </c>
      <c r="AT410" s="58">
        <v>0</v>
      </c>
      <c r="AU410" s="58">
        <v>0</v>
      </c>
      <c r="AV410" s="58">
        <v>0</v>
      </c>
      <c r="AW410" s="58">
        <v>2</v>
      </c>
      <c r="AX410" s="58">
        <v>34320</v>
      </c>
    </row>
    <row r="411" spans="1:50" x14ac:dyDescent="0.25">
      <c r="A411" s="52">
        <f t="shared" si="29"/>
        <v>406</v>
      </c>
      <c r="B411" s="60" t="str">
        <f t="shared" si="28"/>
        <v>0043312899539</v>
      </c>
      <c r="C411" s="55" t="s">
        <v>29</v>
      </c>
      <c r="D411" s="53" t="s">
        <v>2080</v>
      </c>
      <c r="E411" s="55" t="s">
        <v>568</v>
      </c>
      <c r="F411" s="53" t="s">
        <v>2083</v>
      </c>
      <c r="G411" s="55">
        <v>11413</v>
      </c>
      <c r="H411" s="53" t="s">
        <v>587</v>
      </c>
      <c r="I411" s="55">
        <v>305693757</v>
      </c>
      <c r="J411" s="55">
        <v>12899539</v>
      </c>
      <c r="K411" s="55" t="s">
        <v>589</v>
      </c>
      <c r="L411" s="53" t="s">
        <v>2043</v>
      </c>
      <c r="M411" s="55" t="s">
        <v>49</v>
      </c>
      <c r="N411" s="52">
        <v>4500000000</v>
      </c>
      <c r="O411" s="52">
        <v>4500000000</v>
      </c>
      <c r="P411" s="52">
        <v>4500000000</v>
      </c>
      <c r="Q411" s="57">
        <v>45649</v>
      </c>
      <c r="R411" s="57">
        <v>48201</v>
      </c>
      <c r="S411" s="56">
        <v>18.5</v>
      </c>
      <c r="T411" s="54">
        <v>12</v>
      </c>
      <c r="U411" s="52">
        <v>3717396000</v>
      </c>
      <c r="V411" s="52">
        <v>3717396000</v>
      </c>
      <c r="W411" s="52">
        <v>0</v>
      </c>
      <c r="X411" s="57"/>
      <c r="Y411" s="52">
        <v>0</v>
      </c>
      <c r="Z411" s="52">
        <v>0</v>
      </c>
      <c r="AA411" s="52">
        <v>1</v>
      </c>
      <c r="AB411" s="52">
        <v>0</v>
      </c>
      <c r="AC411" s="52">
        <v>4881180.24</v>
      </c>
      <c r="AD411" s="52">
        <v>4881180.24</v>
      </c>
      <c r="AE411" s="52">
        <v>0</v>
      </c>
      <c r="AF411" s="52">
        <v>0</v>
      </c>
      <c r="AG411" s="52">
        <v>0</v>
      </c>
      <c r="AH411" s="52">
        <v>0</v>
      </c>
      <c r="AI411" s="52">
        <v>0</v>
      </c>
      <c r="AJ411" s="52">
        <v>2</v>
      </c>
      <c r="AK411" s="52"/>
      <c r="AL411" s="52">
        <v>0</v>
      </c>
      <c r="AM411" s="52">
        <v>0</v>
      </c>
      <c r="AN411" s="52">
        <v>5625000000</v>
      </c>
      <c r="AO411" s="52">
        <v>4947827560</v>
      </c>
      <c r="AP411" s="52">
        <v>4947827560</v>
      </c>
      <c r="AQ411" s="58">
        <v>0</v>
      </c>
      <c r="AR411" s="58">
        <v>0</v>
      </c>
      <c r="AS411" s="58">
        <v>0</v>
      </c>
      <c r="AT411" s="58">
        <v>0</v>
      </c>
      <c r="AU411" s="58">
        <v>0</v>
      </c>
      <c r="AV411" s="58">
        <v>0</v>
      </c>
      <c r="AW411" s="58">
        <v>2</v>
      </c>
      <c r="AX411" s="58">
        <v>34320</v>
      </c>
    </row>
    <row r="412" spans="1:50" x14ac:dyDescent="0.25">
      <c r="A412" s="52">
        <f t="shared" si="29"/>
        <v>407</v>
      </c>
      <c r="B412" s="60" t="str">
        <f t="shared" si="28"/>
        <v>0043312738779</v>
      </c>
      <c r="C412" s="55" t="s">
        <v>29</v>
      </c>
      <c r="D412" s="53" t="s">
        <v>2080</v>
      </c>
      <c r="E412" s="55" t="s">
        <v>568</v>
      </c>
      <c r="F412" s="53" t="s">
        <v>2083</v>
      </c>
      <c r="G412" s="55">
        <v>11413</v>
      </c>
      <c r="H412" s="53" t="s">
        <v>590</v>
      </c>
      <c r="I412" s="55">
        <v>307295965</v>
      </c>
      <c r="J412" s="55">
        <v>12738779</v>
      </c>
      <c r="K412" s="55" t="s">
        <v>591</v>
      </c>
      <c r="L412" s="53" t="s">
        <v>2043</v>
      </c>
      <c r="M412" s="55" t="s">
        <v>49</v>
      </c>
      <c r="N412" s="52">
        <v>3000000000</v>
      </c>
      <c r="O412" s="52">
        <v>3000000000</v>
      </c>
      <c r="P412" s="52">
        <v>3000000000</v>
      </c>
      <c r="Q412" s="57">
        <v>45455</v>
      </c>
      <c r="R412" s="57">
        <v>48008</v>
      </c>
      <c r="S412" s="56">
        <v>19</v>
      </c>
      <c r="T412" s="54">
        <v>24</v>
      </c>
      <c r="U412" s="52">
        <v>3000000000</v>
      </c>
      <c r="V412" s="52">
        <v>3000000000</v>
      </c>
      <c r="W412" s="52">
        <v>0</v>
      </c>
      <c r="X412" s="57"/>
      <c r="Y412" s="52">
        <v>0</v>
      </c>
      <c r="Z412" s="52">
        <v>0</v>
      </c>
      <c r="AA412" s="52">
        <v>1</v>
      </c>
      <c r="AB412" s="52">
        <v>0</v>
      </c>
      <c r="AC412" s="52">
        <v>42164383.57</v>
      </c>
      <c r="AD412" s="52">
        <v>42164383.57</v>
      </c>
      <c r="AE412" s="52">
        <v>0</v>
      </c>
      <c r="AF412" s="52">
        <v>0</v>
      </c>
      <c r="AG412" s="52">
        <v>0</v>
      </c>
      <c r="AH412" s="52">
        <v>0</v>
      </c>
      <c r="AI412" s="52">
        <v>0</v>
      </c>
      <c r="AJ412" s="52">
        <v>2</v>
      </c>
      <c r="AK412" s="52"/>
      <c r="AL412" s="52">
        <v>0</v>
      </c>
      <c r="AM412" s="52">
        <v>0</v>
      </c>
      <c r="AN412" s="52">
        <v>3750000000</v>
      </c>
      <c r="AO412" s="52">
        <v>1439688912024</v>
      </c>
      <c r="AP412" s="52">
        <v>1439688912024</v>
      </c>
      <c r="AQ412" s="58">
        <v>0</v>
      </c>
      <c r="AR412" s="58">
        <v>0</v>
      </c>
      <c r="AS412" s="58">
        <v>0</v>
      </c>
      <c r="AT412" s="58">
        <v>0</v>
      </c>
      <c r="AU412" s="58">
        <v>1</v>
      </c>
      <c r="AV412" s="58">
        <v>19500</v>
      </c>
      <c r="AW412" s="58">
        <v>4</v>
      </c>
      <c r="AX412" s="58">
        <v>835980</v>
      </c>
    </row>
    <row r="413" spans="1:50" x14ac:dyDescent="0.25">
      <c r="A413" s="52">
        <f t="shared" si="29"/>
        <v>408</v>
      </c>
      <c r="B413" s="60" t="str">
        <f t="shared" si="28"/>
        <v>0043312614064</v>
      </c>
      <c r="C413" s="55" t="s">
        <v>29</v>
      </c>
      <c r="D413" s="53" t="s">
        <v>2080</v>
      </c>
      <c r="E413" s="55" t="s">
        <v>568</v>
      </c>
      <c r="F413" s="53" t="s">
        <v>2083</v>
      </c>
      <c r="G413" s="55">
        <v>11413</v>
      </c>
      <c r="H413" s="53" t="s">
        <v>592</v>
      </c>
      <c r="I413" s="55">
        <v>307566833</v>
      </c>
      <c r="J413" s="55">
        <v>12614064</v>
      </c>
      <c r="K413" s="55" t="s">
        <v>593</v>
      </c>
      <c r="L413" s="53" t="s">
        <v>2043</v>
      </c>
      <c r="M413" s="55" t="s">
        <v>49</v>
      </c>
      <c r="N413" s="52">
        <v>1796000000</v>
      </c>
      <c r="O413" s="52">
        <v>1796000000</v>
      </c>
      <c r="P413" s="52">
        <v>1796000000</v>
      </c>
      <c r="Q413" s="57">
        <v>45344</v>
      </c>
      <c r="R413" s="57">
        <v>47884</v>
      </c>
      <c r="S413" s="56">
        <v>14</v>
      </c>
      <c r="T413" s="54">
        <v>0</v>
      </c>
      <c r="U413" s="52">
        <v>1796000000</v>
      </c>
      <c r="V413" s="52">
        <v>1796000000</v>
      </c>
      <c r="W413" s="52">
        <v>0</v>
      </c>
      <c r="X413" s="57"/>
      <c r="Y413" s="52">
        <v>0</v>
      </c>
      <c r="Z413" s="52">
        <v>0</v>
      </c>
      <c r="AA413" s="52">
        <v>1</v>
      </c>
      <c r="AB413" s="52">
        <v>0</v>
      </c>
      <c r="AC413" s="52">
        <v>3444383.56</v>
      </c>
      <c r="AD413" s="52">
        <v>3444383.56</v>
      </c>
      <c r="AE413" s="52">
        <v>0</v>
      </c>
      <c r="AF413" s="52">
        <v>0</v>
      </c>
      <c r="AG413" s="52">
        <v>0</v>
      </c>
      <c r="AH413" s="52">
        <v>0</v>
      </c>
      <c r="AI413" s="52">
        <v>0</v>
      </c>
      <c r="AJ413" s="52">
        <v>2</v>
      </c>
      <c r="AK413" s="52"/>
      <c r="AL413" s="52">
        <v>0</v>
      </c>
      <c r="AM413" s="52">
        <v>0</v>
      </c>
      <c r="AN413" s="52">
        <v>2245000000</v>
      </c>
      <c r="AO413" s="52">
        <v>1139148267</v>
      </c>
      <c r="AP413" s="52">
        <v>1139148267</v>
      </c>
      <c r="AQ413" s="58">
        <v>0</v>
      </c>
      <c r="AR413" s="58">
        <v>0</v>
      </c>
      <c r="AS413" s="58">
        <v>0</v>
      </c>
      <c r="AT413" s="58">
        <v>0</v>
      </c>
      <c r="AU413" s="58">
        <v>0</v>
      </c>
      <c r="AV413" s="58">
        <v>0</v>
      </c>
      <c r="AW413" s="58">
        <v>0</v>
      </c>
      <c r="AX413" s="58">
        <v>0</v>
      </c>
    </row>
    <row r="414" spans="1:50" x14ac:dyDescent="0.25">
      <c r="A414" s="52">
        <f t="shared" si="29"/>
        <v>409</v>
      </c>
      <c r="B414" s="60" t="str">
        <f t="shared" si="28"/>
        <v>0043312940683</v>
      </c>
      <c r="C414" s="55" t="s">
        <v>29</v>
      </c>
      <c r="D414" s="53" t="s">
        <v>2080</v>
      </c>
      <c r="E414" s="55" t="s">
        <v>568</v>
      </c>
      <c r="F414" s="53" t="s">
        <v>2083</v>
      </c>
      <c r="G414" s="55">
        <v>11413</v>
      </c>
      <c r="H414" s="53" t="s">
        <v>594</v>
      </c>
      <c r="I414" s="55">
        <v>310590235</v>
      </c>
      <c r="J414" s="55">
        <v>12940683</v>
      </c>
      <c r="K414" s="55" t="s">
        <v>595</v>
      </c>
      <c r="L414" s="53" t="s">
        <v>2043</v>
      </c>
      <c r="M414" s="55" t="s">
        <v>49</v>
      </c>
      <c r="N414" s="52">
        <v>1850000000</v>
      </c>
      <c r="O414" s="52">
        <v>1850000000</v>
      </c>
      <c r="P414" s="52">
        <v>1850000000</v>
      </c>
      <c r="Q414" s="57">
        <v>45715</v>
      </c>
      <c r="R414" s="57">
        <v>46809</v>
      </c>
      <c r="S414" s="56">
        <v>29</v>
      </c>
      <c r="T414" s="54">
        <v>0</v>
      </c>
      <c r="U414" s="52">
        <v>1569245315.6500001</v>
      </c>
      <c r="V414" s="52">
        <v>1401515152</v>
      </c>
      <c r="W414" s="52">
        <v>167730163.65000001</v>
      </c>
      <c r="X414" s="57">
        <v>45966</v>
      </c>
      <c r="Y414" s="52">
        <v>0</v>
      </c>
      <c r="Z414" s="52">
        <v>0</v>
      </c>
      <c r="AA414" s="52">
        <v>2</v>
      </c>
      <c r="AB414" s="52">
        <v>0</v>
      </c>
      <c r="AC414" s="52">
        <v>176101256.19</v>
      </c>
      <c r="AD414" s="52">
        <v>31223453.73</v>
      </c>
      <c r="AE414" s="52">
        <v>0</v>
      </c>
      <c r="AF414" s="52">
        <v>0</v>
      </c>
      <c r="AG414" s="52">
        <v>144877802.46000001</v>
      </c>
      <c r="AH414" s="52">
        <v>0</v>
      </c>
      <c r="AI414" s="52">
        <v>0</v>
      </c>
      <c r="AJ414" s="52">
        <v>2</v>
      </c>
      <c r="AK414" s="52"/>
      <c r="AL414" s="52">
        <v>0</v>
      </c>
      <c r="AM414" s="52">
        <v>0</v>
      </c>
      <c r="AN414" s="52">
        <v>2326500000</v>
      </c>
      <c r="AO414" s="52">
        <v>2270564000</v>
      </c>
      <c r="AP414" s="52">
        <v>2270564000</v>
      </c>
      <c r="AQ414" s="58">
        <v>0</v>
      </c>
      <c r="AR414" s="58">
        <v>0</v>
      </c>
      <c r="AS414" s="58">
        <v>0</v>
      </c>
      <c r="AT414" s="58">
        <v>0</v>
      </c>
      <c r="AU414" s="58">
        <v>0</v>
      </c>
      <c r="AV414" s="58">
        <v>0</v>
      </c>
      <c r="AW414" s="58">
        <v>0</v>
      </c>
      <c r="AX414" s="58">
        <v>0</v>
      </c>
    </row>
    <row r="415" spans="1:50" x14ac:dyDescent="0.25">
      <c r="A415" s="52">
        <f t="shared" si="29"/>
        <v>410</v>
      </c>
      <c r="B415" s="60" t="str">
        <f t="shared" si="28"/>
        <v>0043312593336</v>
      </c>
      <c r="C415" s="55" t="s">
        <v>29</v>
      </c>
      <c r="D415" s="53" t="s">
        <v>2080</v>
      </c>
      <c r="E415" s="55" t="s">
        <v>568</v>
      </c>
      <c r="F415" s="53" t="s">
        <v>2083</v>
      </c>
      <c r="G415" s="55">
        <v>11413</v>
      </c>
      <c r="H415" s="53" t="s">
        <v>2464</v>
      </c>
      <c r="I415" s="55">
        <v>302305076</v>
      </c>
      <c r="J415" s="55">
        <v>12593336</v>
      </c>
      <c r="K415" s="55" t="s">
        <v>596</v>
      </c>
      <c r="L415" s="53" t="s">
        <v>2043</v>
      </c>
      <c r="M415" s="55" t="s">
        <v>49</v>
      </c>
      <c r="N415" s="52">
        <v>3500000000</v>
      </c>
      <c r="O415" s="52">
        <v>3500000000</v>
      </c>
      <c r="P415" s="52">
        <v>3500000000</v>
      </c>
      <c r="Q415" s="57">
        <v>45288</v>
      </c>
      <c r="R415" s="57">
        <v>47112</v>
      </c>
      <c r="S415" s="56">
        <v>19</v>
      </c>
      <c r="T415" s="54">
        <v>0</v>
      </c>
      <c r="U415" s="52">
        <v>1500000000</v>
      </c>
      <c r="V415" s="52">
        <v>1500000000</v>
      </c>
      <c r="W415" s="52">
        <v>0</v>
      </c>
      <c r="X415" s="57"/>
      <c r="Y415" s="52">
        <v>0</v>
      </c>
      <c r="Z415" s="52">
        <v>0</v>
      </c>
      <c r="AA415" s="52">
        <v>1</v>
      </c>
      <c r="AB415" s="52">
        <v>0</v>
      </c>
      <c r="AC415" s="52">
        <v>40172054.789999999</v>
      </c>
      <c r="AD415" s="52">
        <v>16421917.810000001</v>
      </c>
      <c r="AE415" s="52">
        <v>23750136.98</v>
      </c>
      <c r="AF415" s="52">
        <v>0</v>
      </c>
      <c r="AG415" s="52">
        <v>0</v>
      </c>
      <c r="AH415" s="52">
        <v>0</v>
      </c>
      <c r="AI415" s="52">
        <v>0</v>
      </c>
      <c r="AJ415" s="52">
        <v>2</v>
      </c>
      <c r="AK415" s="52"/>
      <c r="AL415" s="52">
        <v>0</v>
      </c>
      <c r="AM415" s="52">
        <v>0</v>
      </c>
      <c r="AN415" s="52">
        <v>4375000000</v>
      </c>
      <c r="AO415" s="52">
        <v>12100821046288</v>
      </c>
      <c r="AP415" s="52">
        <v>12100821046288</v>
      </c>
      <c r="AQ415" s="58">
        <v>0</v>
      </c>
      <c r="AR415" s="58">
        <v>0</v>
      </c>
      <c r="AS415" s="58">
        <v>0</v>
      </c>
      <c r="AT415" s="58">
        <v>0</v>
      </c>
      <c r="AU415" s="58">
        <v>0</v>
      </c>
      <c r="AV415" s="58">
        <v>0</v>
      </c>
      <c r="AW415" s="58">
        <v>3</v>
      </c>
      <c r="AX415" s="58">
        <v>176800</v>
      </c>
    </row>
    <row r="416" spans="1:50" x14ac:dyDescent="0.25">
      <c r="A416" s="52">
        <f t="shared" si="29"/>
        <v>411</v>
      </c>
      <c r="B416" s="60" t="str">
        <f t="shared" si="28"/>
        <v>0043312846782</v>
      </c>
      <c r="C416" s="55" t="s">
        <v>29</v>
      </c>
      <c r="D416" s="53" t="s">
        <v>2080</v>
      </c>
      <c r="E416" s="55" t="s">
        <v>568</v>
      </c>
      <c r="F416" s="53" t="s">
        <v>2083</v>
      </c>
      <c r="G416" s="55">
        <v>11413</v>
      </c>
      <c r="H416" s="53" t="s">
        <v>597</v>
      </c>
      <c r="I416" s="55">
        <v>305526471</v>
      </c>
      <c r="J416" s="55">
        <v>12846782</v>
      </c>
      <c r="K416" s="55" t="s">
        <v>598</v>
      </c>
      <c r="L416" s="53" t="s">
        <v>2043</v>
      </c>
      <c r="M416" s="55" t="s">
        <v>49</v>
      </c>
      <c r="N416" s="52">
        <v>1090000000</v>
      </c>
      <c r="O416" s="52">
        <v>1090000000</v>
      </c>
      <c r="P416" s="52">
        <v>1090000000</v>
      </c>
      <c r="Q416" s="57">
        <v>45581</v>
      </c>
      <c r="R416" s="57">
        <v>48134</v>
      </c>
      <c r="S416" s="56">
        <v>18.5</v>
      </c>
      <c r="T416" s="54">
        <v>0</v>
      </c>
      <c r="U416" s="52">
        <v>1090000000</v>
      </c>
      <c r="V416" s="52">
        <v>1090000000</v>
      </c>
      <c r="W416" s="52">
        <v>0</v>
      </c>
      <c r="X416" s="57"/>
      <c r="Y416" s="52">
        <v>0</v>
      </c>
      <c r="Z416" s="52">
        <v>0</v>
      </c>
      <c r="AA416" s="52">
        <v>1</v>
      </c>
      <c r="AB416" s="52">
        <v>0</v>
      </c>
      <c r="AC416" s="52">
        <v>14916575.34</v>
      </c>
      <c r="AD416" s="52">
        <v>14916575.34</v>
      </c>
      <c r="AE416" s="52">
        <v>0</v>
      </c>
      <c r="AF416" s="52">
        <v>0</v>
      </c>
      <c r="AG416" s="52">
        <v>0</v>
      </c>
      <c r="AH416" s="52">
        <v>0</v>
      </c>
      <c r="AI416" s="52">
        <v>0</v>
      </c>
      <c r="AJ416" s="52">
        <v>2</v>
      </c>
      <c r="AK416" s="52"/>
      <c r="AL416" s="52">
        <v>0</v>
      </c>
      <c r="AM416" s="52">
        <v>0</v>
      </c>
      <c r="AN416" s="52">
        <v>2452500000</v>
      </c>
      <c r="AO416" s="52">
        <v>534432563112</v>
      </c>
      <c r="AP416" s="52">
        <v>534432563112</v>
      </c>
      <c r="AQ416" s="58">
        <v>0</v>
      </c>
      <c r="AR416" s="58">
        <v>0</v>
      </c>
      <c r="AS416" s="58">
        <v>0</v>
      </c>
      <c r="AT416" s="58">
        <v>0</v>
      </c>
      <c r="AU416" s="58">
        <v>10</v>
      </c>
      <c r="AV416" s="58">
        <v>174300</v>
      </c>
      <c r="AW416" s="58">
        <v>0</v>
      </c>
      <c r="AX416" s="58">
        <v>0</v>
      </c>
    </row>
    <row r="417" spans="1:50" x14ac:dyDescent="0.25">
      <c r="A417" s="52">
        <f t="shared" si="29"/>
        <v>412</v>
      </c>
      <c r="B417" s="60" t="str">
        <f t="shared" si="28"/>
        <v>0043312626606</v>
      </c>
      <c r="C417" s="55" t="s">
        <v>29</v>
      </c>
      <c r="D417" s="53" t="s">
        <v>2080</v>
      </c>
      <c r="E417" s="55" t="s">
        <v>568</v>
      </c>
      <c r="F417" s="53" t="s">
        <v>2083</v>
      </c>
      <c r="G417" s="55">
        <v>11413</v>
      </c>
      <c r="H417" s="53" t="s">
        <v>2465</v>
      </c>
      <c r="I417" s="55">
        <v>307798860</v>
      </c>
      <c r="J417" s="55">
        <v>12626606</v>
      </c>
      <c r="K417" s="55" t="s">
        <v>599</v>
      </c>
      <c r="L417" s="53" t="s">
        <v>2043</v>
      </c>
      <c r="M417" s="55" t="s">
        <v>49</v>
      </c>
      <c r="N417" s="52">
        <v>1055486000</v>
      </c>
      <c r="O417" s="52">
        <v>1055486000</v>
      </c>
      <c r="P417" s="52">
        <v>1055486000</v>
      </c>
      <c r="Q417" s="57">
        <v>45351</v>
      </c>
      <c r="R417" s="57">
        <v>47176</v>
      </c>
      <c r="S417" s="56">
        <v>14</v>
      </c>
      <c r="T417" s="54">
        <v>0</v>
      </c>
      <c r="U417" s="52">
        <v>1049000000</v>
      </c>
      <c r="V417" s="52">
        <v>1049000000</v>
      </c>
      <c r="W417" s="52">
        <v>0</v>
      </c>
      <c r="X417" s="57"/>
      <c r="Y417" s="52">
        <v>0</v>
      </c>
      <c r="Z417" s="52">
        <v>0</v>
      </c>
      <c r="AA417" s="52">
        <v>1</v>
      </c>
      <c r="AB417" s="52">
        <v>0</v>
      </c>
      <c r="AC417" s="52">
        <v>10863616.439999999</v>
      </c>
      <c r="AD417" s="52">
        <v>10863616.439999999</v>
      </c>
      <c r="AE417" s="52">
        <v>0</v>
      </c>
      <c r="AF417" s="52">
        <v>0</v>
      </c>
      <c r="AG417" s="52">
        <v>0</v>
      </c>
      <c r="AH417" s="52">
        <v>0</v>
      </c>
      <c r="AI417" s="52">
        <v>0</v>
      </c>
      <c r="AJ417" s="52">
        <v>2</v>
      </c>
      <c r="AK417" s="52"/>
      <c r="AL417" s="52">
        <v>0</v>
      </c>
      <c r="AM417" s="52">
        <v>0</v>
      </c>
      <c r="AN417" s="52">
        <v>1319357500</v>
      </c>
      <c r="AO417" s="52">
        <v>1635000000</v>
      </c>
      <c r="AP417" s="52">
        <v>1635000000</v>
      </c>
      <c r="AQ417" s="58">
        <v>0</v>
      </c>
      <c r="AR417" s="58">
        <v>0</v>
      </c>
      <c r="AS417" s="58">
        <v>0</v>
      </c>
      <c r="AT417" s="58">
        <v>0</v>
      </c>
      <c r="AU417" s="58">
        <v>2</v>
      </c>
      <c r="AV417" s="58">
        <v>15039</v>
      </c>
      <c r="AW417" s="58">
        <v>0</v>
      </c>
      <c r="AX417" s="58">
        <v>0</v>
      </c>
    </row>
    <row r="418" spans="1:50" x14ac:dyDescent="0.25">
      <c r="A418" s="52">
        <f t="shared" si="29"/>
        <v>413</v>
      </c>
      <c r="B418" s="60" t="str">
        <f t="shared" si="28"/>
        <v>0043312143365</v>
      </c>
      <c r="C418" s="55" t="s">
        <v>29</v>
      </c>
      <c r="D418" s="53" t="s">
        <v>2080</v>
      </c>
      <c r="E418" s="55" t="s">
        <v>568</v>
      </c>
      <c r="F418" s="53" t="s">
        <v>2083</v>
      </c>
      <c r="G418" s="55">
        <v>11413</v>
      </c>
      <c r="H418" s="53" t="s">
        <v>2466</v>
      </c>
      <c r="I418" s="55">
        <v>304599533</v>
      </c>
      <c r="J418" s="55">
        <v>12143365</v>
      </c>
      <c r="K418" s="55" t="s">
        <v>600</v>
      </c>
      <c r="L418" s="53" t="s">
        <v>2043</v>
      </c>
      <c r="M418" s="55" t="s">
        <v>49</v>
      </c>
      <c r="N418" s="52">
        <v>1000000000</v>
      </c>
      <c r="O418" s="52">
        <v>1000000000</v>
      </c>
      <c r="P418" s="52">
        <v>1000000000</v>
      </c>
      <c r="Q418" s="57">
        <v>44796</v>
      </c>
      <c r="R418" s="57">
        <v>49679</v>
      </c>
      <c r="S418" s="56">
        <v>0</v>
      </c>
      <c r="T418" s="54">
        <v>12</v>
      </c>
      <c r="U418" s="52">
        <v>1000000000</v>
      </c>
      <c r="V418" s="52">
        <v>1000000000</v>
      </c>
      <c r="W418" s="52">
        <v>0</v>
      </c>
      <c r="X418" s="57"/>
      <c r="Y418" s="52">
        <v>0</v>
      </c>
      <c r="Z418" s="52">
        <v>0</v>
      </c>
      <c r="AA418" s="52">
        <v>1</v>
      </c>
      <c r="AB418" s="52">
        <v>0</v>
      </c>
      <c r="AC418" s="52">
        <v>172160957.94999999</v>
      </c>
      <c r="AD418" s="52">
        <v>0</v>
      </c>
      <c r="AE418" s="52">
        <v>0</v>
      </c>
      <c r="AF418" s="52">
        <v>172160957.94999999</v>
      </c>
      <c r="AG418" s="52">
        <v>0</v>
      </c>
      <c r="AH418" s="52">
        <v>0</v>
      </c>
      <c r="AI418" s="52">
        <v>0</v>
      </c>
      <c r="AJ418" s="52">
        <v>2</v>
      </c>
      <c r="AK418" s="52"/>
      <c r="AL418" s="52">
        <v>0</v>
      </c>
      <c r="AM418" s="52">
        <v>0</v>
      </c>
      <c r="AN418" s="52">
        <v>1250000000</v>
      </c>
      <c r="AO418" s="52">
        <v>73308122638</v>
      </c>
      <c r="AP418" s="52">
        <v>73308122638</v>
      </c>
      <c r="AQ418" s="58">
        <v>0</v>
      </c>
      <c r="AR418" s="58">
        <v>0</v>
      </c>
      <c r="AS418" s="58">
        <v>0</v>
      </c>
      <c r="AT418" s="58">
        <v>0</v>
      </c>
      <c r="AU418" s="58">
        <v>0</v>
      </c>
      <c r="AV418" s="58">
        <v>0</v>
      </c>
      <c r="AW418" s="58">
        <v>0</v>
      </c>
      <c r="AX418" s="58">
        <v>0</v>
      </c>
    </row>
    <row r="419" spans="1:50" x14ac:dyDescent="0.25">
      <c r="A419" s="52">
        <f t="shared" si="29"/>
        <v>414</v>
      </c>
      <c r="B419" s="60" t="str">
        <f t="shared" si="28"/>
        <v>0043313010460</v>
      </c>
      <c r="C419" s="55" t="s">
        <v>29</v>
      </c>
      <c r="D419" s="53" t="s">
        <v>2080</v>
      </c>
      <c r="E419" s="55" t="s">
        <v>568</v>
      </c>
      <c r="F419" s="53" t="s">
        <v>2083</v>
      </c>
      <c r="G419" s="55">
        <v>11413</v>
      </c>
      <c r="H419" s="53" t="s">
        <v>587</v>
      </c>
      <c r="I419" s="55">
        <v>305693757</v>
      </c>
      <c r="J419" s="55">
        <v>13010460</v>
      </c>
      <c r="K419" s="55" t="s">
        <v>601</v>
      </c>
      <c r="L419" s="53" t="s">
        <v>2043</v>
      </c>
      <c r="M419" s="55" t="s">
        <v>49</v>
      </c>
      <c r="N419" s="52">
        <v>1000000000</v>
      </c>
      <c r="O419" s="52">
        <v>1000000000</v>
      </c>
      <c r="P419" s="52">
        <v>1000000000</v>
      </c>
      <c r="Q419" s="57">
        <v>45777</v>
      </c>
      <c r="R419" s="57">
        <v>46872</v>
      </c>
      <c r="S419" s="56">
        <v>21</v>
      </c>
      <c r="T419" s="54">
        <v>0</v>
      </c>
      <c r="U419" s="52">
        <v>900000001</v>
      </c>
      <c r="V419" s="52">
        <v>900000001</v>
      </c>
      <c r="W419" s="52">
        <v>0</v>
      </c>
      <c r="X419" s="57"/>
      <c r="Y419" s="52">
        <v>0</v>
      </c>
      <c r="Z419" s="52">
        <v>0</v>
      </c>
      <c r="AA419" s="52">
        <v>1</v>
      </c>
      <c r="AB419" s="52">
        <v>0</v>
      </c>
      <c r="AC419" s="52">
        <v>1035616.44</v>
      </c>
      <c r="AD419" s="52">
        <v>1035616.44</v>
      </c>
      <c r="AE419" s="52">
        <v>0</v>
      </c>
      <c r="AF419" s="52">
        <v>0</v>
      </c>
      <c r="AG419" s="52">
        <v>0</v>
      </c>
      <c r="AH419" s="52">
        <v>0</v>
      </c>
      <c r="AI419" s="52">
        <v>0</v>
      </c>
      <c r="AJ419" s="52">
        <v>2</v>
      </c>
      <c r="AK419" s="52"/>
      <c r="AL419" s="52">
        <v>0</v>
      </c>
      <c r="AM419" s="52">
        <v>0</v>
      </c>
      <c r="AN419" s="52">
        <v>1250000000</v>
      </c>
      <c r="AO419" s="52">
        <v>3253859560</v>
      </c>
      <c r="AP419" s="52">
        <v>3253859560</v>
      </c>
      <c r="AQ419" s="58">
        <v>0</v>
      </c>
      <c r="AR419" s="58">
        <v>0</v>
      </c>
      <c r="AS419" s="58">
        <v>0</v>
      </c>
      <c r="AT419" s="58">
        <v>0</v>
      </c>
      <c r="AU419" s="58">
        <v>0</v>
      </c>
      <c r="AV419" s="58">
        <v>0</v>
      </c>
      <c r="AW419" s="58">
        <v>2</v>
      </c>
      <c r="AX419" s="58">
        <v>34320</v>
      </c>
    </row>
    <row r="420" spans="1:50" x14ac:dyDescent="0.25">
      <c r="A420" s="52">
        <f t="shared" si="29"/>
        <v>415</v>
      </c>
      <c r="B420" s="60" t="str">
        <f t="shared" si="28"/>
        <v>0043312143354</v>
      </c>
      <c r="C420" s="55" t="s">
        <v>29</v>
      </c>
      <c r="D420" s="53" t="s">
        <v>2080</v>
      </c>
      <c r="E420" s="55" t="s">
        <v>568</v>
      </c>
      <c r="F420" s="53" t="s">
        <v>2083</v>
      </c>
      <c r="G420" s="55">
        <v>11413</v>
      </c>
      <c r="H420" s="53" t="s">
        <v>2466</v>
      </c>
      <c r="I420" s="55">
        <v>304599533</v>
      </c>
      <c r="J420" s="55">
        <v>12143354</v>
      </c>
      <c r="K420" s="55" t="s">
        <v>602</v>
      </c>
      <c r="L420" s="53" t="s">
        <v>2043</v>
      </c>
      <c r="M420" s="55" t="s">
        <v>49</v>
      </c>
      <c r="N420" s="52">
        <v>700000000</v>
      </c>
      <c r="O420" s="52">
        <v>700000000</v>
      </c>
      <c r="P420" s="52">
        <v>700000000</v>
      </c>
      <c r="Q420" s="57">
        <v>44796</v>
      </c>
      <c r="R420" s="57">
        <v>49269</v>
      </c>
      <c r="S420" s="56">
        <v>0</v>
      </c>
      <c r="T420" s="54">
        <v>12</v>
      </c>
      <c r="U420" s="52">
        <v>700000000</v>
      </c>
      <c r="V420" s="52">
        <v>700000000</v>
      </c>
      <c r="W420" s="52">
        <v>0</v>
      </c>
      <c r="X420" s="57"/>
      <c r="Y420" s="52">
        <v>0</v>
      </c>
      <c r="Z420" s="52">
        <v>0</v>
      </c>
      <c r="AA420" s="52">
        <v>1</v>
      </c>
      <c r="AB420" s="52">
        <v>0</v>
      </c>
      <c r="AC420" s="52">
        <v>147262938.34999999</v>
      </c>
      <c r="AD420" s="52">
        <v>0</v>
      </c>
      <c r="AE420" s="52">
        <v>0</v>
      </c>
      <c r="AF420" s="52">
        <v>147262938.34999999</v>
      </c>
      <c r="AG420" s="52">
        <v>0</v>
      </c>
      <c r="AH420" s="52">
        <v>0</v>
      </c>
      <c r="AI420" s="52">
        <v>0</v>
      </c>
      <c r="AJ420" s="52">
        <v>2</v>
      </c>
      <c r="AK420" s="52"/>
      <c r="AL420" s="52">
        <v>0</v>
      </c>
      <c r="AM420" s="52">
        <v>0</v>
      </c>
      <c r="AN420" s="52">
        <v>875000000</v>
      </c>
      <c r="AO420" s="52">
        <v>73308122644</v>
      </c>
      <c r="AP420" s="52">
        <v>73308122644</v>
      </c>
      <c r="AQ420" s="58">
        <v>0</v>
      </c>
      <c r="AR420" s="58">
        <v>0</v>
      </c>
      <c r="AS420" s="58">
        <v>0</v>
      </c>
      <c r="AT420" s="58">
        <v>0</v>
      </c>
      <c r="AU420" s="58">
        <v>0</v>
      </c>
      <c r="AV420" s="58">
        <v>0</v>
      </c>
      <c r="AW420" s="58">
        <v>0</v>
      </c>
      <c r="AX420" s="58">
        <v>0</v>
      </c>
    </row>
    <row r="421" spans="1:50" x14ac:dyDescent="0.25">
      <c r="A421" s="52">
        <f t="shared" si="29"/>
        <v>416</v>
      </c>
      <c r="B421" s="60" t="str">
        <f t="shared" si="28"/>
        <v>0043312143351</v>
      </c>
      <c r="C421" s="55" t="s">
        <v>29</v>
      </c>
      <c r="D421" s="53" t="s">
        <v>2080</v>
      </c>
      <c r="E421" s="55" t="s">
        <v>568</v>
      </c>
      <c r="F421" s="53" t="s">
        <v>2083</v>
      </c>
      <c r="G421" s="55">
        <v>11413</v>
      </c>
      <c r="H421" s="53" t="s">
        <v>2466</v>
      </c>
      <c r="I421" s="55">
        <v>304599533</v>
      </c>
      <c r="J421" s="55">
        <v>12143351</v>
      </c>
      <c r="K421" s="55" t="s">
        <v>603</v>
      </c>
      <c r="L421" s="53" t="s">
        <v>2043</v>
      </c>
      <c r="M421" s="55" t="s">
        <v>49</v>
      </c>
      <c r="N421" s="52">
        <v>478204542.80000001</v>
      </c>
      <c r="O421" s="52">
        <v>478204542.80000001</v>
      </c>
      <c r="P421" s="52">
        <v>478204542.80000001</v>
      </c>
      <c r="Q421" s="57">
        <v>44796</v>
      </c>
      <c r="R421" s="57">
        <v>48812</v>
      </c>
      <c r="S421" s="56">
        <v>0</v>
      </c>
      <c r="T421" s="54">
        <v>12</v>
      </c>
      <c r="U421" s="52">
        <v>478204542.80000001</v>
      </c>
      <c r="V421" s="52">
        <v>478204542.80000001</v>
      </c>
      <c r="W421" s="52">
        <v>0</v>
      </c>
      <c r="X421" s="57"/>
      <c r="Y421" s="52">
        <v>0</v>
      </c>
      <c r="Z421" s="52">
        <v>0</v>
      </c>
      <c r="AA421" s="52">
        <v>1</v>
      </c>
      <c r="AB421" s="52">
        <v>0</v>
      </c>
      <c r="AC421" s="52">
        <v>271045137.79000002</v>
      </c>
      <c r="AD421" s="52">
        <v>0</v>
      </c>
      <c r="AE421" s="52">
        <v>0</v>
      </c>
      <c r="AF421" s="52">
        <v>271045137.79000002</v>
      </c>
      <c r="AG421" s="52">
        <v>0</v>
      </c>
      <c r="AH421" s="52">
        <v>0</v>
      </c>
      <c r="AI421" s="52">
        <v>0</v>
      </c>
      <c r="AJ421" s="52">
        <v>2</v>
      </c>
      <c r="AK421" s="52"/>
      <c r="AL421" s="52">
        <v>0</v>
      </c>
      <c r="AM421" s="52">
        <v>0</v>
      </c>
      <c r="AN421" s="52">
        <v>5977556785</v>
      </c>
      <c r="AO421" s="52">
        <v>73308122645</v>
      </c>
      <c r="AP421" s="52">
        <v>73308122645</v>
      </c>
      <c r="AQ421" s="58">
        <v>0</v>
      </c>
      <c r="AR421" s="58">
        <v>0</v>
      </c>
      <c r="AS421" s="58">
        <v>0</v>
      </c>
      <c r="AT421" s="58">
        <v>0</v>
      </c>
      <c r="AU421" s="58">
        <v>0</v>
      </c>
      <c r="AV421" s="58">
        <v>0</v>
      </c>
      <c r="AW421" s="58">
        <v>0</v>
      </c>
      <c r="AX421" s="58">
        <v>0</v>
      </c>
    </row>
    <row r="422" spans="1:50" x14ac:dyDescent="0.25">
      <c r="A422" s="52">
        <f t="shared" si="29"/>
        <v>417</v>
      </c>
      <c r="B422" s="60" t="str">
        <f t="shared" si="28"/>
        <v>0043312143364</v>
      </c>
      <c r="C422" s="55" t="s">
        <v>29</v>
      </c>
      <c r="D422" s="53" t="s">
        <v>2080</v>
      </c>
      <c r="E422" s="55" t="s">
        <v>568</v>
      </c>
      <c r="F422" s="53" t="s">
        <v>2083</v>
      </c>
      <c r="G422" s="55">
        <v>11413</v>
      </c>
      <c r="H422" s="53" t="s">
        <v>2466</v>
      </c>
      <c r="I422" s="55">
        <v>304599533</v>
      </c>
      <c r="J422" s="55">
        <v>12143364</v>
      </c>
      <c r="K422" s="55" t="s">
        <v>604</v>
      </c>
      <c r="L422" s="53" t="s">
        <v>2043</v>
      </c>
      <c r="M422" s="55" t="s">
        <v>49</v>
      </c>
      <c r="N422" s="52">
        <v>366456000</v>
      </c>
      <c r="O422" s="52">
        <v>366456000</v>
      </c>
      <c r="P422" s="52">
        <v>366456000</v>
      </c>
      <c r="Q422" s="57">
        <v>44796</v>
      </c>
      <c r="R422" s="57">
        <v>48751</v>
      </c>
      <c r="S422" s="56">
        <v>0</v>
      </c>
      <c r="T422" s="54">
        <v>12</v>
      </c>
      <c r="U422" s="52">
        <v>366456000</v>
      </c>
      <c r="V422" s="52">
        <v>366456000</v>
      </c>
      <c r="W422" s="52">
        <v>0</v>
      </c>
      <c r="X422" s="57"/>
      <c r="Y422" s="52">
        <v>0</v>
      </c>
      <c r="Z422" s="52">
        <v>0</v>
      </c>
      <c r="AA422" s="52">
        <v>1</v>
      </c>
      <c r="AB422" s="52">
        <v>0</v>
      </c>
      <c r="AC422" s="52">
        <v>158392837.13</v>
      </c>
      <c r="AD422" s="52">
        <v>0</v>
      </c>
      <c r="AE422" s="52">
        <v>0</v>
      </c>
      <c r="AF422" s="52">
        <v>158392837.13</v>
      </c>
      <c r="AG422" s="52">
        <v>0</v>
      </c>
      <c r="AH422" s="52">
        <v>0</v>
      </c>
      <c r="AI422" s="52">
        <v>0</v>
      </c>
      <c r="AJ422" s="52">
        <v>2</v>
      </c>
      <c r="AK422" s="52"/>
      <c r="AL422" s="52">
        <v>0</v>
      </c>
      <c r="AM422" s="52">
        <v>0</v>
      </c>
      <c r="AN422" s="52">
        <v>458070000</v>
      </c>
      <c r="AO422" s="52">
        <v>73308122639</v>
      </c>
      <c r="AP422" s="52">
        <v>73308122639</v>
      </c>
      <c r="AQ422" s="58">
        <v>0</v>
      </c>
      <c r="AR422" s="58">
        <v>0</v>
      </c>
      <c r="AS422" s="58">
        <v>0</v>
      </c>
      <c r="AT422" s="58">
        <v>0</v>
      </c>
      <c r="AU422" s="58">
        <v>0</v>
      </c>
      <c r="AV422" s="58">
        <v>0</v>
      </c>
      <c r="AW422" s="58">
        <v>0</v>
      </c>
      <c r="AX422" s="58">
        <v>0</v>
      </c>
    </row>
    <row r="423" spans="1:50" x14ac:dyDescent="0.25">
      <c r="A423" s="52">
        <f t="shared" si="29"/>
        <v>418</v>
      </c>
      <c r="B423" s="60" t="str">
        <f t="shared" si="28"/>
        <v>0043312143359</v>
      </c>
      <c r="C423" s="55" t="s">
        <v>29</v>
      </c>
      <c r="D423" s="53" t="s">
        <v>2080</v>
      </c>
      <c r="E423" s="55" t="s">
        <v>568</v>
      </c>
      <c r="F423" s="53" t="s">
        <v>2083</v>
      </c>
      <c r="G423" s="55">
        <v>11413</v>
      </c>
      <c r="H423" s="53" t="s">
        <v>2466</v>
      </c>
      <c r="I423" s="55">
        <v>304599533</v>
      </c>
      <c r="J423" s="55">
        <v>12143359</v>
      </c>
      <c r="K423" s="55" t="s">
        <v>605</v>
      </c>
      <c r="L423" s="53" t="s">
        <v>2043</v>
      </c>
      <c r="M423" s="55" t="s">
        <v>49</v>
      </c>
      <c r="N423" s="52">
        <v>361606061</v>
      </c>
      <c r="O423" s="52">
        <v>361606061</v>
      </c>
      <c r="P423" s="52">
        <v>361606061</v>
      </c>
      <c r="Q423" s="57">
        <v>44796</v>
      </c>
      <c r="R423" s="57">
        <v>48539</v>
      </c>
      <c r="S423" s="56">
        <v>0</v>
      </c>
      <c r="T423" s="54">
        <v>12</v>
      </c>
      <c r="U423" s="52">
        <v>361606061</v>
      </c>
      <c r="V423" s="52">
        <v>361606061</v>
      </c>
      <c r="W423" s="52">
        <v>0</v>
      </c>
      <c r="X423" s="57"/>
      <c r="Y423" s="52">
        <v>0</v>
      </c>
      <c r="Z423" s="52">
        <v>0</v>
      </c>
      <c r="AA423" s="52">
        <v>1</v>
      </c>
      <c r="AB423" s="52">
        <v>0</v>
      </c>
      <c r="AC423" s="52">
        <v>45089096.659999996</v>
      </c>
      <c r="AD423" s="52">
        <v>0</v>
      </c>
      <c r="AE423" s="52">
        <v>0</v>
      </c>
      <c r="AF423" s="52">
        <v>45089096.659999996</v>
      </c>
      <c r="AG423" s="52">
        <v>0</v>
      </c>
      <c r="AH423" s="52">
        <v>0</v>
      </c>
      <c r="AI423" s="52">
        <v>0</v>
      </c>
      <c r="AJ423" s="52">
        <v>2</v>
      </c>
      <c r="AK423" s="52"/>
      <c r="AL423" s="52">
        <v>0</v>
      </c>
      <c r="AM423" s="52">
        <v>0</v>
      </c>
      <c r="AN423" s="52">
        <v>4520075763</v>
      </c>
      <c r="AO423" s="52">
        <v>7330812264</v>
      </c>
      <c r="AP423" s="52">
        <v>7330812264</v>
      </c>
      <c r="AQ423" s="58">
        <v>0</v>
      </c>
      <c r="AR423" s="58">
        <v>0</v>
      </c>
      <c r="AS423" s="58">
        <v>0</v>
      </c>
      <c r="AT423" s="58">
        <v>0</v>
      </c>
      <c r="AU423" s="58">
        <v>0</v>
      </c>
      <c r="AV423" s="58">
        <v>0</v>
      </c>
      <c r="AW423" s="58">
        <v>0</v>
      </c>
      <c r="AX423" s="58">
        <v>0</v>
      </c>
    </row>
    <row r="424" spans="1:50" x14ac:dyDescent="0.25">
      <c r="A424" s="52">
        <f t="shared" si="29"/>
        <v>419</v>
      </c>
      <c r="B424" s="60" t="str">
        <f t="shared" si="28"/>
        <v>0043312143374</v>
      </c>
      <c r="C424" s="55" t="s">
        <v>29</v>
      </c>
      <c r="D424" s="53" t="s">
        <v>2080</v>
      </c>
      <c r="E424" s="55" t="s">
        <v>568</v>
      </c>
      <c r="F424" s="53" t="s">
        <v>2083</v>
      </c>
      <c r="G424" s="55">
        <v>11413</v>
      </c>
      <c r="H424" s="53" t="s">
        <v>2466</v>
      </c>
      <c r="I424" s="55">
        <v>304599533</v>
      </c>
      <c r="J424" s="55">
        <v>12143374</v>
      </c>
      <c r="K424" s="55" t="s">
        <v>606</v>
      </c>
      <c r="L424" s="53" t="s">
        <v>2043</v>
      </c>
      <c r="M424" s="55" t="s">
        <v>49</v>
      </c>
      <c r="N424" s="52">
        <v>286535415.69999999</v>
      </c>
      <c r="O424" s="52">
        <v>286535415.69999999</v>
      </c>
      <c r="P424" s="52">
        <v>286535415.69999999</v>
      </c>
      <c r="Q424" s="57">
        <v>44796</v>
      </c>
      <c r="R424" s="57">
        <v>48462</v>
      </c>
      <c r="S424" s="56">
        <v>0</v>
      </c>
      <c r="T424" s="54">
        <v>12</v>
      </c>
      <c r="U424" s="52">
        <v>286535415.69999999</v>
      </c>
      <c r="V424" s="52">
        <v>286535415.69999999</v>
      </c>
      <c r="W424" s="52">
        <v>0</v>
      </c>
      <c r="X424" s="57"/>
      <c r="Y424" s="52">
        <v>0</v>
      </c>
      <c r="Z424" s="52">
        <v>0</v>
      </c>
      <c r="AA424" s="52">
        <v>1</v>
      </c>
      <c r="AB424" s="52">
        <v>0</v>
      </c>
      <c r="AC424" s="52">
        <v>104723819.84</v>
      </c>
      <c r="AD424" s="52">
        <v>0</v>
      </c>
      <c r="AE424" s="52">
        <v>0</v>
      </c>
      <c r="AF424" s="52">
        <v>104723819.84</v>
      </c>
      <c r="AG424" s="52">
        <v>0</v>
      </c>
      <c r="AH424" s="52">
        <v>0</v>
      </c>
      <c r="AI424" s="52">
        <v>0</v>
      </c>
      <c r="AJ424" s="52">
        <v>2</v>
      </c>
      <c r="AK424" s="52"/>
      <c r="AL424" s="52">
        <v>0</v>
      </c>
      <c r="AM424" s="52">
        <v>0</v>
      </c>
      <c r="AN424" s="52">
        <v>358169270</v>
      </c>
      <c r="AO424" s="52">
        <v>73308122637</v>
      </c>
      <c r="AP424" s="52">
        <v>73308122637</v>
      </c>
      <c r="AQ424" s="58">
        <v>0</v>
      </c>
      <c r="AR424" s="58">
        <v>0</v>
      </c>
      <c r="AS424" s="58">
        <v>0</v>
      </c>
      <c r="AT424" s="58">
        <v>0</v>
      </c>
      <c r="AU424" s="58">
        <v>0</v>
      </c>
      <c r="AV424" s="58">
        <v>0</v>
      </c>
      <c r="AW424" s="58">
        <v>0</v>
      </c>
      <c r="AX424" s="58">
        <v>0</v>
      </c>
    </row>
    <row r="425" spans="1:50" x14ac:dyDescent="0.25">
      <c r="A425" s="52">
        <f t="shared" si="29"/>
        <v>420</v>
      </c>
      <c r="B425" s="60" t="str">
        <f t="shared" si="28"/>
        <v>0043312143457</v>
      </c>
      <c r="C425" s="55" t="s">
        <v>29</v>
      </c>
      <c r="D425" s="53" t="s">
        <v>2080</v>
      </c>
      <c r="E425" s="55" t="s">
        <v>568</v>
      </c>
      <c r="F425" s="53" t="s">
        <v>2083</v>
      </c>
      <c r="G425" s="55">
        <v>11413</v>
      </c>
      <c r="H425" s="53" t="s">
        <v>2466</v>
      </c>
      <c r="I425" s="55">
        <v>304599533</v>
      </c>
      <c r="J425" s="55">
        <v>12143457</v>
      </c>
      <c r="K425" s="55" t="s">
        <v>607</v>
      </c>
      <c r="L425" s="53" t="s">
        <v>2043</v>
      </c>
      <c r="M425" s="55" t="s">
        <v>49</v>
      </c>
      <c r="N425" s="52">
        <v>270784494.49000001</v>
      </c>
      <c r="O425" s="52">
        <v>270784494.49000001</v>
      </c>
      <c r="P425" s="52">
        <v>270784494.49000001</v>
      </c>
      <c r="Q425" s="57">
        <v>44797</v>
      </c>
      <c r="R425" s="57">
        <v>48480</v>
      </c>
      <c r="S425" s="56">
        <v>0</v>
      </c>
      <c r="T425" s="54">
        <v>12</v>
      </c>
      <c r="U425" s="52">
        <v>270784494.49000001</v>
      </c>
      <c r="V425" s="52">
        <v>270784494.49000001</v>
      </c>
      <c r="W425" s="52">
        <v>0</v>
      </c>
      <c r="X425" s="57"/>
      <c r="Y425" s="52">
        <v>0</v>
      </c>
      <c r="Z425" s="52">
        <v>0</v>
      </c>
      <c r="AA425" s="52">
        <v>1</v>
      </c>
      <c r="AB425" s="52">
        <v>0</v>
      </c>
      <c r="AC425" s="52">
        <v>75108408.170000002</v>
      </c>
      <c r="AD425" s="52">
        <v>0</v>
      </c>
      <c r="AE425" s="52">
        <v>0</v>
      </c>
      <c r="AF425" s="52">
        <v>75108408.170000002</v>
      </c>
      <c r="AG425" s="52">
        <v>0</v>
      </c>
      <c r="AH425" s="52">
        <v>0</v>
      </c>
      <c r="AI425" s="52">
        <v>0</v>
      </c>
      <c r="AJ425" s="52">
        <v>2</v>
      </c>
      <c r="AK425" s="52"/>
      <c r="AL425" s="52">
        <v>0</v>
      </c>
      <c r="AM425" s="52">
        <v>0</v>
      </c>
      <c r="AN425" s="52">
        <v>338480619</v>
      </c>
      <c r="AO425" s="52">
        <v>73308122646</v>
      </c>
      <c r="AP425" s="52">
        <v>73308122646</v>
      </c>
      <c r="AQ425" s="58">
        <v>0</v>
      </c>
      <c r="AR425" s="58">
        <v>0</v>
      </c>
      <c r="AS425" s="58">
        <v>0</v>
      </c>
      <c r="AT425" s="58">
        <v>0</v>
      </c>
      <c r="AU425" s="58">
        <v>0</v>
      </c>
      <c r="AV425" s="58">
        <v>0</v>
      </c>
      <c r="AW425" s="58">
        <v>0</v>
      </c>
      <c r="AX425" s="58">
        <v>0</v>
      </c>
    </row>
    <row r="426" spans="1:50" x14ac:dyDescent="0.25">
      <c r="A426" s="52">
        <f t="shared" si="29"/>
        <v>421</v>
      </c>
      <c r="B426" s="60" t="str">
        <f t="shared" si="28"/>
        <v>0043312143356</v>
      </c>
      <c r="C426" s="55" t="s">
        <v>29</v>
      </c>
      <c r="D426" s="53" t="s">
        <v>2080</v>
      </c>
      <c r="E426" s="55" t="s">
        <v>568</v>
      </c>
      <c r="F426" s="53" t="s">
        <v>2083</v>
      </c>
      <c r="G426" s="55">
        <v>11413</v>
      </c>
      <c r="H426" s="53" t="s">
        <v>2466</v>
      </c>
      <c r="I426" s="55">
        <v>304599533</v>
      </c>
      <c r="J426" s="55">
        <v>12143356</v>
      </c>
      <c r="K426" s="55" t="s">
        <v>608</v>
      </c>
      <c r="L426" s="53" t="s">
        <v>2043</v>
      </c>
      <c r="M426" s="55" t="s">
        <v>49</v>
      </c>
      <c r="N426" s="52">
        <v>223750000</v>
      </c>
      <c r="O426" s="52">
        <v>223750000</v>
      </c>
      <c r="P426" s="52">
        <v>223750000</v>
      </c>
      <c r="Q426" s="57">
        <v>44796</v>
      </c>
      <c r="R426" s="57">
        <v>48812</v>
      </c>
      <c r="S426" s="56">
        <v>0</v>
      </c>
      <c r="T426" s="54">
        <v>12</v>
      </c>
      <c r="U426" s="52">
        <v>223750000</v>
      </c>
      <c r="V426" s="52">
        <v>223750000</v>
      </c>
      <c r="W426" s="52">
        <v>0</v>
      </c>
      <c r="X426" s="57"/>
      <c r="Y426" s="52">
        <v>0</v>
      </c>
      <c r="Z426" s="52">
        <v>0</v>
      </c>
      <c r="AA426" s="52">
        <v>1</v>
      </c>
      <c r="AB426" s="52">
        <v>0</v>
      </c>
      <c r="AC426" s="52">
        <v>20168150.68</v>
      </c>
      <c r="AD426" s="52">
        <v>0</v>
      </c>
      <c r="AE426" s="52">
        <v>0</v>
      </c>
      <c r="AF426" s="52">
        <v>20168150.68</v>
      </c>
      <c r="AG426" s="52">
        <v>0</v>
      </c>
      <c r="AH426" s="52">
        <v>0</v>
      </c>
      <c r="AI426" s="52">
        <v>0</v>
      </c>
      <c r="AJ426" s="52">
        <v>2</v>
      </c>
      <c r="AK426" s="52"/>
      <c r="AL426" s="52">
        <v>0</v>
      </c>
      <c r="AM426" s="52">
        <v>0</v>
      </c>
      <c r="AN426" s="52">
        <v>279687500</v>
      </c>
      <c r="AO426" s="52">
        <v>73308122642</v>
      </c>
      <c r="AP426" s="52">
        <v>73308122642</v>
      </c>
      <c r="AQ426" s="58">
        <v>0</v>
      </c>
      <c r="AR426" s="58">
        <v>0</v>
      </c>
      <c r="AS426" s="58">
        <v>0</v>
      </c>
      <c r="AT426" s="58">
        <v>0</v>
      </c>
      <c r="AU426" s="58">
        <v>0</v>
      </c>
      <c r="AV426" s="58">
        <v>0</v>
      </c>
      <c r="AW426" s="58">
        <v>0</v>
      </c>
      <c r="AX426" s="58">
        <v>0</v>
      </c>
    </row>
    <row r="427" spans="1:50" x14ac:dyDescent="0.25">
      <c r="A427" s="52">
        <f t="shared" si="29"/>
        <v>422</v>
      </c>
      <c r="B427" s="60" t="str">
        <f t="shared" si="28"/>
        <v>0043312143358</v>
      </c>
      <c r="C427" s="55" t="s">
        <v>29</v>
      </c>
      <c r="D427" s="53" t="s">
        <v>2080</v>
      </c>
      <c r="E427" s="55" t="s">
        <v>568</v>
      </c>
      <c r="F427" s="53" t="s">
        <v>2083</v>
      </c>
      <c r="G427" s="55">
        <v>11413</v>
      </c>
      <c r="H427" s="53" t="s">
        <v>2466</v>
      </c>
      <c r="I427" s="55">
        <v>304599533</v>
      </c>
      <c r="J427" s="55">
        <v>12143358</v>
      </c>
      <c r="K427" s="55" t="s">
        <v>609</v>
      </c>
      <c r="L427" s="53" t="s">
        <v>2043</v>
      </c>
      <c r="M427" s="55" t="s">
        <v>49</v>
      </c>
      <c r="N427" s="52">
        <v>223700000</v>
      </c>
      <c r="O427" s="52">
        <v>223700000</v>
      </c>
      <c r="P427" s="52">
        <v>223700000</v>
      </c>
      <c r="Q427" s="57">
        <v>44796</v>
      </c>
      <c r="R427" s="57">
        <v>48904</v>
      </c>
      <c r="S427" s="56">
        <v>0</v>
      </c>
      <c r="T427" s="54">
        <v>12</v>
      </c>
      <c r="U427" s="52">
        <v>223700000</v>
      </c>
      <c r="V427" s="52">
        <v>223700000</v>
      </c>
      <c r="W427" s="52">
        <v>0</v>
      </c>
      <c r="X427" s="57"/>
      <c r="Y427" s="52">
        <v>0</v>
      </c>
      <c r="Z427" s="52">
        <v>0</v>
      </c>
      <c r="AA427" s="52">
        <v>1</v>
      </c>
      <c r="AB427" s="52">
        <v>0</v>
      </c>
      <c r="AC427" s="52">
        <v>59945918.539999999</v>
      </c>
      <c r="AD427" s="52">
        <v>0</v>
      </c>
      <c r="AE427" s="52">
        <v>0</v>
      </c>
      <c r="AF427" s="52">
        <v>59945918.539999999</v>
      </c>
      <c r="AG427" s="52">
        <v>0</v>
      </c>
      <c r="AH427" s="52">
        <v>0</v>
      </c>
      <c r="AI427" s="52">
        <v>0</v>
      </c>
      <c r="AJ427" s="52">
        <v>2</v>
      </c>
      <c r="AK427" s="52"/>
      <c r="AL427" s="52">
        <v>0</v>
      </c>
      <c r="AM427" s="52">
        <v>0</v>
      </c>
      <c r="AN427" s="52">
        <v>279625000</v>
      </c>
      <c r="AO427" s="52">
        <v>73308122641</v>
      </c>
      <c r="AP427" s="52">
        <v>73308122641</v>
      </c>
      <c r="AQ427" s="58">
        <v>0</v>
      </c>
      <c r="AR427" s="58">
        <v>0</v>
      </c>
      <c r="AS427" s="58">
        <v>0</v>
      </c>
      <c r="AT427" s="58">
        <v>0</v>
      </c>
      <c r="AU427" s="58">
        <v>0</v>
      </c>
      <c r="AV427" s="58">
        <v>0</v>
      </c>
      <c r="AW427" s="58">
        <v>0</v>
      </c>
      <c r="AX427" s="58">
        <v>0</v>
      </c>
    </row>
    <row r="428" spans="1:50" x14ac:dyDescent="0.25">
      <c r="A428" s="52">
        <f t="shared" si="29"/>
        <v>423</v>
      </c>
      <c r="B428" s="60" t="str">
        <f t="shared" si="28"/>
        <v>0043312143355</v>
      </c>
      <c r="C428" s="55" t="s">
        <v>29</v>
      </c>
      <c r="D428" s="53" t="s">
        <v>2080</v>
      </c>
      <c r="E428" s="55" t="s">
        <v>568</v>
      </c>
      <c r="F428" s="53" t="s">
        <v>2083</v>
      </c>
      <c r="G428" s="55">
        <v>11413</v>
      </c>
      <c r="H428" s="53" t="s">
        <v>2466</v>
      </c>
      <c r="I428" s="55">
        <v>304599533</v>
      </c>
      <c r="J428" s="55">
        <v>12143355</v>
      </c>
      <c r="K428" s="55" t="s">
        <v>610</v>
      </c>
      <c r="L428" s="53" t="s">
        <v>2043</v>
      </c>
      <c r="M428" s="55" t="s">
        <v>49</v>
      </c>
      <c r="N428" s="52">
        <v>212610761.56</v>
      </c>
      <c r="O428" s="52">
        <v>212610761.56</v>
      </c>
      <c r="P428" s="52">
        <v>212610761.56</v>
      </c>
      <c r="Q428" s="57">
        <v>44796</v>
      </c>
      <c r="R428" s="57">
        <v>48478</v>
      </c>
      <c r="S428" s="56">
        <v>0</v>
      </c>
      <c r="T428" s="54">
        <v>12</v>
      </c>
      <c r="U428" s="52">
        <v>212610761.56</v>
      </c>
      <c r="V428" s="52">
        <v>212610761.56</v>
      </c>
      <c r="W428" s="52">
        <v>0</v>
      </c>
      <c r="X428" s="57"/>
      <c r="Y428" s="52">
        <v>0</v>
      </c>
      <c r="Z428" s="52">
        <v>0</v>
      </c>
      <c r="AA428" s="52">
        <v>1</v>
      </c>
      <c r="AB428" s="52">
        <v>0</v>
      </c>
      <c r="AC428" s="52">
        <v>36778878.75</v>
      </c>
      <c r="AD428" s="52">
        <v>0</v>
      </c>
      <c r="AE428" s="52">
        <v>0</v>
      </c>
      <c r="AF428" s="52">
        <v>36778878.75</v>
      </c>
      <c r="AG428" s="52">
        <v>0</v>
      </c>
      <c r="AH428" s="52">
        <v>0</v>
      </c>
      <c r="AI428" s="52">
        <v>0</v>
      </c>
      <c r="AJ428" s="52">
        <v>2</v>
      </c>
      <c r="AK428" s="52"/>
      <c r="AL428" s="52">
        <v>0</v>
      </c>
      <c r="AM428" s="52">
        <v>0</v>
      </c>
      <c r="AN428" s="52">
        <v>265763452</v>
      </c>
      <c r="AO428" s="52">
        <v>73308122643</v>
      </c>
      <c r="AP428" s="52">
        <v>73308122643</v>
      </c>
      <c r="AQ428" s="58">
        <v>0</v>
      </c>
      <c r="AR428" s="58">
        <v>0</v>
      </c>
      <c r="AS428" s="58">
        <v>0</v>
      </c>
      <c r="AT428" s="58">
        <v>0</v>
      </c>
      <c r="AU428" s="58">
        <v>0</v>
      </c>
      <c r="AV428" s="58">
        <v>0</v>
      </c>
      <c r="AW428" s="58">
        <v>0</v>
      </c>
      <c r="AX428" s="58">
        <v>0</v>
      </c>
    </row>
    <row r="429" spans="1:50" x14ac:dyDescent="0.25">
      <c r="A429" s="52">
        <f t="shared" si="29"/>
        <v>424</v>
      </c>
      <c r="B429" s="60" t="str">
        <f t="shared" si="28"/>
        <v>0043312140042</v>
      </c>
      <c r="C429" s="55" t="s">
        <v>29</v>
      </c>
      <c r="D429" s="53" t="s">
        <v>2080</v>
      </c>
      <c r="E429" s="55" t="s">
        <v>568</v>
      </c>
      <c r="F429" s="53" t="s">
        <v>2094</v>
      </c>
      <c r="G429" s="55">
        <v>11599</v>
      </c>
      <c r="H429" s="53" t="s">
        <v>2467</v>
      </c>
      <c r="I429" s="55">
        <v>308990188</v>
      </c>
      <c r="J429" s="55">
        <v>12140042</v>
      </c>
      <c r="K429" s="55" t="s">
        <v>611</v>
      </c>
      <c r="L429" s="53" t="s">
        <v>2077</v>
      </c>
      <c r="M429" s="55" t="s">
        <v>49</v>
      </c>
      <c r="N429" s="52">
        <v>489709473.68000001</v>
      </c>
      <c r="O429" s="52">
        <v>489709473.68000001</v>
      </c>
      <c r="P429" s="52">
        <v>489709473.68000001</v>
      </c>
      <c r="Q429" s="57">
        <v>44740</v>
      </c>
      <c r="R429" s="57">
        <v>48818</v>
      </c>
      <c r="S429" s="56">
        <v>0</v>
      </c>
      <c r="T429" s="54">
        <v>60</v>
      </c>
      <c r="U429" s="52">
        <v>489709473.68000001</v>
      </c>
      <c r="V429" s="52">
        <v>489709473.68000001</v>
      </c>
      <c r="W429" s="52">
        <v>0</v>
      </c>
      <c r="X429" s="57"/>
      <c r="Y429" s="52">
        <v>0</v>
      </c>
      <c r="Z429" s="52">
        <v>0</v>
      </c>
      <c r="AA429" s="52">
        <v>1</v>
      </c>
      <c r="AB429" s="52">
        <v>0</v>
      </c>
      <c r="AC429" s="52">
        <v>241392955.03999999</v>
      </c>
      <c r="AD429" s="52">
        <v>0</v>
      </c>
      <c r="AE429" s="52">
        <v>0</v>
      </c>
      <c r="AF429" s="52">
        <v>241392955.03999999</v>
      </c>
      <c r="AG429" s="52">
        <v>0</v>
      </c>
      <c r="AH429" s="52">
        <v>0</v>
      </c>
      <c r="AI429" s="52">
        <v>0</v>
      </c>
      <c r="AJ429" s="52">
        <v>2</v>
      </c>
      <c r="AK429" s="52"/>
      <c r="AL429" s="52">
        <v>0</v>
      </c>
      <c r="AM429" s="52">
        <v>0</v>
      </c>
      <c r="AN429" s="52">
        <v>61213684211</v>
      </c>
      <c r="AO429" s="52">
        <v>180483500352</v>
      </c>
      <c r="AP429" s="52">
        <v>0</v>
      </c>
      <c r="AQ429" s="58">
        <v>0</v>
      </c>
      <c r="AR429" s="58">
        <v>0</v>
      </c>
      <c r="AS429" s="58">
        <v>0</v>
      </c>
      <c r="AT429" s="58">
        <v>0</v>
      </c>
      <c r="AU429" s="58">
        <v>0</v>
      </c>
      <c r="AV429" s="58">
        <v>0</v>
      </c>
      <c r="AW429" s="58">
        <v>0</v>
      </c>
      <c r="AX429" s="58">
        <v>0</v>
      </c>
    </row>
    <row r="430" spans="1:50" x14ac:dyDescent="0.25">
      <c r="A430" s="52">
        <f t="shared" si="29"/>
        <v>425</v>
      </c>
      <c r="B430" s="60" t="str">
        <f t="shared" si="28"/>
        <v>0043312140022</v>
      </c>
      <c r="C430" s="55" t="s">
        <v>29</v>
      </c>
      <c r="D430" s="53" t="s">
        <v>2080</v>
      </c>
      <c r="E430" s="55" t="s">
        <v>568</v>
      </c>
      <c r="F430" s="53" t="s">
        <v>2094</v>
      </c>
      <c r="G430" s="55">
        <v>11599</v>
      </c>
      <c r="H430" s="53" t="s">
        <v>2467</v>
      </c>
      <c r="I430" s="55">
        <v>308990188</v>
      </c>
      <c r="J430" s="55">
        <v>12140022</v>
      </c>
      <c r="K430" s="55" t="s">
        <v>612</v>
      </c>
      <c r="L430" s="53" t="s">
        <v>2077</v>
      </c>
      <c r="M430" s="55" t="s">
        <v>49</v>
      </c>
      <c r="N430" s="52">
        <v>480950444.95999998</v>
      </c>
      <c r="O430" s="52">
        <v>480950444.95999998</v>
      </c>
      <c r="P430" s="52">
        <v>480950444.95999998</v>
      </c>
      <c r="Q430" s="57">
        <v>44739</v>
      </c>
      <c r="R430" s="57">
        <v>48848</v>
      </c>
      <c r="S430" s="56">
        <v>0</v>
      </c>
      <c r="T430" s="54">
        <v>60</v>
      </c>
      <c r="U430" s="52">
        <v>480950444.95999998</v>
      </c>
      <c r="V430" s="52">
        <v>480950444.95999998</v>
      </c>
      <c r="W430" s="52">
        <v>0</v>
      </c>
      <c r="X430" s="57"/>
      <c r="Y430" s="52">
        <v>0</v>
      </c>
      <c r="Z430" s="52">
        <v>0</v>
      </c>
      <c r="AA430" s="52">
        <v>1</v>
      </c>
      <c r="AB430" s="52">
        <v>0</v>
      </c>
      <c r="AC430" s="52">
        <v>161295284.25</v>
      </c>
      <c r="AD430" s="52">
        <v>0</v>
      </c>
      <c r="AE430" s="52">
        <v>0</v>
      </c>
      <c r="AF430" s="52">
        <v>161295284.25</v>
      </c>
      <c r="AG430" s="52">
        <v>0</v>
      </c>
      <c r="AH430" s="52">
        <v>0</v>
      </c>
      <c r="AI430" s="52">
        <v>0</v>
      </c>
      <c r="AJ430" s="52">
        <v>2</v>
      </c>
      <c r="AK430" s="52"/>
      <c r="AL430" s="52">
        <v>0</v>
      </c>
      <c r="AM430" s="52">
        <v>0</v>
      </c>
      <c r="AN430" s="52">
        <v>6011880562</v>
      </c>
      <c r="AO430" s="52">
        <v>180483500352</v>
      </c>
      <c r="AP430" s="52">
        <v>0</v>
      </c>
      <c r="AQ430" s="58">
        <v>0</v>
      </c>
      <c r="AR430" s="58">
        <v>0</v>
      </c>
      <c r="AS430" s="58">
        <v>0</v>
      </c>
      <c r="AT430" s="58">
        <v>0</v>
      </c>
      <c r="AU430" s="58">
        <v>0</v>
      </c>
      <c r="AV430" s="58">
        <v>0</v>
      </c>
      <c r="AW430" s="58">
        <v>0</v>
      </c>
      <c r="AX430" s="58">
        <v>0</v>
      </c>
    </row>
    <row r="431" spans="1:50" x14ac:dyDescent="0.25">
      <c r="A431" s="52">
        <f t="shared" si="29"/>
        <v>426</v>
      </c>
      <c r="B431" s="60" t="str">
        <f t="shared" si="28"/>
        <v>0043312140021</v>
      </c>
      <c r="C431" s="55" t="s">
        <v>29</v>
      </c>
      <c r="D431" s="53" t="s">
        <v>2080</v>
      </c>
      <c r="E431" s="55" t="s">
        <v>568</v>
      </c>
      <c r="F431" s="53" t="s">
        <v>2094</v>
      </c>
      <c r="G431" s="55">
        <v>11599</v>
      </c>
      <c r="H431" s="53" t="s">
        <v>2467</v>
      </c>
      <c r="I431" s="55">
        <v>308990188</v>
      </c>
      <c r="J431" s="55">
        <v>12140021</v>
      </c>
      <c r="K431" s="55" t="s">
        <v>613</v>
      </c>
      <c r="L431" s="53" t="s">
        <v>2077</v>
      </c>
      <c r="M431" s="55" t="s">
        <v>49</v>
      </c>
      <c r="N431" s="52">
        <v>423900691.49000001</v>
      </c>
      <c r="O431" s="52">
        <v>423900691.49000001</v>
      </c>
      <c r="P431" s="52">
        <v>423900691.49000001</v>
      </c>
      <c r="Q431" s="57">
        <v>44739</v>
      </c>
      <c r="R431" s="57">
        <v>48633</v>
      </c>
      <c r="S431" s="56">
        <v>0</v>
      </c>
      <c r="T431" s="54">
        <v>60</v>
      </c>
      <c r="U431" s="52">
        <v>423900691.49000001</v>
      </c>
      <c r="V431" s="52">
        <v>423900691.49000001</v>
      </c>
      <c r="W431" s="52">
        <v>0</v>
      </c>
      <c r="X431" s="57"/>
      <c r="Y431" s="52">
        <v>0</v>
      </c>
      <c r="Z431" s="52">
        <v>0</v>
      </c>
      <c r="AA431" s="52">
        <v>1</v>
      </c>
      <c r="AB431" s="52">
        <v>0</v>
      </c>
      <c r="AC431" s="52">
        <v>151504008.84</v>
      </c>
      <c r="AD431" s="52">
        <v>0</v>
      </c>
      <c r="AE431" s="52">
        <v>0</v>
      </c>
      <c r="AF431" s="52">
        <v>151504008.84</v>
      </c>
      <c r="AG431" s="52">
        <v>0</v>
      </c>
      <c r="AH431" s="52">
        <v>0</v>
      </c>
      <c r="AI431" s="52">
        <v>0</v>
      </c>
      <c r="AJ431" s="52">
        <v>2</v>
      </c>
      <c r="AK431" s="52"/>
      <c r="AL431" s="52">
        <v>0</v>
      </c>
      <c r="AM431" s="52">
        <v>0</v>
      </c>
      <c r="AN431" s="52">
        <v>52987586437</v>
      </c>
      <c r="AO431" s="52">
        <v>180483500352</v>
      </c>
      <c r="AP431" s="52">
        <v>0</v>
      </c>
      <c r="AQ431" s="58">
        <v>0</v>
      </c>
      <c r="AR431" s="58">
        <v>0</v>
      </c>
      <c r="AS431" s="58">
        <v>0</v>
      </c>
      <c r="AT431" s="58">
        <v>0</v>
      </c>
      <c r="AU431" s="58">
        <v>0</v>
      </c>
      <c r="AV431" s="58">
        <v>0</v>
      </c>
      <c r="AW431" s="58">
        <v>0</v>
      </c>
      <c r="AX431" s="58">
        <v>0</v>
      </c>
    </row>
    <row r="432" spans="1:50" x14ac:dyDescent="0.25">
      <c r="A432" s="52">
        <f t="shared" si="29"/>
        <v>427</v>
      </c>
      <c r="B432" s="60" t="str">
        <f t="shared" si="28"/>
        <v>0043312140046</v>
      </c>
      <c r="C432" s="55" t="s">
        <v>29</v>
      </c>
      <c r="D432" s="53" t="s">
        <v>2080</v>
      </c>
      <c r="E432" s="55" t="s">
        <v>568</v>
      </c>
      <c r="F432" s="53" t="s">
        <v>2094</v>
      </c>
      <c r="G432" s="55">
        <v>11599</v>
      </c>
      <c r="H432" s="53" t="s">
        <v>2467</v>
      </c>
      <c r="I432" s="55">
        <v>308990188</v>
      </c>
      <c r="J432" s="55">
        <v>12140046</v>
      </c>
      <c r="K432" s="55" t="s">
        <v>614</v>
      </c>
      <c r="L432" s="53" t="s">
        <v>2077</v>
      </c>
      <c r="M432" s="55" t="s">
        <v>49</v>
      </c>
      <c r="N432" s="52">
        <v>383235193</v>
      </c>
      <c r="O432" s="52">
        <v>383235193</v>
      </c>
      <c r="P432" s="52">
        <v>383235193</v>
      </c>
      <c r="Q432" s="57">
        <v>44740</v>
      </c>
      <c r="R432" s="57">
        <v>48879</v>
      </c>
      <c r="S432" s="56">
        <v>0</v>
      </c>
      <c r="T432" s="54">
        <v>60</v>
      </c>
      <c r="U432" s="52">
        <v>383235193</v>
      </c>
      <c r="V432" s="52">
        <v>383235193</v>
      </c>
      <c r="W432" s="52">
        <v>0</v>
      </c>
      <c r="X432" s="57"/>
      <c r="Y432" s="52">
        <v>0</v>
      </c>
      <c r="Z432" s="52">
        <v>0</v>
      </c>
      <c r="AA432" s="52">
        <v>1</v>
      </c>
      <c r="AB432" s="52">
        <v>0</v>
      </c>
      <c r="AC432" s="52">
        <v>212912100</v>
      </c>
      <c r="AD432" s="52">
        <v>0</v>
      </c>
      <c r="AE432" s="52">
        <v>0</v>
      </c>
      <c r="AF432" s="52">
        <v>212912100</v>
      </c>
      <c r="AG432" s="52">
        <v>0</v>
      </c>
      <c r="AH432" s="52">
        <v>0</v>
      </c>
      <c r="AI432" s="52">
        <v>0</v>
      </c>
      <c r="AJ432" s="52">
        <v>2</v>
      </c>
      <c r="AK432" s="52"/>
      <c r="AL432" s="52">
        <v>0</v>
      </c>
      <c r="AM432" s="52">
        <v>0</v>
      </c>
      <c r="AN432" s="52">
        <v>47904399126</v>
      </c>
      <c r="AO432" s="52">
        <v>180483500352</v>
      </c>
      <c r="AP432" s="52">
        <v>0</v>
      </c>
      <c r="AQ432" s="58">
        <v>0</v>
      </c>
      <c r="AR432" s="58">
        <v>0</v>
      </c>
      <c r="AS432" s="58">
        <v>0</v>
      </c>
      <c r="AT432" s="58">
        <v>0</v>
      </c>
      <c r="AU432" s="58">
        <v>0</v>
      </c>
      <c r="AV432" s="58">
        <v>0</v>
      </c>
      <c r="AW432" s="58">
        <v>0</v>
      </c>
      <c r="AX432" s="58">
        <v>0</v>
      </c>
    </row>
    <row r="433" spans="1:50" x14ac:dyDescent="0.25">
      <c r="A433" s="52">
        <f t="shared" si="29"/>
        <v>428</v>
      </c>
      <c r="B433" s="60" t="str">
        <f t="shared" si="28"/>
        <v>0043312140071</v>
      </c>
      <c r="C433" s="55" t="s">
        <v>29</v>
      </c>
      <c r="D433" s="53" t="s">
        <v>2080</v>
      </c>
      <c r="E433" s="55" t="s">
        <v>568</v>
      </c>
      <c r="F433" s="53" t="s">
        <v>2094</v>
      </c>
      <c r="G433" s="55">
        <v>11599</v>
      </c>
      <c r="H433" s="53" t="s">
        <v>2467</v>
      </c>
      <c r="I433" s="55">
        <v>308990188</v>
      </c>
      <c r="J433" s="55">
        <v>12140071</v>
      </c>
      <c r="K433" s="55" t="s">
        <v>615</v>
      </c>
      <c r="L433" s="53" t="s">
        <v>2077</v>
      </c>
      <c r="M433" s="55" t="s">
        <v>49</v>
      </c>
      <c r="N433" s="52">
        <v>375690781.83999997</v>
      </c>
      <c r="O433" s="52">
        <v>375690781.83999997</v>
      </c>
      <c r="P433" s="52">
        <v>375690781.83999997</v>
      </c>
      <c r="Q433" s="57">
        <v>44742</v>
      </c>
      <c r="R433" s="57">
        <v>48765</v>
      </c>
      <c r="S433" s="56">
        <v>0</v>
      </c>
      <c r="T433" s="54">
        <v>60</v>
      </c>
      <c r="U433" s="52">
        <v>375690781.83999997</v>
      </c>
      <c r="V433" s="52">
        <v>375690781.83999997</v>
      </c>
      <c r="W433" s="52">
        <v>0</v>
      </c>
      <c r="X433" s="57"/>
      <c r="Y433" s="52">
        <v>0</v>
      </c>
      <c r="Z433" s="52">
        <v>0</v>
      </c>
      <c r="AA433" s="52">
        <v>1</v>
      </c>
      <c r="AB433" s="52">
        <v>0</v>
      </c>
      <c r="AC433" s="52">
        <v>114967994.19</v>
      </c>
      <c r="AD433" s="52">
        <v>0</v>
      </c>
      <c r="AE433" s="52">
        <v>0</v>
      </c>
      <c r="AF433" s="52">
        <v>114967994.19</v>
      </c>
      <c r="AG433" s="52">
        <v>0</v>
      </c>
      <c r="AH433" s="52">
        <v>0</v>
      </c>
      <c r="AI433" s="52">
        <v>0</v>
      </c>
      <c r="AJ433" s="52">
        <v>2</v>
      </c>
      <c r="AK433" s="52"/>
      <c r="AL433" s="52">
        <v>0</v>
      </c>
      <c r="AM433" s="52">
        <v>0</v>
      </c>
      <c r="AN433" s="52">
        <v>4696134773</v>
      </c>
      <c r="AO433" s="52">
        <v>180483500352</v>
      </c>
      <c r="AP433" s="52">
        <v>0</v>
      </c>
      <c r="AQ433" s="58">
        <v>0</v>
      </c>
      <c r="AR433" s="58">
        <v>0</v>
      </c>
      <c r="AS433" s="58">
        <v>0</v>
      </c>
      <c r="AT433" s="58">
        <v>0</v>
      </c>
      <c r="AU433" s="58">
        <v>0</v>
      </c>
      <c r="AV433" s="58">
        <v>0</v>
      </c>
      <c r="AW433" s="58">
        <v>0</v>
      </c>
      <c r="AX433" s="58">
        <v>0</v>
      </c>
    </row>
    <row r="434" spans="1:50" x14ac:dyDescent="0.25">
      <c r="A434" s="52">
        <f t="shared" si="29"/>
        <v>429</v>
      </c>
      <c r="B434" s="60" t="str">
        <f t="shared" si="28"/>
        <v>0043312140024</v>
      </c>
      <c r="C434" s="55" t="s">
        <v>29</v>
      </c>
      <c r="D434" s="53" t="s">
        <v>2080</v>
      </c>
      <c r="E434" s="55" t="s">
        <v>568</v>
      </c>
      <c r="F434" s="53" t="s">
        <v>2094</v>
      </c>
      <c r="G434" s="55">
        <v>11599</v>
      </c>
      <c r="H434" s="53" t="s">
        <v>2467</v>
      </c>
      <c r="I434" s="55">
        <v>308990188</v>
      </c>
      <c r="J434" s="55">
        <v>12140024</v>
      </c>
      <c r="K434" s="55" t="s">
        <v>616</v>
      </c>
      <c r="L434" s="53" t="s">
        <v>2077</v>
      </c>
      <c r="M434" s="55" t="s">
        <v>49</v>
      </c>
      <c r="N434" s="52">
        <v>246858244.97999999</v>
      </c>
      <c r="O434" s="52">
        <v>246858244.97999999</v>
      </c>
      <c r="P434" s="52">
        <v>246858244.97999999</v>
      </c>
      <c r="Q434" s="57">
        <v>44739</v>
      </c>
      <c r="R434" s="57">
        <v>48664</v>
      </c>
      <c r="S434" s="56">
        <v>0</v>
      </c>
      <c r="T434" s="54">
        <v>60</v>
      </c>
      <c r="U434" s="52">
        <v>246858244.97999999</v>
      </c>
      <c r="V434" s="52">
        <v>246858244.97999999</v>
      </c>
      <c r="W434" s="52">
        <v>0</v>
      </c>
      <c r="X434" s="57"/>
      <c r="Y434" s="52">
        <v>0</v>
      </c>
      <c r="Z434" s="52">
        <v>0</v>
      </c>
      <c r="AA434" s="52">
        <v>1</v>
      </c>
      <c r="AB434" s="52">
        <v>0</v>
      </c>
      <c r="AC434" s="52">
        <v>82719132.689999998</v>
      </c>
      <c r="AD434" s="52">
        <v>0</v>
      </c>
      <c r="AE434" s="52">
        <v>0</v>
      </c>
      <c r="AF434" s="52">
        <v>82719132.689999998</v>
      </c>
      <c r="AG434" s="52">
        <v>0</v>
      </c>
      <c r="AH434" s="52">
        <v>0</v>
      </c>
      <c r="AI434" s="52">
        <v>0</v>
      </c>
      <c r="AJ434" s="52">
        <v>2</v>
      </c>
      <c r="AK434" s="52"/>
      <c r="AL434" s="52">
        <v>0</v>
      </c>
      <c r="AM434" s="52">
        <v>0</v>
      </c>
      <c r="AN434" s="52">
        <v>30857280623</v>
      </c>
      <c r="AO434" s="52">
        <v>180483500352</v>
      </c>
      <c r="AP434" s="52">
        <v>0</v>
      </c>
      <c r="AQ434" s="58">
        <v>0</v>
      </c>
      <c r="AR434" s="58">
        <v>0</v>
      </c>
      <c r="AS434" s="58">
        <v>0</v>
      </c>
      <c r="AT434" s="58">
        <v>0</v>
      </c>
      <c r="AU434" s="58">
        <v>0</v>
      </c>
      <c r="AV434" s="58">
        <v>0</v>
      </c>
      <c r="AW434" s="58">
        <v>0</v>
      </c>
      <c r="AX434" s="58">
        <v>0</v>
      </c>
    </row>
    <row r="435" spans="1:50" x14ac:dyDescent="0.25">
      <c r="A435" s="52">
        <f t="shared" si="29"/>
        <v>430</v>
      </c>
      <c r="B435" s="60" t="str">
        <f t="shared" si="28"/>
        <v>0043312140025</v>
      </c>
      <c r="C435" s="55" t="s">
        <v>29</v>
      </c>
      <c r="D435" s="53" t="s">
        <v>2080</v>
      </c>
      <c r="E435" s="55" t="s">
        <v>568</v>
      </c>
      <c r="F435" s="53" t="s">
        <v>2094</v>
      </c>
      <c r="G435" s="55">
        <v>11599</v>
      </c>
      <c r="H435" s="53" t="s">
        <v>2467</v>
      </c>
      <c r="I435" s="55">
        <v>308990188</v>
      </c>
      <c r="J435" s="55">
        <v>12140025</v>
      </c>
      <c r="K435" s="55" t="s">
        <v>617</v>
      </c>
      <c r="L435" s="53" t="s">
        <v>2077</v>
      </c>
      <c r="M435" s="55" t="s">
        <v>49</v>
      </c>
      <c r="N435" s="52">
        <v>241000000</v>
      </c>
      <c r="O435" s="52">
        <v>241000000</v>
      </c>
      <c r="P435" s="52">
        <v>241000000</v>
      </c>
      <c r="Q435" s="57">
        <v>44739</v>
      </c>
      <c r="R435" s="57">
        <v>49274</v>
      </c>
      <c r="S435" s="56">
        <v>0</v>
      </c>
      <c r="T435" s="54">
        <v>60</v>
      </c>
      <c r="U435" s="52">
        <v>241000000</v>
      </c>
      <c r="V435" s="52">
        <v>241000000</v>
      </c>
      <c r="W435" s="52">
        <v>0</v>
      </c>
      <c r="X435" s="57"/>
      <c r="Y435" s="52">
        <v>0</v>
      </c>
      <c r="Z435" s="52">
        <v>0</v>
      </c>
      <c r="AA435" s="52">
        <v>1</v>
      </c>
      <c r="AB435" s="52">
        <v>0</v>
      </c>
      <c r="AC435" s="52">
        <v>90000700.870000005</v>
      </c>
      <c r="AD435" s="52">
        <v>0</v>
      </c>
      <c r="AE435" s="52">
        <v>0</v>
      </c>
      <c r="AF435" s="52">
        <v>90000700.870000005</v>
      </c>
      <c r="AG435" s="52">
        <v>0</v>
      </c>
      <c r="AH435" s="52">
        <v>0</v>
      </c>
      <c r="AI435" s="52">
        <v>0</v>
      </c>
      <c r="AJ435" s="52">
        <v>2</v>
      </c>
      <c r="AK435" s="52"/>
      <c r="AL435" s="52">
        <v>0</v>
      </c>
      <c r="AM435" s="52">
        <v>0</v>
      </c>
      <c r="AN435" s="52">
        <v>301250000</v>
      </c>
      <c r="AO435" s="52">
        <v>180483500352</v>
      </c>
      <c r="AP435" s="52">
        <v>0</v>
      </c>
      <c r="AQ435" s="58">
        <v>0</v>
      </c>
      <c r="AR435" s="58">
        <v>0</v>
      </c>
      <c r="AS435" s="58">
        <v>0</v>
      </c>
      <c r="AT435" s="58">
        <v>0</v>
      </c>
      <c r="AU435" s="58">
        <v>0</v>
      </c>
      <c r="AV435" s="58">
        <v>0</v>
      </c>
      <c r="AW435" s="58">
        <v>0</v>
      </c>
      <c r="AX435" s="58">
        <v>0</v>
      </c>
    </row>
    <row r="436" spans="1:50" x14ac:dyDescent="0.25">
      <c r="A436" s="52">
        <f t="shared" si="29"/>
        <v>431</v>
      </c>
      <c r="B436" s="60" t="str">
        <f t="shared" si="28"/>
        <v>0043312581049</v>
      </c>
      <c r="C436" s="55" t="s">
        <v>29</v>
      </c>
      <c r="D436" s="53" t="s">
        <v>2080</v>
      </c>
      <c r="E436" s="55" t="s">
        <v>568</v>
      </c>
      <c r="F436" s="53" t="s">
        <v>2085</v>
      </c>
      <c r="G436" s="55">
        <v>11785</v>
      </c>
      <c r="H436" s="53" t="s">
        <v>2468</v>
      </c>
      <c r="I436" s="55">
        <v>206051133</v>
      </c>
      <c r="J436" s="55">
        <v>12581049</v>
      </c>
      <c r="K436" s="55" t="s">
        <v>618</v>
      </c>
      <c r="L436" s="53" t="s">
        <v>2077</v>
      </c>
      <c r="M436" s="55" t="s">
        <v>49</v>
      </c>
      <c r="N436" s="52">
        <v>2550000000</v>
      </c>
      <c r="O436" s="52">
        <v>2550000000</v>
      </c>
      <c r="P436" s="52">
        <v>2550000000</v>
      </c>
      <c r="Q436" s="57">
        <v>45266</v>
      </c>
      <c r="R436" s="57">
        <v>47792</v>
      </c>
      <c r="S436" s="56">
        <v>19</v>
      </c>
      <c r="T436" s="54">
        <v>24</v>
      </c>
      <c r="U436" s="52">
        <v>2543775000</v>
      </c>
      <c r="V436" s="52">
        <v>2506779661</v>
      </c>
      <c r="W436" s="52">
        <v>36995339</v>
      </c>
      <c r="X436" s="57">
        <v>46027</v>
      </c>
      <c r="Y436" s="52">
        <v>0</v>
      </c>
      <c r="Z436" s="52">
        <v>0</v>
      </c>
      <c r="AA436" s="52">
        <v>1</v>
      </c>
      <c r="AB436" s="52">
        <v>0</v>
      </c>
      <c r="AC436" s="52">
        <v>158729206.30000001</v>
      </c>
      <c r="AD436" s="52">
        <v>27444086.370000001</v>
      </c>
      <c r="AE436" s="52">
        <v>37777918.479999997</v>
      </c>
      <c r="AF436" s="52">
        <v>0</v>
      </c>
      <c r="AG436" s="52">
        <v>93507201.450000003</v>
      </c>
      <c r="AH436" s="52">
        <v>0</v>
      </c>
      <c r="AI436" s="52">
        <v>0</v>
      </c>
      <c r="AJ436" s="52">
        <v>2</v>
      </c>
      <c r="AK436" s="52"/>
      <c r="AL436" s="52">
        <v>47124316752</v>
      </c>
      <c r="AM436" s="52">
        <v>35722778192</v>
      </c>
      <c r="AN436" s="52">
        <v>3187500000</v>
      </c>
      <c r="AO436" s="52">
        <v>633450754998</v>
      </c>
      <c r="AP436" s="52">
        <v>633450754998</v>
      </c>
      <c r="AQ436" s="58">
        <v>0</v>
      </c>
      <c r="AR436" s="58">
        <v>0</v>
      </c>
      <c r="AS436" s="58">
        <v>0</v>
      </c>
      <c r="AT436" s="58">
        <v>0</v>
      </c>
      <c r="AU436" s="58">
        <v>0</v>
      </c>
      <c r="AV436" s="58">
        <v>0</v>
      </c>
      <c r="AW436" s="58">
        <v>2</v>
      </c>
      <c r="AX436" s="58">
        <v>149400</v>
      </c>
    </row>
    <row r="437" spans="1:50" x14ac:dyDescent="0.25">
      <c r="A437" s="52">
        <f t="shared" si="29"/>
        <v>432</v>
      </c>
      <c r="B437" s="60" t="str">
        <f t="shared" si="28"/>
        <v>0043312910732</v>
      </c>
      <c r="C437" s="55" t="s">
        <v>29</v>
      </c>
      <c r="D437" s="53" t="s">
        <v>2080</v>
      </c>
      <c r="E437" s="55" t="s">
        <v>568</v>
      </c>
      <c r="F437" s="53" t="s">
        <v>2085</v>
      </c>
      <c r="G437" s="55">
        <v>11785</v>
      </c>
      <c r="H437" s="53" t="s">
        <v>2469</v>
      </c>
      <c r="I437" s="55">
        <v>303387964</v>
      </c>
      <c r="J437" s="55">
        <v>12910732</v>
      </c>
      <c r="K437" s="55" t="s">
        <v>619</v>
      </c>
      <c r="L437" s="53" t="s">
        <v>2077</v>
      </c>
      <c r="M437" s="55" t="s">
        <v>49</v>
      </c>
      <c r="N437" s="52">
        <v>2300000000</v>
      </c>
      <c r="O437" s="52">
        <v>2300000000</v>
      </c>
      <c r="P437" s="52">
        <v>2300000000</v>
      </c>
      <c r="Q437" s="57">
        <v>45685</v>
      </c>
      <c r="R437" s="57">
        <v>48239</v>
      </c>
      <c r="S437" s="56">
        <v>17.5</v>
      </c>
      <c r="T437" s="54">
        <v>24</v>
      </c>
      <c r="U437" s="52">
        <v>2300000000</v>
      </c>
      <c r="V437" s="52">
        <v>2300000000</v>
      </c>
      <c r="W437" s="52">
        <v>0</v>
      </c>
      <c r="X437" s="57"/>
      <c r="Y437" s="52">
        <v>0</v>
      </c>
      <c r="Z437" s="52">
        <v>0</v>
      </c>
      <c r="AA437" s="52">
        <v>1</v>
      </c>
      <c r="AB437" s="52">
        <v>0</v>
      </c>
      <c r="AC437" s="52">
        <v>29773972.609999999</v>
      </c>
      <c r="AD437" s="52">
        <v>29773972.609999999</v>
      </c>
      <c r="AE437" s="52">
        <v>0</v>
      </c>
      <c r="AF437" s="52">
        <v>0</v>
      </c>
      <c r="AG437" s="52">
        <v>0</v>
      </c>
      <c r="AH437" s="52">
        <v>0</v>
      </c>
      <c r="AI437" s="52">
        <v>0</v>
      </c>
      <c r="AJ437" s="52">
        <v>2</v>
      </c>
      <c r="AK437" s="52"/>
      <c r="AL437" s="52">
        <v>1571014516</v>
      </c>
      <c r="AM437" s="52">
        <v>0</v>
      </c>
      <c r="AN437" s="52">
        <v>2875000000</v>
      </c>
      <c r="AO437" s="52">
        <v>281796534944</v>
      </c>
      <c r="AP437" s="52">
        <v>281796534944</v>
      </c>
      <c r="AQ437" s="58">
        <v>0</v>
      </c>
      <c r="AR437" s="58">
        <v>0</v>
      </c>
      <c r="AS437" s="58">
        <v>0</v>
      </c>
      <c r="AT437" s="58">
        <v>0</v>
      </c>
      <c r="AU437" s="58">
        <v>0</v>
      </c>
      <c r="AV437" s="58">
        <v>0</v>
      </c>
      <c r="AW437" s="58">
        <v>0</v>
      </c>
      <c r="AX437" s="58">
        <v>0</v>
      </c>
    </row>
    <row r="438" spans="1:50" x14ac:dyDescent="0.25">
      <c r="A438" s="52">
        <f t="shared" si="29"/>
        <v>433</v>
      </c>
      <c r="B438" s="60" t="str">
        <f t="shared" si="28"/>
        <v>0043312151100</v>
      </c>
      <c r="C438" s="55" t="s">
        <v>29</v>
      </c>
      <c r="D438" s="53" t="s">
        <v>2080</v>
      </c>
      <c r="E438" s="55" t="s">
        <v>568</v>
      </c>
      <c r="F438" s="53" t="s">
        <v>2085</v>
      </c>
      <c r="G438" s="55">
        <v>11785</v>
      </c>
      <c r="H438" s="53" t="s">
        <v>2468</v>
      </c>
      <c r="I438" s="55">
        <v>206051133</v>
      </c>
      <c r="J438" s="55">
        <v>12151100</v>
      </c>
      <c r="K438" s="55" t="s">
        <v>620</v>
      </c>
      <c r="L438" s="53" t="s">
        <v>2077</v>
      </c>
      <c r="M438" s="55" t="s">
        <v>49</v>
      </c>
      <c r="N438" s="52">
        <v>3000000000</v>
      </c>
      <c r="O438" s="52">
        <v>3000000000</v>
      </c>
      <c r="P438" s="52">
        <v>3000000000</v>
      </c>
      <c r="Q438" s="57">
        <v>44999</v>
      </c>
      <c r="R438" s="57">
        <v>46825</v>
      </c>
      <c r="S438" s="56">
        <v>20</v>
      </c>
      <c r="T438" s="54">
        <v>12</v>
      </c>
      <c r="U438" s="52">
        <v>1812495000</v>
      </c>
      <c r="V438" s="52">
        <v>1625000000</v>
      </c>
      <c r="W438" s="52">
        <v>187495000</v>
      </c>
      <c r="X438" s="57">
        <v>45966</v>
      </c>
      <c r="Y438" s="52">
        <v>0</v>
      </c>
      <c r="Z438" s="52">
        <v>0</v>
      </c>
      <c r="AA438" s="52">
        <v>1</v>
      </c>
      <c r="AB438" s="52">
        <v>0</v>
      </c>
      <c r="AC438" s="52">
        <v>129807743.37</v>
      </c>
      <c r="AD438" s="52">
        <v>24965753.420000002</v>
      </c>
      <c r="AE438" s="52">
        <v>0</v>
      </c>
      <c r="AF438" s="52">
        <v>0</v>
      </c>
      <c r="AG438" s="52">
        <v>104841989.95</v>
      </c>
      <c r="AH438" s="52">
        <v>0</v>
      </c>
      <c r="AI438" s="52">
        <v>0</v>
      </c>
      <c r="AJ438" s="52">
        <v>2</v>
      </c>
      <c r="AK438" s="52"/>
      <c r="AL438" s="52">
        <v>47124316752</v>
      </c>
      <c r="AM438" s="52">
        <v>35722778192</v>
      </c>
      <c r="AN438" s="52">
        <v>3750000000</v>
      </c>
      <c r="AO438" s="52">
        <v>877073867798</v>
      </c>
      <c r="AP438" s="52">
        <v>877073867798</v>
      </c>
      <c r="AQ438" s="58">
        <v>0</v>
      </c>
      <c r="AR438" s="58">
        <v>0</v>
      </c>
      <c r="AS438" s="58">
        <v>0</v>
      </c>
      <c r="AT438" s="58">
        <v>0</v>
      </c>
      <c r="AU438" s="58">
        <v>0</v>
      </c>
      <c r="AV438" s="58">
        <v>0</v>
      </c>
      <c r="AW438" s="58">
        <v>2</v>
      </c>
      <c r="AX438" s="58">
        <v>149400</v>
      </c>
    </row>
    <row r="439" spans="1:50" x14ac:dyDescent="0.25">
      <c r="A439" s="52">
        <f t="shared" si="29"/>
        <v>434</v>
      </c>
      <c r="B439" s="60" t="str">
        <f t="shared" si="28"/>
        <v>0043312889850</v>
      </c>
      <c r="C439" s="55" t="s">
        <v>29</v>
      </c>
      <c r="D439" s="53" t="s">
        <v>2080</v>
      </c>
      <c r="E439" s="55" t="s">
        <v>568</v>
      </c>
      <c r="F439" s="53" t="s">
        <v>2085</v>
      </c>
      <c r="G439" s="55">
        <v>11785</v>
      </c>
      <c r="H439" s="53" t="s">
        <v>621</v>
      </c>
      <c r="I439" s="55">
        <v>203344885</v>
      </c>
      <c r="J439" s="55">
        <v>12889850</v>
      </c>
      <c r="K439" s="55" t="s">
        <v>622</v>
      </c>
      <c r="L439" s="53" t="s">
        <v>2077</v>
      </c>
      <c r="M439" s="55" t="s">
        <v>49</v>
      </c>
      <c r="N439" s="52">
        <v>1800000000</v>
      </c>
      <c r="O439" s="52">
        <v>1800000000</v>
      </c>
      <c r="P439" s="52">
        <v>1800000000</v>
      </c>
      <c r="Q439" s="57">
        <v>45631</v>
      </c>
      <c r="R439" s="57">
        <v>48187</v>
      </c>
      <c r="S439" s="56">
        <v>18.5</v>
      </c>
      <c r="T439" s="54">
        <v>24</v>
      </c>
      <c r="U439" s="52">
        <v>1799426390</v>
      </c>
      <c r="V439" s="52">
        <v>1799426390</v>
      </c>
      <c r="W439" s="52">
        <v>0</v>
      </c>
      <c r="X439" s="57"/>
      <c r="Y439" s="52">
        <v>0</v>
      </c>
      <c r="Z439" s="52">
        <v>0</v>
      </c>
      <c r="AA439" s="52">
        <v>1</v>
      </c>
      <c r="AB439" s="52">
        <v>0</v>
      </c>
      <c r="AC439" s="52">
        <v>25537064.920000002</v>
      </c>
      <c r="AD439" s="52">
        <v>25537064.920000002</v>
      </c>
      <c r="AE439" s="52">
        <v>0</v>
      </c>
      <c r="AF439" s="52">
        <v>0</v>
      </c>
      <c r="AG439" s="52">
        <v>0</v>
      </c>
      <c r="AH439" s="52">
        <v>0</v>
      </c>
      <c r="AI439" s="52">
        <v>0</v>
      </c>
      <c r="AJ439" s="52">
        <v>2</v>
      </c>
      <c r="AK439" s="52"/>
      <c r="AL439" s="52">
        <v>0</v>
      </c>
      <c r="AM439" s="52">
        <v>0</v>
      </c>
      <c r="AN439" s="52">
        <v>4500000000</v>
      </c>
      <c r="AO439" s="52">
        <v>874004160</v>
      </c>
      <c r="AP439" s="52">
        <v>874004160</v>
      </c>
      <c r="AQ439" s="58">
        <v>0</v>
      </c>
      <c r="AR439" s="58">
        <v>0</v>
      </c>
      <c r="AS439" s="58">
        <v>0</v>
      </c>
      <c r="AT439" s="58">
        <v>0</v>
      </c>
      <c r="AU439" s="58">
        <v>0</v>
      </c>
      <c r="AV439" s="58">
        <v>0</v>
      </c>
      <c r="AW439" s="58">
        <v>0</v>
      </c>
      <c r="AX439" s="58">
        <v>0</v>
      </c>
    </row>
    <row r="440" spans="1:50" x14ac:dyDescent="0.25">
      <c r="A440" s="52">
        <f t="shared" si="29"/>
        <v>435</v>
      </c>
      <c r="B440" s="60" t="str">
        <f t="shared" si="28"/>
        <v>0043312145298</v>
      </c>
      <c r="C440" s="55" t="s">
        <v>29</v>
      </c>
      <c r="D440" s="53" t="s">
        <v>2080</v>
      </c>
      <c r="E440" s="55" t="s">
        <v>568</v>
      </c>
      <c r="F440" s="53" t="s">
        <v>2085</v>
      </c>
      <c r="G440" s="55">
        <v>11785</v>
      </c>
      <c r="H440" s="53" t="s">
        <v>621</v>
      </c>
      <c r="I440" s="55">
        <v>203344885</v>
      </c>
      <c r="J440" s="55">
        <v>12145298</v>
      </c>
      <c r="K440" s="55" t="s">
        <v>623</v>
      </c>
      <c r="L440" s="53" t="s">
        <v>2077</v>
      </c>
      <c r="M440" s="55" t="s">
        <v>49</v>
      </c>
      <c r="N440" s="52">
        <v>2000000000</v>
      </c>
      <c r="O440" s="52">
        <v>2000000000</v>
      </c>
      <c r="P440" s="52">
        <v>2000000000</v>
      </c>
      <c r="Q440" s="57">
        <v>44873</v>
      </c>
      <c r="R440" s="57">
        <v>47056</v>
      </c>
      <c r="S440" s="56">
        <v>24.5</v>
      </c>
      <c r="T440" s="54">
        <v>24</v>
      </c>
      <c r="U440" s="52">
        <v>1282777776</v>
      </c>
      <c r="V440" s="52">
        <v>0</v>
      </c>
      <c r="W440" s="52">
        <v>0</v>
      </c>
      <c r="X440" s="57"/>
      <c r="Y440" s="52">
        <v>1282777776</v>
      </c>
      <c r="Z440" s="52">
        <v>0</v>
      </c>
      <c r="AA440" s="52">
        <v>1</v>
      </c>
      <c r="AB440" s="52">
        <v>0</v>
      </c>
      <c r="AC440" s="52">
        <v>28141543.259999998</v>
      </c>
      <c r="AD440" s="52">
        <v>24109193.27</v>
      </c>
      <c r="AE440" s="52">
        <v>4032349.99</v>
      </c>
      <c r="AF440" s="52">
        <v>0</v>
      </c>
      <c r="AG440" s="52">
        <v>0</v>
      </c>
      <c r="AH440" s="52">
        <v>0</v>
      </c>
      <c r="AI440" s="52">
        <v>0</v>
      </c>
      <c r="AJ440" s="52">
        <v>2</v>
      </c>
      <c r="AK440" s="52"/>
      <c r="AL440" s="52">
        <v>0</v>
      </c>
      <c r="AM440" s="52">
        <v>0</v>
      </c>
      <c r="AN440" s="52">
        <v>2500000000</v>
      </c>
      <c r="AO440" s="52">
        <v>215036655681</v>
      </c>
      <c r="AP440" s="52">
        <v>215036655681</v>
      </c>
      <c r="AQ440" s="58">
        <v>0</v>
      </c>
      <c r="AR440" s="58">
        <v>0</v>
      </c>
      <c r="AS440" s="58">
        <v>0</v>
      </c>
      <c r="AT440" s="58">
        <v>0</v>
      </c>
      <c r="AU440" s="58">
        <v>0</v>
      </c>
      <c r="AV440" s="58">
        <v>0</v>
      </c>
      <c r="AW440" s="58">
        <v>0</v>
      </c>
      <c r="AX440" s="58">
        <v>0</v>
      </c>
    </row>
    <row r="441" spans="1:50" x14ac:dyDescent="0.25">
      <c r="A441" s="52">
        <f t="shared" si="29"/>
        <v>436</v>
      </c>
      <c r="B441" s="60" t="str">
        <f t="shared" si="28"/>
        <v>0043312891430</v>
      </c>
      <c r="C441" s="55" t="s">
        <v>29</v>
      </c>
      <c r="D441" s="53" t="s">
        <v>2080</v>
      </c>
      <c r="E441" s="55" t="s">
        <v>568</v>
      </c>
      <c r="F441" s="53" t="s">
        <v>2085</v>
      </c>
      <c r="G441" s="55">
        <v>11785</v>
      </c>
      <c r="H441" s="53" t="s">
        <v>624</v>
      </c>
      <c r="I441" s="55">
        <v>309724437</v>
      </c>
      <c r="J441" s="55">
        <v>12891430</v>
      </c>
      <c r="K441" s="55" t="s">
        <v>625</v>
      </c>
      <c r="L441" s="53" t="s">
        <v>2077</v>
      </c>
      <c r="M441" s="55" t="s">
        <v>49</v>
      </c>
      <c r="N441" s="52">
        <v>1201785714</v>
      </c>
      <c r="O441" s="52">
        <v>1201785714</v>
      </c>
      <c r="P441" s="52">
        <v>1201785714</v>
      </c>
      <c r="Q441" s="57">
        <v>45636</v>
      </c>
      <c r="R441" s="57">
        <v>48187</v>
      </c>
      <c r="S441" s="56">
        <v>18.5</v>
      </c>
      <c r="T441" s="54">
        <v>12</v>
      </c>
      <c r="U441" s="52">
        <v>1185094246</v>
      </c>
      <c r="V441" s="52">
        <v>1185094246</v>
      </c>
      <c r="W441" s="52">
        <v>0</v>
      </c>
      <c r="X441" s="57"/>
      <c r="Y441" s="52">
        <v>0</v>
      </c>
      <c r="Z441" s="52">
        <v>0</v>
      </c>
      <c r="AA441" s="52">
        <v>1</v>
      </c>
      <c r="AB441" s="52">
        <v>0</v>
      </c>
      <c r="AC441" s="52">
        <v>16217933.59</v>
      </c>
      <c r="AD441" s="52">
        <v>16217933.59</v>
      </c>
      <c r="AE441" s="52">
        <v>0</v>
      </c>
      <c r="AF441" s="52">
        <v>0</v>
      </c>
      <c r="AG441" s="52">
        <v>0</v>
      </c>
      <c r="AH441" s="52">
        <v>0</v>
      </c>
      <c r="AI441" s="52">
        <v>0</v>
      </c>
      <c r="AJ441" s="52">
        <v>2</v>
      </c>
      <c r="AK441" s="52"/>
      <c r="AL441" s="52">
        <v>0</v>
      </c>
      <c r="AM441" s="52">
        <v>0</v>
      </c>
      <c r="AN441" s="52">
        <v>1502232143</v>
      </c>
      <c r="AO441" s="52">
        <v>617491754</v>
      </c>
      <c r="AP441" s="52">
        <v>617491754</v>
      </c>
      <c r="AQ441" s="58">
        <v>0</v>
      </c>
      <c r="AR441" s="58">
        <v>0</v>
      </c>
      <c r="AS441" s="58">
        <v>0</v>
      </c>
      <c r="AT441" s="58">
        <v>0</v>
      </c>
      <c r="AU441" s="58">
        <v>0</v>
      </c>
      <c r="AV441" s="58">
        <v>0</v>
      </c>
      <c r="AW441" s="58">
        <v>0</v>
      </c>
      <c r="AX441" s="58">
        <v>0</v>
      </c>
    </row>
    <row r="442" spans="1:50" x14ac:dyDescent="0.25">
      <c r="A442" s="52">
        <f t="shared" si="29"/>
        <v>437</v>
      </c>
      <c r="B442" s="60" t="str">
        <f t="shared" si="28"/>
        <v>0043312153515</v>
      </c>
      <c r="C442" s="55" t="s">
        <v>29</v>
      </c>
      <c r="D442" s="53" t="s">
        <v>2080</v>
      </c>
      <c r="E442" s="55" t="s">
        <v>568</v>
      </c>
      <c r="F442" s="53" t="s">
        <v>2085</v>
      </c>
      <c r="G442" s="55">
        <v>11785</v>
      </c>
      <c r="H442" s="53" t="s">
        <v>2470</v>
      </c>
      <c r="I442" s="55">
        <v>200571037</v>
      </c>
      <c r="J442" s="55">
        <v>12153515</v>
      </c>
      <c r="K442" s="55" t="s">
        <v>626</v>
      </c>
      <c r="L442" s="53" t="s">
        <v>2077</v>
      </c>
      <c r="M442" s="55" t="s">
        <v>49</v>
      </c>
      <c r="N442" s="52">
        <v>4525000000</v>
      </c>
      <c r="O442" s="52">
        <v>4525000000</v>
      </c>
      <c r="P442" s="52">
        <v>4525000000</v>
      </c>
      <c r="Q442" s="57">
        <v>45062</v>
      </c>
      <c r="R442" s="57">
        <v>46157</v>
      </c>
      <c r="S442" s="56">
        <v>25</v>
      </c>
      <c r="T442" s="54">
        <v>6</v>
      </c>
      <c r="U442" s="52">
        <v>1100687524.78</v>
      </c>
      <c r="V442" s="52">
        <v>729027777.79999995</v>
      </c>
      <c r="W442" s="52">
        <v>371659746.98000002</v>
      </c>
      <c r="X442" s="57">
        <v>45966</v>
      </c>
      <c r="Y442" s="52">
        <v>0</v>
      </c>
      <c r="Z442" s="52">
        <v>0</v>
      </c>
      <c r="AA442" s="52">
        <v>2</v>
      </c>
      <c r="AB442" s="52">
        <v>0</v>
      </c>
      <c r="AC442" s="52">
        <v>127732549.14</v>
      </c>
      <c r="AD442" s="52">
        <v>14106188.17</v>
      </c>
      <c r="AE442" s="52">
        <v>0</v>
      </c>
      <c r="AF442" s="52">
        <v>0</v>
      </c>
      <c r="AG442" s="52">
        <v>113626360.97</v>
      </c>
      <c r="AH442" s="52">
        <v>0</v>
      </c>
      <c r="AI442" s="52">
        <v>0</v>
      </c>
      <c r="AJ442" s="52">
        <v>2</v>
      </c>
      <c r="AK442" s="52"/>
      <c r="AL442" s="52">
        <v>273329083641</v>
      </c>
      <c r="AM442" s="52">
        <v>2025920148</v>
      </c>
      <c r="AN442" s="52">
        <v>5656250000</v>
      </c>
      <c r="AO442" s="52">
        <v>643303373448</v>
      </c>
      <c r="AP442" s="52">
        <v>643303373448</v>
      </c>
      <c r="AQ442" s="58">
        <v>0</v>
      </c>
      <c r="AR442" s="58">
        <v>0</v>
      </c>
      <c r="AS442" s="58">
        <v>0</v>
      </c>
      <c r="AT442" s="58">
        <v>0</v>
      </c>
      <c r="AU442" s="58">
        <v>0</v>
      </c>
      <c r="AV442" s="58">
        <v>0</v>
      </c>
      <c r="AW442" s="58">
        <v>0</v>
      </c>
      <c r="AX442" s="58">
        <v>0</v>
      </c>
    </row>
    <row r="443" spans="1:50" x14ac:dyDescent="0.25">
      <c r="A443" s="52">
        <f t="shared" si="29"/>
        <v>438</v>
      </c>
      <c r="B443" s="60" t="str">
        <f t="shared" si="28"/>
        <v>0043312866182</v>
      </c>
      <c r="C443" s="55" t="s">
        <v>29</v>
      </c>
      <c r="D443" s="53" t="s">
        <v>2080</v>
      </c>
      <c r="E443" s="55" t="s">
        <v>568</v>
      </c>
      <c r="F443" s="53" t="s">
        <v>2085</v>
      </c>
      <c r="G443" s="55">
        <v>11785</v>
      </c>
      <c r="H443" s="53" t="s">
        <v>627</v>
      </c>
      <c r="I443" s="55">
        <v>206269264</v>
      </c>
      <c r="J443" s="55">
        <v>12866182</v>
      </c>
      <c r="K443" s="55" t="s">
        <v>628</v>
      </c>
      <c r="L443" s="53" t="s">
        <v>2077</v>
      </c>
      <c r="M443" s="55" t="s">
        <v>49</v>
      </c>
      <c r="N443" s="52">
        <v>1000000000</v>
      </c>
      <c r="O443" s="52">
        <v>1000000000</v>
      </c>
      <c r="P443" s="52">
        <v>1000000000</v>
      </c>
      <c r="Q443" s="57">
        <v>45600</v>
      </c>
      <c r="R443" s="57">
        <v>48150</v>
      </c>
      <c r="S443" s="56">
        <v>16.5</v>
      </c>
      <c r="T443" s="54">
        <v>24</v>
      </c>
      <c r="U443" s="52">
        <v>1000000000</v>
      </c>
      <c r="V443" s="52">
        <v>1000000000</v>
      </c>
      <c r="W443" s="52">
        <v>0</v>
      </c>
      <c r="X443" s="57"/>
      <c r="Y443" s="52">
        <v>0</v>
      </c>
      <c r="Z443" s="52">
        <v>0</v>
      </c>
      <c r="AA443" s="52">
        <v>1</v>
      </c>
      <c r="AB443" s="52">
        <v>0</v>
      </c>
      <c r="AC443" s="52">
        <v>12619178.08</v>
      </c>
      <c r="AD443" s="52">
        <v>12619178.08</v>
      </c>
      <c r="AE443" s="52">
        <v>0</v>
      </c>
      <c r="AF443" s="52">
        <v>0</v>
      </c>
      <c r="AG443" s="52">
        <v>0</v>
      </c>
      <c r="AH443" s="52">
        <v>0</v>
      </c>
      <c r="AI443" s="52">
        <v>0</v>
      </c>
      <c r="AJ443" s="52">
        <v>2</v>
      </c>
      <c r="AK443" s="52"/>
      <c r="AL443" s="52">
        <v>0</v>
      </c>
      <c r="AM443" s="52">
        <v>0</v>
      </c>
      <c r="AN443" s="52">
        <v>2500000000</v>
      </c>
      <c r="AO443" s="52">
        <v>33000000</v>
      </c>
      <c r="AP443" s="52">
        <v>33000000</v>
      </c>
      <c r="AQ443" s="58">
        <v>0</v>
      </c>
      <c r="AR443" s="58">
        <v>0</v>
      </c>
      <c r="AS443" s="58">
        <v>0</v>
      </c>
      <c r="AT443" s="58">
        <v>0</v>
      </c>
      <c r="AU443" s="58">
        <v>0</v>
      </c>
      <c r="AV443" s="58">
        <v>0</v>
      </c>
      <c r="AW443" s="58">
        <v>0</v>
      </c>
      <c r="AX443" s="58">
        <v>0</v>
      </c>
    </row>
    <row r="444" spans="1:50" x14ac:dyDescent="0.25">
      <c r="A444" s="52">
        <f t="shared" si="29"/>
        <v>439</v>
      </c>
      <c r="B444" s="60" t="str">
        <f t="shared" si="28"/>
        <v>0043312136679</v>
      </c>
      <c r="C444" s="55" t="s">
        <v>29</v>
      </c>
      <c r="D444" s="53" t="s">
        <v>2080</v>
      </c>
      <c r="E444" s="55" t="s">
        <v>568</v>
      </c>
      <c r="F444" s="53" t="s">
        <v>2081</v>
      </c>
      <c r="G444" s="55">
        <v>11786</v>
      </c>
      <c r="H444" s="53" t="s">
        <v>2471</v>
      </c>
      <c r="I444" s="55">
        <v>307292692</v>
      </c>
      <c r="J444" s="55">
        <v>12136679</v>
      </c>
      <c r="K444" s="55" t="s">
        <v>629</v>
      </c>
      <c r="L444" s="53" t="s">
        <v>2068</v>
      </c>
      <c r="M444" s="55" t="s">
        <v>75</v>
      </c>
      <c r="N444" s="52">
        <v>3237000</v>
      </c>
      <c r="O444" s="52">
        <v>39063339120</v>
      </c>
      <c r="P444" s="52"/>
      <c r="Q444" s="57">
        <v>44070</v>
      </c>
      <c r="R444" s="57">
        <v>49176</v>
      </c>
      <c r="S444" s="56">
        <v>7</v>
      </c>
      <c r="T444" s="54">
        <v>0</v>
      </c>
      <c r="U444" s="52">
        <v>39485918911.440002</v>
      </c>
      <c r="V444" s="52">
        <v>39485918911.440002</v>
      </c>
      <c r="W444" s="52">
        <v>0</v>
      </c>
      <c r="X444" s="57"/>
      <c r="Y444" s="52">
        <v>0</v>
      </c>
      <c r="Z444" s="52">
        <v>0</v>
      </c>
      <c r="AA444" s="52">
        <v>1</v>
      </c>
      <c r="AB444" s="52">
        <v>0</v>
      </c>
      <c r="AC444" s="52">
        <v>5522741418.5900002</v>
      </c>
      <c r="AD444" s="52">
        <v>418440963.13</v>
      </c>
      <c r="AE444" s="52">
        <v>2867076764.73</v>
      </c>
      <c r="AF444" s="52">
        <v>2237223690.73</v>
      </c>
      <c r="AG444" s="52">
        <v>0</v>
      </c>
      <c r="AH444" s="52">
        <v>0</v>
      </c>
      <c r="AI444" s="52">
        <v>0</v>
      </c>
      <c r="AJ444" s="52">
        <v>2</v>
      </c>
      <c r="AK444" s="52"/>
      <c r="AL444" s="52">
        <v>222056064636</v>
      </c>
      <c r="AM444" s="52">
        <v>222056064636</v>
      </c>
      <c r="AN444" s="52">
        <v>57105227548</v>
      </c>
      <c r="AO444" s="52">
        <v>84133</v>
      </c>
      <c r="AP444" s="52">
        <v>21049</v>
      </c>
      <c r="AQ444" s="58">
        <v>0</v>
      </c>
      <c r="AR444" s="58">
        <v>0</v>
      </c>
      <c r="AS444" s="58">
        <v>0</v>
      </c>
      <c r="AT444" s="58">
        <v>0</v>
      </c>
      <c r="AU444" s="58">
        <v>0</v>
      </c>
      <c r="AV444" s="58">
        <v>0</v>
      </c>
      <c r="AW444" s="58">
        <v>4</v>
      </c>
      <c r="AX444" s="58">
        <v>3237000</v>
      </c>
    </row>
    <row r="445" spans="1:50" x14ac:dyDescent="0.25">
      <c r="A445" s="52">
        <f t="shared" si="29"/>
        <v>440</v>
      </c>
      <c r="B445" s="60" t="str">
        <f t="shared" ref="B445:B508" si="30">+E445&amp;J445</f>
        <v>0043312758490</v>
      </c>
      <c r="C445" s="55" t="s">
        <v>29</v>
      </c>
      <c r="D445" s="53" t="s">
        <v>2080</v>
      </c>
      <c r="E445" s="55" t="s">
        <v>568</v>
      </c>
      <c r="F445" s="53" t="s">
        <v>2081</v>
      </c>
      <c r="G445" s="55">
        <v>11786</v>
      </c>
      <c r="H445" s="53" t="s">
        <v>2472</v>
      </c>
      <c r="I445" s="55">
        <v>308923751</v>
      </c>
      <c r="J445" s="55">
        <v>12758490</v>
      </c>
      <c r="K445" s="55" t="s">
        <v>630</v>
      </c>
      <c r="L445" s="53" t="s">
        <v>2035</v>
      </c>
      <c r="M445" s="55" t="s">
        <v>49</v>
      </c>
      <c r="N445" s="52">
        <v>37950000000</v>
      </c>
      <c r="O445" s="52">
        <v>37950000000</v>
      </c>
      <c r="P445" s="52"/>
      <c r="Q445" s="57">
        <v>45477</v>
      </c>
      <c r="R445" s="57">
        <v>49128</v>
      </c>
      <c r="S445" s="56">
        <v>15.5</v>
      </c>
      <c r="T445" s="54">
        <v>0</v>
      </c>
      <c r="U445" s="52">
        <v>37750000000</v>
      </c>
      <c r="V445" s="52">
        <v>37750000000</v>
      </c>
      <c r="W445" s="52">
        <v>0</v>
      </c>
      <c r="X445" s="57"/>
      <c r="Y445" s="52">
        <v>0</v>
      </c>
      <c r="Z445" s="52">
        <v>0</v>
      </c>
      <c r="AA445" s="52">
        <v>1</v>
      </c>
      <c r="AB445" s="52">
        <v>0</v>
      </c>
      <c r="AC445" s="52">
        <v>272523972.60000002</v>
      </c>
      <c r="AD445" s="52">
        <v>272523972.60000002</v>
      </c>
      <c r="AE445" s="52">
        <v>0</v>
      </c>
      <c r="AF445" s="52">
        <v>0</v>
      </c>
      <c r="AG445" s="52">
        <v>0</v>
      </c>
      <c r="AH445" s="52">
        <v>0</v>
      </c>
      <c r="AI445" s="52">
        <v>0</v>
      </c>
      <c r="AJ445" s="52">
        <v>2</v>
      </c>
      <c r="AK445" s="52"/>
      <c r="AL445" s="52">
        <v>36109792235</v>
      </c>
      <c r="AM445" s="52">
        <v>0</v>
      </c>
      <c r="AN445" s="52">
        <v>50837500000</v>
      </c>
      <c r="AO445" s="52">
        <v>72265952489.199997</v>
      </c>
      <c r="AP445" s="52">
        <v>37950000000</v>
      </c>
      <c r="AQ445" s="58">
        <v>0</v>
      </c>
      <c r="AR445" s="58">
        <v>0</v>
      </c>
      <c r="AS445" s="58">
        <v>9</v>
      </c>
      <c r="AT445" s="58">
        <v>6731207</v>
      </c>
      <c r="AU445" s="58">
        <v>5</v>
      </c>
      <c r="AV445" s="58">
        <v>1071423.8</v>
      </c>
      <c r="AW445" s="58">
        <v>30</v>
      </c>
      <c r="AX445" s="58">
        <v>6957911.2400000002</v>
      </c>
    </row>
    <row r="446" spans="1:50" x14ac:dyDescent="0.25">
      <c r="A446" s="52">
        <f t="shared" si="29"/>
        <v>441</v>
      </c>
      <c r="B446" s="60" t="str">
        <f t="shared" si="30"/>
        <v>0043312770853</v>
      </c>
      <c r="C446" s="55" t="s">
        <v>29</v>
      </c>
      <c r="D446" s="53" t="s">
        <v>2080</v>
      </c>
      <c r="E446" s="55" t="s">
        <v>568</v>
      </c>
      <c r="F446" s="53" t="s">
        <v>2081</v>
      </c>
      <c r="G446" s="55">
        <v>11786</v>
      </c>
      <c r="H446" s="53" t="s">
        <v>2473</v>
      </c>
      <c r="I446" s="55">
        <v>200587657</v>
      </c>
      <c r="J446" s="55">
        <v>12770853</v>
      </c>
      <c r="K446" s="55" t="s">
        <v>631</v>
      </c>
      <c r="L446" s="53" t="s">
        <v>2035</v>
      </c>
      <c r="M446" s="55" t="s">
        <v>49</v>
      </c>
      <c r="N446" s="52">
        <v>50000000000</v>
      </c>
      <c r="O446" s="52">
        <v>50000000000</v>
      </c>
      <c r="P446" s="52">
        <v>11000000000</v>
      </c>
      <c r="Q446" s="57">
        <v>45492</v>
      </c>
      <c r="R446" s="57">
        <v>46585</v>
      </c>
      <c r="S446" s="56">
        <v>14</v>
      </c>
      <c r="T446" s="54">
        <v>0</v>
      </c>
      <c r="U446" s="52">
        <v>35416666669</v>
      </c>
      <c r="V446" s="52">
        <v>35416666669</v>
      </c>
      <c r="W446" s="52">
        <v>0</v>
      </c>
      <c r="X446" s="57"/>
      <c r="Y446" s="52">
        <v>0</v>
      </c>
      <c r="Z446" s="52">
        <v>0</v>
      </c>
      <c r="AA446" s="52">
        <v>1</v>
      </c>
      <c r="AB446" s="52">
        <v>0</v>
      </c>
      <c r="AC446" s="52">
        <v>244520547.96000001</v>
      </c>
      <c r="AD446" s="52">
        <v>244520547.96000001</v>
      </c>
      <c r="AE446" s="52">
        <v>0</v>
      </c>
      <c r="AF446" s="52">
        <v>0</v>
      </c>
      <c r="AG446" s="52">
        <v>0</v>
      </c>
      <c r="AH446" s="52">
        <v>0</v>
      </c>
      <c r="AI446" s="52">
        <v>0</v>
      </c>
      <c r="AJ446" s="52">
        <v>2</v>
      </c>
      <c r="AK446" s="52"/>
      <c r="AL446" s="52">
        <v>0</v>
      </c>
      <c r="AM446" s="52">
        <v>0</v>
      </c>
      <c r="AN446" s="52">
        <v>0</v>
      </c>
      <c r="AO446" s="52">
        <v>314920958620.28003</v>
      </c>
      <c r="AP446" s="52">
        <v>8333333332</v>
      </c>
      <c r="AQ446" s="58">
        <v>0</v>
      </c>
      <c r="AR446" s="58">
        <v>0</v>
      </c>
      <c r="AS446" s="58">
        <v>0</v>
      </c>
      <c r="AT446" s="58">
        <v>0</v>
      </c>
      <c r="AU446" s="58">
        <v>242</v>
      </c>
      <c r="AV446" s="58">
        <v>19514142.000000004</v>
      </c>
      <c r="AW446" s="58">
        <v>62</v>
      </c>
      <c r="AX446" s="58">
        <v>8793177.0500000007</v>
      </c>
    </row>
    <row r="447" spans="1:50" x14ac:dyDescent="0.25">
      <c r="A447" s="52">
        <f t="shared" si="29"/>
        <v>442</v>
      </c>
      <c r="B447" s="60" t="str">
        <f t="shared" si="30"/>
        <v>0043312136678</v>
      </c>
      <c r="C447" s="55" t="s">
        <v>29</v>
      </c>
      <c r="D447" s="53" t="s">
        <v>2080</v>
      </c>
      <c r="E447" s="55" t="s">
        <v>568</v>
      </c>
      <c r="F447" s="53" t="s">
        <v>2081</v>
      </c>
      <c r="G447" s="55">
        <v>11786</v>
      </c>
      <c r="H447" s="53" t="s">
        <v>2474</v>
      </c>
      <c r="I447" s="55">
        <v>305496985</v>
      </c>
      <c r="J447" s="55">
        <v>12136678</v>
      </c>
      <c r="K447" s="55" t="s">
        <v>632</v>
      </c>
      <c r="L447" s="53" t="s">
        <v>2035</v>
      </c>
      <c r="M447" s="55" t="s">
        <v>75</v>
      </c>
      <c r="N447" s="52">
        <v>2200000</v>
      </c>
      <c r="O447" s="52">
        <v>26549072000</v>
      </c>
      <c r="P447" s="52"/>
      <c r="Q447" s="57">
        <v>44069</v>
      </c>
      <c r="R447" s="57">
        <v>48438</v>
      </c>
      <c r="S447" s="56">
        <v>7</v>
      </c>
      <c r="T447" s="54">
        <v>0</v>
      </c>
      <c r="U447" s="52">
        <v>26838020000</v>
      </c>
      <c r="V447" s="52">
        <v>26838020000</v>
      </c>
      <c r="W447" s="52">
        <v>0</v>
      </c>
      <c r="X447" s="57"/>
      <c r="Y447" s="52">
        <v>0</v>
      </c>
      <c r="Z447" s="52">
        <v>0</v>
      </c>
      <c r="AA447" s="52">
        <v>1</v>
      </c>
      <c r="AB447" s="52">
        <v>0</v>
      </c>
      <c r="AC447" s="52">
        <v>2774754219.9099998</v>
      </c>
      <c r="AD447" s="52">
        <v>417480405.99000001</v>
      </c>
      <c r="AE447" s="52">
        <v>1402876249.49</v>
      </c>
      <c r="AF447" s="52">
        <v>736321695.17999995</v>
      </c>
      <c r="AG447" s="52">
        <v>218075869.25</v>
      </c>
      <c r="AH447" s="52">
        <v>0</v>
      </c>
      <c r="AI447" s="52">
        <v>0</v>
      </c>
      <c r="AJ447" s="52">
        <v>2</v>
      </c>
      <c r="AK447" s="52"/>
      <c r="AL447" s="52">
        <v>98744999551</v>
      </c>
      <c r="AM447" s="52">
        <v>97510998594</v>
      </c>
      <c r="AN447" s="52">
        <v>34367386500</v>
      </c>
      <c r="AO447" s="52">
        <v>143731.4</v>
      </c>
      <c r="AP447" s="52">
        <v>0</v>
      </c>
      <c r="AQ447" s="58">
        <v>0</v>
      </c>
      <c r="AR447" s="58">
        <v>0</v>
      </c>
      <c r="AS447" s="58">
        <v>5</v>
      </c>
      <c r="AT447" s="58">
        <v>124500</v>
      </c>
      <c r="AU447" s="58">
        <v>0</v>
      </c>
      <c r="AV447" s="58">
        <v>0</v>
      </c>
      <c r="AW447" s="58">
        <v>3</v>
      </c>
      <c r="AX447" s="58">
        <v>2200000</v>
      </c>
    </row>
    <row r="448" spans="1:50" x14ac:dyDescent="0.25">
      <c r="A448" s="52">
        <f t="shared" si="29"/>
        <v>443</v>
      </c>
      <c r="B448" s="60" t="str">
        <f t="shared" si="30"/>
        <v>0043312773805</v>
      </c>
      <c r="C448" s="55" t="s">
        <v>29</v>
      </c>
      <c r="D448" s="53" t="s">
        <v>2080</v>
      </c>
      <c r="E448" s="55" t="s">
        <v>568</v>
      </c>
      <c r="F448" s="53" t="s">
        <v>2081</v>
      </c>
      <c r="G448" s="55">
        <v>11786</v>
      </c>
      <c r="H448" s="53" t="s">
        <v>2473</v>
      </c>
      <c r="I448" s="55">
        <v>200587657</v>
      </c>
      <c r="J448" s="55">
        <v>12773805</v>
      </c>
      <c r="K448" s="55" t="s">
        <v>633</v>
      </c>
      <c r="L448" s="53" t="s">
        <v>2035</v>
      </c>
      <c r="M448" s="55" t="s">
        <v>49</v>
      </c>
      <c r="N448" s="52">
        <v>15000000000</v>
      </c>
      <c r="O448" s="52">
        <v>15000000000</v>
      </c>
      <c r="P448" s="52">
        <v>8000000000</v>
      </c>
      <c r="Q448" s="57">
        <v>45497</v>
      </c>
      <c r="R448" s="57">
        <v>47321</v>
      </c>
      <c r="S448" s="56">
        <v>17</v>
      </c>
      <c r="T448" s="54">
        <v>0</v>
      </c>
      <c r="U448" s="52">
        <v>14999068000</v>
      </c>
      <c r="V448" s="52">
        <v>14999068000</v>
      </c>
      <c r="W448" s="52">
        <v>0</v>
      </c>
      <c r="X448" s="57"/>
      <c r="Y448" s="52">
        <v>0</v>
      </c>
      <c r="Z448" s="52">
        <v>0</v>
      </c>
      <c r="AA448" s="52">
        <v>1</v>
      </c>
      <c r="AB448" s="52">
        <v>0</v>
      </c>
      <c r="AC448" s="52">
        <v>125745611.18000001</v>
      </c>
      <c r="AD448" s="52">
        <v>125745611.18000001</v>
      </c>
      <c r="AE448" s="52">
        <v>0</v>
      </c>
      <c r="AF448" s="52">
        <v>0</v>
      </c>
      <c r="AG448" s="52">
        <v>0</v>
      </c>
      <c r="AH448" s="52">
        <v>0</v>
      </c>
      <c r="AI448" s="52">
        <v>0</v>
      </c>
      <c r="AJ448" s="52">
        <v>2</v>
      </c>
      <c r="AK448" s="52"/>
      <c r="AL448" s="52">
        <v>0</v>
      </c>
      <c r="AM448" s="52">
        <v>0</v>
      </c>
      <c r="AN448" s="52">
        <v>0</v>
      </c>
      <c r="AO448" s="52">
        <v>314303921200.85999</v>
      </c>
      <c r="AP448" s="52">
        <v>0</v>
      </c>
      <c r="AQ448" s="58">
        <v>0</v>
      </c>
      <c r="AR448" s="58">
        <v>0</v>
      </c>
      <c r="AS448" s="58">
        <v>0</v>
      </c>
      <c r="AT448" s="58">
        <v>0</v>
      </c>
      <c r="AU448" s="58">
        <v>242</v>
      </c>
      <c r="AV448" s="58">
        <v>19514142.000000004</v>
      </c>
      <c r="AW448" s="58">
        <v>62</v>
      </c>
      <c r="AX448" s="58">
        <v>8793177.0500000007</v>
      </c>
    </row>
    <row r="449" spans="1:50" x14ac:dyDescent="0.25">
      <c r="A449" s="52">
        <f t="shared" si="29"/>
        <v>444</v>
      </c>
      <c r="B449" s="60" t="str">
        <f t="shared" si="30"/>
        <v>0043312139597</v>
      </c>
      <c r="C449" s="55" t="s">
        <v>29</v>
      </c>
      <c r="D449" s="53" t="s">
        <v>2080</v>
      </c>
      <c r="E449" s="55" t="s">
        <v>568</v>
      </c>
      <c r="F449" s="53" t="s">
        <v>2081</v>
      </c>
      <c r="G449" s="55">
        <v>11786</v>
      </c>
      <c r="H449" s="53" t="s">
        <v>2472</v>
      </c>
      <c r="I449" s="55">
        <v>308923751</v>
      </c>
      <c r="J449" s="55">
        <v>12139597</v>
      </c>
      <c r="K449" s="55" t="s">
        <v>634</v>
      </c>
      <c r="L449" s="53" t="s">
        <v>2035</v>
      </c>
      <c r="M449" s="55" t="s">
        <v>49</v>
      </c>
      <c r="N449" s="52">
        <v>20000000000</v>
      </c>
      <c r="O449" s="52">
        <v>20000000000</v>
      </c>
      <c r="P449" s="52"/>
      <c r="Q449" s="57">
        <v>44688</v>
      </c>
      <c r="R449" s="57">
        <v>47975</v>
      </c>
      <c r="S449" s="56">
        <v>17</v>
      </c>
      <c r="T449" s="54">
        <v>0</v>
      </c>
      <c r="U449" s="52">
        <v>12549019622</v>
      </c>
      <c r="V449" s="52">
        <v>12549019622</v>
      </c>
      <c r="W449" s="52">
        <v>0</v>
      </c>
      <c r="X449" s="57"/>
      <c r="Y449" s="52">
        <v>0</v>
      </c>
      <c r="Z449" s="52">
        <v>0</v>
      </c>
      <c r="AA449" s="52">
        <v>1</v>
      </c>
      <c r="AB449" s="52">
        <v>0</v>
      </c>
      <c r="AC449" s="52">
        <v>70136986.390000001</v>
      </c>
      <c r="AD449" s="52">
        <v>70136986.390000001</v>
      </c>
      <c r="AE449" s="52">
        <v>0</v>
      </c>
      <c r="AF449" s="52">
        <v>0</v>
      </c>
      <c r="AG449" s="52">
        <v>0</v>
      </c>
      <c r="AH449" s="52">
        <v>0</v>
      </c>
      <c r="AI449" s="52">
        <v>0</v>
      </c>
      <c r="AJ449" s="52">
        <v>2</v>
      </c>
      <c r="AK449" s="52"/>
      <c r="AL449" s="52">
        <v>36109792235</v>
      </c>
      <c r="AM449" s="52">
        <v>36123490865</v>
      </c>
      <c r="AN449" s="52">
        <v>25000000000</v>
      </c>
      <c r="AO449" s="52">
        <v>104578981609.99001</v>
      </c>
      <c r="AP449" s="52">
        <v>6862745085</v>
      </c>
      <c r="AQ449" s="58">
        <v>0</v>
      </c>
      <c r="AR449" s="58">
        <v>0</v>
      </c>
      <c r="AS449" s="58">
        <v>9</v>
      </c>
      <c r="AT449" s="58">
        <v>6731207</v>
      </c>
      <c r="AU449" s="58">
        <v>5</v>
      </c>
      <c r="AV449" s="58">
        <v>1071423.8</v>
      </c>
      <c r="AW449" s="58">
        <v>30</v>
      </c>
      <c r="AX449" s="58">
        <v>6957911.2400000002</v>
      </c>
    </row>
    <row r="450" spans="1:50" x14ac:dyDescent="0.25">
      <c r="A450" s="52">
        <f t="shared" si="29"/>
        <v>445</v>
      </c>
      <c r="B450" s="60" t="str">
        <f t="shared" si="30"/>
        <v>0043313013025</v>
      </c>
      <c r="C450" s="55" t="s">
        <v>29</v>
      </c>
      <c r="D450" s="53" t="s">
        <v>2080</v>
      </c>
      <c r="E450" s="55" t="s">
        <v>568</v>
      </c>
      <c r="F450" s="53" t="s">
        <v>2081</v>
      </c>
      <c r="G450" s="55">
        <v>11786</v>
      </c>
      <c r="H450" s="53" t="s">
        <v>635</v>
      </c>
      <c r="I450" s="55">
        <v>304372294</v>
      </c>
      <c r="J450" s="55">
        <v>13013025</v>
      </c>
      <c r="K450" s="55" t="s">
        <v>636</v>
      </c>
      <c r="L450" s="53" t="s">
        <v>2035</v>
      </c>
      <c r="M450" s="55" t="s">
        <v>75</v>
      </c>
      <c r="N450" s="52">
        <v>1000000</v>
      </c>
      <c r="O450" s="52">
        <v>12067760000</v>
      </c>
      <c r="P450" s="52"/>
      <c r="Q450" s="57">
        <v>45782</v>
      </c>
      <c r="R450" s="57">
        <v>46511</v>
      </c>
      <c r="S450" s="56">
        <v>14.5</v>
      </c>
      <c r="T450" s="54">
        <v>0</v>
      </c>
      <c r="U450" s="52">
        <v>12199100000</v>
      </c>
      <c r="V450" s="52">
        <v>12199100000</v>
      </c>
      <c r="W450" s="52">
        <v>0</v>
      </c>
      <c r="X450" s="57"/>
      <c r="Y450" s="52">
        <v>0</v>
      </c>
      <c r="Z450" s="52">
        <v>0</v>
      </c>
      <c r="AA450" s="52">
        <v>1</v>
      </c>
      <c r="AB450" s="52">
        <v>0</v>
      </c>
      <c r="AC450" s="52">
        <v>126001576.12</v>
      </c>
      <c r="AD450" s="52">
        <v>126001576.12</v>
      </c>
      <c r="AE450" s="52">
        <v>0</v>
      </c>
      <c r="AF450" s="52">
        <v>0</v>
      </c>
      <c r="AG450" s="52">
        <v>0</v>
      </c>
      <c r="AH450" s="52">
        <v>0</v>
      </c>
      <c r="AI450" s="52">
        <v>0</v>
      </c>
      <c r="AJ450" s="52">
        <v>2</v>
      </c>
      <c r="AK450" s="52"/>
      <c r="AL450" s="52">
        <v>0</v>
      </c>
      <c r="AM450" s="52">
        <v>0</v>
      </c>
      <c r="AN450" s="52">
        <v>30133160000</v>
      </c>
      <c r="AO450" s="52">
        <v>1284664.33</v>
      </c>
      <c r="AP450" s="52">
        <v>0</v>
      </c>
      <c r="AQ450" s="58">
        <v>355</v>
      </c>
      <c r="AR450" s="58">
        <v>7833490.8700000029</v>
      </c>
      <c r="AS450" s="58">
        <v>78</v>
      </c>
      <c r="AT450" s="58">
        <v>1985680.9200000009</v>
      </c>
      <c r="AU450" s="58">
        <v>260</v>
      </c>
      <c r="AV450" s="58">
        <v>29806671.550000001</v>
      </c>
      <c r="AW450" s="58">
        <v>40</v>
      </c>
      <c r="AX450" s="58">
        <v>22670054.02</v>
      </c>
    </row>
    <row r="451" spans="1:50" x14ac:dyDescent="0.25">
      <c r="A451" s="52">
        <f t="shared" si="29"/>
        <v>446</v>
      </c>
      <c r="B451" s="60" t="str">
        <f t="shared" si="30"/>
        <v>0043312767501</v>
      </c>
      <c r="C451" s="55" t="s">
        <v>29</v>
      </c>
      <c r="D451" s="53" t="s">
        <v>2080</v>
      </c>
      <c r="E451" s="55" t="s">
        <v>568</v>
      </c>
      <c r="F451" s="53" t="s">
        <v>2081</v>
      </c>
      <c r="G451" s="55">
        <v>11786</v>
      </c>
      <c r="H451" s="53" t="s">
        <v>2473</v>
      </c>
      <c r="I451" s="55">
        <v>200587657</v>
      </c>
      <c r="J451" s="55">
        <v>12767501</v>
      </c>
      <c r="K451" s="55" t="s">
        <v>637</v>
      </c>
      <c r="L451" s="53" t="s">
        <v>2035</v>
      </c>
      <c r="M451" s="55" t="s">
        <v>49</v>
      </c>
      <c r="N451" s="52">
        <v>10000000000</v>
      </c>
      <c r="O451" s="52">
        <v>10000000000</v>
      </c>
      <c r="P451" s="52">
        <f>+O451</f>
        <v>10000000000</v>
      </c>
      <c r="Q451" s="57">
        <v>45489</v>
      </c>
      <c r="R451" s="57">
        <v>47832</v>
      </c>
      <c r="S451" s="56">
        <v>14</v>
      </c>
      <c r="T451" s="54">
        <v>0</v>
      </c>
      <c r="U451" s="52">
        <v>8055555554</v>
      </c>
      <c r="V451" s="52">
        <v>8055555554</v>
      </c>
      <c r="W451" s="52">
        <v>0</v>
      </c>
      <c r="X451" s="57"/>
      <c r="Y451" s="52">
        <v>0</v>
      </c>
      <c r="Z451" s="52">
        <v>0</v>
      </c>
      <c r="AA451" s="52">
        <v>1</v>
      </c>
      <c r="AB451" s="52">
        <v>0</v>
      </c>
      <c r="AC451" s="52">
        <v>55616438.340000004</v>
      </c>
      <c r="AD451" s="52">
        <v>55616438.340000004</v>
      </c>
      <c r="AE451" s="52">
        <v>0</v>
      </c>
      <c r="AF451" s="52">
        <v>0</v>
      </c>
      <c r="AG451" s="52">
        <v>0</v>
      </c>
      <c r="AH451" s="52">
        <v>0</v>
      </c>
      <c r="AI451" s="52">
        <v>0</v>
      </c>
      <c r="AJ451" s="52">
        <v>2</v>
      </c>
      <c r="AK451" s="52"/>
      <c r="AL451" s="52">
        <v>0</v>
      </c>
      <c r="AM451" s="52">
        <v>0</v>
      </c>
      <c r="AN451" s="52">
        <v>93750000000</v>
      </c>
      <c r="AO451" s="52">
        <v>317569830280.28003</v>
      </c>
      <c r="AP451" s="52">
        <v>1388888890</v>
      </c>
      <c r="AQ451" s="58">
        <v>0</v>
      </c>
      <c r="AR451" s="58">
        <v>0</v>
      </c>
      <c r="AS451" s="58">
        <v>0</v>
      </c>
      <c r="AT451" s="58">
        <v>0</v>
      </c>
      <c r="AU451" s="58">
        <v>242</v>
      </c>
      <c r="AV451" s="58">
        <v>19514142.000000004</v>
      </c>
      <c r="AW451" s="58">
        <v>62</v>
      </c>
      <c r="AX451" s="58">
        <v>8793177.0500000007</v>
      </c>
    </row>
    <row r="452" spans="1:50" x14ac:dyDescent="0.25">
      <c r="A452" s="52">
        <f t="shared" si="29"/>
        <v>447</v>
      </c>
      <c r="B452" s="60" t="str">
        <f t="shared" si="30"/>
        <v>0043312138674</v>
      </c>
      <c r="C452" s="55" t="s">
        <v>29</v>
      </c>
      <c r="D452" s="53" t="s">
        <v>2080</v>
      </c>
      <c r="E452" s="55" t="s">
        <v>568</v>
      </c>
      <c r="F452" s="53" t="s">
        <v>2081</v>
      </c>
      <c r="G452" s="55">
        <v>11786</v>
      </c>
      <c r="H452" s="53" t="s">
        <v>638</v>
      </c>
      <c r="I452" s="55">
        <v>305283088</v>
      </c>
      <c r="J452" s="55">
        <v>12138674</v>
      </c>
      <c r="K452" s="55" t="s">
        <v>639</v>
      </c>
      <c r="L452" s="53" t="s">
        <v>2045</v>
      </c>
      <c r="M452" s="55" t="s">
        <v>75</v>
      </c>
      <c r="N452" s="52">
        <v>852640</v>
      </c>
      <c r="O452" s="52">
        <v>10289454886.4</v>
      </c>
      <c r="P452" s="52"/>
      <c r="Q452" s="57">
        <v>44511</v>
      </c>
      <c r="R452" s="57">
        <v>46327</v>
      </c>
      <c r="S452" s="56">
        <v>9</v>
      </c>
      <c r="T452" s="54">
        <v>0</v>
      </c>
      <c r="U452" s="52">
        <v>6920477821.2799997</v>
      </c>
      <c r="V452" s="52">
        <v>2149969384</v>
      </c>
      <c r="W452" s="52">
        <v>4770508437.2799997</v>
      </c>
      <c r="X452" s="57">
        <v>45387</v>
      </c>
      <c r="Y452" s="52">
        <v>0</v>
      </c>
      <c r="Z452" s="52">
        <v>0</v>
      </c>
      <c r="AA452" s="52">
        <v>3</v>
      </c>
      <c r="AB452" s="52">
        <v>0</v>
      </c>
      <c r="AC452" s="52">
        <v>1443978921.1099999</v>
      </c>
      <c r="AD452" s="52">
        <v>14926452.789999999</v>
      </c>
      <c r="AE452" s="52">
        <v>200041207.77000001</v>
      </c>
      <c r="AF452" s="52">
        <v>0</v>
      </c>
      <c r="AG452" s="52">
        <v>1229011260.55</v>
      </c>
      <c r="AH452" s="52">
        <v>0</v>
      </c>
      <c r="AI452" s="52">
        <v>0</v>
      </c>
      <c r="AJ452" s="52">
        <v>2</v>
      </c>
      <c r="AK452" s="52"/>
      <c r="AL452" s="52">
        <v>507794485219</v>
      </c>
      <c r="AM452" s="52">
        <v>507794485219</v>
      </c>
      <c r="AN452" s="52">
        <v>16570853316</v>
      </c>
      <c r="AO452" s="52">
        <v>175700</v>
      </c>
      <c r="AP452" s="52">
        <v>24265387</v>
      </c>
      <c r="AQ452" s="58">
        <v>22</v>
      </c>
      <c r="AR452" s="58">
        <v>2135957</v>
      </c>
      <c r="AS452" s="58">
        <v>5</v>
      </c>
      <c r="AT452" s="58">
        <v>1004137.5</v>
      </c>
      <c r="AU452" s="58">
        <v>19</v>
      </c>
      <c r="AV452" s="58">
        <v>451688.84</v>
      </c>
      <c r="AW452" s="58">
        <v>24</v>
      </c>
      <c r="AX452" s="58">
        <v>1351764.3900000001</v>
      </c>
    </row>
    <row r="453" spans="1:50" x14ac:dyDescent="0.25">
      <c r="A453" s="52">
        <f t="shared" si="29"/>
        <v>448</v>
      </c>
      <c r="B453" s="60" t="str">
        <f t="shared" si="30"/>
        <v>0043312894363</v>
      </c>
      <c r="C453" s="55" t="s">
        <v>29</v>
      </c>
      <c r="D453" s="53" t="s">
        <v>2080</v>
      </c>
      <c r="E453" s="55" t="s">
        <v>568</v>
      </c>
      <c r="F453" s="53" t="s">
        <v>2081</v>
      </c>
      <c r="G453" s="55">
        <v>11786</v>
      </c>
      <c r="H453" s="53" t="s">
        <v>640</v>
      </c>
      <c r="I453" s="55">
        <v>204476619</v>
      </c>
      <c r="J453" s="55">
        <v>12894363</v>
      </c>
      <c r="K453" s="55" t="s">
        <v>641</v>
      </c>
      <c r="L453" s="53" t="s">
        <v>2035</v>
      </c>
      <c r="M453" s="55" t="s">
        <v>49</v>
      </c>
      <c r="N453" s="52">
        <v>11000000000</v>
      </c>
      <c r="O453" s="52">
        <v>11000000000</v>
      </c>
      <c r="P453" s="52">
        <v>4000000000</v>
      </c>
      <c r="Q453" s="57">
        <v>45643</v>
      </c>
      <c r="R453" s="57">
        <v>46367</v>
      </c>
      <c r="S453" s="56">
        <v>24</v>
      </c>
      <c r="T453" s="54">
        <v>0</v>
      </c>
      <c r="U453" s="52">
        <v>6722222223</v>
      </c>
      <c r="V453" s="52">
        <v>6722222223</v>
      </c>
      <c r="W453" s="52">
        <v>0</v>
      </c>
      <c r="X453" s="57"/>
      <c r="Y453" s="52">
        <v>0</v>
      </c>
      <c r="Z453" s="52">
        <v>0</v>
      </c>
      <c r="AA453" s="52">
        <v>1</v>
      </c>
      <c r="AB453" s="52">
        <v>0</v>
      </c>
      <c r="AC453" s="52">
        <v>125369863.03</v>
      </c>
      <c r="AD453" s="52">
        <v>125369863.03</v>
      </c>
      <c r="AE453" s="52">
        <v>0</v>
      </c>
      <c r="AF453" s="52">
        <v>0</v>
      </c>
      <c r="AG453" s="52">
        <v>0</v>
      </c>
      <c r="AH453" s="52">
        <v>0</v>
      </c>
      <c r="AI453" s="52">
        <v>0</v>
      </c>
      <c r="AJ453" s="52">
        <v>2</v>
      </c>
      <c r="AK453" s="52"/>
      <c r="AL453" s="52">
        <v>80539421603</v>
      </c>
      <c r="AM453" s="52">
        <v>80539421603</v>
      </c>
      <c r="AN453" s="52">
        <v>14181000000</v>
      </c>
      <c r="AO453" s="52">
        <v>93019947729.009995</v>
      </c>
      <c r="AP453" s="52">
        <v>1833333333</v>
      </c>
      <c r="AQ453" s="58">
        <v>0</v>
      </c>
      <c r="AR453" s="58">
        <v>0</v>
      </c>
      <c r="AS453" s="58">
        <v>0</v>
      </c>
      <c r="AT453" s="58">
        <v>0</v>
      </c>
      <c r="AU453" s="58">
        <v>0</v>
      </c>
      <c r="AV453" s="58">
        <v>0</v>
      </c>
      <c r="AW453" s="58">
        <v>0</v>
      </c>
      <c r="AX453" s="58">
        <v>0</v>
      </c>
    </row>
    <row r="454" spans="1:50" x14ac:dyDescent="0.25">
      <c r="A454" s="52">
        <f t="shared" si="29"/>
        <v>449</v>
      </c>
      <c r="B454" s="60" t="str">
        <f t="shared" si="30"/>
        <v>0043312140122</v>
      </c>
      <c r="C454" s="55" t="s">
        <v>29</v>
      </c>
      <c r="D454" s="53" t="s">
        <v>2080</v>
      </c>
      <c r="E454" s="55" t="s">
        <v>568</v>
      </c>
      <c r="F454" s="53" t="s">
        <v>2081</v>
      </c>
      <c r="G454" s="55">
        <v>11786</v>
      </c>
      <c r="H454" s="53" t="s">
        <v>2475</v>
      </c>
      <c r="I454" s="55">
        <v>308483114</v>
      </c>
      <c r="J454" s="55">
        <v>12140122</v>
      </c>
      <c r="K454" s="55" t="s">
        <v>642</v>
      </c>
      <c r="L454" s="53" t="s">
        <v>2035</v>
      </c>
      <c r="M454" s="55" t="s">
        <v>49</v>
      </c>
      <c r="N454" s="52">
        <v>10800000000</v>
      </c>
      <c r="O454" s="52">
        <v>10800000000</v>
      </c>
      <c r="P454" s="52"/>
      <c r="Q454" s="57">
        <v>44750</v>
      </c>
      <c r="R454" s="57">
        <v>46574</v>
      </c>
      <c r="S454" s="56">
        <v>21</v>
      </c>
      <c r="T454" s="54">
        <v>0</v>
      </c>
      <c r="U454" s="52">
        <v>6506250000</v>
      </c>
      <c r="V454" s="52">
        <v>6506250000</v>
      </c>
      <c r="W454" s="52">
        <v>0</v>
      </c>
      <c r="X454" s="57"/>
      <c r="Y454" s="52">
        <v>0</v>
      </c>
      <c r="Z454" s="52">
        <v>0</v>
      </c>
      <c r="AA454" s="52">
        <v>1</v>
      </c>
      <c r="AB454" s="52">
        <v>0</v>
      </c>
      <c r="AC454" s="52">
        <v>446210321.47000003</v>
      </c>
      <c r="AD454" s="52">
        <v>446210321.47000003</v>
      </c>
      <c r="AE454" s="52">
        <v>0</v>
      </c>
      <c r="AF454" s="52">
        <v>0</v>
      </c>
      <c r="AG454" s="52">
        <v>0</v>
      </c>
      <c r="AH454" s="52">
        <v>0</v>
      </c>
      <c r="AI454" s="52">
        <v>0</v>
      </c>
      <c r="AJ454" s="52">
        <v>2</v>
      </c>
      <c r="AK454" s="52"/>
      <c r="AL454" s="52">
        <v>918227272522</v>
      </c>
      <c r="AM454" s="52">
        <v>371234114338</v>
      </c>
      <c r="AN454" s="52">
        <v>13500000000</v>
      </c>
      <c r="AO454" s="52">
        <v>92767511847.839996</v>
      </c>
      <c r="AP454" s="52">
        <v>2125000000</v>
      </c>
      <c r="AQ454" s="58">
        <v>0</v>
      </c>
      <c r="AR454" s="58">
        <v>0</v>
      </c>
      <c r="AS454" s="58">
        <v>0</v>
      </c>
      <c r="AT454" s="58">
        <v>0</v>
      </c>
      <c r="AU454" s="58">
        <v>3</v>
      </c>
      <c r="AV454" s="58">
        <v>1996.4499999999998</v>
      </c>
      <c r="AW454" s="58">
        <v>6</v>
      </c>
      <c r="AX454" s="58">
        <v>440105</v>
      </c>
    </row>
    <row r="455" spans="1:50" x14ac:dyDescent="0.25">
      <c r="A455" s="52">
        <f t="shared" si="29"/>
        <v>450</v>
      </c>
      <c r="B455" s="60" t="str">
        <f t="shared" si="30"/>
        <v>0043312144281</v>
      </c>
      <c r="C455" s="55" t="s">
        <v>29</v>
      </c>
      <c r="D455" s="53" t="s">
        <v>2080</v>
      </c>
      <c r="E455" s="55" t="s">
        <v>568</v>
      </c>
      <c r="F455" s="53" t="s">
        <v>2081</v>
      </c>
      <c r="G455" s="55">
        <v>11786</v>
      </c>
      <c r="H455" s="53" t="s">
        <v>643</v>
      </c>
      <c r="I455" s="55">
        <v>304561264</v>
      </c>
      <c r="J455" s="55">
        <v>12144281</v>
      </c>
      <c r="K455" s="55" t="s">
        <v>644</v>
      </c>
      <c r="L455" s="53" t="s">
        <v>2035</v>
      </c>
      <c r="M455" s="55" t="s">
        <v>75</v>
      </c>
      <c r="N455" s="52">
        <v>1147750</v>
      </c>
      <c r="O455" s="52">
        <v>13850771540</v>
      </c>
      <c r="P455" s="52"/>
      <c r="Q455" s="57">
        <v>44834</v>
      </c>
      <c r="R455" s="57">
        <v>47369</v>
      </c>
      <c r="S455" s="56">
        <v>10</v>
      </c>
      <c r="T455" s="54">
        <v>0</v>
      </c>
      <c r="U455" s="52">
        <v>6493885907.5</v>
      </c>
      <c r="V455" s="52">
        <v>6493885907.5</v>
      </c>
      <c r="W455" s="52">
        <v>0</v>
      </c>
      <c r="X455" s="57"/>
      <c r="Y455" s="52">
        <v>0</v>
      </c>
      <c r="Z455" s="52">
        <v>0</v>
      </c>
      <c r="AA455" s="52">
        <v>1</v>
      </c>
      <c r="AB455" s="52">
        <v>0</v>
      </c>
      <c r="AC455" s="52">
        <v>259659673.37</v>
      </c>
      <c r="AD455" s="52">
        <v>259659673.37</v>
      </c>
      <c r="AE455" s="52">
        <v>0</v>
      </c>
      <c r="AF455" s="52">
        <v>0</v>
      </c>
      <c r="AG455" s="52">
        <v>0</v>
      </c>
      <c r="AH455" s="52">
        <v>0</v>
      </c>
      <c r="AI455" s="52">
        <v>0</v>
      </c>
      <c r="AJ455" s="52">
        <v>2</v>
      </c>
      <c r="AK455" s="52"/>
      <c r="AL455" s="52">
        <v>31774625032</v>
      </c>
      <c r="AM455" s="52">
        <v>31774625032</v>
      </c>
      <c r="AN455" s="52">
        <v>12378711000</v>
      </c>
      <c r="AO455" s="52">
        <v>45718.89</v>
      </c>
      <c r="AP455" s="52">
        <v>0</v>
      </c>
      <c r="AQ455" s="58">
        <v>0</v>
      </c>
      <c r="AR455" s="58">
        <v>0</v>
      </c>
      <c r="AS455" s="58">
        <v>0</v>
      </c>
      <c r="AT455" s="58">
        <v>0</v>
      </c>
      <c r="AU455" s="58">
        <v>0</v>
      </c>
      <c r="AV455" s="58">
        <v>0</v>
      </c>
      <c r="AW455" s="58">
        <v>5</v>
      </c>
      <c r="AX455" s="58">
        <v>613085</v>
      </c>
    </row>
    <row r="456" spans="1:50" x14ac:dyDescent="0.25">
      <c r="A456" s="52">
        <f t="shared" ref="A456:A519" si="31">+A455+1</f>
        <v>451</v>
      </c>
      <c r="B456" s="60" t="str">
        <f t="shared" si="30"/>
        <v>0043312136534</v>
      </c>
      <c r="C456" s="55" t="s">
        <v>29</v>
      </c>
      <c r="D456" s="53" t="s">
        <v>2080</v>
      </c>
      <c r="E456" s="55" t="s">
        <v>568</v>
      </c>
      <c r="F456" s="53" t="s">
        <v>2081</v>
      </c>
      <c r="G456" s="55">
        <v>11786</v>
      </c>
      <c r="H456" s="53" t="s">
        <v>2476</v>
      </c>
      <c r="I456" s="55">
        <v>302481073</v>
      </c>
      <c r="J456" s="55">
        <v>12136534</v>
      </c>
      <c r="K456" s="55" t="s">
        <v>645</v>
      </c>
      <c r="L456" s="53" t="s">
        <v>2035</v>
      </c>
      <c r="M456" s="55" t="s">
        <v>49</v>
      </c>
      <c r="N456" s="52">
        <v>20000000000</v>
      </c>
      <c r="O456" s="52">
        <v>20000000000</v>
      </c>
      <c r="P456" s="52">
        <v>14650000000</v>
      </c>
      <c r="Q456" s="57">
        <v>44029</v>
      </c>
      <c r="R456" s="57">
        <v>46559</v>
      </c>
      <c r="S456" s="56">
        <v>19</v>
      </c>
      <c r="T456" s="54">
        <v>0</v>
      </c>
      <c r="U456" s="52">
        <v>5273400000</v>
      </c>
      <c r="V456" s="52">
        <v>0</v>
      </c>
      <c r="W456" s="52">
        <v>0</v>
      </c>
      <c r="X456" s="57"/>
      <c r="Y456" s="52">
        <v>0</v>
      </c>
      <c r="Z456" s="52">
        <v>5273400000</v>
      </c>
      <c r="AA456" s="52">
        <v>3</v>
      </c>
      <c r="AB456" s="52">
        <v>0</v>
      </c>
      <c r="AC456" s="52">
        <v>3462067710.73</v>
      </c>
      <c r="AD456" s="52">
        <v>29146520.550000001</v>
      </c>
      <c r="AE456" s="52">
        <v>0</v>
      </c>
      <c r="AF456" s="52">
        <v>0</v>
      </c>
      <c r="AG456" s="52">
        <v>3432921190.1799998</v>
      </c>
      <c r="AH456" s="52">
        <v>0</v>
      </c>
      <c r="AI456" s="52">
        <v>0</v>
      </c>
      <c r="AJ456" s="52">
        <v>2</v>
      </c>
      <c r="AK456" s="52"/>
      <c r="AL456" s="52">
        <v>343292119018</v>
      </c>
      <c r="AM456" s="52">
        <v>343292119018</v>
      </c>
      <c r="AN456" s="52">
        <v>28325000000</v>
      </c>
      <c r="AO456" s="52">
        <v>6297302977</v>
      </c>
      <c r="AP456" s="52">
        <v>8801600000</v>
      </c>
      <c r="AQ456" s="58">
        <v>0</v>
      </c>
      <c r="AR456" s="58">
        <v>0</v>
      </c>
      <c r="AS456" s="58">
        <v>0</v>
      </c>
      <c r="AT456" s="58">
        <v>0</v>
      </c>
      <c r="AU456" s="58">
        <v>0</v>
      </c>
      <c r="AV456" s="58">
        <v>0</v>
      </c>
      <c r="AW456" s="58">
        <v>5</v>
      </c>
      <c r="AX456" s="58">
        <v>1937686.26</v>
      </c>
    </row>
    <row r="457" spans="1:50" x14ac:dyDescent="0.25">
      <c r="A457" s="52">
        <f t="shared" si="31"/>
        <v>452</v>
      </c>
      <c r="B457" s="60" t="str">
        <f t="shared" si="30"/>
        <v>0043312138267</v>
      </c>
      <c r="C457" s="55" t="s">
        <v>29</v>
      </c>
      <c r="D457" s="53" t="s">
        <v>2080</v>
      </c>
      <c r="E457" s="55" t="s">
        <v>568</v>
      </c>
      <c r="F457" s="53" t="s">
        <v>2081</v>
      </c>
      <c r="G457" s="55">
        <v>11786</v>
      </c>
      <c r="H457" s="53" t="s">
        <v>2477</v>
      </c>
      <c r="I457" s="55">
        <v>301049744</v>
      </c>
      <c r="J457" s="55">
        <v>12138267</v>
      </c>
      <c r="K457" s="55" t="s">
        <v>646</v>
      </c>
      <c r="L457" s="53" t="s">
        <v>2035</v>
      </c>
      <c r="M457" s="55" t="s">
        <v>75</v>
      </c>
      <c r="N457" s="52">
        <v>930000</v>
      </c>
      <c r="O457" s="52">
        <v>11223016800</v>
      </c>
      <c r="P457" s="52">
        <v>4600000000</v>
      </c>
      <c r="Q457" s="57">
        <v>44412</v>
      </c>
      <c r="R457" s="57">
        <v>46573</v>
      </c>
      <c r="S457" s="56">
        <v>12</v>
      </c>
      <c r="T457" s="54">
        <v>0</v>
      </c>
      <c r="U457" s="52">
        <v>5030310596.1400003</v>
      </c>
      <c r="V457" s="52">
        <v>0</v>
      </c>
      <c r="W457" s="52">
        <v>0</v>
      </c>
      <c r="X457" s="57"/>
      <c r="Y457" s="52">
        <v>5030310596.1400003</v>
      </c>
      <c r="Z457" s="52">
        <v>0</v>
      </c>
      <c r="AA457" s="52">
        <v>1</v>
      </c>
      <c r="AB457" s="52">
        <v>0</v>
      </c>
      <c r="AC457" s="52">
        <v>101102969.03</v>
      </c>
      <c r="AD457" s="52">
        <v>46949578.25</v>
      </c>
      <c r="AE457" s="52">
        <v>0</v>
      </c>
      <c r="AF457" s="52">
        <v>0</v>
      </c>
      <c r="AG457" s="52">
        <v>54153390.780000001</v>
      </c>
      <c r="AH457" s="52">
        <v>0</v>
      </c>
      <c r="AI457" s="52">
        <v>0</v>
      </c>
      <c r="AJ457" s="52">
        <v>2</v>
      </c>
      <c r="AK457" s="52"/>
      <c r="AL457" s="52">
        <v>119490435209</v>
      </c>
      <c r="AM457" s="52">
        <v>118662435046</v>
      </c>
      <c r="AN457" s="52">
        <v>19161046175</v>
      </c>
      <c r="AO457" s="52">
        <v>70900</v>
      </c>
      <c r="AP457" s="52">
        <v>51410337</v>
      </c>
      <c r="AQ457" s="58">
        <v>0</v>
      </c>
      <c r="AR457" s="58">
        <v>0</v>
      </c>
      <c r="AS457" s="58">
        <v>0</v>
      </c>
      <c r="AT457" s="58">
        <v>0</v>
      </c>
      <c r="AU457" s="58">
        <v>0</v>
      </c>
      <c r="AV457" s="58">
        <v>0</v>
      </c>
      <c r="AW457" s="58">
        <v>2</v>
      </c>
      <c r="AX457" s="58">
        <v>930000</v>
      </c>
    </row>
    <row r="458" spans="1:50" x14ac:dyDescent="0.25">
      <c r="A458" s="52">
        <f t="shared" si="31"/>
        <v>453</v>
      </c>
      <c r="B458" s="60" t="str">
        <f t="shared" si="30"/>
        <v>0043312972009</v>
      </c>
      <c r="C458" s="55" t="s">
        <v>29</v>
      </c>
      <c r="D458" s="53" t="s">
        <v>2080</v>
      </c>
      <c r="E458" s="55" t="s">
        <v>568</v>
      </c>
      <c r="F458" s="53" t="s">
        <v>2081</v>
      </c>
      <c r="G458" s="55">
        <v>11786</v>
      </c>
      <c r="H458" s="53" t="s">
        <v>640</v>
      </c>
      <c r="I458" s="55">
        <v>204476619</v>
      </c>
      <c r="J458" s="55">
        <v>12972009</v>
      </c>
      <c r="K458" s="55" t="s">
        <v>647</v>
      </c>
      <c r="L458" s="53" t="s">
        <v>2035</v>
      </c>
      <c r="M458" s="55" t="s">
        <v>49</v>
      </c>
      <c r="N458" s="52">
        <v>8000000000</v>
      </c>
      <c r="O458" s="52">
        <v>8000000000</v>
      </c>
      <c r="P458" s="52">
        <v>1500000000</v>
      </c>
      <c r="Q458" s="57">
        <v>45743</v>
      </c>
      <c r="R458" s="57">
        <v>46382</v>
      </c>
      <c r="S458" s="56">
        <v>24</v>
      </c>
      <c r="T458" s="54">
        <v>0</v>
      </c>
      <c r="U458" s="52">
        <v>4888888892</v>
      </c>
      <c r="V458" s="52">
        <v>4888888892</v>
      </c>
      <c r="W458" s="52">
        <v>0</v>
      </c>
      <c r="X458" s="57"/>
      <c r="Y458" s="52">
        <v>0</v>
      </c>
      <c r="Z458" s="52">
        <v>0</v>
      </c>
      <c r="AA458" s="52">
        <v>1</v>
      </c>
      <c r="AB458" s="52">
        <v>0</v>
      </c>
      <c r="AC458" s="52">
        <v>86794520.590000004</v>
      </c>
      <c r="AD458" s="52">
        <v>86794520.590000004</v>
      </c>
      <c r="AE458" s="52">
        <v>0</v>
      </c>
      <c r="AF458" s="52">
        <v>0</v>
      </c>
      <c r="AG458" s="52">
        <v>0</v>
      </c>
      <c r="AH458" s="52">
        <v>0</v>
      </c>
      <c r="AI458" s="52">
        <v>0</v>
      </c>
      <c r="AJ458" s="52">
        <v>2</v>
      </c>
      <c r="AK458" s="52"/>
      <c r="AL458" s="52">
        <v>58691019744</v>
      </c>
      <c r="AM458" s="52">
        <v>58691019744</v>
      </c>
      <c r="AN458" s="52">
        <v>9570000000</v>
      </c>
      <c r="AO458" s="52">
        <v>43063416976.879997</v>
      </c>
      <c r="AP458" s="52">
        <v>1333333332</v>
      </c>
      <c r="AQ458" s="58">
        <v>0</v>
      </c>
      <c r="AR458" s="58">
        <v>0</v>
      </c>
      <c r="AS458" s="58">
        <v>0</v>
      </c>
      <c r="AT458" s="58">
        <v>0</v>
      </c>
      <c r="AU458" s="58">
        <v>0</v>
      </c>
      <c r="AV458" s="58">
        <v>0</v>
      </c>
      <c r="AW458" s="58">
        <v>0</v>
      </c>
      <c r="AX458" s="58">
        <v>0</v>
      </c>
    </row>
    <row r="459" spans="1:50" x14ac:dyDescent="0.25">
      <c r="A459" s="52">
        <f t="shared" si="31"/>
        <v>454</v>
      </c>
      <c r="B459" s="60" t="str">
        <f t="shared" si="30"/>
        <v>0043312136523</v>
      </c>
      <c r="C459" s="55" t="s">
        <v>29</v>
      </c>
      <c r="D459" s="53" t="s">
        <v>2080</v>
      </c>
      <c r="E459" s="55" t="s">
        <v>568</v>
      </c>
      <c r="F459" s="53" t="s">
        <v>2081</v>
      </c>
      <c r="G459" s="55">
        <v>11786</v>
      </c>
      <c r="H459" s="53" t="s">
        <v>2478</v>
      </c>
      <c r="I459" s="55">
        <v>305887159</v>
      </c>
      <c r="J459" s="55">
        <v>12136523</v>
      </c>
      <c r="K459" s="55" t="s">
        <v>648</v>
      </c>
      <c r="L459" s="53" t="s">
        <v>2035</v>
      </c>
      <c r="M459" s="55" t="s">
        <v>49</v>
      </c>
      <c r="N459" s="52">
        <v>4600000000</v>
      </c>
      <c r="O459" s="52">
        <v>4600000000</v>
      </c>
      <c r="P459" s="52"/>
      <c r="Q459" s="57">
        <v>44021</v>
      </c>
      <c r="R459" s="57">
        <v>46935</v>
      </c>
      <c r="S459" s="56">
        <v>20</v>
      </c>
      <c r="T459" s="54">
        <v>0</v>
      </c>
      <c r="U459" s="52">
        <v>4116778082.1900001</v>
      </c>
      <c r="V459" s="52">
        <v>0</v>
      </c>
      <c r="W459" s="52">
        <v>0</v>
      </c>
      <c r="X459" s="57"/>
      <c r="Y459" s="52">
        <v>0</v>
      </c>
      <c r="Z459" s="52">
        <v>4116778082.1900001</v>
      </c>
      <c r="AA459" s="52">
        <v>3</v>
      </c>
      <c r="AB459" s="52">
        <v>0</v>
      </c>
      <c r="AC459" s="52">
        <v>2121019945.76</v>
      </c>
      <c r="AD459" s="52">
        <v>0</v>
      </c>
      <c r="AE459" s="52">
        <v>0</v>
      </c>
      <c r="AF459" s="52">
        <v>0</v>
      </c>
      <c r="AG459" s="52">
        <v>2121019945.76</v>
      </c>
      <c r="AH459" s="52">
        <v>0</v>
      </c>
      <c r="AI459" s="52">
        <v>0</v>
      </c>
      <c r="AJ459" s="52">
        <v>2</v>
      </c>
      <c r="AK459" s="52"/>
      <c r="AL459" s="52">
        <v>152725204778</v>
      </c>
      <c r="AM459" s="52">
        <v>152725204778</v>
      </c>
      <c r="AN459" s="52">
        <v>5750000000</v>
      </c>
      <c r="AO459" s="52">
        <v>1993121000</v>
      </c>
      <c r="AP459" s="52">
        <v>48322191781</v>
      </c>
      <c r="AQ459" s="58">
        <v>0</v>
      </c>
      <c r="AR459" s="58">
        <v>0</v>
      </c>
      <c r="AS459" s="58">
        <v>0</v>
      </c>
      <c r="AT459" s="58">
        <v>0</v>
      </c>
      <c r="AU459" s="58">
        <v>0</v>
      </c>
      <c r="AV459" s="58">
        <v>0</v>
      </c>
      <c r="AW459" s="58">
        <v>0</v>
      </c>
      <c r="AX459" s="58">
        <v>0</v>
      </c>
    </row>
    <row r="460" spans="1:50" x14ac:dyDescent="0.25">
      <c r="A460" s="52">
        <f t="shared" si="31"/>
        <v>455</v>
      </c>
      <c r="B460" s="60" t="str">
        <f t="shared" si="30"/>
        <v>0043312995440</v>
      </c>
      <c r="C460" s="55" t="s">
        <v>29</v>
      </c>
      <c r="D460" s="53" t="s">
        <v>2080</v>
      </c>
      <c r="E460" s="55" t="s">
        <v>568</v>
      </c>
      <c r="F460" s="53" t="s">
        <v>2081</v>
      </c>
      <c r="G460" s="55">
        <v>11786</v>
      </c>
      <c r="H460" s="53" t="s">
        <v>2479</v>
      </c>
      <c r="I460" s="55">
        <v>307388460</v>
      </c>
      <c r="J460" s="55">
        <v>12995440</v>
      </c>
      <c r="K460" s="55" t="s">
        <v>649</v>
      </c>
      <c r="L460" s="53" t="s">
        <v>2035</v>
      </c>
      <c r="M460" s="55" t="s">
        <v>49</v>
      </c>
      <c r="N460" s="52">
        <v>4000000000</v>
      </c>
      <c r="O460" s="52">
        <v>4000000000</v>
      </c>
      <c r="P460" s="52"/>
      <c r="Q460" s="57">
        <v>45761</v>
      </c>
      <c r="R460" s="57">
        <v>46490</v>
      </c>
      <c r="S460" s="56">
        <v>24</v>
      </c>
      <c r="T460" s="54">
        <v>0</v>
      </c>
      <c r="U460" s="52">
        <v>3333333334</v>
      </c>
      <c r="V460" s="52">
        <v>3333333334</v>
      </c>
      <c r="W460" s="52">
        <v>0</v>
      </c>
      <c r="X460" s="57"/>
      <c r="Y460" s="52">
        <v>0</v>
      </c>
      <c r="Z460" s="52">
        <v>0</v>
      </c>
      <c r="AA460" s="52">
        <v>1</v>
      </c>
      <c r="AB460" s="52">
        <v>0</v>
      </c>
      <c r="AC460" s="52">
        <v>59178082.200000003</v>
      </c>
      <c r="AD460" s="52">
        <v>59178082.200000003</v>
      </c>
      <c r="AE460" s="52">
        <v>0</v>
      </c>
      <c r="AF460" s="52">
        <v>0</v>
      </c>
      <c r="AG460" s="52">
        <v>0</v>
      </c>
      <c r="AH460" s="52">
        <v>0</v>
      </c>
      <c r="AI460" s="52">
        <v>0</v>
      </c>
      <c r="AJ460" s="52">
        <v>2</v>
      </c>
      <c r="AK460" s="52"/>
      <c r="AL460" s="52">
        <v>5412629692</v>
      </c>
      <c r="AM460" s="52">
        <v>5412629692</v>
      </c>
      <c r="AN460" s="52">
        <v>5000000000</v>
      </c>
      <c r="AO460" s="52">
        <v>5731057034.2399998</v>
      </c>
      <c r="AP460" s="52">
        <v>0</v>
      </c>
      <c r="AQ460" s="58">
        <v>0</v>
      </c>
      <c r="AR460" s="58">
        <v>0</v>
      </c>
      <c r="AS460" s="58">
        <v>0</v>
      </c>
      <c r="AT460" s="58">
        <v>0</v>
      </c>
      <c r="AU460" s="58">
        <v>0</v>
      </c>
      <c r="AV460" s="58">
        <v>0</v>
      </c>
      <c r="AW460" s="58">
        <v>5</v>
      </c>
      <c r="AX460" s="58">
        <v>76200</v>
      </c>
    </row>
    <row r="461" spans="1:50" x14ac:dyDescent="0.25">
      <c r="A461" s="52">
        <f t="shared" si="31"/>
        <v>456</v>
      </c>
      <c r="B461" s="60" t="str">
        <f t="shared" si="30"/>
        <v>0043312138633</v>
      </c>
      <c r="C461" s="55" t="s">
        <v>29</v>
      </c>
      <c r="D461" s="53" t="s">
        <v>2080</v>
      </c>
      <c r="E461" s="55" t="s">
        <v>568</v>
      </c>
      <c r="F461" s="53" t="s">
        <v>2081</v>
      </c>
      <c r="G461" s="55">
        <v>11786</v>
      </c>
      <c r="H461" s="53" t="s">
        <v>2480</v>
      </c>
      <c r="I461" s="55">
        <v>307075638</v>
      </c>
      <c r="J461" s="55">
        <v>12138633</v>
      </c>
      <c r="K461" s="55" t="s">
        <v>650</v>
      </c>
      <c r="L461" s="53" t="s">
        <v>2035</v>
      </c>
      <c r="M461" s="55" t="s">
        <v>49</v>
      </c>
      <c r="N461" s="52">
        <v>10000000000</v>
      </c>
      <c r="O461" s="52">
        <v>10000000000</v>
      </c>
      <c r="P461" s="52"/>
      <c r="Q461" s="57">
        <v>44504</v>
      </c>
      <c r="R461" s="57">
        <v>46330</v>
      </c>
      <c r="S461" s="56">
        <v>14</v>
      </c>
      <c r="T461" s="54">
        <v>0</v>
      </c>
      <c r="U461" s="52">
        <v>3227718793</v>
      </c>
      <c r="V461" s="52">
        <v>0</v>
      </c>
      <c r="W461" s="52">
        <v>0</v>
      </c>
      <c r="X461" s="57"/>
      <c r="Y461" s="52">
        <v>0</v>
      </c>
      <c r="Z461" s="52">
        <v>3227718793</v>
      </c>
      <c r="AA461" s="52">
        <v>3</v>
      </c>
      <c r="AB461" s="52">
        <v>0</v>
      </c>
      <c r="AC461" s="52">
        <v>0</v>
      </c>
      <c r="AD461" s="52">
        <v>0</v>
      </c>
      <c r="AE461" s="52">
        <v>0</v>
      </c>
      <c r="AF461" s="52">
        <v>0</v>
      </c>
      <c r="AG461" s="52">
        <v>0</v>
      </c>
      <c r="AH461" s="52">
        <v>0</v>
      </c>
      <c r="AI461" s="52">
        <v>0</v>
      </c>
      <c r="AJ461" s="52">
        <v>2</v>
      </c>
      <c r="AK461" s="52"/>
      <c r="AL461" s="52">
        <v>171020384023</v>
      </c>
      <c r="AM461" s="52">
        <v>171020384023</v>
      </c>
      <c r="AN461" s="52">
        <v>26500000000</v>
      </c>
      <c r="AO461" s="52">
        <v>1762065895.1500001</v>
      </c>
      <c r="AP461" s="52">
        <v>652482861562</v>
      </c>
      <c r="AQ461" s="58">
        <v>0</v>
      </c>
      <c r="AR461" s="58">
        <v>0</v>
      </c>
      <c r="AS461" s="58">
        <v>0</v>
      </c>
      <c r="AT461" s="58">
        <v>0</v>
      </c>
      <c r="AU461" s="58">
        <v>0</v>
      </c>
      <c r="AV461" s="58">
        <v>0</v>
      </c>
      <c r="AW461" s="58">
        <v>0</v>
      </c>
      <c r="AX461" s="58">
        <v>0</v>
      </c>
    </row>
    <row r="462" spans="1:50" x14ac:dyDescent="0.25">
      <c r="A462" s="52">
        <f t="shared" si="31"/>
        <v>457</v>
      </c>
      <c r="B462" s="60" t="str">
        <f t="shared" si="30"/>
        <v>0043312993619</v>
      </c>
      <c r="C462" s="55" t="s">
        <v>29</v>
      </c>
      <c r="D462" s="53" t="s">
        <v>2080</v>
      </c>
      <c r="E462" s="55" t="s">
        <v>568</v>
      </c>
      <c r="F462" s="53" t="s">
        <v>2081</v>
      </c>
      <c r="G462" s="55">
        <v>11786</v>
      </c>
      <c r="H462" s="53" t="s">
        <v>651</v>
      </c>
      <c r="I462" s="55">
        <v>303298734</v>
      </c>
      <c r="J462" s="55">
        <v>12993619</v>
      </c>
      <c r="K462" s="55" t="s">
        <v>652</v>
      </c>
      <c r="L462" s="53" t="s">
        <v>2035</v>
      </c>
      <c r="M462" s="55" t="s">
        <v>75</v>
      </c>
      <c r="N462" s="52">
        <v>250000</v>
      </c>
      <c r="O462" s="52">
        <v>3016940000</v>
      </c>
      <c r="P462" s="52">
        <v>250000</v>
      </c>
      <c r="Q462" s="57">
        <v>45758</v>
      </c>
      <c r="R462" s="57">
        <v>46853</v>
      </c>
      <c r="S462" s="56">
        <v>15</v>
      </c>
      <c r="T462" s="54">
        <v>3</v>
      </c>
      <c r="U462" s="52">
        <v>2495252710.4000001</v>
      </c>
      <c r="V462" s="52">
        <v>2495252710.4000001</v>
      </c>
      <c r="W462" s="52">
        <v>0</v>
      </c>
      <c r="X462" s="57"/>
      <c r="Y462" s="52">
        <v>0</v>
      </c>
      <c r="Z462" s="52">
        <v>0</v>
      </c>
      <c r="AA462" s="52">
        <v>1</v>
      </c>
      <c r="AB462" s="52">
        <v>0</v>
      </c>
      <c r="AC462" s="52">
        <v>26350177.989999998</v>
      </c>
      <c r="AD462" s="52">
        <v>26350177.989999998</v>
      </c>
      <c r="AE462" s="52">
        <v>0</v>
      </c>
      <c r="AF462" s="52">
        <v>0</v>
      </c>
      <c r="AG462" s="52">
        <v>0</v>
      </c>
      <c r="AH462" s="52">
        <v>0</v>
      </c>
      <c r="AI462" s="52">
        <v>0</v>
      </c>
      <c r="AJ462" s="52">
        <v>2</v>
      </c>
      <c r="AK462" s="52"/>
      <c r="AL462" s="52">
        <v>0</v>
      </c>
      <c r="AM462" s="52">
        <v>0</v>
      </c>
      <c r="AN462" s="52">
        <v>8125000000</v>
      </c>
      <c r="AO462" s="52">
        <v>260554.88</v>
      </c>
      <c r="AP462" s="52">
        <v>22728</v>
      </c>
      <c r="AQ462" s="58">
        <v>32</v>
      </c>
      <c r="AR462" s="58">
        <v>1183834.21</v>
      </c>
      <c r="AS462" s="58">
        <v>83</v>
      </c>
      <c r="AT462" s="58">
        <v>3035209.2300000014</v>
      </c>
      <c r="AU462" s="58">
        <v>9</v>
      </c>
      <c r="AV462" s="58">
        <v>114160</v>
      </c>
      <c r="AW462" s="58">
        <v>0</v>
      </c>
      <c r="AX462" s="58">
        <v>0</v>
      </c>
    </row>
    <row r="463" spans="1:50" x14ac:dyDescent="0.25">
      <c r="A463" s="52">
        <f t="shared" si="31"/>
        <v>458</v>
      </c>
      <c r="B463" s="60" t="str">
        <f t="shared" si="30"/>
        <v>0043312921115</v>
      </c>
      <c r="C463" s="55" t="s">
        <v>29</v>
      </c>
      <c r="D463" s="53" t="s">
        <v>2080</v>
      </c>
      <c r="E463" s="55" t="s">
        <v>568</v>
      </c>
      <c r="F463" s="53" t="s">
        <v>2081</v>
      </c>
      <c r="G463" s="55">
        <v>11786</v>
      </c>
      <c r="H463" s="53" t="s">
        <v>653</v>
      </c>
      <c r="I463" s="55">
        <v>307867427</v>
      </c>
      <c r="J463" s="55">
        <v>12921115</v>
      </c>
      <c r="K463" s="55" t="s">
        <v>654</v>
      </c>
      <c r="L463" s="53" t="s">
        <v>2045</v>
      </c>
      <c r="M463" s="55" t="s">
        <v>49</v>
      </c>
      <c r="N463" s="52">
        <v>2000000000</v>
      </c>
      <c r="O463" s="52">
        <v>2000000000</v>
      </c>
      <c r="P463" s="52"/>
      <c r="Q463" s="57">
        <v>45715</v>
      </c>
      <c r="R463" s="57">
        <v>47540</v>
      </c>
      <c r="S463" s="56">
        <v>14</v>
      </c>
      <c r="T463" s="54">
        <v>0</v>
      </c>
      <c r="U463" s="52">
        <v>2000000000</v>
      </c>
      <c r="V463" s="52">
        <v>2000000000</v>
      </c>
      <c r="W463" s="52">
        <v>0</v>
      </c>
      <c r="X463" s="57"/>
      <c r="Y463" s="52">
        <v>0</v>
      </c>
      <c r="Z463" s="52">
        <v>0</v>
      </c>
      <c r="AA463" s="52">
        <v>1</v>
      </c>
      <c r="AB463" s="52">
        <v>0</v>
      </c>
      <c r="AC463" s="52">
        <v>20712328.77</v>
      </c>
      <c r="AD463" s="52">
        <v>20712328.77</v>
      </c>
      <c r="AE463" s="52">
        <v>0</v>
      </c>
      <c r="AF463" s="52">
        <v>0</v>
      </c>
      <c r="AG463" s="52">
        <v>0</v>
      </c>
      <c r="AH463" s="52">
        <v>0</v>
      </c>
      <c r="AI463" s="52">
        <v>0</v>
      </c>
      <c r="AJ463" s="52">
        <v>2</v>
      </c>
      <c r="AK463" s="52"/>
      <c r="AL463" s="52">
        <v>0</v>
      </c>
      <c r="AM463" s="52">
        <v>0</v>
      </c>
      <c r="AN463" s="52">
        <v>2500000000</v>
      </c>
      <c r="AO463" s="52">
        <v>176000000</v>
      </c>
      <c r="AP463" s="52">
        <v>0</v>
      </c>
      <c r="AQ463" s="58">
        <v>0</v>
      </c>
      <c r="AR463" s="58">
        <v>0</v>
      </c>
      <c r="AS463" s="58">
        <v>0</v>
      </c>
      <c r="AT463" s="58">
        <v>0</v>
      </c>
      <c r="AU463" s="58">
        <v>0</v>
      </c>
      <c r="AV463" s="58">
        <v>0</v>
      </c>
      <c r="AW463" s="58">
        <v>0</v>
      </c>
      <c r="AX463" s="58">
        <v>0</v>
      </c>
    </row>
    <row r="464" spans="1:50" x14ac:dyDescent="0.25">
      <c r="A464" s="52">
        <f t="shared" si="31"/>
        <v>459</v>
      </c>
      <c r="B464" s="60" t="str">
        <f t="shared" si="30"/>
        <v>0043312869195</v>
      </c>
      <c r="C464" s="55" t="s">
        <v>29</v>
      </c>
      <c r="D464" s="53" t="s">
        <v>2080</v>
      </c>
      <c r="E464" s="55" t="s">
        <v>568</v>
      </c>
      <c r="F464" s="53" t="s">
        <v>2081</v>
      </c>
      <c r="G464" s="55">
        <v>11786</v>
      </c>
      <c r="H464" s="53" t="s">
        <v>2481</v>
      </c>
      <c r="I464" s="55">
        <v>309634271</v>
      </c>
      <c r="J464" s="55">
        <v>12869195</v>
      </c>
      <c r="K464" s="55" t="s">
        <v>655</v>
      </c>
      <c r="L464" s="53" t="s">
        <v>2035</v>
      </c>
      <c r="M464" s="55" t="s">
        <v>49</v>
      </c>
      <c r="N464" s="52">
        <v>1945000000</v>
      </c>
      <c r="O464" s="52">
        <v>1945000000</v>
      </c>
      <c r="P464" s="52"/>
      <c r="Q464" s="57">
        <v>45603</v>
      </c>
      <c r="R464" s="57">
        <v>48158</v>
      </c>
      <c r="S464" s="56">
        <v>18.5</v>
      </c>
      <c r="T464" s="54">
        <v>0</v>
      </c>
      <c r="U464" s="52">
        <v>1944963591.4200001</v>
      </c>
      <c r="V464" s="52">
        <v>1890972222</v>
      </c>
      <c r="W464" s="52">
        <v>53991369.420000002</v>
      </c>
      <c r="X464" s="57">
        <v>45996</v>
      </c>
      <c r="Y464" s="52">
        <v>0</v>
      </c>
      <c r="Z464" s="52">
        <v>0</v>
      </c>
      <c r="AA464" s="52">
        <v>2</v>
      </c>
      <c r="AB464" s="52">
        <v>0</v>
      </c>
      <c r="AC464" s="52">
        <v>37061162.530000001</v>
      </c>
      <c r="AD464" s="52">
        <v>26849955.289999999</v>
      </c>
      <c r="AE464" s="52">
        <v>0</v>
      </c>
      <c r="AF464" s="52">
        <v>0</v>
      </c>
      <c r="AG464" s="52">
        <v>10211207.24</v>
      </c>
      <c r="AH464" s="52">
        <v>0</v>
      </c>
      <c r="AI464" s="52">
        <v>0</v>
      </c>
      <c r="AJ464" s="52">
        <v>2</v>
      </c>
      <c r="AK464" s="52"/>
      <c r="AL464" s="52">
        <v>17927345443</v>
      </c>
      <c r="AM464" s="52">
        <v>17927345443</v>
      </c>
      <c r="AN464" s="52">
        <v>3666285252</v>
      </c>
      <c r="AO464" s="52">
        <v>250570000</v>
      </c>
      <c r="AP464" s="52">
        <v>0</v>
      </c>
      <c r="AQ464" s="58">
        <v>0</v>
      </c>
      <c r="AR464" s="58">
        <v>0</v>
      </c>
      <c r="AS464" s="58">
        <v>0</v>
      </c>
      <c r="AT464" s="58">
        <v>0</v>
      </c>
      <c r="AU464" s="58">
        <v>0</v>
      </c>
      <c r="AV464" s="58">
        <v>0</v>
      </c>
      <c r="AW464" s="58">
        <v>0</v>
      </c>
      <c r="AX464" s="58">
        <v>0</v>
      </c>
    </row>
    <row r="465" spans="1:50" x14ac:dyDescent="0.25">
      <c r="A465" s="52">
        <f t="shared" si="31"/>
        <v>460</v>
      </c>
      <c r="B465" s="60" t="str">
        <f t="shared" si="30"/>
        <v>0043313008501</v>
      </c>
      <c r="C465" s="55" t="s">
        <v>29</v>
      </c>
      <c r="D465" s="53" t="s">
        <v>2080</v>
      </c>
      <c r="E465" s="55" t="s">
        <v>568</v>
      </c>
      <c r="F465" s="53" t="s">
        <v>2081</v>
      </c>
      <c r="G465" s="55">
        <v>11786</v>
      </c>
      <c r="H465" s="53" t="s">
        <v>656</v>
      </c>
      <c r="I465" s="55">
        <v>304526425</v>
      </c>
      <c r="J465" s="55">
        <v>13008501</v>
      </c>
      <c r="K465" s="55" t="s">
        <v>657</v>
      </c>
      <c r="L465" s="53" t="s">
        <v>2035</v>
      </c>
      <c r="M465" s="55" t="s">
        <v>75</v>
      </c>
      <c r="N465" s="52">
        <v>230000</v>
      </c>
      <c r="O465" s="52">
        <v>2775584800</v>
      </c>
      <c r="P465" s="52"/>
      <c r="Q465" s="57">
        <v>45775</v>
      </c>
      <c r="R465" s="57">
        <v>46504</v>
      </c>
      <c r="S465" s="56">
        <v>14</v>
      </c>
      <c r="T465" s="54">
        <v>0</v>
      </c>
      <c r="U465" s="52">
        <v>1913001866.5</v>
      </c>
      <c r="V465" s="52">
        <v>1913001866.5</v>
      </c>
      <c r="W465" s="52">
        <v>0</v>
      </c>
      <c r="X465" s="57"/>
      <c r="Y465" s="52">
        <v>0</v>
      </c>
      <c r="Z465" s="52">
        <v>0</v>
      </c>
      <c r="AA465" s="52">
        <v>1</v>
      </c>
      <c r="AB465" s="52">
        <v>0</v>
      </c>
      <c r="AC465" s="52">
        <v>20594032.66</v>
      </c>
      <c r="AD465" s="52">
        <v>20594032.66</v>
      </c>
      <c r="AE465" s="52">
        <v>0</v>
      </c>
      <c r="AF465" s="52">
        <v>0</v>
      </c>
      <c r="AG465" s="52">
        <v>0</v>
      </c>
      <c r="AH465" s="52">
        <v>0</v>
      </c>
      <c r="AI465" s="52">
        <v>0</v>
      </c>
      <c r="AJ465" s="52">
        <v>2</v>
      </c>
      <c r="AK465" s="52"/>
      <c r="AL465" s="52">
        <v>0</v>
      </c>
      <c r="AM465" s="52">
        <v>0</v>
      </c>
      <c r="AN465" s="52">
        <v>3750000000</v>
      </c>
      <c r="AO465" s="52">
        <v>1439380.64</v>
      </c>
      <c r="AP465" s="52">
        <v>41820</v>
      </c>
      <c r="AQ465" s="58">
        <v>161</v>
      </c>
      <c r="AR465" s="58">
        <v>5547954.8099999987</v>
      </c>
      <c r="AS465" s="58">
        <v>211</v>
      </c>
      <c r="AT465" s="58">
        <v>7533859.8799999962</v>
      </c>
      <c r="AU465" s="58">
        <v>37</v>
      </c>
      <c r="AV465" s="58">
        <v>1396429.8499999999</v>
      </c>
      <c r="AW465" s="58">
        <v>15</v>
      </c>
      <c r="AX465" s="58">
        <v>330614.8</v>
      </c>
    </row>
    <row r="466" spans="1:50" x14ac:dyDescent="0.25">
      <c r="A466" s="52">
        <f t="shared" si="31"/>
        <v>461</v>
      </c>
      <c r="B466" s="60" t="str">
        <f t="shared" si="30"/>
        <v>0043313051533</v>
      </c>
      <c r="C466" s="55" t="s">
        <v>29</v>
      </c>
      <c r="D466" s="53" t="s">
        <v>2080</v>
      </c>
      <c r="E466" s="55" t="s">
        <v>568</v>
      </c>
      <c r="F466" s="53" t="s">
        <v>2081</v>
      </c>
      <c r="G466" s="55">
        <v>11786</v>
      </c>
      <c r="H466" s="53" t="s">
        <v>2482</v>
      </c>
      <c r="I466" s="55">
        <v>310833912</v>
      </c>
      <c r="J466" s="55">
        <v>13051533</v>
      </c>
      <c r="K466" s="55" t="s">
        <v>658</v>
      </c>
      <c r="L466" s="53" t="s">
        <v>2035</v>
      </c>
      <c r="M466" s="55" t="s">
        <v>49</v>
      </c>
      <c r="N466" s="52">
        <v>1970000000</v>
      </c>
      <c r="O466" s="52">
        <v>1970000000</v>
      </c>
      <c r="P466" s="52"/>
      <c r="Q466" s="57">
        <v>45853</v>
      </c>
      <c r="R466" s="57">
        <v>46948</v>
      </c>
      <c r="S466" s="56">
        <v>28.9</v>
      </c>
      <c r="T466" s="54">
        <v>0</v>
      </c>
      <c r="U466" s="52">
        <v>1790909090</v>
      </c>
      <c r="V466" s="52">
        <v>1790909090</v>
      </c>
      <c r="W466" s="52">
        <v>0</v>
      </c>
      <c r="X466" s="57"/>
      <c r="Y466" s="52">
        <v>0</v>
      </c>
      <c r="Z466" s="52">
        <v>0</v>
      </c>
      <c r="AA466" s="52">
        <v>1</v>
      </c>
      <c r="AB466" s="52">
        <v>0</v>
      </c>
      <c r="AC466" s="52">
        <v>38286201.719999999</v>
      </c>
      <c r="AD466" s="52">
        <v>38286201.719999999</v>
      </c>
      <c r="AE466" s="52">
        <v>0</v>
      </c>
      <c r="AF466" s="52">
        <v>0</v>
      </c>
      <c r="AG466" s="52">
        <v>0</v>
      </c>
      <c r="AH466" s="52">
        <v>0</v>
      </c>
      <c r="AI466" s="52">
        <v>0</v>
      </c>
      <c r="AJ466" s="52">
        <v>2</v>
      </c>
      <c r="AK466" s="52"/>
      <c r="AL466" s="52">
        <v>75554842</v>
      </c>
      <c r="AM466" s="52">
        <v>0</v>
      </c>
      <c r="AN466" s="52">
        <v>2462500000</v>
      </c>
      <c r="AO466" s="52">
        <v>0</v>
      </c>
      <c r="AP466" s="52">
        <v>0</v>
      </c>
      <c r="AQ466" s="58">
        <v>0</v>
      </c>
      <c r="AR466" s="58">
        <v>0</v>
      </c>
      <c r="AS466" s="58">
        <v>0</v>
      </c>
      <c r="AT466" s="58">
        <v>0</v>
      </c>
      <c r="AU466" s="58">
        <v>0</v>
      </c>
      <c r="AV466" s="58">
        <v>0</v>
      </c>
      <c r="AW466" s="58">
        <v>0</v>
      </c>
      <c r="AX466" s="58">
        <v>0</v>
      </c>
    </row>
    <row r="467" spans="1:50" x14ac:dyDescent="0.25">
      <c r="A467" s="52">
        <f t="shared" si="31"/>
        <v>462</v>
      </c>
      <c r="B467" s="60" t="str">
        <f t="shared" si="30"/>
        <v>0043313071469</v>
      </c>
      <c r="C467" s="55" t="s">
        <v>29</v>
      </c>
      <c r="D467" s="53" t="s">
        <v>2080</v>
      </c>
      <c r="E467" s="55" t="s">
        <v>568</v>
      </c>
      <c r="F467" s="53" t="s">
        <v>2081</v>
      </c>
      <c r="G467" s="55">
        <v>11786</v>
      </c>
      <c r="H467" s="53" t="s">
        <v>2483</v>
      </c>
      <c r="I467" s="55">
        <v>302826544</v>
      </c>
      <c r="J467" s="55">
        <v>13071469</v>
      </c>
      <c r="K467" s="55" t="s">
        <v>659</v>
      </c>
      <c r="L467" s="53" t="s">
        <v>2035</v>
      </c>
      <c r="M467" s="55" t="s">
        <v>49</v>
      </c>
      <c r="N467" s="52">
        <v>1900000000</v>
      </c>
      <c r="O467" s="52">
        <v>1900000000</v>
      </c>
      <c r="P467" s="52">
        <f>+O467</f>
        <v>1900000000</v>
      </c>
      <c r="Q467" s="57">
        <v>45882</v>
      </c>
      <c r="R467" s="57">
        <v>46977</v>
      </c>
      <c r="S467" s="56">
        <v>28.9</v>
      </c>
      <c r="T467" s="54">
        <v>0</v>
      </c>
      <c r="U467" s="52">
        <v>1784848484</v>
      </c>
      <c r="V467" s="52">
        <v>1784848484</v>
      </c>
      <c r="W467" s="52">
        <v>0</v>
      </c>
      <c r="X467" s="57"/>
      <c r="Y467" s="52">
        <v>0</v>
      </c>
      <c r="Z467" s="52">
        <v>0</v>
      </c>
      <c r="AA467" s="52">
        <v>1</v>
      </c>
      <c r="AB467" s="52">
        <v>0</v>
      </c>
      <c r="AC467" s="52">
        <v>38156637.590000004</v>
      </c>
      <c r="AD467" s="52">
        <v>38156637.590000004</v>
      </c>
      <c r="AE467" s="52">
        <v>0</v>
      </c>
      <c r="AF467" s="52">
        <v>0</v>
      </c>
      <c r="AG467" s="52">
        <v>0</v>
      </c>
      <c r="AH467" s="52">
        <v>0</v>
      </c>
      <c r="AI467" s="52">
        <v>0</v>
      </c>
      <c r="AJ467" s="52">
        <v>2</v>
      </c>
      <c r="AK467" s="52"/>
      <c r="AL467" s="52">
        <v>0</v>
      </c>
      <c r="AM467" s="52">
        <v>0</v>
      </c>
      <c r="AN467" s="52">
        <v>2375000000</v>
      </c>
      <c r="AO467" s="52">
        <v>1967823523.29</v>
      </c>
      <c r="AP467" s="52">
        <v>0</v>
      </c>
      <c r="AQ467" s="58">
        <v>19</v>
      </c>
      <c r="AR467" s="58">
        <v>320821.42</v>
      </c>
      <c r="AS467" s="58">
        <v>0</v>
      </c>
      <c r="AT467" s="58">
        <v>0</v>
      </c>
      <c r="AU467" s="58">
        <v>7</v>
      </c>
      <c r="AV467" s="58">
        <v>825709.66</v>
      </c>
      <c r="AW467" s="58">
        <v>0</v>
      </c>
      <c r="AX467" s="58">
        <v>0</v>
      </c>
    </row>
    <row r="468" spans="1:50" x14ac:dyDescent="0.25">
      <c r="A468" s="52">
        <f t="shared" si="31"/>
        <v>463</v>
      </c>
      <c r="B468" s="60" t="str">
        <f t="shared" si="30"/>
        <v>0043312157021</v>
      </c>
      <c r="C468" s="55" t="s">
        <v>29</v>
      </c>
      <c r="D468" s="53" t="s">
        <v>2080</v>
      </c>
      <c r="E468" s="55" t="s">
        <v>568</v>
      </c>
      <c r="F468" s="53" t="s">
        <v>2081</v>
      </c>
      <c r="G468" s="55">
        <v>11786</v>
      </c>
      <c r="H468" s="53" t="s">
        <v>2484</v>
      </c>
      <c r="I468" s="55">
        <v>303212556</v>
      </c>
      <c r="J468" s="55">
        <v>12157021</v>
      </c>
      <c r="K468" s="55" t="s">
        <v>660</v>
      </c>
      <c r="L468" s="53" t="s">
        <v>2035</v>
      </c>
      <c r="M468" s="55" t="s">
        <v>49</v>
      </c>
      <c r="N468" s="52">
        <v>4000000000</v>
      </c>
      <c r="O468" s="52">
        <v>4000000000</v>
      </c>
      <c r="P468" s="52">
        <v>1945000000</v>
      </c>
      <c r="Q468" s="57">
        <v>45147</v>
      </c>
      <c r="R468" s="57">
        <v>46973</v>
      </c>
      <c r="S468" s="56">
        <v>14</v>
      </c>
      <c r="T468" s="54">
        <v>0</v>
      </c>
      <c r="U468" s="52">
        <v>1721000000</v>
      </c>
      <c r="V468" s="52">
        <v>1721000000</v>
      </c>
      <c r="W468" s="52">
        <v>0</v>
      </c>
      <c r="X468" s="57"/>
      <c r="Y468" s="52">
        <v>0</v>
      </c>
      <c r="Z468" s="52">
        <v>0</v>
      </c>
      <c r="AA468" s="52">
        <v>1</v>
      </c>
      <c r="AB468" s="52">
        <v>0</v>
      </c>
      <c r="AC468" s="52">
        <v>1320219.18</v>
      </c>
      <c r="AD468" s="52">
        <v>1320219.18</v>
      </c>
      <c r="AE468" s="52">
        <v>0</v>
      </c>
      <c r="AF468" s="52">
        <v>0</v>
      </c>
      <c r="AG468" s="52">
        <v>0</v>
      </c>
      <c r="AH468" s="52">
        <v>0</v>
      </c>
      <c r="AI468" s="52">
        <v>0</v>
      </c>
      <c r="AJ468" s="52">
        <v>2</v>
      </c>
      <c r="AK468" s="52"/>
      <c r="AL468" s="52">
        <v>0</v>
      </c>
      <c r="AM468" s="52">
        <v>0</v>
      </c>
      <c r="AN468" s="52">
        <v>5000000000</v>
      </c>
      <c r="AO468" s="52">
        <v>7501172278.54</v>
      </c>
      <c r="AP468" s="52">
        <v>920000000</v>
      </c>
      <c r="AQ468" s="58">
        <v>1</v>
      </c>
      <c r="AR468" s="58">
        <v>1187.8399999999999</v>
      </c>
      <c r="AS468" s="58">
        <v>10</v>
      </c>
      <c r="AT468" s="58">
        <v>47426.179999999993</v>
      </c>
      <c r="AU468" s="58">
        <v>0</v>
      </c>
      <c r="AV468" s="58">
        <v>0</v>
      </c>
      <c r="AW468" s="58">
        <v>4</v>
      </c>
      <c r="AX468" s="58">
        <v>61319</v>
      </c>
    </row>
    <row r="469" spans="1:50" x14ac:dyDescent="0.25">
      <c r="A469" s="52">
        <f t="shared" si="31"/>
        <v>464</v>
      </c>
      <c r="B469" s="60" t="str">
        <f t="shared" si="30"/>
        <v>0043312140014</v>
      </c>
      <c r="C469" s="55" t="s">
        <v>29</v>
      </c>
      <c r="D469" s="53" t="s">
        <v>2080</v>
      </c>
      <c r="E469" s="55" t="s">
        <v>568</v>
      </c>
      <c r="F469" s="53" t="s">
        <v>2081</v>
      </c>
      <c r="G469" s="55">
        <v>11786</v>
      </c>
      <c r="H469" s="53" t="s">
        <v>661</v>
      </c>
      <c r="I469" s="55">
        <v>308974017</v>
      </c>
      <c r="J469" s="55">
        <v>12140014</v>
      </c>
      <c r="K469" s="55" t="s">
        <v>662</v>
      </c>
      <c r="L469" s="53" t="s">
        <v>2035</v>
      </c>
      <c r="M469" s="55" t="s">
        <v>49</v>
      </c>
      <c r="N469" s="52">
        <v>2000000000</v>
      </c>
      <c r="O469" s="52">
        <v>2000000000</v>
      </c>
      <c r="P469" s="52"/>
      <c r="Q469" s="57">
        <v>44740</v>
      </c>
      <c r="R469" s="57">
        <v>46561</v>
      </c>
      <c r="S469" s="56">
        <v>14</v>
      </c>
      <c r="T469" s="54">
        <v>0</v>
      </c>
      <c r="U469" s="52">
        <v>1662754652.51</v>
      </c>
      <c r="V469" s="52">
        <v>944444436</v>
      </c>
      <c r="W469" s="52">
        <v>718310216.50999999</v>
      </c>
      <c r="X469" s="57">
        <v>45663</v>
      </c>
      <c r="Y469" s="52">
        <v>0</v>
      </c>
      <c r="Z469" s="52">
        <v>0</v>
      </c>
      <c r="AA469" s="52">
        <v>3</v>
      </c>
      <c r="AB469" s="52">
        <v>0</v>
      </c>
      <c r="AC469" s="52">
        <v>255312149.59</v>
      </c>
      <c r="AD469" s="52">
        <v>10164383.470000001</v>
      </c>
      <c r="AE469" s="52">
        <v>0</v>
      </c>
      <c r="AF469" s="52">
        <v>0</v>
      </c>
      <c r="AG469" s="52">
        <v>245147766.12</v>
      </c>
      <c r="AH469" s="52">
        <v>0</v>
      </c>
      <c r="AI469" s="52">
        <v>0</v>
      </c>
      <c r="AJ469" s="52">
        <v>2</v>
      </c>
      <c r="AK469" s="52"/>
      <c r="AL469" s="52">
        <v>72168524192</v>
      </c>
      <c r="AM469" s="52">
        <v>72168524192</v>
      </c>
      <c r="AN469" s="52">
        <v>2500000000</v>
      </c>
      <c r="AO469" s="52">
        <v>820618550.05999994</v>
      </c>
      <c r="AP469" s="52">
        <v>111111104</v>
      </c>
      <c r="AQ469" s="58">
        <v>0</v>
      </c>
      <c r="AR469" s="58">
        <v>0</v>
      </c>
      <c r="AS469" s="58">
        <v>0</v>
      </c>
      <c r="AT469" s="58">
        <v>0</v>
      </c>
      <c r="AU469" s="58">
        <v>0</v>
      </c>
      <c r="AV469" s="58">
        <v>0</v>
      </c>
      <c r="AW469" s="58">
        <v>0</v>
      </c>
      <c r="AX469" s="58">
        <v>0</v>
      </c>
    </row>
    <row r="470" spans="1:50" x14ac:dyDescent="0.25">
      <c r="A470" s="52">
        <f t="shared" si="31"/>
        <v>465</v>
      </c>
      <c r="B470" s="60" t="str">
        <f t="shared" si="30"/>
        <v>0043312633656</v>
      </c>
      <c r="C470" s="55" t="s">
        <v>29</v>
      </c>
      <c r="D470" s="53" t="s">
        <v>2080</v>
      </c>
      <c r="E470" s="55" t="s">
        <v>568</v>
      </c>
      <c r="F470" s="53" t="s">
        <v>2081</v>
      </c>
      <c r="G470" s="55">
        <v>11786</v>
      </c>
      <c r="H470" s="53" t="s">
        <v>663</v>
      </c>
      <c r="I470" s="55">
        <v>307392956</v>
      </c>
      <c r="J470" s="55">
        <v>12633656</v>
      </c>
      <c r="K470" s="55" t="s">
        <v>664</v>
      </c>
      <c r="L470" s="53" t="s">
        <v>2035</v>
      </c>
      <c r="M470" s="55" t="s">
        <v>49</v>
      </c>
      <c r="N470" s="52">
        <v>1657980000</v>
      </c>
      <c r="O470" s="52">
        <v>1657980000</v>
      </c>
      <c r="P470" s="52"/>
      <c r="Q470" s="57">
        <v>45380</v>
      </c>
      <c r="R470" s="57">
        <v>47204</v>
      </c>
      <c r="S470" s="56">
        <v>14</v>
      </c>
      <c r="T470" s="54">
        <v>0</v>
      </c>
      <c r="U470" s="52">
        <v>1657980000</v>
      </c>
      <c r="V470" s="52">
        <v>1657980000</v>
      </c>
      <c r="W470" s="52">
        <v>0</v>
      </c>
      <c r="X470" s="57"/>
      <c r="Y470" s="52">
        <v>0</v>
      </c>
      <c r="Z470" s="52">
        <v>0</v>
      </c>
      <c r="AA470" s="52">
        <v>2</v>
      </c>
      <c r="AB470" s="52">
        <v>0</v>
      </c>
      <c r="AC470" s="52">
        <v>67193600.159999996</v>
      </c>
      <c r="AD470" s="52">
        <v>17806250.949999999</v>
      </c>
      <c r="AE470" s="52">
        <v>0</v>
      </c>
      <c r="AF470" s="52">
        <v>0</v>
      </c>
      <c r="AG470" s="52">
        <v>49387349.210000001</v>
      </c>
      <c r="AH470" s="52">
        <v>0</v>
      </c>
      <c r="AI470" s="52">
        <v>0</v>
      </c>
      <c r="AJ470" s="52">
        <v>2</v>
      </c>
      <c r="AK470" s="52"/>
      <c r="AL470" s="52">
        <v>6599511436</v>
      </c>
      <c r="AM470" s="52">
        <v>6599511436</v>
      </c>
      <c r="AN470" s="52">
        <v>4394465000</v>
      </c>
      <c r="AO470" s="52">
        <v>525685517.91000003</v>
      </c>
      <c r="AP470" s="52">
        <v>0</v>
      </c>
      <c r="AQ470" s="58">
        <v>0</v>
      </c>
      <c r="AR470" s="58">
        <v>0</v>
      </c>
      <c r="AS470" s="58">
        <v>0</v>
      </c>
      <c r="AT470" s="58">
        <v>0</v>
      </c>
      <c r="AU470" s="58">
        <v>0</v>
      </c>
      <c r="AV470" s="58">
        <v>0</v>
      </c>
      <c r="AW470" s="58">
        <v>0</v>
      </c>
      <c r="AX470" s="58">
        <v>0</v>
      </c>
    </row>
    <row r="471" spans="1:50" x14ac:dyDescent="0.25">
      <c r="A471" s="52">
        <f t="shared" si="31"/>
        <v>466</v>
      </c>
      <c r="B471" s="60" t="str">
        <f t="shared" si="30"/>
        <v>0043312736211</v>
      </c>
      <c r="C471" s="55" t="s">
        <v>29</v>
      </c>
      <c r="D471" s="53" t="s">
        <v>2080</v>
      </c>
      <c r="E471" s="55" t="s">
        <v>568</v>
      </c>
      <c r="F471" s="53" t="s">
        <v>2081</v>
      </c>
      <c r="G471" s="55">
        <v>11786</v>
      </c>
      <c r="H471" s="53" t="s">
        <v>2485</v>
      </c>
      <c r="I471" s="55">
        <v>308436344</v>
      </c>
      <c r="J471" s="55">
        <v>12736211</v>
      </c>
      <c r="K471" s="55" t="s">
        <v>665</v>
      </c>
      <c r="L471" s="53" t="s">
        <v>2035</v>
      </c>
      <c r="M471" s="55" t="s">
        <v>49</v>
      </c>
      <c r="N471" s="52">
        <v>1400000000</v>
      </c>
      <c r="O471" s="52">
        <v>1400000000</v>
      </c>
      <c r="P471" s="52"/>
      <c r="Q471" s="57">
        <v>45448</v>
      </c>
      <c r="R471" s="57">
        <v>45994</v>
      </c>
      <c r="S471" s="56">
        <v>27.9</v>
      </c>
      <c r="T471" s="54">
        <v>0</v>
      </c>
      <c r="U471" s="52">
        <v>1400000000</v>
      </c>
      <c r="V471" s="52">
        <v>0</v>
      </c>
      <c r="W471" s="52">
        <v>1400000000</v>
      </c>
      <c r="X471" s="57">
        <v>45540</v>
      </c>
      <c r="Y471" s="52">
        <v>0</v>
      </c>
      <c r="Z471" s="52">
        <v>0</v>
      </c>
      <c r="AA471" s="52">
        <v>5</v>
      </c>
      <c r="AB471" s="52">
        <v>0</v>
      </c>
      <c r="AC471" s="52">
        <v>703397153.79999995</v>
      </c>
      <c r="AD471" s="52">
        <v>0</v>
      </c>
      <c r="AE471" s="52">
        <v>0</v>
      </c>
      <c r="AF471" s="52">
        <v>0</v>
      </c>
      <c r="AG471" s="52">
        <v>703397153.79999995</v>
      </c>
      <c r="AH471" s="52">
        <v>0</v>
      </c>
      <c r="AI471" s="52">
        <v>0</v>
      </c>
      <c r="AJ471" s="52">
        <v>2</v>
      </c>
      <c r="AK471" s="52"/>
      <c r="AL471" s="52">
        <v>176374779051</v>
      </c>
      <c r="AM471" s="52">
        <v>176299410586</v>
      </c>
      <c r="AN471" s="52">
        <v>8750000000</v>
      </c>
      <c r="AO471" s="52">
        <v>1465000000</v>
      </c>
      <c r="AP471" s="52">
        <v>0</v>
      </c>
      <c r="AQ471" s="58">
        <v>0</v>
      </c>
      <c r="AR471" s="58">
        <v>0</v>
      </c>
      <c r="AS471" s="58">
        <v>0</v>
      </c>
      <c r="AT471" s="58">
        <v>0</v>
      </c>
      <c r="AU471" s="58">
        <v>0</v>
      </c>
      <c r="AV471" s="58">
        <v>0</v>
      </c>
      <c r="AW471" s="58">
        <v>0</v>
      </c>
      <c r="AX471" s="58">
        <v>0</v>
      </c>
    </row>
    <row r="472" spans="1:50" x14ac:dyDescent="0.25">
      <c r="A472" s="52">
        <f t="shared" si="31"/>
        <v>467</v>
      </c>
      <c r="B472" s="60" t="str">
        <f t="shared" si="30"/>
        <v>0043312805258</v>
      </c>
      <c r="C472" s="55" t="s">
        <v>29</v>
      </c>
      <c r="D472" s="53" t="s">
        <v>2080</v>
      </c>
      <c r="E472" s="55" t="s">
        <v>568</v>
      </c>
      <c r="F472" s="53" t="s">
        <v>2081</v>
      </c>
      <c r="G472" s="55">
        <v>11786</v>
      </c>
      <c r="H472" s="53" t="s">
        <v>2486</v>
      </c>
      <c r="I472" s="55">
        <v>308752221</v>
      </c>
      <c r="J472" s="55">
        <v>12805258</v>
      </c>
      <c r="K472" s="55" t="s">
        <v>666</v>
      </c>
      <c r="L472" s="53" t="s">
        <v>2035</v>
      </c>
      <c r="M472" s="55" t="s">
        <v>49</v>
      </c>
      <c r="N472" s="52">
        <v>1990000000</v>
      </c>
      <c r="O472" s="52">
        <v>1990000000</v>
      </c>
      <c r="P472" s="52"/>
      <c r="Q472" s="57">
        <v>45562</v>
      </c>
      <c r="R472" s="57">
        <v>46628</v>
      </c>
      <c r="S472" s="56">
        <v>13.5</v>
      </c>
      <c r="T472" s="54">
        <v>0</v>
      </c>
      <c r="U472" s="52">
        <v>1260333337</v>
      </c>
      <c r="V472" s="52">
        <v>1260333337</v>
      </c>
      <c r="W472" s="52">
        <v>0</v>
      </c>
      <c r="X472" s="57"/>
      <c r="Y472" s="52">
        <v>0</v>
      </c>
      <c r="Z472" s="52">
        <v>0</v>
      </c>
      <c r="AA472" s="52">
        <v>1</v>
      </c>
      <c r="AB472" s="52">
        <v>0</v>
      </c>
      <c r="AC472" s="52">
        <v>12586068.529999999</v>
      </c>
      <c r="AD472" s="52">
        <v>12586068.529999999</v>
      </c>
      <c r="AE472" s="52">
        <v>0</v>
      </c>
      <c r="AF472" s="52">
        <v>0</v>
      </c>
      <c r="AG472" s="52">
        <v>0</v>
      </c>
      <c r="AH472" s="52">
        <v>0</v>
      </c>
      <c r="AI472" s="52">
        <v>0</v>
      </c>
      <c r="AJ472" s="52">
        <v>2</v>
      </c>
      <c r="AK472" s="52"/>
      <c r="AL472" s="52">
        <v>0</v>
      </c>
      <c r="AM472" s="52">
        <v>0</v>
      </c>
      <c r="AN472" s="52">
        <v>3782500000</v>
      </c>
      <c r="AO472" s="52">
        <v>11545316750.379999</v>
      </c>
      <c r="AP472" s="52">
        <v>90666664</v>
      </c>
      <c r="AQ472" s="58">
        <v>1</v>
      </c>
      <c r="AR472" s="58">
        <v>1400.32</v>
      </c>
      <c r="AS472" s="58">
        <v>0</v>
      </c>
      <c r="AT472" s="58">
        <v>0</v>
      </c>
      <c r="AU472" s="58">
        <v>38</v>
      </c>
      <c r="AV472" s="58">
        <v>201410</v>
      </c>
      <c r="AW472" s="58">
        <v>15</v>
      </c>
      <c r="AX472" s="58">
        <v>85340</v>
      </c>
    </row>
    <row r="473" spans="1:50" x14ac:dyDescent="0.25">
      <c r="A473" s="52">
        <f t="shared" si="31"/>
        <v>468</v>
      </c>
      <c r="B473" s="60" t="str">
        <f t="shared" si="30"/>
        <v>0043312157080</v>
      </c>
      <c r="C473" s="55" t="s">
        <v>29</v>
      </c>
      <c r="D473" s="53" t="s">
        <v>2080</v>
      </c>
      <c r="E473" s="55" t="s">
        <v>568</v>
      </c>
      <c r="F473" s="53" t="s">
        <v>2081</v>
      </c>
      <c r="G473" s="55">
        <v>11786</v>
      </c>
      <c r="H473" s="53" t="s">
        <v>2487</v>
      </c>
      <c r="I473" s="55">
        <v>310152011</v>
      </c>
      <c r="J473" s="55">
        <v>12157080</v>
      </c>
      <c r="K473" s="55" t="s">
        <v>667</v>
      </c>
      <c r="L473" s="53" t="s">
        <v>2035</v>
      </c>
      <c r="M473" s="55" t="s">
        <v>75</v>
      </c>
      <c r="N473" s="52">
        <v>96000</v>
      </c>
      <c r="O473" s="52">
        <v>1158504960</v>
      </c>
      <c r="P473" s="52"/>
      <c r="Q473" s="57">
        <v>45156</v>
      </c>
      <c r="R473" s="57">
        <v>47697</v>
      </c>
      <c r="S473" s="56">
        <v>3</v>
      </c>
      <c r="T473" s="54">
        <v>0</v>
      </c>
      <c r="U473" s="52">
        <v>1122876040.77</v>
      </c>
      <c r="V473" s="52">
        <v>1073520800</v>
      </c>
      <c r="W473" s="52">
        <v>49355240.770000003</v>
      </c>
      <c r="X473" s="57">
        <v>45966</v>
      </c>
      <c r="Y473" s="52">
        <v>0</v>
      </c>
      <c r="Z473" s="52">
        <v>0</v>
      </c>
      <c r="AA473" s="52">
        <v>2</v>
      </c>
      <c r="AB473" s="52">
        <v>0</v>
      </c>
      <c r="AC473" s="52">
        <v>2433720.4500000002</v>
      </c>
      <c r="AD473" s="52">
        <v>2415299.81</v>
      </c>
      <c r="AE473" s="52">
        <v>0</v>
      </c>
      <c r="AF473" s="52">
        <v>0</v>
      </c>
      <c r="AG473" s="52">
        <v>18420.64</v>
      </c>
      <c r="AH473" s="52">
        <v>0</v>
      </c>
      <c r="AI473" s="52">
        <v>0</v>
      </c>
      <c r="AJ473" s="52">
        <v>2</v>
      </c>
      <c r="AK473" s="52"/>
      <c r="AL473" s="52">
        <v>1768033097</v>
      </c>
      <c r="AM473" s="52">
        <v>1768033097</v>
      </c>
      <c r="AN473" s="52">
        <v>2576465000</v>
      </c>
      <c r="AO473" s="52">
        <v>6582</v>
      </c>
      <c r="AP473" s="52">
        <v>174072</v>
      </c>
      <c r="AQ473" s="58">
        <v>0</v>
      </c>
      <c r="AR473" s="58">
        <v>0</v>
      </c>
      <c r="AS473" s="58">
        <v>0</v>
      </c>
      <c r="AT473" s="58">
        <v>0</v>
      </c>
      <c r="AU473" s="58">
        <v>0</v>
      </c>
      <c r="AV473" s="58">
        <v>0</v>
      </c>
      <c r="AW473" s="58">
        <v>0</v>
      </c>
      <c r="AX473" s="58">
        <v>0</v>
      </c>
    </row>
    <row r="474" spans="1:50" x14ac:dyDescent="0.25">
      <c r="A474" s="52">
        <f t="shared" si="31"/>
        <v>469</v>
      </c>
      <c r="B474" s="60" t="str">
        <f t="shared" si="30"/>
        <v>0043313066538</v>
      </c>
      <c r="C474" s="55" t="s">
        <v>29</v>
      </c>
      <c r="D474" s="53" t="s">
        <v>2080</v>
      </c>
      <c r="E474" s="55" t="s">
        <v>568</v>
      </c>
      <c r="F474" s="53" t="s">
        <v>2081</v>
      </c>
      <c r="G474" s="55">
        <v>11786</v>
      </c>
      <c r="H474" s="53" t="s">
        <v>2479</v>
      </c>
      <c r="I474" s="55">
        <v>307388460</v>
      </c>
      <c r="J474" s="55">
        <v>13066538</v>
      </c>
      <c r="K474" s="55" t="s">
        <v>668</v>
      </c>
      <c r="L474" s="53" t="s">
        <v>2035</v>
      </c>
      <c r="M474" s="55" t="s">
        <v>49</v>
      </c>
      <c r="N474" s="52">
        <v>1800000000</v>
      </c>
      <c r="O474" s="52">
        <v>1800000000</v>
      </c>
      <c r="P474" s="52"/>
      <c r="Q474" s="57">
        <v>45876</v>
      </c>
      <c r="R474" s="57">
        <v>46240</v>
      </c>
      <c r="S474" s="56">
        <v>26.9</v>
      </c>
      <c r="T474" s="54">
        <v>0</v>
      </c>
      <c r="U474" s="52">
        <v>1050000000</v>
      </c>
      <c r="V474" s="52">
        <v>1050000000</v>
      </c>
      <c r="W474" s="52">
        <v>0</v>
      </c>
      <c r="X474" s="57"/>
      <c r="Y474" s="52">
        <v>0</v>
      </c>
      <c r="Z474" s="52">
        <v>0</v>
      </c>
      <c r="AA474" s="52">
        <v>1</v>
      </c>
      <c r="AB474" s="52">
        <v>0</v>
      </c>
      <c r="AC474" s="52">
        <v>20893561.640000001</v>
      </c>
      <c r="AD474" s="52">
        <v>20893561.640000001</v>
      </c>
      <c r="AE474" s="52">
        <v>0</v>
      </c>
      <c r="AF474" s="52">
        <v>0</v>
      </c>
      <c r="AG474" s="52">
        <v>0</v>
      </c>
      <c r="AH474" s="52">
        <v>0</v>
      </c>
      <c r="AI474" s="52">
        <v>0</v>
      </c>
      <c r="AJ474" s="52">
        <v>2</v>
      </c>
      <c r="AK474" s="52"/>
      <c r="AL474" s="52">
        <v>15248732877</v>
      </c>
      <c r="AM474" s="52">
        <v>15248732877</v>
      </c>
      <c r="AN474" s="52">
        <v>2250000000</v>
      </c>
      <c r="AO474" s="52">
        <v>3455029740.7199998</v>
      </c>
      <c r="AP474" s="52">
        <v>300000000</v>
      </c>
      <c r="AQ474" s="58">
        <v>0</v>
      </c>
      <c r="AR474" s="58">
        <v>0</v>
      </c>
      <c r="AS474" s="58">
        <v>0</v>
      </c>
      <c r="AT474" s="58">
        <v>0</v>
      </c>
      <c r="AU474" s="58">
        <v>0</v>
      </c>
      <c r="AV474" s="58">
        <v>0</v>
      </c>
      <c r="AW474" s="58">
        <v>5</v>
      </c>
      <c r="AX474" s="58">
        <v>76200</v>
      </c>
    </row>
    <row r="475" spans="1:50" x14ac:dyDescent="0.25">
      <c r="A475" s="52">
        <f t="shared" si="31"/>
        <v>470</v>
      </c>
      <c r="B475" s="60" t="str">
        <f t="shared" si="30"/>
        <v>0043312793251</v>
      </c>
      <c r="C475" s="55" t="s">
        <v>29</v>
      </c>
      <c r="D475" s="53" t="s">
        <v>2080</v>
      </c>
      <c r="E475" s="55" t="s">
        <v>568</v>
      </c>
      <c r="F475" s="53" t="s">
        <v>2081</v>
      </c>
      <c r="G475" s="55">
        <v>11786</v>
      </c>
      <c r="H475" s="53" t="s">
        <v>2488</v>
      </c>
      <c r="I475" s="55">
        <v>302177996</v>
      </c>
      <c r="J475" s="55">
        <v>12793251</v>
      </c>
      <c r="K475" s="55" t="s">
        <v>669</v>
      </c>
      <c r="L475" s="53" t="s">
        <v>2035</v>
      </c>
      <c r="M475" s="55" t="s">
        <v>49</v>
      </c>
      <c r="N475" s="52">
        <v>1000000000</v>
      </c>
      <c r="O475" s="52">
        <v>1000000000</v>
      </c>
      <c r="P475" s="52">
        <f>+O475</f>
        <v>1000000000</v>
      </c>
      <c r="Q475" s="57">
        <v>45523</v>
      </c>
      <c r="R475" s="57">
        <v>47348</v>
      </c>
      <c r="S475" s="56">
        <v>13.5</v>
      </c>
      <c r="T475" s="54">
        <v>0</v>
      </c>
      <c r="U475" s="52">
        <v>1000000000</v>
      </c>
      <c r="V475" s="52">
        <v>1000000000</v>
      </c>
      <c r="W475" s="52">
        <v>0</v>
      </c>
      <c r="X475" s="57"/>
      <c r="Y475" s="52">
        <v>0</v>
      </c>
      <c r="Z475" s="52">
        <v>0</v>
      </c>
      <c r="AA475" s="52">
        <v>1</v>
      </c>
      <c r="AB475" s="52">
        <v>0</v>
      </c>
      <c r="AC475" s="52">
        <v>66575342.469999999</v>
      </c>
      <c r="AD475" s="52">
        <v>66575342.469999999</v>
      </c>
      <c r="AE475" s="52">
        <v>0</v>
      </c>
      <c r="AF475" s="52">
        <v>0</v>
      </c>
      <c r="AG475" s="52">
        <v>0</v>
      </c>
      <c r="AH475" s="52">
        <v>0</v>
      </c>
      <c r="AI475" s="52">
        <v>0</v>
      </c>
      <c r="AJ475" s="52">
        <v>2</v>
      </c>
      <c r="AK475" s="52"/>
      <c r="AL475" s="52">
        <v>0</v>
      </c>
      <c r="AM475" s="52">
        <v>0</v>
      </c>
      <c r="AN475" s="52">
        <v>1525000000</v>
      </c>
      <c r="AO475" s="52">
        <v>299455000</v>
      </c>
      <c r="AP475" s="52">
        <v>0</v>
      </c>
      <c r="AQ475" s="58">
        <v>0</v>
      </c>
      <c r="AR475" s="58">
        <v>0</v>
      </c>
      <c r="AS475" s="58">
        <v>0</v>
      </c>
      <c r="AT475" s="58">
        <v>0</v>
      </c>
      <c r="AU475" s="58">
        <v>0</v>
      </c>
      <c r="AV475" s="58">
        <v>0</v>
      </c>
      <c r="AW475" s="58">
        <v>0</v>
      </c>
      <c r="AX475" s="58">
        <v>0</v>
      </c>
    </row>
    <row r="476" spans="1:50" x14ac:dyDescent="0.25">
      <c r="A476" s="52">
        <f t="shared" si="31"/>
        <v>471</v>
      </c>
      <c r="B476" s="60" t="str">
        <f t="shared" si="30"/>
        <v>0043312872581</v>
      </c>
      <c r="C476" s="55" t="s">
        <v>29</v>
      </c>
      <c r="D476" s="53" t="s">
        <v>2080</v>
      </c>
      <c r="E476" s="55" t="s">
        <v>568</v>
      </c>
      <c r="F476" s="53" t="s">
        <v>2081</v>
      </c>
      <c r="G476" s="55">
        <v>11786</v>
      </c>
      <c r="H476" s="53" t="s">
        <v>2489</v>
      </c>
      <c r="I476" s="55">
        <v>300582258</v>
      </c>
      <c r="J476" s="55">
        <v>12872581</v>
      </c>
      <c r="K476" s="55" t="s">
        <v>670</v>
      </c>
      <c r="L476" s="53" t="s">
        <v>2035</v>
      </c>
      <c r="M476" s="55" t="s">
        <v>49</v>
      </c>
      <c r="N476" s="52">
        <v>1000000000</v>
      </c>
      <c r="O476" s="52">
        <v>1000000000</v>
      </c>
      <c r="P476" s="52">
        <f>+O476</f>
        <v>1000000000</v>
      </c>
      <c r="Q476" s="57">
        <v>45617</v>
      </c>
      <c r="R476" s="57">
        <v>47434</v>
      </c>
      <c r="S476" s="56">
        <v>14</v>
      </c>
      <c r="T476" s="54">
        <v>0</v>
      </c>
      <c r="U476" s="52">
        <v>1000000000</v>
      </c>
      <c r="V476" s="52">
        <v>1000000000</v>
      </c>
      <c r="W476" s="52">
        <v>0</v>
      </c>
      <c r="X476" s="57"/>
      <c r="Y476" s="52">
        <v>0</v>
      </c>
      <c r="Z476" s="52">
        <v>0</v>
      </c>
      <c r="AA476" s="52">
        <v>1</v>
      </c>
      <c r="AB476" s="52">
        <v>0</v>
      </c>
      <c r="AC476" s="52">
        <v>10356164.380000001</v>
      </c>
      <c r="AD476" s="52">
        <v>10356164.380000001</v>
      </c>
      <c r="AE476" s="52">
        <v>0</v>
      </c>
      <c r="AF476" s="52">
        <v>0</v>
      </c>
      <c r="AG476" s="52">
        <v>0</v>
      </c>
      <c r="AH476" s="52">
        <v>0</v>
      </c>
      <c r="AI476" s="52">
        <v>0</v>
      </c>
      <c r="AJ476" s="52">
        <v>2</v>
      </c>
      <c r="AK476" s="52"/>
      <c r="AL476" s="52">
        <v>0</v>
      </c>
      <c r="AM476" s="52">
        <v>0</v>
      </c>
      <c r="AN476" s="52">
        <v>1250000000</v>
      </c>
      <c r="AO476" s="52">
        <v>426599920.48000002</v>
      </c>
      <c r="AP476" s="52">
        <v>0</v>
      </c>
      <c r="AQ476" s="58">
        <v>0</v>
      </c>
      <c r="AR476" s="58">
        <v>0</v>
      </c>
      <c r="AS476" s="58">
        <v>0</v>
      </c>
      <c r="AT476" s="58">
        <v>0</v>
      </c>
      <c r="AU476" s="58">
        <v>0</v>
      </c>
      <c r="AV476" s="58">
        <v>0</v>
      </c>
      <c r="AW476" s="58">
        <v>0</v>
      </c>
      <c r="AX476" s="58">
        <v>0</v>
      </c>
    </row>
    <row r="477" spans="1:50" x14ac:dyDescent="0.25">
      <c r="A477" s="52">
        <f t="shared" si="31"/>
        <v>472</v>
      </c>
      <c r="B477" s="60" t="str">
        <f t="shared" si="30"/>
        <v>0043312138381</v>
      </c>
      <c r="C477" s="55" t="s">
        <v>29</v>
      </c>
      <c r="D477" s="53" t="s">
        <v>2080</v>
      </c>
      <c r="E477" s="55" t="s">
        <v>568</v>
      </c>
      <c r="F477" s="53" t="s">
        <v>2081</v>
      </c>
      <c r="G477" s="55">
        <v>11786</v>
      </c>
      <c r="H477" s="53" t="s">
        <v>2488</v>
      </c>
      <c r="I477" s="55">
        <v>302177996</v>
      </c>
      <c r="J477" s="55">
        <v>12138381</v>
      </c>
      <c r="K477" s="55" t="s">
        <v>671</v>
      </c>
      <c r="L477" s="53" t="s">
        <v>2035</v>
      </c>
      <c r="M477" s="55" t="s">
        <v>49</v>
      </c>
      <c r="N477" s="52">
        <v>500000000</v>
      </c>
      <c r="O477" s="52">
        <v>500000000</v>
      </c>
      <c r="P477" s="52">
        <f>+O477</f>
        <v>500000000</v>
      </c>
      <c r="Q477" s="57">
        <v>44439</v>
      </c>
      <c r="R477" s="57">
        <v>46982</v>
      </c>
      <c r="S477" s="56">
        <v>22</v>
      </c>
      <c r="T477" s="54">
        <v>0</v>
      </c>
      <c r="U477" s="52">
        <v>333333333.5</v>
      </c>
      <c r="V477" s="52">
        <v>333333333.5</v>
      </c>
      <c r="W477" s="52">
        <v>0</v>
      </c>
      <c r="X477" s="57"/>
      <c r="Y477" s="52">
        <v>0</v>
      </c>
      <c r="Z477" s="52">
        <v>0</v>
      </c>
      <c r="AA477" s="52">
        <v>1</v>
      </c>
      <c r="AB477" s="52">
        <v>0</v>
      </c>
      <c r="AC477" s="52">
        <v>55318112.629999995</v>
      </c>
      <c r="AD477" s="52">
        <v>23013698.640000001</v>
      </c>
      <c r="AE477" s="52">
        <v>32304413.989999998</v>
      </c>
      <c r="AF477" s="52">
        <v>0</v>
      </c>
      <c r="AG477" s="52">
        <v>0</v>
      </c>
      <c r="AH477" s="52">
        <v>0</v>
      </c>
      <c r="AI477" s="52">
        <v>0</v>
      </c>
      <c r="AJ477" s="52">
        <v>2</v>
      </c>
      <c r="AK477" s="52"/>
      <c r="AL477" s="52">
        <v>0</v>
      </c>
      <c r="AM477" s="52">
        <v>0</v>
      </c>
      <c r="AN477" s="52">
        <v>650000000</v>
      </c>
      <c r="AO477" s="52">
        <v>459343940.64999998</v>
      </c>
      <c r="AP477" s="52">
        <v>1666666665</v>
      </c>
      <c r="AQ477" s="58">
        <v>0</v>
      </c>
      <c r="AR477" s="58">
        <v>0</v>
      </c>
      <c r="AS477" s="58">
        <v>0</v>
      </c>
      <c r="AT477" s="58">
        <v>0</v>
      </c>
      <c r="AU477" s="58">
        <v>0</v>
      </c>
      <c r="AV477" s="58">
        <v>0</v>
      </c>
      <c r="AW477" s="58">
        <v>0</v>
      </c>
      <c r="AX477" s="58">
        <v>0</v>
      </c>
    </row>
    <row r="478" spans="1:50" x14ac:dyDescent="0.25">
      <c r="A478" s="52">
        <f t="shared" si="31"/>
        <v>473</v>
      </c>
      <c r="B478" s="60" t="str">
        <f t="shared" si="30"/>
        <v>0043312144694</v>
      </c>
      <c r="C478" s="55" t="s">
        <v>29</v>
      </c>
      <c r="D478" s="53" t="s">
        <v>2080</v>
      </c>
      <c r="E478" s="55" t="s">
        <v>568</v>
      </c>
      <c r="F478" s="53" t="s">
        <v>2081</v>
      </c>
      <c r="G478" s="55">
        <v>11786</v>
      </c>
      <c r="H478" s="53" t="s">
        <v>672</v>
      </c>
      <c r="I478" s="55">
        <v>308311359</v>
      </c>
      <c r="J478" s="55">
        <v>12144694</v>
      </c>
      <c r="K478" s="55" t="s">
        <v>673</v>
      </c>
      <c r="L478" s="53" t="s">
        <v>2035</v>
      </c>
      <c r="M478" s="55" t="s">
        <v>49</v>
      </c>
      <c r="N478" s="52">
        <v>1620000000</v>
      </c>
      <c r="O478" s="52">
        <v>1620000000</v>
      </c>
      <c r="P478" s="52"/>
      <c r="Q478" s="57">
        <v>44848</v>
      </c>
      <c r="R478" s="57">
        <v>46306</v>
      </c>
      <c r="S478" s="56">
        <v>26</v>
      </c>
      <c r="T478" s="54">
        <v>0</v>
      </c>
      <c r="U478" s="52">
        <v>260000000</v>
      </c>
      <c r="V478" s="52">
        <v>260000000</v>
      </c>
      <c r="W478" s="52">
        <v>0</v>
      </c>
      <c r="X478" s="57"/>
      <c r="Y478" s="52">
        <v>0</v>
      </c>
      <c r="Z478" s="52">
        <v>0</v>
      </c>
      <c r="AA478" s="52">
        <v>1</v>
      </c>
      <c r="AB478" s="52">
        <v>0</v>
      </c>
      <c r="AC478" s="52">
        <v>5184508.79</v>
      </c>
      <c r="AD478" s="52">
        <v>5184508.79</v>
      </c>
      <c r="AE478" s="52">
        <v>0</v>
      </c>
      <c r="AF478" s="52">
        <v>0</v>
      </c>
      <c r="AG478" s="52">
        <v>0</v>
      </c>
      <c r="AH478" s="52">
        <v>0</v>
      </c>
      <c r="AI478" s="52">
        <v>0</v>
      </c>
      <c r="AJ478" s="52">
        <v>2</v>
      </c>
      <c r="AK478" s="52"/>
      <c r="AL478" s="52">
        <v>18655615205</v>
      </c>
      <c r="AM478" s="52">
        <v>18655615205</v>
      </c>
      <c r="AN478" s="52">
        <v>3657000000</v>
      </c>
      <c r="AO478" s="52">
        <v>4591685156.1199999</v>
      </c>
      <c r="AP478" s="52">
        <v>1229142870</v>
      </c>
      <c r="AQ478" s="58">
        <v>0</v>
      </c>
      <c r="AR478" s="58">
        <v>0</v>
      </c>
      <c r="AS478" s="58">
        <v>4</v>
      </c>
      <c r="AT478" s="58">
        <v>11682.580000000002</v>
      </c>
      <c r="AU478" s="58">
        <v>24</v>
      </c>
      <c r="AV478" s="58">
        <v>247147.36</v>
      </c>
      <c r="AW478" s="58">
        <v>0</v>
      </c>
      <c r="AX478" s="58">
        <v>0</v>
      </c>
    </row>
    <row r="479" spans="1:50" x14ac:dyDescent="0.25">
      <c r="A479" s="52">
        <f t="shared" si="31"/>
        <v>474</v>
      </c>
      <c r="B479" s="60" t="str">
        <f t="shared" si="30"/>
        <v>0043312153644</v>
      </c>
      <c r="C479" s="55" t="s">
        <v>29</v>
      </c>
      <c r="D479" s="53" t="s">
        <v>2080</v>
      </c>
      <c r="E479" s="55" t="s">
        <v>568</v>
      </c>
      <c r="F479" s="53" t="s">
        <v>2081</v>
      </c>
      <c r="G479" s="55">
        <v>11786</v>
      </c>
      <c r="H479" s="53" t="s">
        <v>656</v>
      </c>
      <c r="I479" s="55">
        <v>304526425</v>
      </c>
      <c r="J479" s="55">
        <v>12153644</v>
      </c>
      <c r="K479" s="55" t="s">
        <v>674</v>
      </c>
      <c r="L479" s="53" t="s">
        <v>2035</v>
      </c>
      <c r="M479" s="55" t="s">
        <v>75</v>
      </c>
      <c r="N479" s="52">
        <v>400000</v>
      </c>
      <c r="O479" s="52">
        <v>4827104000</v>
      </c>
      <c r="P479" s="52"/>
      <c r="Q479" s="57">
        <v>45068</v>
      </c>
      <c r="R479" s="57">
        <v>46070</v>
      </c>
      <c r="S479" s="56">
        <v>5</v>
      </c>
      <c r="T479" s="54">
        <v>0</v>
      </c>
      <c r="U479" s="52">
        <v>180668671</v>
      </c>
      <c r="V479" s="52">
        <v>180668671</v>
      </c>
      <c r="W479" s="52">
        <v>0</v>
      </c>
      <c r="X479" s="57"/>
      <c r="Y479" s="52">
        <v>0</v>
      </c>
      <c r="Z479" s="52">
        <v>0</v>
      </c>
      <c r="AA479" s="52">
        <v>1</v>
      </c>
      <c r="AB479" s="52">
        <v>0</v>
      </c>
      <c r="AC479" s="52">
        <v>197991.39</v>
      </c>
      <c r="AD479" s="52">
        <v>197991.39</v>
      </c>
      <c r="AE479" s="52">
        <v>0</v>
      </c>
      <c r="AF479" s="52">
        <v>0</v>
      </c>
      <c r="AG479" s="52">
        <v>0</v>
      </c>
      <c r="AH479" s="52">
        <v>0</v>
      </c>
      <c r="AI479" s="52">
        <v>0</v>
      </c>
      <c r="AJ479" s="52">
        <v>2</v>
      </c>
      <c r="AK479" s="52"/>
      <c r="AL479" s="52">
        <v>0</v>
      </c>
      <c r="AM479" s="52">
        <v>0</v>
      </c>
      <c r="AN479" s="52">
        <v>6000000000</v>
      </c>
      <c r="AO479" s="52">
        <v>5940940.8899999997</v>
      </c>
      <c r="AP479" s="52">
        <v>325930</v>
      </c>
      <c r="AQ479" s="58">
        <v>161</v>
      </c>
      <c r="AR479" s="58">
        <v>5547954.8099999987</v>
      </c>
      <c r="AS479" s="58">
        <v>211</v>
      </c>
      <c r="AT479" s="58">
        <v>7533859.8799999962</v>
      </c>
      <c r="AU479" s="58">
        <v>37</v>
      </c>
      <c r="AV479" s="58">
        <v>1396429.8499999999</v>
      </c>
      <c r="AW479" s="58">
        <v>15</v>
      </c>
      <c r="AX479" s="58">
        <v>330614.8</v>
      </c>
    </row>
    <row r="480" spans="1:50" x14ac:dyDescent="0.25">
      <c r="A480" s="52">
        <f t="shared" si="31"/>
        <v>475</v>
      </c>
      <c r="B480" s="60" t="str">
        <f t="shared" si="30"/>
        <v>0043313026502</v>
      </c>
      <c r="C480" s="55" t="s">
        <v>29</v>
      </c>
      <c r="D480" s="53" t="s">
        <v>2080</v>
      </c>
      <c r="E480" s="55" t="s">
        <v>568</v>
      </c>
      <c r="F480" s="53" t="s">
        <v>2084</v>
      </c>
      <c r="G480" s="55">
        <v>11787</v>
      </c>
      <c r="H480" s="53" t="s">
        <v>2490</v>
      </c>
      <c r="I480" s="55">
        <v>310623500</v>
      </c>
      <c r="J480" s="55">
        <v>13026502</v>
      </c>
      <c r="K480" s="55" t="s">
        <v>675</v>
      </c>
      <c r="L480" s="53" t="s">
        <v>2068</v>
      </c>
      <c r="M480" s="55" t="s">
        <v>49</v>
      </c>
      <c r="N480" s="52">
        <v>1700000000</v>
      </c>
      <c r="O480" s="52">
        <v>1700000000</v>
      </c>
      <c r="P480" s="52">
        <v>1700000000</v>
      </c>
      <c r="Q480" s="57">
        <v>45803</v>
      </c>
      <c r="R480" s="57">
        <v>46898</v>
      </c>
      <c r="S480" s="56">
        <v>28.9</v>
      </c>
      <c r="T480" s="54">
        <v>6</v>
      </c>
      <c r="U480" s="52">
        <v>1586666666</v>
      </c>
      <c r="V480" s="52">
        <v>1586666666</v>
      </c>
      <c r="W480" s="52">
        <v>0</v>
      </c>
      <c r="X480" s="57"/>
      <c r="Y480" s="52">
        <v>0</v>
      </c>
      <c r="Z480" s="52">
        <v>0</v>
      </c>
      <c r="AA480" s="52">
        <v>1</v>
      </c>
      <c r="AB480" s="52">
        <v>0</v>
      </c>
      <c r="AC480" s="52">
        <v>33919890.399999999</v>
      </c>
      <c r="AD480" s="52">
        <v>33919890.399999999</v>
      </c>
      <c r="AE480" s="52">
        <v>0</v>
      </c>
      <c r="AF480" s="52">
        <v>0</v>
      </c>
      <c r="AG480" s="52">
        <v>0</v>
      </c>
      <c r="AH480" s="52">
        <v>0</v>
      </c>
      <c r="AI480" s="52">
        <v>0</v>
      </c>
      <c r="AJ480" s="52">
        <v>2</v>
      </c>
      <c r="AK480" s="52"/>
      <c r="AL480" s="52">
        <v>0</v>
      </c>
      <c r="AM480" s="52">
        <v>0</v>
      </c>
      <c r="AN480" s="52">
        <v>2125000000</v>
      </c>
      <c r="AO480" s="52">
        <v>1828640000</v>
      </c>
      <c r="AP480" s="52">
        <v>1828640000</v>
      </c>
      <c r="AQ480" s="58">
        <v>0</v>
      </c>
      <c r="AR480" s="58">
        <v>0</v>
      </c>
      <c r="AS480" s="58">
        <v>0</v>
      </c>
      <c r="AT480" s="58">
        <v>0</v>
      </c>
      <c r="AU480" s="58">
        <v>0</v>
      </c>
      <c r="AV480" s="58">
        <v>0</v>
      </c>
      <c r="AW480" s="58">
        <v>0</v>
      </c>
      <c r="AX480" s="58">
        <v>0</v>
      </c>
    </row>
    <row r="481" spans="1:50" x14ac:dyDescent="0.25">
      <c r="A481" s="52">
        <f t="shared" si="31"/>
        <v>476</v>
      </c>
      <c r="B481" s="60" t="str">
        <f t="shared" si="30"/>
        <v>0043312137475</v>
      </c>
      <c r="C481" s="55" t="s">
        <v>29</v>
      </c>
      <c r="D481" s="53" t="s">
        <v>2080</v>
      </c>
      <c r="E481" s="55" t="s">
        <v>568</v>
      </c>
      <c r="F481" s="53" t="s">
        <v>2084</v>
      </c>
      <c r="G481" s="55">
        <v>11787</v>
      </c>
      <c r="H481" s="53" t="s">
        <v>2491</v>
      </c>
      <c r="I481" s="55">
        <v>302457196</v>
      </c>
      <c r="J481" s="55">
        <v>12137475</v>
      </c>
      <c r="K481" s="55" t="s">
        <v>676</v>
      </c>
      <c r="L481" s="53" t="s">
        <v>2068</v>
      </c>
      <c r="M481" s="55" t="s">
        <v>71</v>
      </c>
      <c r="N481" s="52">
        <v>1320000</v>
      </c>
      <c r="O481" s="52">
        <v>18666120000</v>
      </c>
      <c r="P481" s="52">
        <f>+O481</f>
        <v>18666120000</v>
      </c>
      <c r="Q481" s="57">
        <v>44294</v>
      </c>
      <c r="R481" s="57">
        <v>46118</v>
      </c>
      <c r="S481" s="56">
        <v>9</v>
      </c>
      <c r="T481" s="54">
        <v>24</v>
      </c>
      <c r="U481" s="52">
        <v>1275183595.1900001</v>
      </c>
      <c r="V481" s="52">
        <v>1275183595.1900001</v>
      </c>
      <c r="W481" s="52">
        <v>0</v>
      </c>
      <c r="X481" s="57"/>
      <c r="Y481" s="52">
        <v>0</v>
      </c>
      <c r="Z481" s="52">
        <v>0</v>
      </c>
      <c r="AA481" s="52">
        <v>1</v>
      </c>
      <c r="AB481" s="52">
        <v>0</v>
      </c>
      <c r="AC481" s="52">
        <v>594868056.25</v>
      </c>
      <c r="AD481" s="52">
        <v>10510561.5</v>
      </c>
      <c r="AE481" s="52">
        <v>0</v>
      </c>
      <c r="AF481" s="52">
        <v>409874414.48000002</v>
      </c>
      <c r="AG481" s="52">
        <v>174483080.27000001</v>
      </c>
      <c r="AH481" s="52">
        <v>0</v>
      </c>
      <c r="AI481" s="52">
        <v>0</v>
      </c>
      <c r="AJ481" s="52">
        <v>1</v>
      </c>
      <c r="AK481" s="52"/>
      <c r="AL481" s="52">
        <v>0</v>
      </c>
      <c r="AM481" s="52">
        <v>0</v>
      </c>
      <c r="AN481" s="52">
        <v>8000000000</v>
      </c>
      <c r="AO481" s="52">
        <v>0</v>
      </c>
      <c r="AP481" s="52">
        <v>0</v>
      </c>
      <c r="AQ481" s="58">
        <v>0</v>
      </c>
      <c r="AR481" s="58">
        <v>0</v>
      </c>
      <c r="AS481" s="58">
        <v>0</v>
      </c>
      <c r="AT481" s="58">
        <v>0</v>
      </c>
      <c r="AU481" s="58">
        <v>0</v>
      </c>
      <c r="AV481" s="58">
        <v>0</v>
      </c>
      <c r="AW481" s="58">
        <v>2</v>
      </c>
      <c r="AX481" s="58">
        <v>1567499.99</v>
      </c>
    </row>
    <row r="482" spans="1:50" x14ac:dyDescent="0.25">
      <c r="A482" s="52">
        <f t="shared" si="31"/>
        <v>477</v>
      </c>
      <c r="B482" s="60" t="str">
        <f t="shared" si="30"/>
        <v>0043312148741</v>
      </c>
      <c r="C482" s="55" t="s">
        <v>29</v>
      </c>
      <c r="D482" s="53" t="s">
        <v>2080</v>
      </c>
      <c r="E482" s="55" t="s">
        <v>568</v>
      </c>
      <c r="F482" s="53" t="s">
        <v>2086</v>
      </c>
      <c r="G482" s="55">
        <v>11943</v>
      </c>
      <c r="H482" s="53" t="s">
        <v>677</v>
      </c>
      <c r="I482" s="55">
        <v>306999549</v>
      </c>
      <c r="J482" s="55">
        <v>12148741</v>
      </c>
      <c r="K482" s="55" t="s">
        <v>678</v>
      </c>
      <c r="L482" s="53" t="s">
        <v>2087</v>
      </c>
      <c r="M482" s="55" t="s">
        <v>75</v>
      </c>
      <c r="N482" s="52">
        <v>1300000</v>
      </c>
      <c r="O482" s="52">
        <v>15688088000</v>
      </c>
      <c r="P482" s="52">
        <v>1300000</v>
      </c>
      <c r="Q482" s="57">
        <v>44865</v>
      </c>
      <c r="R482" s="57">
        <v>46687</v>
      </c>
      <c r="S482" s="56">
        <v>11</v>
      </c>
      <c r="T482" s="54">
        <v>36</v>
      </c>
      <c r="U482" s="52">
        <v>14484784371.5</v>
      </c>
      <c r="V482" s="52">
        <v>0</v>
      </c>
      <c r="W482" s="52">
        <v>876749195.00999999</v>
      </c>
      <c r="X482" s="57">
        <v>45996</v>
      </c>
      <c r="Y482" s="52">
        <v>13608035176.49</v>
      </c>
      <c r="Z482" s="52">
        <v>0</v>
      </c>
      <c r="AA482" s="52">
        <v>3</v>
      </c>
      <c r="AB482" s="52">
        <v>0</v>
      </c>
      <c r="AC482" s="52">
        <v>5739360349.3299999</v>
      </c>
      <c r="AD482" s="52">
        <v>149903272.75</v>
      </c>
      <c r="AE482" s="52">
        <v>0</v>
      </c>
      <c r="AF482" s="52">
        <v>3035624044</v>
      </c>
      <c r="AG482" s="52">
        <v>2553833032.5799999</v>
      </c>
      <c r="AH482" s="52">
        <v>0</v>
      </c>
      <c r="AI482" s="52">
        <v>0</v>
      </c>
      <c r="AJ482" s="52">
        <v>2</v>
      </c>
      <c r="AK482" s="52"/>
      <c r="AL482" s="52">
        <v>0</v>
      </c>
      <c r="AM482" s="52">
        <v>0</v>
      </c>
      <c r="AN482" s="52">
        <v>36684601000</v>
      </c>
      <c r="AO482" s="52">
        <v>22350</v>
      </c>
      <c r="AP482" s="52">
        <v>22350</v>
      </c>
      <c r="AQ482" s="58">
        <v>0</v>
      </c>
      <c r="AR482" s="58">
        <v>0</v>
      </c>
      <c r="AS482" s="58">
        <v>1</v>
      </c>
      <c r="AT482" s="58">
        <v>20376.09</v>
      </c>
      <c r="AU482" s="58">
        <v>194</v>
      </c>
      <c r="AV482" s="58">
        <v>9384118.6400000006</v>
      </c>
      <c r="AW482" s="58">
        <v>22</v>
      </c>
      <c r="AX482" s="58">
        <v>1477371.21</v>
      </c>
    </row>
    <row r="483" spans="1:50" x14ac:dyDescent="0.25">
      <c r="A483" s="52">
        <f t="shared" si="31"/>
        <v>478</v>
      </c>
      <c r="B483" s="60" t="str">
        <f t="shared" si="30"/>
        <v>0043312147333</v>
      </c>
      <c r="C483" s="55" t="s">
        <v>29</v>
      </c>
      <c r="D483" s="53" t="s">
        <v>2080</v>
      </c>
      <c r="E483" s="55" t="s">
        <v>568</v>
      </c>
      <c r="F483" s="53" t="s">
        <v>2086</v>
      </c>
      <c r="G483" s="55">
        <v>11943</v>
      </c>
      <c r="H483" s="53" t="s">
        <v>2492</v>
      </c>
      <c r="I483" s="55">
        <v>303495521</v>
      </c>
      <c r="J483" s="55">
        <v>12147333</v>
      </c>
      <c r="K483" s="55" t="s">
        <v>679</v>
      </c>
      <c r="L483" s="53" t="s">
        <v>2045</v>
      </c>
      <c r="M483" s="55" t="s">
        <v>75</v>
      </c>
      <c r="N483" s="52">
        <v>752500</v>
      </c>
      <c r="O483" s="52">
        <v>9080989400</v>
      </c>
      <c r="P483" s="52">
        <v>752500</v>
      </c>
      <c r="Q483" s="57">
        <v>44083</v>
      </c>
      <c r="R483" s="57">
        <v>47712</v>
      </c>
      <c r="S483" s="56">
        <v>7</v>
      </c>
      <c r="T483" s="54">
        <v>24</v>
      </c>
      <c r="U483" s="52">
        <v>6557016250</v>
      </c>
      <c r="V483" s="52">
        <v>6557016250</v>
      </c>
      <c r="W483" s="52">
        <v>0</v>
      </c>
      <c r="X483" s="57"/>
      <c r="Y483" s="52">
        <v>0</v>
      </c>
      <c r="Z483" s="52">
        <v>0</v>
      </c>
      <c r="AA483" s="52">
        <v>1</v>
      </c>
      <c r="AB483" s="52">
        <v>0</v>
      </c>
      <c r="AC483" s="52">
        <v>325765254.37</v>
      </c>
      <c r="AD483" s="52">
        <v>114747784.38</v>
      </c>
      <c r="AE483" s="52">
        <v>211017469.99000001</v>
      </c>
      <c r="AF483" s="52">
        <v>0</v>
      </c>
      <c r="AG483" s="52">
        <v>0</v>
      </c>
      <c r="AH483" s="52">
        <v>0</v>
      </c>
      <c r="AI483" s="52">
        <v>0</v>
      </c>
      <c r="AJ483" s="52">
        <v>2</v>
      </c>
      <c r="AK483" s="52"/>
      <c r="AL483" s="52">
        <v>0</v>
      </c>
      <c r="AM483" s="52">
        <v>0</v>
      </c>
      <c r="AN483" s="52">
        <v>9317000000</v>
      </c>
      <c r="AO483" s="52">
        <v>785000000</v>
      </c>
      <c r="AP483" s="52">
        <v>785000000</v>
      </c>
      <c r="AQ483" s="58">
        <v>0</v>
      </c>
      <c r="AR483" s="58">
        <v>0</v>
      </c>
      <c r="AS483" s="58">
        <v>0</v>
      </c>
      <c r="AT483" s="58">
        <v>0</v>
      </c>
      <c r="AU483" s="58">
        <v>0</v>
      </c>
      <c r="AV483" s="58">
        <v>0</v>
      </c>
      <c r="AW483" s="58">
        <v>5</v>
      </c>
      <c r="AX483" s="58">
        <v>752500</v>
      </c>
    </row>
    <row r="484" spans="1:50" x14ac:dyDescent="0.25">
      <c r="A484" s="52">
        <f t="shared" si="31"/>
        <v>479</v>
      </c>
      <c r="B484" s="60" t="str">
        <f t="shared" si="30"/>
        <v>0043312147485</v>
      </c>
      <c r="C484" s="55" t="s">
        <v>29</v>
      </c>
      <c r="D484" s="53" t="s">
        <v>2080</v>
      </c>
      <c r="E484" s="55" t="s">
        <v>568</v>
      </c>
      <c r="F484" s="53" t="s">
        <v>2086</v>
      </c>
      <c r="G484" s="55">
        <v>11943</v>
      </c>
      <c r="H484" s="53" t="s">
        <v>680</v>
      </c>
      <c r="I484" s="55">
        <v>308190598</v>
      </c>
      <c r="J484" s="55">
        <v>12147485</v>
      </c>
      <c r="K484" s="55" t="s">
        <v>681</v>
      </c>
      <c r="L484" s="53" t="s">
        <v>2087</v>
      </c>
      <c r="M484" s="55" t="s">
        <v>75</v>
      </c>
      <c r="N484" s="52">
        <v>185000</v>
      </c>
      <c r="O484" s="52">
        <v>2232535600</v>
      </c>
      <c r="P484" s="52">
        <v>185000</v>
      </c>
      <c r="Q484" s="57">
        <v>44251</v>
      </c>
      <c r="R484" s="57">
        <v>46076</v>
      </c>
      <c r="S484" s="56">
        <v>9</v>
      </c>
      <c r="T484" s="54">
        <v>0</v>
      </c>
      <c r="U484" s="52">
        <v>2195838000</v>
      </c>
      <c r="V484" s="52">
        <v>75720789.629999995</v>
      </c>
      <c r="W484" s="52">
        <v>2120117210.3699999</v>
      </c>
      <c r="X484" s="57">
        <v>45204</v>
      </c>
      <c r="Y484" s="52">
        <v>0</v>
      </c>
      <c r="Z484" s="52">
        <v>0</v>
      </c>
      <c r="AA484" s="52">
        <v>5</v>
      </c>
      <c r="AB484" s="52">
        <v>1097919000</v>
      </c>
      <c r="AC484" s="52">
        <v>638583115.93000007</v>
      </c>
      <c r="AD484" s="52">
        <v>537614.34</v>
      </c>
      <c r="AE484" s="52">
        <v>124733479.67</v>
      </c>
      <c r="AF484" s="52">
        <v>0</v>
      </c>
      <c r="AG484" s="52">
        <v>513312021.92000002</v>
      </c>
      <c r="AH484" s="52">
        <v>0</v>
      </c>
      <c r="AI484" s="52">
        <v>0</v>
      </c>
      <c r="AJ484" s="52">
        <v>2</v>
      </c>
      <c r="AK484" s="52"/>
      <c r="AL484" s="52">
        <v>0</v>
      </c>
      <c r="AM484" s="52">
        <v>0</v>
      </c>
      <c r="AN484" s="52">
        <v>0</v>
      </c>
      <c r="AO484" s="52">
        <v>0</v>
      </c>
      <c r="AP484" s="52">
        <v>0</v>
      </c>
      <c r="AQ484" s="58">
        <v>0</v>
      </c>
      <c r="AR484" s="58">
        <v>0</v>
      </c>
      <c r="AS484" s="58">
        <v>0</v>
      </c>
      <c r="AT484" s="58">
        <v>0</v>
      </c>
      <c r="AU484" s="58">
        <v>0</v>
      </c>
      <c r="AV484" s="58">
        <v>0</v>
      </c>
      <c r="AW484" s="58">
        <v>0</v>
      </c>
      <c r="AX484" s="58">
        <v>0</v>
      </c>
    </row>
    <row r="485" spans="1:50" x14ac:dyDescent="0.25">
      <c r="A485" s="52">
        <f t="shared" si="31"/>
        <v>480</v>
      </c>
      <c r="B485" s="60" t="str">
        <f t="shared" si="30"/>
        <v>0043312147673</v>
      </c>
      <c r="C485" s="55" t="s">
        <v>29</v>
      </c>
      <c r="D485" s="53" t="s">
        <v>2080</v>
      </c>
      <c r="E485" s="55" t="s">
        <v>568</v>
      </c>
      <c r="F485" s="53" t="s">
        <v>2086</v>
      </c>
      <c r="G485" s="55">
        <v>11943</v>
      </c>
      <c r="H485" s="53" t="s">
        <v>2493</v>
      </c>
      <c r="I485" s="55">
        <v>308463859</v>
      </c>
      <c r="J485" s="55">
        <v>12147673</v>
      </c>
      <c r="K485" s="55" t="s">
        <v>682</v>
      </c>
      <c r="L485" s="53" t="s">
        <v>2087</v>
      </c>
      <c r="M485" s="55" t="s">
        <v>49</v>
      </c>
      <c r="N485" s="52">
        <v>2000000000</v>
      </c>
      <c r="O485" s="52">
        <v>2000000000</v>
      </c>
      <c r="P485" s="52">
        <v>2000000000</v>
      </c>
      <c r="Q485" s="57">
        <v>44355</v>
      </c>
      <c r="R485" s="57">
        <v>46910</v>
      </c>
      <c r="S485" s="56">
        <v>18</v>
      </c>
      <c r="T485" s="54">
        <v>24</v>
      </c>
      <c r="U485" s="52">
        <v>2000000000</v>
      </c>
      <c r="V485" s="52">
        <v>966666677</v>
      </c>
      <c r="W485" s="52">
        <v>1033333323</v>
      </c>
      <c r="X485" s="57">
        <v>45112</v>
      </c>
      <c r="Y485" s="52">
        <v>0</v>
      </c>
      <c r="Z485" s="52">
        <v>0</v>
      </c>
      <c r="AA485" s="52">
        <v>5</v>
      </c>
      <c r="AB485" s="52">
        <v>0</v>
      </c>
      <c r="AC485" s="52">
        <v>1498222007.2</v>
      </c>
      <c r="AD485" s="52">
        <v>13364383.699999999</v>
      </c>
      <c r="AE485" s="52">
        <v>0</v>
      </c>
      <c r="AF485" s="52">
        <v>0</v>
      </c>
      <c r="AG485" s="52">
        <v>1484857623.5</v>
      </c>
      <c r="AH485" s="52">
        <v>0</v>
      </c>
      <c r="AI485" s="52">
        <v>0</v>
      </c>
      <c r="AJ485" s="52">
        <v>2</v>
      </c>
      <c r="AK485" s="52"/>
      <c r="AL485" s="52">
        <v>0</v>
      </c>
      <c r="AM485" s="52">
        <v>0</v>
      </c>
      <c r="AN485" s="52">
        <v>2305000000</v>
      </c>
      <c r="AO485" s="52">
        <v>0</v>
      </c>
      <c r="AP485" s="52">
        <v>0</v>
      </c>
      <c r="AQ485" s="58">
        <v>0</v>
      </c>
      <c r="AR485" s="58">
        <v>0</v>
      </c>
      <c r="AS485" s="58">
        <v>0</v>
      </c>
      <c r="AT485" s="58">
        <v>0</v>
      </c>
      <c r="AU485" s="58">
        <v>0</v>
      </c>
      <c r="AV485" s="58">
        <v>0</v>
      </c>
      <c r="AW485" s="58">
        <v>0</v>
      </c>
      <c r="AX485" s="58">
        <v>0</v>
      </c>
    </row>
    <row r="486" spans="1:50" x14ac:dyDescent="0.25">
      <c r="A486" s="52">
        <f t="shared" si="31"/>
        <v>481</v>
      </c>
      <c r="B486" s="60" t="str">
        <f t="shared" si="30"/>
        <v>0043312147685</v>
      </c>
      <c r="C486" s="55" t="s">
        <v>29</v>
      </c>
      <c r="D486" s="53" t="s">
        <v>2080</v>
      </c>
      <c r="E486" s="55" t="s">
        <v>568</v>
      </c>
      <c r="F486" s="53" t="s">
        <v>2086</v>
      </c>
      <c r="G486" s="55">
        <v>11943</v>
      </c>
      <c r="H486" s="53" t="s">
        <v>683</v>
      </c>
      <c r="I486" s="55">
        <v>302019083</v>
      </c>
      <c r="J486" s="55">
        <v>12147685</v>
      </c>
      <c r="K486" s="55" t="s">
        <v>684</v>
      </c>
      <c r="L486" s="53" t="s">
        <v>2087</v>
      </c>
      <c r="M486" s="55" t="s">
        <v>75</v>
      </c>
      <c r="N486" s="52">
        <v>189000</v>
      </c>
      <c r="O486" s="52">
        <v>2280806640</v>
      </c>
      <c r="P486" s="52">
        <v>189000</v>
      </c>
      <c r="Q486" s="57">
        <v>44362</v>
      </c>
      <c r="R486" s="57">
        <v>46186</v>
      </c>
      <c r="S486" s="56">
        <v>9</v>
      </c>
      <c r="T486" s="54">
        <v>12</v>
      </c>
      <c r="U486" s="52">
        <v>1993332086.0599999</v>
      </c>
      <c r="V486" s="52">
        <v>0</v>
      </c>
      <c r="W486" s="52">
        <v>332221994.00999999</v>
      </c>
      <c r="X486" s="57">
        <v>46027</v>
      </c>
      <c r="Y486" s="52">
        <v>1661110092.05</v>
      </c>
      <c r="Z486" s="52">
        <v>0</v>
      </c>
      <c r="AA486" s="52">
        <v>1</v>
      </c>
      <c r="AB486" s="52">
        <v>0</v>
      </c>
      <c r="AC486" s="52">
        <v>342566952.79999995</v>
      </c>
      <c r="AD486" s="52">
        <v>8197551.2199999997</v>
      </c>
      <c r="AE486" s="52">
        <v>180807252.78</v>
      </c>
      <c r="AF486" s="52">
        <v>117209196.78</v>
      </c>
      <c r="AG486" s="52">
        <v>36352952.019999996</v>
      </c>
      <c r="AH486" s="52">
        <v>0</v>
      </c>
      <c r="AI486" s="52">
        <v>0</v>
      </c>
      <c r="AJ486" s="52">
        <v>2</v>
      </c>
      <c r="AK486" s="52"/>
      <c r="AL486" s="52">
        <v>0</v>
      </c>
      <c r="AM486" s="52">
        <v>0</v>
      </c>
      <c r="AN486" s="52">
        <v>2496000000</v>
      </c>
      <c r="AO486" s="52">
        <v>160816695652</v>
      </c>
      <c r="AP486" s="52">
        <v>21235859829</v>
      </c>
      <c r="AQ486" s="58">
        <v>0</v>
      </c>
      <c r="AR486" s="58">
        <v>0</v>
      </c>
      <c r="AS486" s="58">
        <v>0</v>
      </c>
      <c r="AT486" s="58">
        <v>0</v>
      </c>
      <c r="AU486" s="58">
        <v>0</v>
      </c>
      <c r="AV486" s="58">
        <v>0</v>
      </c>
      <c r="AW486" s="58">
        <v>0</v>
      </c>
      <c r="AX486" s="58">
        <v>0</v>
      </c>
    </row>
    <row r="487" spans="1:50" x14ac:dyDescent="0.25">
      <c r="A487" s="52">
        <f t="shared" si="31"/>
        <v>482</v>
      </c>
      <c r="B487" s="60" t="str">
        <f t="shared" si="30"/>
        <v>0043312147053</v>
      </c>
      <c r="C487" s="55" t="s">
        <v>29</v>
      </c>
      <c r="D487" s="53" t="s">
        <v>2080</v>
      </c>
      <c r="E487" s="55" t="s">
        <v>568</v>
      </c>
      <c r="F487" s="53" t="s">
        <v>2086</v>
      </c>
      <c r="G487" s="55">
        <v>11943</v>
      </c>
      <c r="H487" s="53" t="s">
        <v>2494</v>
      </c>
      <c r="I487" s="55">
        <v>204759351</v>
      </c>
      <c r="J487" s="55">
        <v>12147053</v>
      </c>
      <c r="K487" s="55" t="s">
        <v>685</v>
      </c>
      <c r="L487" s="53" t="s">
        <v>2087</v>
      </c>
      <c r="M487" s="55" t="s">
        <v>75</v>
      </c>
      <c r="N487" s="52">
        <v>620000</v>
      </c>
      <c r="O487" s="52">
        <v>7482011200</v>
      </c>
      <c r="P487" s="52">
        <v>620000</v>
      </c>
      <c r="Q487" s="57">
        <v>43692</v>
      </c>
      <c r="R487" s="57">
        <v>45330</v>
      </c>
      <c r="S487" s="56">
        <v>9</v>
      </c>
      <c r="T487" s="54">
        <v>12</v>
      </c>
      <c r="U487" s="52">
        <v>1712482697.99</v>
      </c>
      <c r="V487" s="52">
        <v>0</v>
      </c>
      <c r="W487" s="52">
        <v>1712482697.99</v>
      </c>
      <c r="X487" s="57">
        <v>45132</v>
      </c>
      <c r="Y487" s="52">
        <v>0</v>
      </c>
      <c r="Z487" s="52">
        <v>0</v>
      </c>
      <c r="AA487" s="52">
        <v>4</v>
      </c>
      <c r="AB487" s="52">
        <v>1712482697.99</v>
      </c>
      <c r="AC487" s="52">
        <v>1168318664.2</v>
      </c>
      <c r="AD487" s="52">
        <v>0</v>
      </c>
      <c r="AE487" s="52">
        <v>0</v>
      </c>
      <c r="AF487" s="52">
        <v>0</v>
      </c>
      <c r="AG487" s="52">
        <v>1168318664.2</v>
      </c>
      <c r="AH487" s="52">
        <v>0</v>
      </c>
      <c r="AI487" s="52">
        <v>0</v>
      </c>
      <c r="AJ487" s="52">
        <v>2</v>
      </c>
      <c r="AK487" s="52"/>
      <c r="AL487" s="52">
        <v>50192138999</v>
      </c>
      <c r="AM487" s="52">
        <v>0</v>
      </c>
      <c r="AN487" s="52">
        <v>8370000000</v>
      </c>
      <c r="AO487" s="52">
        <v>42475905</v>
      </c>
      <c r="AP487" s="52">
        <v>42475905</v>
      </c>
      <c r="AQ487" s="58">
        <v>0</v>
      </c>
      <c r="AR487" s="58">
        <v>0</v>
      </c>
      <c r="AS487" s="58">
        <v>0</v>
      </c>
      <c r="AT487" s="58">
        <v>0</v>
      </c>
      <c r="AU487" s="58">
        <v>0</v>
      </c>
      <c r="AV487" s="58">
        <v>0</v>
      </c>
      <c r="AW487" s="58">
        <v>1</v>
      </c>
      <c r="AX487" s="58">
        <v>98000</v>
      </c>
    </row>
    <row r="488" spans="1:50" x14ac:dyDescent="0.25">
      <c r="A488" s="52">
        <f t="shared" si="31"/>
        <v>483</v>
      </c>
      <c r="B488" s="60" t="str">
        <f t="shared" si="30"/>
        <v>0043312147784</v>
      </c>
      <c r="C488" s="55" t="s">
        <v>29</v>
      </c>
      <c r="D488" s="53" t="s">
        <v>2080</v>
      </c>
      <c r="E488" s="55" t="s">
        <v>568</v>
      </c>
      <c r="F488" s="53" t="s">
        <v>2086</v>
      </c>
      <c r="G488" s="55">
        <v>11943</v>
      </c>
      <c r="H488" s="53" t="s">
        <v>2495</v>
      </c>
      <c r="I488" s="55">
        <v>308772410</v>
      </c>
      <c r="J488" s="55">
        <v>12147784</v>
      </c>
      <c r="K488" s="55" t="s">
        <v>686</v>
      </c>
      <c r="L488" s="53" t="s">
        <v>2087</v>
      </c>
      <c r="M488" s="55" t="s">
        <v>75</v>
      </c>
      <c r="N488" s="52">
        <v>186000</v>
      </c>
      <c r="O488" s="52">
        <v>2244603360</v>
      </c>
      <c r="P488" s="52">
        <v>186000</v>
      </c>
      <c r="Q488" s="57">
        <v>44446</v>
      </c>
      <c r="R488" s="57">
        <v>46271</v>
      </c>
      <c r="S488" s="56">
        <v>9</v>
      </c>
      <c r="T488" s="54">
        <v>0</v>
      </c>
      <c r="U488" s="52">
        <v>1554952791.9100001</v>
      </c>
      <c r="V488" s="52">
        <v>423196538.27999997</v>
      </c>
      <c r="W488" s="52">
        <v>1131756253.6300001</v>
      </c>
      <c r="X488" s="57">
        <v>45387</v>
      </c>
      <c r="Y488" s="52">
        <v>0</v>
      </c>
      <c r="Z488" s="52">
        <v>0</v>
      </c>
      <c r="AA488" s="52">
        <v>5</v>
      </c>
      <c r="AB488" s="52">
        <v>0</v>
      </c>
      <c r="AC488" s="52">
        <v>383442477.17000002</v>
      </c>
      <c r="AD488" s="52">
        <v>2939983.1</v>
      </c>
      <c r="AE488" s="52">
        <v>112922433.04000001</v>
      </c>
      <c r="AF488" s="52">
        <v>0</v>
      </c>
      <c r="AG488" s="52">
        <v>267580061.03000003</v>
      </c>
      <c r="AH488" s="52">
        <v>0</v>
      </c>
      <c r="AI488" s="52">
        <v>0</v>
      </c>
      <c r="AJ488" s="52">
        <v>2</v>
      </c>
      <c r="AK488" s="52"/>
      <c r="AL488" s="52">
        <v>0</v>
      </c>
      <c r="AM488" s="52">
        <v>0</v>
      </c>
      <c r="AN488" s="52">
        <v>0</v>
      </c>
      <c r="AO488" s="52">
        <v>0</v>
      </c>
      <c r="AP488" s="52">
        <v>0</v>
      </c>
      <c r="AQ488" s="58">
        <v>0</v>
      </c>
      <c r="AR488" s="58">
        <v>0</v>
      </c>
      <c r="AS488" s="58">
        <v>0</v>
      </c>
      <c r="AT488" s="58">
        <v>0</v>
      </c>
      <c r="AU488" s="58">
        <v>0</v>
      </c>
      <c r="AV488" s="58">
        <v>0</v>
      </c>
      <c r="AW488" s="58">
        <v>0</v>
      </c>
      <c r="AX488" s="58">
        <v>0</v>
      </c>
    </row>
    <row r="489" spans="1:50" x14ac:dyDescent="0.25">
      <c r="A489" s="52">
        <f t="shared" si="31"/>
        <v>484</v>
      </c>
      <c r="B489" s="60" t="str">
        <f t="shared" si="30"/>
        <v>0043312147762</v>
      </c>
      <c r="C489" s="55" t="s">
        <v>29</v>
      </c>
      <c r="D489" s="53" t="s">
        <v>2080</v>
      </c>
      <c r="E489" s="55" t="s">
        <v>568</v>
      </c>
      <c r="F489" s="53" t="s">
        <v>2086</v>
      </c>
      <c r="G489" s="55">
        <v>11943</v>
      </c>
      <c r="H489" s="53" t="s">
        <v>2496</v>
      </c>
      <c r="I489" s="55">
        <v>308571123</v>
      </c>
      <c r="J489" s="55">
        <v>12147762</v>
      </c>
      <c r="K489" s="55" t="s">
        <v>687</v>
      </c>
      <c r="L489" s="53" t="s">
        <v>2087</v>
      </c>
      <c r="M489" s="55" t="s">
        <v>75</v>
      </c>
      <c r="N489" s="52">
        <v>187000</v>
      </c>
      <c r="O489" s="52">
        <v>2256671120</v>
      </c>
      <c r="P489" s="52">
        <v>187000</v>
      </c>
      <c r="Q489" s="57">
        <v>44410</v>
      </c>
      <c r="R489" s="57">
        <v>46235</v>
      </c>
      <c r="S489" s="56">
        <v>9</v>
      </c>
      <c r="T489" s="54">
        <v>12</v>
      </c>
      <c r="U489" s="52">
        <v>1309779061.8299999</v>
      </c>
      <c r="V489" s="52">
        <v>477228426.02999997</v>
      </c>
      <c r="W489" s="52">
        <v>832550635.79999995</v>
      </c>
      <c r="X489" s="57">
        <v>45663</v>
      </c>
      <c r="Y489" s="52">
        <v>0</v>
      </c>
      <c r="Z489" s="52">
        <v>0</v>
      </c>
      <c r="AA489" s="52">
        <v>4</v>
      </c>
      <c r="AB489" s="52">
        <v>0</v>
      </c>
      <c r="AC489" s="52">
        <v>433388764.33999997</v>
      </c>
      <c r="AD489" s="52">
        <v>3316691.31</v>
      </c>
      <c r="AE489" s="52">
        <v>1227107.47</v>
      </c>
      <c r="AF489" s="52">
        <v>0</v>
      </c>
      <c r="AG489" s="52">
        <v>428844965.56</v>
      </c>
      <c r="AH489" s="52">
        <v>0</v>
      </c>
      <c r="AI489" s="52">
        <v>0</v>
      </c>
      <c r="AJ489" s="52">
        <v>2</v>
      </c>
      <c r="AK489" s="52"/>
      <c r="AL489" s="52">
        <v>436507010285</v>
      </c>
      <c r="AM489" s="52">
        <v>0</v>
      </c>
      <c r="AN489" s="52">
        <v>2480000000</v>
      </c>
      <c r="AO489" s="52">
        <v>1900086250</v>
      </c>
      <c r="AP489" s="52">
        <v>135572858</v>
      </c>
      <c r="AQ489" s="58">
        <v>0</v>
      </c>
      <c r="AR489" s="58">
        <v>0</v>
      </c>
      <c r="AS489" s="58">
        <v>0</v>
      </c>
      <c r="AT489" s="58">
        <v>0</v>
      </c>
      <c r="AU489" s="58">
        <v>0</v>
      </c>
      <c r="AV489" s="58">
        <v>0</v>
      </c>
      <c r="AW489" s="58">
        <v>0</v>
      </c>
      <c r="AX489" s="58">
        <v>0</v>
      </c>
    </row>
    <row r="490" spans="1:50" x14ac:dyDescent="0.25">
      <c r="A490" s="52">
        <f t="shared" si="31"/>
        <v>485</v>
      </c>
      <c r="B490" s="60" t="str">
        <f t="shared" si="30"/>
        <v>0043312147785</v>
      </c>
      <c r="C490" s="55" t="s">
        <v>29</v>
      </c>
      <c r="D490" s="53" t="s">
        <v>2080</v>
      </c>
      <c r="E490" s="55" t="s">
        <v>568</v>
      </c>
      <c r="F490" s="53" t="s">
        <v>2086</v>
      </c>
      <c r="G490" s="55">
        <v>11943</v>
      </c>
      <c r="H490" s="53" t="s">
        <v>2497</v>
      </c>
      <c r="I490" s="55">
        <v>308747203</v>
      </c>
      <c r="J490" s="55">
        <v>12147785</v>
      </c>
      <c r="K490" s="55" t="s">
        <v>688</v>
      </c>
      <c r="L490" s="53" t="s">
        <v>2087</v>
      </c>
      <c r="M490" s="55" t="s">
        <v>75</v>
      </c>
      <c r="N490" s="52">
        <v>186000</v>
      </c>
      <c r="O490" s="52">
        <v>2244603360</v>
      </c>
      <c r="P490" s="52">
        <v>186000</v>
      </c>
      <c r="Q490" s="57">
        <v>44446</v>
      </c>
      <c r="R490" s="57">
        <v>46271</v>
      </c>
      <c r="S490" s="56">
        <v>9</v>
      </c>
      <c r="T490" s="54">
        <v>0</v>
      </c>
      <c r="U490" s="52">
        <v>1269378936.3800001</v>
      </c>
      <c r="V490" s="52">
        <v>423192390.58999997</v>
      </c>
      <c r="W490" s="52">
        <v>846186545.79999995</v>
      </c>
      <c r="X490" s="57">
        <v>45572</v>
      </c>
      <c r="Y490" s="52">
        <v>0</v>
      </c>
      <c r="Z490" s="52">
        <v>0</v>
      </c>
      <c r="AA490" s="52">
        <v>4</v>
      </c>
      <c r="AB490" s="52">
        <v>0</v>
      </c>
      <c r="AC490" s="52">
        <v>345138279.10000002</v>
      </c>
      <c r="AD490" s="52">
        <v>2975604.47</v>
      </c>
      <c r="AE490" s="52">
        <v>0</v>
      </c>
      <c r="AF490" s="52">
        <v>0</v>
      </c>
      <c r="AG490" s="52">
        <v>342162674.63</v>
      </c>
      <c r="AH490" s="52">
        <v>0</v>
      </c>
      <c r="AI490" s="52">
        <v>0</v>
      </c>
      <c r="AJ490" s="52">
        <v>2</v>
      </c>
      <c r="AK490" s="52"/>
      <c r="AL490" s="52">
        <v>96198207</v>
      </c>
      <c r="AM490" s="52">
        <v>0</v>
      </c>
      <c r="AN490" s="52">
        <v>0</v>
      </c>
      <c r="AO490" s="52">
        <v>0</v>
      </c>
      <c r="AP490" s="52">
        <v>0</v>
      </c>
      <c r="AQ490" s="58">
        <v>0</v>
      </c>
      <c r="AR490" s="58">
        <v>0</v>
      </c>
      <c r="AS490" s="58">
        <v>0</v>
      </c>
      <c r="AT490" s="58">
        <v>0</v>
      </c>
      <c r="AU490" s="58">
        <v>0</v>
      </c>
      <c r="AV490" s="58">
        <v>0</v>
      </c>
      <c r="AW490" s="58">
        <v>0</v>
      </c>
      <c r="AX490" s="58">
        <v>0</v>
      </c>
    </row>
    <row r="491" spans="1:50" x14ac:dyDescent="0.25">
      <c r="A491" s="52">
        <f t="shared" si="31"/>
        <v>486</v>
      </c>
      <c r="B491" s="60" t="str">
        <f t="shared" si="30"/>
        <v>0043312147711</v>
      </c>
      <c r="C491" s="55" t="s">
        <v>29</v>
      </c>
      <c r="D491" s="53" t="s">
        <v>2080</v>
      </c>
      <c r="E491" s="55" t="s">
        <v>568</v>
      </c>
      <c r="F491" s="53" t="s">
        <v>2086</v>
      </c>
      <c r="G491" s="55">
        <v>11943</v>
      </c>
      <c r="H491" s="53" t="s">
        <v>2498</v>
      </c>
      <c r="I491" s="55">
        <v>308541319</v>
      </c>
      <c r="J491" s="55">
        <v>12147711</v>
      </c>
      <c r="K491" s="55" t="s">
        <v>689</v>
      </c>
      <c r="L491" s="53" t="s">
        <v>2087</v>
      </c>
      <c r="M491" s="55" t="s">
        <v>75</v>
      </c>
      <c r="N491" s="52">
        <v>188500</v>
      </c>
      <c r="O491" s="52">
        <v>2274772760</v>
      </c>
      <c r="P491" s="52">
        <v>188500</v>
      </c>
      <c r="Q491" s="57">
        <v>44386</v>
      </c>
      <c r="R491" s="57">
        <v>46201</v>
      </c>
      <c r="S491" s="56">
        <v>9</v>
      </c>
      <c r="T491" s="54">
        <v>0</v>
      </c>
      <c r="U491" s="52">
        <v>1065755340.9</v>
      </c>
      <c r="V491" s="52">
        <v>282531643.95999998</v>
      </c>
      <c r="W491" s="52">
        <v>783223696.94000006</v>
      </c>
      <c r="X491" s="57">
        <v>45631</v>
      </c>
      <c r="Y491" s="52">
        <v>0</v>
      </c>
      <c r="Z491" s="52">
        <v>0</v>
      </c>
      <c r="AA491" s="52">
        <v>4</v>
      </c>
      <c r="AB491" s="52">
        <v>0</v>
      </c>
      <c r="AC491" s="52">
        <v>377751231.05000001</v>
      </c>
      <c r="AD491" s="52">
        <v>1966372.93</v>
      </c>
      <c r="AE491" s="52">
        <v>101516518.52</v>
      </c>
      <c r="AF491" s="52">
        <v>0</v>
      </c>
      <c r="AG491" s="52">
        <v>274268339.60000002</v>
      </c>
      <c r="AH491" s="52">
        <v>0</v>
      </c>
      <c r="AI491" s="52">
        <v>0</v>
      </c>
      <c r="AJ491" s="52">
        <v>2</v>
      </c>
      <c r="AK491" s="52"/>
      <c r="AL491" s="52">
        <v>0</v>
      </c>
      <c r="AM491" s="52">
        <v>0</v>
      </c>
      <c r="AN491" s="52">
        <v>0</v>
      </c>
      <c r="AO491" s="52">
        <v>0</v>
      </c>
      <c r="AP491" s="52">
        <v>0</v>
      </c>
      <c r="AQ491" s="58">
        <v>0</v>
      </c>
      <c r="AR491" s="58">
        <v>0</v>
      </c>
      <c r="AS491" s="58">
        <v>0</v>
      </c>
      <c r="AT491" s="58">
        <v>0</v>
      </c>
      <c r="AU491" s="58">
        <v>0</v>
      </c>
      <c r="AV491" s="58">
        <v>0</v>
      </c>
      <c r="AW491" s="58">
        <v>0</v>
      </c>
      <c r="AX491" s="58">
        <v>0</v>
      </c>
    </row>
    <row r="492" spans="1:50" x14ac:dyDescent="0.25">
      <c r="A492" s="52">
        <f t="shared" si="31"/>
        <v>487</v>
      </c>
      <c r="B492" s="60" t="str">
        <f t="shared" si="30"/>
        <v>0043312147942</v>
      </c>
      <c r="C492" s="55" t="s">
        <v>29</v>
      </c>
      <c r="D492" s="53" t="s">
        <v>2080</v>
      </c>
      <c r="E492" s="55" t="s">
        <v>568</v>
      </c>
      <c r="F492" s="53" t="s">
        <v>2086</v>
      </c>
      <c r="G492" s="55">
        <v>11943</v>
      </c>
      <c r="H492" s="53" t="s">
        <v>2499</v>
      </c>
      <c r="I492" s="55">
        <v>308863012</v>
      </c>
      <c r="J492" s="55">
        <v>12147942</v>
      </c>
      <c r="K492" s="55" t="s">
        <v>690</v>
      </c>
      <c r="L492" s="53" t="s">
        <v>2087</v>
      </c>
      <c r="M492" s="55" t="s">
        <v>75</v>
      </c>
      <c r="N492" s="52">
        <v>100000</v>
      </c>
      <c r="O492" s="52">
        <v>1206776000</v>
      </c>
      <c r="P492" s="52">
        <v>100000</v>
      </c>
      <c r="Q492" s="57">
        <v>44637</v>
      </c>
      <c r="R492" s="57">
        <v>47193</v>
      </c>
      <c r="S492" s="56">
        <v>3</v>
      </c>
      <c r="T492" s="54">
        <v>24</v>
      </c>
      <c r="U492" s="52">
        <v>320220275.44999999</v>
      </c>
      <c r="V492" s="52">
        <v>320220275.44999999</v>
      </c>
      <c r="W492" s="52">
        <v>0</v>
      </c>
      <c r="X492" s="57"/>
      <c r="Y492" s="52">
        <v>0</v>
      </c>
      <c r="Z492" s="52">
        <v>0</v>
      </c>
      <c r="AA492" s="52">
        <v>5</v>
      </c>
      <c r="AB492" s="52">
        <v>0</v>
      </c>
      <c r="AC492" s="52">
        <v>59240049.509999998</v>
      </c>
      <c r="AD492" s="52">
        <v>133458.15</v>
      </c>
      <c r="AE492" s="52">
        <v>0</v>
      </c>
      <c r="AF492" s="52">
        <v>0</v>
      </c>
      <c r="AG492" s="52">
        <v>59106591.359999999</v>
      </c>
      <c r="AH492" s="52">
        <v>0</v>
      </c>
      <c r="AI492" s="52">
        <v>0</v>
      </c>
      <c r="AJ492" s="52">
        <v>2</v>
      </c>
      <c r="AK492" s="52"/>
      <c r="AL492" s="52">
        <v>0</v>
      </c>
      <c r="AM492" s="52">
        <v>0</v>
      </c>
      <c r="AN492" s="52">
        <v>1150000000</v>
      </c>
      <c r="AO492" s="52">
        <v>100</v>
      </c>
      <c r="AP492" s="52">
        <v>6231825</v>
      </c>
      <c r="AQ492" s="58">
        <v>0</v>
      </c>
      <c r="AR492" s="58">
        <v>0</v>
      </c>
      <c r="AS492" s="58">
        <v>0</v>
      </c>
      <c r="AT492" s="58">
        <v>0</v>
      </c>
      <c r="AU492" s="58">
        <v>0</v>
      </c>
      <c r="AV492" s="58">
        <v>0</v>
      </c>
      <c r="AW492" s="58">
        <v>1</v>
      </c>
      <c r="AX492" s="58">
        <v>100000</v>
      </c>
    </row>
    <row r="493" spans="1:50" x14ac:dyDescent="0.25">
      <c r="A493" s="52">
        <f t="shared" si="31"/>
        <v>488</v>
      </c>
      <c r="B493" s="60" t="str">
        <f t="shared" si="30"/>
        <v>0043313087758</v>
      </c>
      <c r="C493" s="55" t="s">
        <v>29</v>
      </c>
      <c r="D493" s="53" t="s">
        <v>2080</v>
      </c>
      <c r="E493" s="55" t="s">
        <v>568</v>
      </c>
      <c r="F493" s="53" t="s">
        <v>2095</v>
      </c>
      <c r="G493" s="55">
        <v>11978</v>
      </c>
      <c r="H493" s="53" t="s">
        <v>691</v>
      </c>
      <c r="I493" s="55">
        <v>306856440</v>
      </c>
      <c r="J493" s="55">
        <v>13087758</v>
      </c>
      <c r="K493" s="55" t="s">
        <v>692</v>
      </c>
      <c r="L493" s="53" t="s">
        <v>2060</v>
      </c>
      <c r="M493" s="55" t="s">
        <v>75</v>
      </c>
      <c r="N493" s="52">
        <v>6277000</v>
      </c>
      <c r="O493" s="52">
        <v>75749329520</v>
      </c>
      <c r="P493" s="52">
        <v>3138500</v>
      </c>
      <c r="Q493" s="57">
        <v>45911</v>
      </c>
      <c r="R493" s="57">
        <v>48467</v>
      </c>
      <c r="S493" s="56">
        <v>14.07</v>
      </c>
      <c r="T493" s="54">
        <v>19</v>
      </c>
      <c r="U493" s="52">
        <v>38286875350</v>
      </c>
      <c r="V493" s="52">
        <v>38286875350</v>
      </c>
      <c r="W493" s="52">
        <v>0</v>
      </c>
      <c r="X493" s="57"/>
      <c r="Y493" s="52">
        <v>0</v>
      </c>
      <c r="Z493" s="52">
        <v>0</v>
      </c>
      <c r="AA493" s="52">
        <v>1</v>
      </c>
      <c r="AB493" s="52">
        <v>0</v>
      </c>
      <c r="AC493" s="52">
        <v>2124459114.04</v>
      </c>
      <c r="AD493" s="52">
        <v>2124459114.04</v>
      </c>
      <c r="AE493" s="52">
        <v>0</v>
      </c>
      <c r="AF493" s="52">
        <v>0</v>
      </c>
      <c r="AG493" s="52">
        <v>0</v>
      </c>
      <c r="AH493" s="52">
        <v>0</v>
      </c>
      <c r="AI493" s="52">
        <v>0</v>
      </c>
      <c r="AJ493" s="52">
        <v>2</v>
      </c>
      <c r="AK493" s="52"/>
      <c r="AL493" s="52">
        <v>0</v>
      </c>
      <c r="AM493" s="52">
        <v>0</v>
      </c>
      <c r="AN493" s="52">
        <v>450814140000</v>
      </c>
      <c r="AO493" s="52">
        <v>0</v>
      </c>
      <c r="AP493" s="52">
        <v>0</v>
      </c>
      <c r="AQ493" s="58">
        <v>0</v>
      </c>
      <c r="AR493" s="58">
        <v>0</v>
      </c>
      <c r="AS493" s="58">
        <v>0</v>
      </c>
      <c r="AT493" s="58">
        <v>0</v>
      </c>
      <c r="AU493" s="58">
        <v>0</v>
      </c>
      <c r="AV493" s="58">
        <v>0</v>
      </c>
      <c r="AW493" s="58">
        <v>2</v>
      </c>
      <c r="AX493" s="58">
        <v>3138500</v>
      </c>
    </row>
    <row r="494" spans="1:50" x14ac:dyDescent="0.25">
      <c r="A494" s="52">
        <f t="shared" si="31"/>
        <v>489</v>
      </c>
      <c r="B494" s="60" t="str">
        <f t="shared" si="30"/>
        <v>011254244348</v>
      </c>
      <c r="C494" s="55" t="s">
        <v>30</v>
      </c>
      <c r="D494" s="53" t="s">
        <v>2096</v>
      </c>
      <c r="E494" s="55" t="s">
        <v>693</v>
      </c>
      <c r="F494" s="53" t="s">
        <v>2105</v>
      </c>
      <c r="G494" s="55">
        <v>11349</v>
      </c>
      <c r="H494" s="53" t="s">
        <v>694</v>
      </c>
      <c r="I494" s="55">
        <v>309274301</v>
      </c>
      <c r="J494" s="55" t="s">
        <v>695</v>
      </c>
      <c r="K494" s="55" t="s">
        <v>696</v>
      </c>
      <c r="L494" s="53" t="s">
        <v>2079</v>
      </c>
      <c r="M494" s="55" t="s">
        <v>49</v>
      </c>
      <c r="N494" s="52">
        <v>4600000000</v>
      </c>
      <c r="O494" s="52">
        <v>4600000000</v>
      </c>
      <c r="P494" s="52">
        <v>4600000000</v>
      </c>
      <c r="Q494" s="57">
        <v>44987</v>
      </c>
      <c r="R494" s="57">
        <v>47535</v>
      </c>
      <c r="S494" s="56">
        <v>15</v>
      </c>
      <c r="T494" s="54">
        <v>36</v>
      </c>
      <c r="U494" s="52">
        <v>4600000000</v>
      </c>
      <c r="V494" s="52">
        <v>4600000000</v>
      </c>
      <c r="W494" s="52">
        <v>0</v>
      </c>
      <c r="X494" s="57"/>
      <c r="Y494" s="52">
        <v>0</v>
      </c>
      <c r="Z494" s="52">
        <v>0</v>
      </c>
      <c r="AA494" s="52">
        <v>2</v>
      </c>
      <c r="AB494" s="52">
        <v>0</v>
      </c>
      <c r="AC494" s="52">
        <v>476002697.36000001</v>
      </c>
      <c r="AD494" s="52">
        <v>204920547.94999999</v>
      </c>
      <c r="AE494" s="52">
        <v>20416438.359999999</v>
      </c>
      <c r="AF494" s="52">
        <v>250665711.05000001</v>
      </c>
      <c r="AG494" s="52">
        <v>0</v>
      </c>
      <c r="AH494" s="52">
        <v>0</v>
      </c>
      <c r="AI494" s="52">
        <v>0</v>
      </c>
      <c r="AJ494" s="52">
        <v>2</v>
      </c>
      <c r="AK494" s="52"/>
      <c r="AL494" s="52">
        <v>0</v>
      </c>
      <c r="AM494" s="52">
        <v>0</v>
      </c>
      <c r="AN494" s="52">
        <v>5750000000</v>
      </c>
      <c r="AO494" s="52">
        <v>1664874000</v>
      </c>
      <c r="AP494" s="52">
        <v>1664874000</v>
      </c>
      <c r="AQ494" s="58">
        <v>0</v>
      </c>
      <c r="AR494" s="58">
        <v>0</v>
      </c>
      <c r="AS494" s="58">
        <v>0</v>
      </c>
      <c r="AT494" s="58">
        <v>0</v>
      </c>
      <c r="AU494" s="58">
        <v>0</v>
      </c>
      <c r="AV494" s="58">
        <v>0</v>
      </c>
      <c r="AW494" s="58">
        <v>2</v>
      </c>
      <c r="AX494" s="58">
        <v>403066</v>
      </c>
    </row>
    <row r="495" spans="1:50" x14ac:dyDescent="0.25">
      <c r="A495" s="52">
        <f t="shared" si="31"/>
        <v>490</v>
      </c>
      <c r="B495" s="60" t="str">
        <f t="shared" si="30"/>
        <v>011254238927</v>
      </c>
      <c r="C495" s="55" t="s">
        <v>30</v>
      </c>
      <c r="D495" s="53" t="s">
        <v>2096</v>
      </c>
      <c r="E495" s="55" t="s">
        <v>693</v>
      </c>
      <c r="F495" s="53" t="s">
        <v>2105</v>
      </c>
      <c r="G495" s="55">
        <v>11349</v>
      </c>
      <c r="H495" s="53" t="s">
        <v>2500</v>
      </c>
      <c r="I495" s="55">
        <v>306706405</v>
      </c>
      <c r="J495" s="55" t="s">
        <v>697</v>
      </c>
      <c r="K495" s="55" t="s">
        <v>698</v>
      </c>
      <c r="L495" s="53" t="s">
        <v>2079</v>
      </c>
      <c r="M495" s="55" t="s">
        <v>49</v>
      </c>
      <c r="N495" s="52">
        <v>4900000000</v>
      </c>
      <c r="O495" s="52">
        <v>4900000000</v>
      </c>
      <c r="P495" s="52">
        <v>4900000000</v>
      </c>
      <c r="Q495" s="57">
        <v>44901</v>
      </c>
      <c r="R495" s="57">
        <v>47445</v>
      </c>
      <c r="S495" s="56">
        <v>15</v>
      </c>
      <c r="T495" s="54">
        <v>36</v>
      </c>
      <c r="U495" s="52">
        <v>4355555556</v>
      </c>
      <c r="V495" s="52">
        <v>4355555556</v>
      </c>
      <c r="W495" s="52">
        <v>0</v>
      </c>
      <c r="X495" s="57"/>
      <c r="Y495" s="52">
        <v>0</v>
      </c>
      <c r="Z495" s="52">
        <v>0</v>
      </c>
      <c r="AA495" s="52">
        <v>1</v>
      </c>
      <c r="AB495" s="52">
        <v>0</v>
      </c>
      <c r="AC495" s="52">
        <v>330107724.68000001</v>
      </c>
      <c r="AD495" s="52">
        <v>310776217.82999998</v>
      </c>
      <c r="AE495" s="52">
        <v>19331506.850000001</v>
      </c>
      <c r="AF495" s="52">
        <v>0</v>
      </c>
      <c r="AG495" s="52">
        <v>0</v>
      </c>
      <c r="AH495" s="52">
        <v>0</v>
      </c>
      <c r="AI495" s="52">
        <v>0</v>
      </c>
      <c r="AJ495" s="52">
        <v>2</v>
      </c>
      <c r="AK495" s="52"/>
      <c r="AL495" s="52">
        <v>0</v>
      </c>
      <c r="AM495" s="52">
        <v>0</v>
      </c>
      <c r="AN495" s="52">
        <v>6125000000</v>
      </c>
      <c r="AO495" s="52">
        <v>15664286020</v>
      </c>
      <c r="AP495" s="52">
        <v>15664286020</v>
      </c>
      <c r="AQ495" s="58">
        <v>0</v>
      </c>
      <c r="AR495" s="58">
        <v>0</v>
      </c>
      <c r="AS495" s="58">
        <v>0</v>
      </c>
      <c r="AT495" s="58">
        <v>0</v>
      </c>
      <c r="AU495" s="58">
        <v>0</v>
      </c>
      <c r="AV495" s="58">
        <v>0</v>
      </c>
      <c r="AW495" s="58">
        <v>4</v>
      </c>
      <c r="AX495" s="58">
        <v>500406.45999999996</v>
      </c>
    </row>
    <row r="496" spans="1:50" x14ac:dyDescent="0.25">
      <c r="A496" s="52">
        <f t="shared" si="31"/>
        <v>491</v>
      </c>
      <c r="B496" s="60" t="str">
        <f t="shared" si="30"/>
        <v>011255508552</v>
      </c>
      <c r="C496" s="55" t="s">
        <v>30</v>
      </c>
      <c r="D496" s="53" t="s">
        <v>2096</v>
      </c>
      <c r="E496" s="55" t="s">
        <v>693</v>
      </c>
      <c r="F496" s="53" t="s">
        <v>2105</v>
      </c>
      <c r="G496" s="55">
        <v>11349</v>
      </c>
      <c r="H496" s="53" t="s">
        <v>2500</v>
      </c>
      <c r="I496" s="55">
        <v>306706405</v>
      </c>
      <c r="J496" s="55" t="s">
        <v>699</v>
      </c>
      <c r="K496" s="55" t="s">
        <v>700</v>
      </c>
      <c r="L496" s="53" t="s">
        <v>2079</v>
      </c>
      <c r="M496" s="55" t="s">
        <v>49</v>
      </c>
      <c r="N496" s="52">
        <v>3500000000</v>
      </c>
      <c r="O496" s="52">
        <v>3500000000</v>
      </c>
      <c r="P496" s="52">
        <v>3500000000</v>
      </c>
      <c r="Q496" s="57">
        <v>45561</v>
      </c>
      <c r="R496" s="57">
        <v>49197</v>
      </c>
      <c r="S496" s="56">
        <v>17</v>
      </c>
      <c r="T496" s="54">
        <v>36</v>
      </c>
      <c r="U496" s="52">
        <v>3500000000</v>
      </c>
      <c r="V496" s="52">
        <v>3500000000</v>
      </c>
      <c r="W496" s="52">
        <v>0</v>
      </c>
      <c r="X496" s="57"/>
      <c r="Y496" s="52">
        <v>0</v>
      </c>
      <c r="Z496" s="52">
        <v>0</v>
      </c>
      <c r="AA496" s="52">
        <v>1</v>
      </c>
      <c r="AB496" s="52">
        <v>0</v>
      </c>
      <c r="AC496" s="52">
        <v>242890410.96000001</v>
      </c>
      <c r="AD496" s="52">
        <v>242890410.96000001</v>
      </c>
      <c r="AE496" s="52">
        <v>0</v>
      </c>
      <c r="AF496" s="52">
        <v>0</v>
      </c>
      <c r="AG496" s="52">
        <v>0</v>
      </c>
      <c r="AH496" s="52">
        <v>0</v>
      </c>
      <c r="AI496" s="52">
        <v>0</v>
      </c>
      <c r="AJ496" s="52">
        <v>2</v>
      </c>
      <c r="AK496" s="52"/>
      <c r="AL496" s="52">
        <v>0</v>
      </c>
      <c r="AM496" s="52">
        <v>0</v>
      </c>
      <c r="AN496" s="52">
        <v>4375000000</v>
      </c>
      <c r="AO496" s="52">
        <v>15664286020</v>
      </c>
      <c r="AP496" s="52">
        <v>15664286020</v>
      </c>
      <c r="AQ496" s="58">
        <v>0</v>
      </c>
      <c r="AR496" s="58">
        <v>0</v>
      </c>
      <c r="AS496" s="58">
        <v>0</v>
      </c>
      <c r="AT496" s="58">
        <v>0</v>
      </c>
      <c r="AU496" s="58">
        <v>0</v>
      </c>
      <c r="AV496" s="58">
        <v>0</v>
      </c>
      <c r="AW496" s="58">
        <v>4</v>
      </c>
      <c r="AX496" s="58">
        <v>500406.45999999996</v>
      </c>
    </row>
    <row r="497" spans="1:50" x14ac:dyDescent="0.25">
      <c r="A497" s="52">
        <f t="shared" si="31"/>
        <v>492</v>
      </c>
      <c r="B497" s="60" t="str">
        <f t="shared" si="30"/>
        <v>011255865450</v>
      </c>
      <c r="C497" s="55" t="s">
        <v>30</v>
      </c>
      <c r="D497" s="53" t="s">
        <v>2096</v>
      </c>
      <c r="E497" s="55" t="s">
        <v>693</v>
      </c>
      <c r="F497" s="53" t="s">
        <v>2105</v>
      </c>
      <c r="G497" s="55">
        <v>11349</v>
      </c>
      <c r="H497" s="53" t="s">
        <v>701</v>
      </c>
      <c r="I497" s="55">
        <v>308981128</v>
      </c>
      <c r="J497" s="55" t="s">
        <v>702</v>
      </c>
      <c r="K497" s="55" t="s">
        <v>703</v>
      </c>
      <c r="L497" s="53" t="s">
        <v>2079</v>
      </c>
      <c r="M497" s="55" t="s">
        <v>75</v>
      </c>
      <c r="N497" s="52">
        <v>250000</v>
      </c>
      <c r="O497" s="52">
        <v>3016940000</v>
      </c>
      <c r="P497" s="52">
        <v>3016940000</v>
      </c>
      <c r="Q497" s="57">
        <v>45783</v>
      </c>
      <c r="R497" s="57">
        <v>46878</v>
      </c>
      <c r="S497" s="56">
        <v>12</v>
      </c>
      <c r="T497" s="54">
        <v>6</v>
      </c>
      <c r="U497" s="52">
        <v>2867514712.4200001</v>
      </c>
      <c r="V497" s="52">
        <v>2846464799.4000001</v>
      </c>
      <c r="W497" s="52">
        <v>21049913.02</v>
      </c>
      <c r="X497" s="57">
        <v>46027</v>
      </c>
      <c r="Y497" s="52">
        <v>0</v>
      </c>
      <c r="Z497" s="52">
        <v>0</v>
      </c>
      <c r="AA497" s="52">
        <v>1</v>
      </c>
      <c r="AB497" s="52">
        <v>0</v>
      </c>
      <c r="AC497" s="52">
        <v>25661050.829999998</v>
      </c>
      <c r="AD497" s="52">
        <v>25652023.5</v>
      </c>
      <c r="AE497" s="52">
        <v>0</v>
      </c>
      <c r="AF497" s="52">
        <v>9027.33</v>
      </c>
      <c r="AG497" s="52">
        <v>0</v>
      </c>
      <c r="AH497" s="52">
        <v>0</v>
      </c>
      <c r="AI497" s="52">
        <v>0</v>
      </c>
      <c r="AJ497" s="52">
        <v>2</v>
      </c>
      <c r="AK497" s="52"/>
      <c r="AL497" s="52">
        <v>0</v>
      </c>
      <c r="AM497" s="52">
        <v>0</v>
      </c>
      <c r="AN497" s="52">
        <v>4642857143</v>
      </c>
      <c r="AO497" s="52">
        <v>10322987</v>
      </c>
      <c r="AP497" s="52">
        <v>10322987</v>
      </c>
      <c r="AQ497" s="58">
        <v>0</v>
      </c>
      <c r="AR497" s="58">
        <v>0</v>
      </c>
      <c r="AS497" s="58">
        <v>0</v>
      </c>
      <c r="AT497" s="58">
        <v>0</v>
      </c>
      <c r="AU497" s="58">
        <v>0</v>
      </c>
      <c r="AV497" s="58">
        <v>0</v>
      </c>
      <c r="AW497" s="58">
        <v>0</v>
      </c>
      <c r="AX497" s="58">
        <v>0</v>
      </c>
    </row>
    <row r="498" spans="1:50" x14ac:dyDescent="0.25">
      <c r="A498" s="52">
        <f t="shared" si="31"/>
        <v>493</v>
      </c>
      <c r="B498" s="60" t="str">
        <f t="shared" si="30"/>
        <v>011255992832</v>
      </c>
      <c r="C498" s="55" t="s">
        <v>30</v>
      </c>
      <c r="D498" s="53" t="s">
        <v>2096</v>
      </c>
      <c r="E498" s="55" t="s">
        <v>693</v>
      </c>
      <c r="F498" s="53" t="s">
        <v>2105</v>
      </c>
      <c r="G498" s="55">
        <v>11349</v>
      </c>
      <c r="H498" s="53" t="s">
        <v>2501</v>
      </c>
      <c r="I498" s="55">
        <v>310340893</v>
      </c>
      <c r="J498" s="55" t="s">
        <v>704</v>
      </c>
      <c r="K498" s="55" t="s">
        <v>705</v>
      </c>
      <c r="L498" s="53" t="s">
        <v>2079</v>
      </c>
      <c r="M498" s="55" t="s">
        <v>75</v>
      </c>
      <c r="N498" s="52">
        <v>169000</v>
      </c>
      <c r="O498" s="52">
        <v>2039451440</v>
      </c>
      <c r="P498" s="52">
        <v>2039451440</v>
      </c>
      <c r="Q498" s="57">
        <v>45875</v>
      </c>
      <c r="R498" s="57">
        <v>46969</v>
      </c>
      <c r="S498" s="56">
        <v>12</v>
      </c>
      <c r="T498" s="54">
        <v>6</v>
      </c>
      <c r="U498" s="52">
        <v>2061647900</v>
      </c>
      <c r="V498" s="52">
        <v>2061647900</v>
      </c>
      <c r="W498" s="52">
        <v>0</v>
      </c>
      <c r="X498" s="57"/>
      <c r="Y498" s="52">
        <v>0</v>
      </c>
      <c r="Z498" s="52">
        <v>0</v>
      </c>
      <c r="AA498" s="52">
        <v>1</v>
      </c>
      <c r="AB498" s="52">
        <v>0</v>
      </c>
      <c r="AC498" s="52">
        <v>18531774.800000001</v>
      </c>
      <c r="AD498" s="52">
        <v>18531774.800000001</v>
      </c>
      <c r="AE498" s="52">
        <v>0</v>
      </c>
      <c r="AF498" s="52">
        <v>0</v>
      </c>
      <c r="AG498" s="52">
        <v>0</v>
      </c>
      <c r="AH498" s="52">
        <v>0</v>
      </c>
      <c r="AI498" s="52">
        <v>0</v>
      </c>
      <c r="AJ498" s="52">
        <v>2</v>
      </c>
      <c r="AK498" s="52"/>
      <c r="AL498" s="52">
        <v>0</v>
      </c>
      <c r="AM498" s="52">
        <v>0</v>
      </c>
      <c r="AN498" s="52">
        <v>6277506850</v>
      </c>
      <c r="AO498" s="52">
        <v>3750000</v>
      </c>
      <c r="AP498" s="52">
        <v>3750000</v>
      </c>
      <c r="AQ498" s="58">
        <v>0</v>
      </c>
      <c r="AR498" s="58">
        <v>0</v>
      </c>
      <c r="AS498" s="58">
        <v>0</v>
      </c>
      <c r="AT498" s="58">
        <v>0</v>
      </c>
      <c r="AU498" s="58">
        <v>0</v>
      </c>
      <c r="AV498" s="58">
        <v>0</v>
      </c>
      <c r="AW498" s="58">
        <v>0</v>
      </c>
      <c r="AX498" s="58">
        <v>0</v>
      </c>
    </row>
    <row r="499" spans="1:50" x14ac:dyDescent="0.25">
      <c r="A499" s="52">
        <f t="shared" si="31"/>
        <v>494</v>
      </c>
      <c r="B499" s="60" t="str">
        <f t="shared" si="30"/>
        <v>011255926447</v>
      </c>
      <c r="C499" s="55" t="s">
        <v>30</v>
      </c>
      <c r="D499" s="53" t="s">
        <v>2096</v>
      </c>
      <c r="E499" s="55" t="s">
        <v>693</v>
      </c>
      <c r="F499" s="53" t="s">
        <v>2105</v>
      </c>
      <c r="G499" s="55">
        <v>11349</v>
      </c>
      <c r="H499" s="53" t="s">
        <v>706</v>
      </c>
      <c r="I499" s="55">
        <v>312138209</v>
      </c>
      <c r="J499" s="55" t="s">
        <v>707</v>
      </c>
      <c r="K499" s="55" t="s">
        <v>708</v>
      </c>
      <c r="L499" s="53" t="s">
        <v>2079</v>
      </c>
      <c r="M499" s="55" t="s">
        <v>75</v>
      </c>
      <c r="N499" s="52">
        <v>150000</v>
      </c>
      <c r="O499" s="52">
        <v>1810164000</v>
      </c>
      <c r="P499" s="52">
        <v>1810164000</v>
      </c>
      <c r="Q499" s="57">
        <v>45845</v>
      </c>
      <c r="R499" s="57">
        <v>46940</v>
      </c>
      <c r="S499" s="56">
        <v>12</v>
      </c>
      <c r="T499" s="54">
        <v>6</v>
      </c>
      <c r="U499" s="52">
        <v>1829865000</v>
      </c>
      <c r="V499" s="52">
        <v>1829865000</v>
      </c>
      <c r="W499" s="52">
        <v>0</v>
      </c>
      <c r="X499" s="57"/>
      <c r="Y499" s="52">
        <v>0</v>
      </c>
      <c r="Z499" s="52">
        <v>0</v>
      </c>
      <c r="AA499" s="52">
        <v>1</v>
      </c>
      <c r="AB499" s="52">
        <v>0</v>
      </c>
      <c r="AC499" s="52">
        <v>7488539.5300000003</v>
      </c>
      <c r="AD499" s="52">
        <v>7488539.5300000003</v>
      </c>
      <c r="AE499" s="52">
        <v>0</v>
      </c>
      <c r="AF499" s="52">
        <v>0</v>
      </c>
      <c r="AG499" s="52">
        <v>0</v>
      </c>
      <c r="AH499" s="52">
        <v>0</v>
      </c>
      <c r="AI499" s="52">
        <v>0</v>
      </c>
      <c r="AJ499" s="52">
        <v>2</v>
      </c>
      <c r="AK499" s="52"/>
      <c r="AL499" s="52">
        <v>0</v>
      </c>
      <c r="AM499" s="52">
        <v>0</v>
      </c>
      <c r="AN499" s="52">
        <v>5570000000</v>
      </c>
      <c r="AO499" s="52">
        <v>72600000</v>
      </c>
      <c r="AP499" s="52">
        <v>72600000</v>
      </c>
      <c r="AQ499" s="58">
        <v>0</v>
      </c>
      <c r="AR499" s="58">
        <v>0</v>
      </c>
      <c r="AS499" s="58">
        <v>0</v>
      </c>
      <c r="AT499" s="58">
        <v>0</v>
      </c>
      <c r="AU499" s="58">
        <v>0</v>
      </c>
      <c r="AV499" s="58">
        <v>0</v>
      </c>
      <c r="AW499" s="58">
        <v>0</v>
      </c>
      <c r="AX499" s="58">
        <v>0</v>
      </c>
    </row>
    <row r="500" spans="1:50" x14ac:dyDescent="0.25">
      <c r="A500" s="52">
        <f t="shared" si="31"/>
        <v>495</v>
      </c>
      <c r="B500" s="60" t="str">
        <f t="shared" si="30"/>
        <v>011254207636</v>
      </c>
      <c r="C500" s="55" t="s">
        <v>30</v>
      </c>
      <c r="D500" s="53" t="s">
        <v>2096</v>
      </c>
      <c r="E500" s="55" t="s">
        <v>693</v>
      </c>
      <c r="F500" s="53" t="s">
        <v>2105</v>
      </c>
      <c r="G500" s="55">
        <v>11349</v>
      </c>
      <c r="H500" s="53" t="s">
        <v>2502</v>
      </c>
      <c r="I500" s="55">
        <v>301562534</v>
      </c>
      <c r="J500" s="55" t="s">
        <v>709</v>
      </c>
      <c r="K500" s="55" t="s">
        <v>710</v>
      </c>
      <c r="L500" s="53" t="s">
        <v>2079</v>
      </c>
      <c r="M500" s="55" t="s">
        <v>49</v>
      </c>
      <c r="N500" s="52">
        <v>4800000000</v>
      </c>
      <c r="O500" s="52">
        <v>4800000000</v>
      </c>
      <c r="P500" s="52">
        <v>4800000000</v>
      </c>
      <c r="Q500" s="57">
        <v>44167</v>
      </c>
      <c r="R500" s="57">
        <v>46651</v>
      </c>
      <c r="S500" s="56">
        <v>14</v>
      </c>
      <c r="T500" s="54">
        <v>24</v>
      </c>
      <c r="U500" s="52">
        <v>1527272730</v>
      </c>
      <c r="V500" s="52">
        <v>1527272730</v>
      </c>
      <c r="W500" s="52">
        <v>0</v>
      </c>
      <c r="X500" s="57"/>
      <c r="Y500" s="52">
        <v>0</v>
      </c>
      <c r="Z500" s="52">
        <v>0</v>
      </c>
      <c r="AA500" s="52">
        <v>1</v>
      </c>
      <c r="AB500" s="52">
        <v>0</v>
      </c>
      <c r="AC500" s="52">
        <v>99621271.409999996</v>
      </c>
      <c r="AD500" s="52">
        <v>33976587.850000001</v>
      </c>
      <c r="AE500" s="52">
        <v>65644683.560000002</v>
      </c>
      <c r="AF500" s="52">
        <v>0</v>
      </c>
      <c r="AG500" s="52">
        <v>0</v>
      </c>
      <c r="AH500" s="52">
        <v>0</v>
      </c>
      <c r="AI500" s="52">
        <v>0</v>
      </c>
      <c r="AJ500" s="52">
        <v>2</v>
      </c>
      <c r="AK500" s="52"/>
      <c r="AL500" s="52">
        <v>0</v>
      </c>
      <c r="AM500" s="52">
        <v>0</v>
      </c>
      <c r="AN500" s="52">
        <v>10918750000</v>
      </c>
      <c r="AO500" s="52">
        <v>42379147000</v>
      </c>
      <c r="AP500" s="52">
        <v>42379147000</v>
      </c>
      <c r="AQ500" s="58">
        <v>25</v>
      </c>
      <c r="AR500" s="58">
        <v>208043.58000000002</v>
      </c>
      <c r="AS500" s="58">
        <v>124</v>
      </c>
      <c r="AT500" s="58">
        <v>1562108.98</v>
      </c>
      <c r="AU500" s="58">
        <v>6</v>
      </c>
      <c r="AV500" s="58">
        <v>126000</v>
      </c>
      <c r="AW500" s="58">
        <v>23</v>
      </c>
      <c r="AX500" s="58">
        <v>1024046.5700000001</v>
      </c>
    </row>
    <row r="501" spans="1:50" x14ac:dyDescent="0.25">
      <c r="A501" s="52">
        <f t="shared" si="31"/>
        <v>496</v>
      </c>
      <c r="B501" s="60" t="str">
        <f t="shared" si="30"/>
        <v>011255831782</v>
      </c>
      <c r="C501" s="55" t="s">
        <v>30</v>
      </c>
      <c r="D501" s="53" t="s">
        <v>2096</v>
      </c>
      <c r="E501" s="55" t="s">
        <v>693</v>
      </c>
      <c r="F501" s="53" t="s">
        <v>2105</v>
      </c>
      <c r="G501" s="55">
        <v>11349</v>
      </c>
      <c r="H501" s="53" t="s">
        <v>711</v>
      </c>
      <c r="I501" s="55">
        <v>311631965</v>
      </c>
      <c r="J501" s="55" t="s">
        <v>712</v>
      </c>
      <c r="K501" s="55" t="s">
        <v>713</v>
      </c>
      <c r="L501" s="53" t="s">
        <v>2035</v>
      </c>
      <c r="M501" s="55" t="s">
        <v>75</v>
      </c>
      <c r="N501" s="52">
        <v>96000</v>
      </c>
      <c r="O501" s="52">
        <v>1158504960</v>
      </c>
      <c r="P501" s="52">
        <v>1158504960</v>
      </c>
      <c r="Q501" s="57">
        <v>45758</v>
      </c>
      <c r="R501" s="57">
        <v>46853</v>
      </c>
      <c r="S501" s="56">
        <v>12</v>
      </c>
      <c r="T501" s="54">
        <v>6</v>
      </c>
      <c r="U501" s="52">
        <v>1171113600</v>
      </c>
      <c r="V501" s="52">
        <v>1171113600</v>
      </c>
      <c r="W501" s="52">
        <v>0</v>
      </c>
      <c r="X501" s="57"/>
      <c r="Y501" s="52">
        <v>0</v>
      </c>
      <c r="Z501" s="52">
        <v>0</v>
      </c>
      <c r="AA501" s="52">
        <v>2</v>
      </c>
      <c r="AB501" s="52">
        <v>0</v>
      </c>
      <c r="AC501" s="52">
        <v>33571923.200000003</v>
      </c>
      <c r="AD501" s="52">
        <v>10540022.4</v>
      </c>
      <c r="AE501" s="52">
        <v>0</v>
      </c>
      <c r="AF501" s="52">
        <v>23031900.800000001</v>
      </c>
      <c r="AG501" s="52">
        <v>0</v>
      </c>
      <c r="AH501" s="52">
        <v>0</v>
      </c>
      <c r="AI501" s="52">
        <v>0</v>
      </c>
      <c r="AJ501" s="52">
        <v>2</v>
      </c>
      <c r="AK501" s="52"/>
      <c r="AL501" s="52">
        <v>0</v>
      </c>
      <c r="AM501" s="52">
        <v>0</v>
      </c>
      <c r="AN501" s="52">
        <v>1680000000</v>
      </c>
      <c r="AO501" s="52">
        <v>53040000</v>
      </c>
      <c r="AP501" s="52">
        <v>53040000</v>
      </c>
      <c r="AQ501" s="58">
        <v>0</v>
      </c>
      <c r="AR501" s="58">
        <v>0</v>
      </c>
      <c r="AS501" s="58">
        <v>0</v>
      </c>
      <c r="AT501" s="58">
        <v>0</v>
      </c>
      <c r="AU501" s="58">
        <v>0</v>
      </c>
      <c r="AV501" s="58">
        <v>0</v>
      </c>
      <c r="AW501" s="58">
        <v>0</v>
      </c>
      <c r="AX501" s="58">
        <v>0</v>
      </c>
    </row>
    <row r="502" spans="1:50" x14ac:dyDescent="0.25">
      <c r="A502" s="52">
        <f t="shared" si="31"/>
        <v>497</v>
      </c>
      <c r="B502" s="60" t="str">
        <f t="shared" si="30"/>
        <v>011255922499</v>
      </c>
      <c r="C502" s="55" t="s">
        <v>30</v>
      </c>
      <c r="D502" s="53" t="s">
        <v>2096</v>
      </c>
      <c r="E502" s="55" t="s">
        <v>693</v>
      </c>
      <c r="F502" s="53" t="s">
        <v>2105</v>
      </c>
      <c r="G502" s="55">
        <v>11349</v>
      </c>
      <c r="H502" s="53" t="s">
        <v>714</v>
      </c>
      <c r="I502" s="55">
        <v>303918293</v>
      </c>
      <c r="J502" s="55" t="s">
        <v>715</v>
      </c>
      <c r="K502" s="55" t="s">
        <v>716</v>
      </c>
      <c r="L502" s="53" t="s">
        <v>2045</v>
      </c>
      <c r="M502" s="55" t="s">
        <v>75</v>
      </c>
      <c r="N502" s="52">
        <v>97000</v>
      </c>
      <c r="O502" s="52">
        <v>1170572720</v>
      </c>
      <c r="P502" s="52">
        <v>1170572720</v>
      </c>
      <c r="Q502" s="57">
        <v>45835</v>
      </c>
      <c r="R502" s="57">
        <v>46930</v>
      </c>
      <c r="S502" s="56">
        <v>12</v>
      </c>
      <c r="T502" s="54">
        <v>6</v>
      </c>
      <c r="U502" s="52">
        <v>1143873009.7</v>
      </c>
      <c r="V502" s="52">
        <v>1143873009.7</v>
      </c>
      <c r="W502" s="52">
        <v>0</v>
      </c>
      <c r="X502" s="57"/>
      <c r="Y502" s="52">
        <v>0</v>
      </c>
      <c r="Z502" s="52">
        <v>0</v>
      </c>
      <c r="AA502" s="52">
        <v>1</v>
      </c>
      <c r="AB502" s="52">
        <v>0</v>
      </c>
      <c r="AC502" s="52">
        <v>10307263.57</v>
      </c>
      <c r="AD502" s="52">
        <v>10307263.57</v>
      </c>
      <c r="AE502" s="52">
        <v>0</v>
      </c>
      <c r="AF502" s="52">
        <v>0</v>
      </c>
      <c r="AG502" s="52">
        <v>0</v>
      </c>
      <c r="AH502" s="52">
        <v>0</v>
      </c>
      <c r="AI502" s="52">
        <v>0</v>
      </c>
      <c r="AJ502" s="52">
        <v>2</v>
      </c>
      <c r="AK502" s="52"/>
      <c r="AL502" s="52">
        <v>0</v>
      </c>
      <c r="AM502" s="52">
        <v>0</v>
      </c>
      <c r="AN502" s="52">
        <v>3602857144</v>
      </c>
      <c r="AO502" s="52">
        <v>87100000</v>
      </c>
      <c r="AP502" s="52">
        <v>87100000</v>
      </c>
      <c r="AQ502" s="58">
        <v>0</v>
      </c>
      <c r="AR502" s="58">
        <v>0</v>
      </c>
      <c r="AS502" s="58">
        <v>0</v>
      </c>
      <c r="AT502" s="58">
        <v>0</v>
      </c>
      <c r="AU502" s="58">
        <v>0</v>
      </c>
      <c r="AV502" s="58">
        <v>0</v>
      </c>
      <c r="AW502" s="58">
        <v>0</v>
      </c>
      <c r="AX502" s="58">
        <v>0</v>
      </c>
    </row>
    <row r="503" spans="1:50" x14ac:dyDescent="0.25">
      <c r="A503" s="52">
        <f t="shared" si="31"/>
        <v>498</v>
      </c>
      <c r="B503" s="60" t="str">
        <f t="shared" si="30"/>
        <v>011255854073</v>
      </c>
      <c r="C503" s="55" t="s">
        <v>30</v>
      </c>
      <c r="D503" s="53" t="s">
        <v>2096</v>
      </c>
      <c r="E503" s="55" t="s">
        <v>693</v>
      </c>
      <c r="F503" s="53" t="s">
        <v>2105</v>
      </c>
      <c r="G503" s="55">
        <v>11349</v>
      </c>
      <c r="H503" s="53" t="s">
        <v>717</v>
      </c>
      <c r="I503" s="55">
        <v>312063912</v>
      </c>
      <c r="J503" s="55" t="s">
        <v>718</v>
      </c>
      <c r="K503" s="55" t="s">
        <v>719</v>
      </c>
      <c r="L503" s="53" t="s">
        <v>2079</v>
      </c>
      <c r="M503" s="55" t="s">
        <v>75</v>
      </c>
      <c r="N503" s="52">
        <v>98000</v>
      </c>
      <c r="O503" s="52">
        <v>1182640480</v>
      </c>
      <c r="P503" s="52">
        <v>1182640480</v>
      </c>
      <c r="Q503" s="57">
        <v>45775</v>
      </c>
      <c r="R503" s="57">
        <v>46870</v>
      </c>
      <c r="S503" s="56">
        <v>12</v>
      </c>
      <c r="T503" s="54">
        <v>6</v>
      </c>
      <c r="U503" s="52">
        <v>992420329.25999999</v>
      </c>
      <c r="V503" s="52">
        <v>992420329.25999999</v>
      </c>
      <c r="W503" s="52">
        <v>0</v>
      </c>
      <c r="X503" s="57"/>
      <c r="Y503" s="52">
        <v>0</v>
      </c>
      <c r="Z503" s="52">
        <v>0</v>
      </c>
      <c r="AA503" s="52">
        <v>1</v>
      </c>
      <c r="AB503" s="52">
        <v>0</v>
      </c>
      <c r="AC503" s="52">
        <v>2646472.75</v>
      </c>
      <c r="AD503" s="52">
        <v>2646472.75</v>
      </c>
      <c r="AE503" s="52">
        <v>0</v>
      </c>
      <c r="AF503" s="52">
        <v>0</v>
      </c>
      <c r="AG503" s="52">
        <v>0</v>
      </c>
      <c r="AH503" s="52">
        <v>0</v>
      </c>
      <c r="AI503" s="52">
        <v>0</v>
      </c>
      <c r="AJ503" s="52">
        <v>2</v>
      </c>
      <c r="AK503" s="52"/>
      <c r="AL503" s="52">
        <v>0</v>
      </c>
      <c r="AM503" s="52">
        <v>0</v>
      </c>
      <c r="AN503" s="52">
        <v>1820000000</v>
      </c>
      <c r="AO503" s="52">
        <v>202836000</v>
      </c>
      <c r="AP503" s="52">
        <v>202836000</v>
      </c>
      <c r="AQ503" s="58">
        <v>0</v>
      </c>
      <c r="AR503" s="58">
        <v>0</v>
      </c>
      <c r="AS503" s="58">
        <v>0</v>
      </c>
      <c r="AT503" s="58">
        <v>0</v>
      </c>
      <c r="AU503" s="58">
        <v>0</v>
      </c>
      <c r="AV503" s="58">
        <v>0</v>
      </c>
      <c r="AW503" s="58">
        <v>0</v>
      </c>
      <c r="AX503" s="58">
        <v>0</v>
      </c>
    </row>
    <row r="504" spans="1:50" x14ac:dyDescent="0.25">
      <c r="A504" s="52">
        <f t="shared" si="31"/>
        <v>499</v>
      </c>
      <c r="B504" s="60" t="str">
        <f t="shared" si="30"/>
        <v>011255917317</v>
      </c>
      <c r="C504" s="55" t="s">
        <v>30</v>
      </c>
      <c r="D504" s="53" t="s">
        <v>2096</v>
      </c>
      <c r="E504" s="55" t="s">
        <v>693</v>
      </c>
      <c r="F504" s="53" t="s">
        <v>2105</v>
      </c>
      <c r="G504" s="55">
        <v>11349</v>
      </c>
      <c r="H504" s="53" t="s">
        <v>720</v>
      </c>
      <c r="I504" s="55">
        <v>311040127</v>
      </c>
      <c r="J504" s="55" t="s">
        <v>721</v>
      </c>
      <c r="K504" s="55" t="s">
        <v>722</v>
      </c>
      <c r="L504" s="53" t="s">
        <v>2045</v>
      </c>
      <c r="M504" s="55" t="s">
        <v>75</v>
      </c>
      <c r="N504" s="52">
        <v>67000</v>
      </c>
      <c r="O504" s="52">
        <v>808539920</v>
      </c>
      <c r="P504" s="52">
        <v>808539920</v>
      </c>
      <c r="Q504" s="57">
        <v>45833</v>
      </c>
      <c r="R504" s="57">
        <v>46928</v>
      </c>
      <c r="S504" s="56">
        <v>12</v>
      </c>
      <c r="T504" s="54">
        <v>6</v>
      </c>
      <c r="U504" s="52">
        <v>790099109.70000005</v>
      </c>
      <c r="V504" s="52">
        <v>790099109.70000005</v>
      </c>
      <c r="W504" s="52">
        <v>0</v>
      </c>
      <c r="X504" s="57"/>
      <c r="Y504" s="52">
        <v>0</v>
      </c>
      <c r="Z504" s="52">
        <v>0</v>
      </c>
      <c r="AA504" s="52">
        <v>1</v>
      </c>
      <c r="AB504" s="52">
        <v>0</v>
      </c>
      <c r="AC504" s="52">
        <v>7119882.7199999997</v>
      </c>
      <c r="AD504" s="52">
        <v>7119882.7199999997</v>
      </c>
      <c r="AE504" s="52">
        <v>0</v>
      </c>
      <c r="AF504" s="52">
        <v>0</v>
      </c>
      <c r="AG504" s="52">
        <v>0</v>
      </c>
      <c r="AH504" s="52">
        <v>0</v>
      </c>
      <c r="AI504" s="52">
        <v>0</v>
      </c>
      <c r="AJ504" s="52">
        <v>2</v>
      </c>
      <c r="AK504" s="52"/>
      <c r="AL504" s="52">
        <v>0</v>
      </c>
      <c r="AM504" s="52">
        <v>0</v>
      </c>
      <c r="AN504" s="52">
        <v>1244285715</v>
      </c>
      <c r="AO504" s="52">
        <v>25200000</v>
      </c>
      <c r="AP504" s="52">
        <v>25200000</v>
      </c>
      <c r="AQ504" s="58">
        <v>0</v>
      </c>
      <c r="AR504" s="58">
        <v>0</v>
      </c>
      <c r="AS504" s="58">
        <v>0</v>
      </c>
      <c r="AT504" s="58">
        <v>0</v>
      </c>
      <c r="AU504" s="58">
        <v>0</v>
      </c>
      <c r="AV504" s="58">
        <v>0</v>
      </c>
      <c r="AW504" s="58">
        <v>0</v>
      </c>
      <c r="AX504" s="58">
        <v>0</v>
      </c>
    </row>
    <row r="505" spans="1:50" x14ac:dyDescent="0.25">
      <c r="A505" s="52">
        <f t="shared" si="31"/>
        <v>500</v>
      </c>
      <c r="B505" s="60" t="str">
        <f t="shared" si="30"/>
        <v>011254248000</v>
      </c>
      <c r="C505" s="55" t="s">
        <v>30</v>
      </c>
      <c r="D505" s="53" t="s">
        <v>2096</v>
      </c>
      <c r="E505" s="55" t="s">
        <v>693</v>
      </c>
      <c r="F505" s="53" t="s">
        <v>2105</v>
      </c>
      <c r="G505" s="55">
        <v>11349</v>
      </c>
      <c r="H505" s="53" t="s">
        <v>2503</v>
      </c>
      <c r="I505" s="55">
        <v>305812963</v>
      </c>
      <c r="J505" s="55" t="s">
        <v>723</v>
      </c>
      <c r="K505" s="55" t="s">
        <v>724</v>
      </c>
      <c r="L505" s="53" t="s">
        <v>2039</v>
      </c>
      <c r="M505" s="55" t="s">
        <v>49</v>
      </c>
      <c r="N505" s="52">
        <v>708775462</v>
      </c>
      <c r="O505" s="52">
        <v>708775462</v>
      </c>
      <c r="P505" s="52">
        <v>708775462</v>
      </c>
      <c r="Q505" s="57">
        <v>45043</v>
      </c>
      <c r="R505" s="57">
        <v>48418</v>
      </c>
      <c r="S505" s="56">
        <v>0</v>
      </c>
      <c r="T505" s="54">
        <v>0</v>
      </c>
      <c r="U505" s="52">
        <v>708775462</v>
      </c>
      <c r="V505" s="52">
        <v>0</v>
      </c>
      <c r="W505" s="52">
        <v>0</v>
      </c>
      <c r="X505" s="57"/>
      <c r="Y505" s="52">
        <v>708775462</v>
      </c>
      <c r="Z505" s="52">
        <v>0</v>
      </c>
      <c r="AA505" s="52">
        <v>1</v>
      </c>
      <c r="AB505" s="52">
        <v>70877546.200000003</v>
      </c>
      <c r="AC505" s="52">
        <v>466000000</v>
      </c>
      <c r="AD505" s="52">
        <v>0</v>
      </c>
      <c r="AE505" s="52">
        <v>0</v>
      </c>
      <c r="AF505" s="52">
        <v>0</v>
      </c>
      <c r="AG505" s="52">
        <v>466000000</v>
      </c>
      <c r="AH505" s="52">
        <v>0</v>
      </c>
      <c r="AI505" s="52">
        <v>0</v>
      </c>
      <c r="AJ505" s="52">
        <v>2</v>
      </c>
      <c r="AK505" s="52"/>
      <c r="AL505" s="52">
        <v>0</v>
      </c>
      <c r="AM505" s="52">
        <v>0</v>
      </c>
      <c r="AN505" s="52">
        <v>1437031828</v>
      </c>
      <c r="AO505" s="52">
        <v>0</v>
      </c>
      <c r="AP505" s="52">
        <v>0</v>
      </c>
      <c r="AQ505" s="58">
        <v>0</v>
      </c>
      <c r="AR505" s="58">
        <v>0</v>
      </c>
      <c r="AS505" s="58">
        <v>0</v>
      </c>
      <c r="AT505" s="58">
        <v>0</v>
      </c>
      <c r="AU505" s="58">
        <v>0</v>
      </c>
      <c r="AV505" s="58">
        <v>0</v>
      </c>
      <c r="AW505" s="58">
        <v>0</v>
      </c>
      <c r="AX505" s="58">
        <v>0</v>
      </c>
    </row>
    <row r="506" spans="1:50" x14ac:dyDescent="0.25">
      <c r="A506" s="52">
        <f t="shared" si="31"/>
        <v>501</v>
      </c>
      <c r="B506" s="60" t="str">
        <f t="shared" si="30"/>
        <v>011254248003</v>
      </c>
      <c r="C506" s="55" t="s">
        <v>30</v>
      </c>
      <c r="D506" s="53" t="s">
        <v>2096</v>
      </c>
      <c r="E506" s="55" t="s">
        <v>693</v>
      </c>
      <c r="F506" s="53" t="s">
        <v>2105</v>
      </c>
      <c r="G506" s="55">
        <v>11349</v>
      </c>
      <c r="H506" s="53" t="s">
        <v>2503</v>
      </c>
      <c r="I506" s="55">
        <v>305812963</v>
      </c>
      <c r="J506" s="55" t="s">
        <v>725</v>
      </c>
      <c r="K506" s="55" t="s">
        <v>726</v>
      </c>
      <c r="L506" s="53" t="s">
        <v>2039</v>
      </c>
      <c r="M506" s="55" t="s">
        <v>49</v>
      </c>
      <c r="N506" s="52">
        <v>490000000</v>
      </c>
      <c r="O506" s="52">
        <v>490000000</v>
      </c>
      <c r="P506" s="52">
        <v>490000000</v>
      </c>
      <c r="Q506" s="57">
        <v>45043</v>
      </c>
      <c r="R506" s="57">
        <v>48449</v>
      </c>
      <c r="S506" s="56">
        <v>0</v>
      </c>
      <c r="T506" s="54">
        <v>0</v>
      </c>
      <c r="U506" s="52">
        <v>490000000</v>
      </c>
      <c r="V506" s="52">
        <v>0</v>
      </c>
      <c r="W506" s="52">
        <v>0</v>
      </c>
      <c r="X506" s="57"/>
      <c r="Y506" s="52">
        <v>490000000</v>
      </c>
      <c r="Z506" s="52">
        <v>0</v>
      </c>
      <c r="AA506" s="52">
        <v>1</v>
      </c>
      <c r="AB506" s="52">
        <v>49000000</v>
      </c>
      <c r="AC506" s="52">
        <v>328000000</v>
      </c>
      <c r="AD506" s="52">
        <v>0</v>
      </c>
      <c r="AE506" s="52">
        <v>0</v>
      </c>
      <c r="AF506" s="52">
        <v>0</v>
      </c>
      <c r="AG506" s="52">
        <v>328000000</v>
      </c>
      <c r="AH506" s="52">
        <v>0</v>
      </c>
      <c r="AI506" s="52">
        <v>0</v>
      </c>
      <c r="AJ506" s="52">
        <v>2</v>
      </c>
      <c r="AK506" s="52"/>
      <c r="AL506" s="52">
        <v>0</v>
      </c>
      <c r="AM506" s="52">
        <v>0</v>
      </c>
      <c r="AN506" s="52">
        <v>998906250</v>
      </c>
      <c r="AO506" s="52">
        <v>0</v>
      </c>
      <c r="AP506" s="52">
        <v>0</v>
      </c>
      <c r="AQ506" s="58">
        <v>0</v>
      </c>
      <c r="AR506" s="58">
        <v>0</v>
      </c>
      <c r="AS506" s="58">
        <v>0</v>
      </c>
      <c r="AT506" s="58">
        <v>0</v>
      </c>
      <c r="AU506" s="58">
        <v>0</v>
      </c>
      <c r="AV506" s="58">
        <v>0</v>
      </c>
      <c r="AW506" s="58">
        <v>0</v>
      </c>
      <c r="AX506" s="58">
        <v>0</v>
      </c>
    </row>
    <row r="507" spans="1:50" x14ac:dyDescent="0.25">
      <c r="A507" s="52">
        <f t="shared" si="31"/>
        <v>502</v>
      </c>
      <c r="B507" s="60" t="str">
        <f t="shared" si="30"/>
        <v>011254247997</v>
      </c>
      <c r="C507" s="55" t="s">
        <v>30</v>
      </c>
      <c r="D507" s="53" t="s">
        <v>2096</v>
      </c>
      <c r="E507" s="55" t="s">
        <v>693</v>
      </c>
      <c r="F507" s="53" t="s">
        <v>2105</v>
      </c>
      <c r="G507" s="55">
        <v>11349</v>
      </c>
      <c r="H507" s="53" t="s">
        <v>2503</v>
      </c>
      <c r="I507" s="55">
        <v>305812963</v>
      </c>
      <c r="J507" s="55" t="s">
        <v>727</v>
      </c>
      <c r="K507" s="55" t="s">
        <v>728</v>
      </c>
      <c r="L507" s="53" t="s">
        <v>2039</v>
      </c>
      <c r="M507" s="55" t="s">
        <v>49</v>
      </c>
      <c r="N507" s="52">
        <v>330445190</v>
      </c>
      <c r="O507" s="52">
        <v>330445190</v>
      </c>
      <c r="P507" s="52">
        <v>330445190</v>
      </c>
      <c r="Q507" s="57">
        <v>45043</v>
      </c>
      <c r="R507" s="57">
        <v>48144</v>
      </c>
      <c r="S507" s="56">
        <v>0</v>
      </c>
      <c r="T507" s="54">
        <v>0</v>
      </c>
      <c r="U507" s="52">
        <v>330445190</v>
      </c>
      <c r="V507" s="52">
        <v>0</v>
      </c>
      <c r="W507" s="52">
        <v>0</v>
      </c>
      <c r="X507" s="57"/>
      <c r="Y507" s="52">
        <v>330445190</v>
      </c>
      <c r="Z507" s="52">
        <v>0</v>
      </c>
      <c r="AA507" s="52">
        <v>1</v>
      </c>
      <c r="AB507" s="52">
        <v>33044519</v>
      </c>
      <c r="AC507" s="52">
        <v>185000000</v>
      </c>
      <c r="AD507" s="52">
        <v>0</v>
      </c>
      <c r="AE507" s="52">
        <v>0</v>
      </c>
      <c r="AF507" s="52">
        <v>0</v>
      </c>
      <c r="AG507" s="52">
        <v>185000000</v>
      </c>
      <c r="AH507" s="52">
        <v>0</v>
      </c>
      <c r="AI507" s="52">
        <v>0</v>
      </c>
      <c r="AJ507" s="52">
        <v>2</v>
      </c>
      <c r="AK507" s="52"/>
      <c r="AL507" s="52">
        <v>0</v>
      </c>
      <c r="AM507" s="52">
        <v>0</v>
      </c>
      <c r="AN507" s="52">
        <v>631102738</v>
      </c>
      <c r="AO507" s="52">
        <v>0</v>
      </c>
      <c r="AP507" s="52">
        <v>0</v>
      </c>
      <c r="AQ507" s="58">
        <v>0</v>
      </c>
      <c r="AR507" s="58">
        <v>0</v>
      </c>
      <c r="AS507" s="58">
        <v>0</v>
      </c>
      <c r="AT507" s="58">
        <v>0</v>
      </c>
      <c r="AU507" s="58">
        <v>0</v>
      </c>
      <c r="AV507" s="58">
        <v>0</v>
      </c>
      <c r="AW507" s="58">
        <v>0</v>
      </c>
      <c r="AX507" s="58">
        <v>0</v>
      </c>
    </row>
    <row r="508" spans="1:50" x14ac:dyDescent="0.25">
      <c r="A508" s="52">
        <f t="shared" si="31"/>
        <v>503</v>
      </c>
      <c r="B508" s="60" t="str">
        <f t="shared" si="30"/>
        <v>011254248002</v>
      </c>
      <c r="C508" s="55" t="s">
        <v>30</v>
      </c>
      <c r="D508" s="53" t="s">
        <v>2096</v>
      </c>
      <c r="E508" s="55" t="s">
        <v>693</v>
      </c>
      <c r="F508" s="53" t="s">
        <v>2105</v>
      </c>
      <c r="G508" s="55">
        <v>11349</v>
      </c>
      <c r="H508" s="53" t="s">
        <v>2503</v>
      </c>
      <c r="I508" s="55">
        <v>305812963</v>
      </c>
      <c r="J508" s="55" t="s">
        <v>729</v>
      </c>
      <c r="K508" s="55" t="s">
        <v>730</v>
      </c>
      <c r="L508" s="53" t="s">
        <v>2039</v>
      </c>
      <c r="M508" s="55" t="s">
        <v>49</v>
      </c>
      <c r="N508" s="52">
        <v>330445190</v>
      </c>
      <c r="O508" s="52">
        <v>330445190</v>
      </c>
      <c r="P508" s="52">
        <v>330445190</v>
      </c>
      <c r="Q508" s="57">
        <v>45043</v>
      </c>
      <c r="R508" s="57">
        <v>48144</v>
      </c>
      <c r="S508" s="56">
        <v>0</v>
      </c>
      <c r="T508" s="54">
        <v>0</v>
      </c>
      <c r="U508" s="52">
        <v>263878310</v>
      </c>
      <c r="V508" s="52">
        <v>0</v>
      </c>
      <c r="W508" s="52">
        <v>0</v>
      </c>
      <c r="X508" s="57"/>
      <c r="Y508" s="52">
        <v>263878310</v>
      </c>
      <c r="Z508" s="52">
        <v>0</v>
      </c>
      <c r="AA508" s="52">
        <v>1</v>
      </c>
      <c r="AB508" s="52">
        <v>26387831</v>
      </c>
      <c r="AC508" s="52">
        <v>157000000</v>
      </c>
      <c r="AD508" s="52">
        <v>0</v>
      </c>
      <c r="AE508" s="52">
        <v>0</v>
      </c>
      <c r="AF508" s="52">
        <v>0</v>
      </c>
      <c r="AG508" s="52">
        <v>157000000</v>
      </c>
      <c r="AH508" s="52">
        <v>0</v>
      </c>
      <c r="AI508" s="52">
        <v>0</v>
      </c>
      <c r="AJ508" s="52">
        <v>2</v>
      </c>
      <c r="AK508" s="52"/>
      <c r="AL508" s="52">
        <v>0</v>
      </c>
      <c r="AM508" s="52">
        <v>0</v>
      </c>
      <c r="AN508" s="52">
        <v>631102738</v>
      </c>
      <c r="AO508" s="52">
        <v>0</v>
      </c>
      <c r="AP508" s="52">
        <v>0</v>
      </c>
      <c r="AQ508" s="58">
        <v>0</v>
      </c>
      <c r="AR508" s="58">
        <v>0</v>
      </c>
      <c r="AS508" s="58">
        <v>0</v>
      </c>
      <c r="AT508" s="58">
        <v>0</v>
      </c>
      <c r="AU508" s="58">
        <v>0</v>
      </c>
      <c r="AV508" s="58">
        <v>0</v>
      </c>
      <c r="AW508" s="58">
        <v>0</v>
      </c>
      <c r="AX508" s="58">
        <v>0</v>
      </c>
    </row>
    <row r="509" spans="1:50" x14ac:dyDescent="0.25">
      <c r="A509" s="52">
        <f t="shared" si="31"/>
        <v>504</v>
      </c>
      <c r="B509" s="60" t="str">
        <f t="shared" ref="B509:B572" si="32">+E509&amp;J509</f>
        <v>011254247999</v>
      </c>
      <c r="C509" s="55" t="s">
        <v>30</v>
      </c>
      <c r="D509" s="53" t="s">
        <v>2096</v>
      </c>
      <c r="E509" s="55" t="s">
        <v>693</v>
      </c>
      <c r="F509" s="53" t="s">
        <v>2105</v>
      </c>
      <c r="G509" s="55">
        <v>11349</v>
      </c>
      <c r="H509" s="53" t="s">
        <v>2503</v>
      </c>
      <c r="I509" s="55">
        <v>305812963</v>
      </c>
      <c r="J509" s="55" t="s">
        <v>731</v>
      </c>
      <c r="K509" s="55" t="s">
        <v>732</v>
      </c>
      <c r="L509" s="53" t="s">
        <v>2039</v>
      </c>
      <c r="M509" s="55" t="s">
        <v>49</v>
      </c>
      <c r="N509" s="52">
        <v>225152968</v>
      </c>
      <c r="O509" s="52">
        <v>225152968</v>
      </c>
      <c r="P509" s="52">
        <v>225152968</v>
      </c>
      <c r="Q509" s="57">
        <v>45043</v>
      </c>
      <c r="R509" s="57">
        <v>48144</v>
      </c>
      <c r="S509" s="56">
        <v>0</v>
      </c>
      <c r="T509" s="54">
        <v>0</v>
      </c>
      <c r="U509" s="52">
        <v>225152968</v>
      </c>
      <c r="V509" s="52">
        <v>0</v>
      </c>
      <c r="W509" s="52">
        <v>0</v>
      </c>
      <c r="X509" s="57"/>
      <c r="Y509" s="52">
        <v>225152968</v>
      </c>
      <c r="Z509" s="52">
        <v>0</v>
      </c>
      <c r="AA509" s="52">
        <v>1</v>
      </c>
      <c r="AB509" s="52">
        <v>22515296.800000001</v>
      </c>
      <c r="AC509" s="52">
        <v>182000000</v>
      </c>
      <c r="AD509" s="52">
        <v>0</v>
      </c>
      <c r="AE509" s="52">
        <v>0</v>
      </c>
      <c r="AF509" s="52">
        <v>0</v>
      </c>
      <c r="AG509" s="52">
        <v>182000000</v>
      </c>
      <c r="AH509" s="52">
        <v>0</v>
      </c>
      <c r="AI509" s="52">
        <v>0</v>
      </c>
      <c r="AJ509" s="52">
        <v>2</v>
      </c>
      <c r="AK509" s="52"/>
      <c r="AL509" s="52">
        <v>0</v>
      </c>
      <c r="AM509" s="52">
        <v>0</v>
      </c>
      <c r="AN509" s="52">
        <v>281441210</v>
      </c>
      <c r="AO509" s="52">
        <v>0</v>
      </c>
      <c r="AP509" s="52">
        <v>0</v>
      </c>
      <c r="AQ509" s="58">
        <v>0</v>
      </c>
      <c r="AR509" s="58">
        <v>0</v>
      </c>
      <c r="AS509" s="58">
        <v>0</v>
      </c>
      <c r="AT509" s="58">
        <v>0</v>
      </c>
      <c r="AU509" s="58">
        <v>0</v>
      </c>
      <c r="AV509" s="58">
        <v>0</v>
      </c>
      <c r="AW509" s="58">
        <v>0</v>
      </c>
      <c r="AX509" s="58">
        <v>0</v>
      </c>
    </row>
    <row r="510" spans="1:50" x14ac:dyDescent="0.25">
      <c r="A510" s="52">
        <f t="shared" si="31"/>
        <v>505</v>
      </c>
      <c r="B510" s="60" t="str">
        <f t="shared" si="32"/>
        <v>011254211448</v>
      </c>
      <c r="C510" s="55" t="s">
        <v>30</v>
      </c>
      <c r="D510" s="53" t="s">
        <v>2096</v>
      </c>
      <c r="E510" s="55" t="s">
        <v>693</v>
      </c>
      <c r="F510" s="53" t="s">
        <v>2097</v>
      </c>
      <c r="G510" s="55">
        <v>11385</v>
      </c>
      <c r="H510" s="53" t="s">
        <v>2504</v>
      </c>
      <c r="I510" s="55">
        <v>203071206</v>
      </c>
      <c r="J510" s="55" t="s">
        <v>733</v>
      </c>
      <c r="K510" s="55" t="s">
        <v>734</v>
      </c>
      <c r="L510" s="53" t="s">
        <v>2045</v>
      </c>
      <c r="M510" s="55" t="s">
        <v>49</v>
      </c>
      <c r="N510" s="52">
        <v>100000000000</v>
      </c>
      <c r="O510" s="52">
        <v>100000000000</v>
      </c>
      <c r="P510" s="52">
        <v>100000000000</v>
      </c>
      <c r="Q510" s="57">
        <v>44267</v>
      </c>
      <c r="R510" s="57">
        <v>46092</v>
      </c>
      <c r="S510" s="56">
        <v>20</v>
      </c>
      <c r="T510" s="54">
        <v>6</v>
      </c>
      <c r="U510" s="52">
        <v>5185185196</v>
      </c>
      <c r="V510" s="52">
        <v>5185185196</v>
      </c>
      <c r="W510" s="52">
        <v>0</v>
      </c>
      <c r="X510" s="57"/>
      <c r="Y510" s="52">
        <v>0</v>
      </c>
      <c r="Z510" s="52">
        <v>0</v>
      </c>
      <c r="AA510" s="52">
        <v>1</v>
      </c>
      <c r="AB510" s="52">
        <v>0</v>
      </c>
      <c r="AC510" s="52">
        <v>825899076.74000001</v>
      </c>
      <c r="AD510" s="52">
        <v>5682394.7400000002</v>
      </c>
      <c r="AE510" s="52">
        <v>0</v>
      </c>
      <c r="AF510" s="52">
        <v>0</v>
      </c>
      <c r="AG510" s="52">
        <v>820216682</v>
      </c>
      <c r="AH510" s="52">
        <v>0</v>
      </c>
      <c r="AI510" s="52">
        <v>0</v>
      </c>
      <c r="AJ510" s="52">
        <v>2</v>
      </c>
      <c r="AK510" s="52"/>
      <c r="AL510" s="52">
        <v>0</v>
      </c>
      <c r="AM510" s="52">
        <v>0</v>
      </c>
      <c r="AN510" s="52">
        <v>0</v>
      </c>
      <c r="AO510" s="52">
        <v>100000000000</v>
      </c>
      <c r="AP510" s="52">
        <v>0</v>
      </c>
      <c r="AQ510" s="58">
        <v>0</v>
      </c>
      <c r="AR510" s="58">
        <v>0</v>
      </c>
      <c r="AS510" s="58">
        <v>0</v>
      </c>
      <c r="AT510" s="58">
        <v>0</v>
      </c>
      <c r="AU510" s="58">
        <v>0</v>
      </c>
      <c r="AV510" s="58">
        <v>0</v>
      </c>
      <c r="AW510" s="58">
        <v>25</v>
      </c>
      <c r="AX510" s="58">
        <v>4991749.07</v>
      </c>
    </row>
    <row r="511" spans="1:50" x14ac:dyDescent="0.25">
      <c r="A511" s="52">
        <f t="shared" si="31"/>
        <v>506</v>
      </c>
      <c r="B511" s="60" t="str">
        <f t="shared" si="32"/>
        <v>011255896095</v>
      </c>
      <c r="C511" s="55" t="s">
        <v>30</v>
      </c>
      <c r="D511" s="53" t="s">
        <v>2096</v>
      </c>
      <c r="E511" s="55" t="s">
        <v>693</v>
      </c>
      <c r="F511" s="53" t="s">
        <v>2101</v>
      </c>
      <c r="G511" s="55">
        <v>11386</v>
      </c>
      <c r="H511" s="53" t="s">
        <v>735</v>
      </c>
      <c r="I511" s="55">
        <v>305394979</v>
      </c>
      <c r="J511" s="55" t="s">
        <v>736</v>
      </c>
      <c r="K511" s="55" t="s">
        <v>737</v>
      </c>
      <c r="L511" s="53" t="s">
        <v>2070</v>
      </c>
      <c r="M511" s="55" t="s">
        <v>49</v>
      </c>
      <c r="N511" s="52">
        <v>5200000000</v>
      </c>
      <c r="O511" s="52">
        <v>5200000000</v>
      </c>
      <c r="P511" s="52">
        <v>5200000000</v>
      </c>
      <c r="Q511" s="57">
        <v>45796</v>
      </c>
      <c r="R511" s="57">
        <v>49447</v>
      </c>
      <c r="S511" s="56">
        <v>17</v>
      </c>
      <c r="T511" s="54">
        <v>36</v>
      </c>
      <c r="U511" s="52">
        <v>5014750000</v>
      </c>
      <c r="V511" s="52">
        <v>5014750000</v>
      </c>
      <c r="W511" s="52">
        <v>0</v>
      </c>
      <c r="X511" s="57"/>
      <c r="Y511" s="52">
        <v>0</v>
      </c>
      <c r="Z511" s="52">
        <v>0</v>
      </c>
      <c r="AA511" s="52">
        <v>1</v>
      </c>
      <c r="AB511" s="52">
        <v>501475000</v>
      </c>
      <c r="AC511" s="52">
        <v>317643602.73000002</v>
      </c>
      <c r="AD511" s="52">
        <v>317643602.73000002</v>
      </c>
      <c r="AE511" s="52">
        <v>0</v>
      </c>
      <c r="AF511" s="52">
        <v>0</v>
      </c>
      <c r="AG511" s="52">
        <v>0</v>
      </c>
      <c r="AH511" s="52">
        <v>0</v>
      </c>
      <c r="AI511" s="52">
        <v>0</v>
      </c>
      <c r="AJ511" s="52">
        <v>2</v>
      </c>
      <c r="AK511" s="52"/>
      <c r="AL511" s="52">
        <v>0</v>
      </c>
      <c r="AM511" s="52">
        <v>0</v>
      </c>
      <c r="AN511" s="52">
        <v>6500000000</v>
      </c>
      <c r="AO511" s="52">
        <v>3399505000</v>
      </c>
      <c r="AP511" s="52">
        <v>3399505000</v>
      </c>
      <c r="AQ511" s="58">
        <v>0</v>
      </c>
      <c r="AR511" s="58">
        <v>0</v>
      </c>
      <c r="AS511" s="58">
        <v>0</v>
      </c>
      <c r="AT511" s="58">
        <v>0</v>
      </c>
      <c r="AU511" s="58">
        <v>0</v>
      </c>
      <c r="AV511" s="58">
        <v>0</v>
      </c>
      <c r="AW511" s="58">
        <v>9</v>
      </c>
      <c r="AX511" s="58">
        <v>32465012.030000001</v>
      </c>
    </row>
    <row r="512" spans="1:50" x14ac:dyDescent="0.25">
      <c r="A512" s="52">
        <f t="shared" si="31"/>
        <v>507</v>
      </c>
      <c r="B512" s="60" t="str">
        <f t="shared" si="32"/>
        <v>011254239148</v>
      </c>
      <c r="C512" s="55" t="s">
        <v>30</v>
      </c>
      <c r="D512" s="53" t="s">
        <v>2096</v>
      </c>
      <c r="E512" s="55" t="s">
        <v>693</v>
      </c>
      <c r="F512" s="53" t="s">
        <v>2101</v>
      </c>
      <c r="G512" s="55">
        <v>11386</v>
      </c>
      <c r="H512" s="53" t="s">
        <v>2505</v>
      </c>
      <c r="I512" s="55">
        <v>300760273</v>
      </c>
      <c r="J512" s="55" t="s">
        <v>738</v>
      </c>
      <c r="K512" s="55" t="s">
        <v>739</v>
      </c>
      <c r="L512" s="53" t="s">
        <v>2070</v>
      </c>
      <c r="M512" s="55" t="s">
        <v>49</v>
      </c>
      <c r="N512" s="52">
        <v>4608000000</v>
      </c>
      <c r="O512" s="52">
        <v>4608000000</v>
      </c>
      <c r="P512" s="52">
        <v>4608000000</v>
      </c>
      <c r="Q512" s="57">
        <v>44902</v>
      </c>
      <c r="R512" s="57">
        <v>48309</v>
      </c>
      <c r="S512" s="56">
        <v>18</v>
      </c>
      <c r="T512" s="54">
        <v>36</v>
      </c>
      <c r="U512" s="52">
        <v>4278857143</v>
      </c>
      <c r="V512" s="52">
        <v>4278857143</v>
      </c>
      <c r="W512" s="52">
        <v>0</v>
      </c>
      <c r="X512" s="57"/>
      <c r="Y512" s="52">
        <v>0</v>
      </c>
      <c r="Z512" s="52">
        <v>0</v>
      </c>
      <c r="AA512" s="52">
        <v>1</v>
      </c>
      <c r="AB512" s="52">
        <v>0</v>
      </c>
      <c r="AC512" s="52">
        <v>251233221.15000001</v>
      </c>
      <c r="AD512" s="52">
        <v>251233221.15000001</v>
      </c>
      <c r="AE512" s="52">
        <v>0</v>
      </c>
      <c r="AF512" s="52">
        <v>0</v>
      </c>
      <c r="AG512" s="52">
        <v>0</v>
      </c>
      <c r="AH512" s="52">
        <v>0</v>
      </c>
      <c r="AI512" s="52">
        <v>0</v>
      </c>
      <c r="AJ512" s="52">
        <v>2</v>
      </c>
      <c r="AK512" s="52"/>
      <c r="AL512" s="52">
        <v>11503111192</v>
      </c>
      <c r="AM512" s="52">
        <v>11503111192</v>
      </c>
      <c r="AN512" s="52">
        <v>5760000000</v>
      </c>
      <c r="AO512" s="52">
        <v>776152988015</v>
      </c>
      <c r="AP512" s="52">
        <v>776152988015</v>
      </c>
      <c r="AQ512" s="58">
        <v>0</v>
      </c>
      <c r="AR512" s="58">
        <v>0</v>
      </c>
      <c r="AS512" s="58">
        <v>0</v>
      </c>
      <c r="AT512" s="58">
        <v>0</v>
      </c>
      <c r="AU512" s="58">
        <v>0</v>
      </c>
      <c r="AV512" s="58">
        <v>0</v>
      </c>
      <c r="AW512" s="58">
        <v>2</v>
      </c>
      <c r="AX512" s="58">
        <v>403108.73</v>
      </c>
    </row>
    <row r="513" spans="1:50" x14ac:dyDescent="0.25">
      <c r="A513" s="52">
        <f t="shared" si="31"/>
        <v>508</v>
      </c>
      <c r="B513" s="60" t="str">
        <f t="shared" si="32"/>
        <v>011254195400</v>
      </c>
      <c r="C513" s="55" t="s">
        <v>30</v>
      </c>
      <c r="D513" s="53" t="s">
        <v>2096</v>
      </c>
      <c r="E513" s="55" t="s">
        <v>693</v>
      </c>
      <c r="F513" s="53" t="s">
        <v>2101</v>
      </c>
      <c r="G513" s="55">
        <v>11386</v>
      </c>
      <c r="H513" s="53" t="s">
        <v>2506</v>
      </c>
      <c r="I513" s="55">
        <v>305394979</v>
      </c>
      <c r="J513" s="55" t="s">
        <v>740</v>
      </c>
      <c r="K513" s="55" t="s">
        <v>741</v>
      </c>
      <c r="L513" s="53" t="s">
        <v>2070</v>
      </c>
      <c r="M513" s="55" t="s">
        <v>75</v>
      </c>
      <c r="N513" s="52">
        <v>334946.08</v>
      </c>
      <c r="O513" s="52">
        <v>4042048906.3800001</v>
      </c>
      <c r="P513" s="52">
        <v>334946</v>
      </c>
      <c r="Q513" s="57">
        <v>43441</v>
      </c>
      <c r="R513" s="57">
        <v>47058</v>
      </c>
      <c r="S513" s="56">
        <v>6.5</v>
      </c>
      <c r="T513" s="54">
        <v>36</v>
      </c>
      <c r="U513" s="52">
        <v>1610832843.3</v>
      </c>
      <c r="V513" s="52">
        <v>1610832843.3</v>
      </c>
      <c r="W513" s="52">
        <v>0</v>
      </c>
      <c r="X513" s="57"/>
      <c r="Y513" s="52">
        <v>0</v>
      </c>
      <c r="Z513" s="52">
        <v>0</v>
      </c>
      <c r="AA513" s="52">
        <v>1</v>
      </c>
      <c r="AB513" s="52">
        <v>166783777.37</v>
      </c>
      <c r="AC513" s="52">
        <v>25933700.719999999</v>
      </c>
      <c r="AD513" s="52">
        <v>25933700.719999999</v>
      </c>
      <c r="AE513" s="52">
        <v>0</v>
      </c>
      <c r="AF513" s="52">
        <v>0</v>
      </c>
      <c r="AG513" s="52">
        <v>0</v>
      </c>
      <c r="AH513" s="52">
        <v>0</v>
      </c>
      <c r="AI513" s="52">
        <v>0</v>
      </c>
      <c r="AJ513" s="52">
        <v>2</v>
      </c>
      <c r="AK513" s="52"/>
      <c r="AL513" s="52">
        <v>0</v>
      </c>
      <c r="AM513" s="52">
        <v>0</v>
      </c>
      <c r="AN513" s="52">
        <v>5584060000</v>
      </c>
      <c r="AO513" s="52">
        <v>328902935337</v>
      </c>
      <c r="AP513" s="52">
        <v>328902935337</v>
      </c>
      <c r="AQ513" s="58">
        <v>0</v>
      </c>
      <c r="AR513" s="58">
        <v>0</v>
      </c>
      <c r="AS513" s="58">
        <v>0</v>
      </c>
      <c r="AT513" s="58">
        <v>0</v>
      </c>
      <c r="AU513" s="58">
        <v>0</v>
      </c>
      <c r="AV513" s="58">
        <v>0</v>
      </c>
      <c r="AW513" s="58">
        <v>9</v>
      </c>
      <c r="AX513" s="58">
        <v>32465012.030000001</v>
      </c>
    </row>
    <row r="514" spans="1:50" x14ac:dyDescent="0.25">
      <c r="A514" s="52">
        <f t="shared" si="31"/>
        <v>509</v>
      </c>
      <c r="B514" s="60" t="str">
        <f t="shared" si="32"/>
        <v>011254205617</v>
      </c>
      <c r="C514" s="55" t="s">
        <v>30</v>
      </c>
      <c r="D514" s="53" t="s">
        <v>2096</v>
      </c>
      <c r="E514" s="55" t="s">
        <v>693</v>
      </c>
      <c r="F514" s="53" t="s">
        <v>2101</v>
      </c>
      <c r="G514" s="55">
        <v>11386</v>
      </c>
      <c r="H514" s="53" t="s">
        <v>2506</v>
      </c>
      <c r="I514" s="55">
        <v>305394979</v>
      </c>
      <c r="J514" s="55" t="s">
        <v>742</v>
      </c>
      <c r="K514" s="55" t="s">
        <v>743</v>
      </c>
      <c r="L514" s="53" t="s">
        <v>2070</v>
      </c>
      <c r="M514" s="55" t="s">
        <v>49</v>
      </c>
      <c r="N514" s="52">
        <v>1700000000</v>
      </c>
      <c r="O514" s="52">
        <v>1700000000</v>
      </c>
      <c r="P514" s="52">
        <v>1700000000</v>
      </c>
      <c r="Q514" s="57">
        <v>44069</v>
      </c>
      <c r="R514" s="57">
        <v>47608</v>
      </c>
      <c r="S514" s="56">
        <v>14</v>
      </c>
      <c r="T514" s="54">
        <v>24</v>
      </c>
      <c r="U514" s="52">
        <v>1002266476.61</v>
      </c>
      <c r="V514" s="52">
        <v>1002266476.61</v>
      </c>
      <c r="W514" s="52">
        <v>0</v>
      </c>
      <c r="X514" s="57"/>
      <c r="Y514" s="52">
        <v>0</v>
      </c>
      <c r="Z514" s="52">
        <v>0</v>
      </c>
      <c r="AA514" s="52">
        <v>1</v>
      </c>
      <c r="AB514" s="52">
        <v>100226647.66</v>
      </c>
      <c r="AC514" s="52">
        <v>88717365.349999994</v>
      </c>
      <c r="AD514" s="52">
        <v>18452686.91</v>
      </c>
      <c r="AE514" s="52">
        <v>70264678.439999998</v>
      </c>
      <c r="AF514" s="52">
        <v>0</v>
      </c>
      <c r="AG514" s="52">
        <v>0</v>
      </c>
      <c r="AH514" s="52">
        <v>0</v>
      </c>
      <c r="AI514" s="52">
        <v>0</v>
      </c>
      <c r="AJ514" s="52">
        <v>2</v>
      </c>
      <c r="AK514" s="52"/>
      <c r="AL514" s="52">
        <v>0</v>
      </c>
      <c r="AM514" s="52">
        <v>0</v>
      </c>
      <c r="AN514" s="52">
        <v>5968000000</v>
      </c>
      <c r="AO514" s="52">
        <v>308638080957</v>
      </c>
      <c r="AP514" s="52">
        <v>308638080957</v>
      </c>
      <c r="AQ514" s="58">
        <v>0</v>
      </c>
      <c r="AR514" s="58">
        <v>0</v>
      </c>
      <c r="AS514" s="58">
        <v>0</v>
      </c>
      <c r="AT514" s="58">
        <v>0</v>
      </c>
      <c r="AU514" s="58">
        <v>0</v>
      </c>
      <c r="AV514" s="58">
        <v>0</v>
      </c>
      <c r="AW514" s="58">
        <v>9</v>
      </c>
      <c r="AX514" s="58">
        <v>32465012.030000001</v>
      </c>
    </row>
    <row r="515" spans="1:50" x14ac:dyDescent="0.25">
      <c r="A515" s="52">
        <f t="shared" si="31"/>
        <v>510</v>
      </c>
      <c r="B515" s="60" t="str">
        <f t="shared" si="32"/>
        <v>011254244394</v>
      </c>
      <c r="C515" s="55" t="s">
        <v>30</v>
      </c>
      <c r="D515" s="53" t="s">
        <v>2096</v>
      </c>
      <c r="E515" s="55" t="s">
        <v>693</v>
      </c>
      <c r="F515" s="53" t="s">
        <v>2101</v>
      </c>
      <c r="G515" s="55">
        <v>11386</v>
      </c>
      <c r="H515" s="53" t="s">
        <v>744</v>
      </c>
      <c r="I515" s="55">
        <v>305694329</v>
      </c>
      <c r="J515" s="55" t="s">
        <v>745</v>
      </c>
      <c r="K515" s="55" t="s">
        <v>746</v>
      </c>
      <c r="L515" s="53" t="s">
        <v>2070</v>
      </c>
      <c r="M515" s="55" t="s">
        <v>49</v>
      </c>
      <c r="N515" s="52">
        <v>1000000000</v>
      </c>
      <c r="O515" s="52">
        <v>1000000000</v>
      </c>
      <c r="P515" s="52">
        <v>1000000000</v>
      </c>
      <c r="Q515" s="57">
        <v>44987</v>
      </c>
      <c r="R515" s="57">
        <v>46805</v>
      </c>
      <c r="S515" s="56">
        <v>14</v>
      </c>
      <c r="T515" s="54">
        <v>24</v>
      </c>
      <c r="U515" s="52">
        <v>722222220</v>
      </c>
      <c r="V515" s="52">
        <v>694444442</v>
      </c>
      <c r="W515" s="52">
        <v>27777778</v>
      </c>
      <c r="X515" s="57">
        <v>46027</v>
      </c>
      <c r="Y515" s="52">
        <v>0</v>
      </c>
      <c r="Z515" s="52">
        <v>0</v>
      </c>
      <c r="AA515" s="52">
        <v>1</v>
      </c>
      <c r="AB515" s="52">
        <v>0</v>
      </c>
      <c r="AC515" s="52">
        <v>14729805.309999999</v>
      </c>
      <c r="AD515" s="52">
        <v>7468797.5300000003</v>
      </c>
      <c r="AE515" s="52">
        <v>0</v>
      </c>
      <c r="AF515" s="52">
        <v>7261007.7799999993</v>
      </c>
      <c r="AG515" s="52">
        <v>0</v>
      </c>
      <c r="AH515" s="52">
        <v>0</v>
      </c>
      <c r="AI515" s="52">
        <v>0</v>
      </c>
      <c r="AJ515" s="52">
        <v>2</v>
      </c>
      <c r="AK515" s="52"/>
      <c r="AL515" s="52">
        <v>0</v>
      </c>
      <c r="AM515" s="52">
        <v>0</v>
      </c>
      <c r="AN515" s="52">
        <v>1250000000</v>
      </c>
      <c r="AO515" s="52">
        <v>2825029830</v>
      </c>
      <c r="AP515" s="52">
        <v>2825029830</v>
      </c>
      <c r="AQ515" s="58">
        <v>0</v>
      </c>
      <c r="AR515" s="58">
        <v>0</v>
      </c>
      <c r="AS515" s="58">
        <v>0</v>
      </c>
      <c r="AT515" s="58">
        <v>0</v>
      </c>
      <c r="AU515" s="58">
        <v>0</v>
      </c>
      <c r="AV515" s="58">
        <v>0</v>
      </c>
      <c r="AW515" s="58">
        <v>1</v>
      </c>
      <c r="AX515" s="58">
        <v>87750</v>
      </c>
    </row>
    <row r="516" spans="1:50" x14ac:dyDescent="0.25">
      <c r="A516" s="52">
        <f t="shared" si="31"/>
        <v>511</v>
      </c>
      <c r="B516" s="60" t="str">
        <f t="shared" si="32"/>
        <v>011255710841</v>
      </c>
      <c r="C516" s="55" t="s">
        <v>30</v>
      </c>
      <c r="D516" s="53" t="s">
        <v>2096</v>
      </c>
      <c r="E516" s="55" t="s">
        <v>693</v>
      </c>
      <c r="F516" s="53" t="s">
        <v>2101</v>
      </c>
      <c r="G516" s="55">
        <v>11386</v>
      </c>
      <c r="H516" s="53" t="s">
        <v>744</v>
      </c>
      <c r="I516" s="55">
        <v>305694329</v>
      </c>
      <c r="J516" s="55" t="s">
        <v>747</v>
      </c>
      <c r="K516" s="55" t="s">
        <v>748</v>
      </c>
      <c r="L516" s="53" t="s">
        <v>2070</v>
      </c>
      <c r="M516" s="55" t="s">
        <v>49</v>
      </c>
      <c r="N516" s="52">
        <v>400000000</v>
      </c>
      <c r="O516" s="52">
        <v>400000000</v>
      </c>
      <c r="P516" s="52">
        <v>400000000</v>
      </c>
      <c r="Q516" s="57">
        <v>45685</v>
      </c>
      <c r="R516" s="57">
        <v>46778</v>
      </c>
      <c r="S516" s="56">
        <v>18</v>
      </c>
      <c r="T516" s="54">
        <v>24</v>
      </c>
      <c r="U516" s="52">
        <v>400000000</v>
      </c>
      <c r="V516" s="52">
        <v>400000000</v>
      </c>
      <c r="W516" s="52">
        <v>0</v>
      </c>
      <c r="X516" s="57"/>
      <c r="Y516" s="52">
        <v>0</v>
      </c>
      <c r="Z516" s="52">
        <v>0</v>
      </c>
      <c r="AA516" s="52">
        <v>1</v>
      </c>
      <c r="AB516" s="52">
        <v>0</v>
      </c>
      <c r="AC516" s="52">
        <v>11441095.890000001</v>
      </c>
      <c r="AD516" s="52">
        <v>5523287.6600000001</v>
      </c>
      <c r="AE516" s="52">
        <v>0</v>
      </c>
      <c r="AF516" s="52">
        <v>5917808.2300000004</v>
      </c>
      <c r="AG516" s="52">
        <v>0</v>
      </c>
      <c r="AH516" s="52">
        <v>0</v>
      </c>
      <c r="AI516" s="52">
        <v>0</v>
      </c>
      <c r="AJ516" s="52">
        <v>2</v>
      </c>
      <c r="AK516" s="52"/>
      <c r="AL516" s="52">
        <v>0</v>
      </c>
      <c r="AM516" s="52">
        <v>0</v>
      </c>
      <c r="AN516" s="52">
        <v>500000000</v>
      </c>
      <c r="AO516" s="52">
        <v>604170000</v>
      </c>
      <c r="AP516" s="52">
        <v>604170000</v>
      </c>
      <c r="AQ516" s="58">
        <v>0</v>
      </c>
      <c r="AR516" s="58">
        <v>0</v>
      </c>
      <c r="AS516" s="58">
        <v>0</v>
      </c>
      <c r="AT516" s="58">
        <v>0</v>
      </c>
      <c r="AU516" s="58">
        <v>0</v>
      </c>
      <c r="AV516" s="58">
        <v>0</v>
      </c>
      <c r="AW516" s="58">
        <v>1</v>
      </c>
      <c r="AX516" s="58">
        <v>87750</v>
      </c>
    </row>
    <row r="517" spans="1:50" x14ac:dyDescent="0.25">
      <c r="A517" s="52">
        <f t="shared" si="31"/>
        <v>512</v>
      </c>
      <c r="B517" s="60" t="str">
        <f t="shared" si="32"/>
        <v>011254196770</v>
      </c>
      <c r="C517" s="55" t="s">
        <v>30</v>
      </c>
      <c r="D517" s="53" t="s">
        <v>2096</v>
      </c>
      <c r="E517" s="55" t="s">
        <v>693</v>
      </c>
      <c r="F517" s="53" t="s">
        <v>2102</v>
      </c>
      <c r="G517" s="55">
        <v>11387</v>
      </c>
      <c r="H517" s="53" t="s">
        <v>2507</v>
      </c>
      <c r="I517" s="55">
        <v>300152150</v>
      </c>
      <c r="J517" s="55" t="s">
        <v>749</v>
      </c>
      <c r="K517" s="55" t="s">
        <v>750</v>
      </c>
      <c r="L517" s="53" t="s">
        <v>2068</v>
      </c>
      <c r="M517" s="55" t="s">
        <v>75</v>
      </c>
      <c r="N517" s="52">
        <v>847320</v>
      </c>
      <c r="O517" s="52">
        <v>10225254403.200001</v>
      </c>
      <c r="P517" s="52">
        <v>10225254403.200001</v>
      </c>
      <c r="Q517" s="57">
        <v>43612</v>
      </c>
      <c r="R517" s="57">
        <v>47236</v>
      </c>
      <c r="S517" s="56">
        <v>6.5</v>
      </c>
      <c r="T517" s="54">
        <v>0</v>
      </c>
      <c r="U517" s="52">
        <v>4651407038.1000004</v>
      </c>
      <c r="V517" s="52">
        <v>4651407038.1000004</v>
      </c>
      <c r="W517" s="52">
        <v>0</v>
      </c>
      <c r="X517" s="57"/>
      <c r="Y517" s="52">
        <v>0</v>
      </c>
      <c r="Z517" s="52">
        <v>0</v>
      </c>
      <c r="AA517" s="52">
        <v>1</v>
      </c>
      <c r="AB517" s="52">
        <v>0</v>
      </c>
      <c r="AC517" s="52">
        <v>69751038.049999997</v>
      </c>
      <c r="AD517" s="52">
        <v>69751038.049999997</v>
      </c>
      <c r="AE517" s="52">
        <v>0</v>
      </c>
      <c r="AF517" s="52">
        <v>0</v>
      </c>
      <c r="AG517" s="52">
        <v>0</v>
      </c>
      <c r="AH517" s="52">
        <v>0</v>
      </c>
      <c r="AI517" s="52">
        <v>0</v>
      </c>
      <c r="AJ517" s="52">
        <v>2</v>
      </c>
      <c r="AK517" s="52"/>
      <c r="AL517" s="52">
        <v>16221815</v>
      </c>
      <c r="AM517" s="52">
        <v>0</v>
      </c>
      <c r="AN517" s="52">
        <v>9550000000</v>
      </c>
      <c r="AO517" s="52">
        <v>48246844</v>
      </c>
      <c r="AP517" s="52">
        <v>48246844</v>
      </c>
      <c r="AQ517" s="58">
        <v>0</v>
      </c>
      <c r="AR517" s="58">
        <v>0</v>
      </c>
      <c r="AS517" s="58">
        <v>4</v>
      </c>
      <c r="AT517" s="58">
        <v>421725.28</v>
      </c>
      <c r="AU517" s="58">
        <v>0</v>
      </c>
      <c r="AV517" s="58">
        <v>0</v>
      </c>
      <c r="AW517" s="58">
        <v>4</v>
      </c>
      <c r="AX517" s="58">
        <v>6112290.2400000002</v>
      </c>
    </row>
    <row r="518" spans="1:50" x14ac:dyDescent="0.25">
      <c r="A518" s="52">
        <f t="shared" si="31"/>
        <v>513</v>
      </c>
      <c r="B518" s="60" t="str">
        <f t="shared" si="32"/>
        <v>011255907288</v>
      </c>
      <c r="C518" s="55" t="s">
        <v>30</v>
      </c>
      <c r="D518" s="53" t="s">
        <v>2096</v>
      </c>
      <c r="E518" s="55" t="s">
        <v>693</v>
      </c>
      <c r="F518" s="53" t="s">
        <v>2102</v>
      </c>
      <c r="G518" s="55">
        <v>11387</v>
      </c>
      <c r="H518" s="53" t="s">
        <v>751</v>
      </c>
      <c r="I518" s="55">
        <v>312003692</v>
      </c>
      <c r="J518" s="55" t="s">
        <v>752</v>
      </c>
      <c r="K518" s="55" t="s">
        <v>753</v>
      </c>
      <c r="L518" s="53" t="s">
        <v>2068</v>
      </c>
      <c r="M518" s="55" t="s">
        <v>75</v>
      </c>
      <c r="N518" s="52">
        <v>100000</v>
      </c>
      <c r="O518" s="52">
        <v>1206776000</v>
      </c>
      <c r="P518" s="52">
        <v>1206776000</v>
      </c>
      <c r="Q518" s="57">
        <v>45825</v>
      </c>
      <c r="R518" s="57">
        <v>46920</v>
      </c>
      <c r="S518" s="56">
        <v>12</v>
      </c>
      <c r="T518" s="54">
        <v>6</v>
      </c>
      <c r="U518" s="52">
        <v>1180685989.79</v>
      </c>
      <c r="V518" s="52">
        <v>1179250399.7</v>
      </c>
      <c r="W518" s="52">
        <v>1435590.09</v>
      </c>
      <c r="X518" s="57">
        <v>46027</v>
      </c>
      <c r="Y518" s="52">
        <v>0</v>
      </c>
      <c r="Z518" s="52">
        <v>0</v>
      </c>
      <c r="AA518" s="52">
        <v>1</v>
      </c>
      <c r="AB518" s="52">
        <v>0</v>
      </c>
      <c r="AC518" s="52">
        <v>11112648.15</v>
      </c>
      <c r="AD518" s="52">
        <v>10613704.960000001</v>
      </c>
      <c r="AE518" s="52">
        <v>0</v>
      </c>
      <c r="AF518" s="52">
        <v>498943.19</v>
      </c>
      <c r="AG518" s="52">
        <v>0</v>
      </c>
      <c r="AH518" s="52">
        <v>0</v>
      </c>
      <c r="AI518" s="52">
        <v>0</v>
      </c>
      <c r="AJ518" s="52">
        <v>2</v>
      </c>
      <c r="AK518" s="52"/>
      <c r="AL518" s="52">
        <v>0</v>
      </c>
      <c r="AM518" s="52">
        <v>0</v>
      </c>
      <c r="AN518" s="52">
        <v>1857143000</v>
      </c>
      <c r="AO518" s="52">
        <v>3390</v>
      </c>
      <c r="AP518" s="52">
        <v>3390</v>
      </c>
      <c r="AQ518" s="58">
        <v>0</v>
      </c>
      <c r="AR518" s="58">
        <v>0</v>
      </c>
      <c r="AS518" s="58">
        <v>0</v>
      </c>
      <c r="AT518" s="58">
        <v>0</v>
      </c>
      <c r="AU518" s="58">
        <v>0</v>
      </c>
      <c r="AV518" s="58">
        <v>0</v>
      </c>
      <c r="AW518" s="58">
        <v>0</v>
      </c>
      <c r="AX518" s="58">
        <v>0</v>
      </c>
    </row>
    <row r="519" spans="1:50" x14ac:dyDescent="0.25">
      <c r="A519" s="52">
        <f t="shared" si="31"/>
        <v>514</v>
      </c>
      <c r="B519" s="60" t="str">
        <f t="shared" si="32"/>
        <v>011256022528</v>
      </c>
      <c r="C519" s="55" t="s">
        <v>30</v>
      </c>
      <c r="D519" s="53" t="s">
        <v>2096</v>
      </c>
      <c r="E519" s="55" t="s">
        <v>693</v>
      </c>
      <c r="F519" s="53" t="s">
        <v>2102</v>
      </c>
      <c r="G519" s="55">
        <v>11387</v>
      </c>
      <c r="H519" s="53" t="s">
        <v>2508</v>
      </c>
      <c r="I519" s="55">
        <v>305508153</v>
      </c>
      <c r="J519" s="55" t="s">
        <v>754</v>
      </c>
      <c r="K519" s="55" t="s">
        <v>755</v>
      </c>
      <c r="L519" s="53" t="s">
        <v>2068</v>
      </c>
      <c r="M519" s="55" t="s">
        <v>75</v>
      </c>
      <c r="N519" s="52">
        <v>95000</v>
      </c>
      <c r="O519" s="52">
        <v>1146437200</v>
      </c>
      <c r="P519" s="52">
        <v>1146437200</v>
      </c>
      <c r="Q519" s="57">
        <v>45896</v>
      </c>
      <c r="R519" s="57">
        <v>46991</v>
      </c>
      <c r="S519" s="56">
        <v>12</v>
      </c>
      <c r="T519" s="54">
        <v>6</v>
      </c>
      <c r="U519" s="52">
        <v>1158914500</v>
      </c>
      <c r="V519" s="52">
        <v>1158914500</v>
      </c>
      <c r="W519" s="52">
        <v>0</v>
      </c>
      <c r="X519" s="57"/>
      <c r="Y519" s="52">
        <v>0</v>
      </c>
      <c r="Z519" s="52">
        <v>0</v>
      </c>
      <c r="AA519" s="52">
        <v>1</v>
      </c>
      <c r="AB519" s="52">
        <v>0</v>
      </c>
      <c r="AC519" s="52">
        <v>10121837.25</v>
      </c>
      <c r="AD519" s="52">
        <v>10121837.25</v>
      </c>
      <c r="AE519" s="52">
        <v>0</v>
      </c>
      <c r="AF519" s="52">
        <v>0</v>
      </c>
      <c r="AG519" s="52">
        <v>0</v>
      </c>
      <c r="AH519" s="52">
        <v>0</v>
      </c>
      <c r="AI519" s="52">
        <v>0</v>
      </c>
      <c r="AJ519" s="52">
        <v>2</v>
      </c>
      <c r="AK519" s="52"/>
      <c r="AL519" s="52">
        <v>17611139</v>
      </c>
      <c r="AM519" s="52">
        <v>0</v>
      </c>
      <c r="AN519" s="52">
        <v>1414286000</v>
      </c>
      <c r="AO519" s="52">
        <v>1210000</v>
      </c>
      <c r="AP519" s="52">
        <v>1210000</v>
      </c>
      <c r="AQ519" s="58">
        <v>0</v>
      </c>
      <c r="AR519" s="58">
        <v>0</v>
      </c>
      <c r="AS519" s="58">
        <v>0</v>
      </c>
      <c r="AT519" s="58">
        <v>0</v>
      </c>
      <c r="AU519" s="58">
        <v>0</v>
      </c>
      <c r="AV519" s="58">
        <v>0</v>
      </c>
      <c r="AW519" s="58">
        <v>0</v>
      </c>
      <c r="AX519" s="58">
        <v>0</v>
      </c>
    </row>
    <row r="520" spans="1:50" x14ac:dyDescent="0.25">
      <c r="A520" s="52">
        <f t="shared" ref="A520:A583" si="33">+A519+1</f>
        <v>515</v>
      </c>
      <c r="B520" s="60" t="str">
        <f t="shared" si="32"/>
        <v>011255508559</v>
      </c>
      <c r="C520" s="55" t="s">
        <v>30</v>
      </c>
      <c r="D520" s="53" t="s">
        <v>2096</v>
      </c>
      <c r="E520" s="55" t="s">
        <v>693</v>
      </c>
      <c r="F520" s="53" t="s">
        <v>2108</v>
      </c>
      <c r="G520" s="55">
        <v>11388</v>
      </c>
      <c r="H520" s="53" t="s">
        <v>756</v>
      </c>
      <c r="I520" s="55">
        <v>306318895</v>
      </c>
      <c r="J520" s="55" t="s">
        <v>757</v>
      </c>
      <c r="K520" s="55" t="s">
        <v>758</v>
      </c>
      <c r="L520" s="53" t="s">
        <v>2062</v>
      </c>
      <c r="M520" s="55" t="s">
        <v>49</v>
      </c>
      <c r="N520" s="52">
        <v>1300000000</v>
      </c>
      <c r="O520" s="52">
        <v>1300000000</v>
      </c>
      <c r="P520" s="52">
        <v>1298900000</v>
      </c>
      <c r="Q520" s="57">
        <v>45559</v>
      </c>
      <c r="R520" s="57">
        <v>48114</v>
      </c>
      <c r="S520" s="56">
        <v>17.5</v>
      </c>
      <c r="T520" s="54">
        <v>24</v>
      </c>
      <c r="U520" s="52">
        <v>1298900000</v>
      </c>
      <c r="V520" s="52">
        <v>1298900000</v>
      </c>
      <c r="W520" s="52">
        <v>0</v>
      </c>
      <c r="X520" s="57"/>
      <c r="Y520" s="52">
        <v>0</v>
      </c>
      <c r="Z520" s="52">
        <v>0</v>
      </c>
      <c r="AA520" s="52">
        <v>1</v>
      </c>
      <c r="AB520" s="52">
        <v>0</v>
      </c>
      <c r="AC520" s="52">
        <v>26234095.890000001</v>
      </c>
      <c r="AD520" s="52">
        <v>17437287.670000002</v>
      </c>
      <c r="AE520" s="52">
        <v>0</v>
      </c>
      <c r="AF520" s="52">
        <v>8796808.2200000007</v>
      </c>
      <c r="AG520" s="52">
        <v>0</v>
      </c>
      <c r="AH520" s="52">
        <v>0</v>
      </c>
      <c r="AI520" s="52">
        <v>0</v>
      </c>
      <c r="AJ520" s="52">
        <v>2</v>
      </c>
      <c r="AK520" s="52"/>
      <c r="AL520" s="52">
        <v>47645000</v>
      </c>
      <c r="AM520" s="52">
        <v>39802000</v>
      </c>
      <c r="AN520" s="52">
        <v>1625000000</v>
      </c>
      <c r="AO520" s="52">
        <v>217735200</v>
      </c>
      <c r="AP520" s="52">
        <v>0</v>
      </c>
      <c r="AQ520" s="58">
        <v>0</v>
      </c>
      <c r="AR520" s="58">
        <v>0</v>
      </c>
      <c r="AS520" s="58">
        <v>0</v>
      </c>
      <c r="AT520" s="58">
        <v>0</v>
      </c>
      <c r="AU520" s="58">
        <v>0</v>
      </c>
      <c r="AV520" s="58">
        <v>0</v>
      </c>
      <c r="AW520" s="58">
        <v>0</v>
      </c>
      <c r="AX520" s="58">
        <v>0</v>
      </c>
    </row>
    <row r="521" spans="1:50" x14ac:dyDescent="0.25">
      <c r="A521" s="52">
        <f t="shared" si="33"/>
        <v>516</v>
      </c>
      <c r="B521" s="60" t="str">
        <f t="shared" si="32"/>
        <v>011255038361</v>
      </c>
      <c r="C521" s="55" t="s">
        <v>30</v>
      </c>
      <c r="D521" s="53" t="s">
        <v>2096</v>
      </c>
      <c r="E521" s="55" t="s">
        <v>693</v>
      </c>
      <c r="F521" s="53" t="s">
        <v>2117</v>
      </c>
      <c r="G521" s="55">
        <v>11487</v>
      </c>
      <c r="H521" s="53" t="s">
        <v>759</v>
      </c>
      <c r="I521" s="55">
        <v>302585426</v>
      </c>
      <c r="J521" s="55" t="s">
        <v>760</v>
      </c>
      <c r="K521" s="55" t="s">
        <v>761</v>
      </c>
      <c r="L521" s="53" t="s">
        <v>2077</v>
      </c>
      <c r="M521" s="55" t="s">
        <v>49</v>
      </c>
      <c r="N521" s="52">
        <v>5000000000</v>
      </c>
      <c r="O521" s="52">
        <v>5000000000</v>
      </c>
      <c r="P521" s="52">
        <v>5000000000</v>
      </c>
      <c r="Q521" s="57">
        <v>45247</v>
      </c>
      <c r="R521" s="57">
        <v>47803</v>
      </c>
      <c r="S521" s="56">
        <v>14</v>
      </c>
      <c r="T521" s="54">
        <v>24</v>
      </c>
      <c r="U521" s="52">
        <v>4833333334</v>
      </c>
      <c r="V521" s="52">
        <v>4833333334</v>
      </c>
      <c r="W521" s="52">
        <v>0</v>
      </c>
      <c r="X521" s="57"/>
      <c r="Y521" s="52">
        <v>0</v>
      </c>
      <c r="Z521" s="52">
        <v>0</v>
      </c>
      <c r="AA521" s="52">
        <v>1</v>
      </c>
      <c r="AB521" s="52">
        <v>0</v>
      </c>
      <c r="AC521" s="52">
        <v>50054794.530000001</v>
      </c>
      <c r="AD521" s="52">
        <v>50054794.530000001</v>
      </c>
      <c r="AE521" s="52">
        <v>0</v>
      </c>
      <c r="AF521" s="52">
        <v>0</v>
      </c>
      <c r="AG521" s="52">
        <v>0</v>
      </c>
      <c r="AH521" s="52">
        <v>0</v>
      </c>
      <c r="AI521" s="52">
        <v>0</v>
      </c>
      <c r="AJ521" s="52">
        <v>2</v>
      </c>
      <c r="AK521" s="52"/>
      <c r="AL521" s="52">
        <v>0</v>
      </c>
      <c r="AM521" s="52">
        <v>0</v>
      </c>
      <c r="AN521" s="52">
        <v>3780000000</v>
      </c>
      <c r="AO521" s="52">
        <v>58151933227</v>
      </c>
      <c r="AP521" s="52">
        <v>3970053076</v>
      </c>
      <c r="AQ521" s="58">
        <v>0</v>
      </c>
      <c r="AR521" s="58">
        <v>0</v>
      </c>
      <c r="AS521" s="58">
        <v>0</v>
      </c>
      <c r="AT521" s="58">
        <v>0</v>
      </c>
      <c r="AU521" s="58">
        <v>9</v>
      </c>
      <c r="AV521" s="58">
        <v>134906.89000000001</v>
      </c>
      <c r="AW521" s="58">
        <v>33</v>
      </c>
      <c r="AX521" s="58">
        <v>2327014.14</v>
      </c>
    </row>
    <row r="522" spans="1:50" x14ac:dyDescent="0.25">
      <c r="A522" s="52">
        <f t="shared" si="33"/>
        <v>517</v>
      </c>
      <c r="B522" s="60" t="str">
        <f t="shared" si="32"/>
        <v>011256011279</v>
      </c>
      <c r="C522" s="55" t="s">
        <v>30</v>
      </c>
      <c r="D522" s="53" t="s">
        <v>2096</v>
      </c>
      <c r="E522" s="55" t="s">
        <v>693</v>
      </c>
      <c r="F522" s="53" t="s">
        <v>2117</v>
      </c>
      <c r="G522" s="55">
        <v>11487</v>
      </c>
      <c r="H522" s="53" t="s">
        <v>762</v>
      </c>
      <c r="I522" s="55">
        <v>201509957</v>
      </c>
      <c r="J522" s="55" t="s">
        <v>763</v>
      </c>
      <c r="K522" s="55" t="s">
        <v>764</v>
      </c>
      <c r="L522" s="53" t="s">
        <v>2077</v>
      </c>
      <c r="M522" s="55" t="s">
        <v>75</v>
      </c>
      <c r="N522" s="52">
        <v>230000</v>
      </c>
      <c r="O522" s="52">
        <v>2775584800</v>
      </c>
      <c r="P522" s="52">
        <v>2775584800</v>
      </c>
      <c r="Q522" s="57">
        <v>45881</v>
      </c>
      <c r="R522" s="57">
        <v>46976</v>
      </c>
      <c r="S522" s="56">
        <v>12</v>
      </c>
      <c r="T522" s="54">
        <v>6</v>
      </c>
      <c r="U522" s="52">
        <v>2805793000</v>
      </c>
      <c r="V522" s="52">
        <v>2805793000</v>
      </c>
      <c r="W522" s="52">
        <v>0</v>
      </c>
      <c r="X522" s="57"/>
      <c r="Y522" s="52">
        <v>0</v>
      </c>
      <c r="Z522" s="52">
        <v>0</v>
      </c>
      <c r="AA522" s="52">
        <v>1</v>
      </c>
      <c r="AB522" s="52">
        <v>0</v>
      </c>
      <c r="AC522" s="52">
        <v>48614145.450000003</v>
      </c>
      <c r="AD522" s="52">
        <v>25252137</v>
      </c>
      <c r="AE522" s="52">
        <v>0</v>
      </c>
      <c r="AF522" s="52">
        <v>23362008.449999999</v>
      </c>
      <c r="AG522" s="52">
        <v>0</v>
      </c>
      <c r="AH522" s="52">
        <v>0</v>
      </c>
      <c r="AI522" s="52">
        <v>0</v>
      </c>
      <c r="AJ522" s="52">
        <v>2</v>
      </c>
      <c r="AK522" s="52"/>
      <c r="AL522" s="52">
        <v>0</v>
      </c>
      <c r="AM522" s="52">
        <v>0</v>
      </c>
      <c r="AN522" s="52">
        <v>4271423000</v>
      </c>
      <c r="AO522" s="52">
        <v>2805793000</v>
      </c>
      <c r="AP522" s="52">
        <v>2805793000</v>
      </c>
      <c r="AQ522" s="58">
        <v>0</v>
      </c>
      <c r="AR522" s="58">
        <v>0</v>
      </c>
      <c r="AS522" s="58">
        <v>0</v>
      </c>
      <c r="AT522" s="58">
        <v>0</v>
      </c>
      <c r="AU522" s="58">
        <v>2</v>
      </c>
      <c r="AV522" s="58">
        <v>228459.08000000002</v>
      </c>
      <c r="AW522" s="58">
        <v>0</v>
      </c>
      <c r="AX522" s="58">
        <v>0</v>
      </c>
    </row>
    <row r="523" spans="1:50" x14ac:dyDescent="0.25">
      <c r="A523" s="52">
        <f t="shared" si="33"/>
        <v>518</v>
      </c>
      <c r="B523" s="60" t="str">
        <f t="shared" si="32"/>
        <v>011254252264</v>
      </c>
      <c r="C523" s="55" t="s">
        <v>30</v>
      </c>
      <c r="D523" s="53" t="s">
        <v>2096</v>
      </c>
      <c r="E523" s="55" t="s">
        <v>693</v>
      </c>
      <c r="F523" s="53" t="s">
        <v>2117</v>
      </c>
      <c r="G523" s="55">
        <v>11487</v>
      </c>
      <c r="H523" s="53" t="s">
        <v>2448</v>
      </c>
      <c r="I523" s="55">
        <v>202081280</v>
      </c>
      <c r="J523" s="55" t="s">
        <v>765</v>
      </c>
      <c r="K523" s="55" t="s">
        <v>766</v>
      </c>
      <c r="L523" s="53" t="s">
        <v>2077</v>
      </c>
      <c r="M523" s="55" t="s">
        <v>49</v>
      </c>
      <c r="N523" s="52">
        <v>2350000000</v>
      </c>
      <c r="O523" s="52">
        <v>2350000000</v>
      </c>
      <c r="P523" s="52">
        <v>2350000000</v>
      </c>
      <c r="Q523" s="57">
        <v>45090</v>
      </c>
      <c r="R523" s="57">
        <v>47646</v>
      </c>
      <c r="S523" s="56">
        <v>10</v>
      </c>
      <c r="T523" s="54">
        <v>24</v>
      </c>
      <c r="U523" s="52">
        <v>2154166667</v>
      </c>
      <c r="V523" s="52">
        <v>2154166667</v>
      </c>
      <c r="W523" s="52">
        <v>0</v>
      </c>
      <c r="X523" s="57"/>
      <c r="Y523" s="52">
        <v>0</v>
      </c>
      <c r="Z523" s="52">
        <v>0</v>
      </c>
      <c r="AA523" s="52">
        <v>2</v>
      </c>
      <c r="AB523" s="52">
        <v>215416666.69999999</v>
      </c>
      <c r="AC523" s="52">
        <v>319742272.43000001</v>
      </c>
      <c r="AD523" s="52">
        <v>70283801.290000007</v>
      </c>
      <c r="AE523" s="52">
        <v>147205822.77000001</v>
      </c>
      <c r="AF523" s="52">
        <v>56841533.409999996</v>
      </c>
      <c r="AG523" s="52">
        <v>45411114.960000001</v>
      </c>
      <c r="AH523" s="52">
        <v>0</v>
      </c>
      <c r="AI523" s="52">
        <v>0</v>
      </c>
      <c r="AJ523" s="52">
        <v>2</v>
      </c>
      <c r="AK523" s="52"/>
      <c r="AL523" s="52">
        <v>0</v>
      </c>
      <c r="AM523" s="52">
        <v>0</v>
      </c>
      <c r="AN523" s="52">
        <v>2937500000</v>
      </c>
      <c r="AO523" s="52">
        <v>3526930595</v>
      </c>
      <c r="AP523" s="52">
        <v>706149557</v>
      </c>
      <c r="AQ523" s="58">
        <v>0</v>
      </c>
      <c r="AR523" s="58">
        <v>0</v>
      </c>
      <c r="AS523" s="58">
        <v>0</v>
      </c>
      <c r="AT523" s="58">
        <v>0</v>
      </c>
      <c r="AU523" s="58">
        <v>0</v>
      </c>
      <c r="AV523" s="58">
        <v>0</v>
      </c>
      <c r="AW523" s="58">
        <v>3</v>
      </c>
      <c r="AX523" s="58">
        <v>142900</v>
      </c>
    </row>
    <row r="524" spans="1:50" x14ac:dyDescent="0.25">
      <c r="A524" s="52">
        <f t="shared" si="33"/>
        <v>519</v>
      </c>
      <c r="B524" s="60" t="str">
        <f t="shared" si="32"/>
        <v>011255646662</v>
      </c>
      <c r="C524" s="55" t="s">
        <v>30</v>
      </c>
      <c r="D524" s="53" t="s">
        <v>2096</v>
      </c>
      <c r="E524" s="55" t="s">
        <v>693</v>
      </c>
      <c r="F524" s="53" t="s">
        <v>2117</v>
      </c>
      <c r="G524" s="55">
        <v>11487</v>
      </c>
      <c r="H524" s="53" t="s">
        <v>767</v>
      </c>
      <c r="I524" s="55">
        <v>206382513</v>
      </c>
      <c r="J524" s="55" t="s">
        <v>768</v>
      </c>
      <c r="K524" s="55" t="s">
        <v>769</v>
      </c>
      <c r="L524" s="53" t="s">
        <v>2077</v>
      </c>
      <c r="M524" s="55" t="s">
        <v>75</v>
      </c>
      <c r="N524" s="52">
        <v>150000</v>
      </c>
      <c r="O524" s="52">
        <v>1810164000</v>
      </c>
      <c r="P524" s="52">
        <f>+O524</f>
        <v>1810164000</v>
      </c>
      <c r="Q524" s="57">
        <v>45582</v>
      </c>
      <c r="R524" s="57">
        <v>49220</v>
      </c>
      <c r="S524" s="56">
        <v>7</v>
      </c>
      <c r="T524" s="54">
        <v>36</v>
      </c>
      <c r="U524" s="52">
        <v>1829865000</v>
      </c>
      <c r="V524" s="52">
        <v>1829865000</v>
      </c>
      <c r="W524" s="52">
        <v>0</v>
      </c>
      <c r="X524" s="57"/>
      <c r="Y524" s="52">
        <v>0</v>
      </c>
      <c r="Z524" s="52">
        <v>0</v>
      </c>
      <c r="AA524" s="52">
        <v>1</v>
      </c>
      <c r="AB524" s="52">
        <v>0</v>
      </c>
      <c r="AC524" s="52">
        <v>53726910.25</v>
      </c>
      <c r="AD524" s="52">
        <v>53726910.25</v>
      </c>
      <c r="AE524" s="52">
        <v>0</v>
      </c>
      <c r="AF524" s="52">
        <v>0</v>
      </c>
      <c r="AG524" s="52">
        <v>0</v>
      </c>
      <c r="AH524" s="52">
        <v>0</v>
      </c>
      <c r="AI524" s="52">
        <v>0</v>
      </c>
      <c r="AJ524" s="52">
        <v>2</v>
      </c>
      <c r="AK524" s="52"/>
      <c r="AL524" s="52">
        <v>0</v>
      </c>
      <c r="AM524" s="52">
        <v>0</v>
      </c>
      <c r="AN524" s="52">
        <v>2531250000</v>
      </c>
      <c r="AO524" s="52">
        <v>29887795</v>
      </c>
      <c r="AP524" s="52">
        <v>29887795</v>
      </c>
      <c r="AQ524" s="58">
        <v>0</v>
      </c>
      <c r="AR524" s="58">
        <v>0</v>
      </c>
      <c r="AS524" s="58">
        <v>0</v>
      </c>
      <c r="AT524" s="58">
        <v>0</v>
      </c>
      <c r="AU524" s="58">
        <v>0</v>
      </c>
      <c r="AV524" s="58">
        <v>0</v>
      </c>
      <c r="AW524" s="58">
        <v>1</v>
      </c>
      <c r="AX524" s="58">
        <v>150000</v>
      </c>
    </row>
    <row r="525" spans="1:50" x14ac:dyDescent="0.25">
      <c r="A525" s="52">
        <f t="shared" si="33"/>
        <v>520</v>
      </c>
      <c r="B525" s="60" t="str">
        <f t="shared" si="32"/>
        <v>011255802685</v>
      </c>
      <c r="C525" s="55" t="s">
        <v>30</v>
      </c>
      <c r="D525" s="53" t="s">
        <v>2096</v>
      </c>
      <c r="E525" s="55" t="s">
        <v>693</v>
      </c>
      <c r="F525" s="53" t="s">
        <v>2117</v>
      </c>
      <c r="G525" s="55">
        <v>11487</v>
      </c>
      <c r="H525" s="53" t="s">
        <v>770</v>
      </c>
      <c r="I525" s="55">
        <v>303342711</v>
      </c>
      <c r="J525" s="55" t="s">
        <v>771</v>
      </c>
      <c r="K525" s="55" t="s">
        <v>772</v>
      </c>
      <c r="L525" s="53" t="s">
        <v>2077</v>
      </c>
      <c r="M525" s="55" t="s">
        <v>49</v>
      </c>
      <c r="N525" s="52">
        <v>1617190400</v>
      </c>
      <c r="O525" s="52">
        <v>1617190400</v>
      </c>
      <c r="P525" s="52">
        <v>1617190400</v>
      </c>
      <c r="Q525" s="57">
        <v>45750</v>
      </c>
      <c r="R525" s="57">
        <v>48285</v>
      </c>
      <c r="S525" s="56">
        <v>17</v>
      </c>
      <c r="T525" s="54">
        <v>36</v>
      </c>
      <c r="U525" s="52">
        <v>1617190400</v>
      </c>
      <c r="V525" s="52">
        <v>1617190400</v>
      </c>
      <c r="W525" s="52">
        <v>0</v>
      </c>
      <c r="X525" s="57"/>
      <c r="Y525" s="52">
        <v>0</v>
      </c>
      <c r="Z525" s="52">
        <v>0</v>
      </c>
      <c r="AA525" s="52">
        <v>1</v>
      </c>
      <c r="AB525" s="52">
        <v>0</v>
      </c>
      <c r="AC525" s="52">
        <v>112228583.09999999</v>
      </c>
      <c r="AD525" s="52">
        <v>112228583.09999999</v>
      </c>
      <c r="AE525" s="52">
        <v>0</v>
      </c>
      <c r="AF525" s="52">
        <v>0</v>
      </c>
      <c r="AG525" s="52">
        <v>0</v>
      </c>
      <c r="AH525" s="52">
        <v>0</v>
      </c>
      <c r="AI525" s="52">
        <v>0</v>
      </c>
      <c r="AJ525" s="52">
        <v>2</v>
      </c>
      <c r="AK525" s="52"/>
      <c r="AL525" s="52">
        <v>0</v>
      </c>
      <c r="AM525" s="52">
        <v>0</v>
      </c>
      <c r="AN525" s="52">
        <v>2557500000</v>
      </c>
      <c r="AO525" s="52">
        <v>392090000</v>
      </c>
      <c r="AP525" s="52">
        <v>106525615</v>
      </c>
      <c r="AQ525" s="58">
        <v>0</v>
      </c>
      <c r="AR525" s="58">
        <v>0</v>
      </c>
      <c r="AS525" s="58">
        <v>0</v>
      </c>
      <c r="AT525" s="58">
        <v>0</v>
      </c>
      <c r="AU525" s="58">
        <v>0</v>
      </c>
      <c r="AV525" s="58">
        <v>0</v>
      </c>
      <c r="AW525" s="58">
        <v>0</v>
      </c>
      <c r="AX525" s="58">
        <v>0</v>
      </c>
    </row>
    <row r="526" spans="1:50" x14ac:dyDescent="0.25">
      <c r="A526" s="52">
        <f t="shared" si="33"/>
        <v>521</v>
      </c>
      <c r="B526" s="60" t="str">
        <f t="shared" si="32"/>
        <v>011255644742</v>
      </c>
      <c r="C526" s="55" t="s">
        <v>30</v>
      </c>
      <c r="D526" s="53" t="s">
        <v>2096</v>
      </c>
      <c r="E526" s="55" t="s">
        <v>693</v>
      </c>
      <c r="F526" s="53" t="s">
        <v>2117</v>
      </c>
      <c r="G526" s="55">
        <v>11487</v>
      </c>
      <c r="H526" s="53" t="s">
        <v>2509</v>
      </c>
      <c r="I526" s="55">
        <v>307983362</v>
      </c>
      <c r="J526" s="55" t="s">
        <v>773</v>
      </c>
      <c r="K526" s="55" t="s">
        <v>774</v>
      </c>
      <c r="L526" s="53" t="s">
        <v>2077</v>
      </c>
      <c r="M526" s="55" t="s">
        <v>49</v>
      </c>
      <c r="N526" s="52">
        <v>1400000000</v>
      </c>
      <c r="O526" s="52">
        <v>1400000000</v>
      </c>
      <c r="P526" s="52">
        <v>1400000000</v>
      </c>
      <c r="Q526" s="57">
        <v>45636</v>
      </c>
      <c r="R526" s="57">
        <v>48191</v>
      </c>
      <c r="S526" s="56">
        <v>17.5</v>
      </c>
      <c r="T526" s="54">
        <v>24</v>
      </c>
      <c r="U526" s="52">
        <v>1400000000</v>
      </c>
      <c r="V526" s="52">
        <v>1400000000</v>
      </c>
      <c r="W526" s="52">
        <v>0</v>
      </c>
      <c r="X526" s="57"/>
      <c r="Y526" s="52">
        <v>0</v>
      </c>
      <c r="Z526" s="52">
        <v>0</v>
      </c>
      <c r="AA526" s="52">
        <v>1</v>
      </c>
      <c r="AB526" s="52">
        <v>0</v>
      </c>
      <c r="AC526" s="52">
        <v>18123287.670000002</v>
      </c>
      <c r="AD526" s="52">
        <v>18123287.670000002</v>
      </c>
      <c r="AE526" s="52">
        <v>0</v>
      </c>
      <c r="AF526" s="52">
        <v>0</v>
      </c>
      <c r="AG526" s="52">
        <v>0</v>
      </c>
      <c r="AH526" s="52">
        <v>0</v>
      </c>
      <c r="AI526" s="52">
        <v>0</v>
      </c>
      <c r="AJ526" s="52">
        <v>2</v>
      </c>
      <c r="AK526" s="52"/>
      <c r="AL526" s="52">
        <v>0</v>
      </c>
      <c r="AM526" s="52">
        <v>0</v>
      </c>
      <c r="AN526" s="52">
        <v>1550000000</v>
      </c>
      <c r="AO526" s="52">
        <v>1970340371</v>
      </c>
      <c r="AP526" s="52">
        <v>200446486</v>
      </c>
      <c r="AQ526" s="58">
        <v>0</v>
      </c>
      <c r="AR526" s="58">
        <v>0</v>
      </c>
      <c r="AS526" s="58">
        <v>0</v>
      </c>
      <c r="AT526" s="58">
        <v>0</v>
      </c>
      <c r="AU526" s="58">
        <v>0</v>
      </c>
      <c r="AV526" s="58">
        <v>0</v>
      </c>
      <c r="AW526" s="58">
        <v>0</v>
      </c>
      <c r="AX526" s="58">
        <v>0</v>
      </c>
    </row>
    <row r="527" spans="1:50" x14ac:dyDescent="0.25">
      <c r="A527" s="52">
        <f t="shared" si="33"/>
        <v>522</v>
      </c>
      <c r="B527" s="60" t="str">
        <f t="shared" si="32"/>
        <v>011254542081</v>
      </c>
      <c r="C527" s="55" t="s">
        <v>30</v>
      </c>
      <c r="D527" s="53" t="s">
        <v>2096</v>
      </c>
      <c r="E527" s="55" t="s">
        <v>693</v>
      </c>
      <c r="F527" s="53" t="s">
        <v>2117</v>
      </c>
      <c r="G527" s="55">
        <v>11487</v>
      </c>
      <c r="H527" s="53" t="s">
        <v>2510</v>
      </c>
      <c r="I527" s="55">
        <v>304319777</v>
      </c>
      <c r="J527" s="55" t="s">
        <v>775</v>
      </c>
      <c r="K527" s="55" t="s">
        <v>776</v>
      </c>
      <c r="L527" s="53" t="s">
        <v>2077</v>
      </c>
      <c r="M527" s="55" t="s">
        <v>49</v>
      </c>
      <c r="N527" s="52">
        <v>1435650000</v>
      </c>
      <c r="O527" s="52">
        <v>1435650000</v>
      </c>
      <c r="P527" s="52">
        <v>1435650000</v>
      </c>
      <c r="Q527" s="57">
        <v>45218</v>
      </c>
      <c r="R527" s="57">
        <v>47771</v>
      </c>
      <c r="S527" s="56">
        <v>10</v>
      </c>
      <c r="T527" s="54">
        <v>24</v>
      </c>
      <c r="U527" s="52">
        <v>1305136364</v>
      </c>
      <c r="V527" s="52">
        <v>1305136364</v>
      </c>
      <c r="W527" s="52">
        <v>0</v>
      </c>
      <c r="X527" s="57"/>
      <c r="Y527" s="52">
        <v>0</v>
      </c>
      <c r="Z527" s="52">
        <v>0</v>
      </c>
      <c r="AA527" s="52">
        <v>1</v>
      </c>
      <c r="AB527" s="52">
        <v>130513636.40000001</v>
      </c>
      <c r="AC527" s="52">
        <v>155126676.39000002</v>
      </c>
      <c r="AD527" s="52">
        <v>42586778.350000001</v>
      </c>
      <c r="AE527" s="52">
        <v>89832714.700000003</v>
      </c>
      <c r="AF527" s="52">
        <v>0</v>
      </c>
      <c r="AG527" s="52">
        <v>22707183.34</v>
      </c>
      <c r="AH527" s="52">
        <v>0</v>
      </c>
      <c r="AI527" s="52">
        <v>0</v>
      </c>
      <c r="AJ527" s="52">
        <v>2</v>
      </c>
      <c r="AK527" s="52"/>
      <c r="AL527" s="52">
        <v>0</v>
      </c>
      <c r="AM527" s="52">
        <v>0</v>
      </c>
      <c r="AN527" s="52">
        <v>2494562500</v>
      </c>
      <c r="AO527" s="52">
        <v>2103463482</v>
      </c>
      <c r="AP527" s="52">
        <v>268237660</v>
      </c>
      <c r="AQ527" s="58">
        <v>0</v>
      </c>
      <c r="AR527" s="58">
        <v>0</v>
      </c>
      <c r="AS527" s="58">
        <v>0</v>
      </c>
      <c r="AT527" s="58">
        <v>0</v>
      </c>
      <c r="AU527" s="58">
        <v>0</v>
      </c>
      <c r="AV527" s="58">
        <v>0</v>
      </c>
      <c r="AW527" s="58">
        <v>0</v>
      </c>
      <c r="AX527" s="58">
        <v>0</v>
      </c>
    </row>
    <row r="528" spans="1:50" x14ac:dyDescent="0.25">
      <c r="A528" s="52">
        <f t="shared" si="33"/>
        <v>523</v>
      </c>
      <c r="B528" s="60" t="str">
        <f t="shared" si="32"/>
        <v>011256015723</v>
      </c>
      <c r="C528" s="55" t="s">
        <v>30</v>
      </c>
      <c r="D528" s="53" t="s">
        <v>2096</v>
      </c>
      <c r="E528" s="55" t="s">
        <v>693</v>
      </c>
      <c r="F528" s="53" t="s">
        <v>2117</v>
      </c>
      <c r="G528" s="55">
        <v>11487</v>
      </c>
      <c r="H528" s="53" t="s">
        <v>2511</v>
      </c>
      <c r="I528" s="55">
        <v>207055395</v>
      </c>
      <c r="J528" s="55" t="s">
        <v>777</v>
      </c>
      <c r="K528" s="55" t="s">
        <v>778</v>
      </c>
      <c r="L528" s="53" t="s">
        <v>2077</v>
      </c>
      <c r="M528" s="55" t="s">
        <v>75</v>
      </c>
      <c r="N528" s="52">
        <v>100000</v>
      </c>
      <c r="O528" s="52">
        <v>1206776000</v>
      </c>
      <c r="P528" s="52">
        <v>1206776000</v>
      </c>
      <c r="Q528" s="57">
        <v>45891</v>
      </c>
      <c r="R528" s="57">
        <v>46982</v>
      </c>
      <c r="S528" s="56">
        <v>12</v>
      </c>
      <c r="T528" s="54">
        <v>6</v>
      </c>
      <c r="U528" s="52">
        <v>1219910000</v>
      </c>
      <c r="V528" s="52">
        <v>1219910000</v>
      </c>
      <c r="W528" s="52">
        <v>0</v>
      </c>
      <c r="X528" s="57"/>
      <c r="Y528" s="52">
        <v>0</v>
      </c>
      <c r="Z528" s="52">
        <v>0</v>
      </c>
      <c r="AA528" s="52">
        <v>1</v>
      </c>
      <c r="AB528" s="52">
        <v>0</v>
      </c>
      <c r="AC528" s="52">
        <v>12199100</v>
      </c>
      <c r="AD528" s="52">
        <v>12199100</v>
      </c>
      <c r="AE528" s="52">
        <v>0</v>
      </c>
      <c r="AF528" s="52">
        <v>0</v>
      </c>
      <c r="AG528" s="52">
        <v>0</v>
      </c>
      <c r="AH528" s="52">
        <v>0</v>
      </c>
      <c r="AI528" s="52">
        <v>0</v>
      </c>
      <c r="AJ528" s="52">
        <v>2</v>
      </c>
      <c r="AK528" s="52"/>
      <c r="AL528" s="52">
        <v>0</v>
      </c>
      <c r="AM528" s="52">
        <v>0</v>
      </c>
      <c r="AN528" s="52">
        <v>1857143000</v>
      </c>
      <c r="AO528" s="52">
        <v>4538206176</v>
      </c>
      <c r="AP528" s="52">
        <v>146824400</v>
      </c>
      <c r="AQ528" s="58">
        <v>0</v>
      </c>
      <c r="AR528" s="58">
        <v>0</v>
      </c>
      <c r="AS528" s="58">
        <v>0</v>
      </c>
      <c r="AT528" s="58">
        <v>0</v>
      </c>
      <c r="AU528" s="58">
        <v>0</v>
      </c>
      <c r="AV528" s="58">
        <v>0</v>
      </c>
      <c r="AW528" s="58">
        <v>0</v>
      </c>
      <c r="AX528" s="58">
        <v>0</v>
      </c>
    </row>
    <row r="529" spans="1:50" x14ac:dyDescent="0.25">
      <c r="A529" s="52">
        <f t="shared" si="33"/>
        <v>524</v>
      </c>
      <c r="B529" s="60" t="str">
        <f t="shared" si="32"/>
        <v>011254239488</v>
      </c>
      <c r="C529" s="55" t="s">
        <v>30</v>
      </c>
      <c r="D529" s="53" t="s">
        <v>2096</v>
      </c>
      <c r="E529" s="55" t="s">
        <v>693</v>
      </c>
      <c r="F529" s="53" t="s">
        <v>2117</v>
      </c>
      <c r="G529" s="55">
        <v>11487</v>
      </c>
      <c r="H529" s="53" t="s">
        <v>2512</v>
      </c>
      <c r="I529" s="55">
        <v>200571266</v>
      </c>
      <c r="J529" s="55" t="s">
        <v>779</v>
      </c>
      <c r="K529" s="55" t="s">
        <v>780</v>
      </c>
      <c r="L529" s="53" t="s">
        <v>2077</v>
      </c>
      <c r="M529" s="55" t="s">
        <v>49</v>
      </c>
      <c r="N529" s="52">
        <v>2489417000</v>
      </c>
      <c r="O529" s="52">
        <v>2489417000</v>
      </c>
      <c r="P529" s="52">
        <v>2489417000</v>
      </c>
      <c r="Q529" s="57">
        <v>44907</v>
      </c>
      <c r="R529" s="57">
        <v>46728</v>
      </c>
      <c r="S529" s="56">
        <v>14</v>
      </c>
      <c r="T529" s="54">
        <v>12</v>
      </c>
      <c r="U529" s="52">
        <v>1181665005.3699999</v>
      </c>
      <c r="V529" s="52">
        <v>1181665005.3699999</v>
      </c>
      <c r="W529" s="52">
        <v>0</v>
      </c>
      <c r="X529" s="57"/>
      <c r="Y529" s="52">
        <v>0</v>
      </c>
      <c r="Z529" s="52">
        <v>0</v>
      </c>
      <c r="AA529" s="52">
        <v>1</v>
      </c>
      <c r="AB529" s="52">
        <v>0</v>
      </c>
      <c r="AC529" s="52">
        <v>12335772.65</v>
      </c>
      <c r="AD529" s="52">
        <v>12335772.65</v>
      </c>
      <c r="AE529" s="52">
        <v>0</v>
      </c>
      <c r="AF529" s="52">
        <v>0</v>
      </c>
      <c r="AG529" s="52">
        <v>0</v>
      </c>
      <c r="AH529" s="52">
        <v>0</v>
      </c>
      <c r="AI529" s="52">
        <v>0</v>
      </c>
      <c r="AJ529" s="52">
        <v>2</v>
      </c>
      <c r="AK529" s="52"/>
      <c r="AL529" s="52">
        <v>0</v>
      </c>
      <c r="AM529" s="52">
        <v>0</v>
      </c>
      <c r="AN529" s="52">
        <v>1765521250</v>
      </c>
      <c r="AO529" s="52">
        <v>11073373994</v>
      </c>
      <c r="AP529" s="52">
        <v>1936734395</v>
      </c>
      <c r="AQ529" s="58">
        <v>0</v>
      </c>
      <c r="AR529" s="58">
        <v>0</v>
      </c>
      <c r="AS529" s="58">
        <v>0</v>
      </c>
      <c r="AT529" s="58">
        <v>0</v>
      </c>
      <c r="AU529" s="58">
        <v>0</v>
      </c>
      <c r="AV529" s="58">
        <v>0</v>
      </c>
      <c r="AW529" s="58">
        <v>0</v>
      </c>
      <c r="AX529" s="58">
        <v>0</v>
      </c>
    </row>
    <row r="530" spans="1:50" x14ac:dyDescent="0.25">
      <c r="A530" s="52">
        <f t="shared" si="33"/>
        <v>525</v>
      </c>
      <c r="B530" s="60" t="str">
        <f t="shared" si="32"/>
        <v>011254246532</v>
      </c>
      <c r="C530" s="55" t="s">
        <v>30</v>
      </c>
      <c r="D530" s="53" t="s">
        <v>2096</v>
      </c>
      <c r="E530" s="55" t="s">
        <v>693</v>
      </c>
      <c r="F530" s="53" t="s">
        <v>2117</v>
      </c>
      <c r="G530" s="55">
        <v>11487</v>
      </c>
      <c r="H530" s="53" t="s">
        <v>781</v>
      </c>
      <c r="I530" s="55">
        <v>309839467</v>
      </c>
      <c r="J530" s="55" t="s">
        <v>782</v>
      </c>
      <c r="K530" s="55" t="s">
        <v>783</v>
      </c>
      <c r="L530" s="53" t="s">
        <v>2077</v>
      </c>
      <c r="M530" s="55" t="s">
        <v>49</v>
      </c>
      <c r="N530" s="52">
        <v>1050000000</v>
      </c>
      <c r="O530" s="52">
        <v>1050000000</v>
      </c>
      <c r="P530" s="52">
        <v>1050000000</v>
      </c>
      <c r="Q530" s="57">
        <v>45022</v>
      </c>
      <c r="R530" s="57">
        <v>48309</v>
      </c>
      <c r="S530" s="56">
        <v>17</v>
      </c>
      <c r="T530" s="54">
        <v>36</v>
      </c>
      <c r="U530" s="52">
        <v>1050000000</v>
      </c>
      <c r="V530" s="52">
        <v>1050000000</v>
      </c>
      <c r="W530" s="52">
        <v>0</v>
      </c>
      <c r="X530" s="57"/>
      <c r="Y530" s="52">
        <v>0</v>
      </c>
      <c r="Z530" s="52">
        <v>0</v>
      </c>
      <c r="AA530" s="52">
        <v>1</v>
      </c>
      <c r="AB530" s="52">
        <v>0</v>
      </c>
      <c r="AC530" s="52">
        <v>58195890.409999996</v>
      </c>
      <c r="AD530" s="52">
        <v>58195890.409999996</v>
      </c>
      <c r="AE530" s="52">
        <v>0</v>
      </c>
      <c r="AF530" s="52">
        <v>0</v>
      </c>
      <c r="AG530" s="52">
        <v>0</v>
      </c>
      <c r="AH530" s="52">
        <v>0</v>
      </c>
      <c r="AI530" s="52">
        <v>0</v>
      </c>
      <c r="AJ530" s="52">
        <v>2</v>
      </c>
      <c r="AK530" s="52"/>
      <c r="AL530" s="52">
        <v>0</v>
      </c>
      <c r="AM530" s="52">
        <v>0</v>
      </c>
      <c r="AN530" s="52">
        <v>787500000</v>
      </c>
      <c r="AO530" s="52">
        <v>709335000</v>
      </c>
      <c r="AP530" s="52">
        <v>394335000</v>
      </c>
      <c r="AQ530" s="58">
        <v>0</v>
      </c>
      <c r="AR530" s="58">
        <v>0</v>
      </c>
      <c r="AS530" s="58">
        <v>0</v>
      </c>
      <c r="AT530" s="58">
        <v>0</v>
      </c>
      <c r="AU530" s="58">
        <v>0</v>
      </c>
      <c r="AV530" s="58">
        <v>0</v>
      </c>
      <c r="AW530" s="58">
        <v>0</v>
      </c>
      <c r="AX530" s="58">
        <v>0</v>
      </c>
    </row>
    <row r="531" spans="1:50" x14ac:dyDescent="0.25">
      <c r="A531" s="52">
        <f t="shared" si="33"/>
        <v>526</v>
      </c>
      <c r="B531" s="60" t="str">
        <f t="shared" si="32"/>
        <v>011255802771</v>
      </c>
      <c r="C531" s="55" t="s">
        <v>30</v>
      </c>
      <c r="D531" s="53" t="s">
        <v>2096</v>
      </c>
      <c r="E531" s="55" t="s">
        <v>693</v>
      </c>
      <c r="F531" s="53" t="s">
        <v>2117</v>
      </c>
      <c r="G531" s="55">
        <v>11487</v>
      </c>
      <c r="H531" s="53" t="s">
        <v>770</v>
      </c>
      <c r="I531" s="55">
        <v>303342711</v>
      </c>
      <c r="J531" s="55" t="s">
        <v>784</v>
      </c>
      <c r="K531" s="55" t="s">
        <v>785</v>
      </c>
      <c r="L531" s="53" t="s">
        <v>2077</v>
      </c>
      <c r="M531" s="55" t="s">
        <v>49</v>
      </c>
      <c r="N531" s="52">
        <v>428809600</v>
      </c>
      <c r="O531" s="52">
        <v>428809600</v>
      </c>
      <c r="P531" s="52">
        <v>403000000</v>
      </c>
      <c r="Q531" s="57">
        <v>45750</v>
      </c>
      <c r="R531" s="57">
        <v>48285</v>
      </c>
      <c r="S531" s="56">
        <v>17</v>
      </c>
      <c r="T531" s="54">
        <v>24</v>
      </c>
      <c r="U531" s="52">
        <v>403000000</v>
      </c>
      <c r="V531" s="52">
        <v>403000000</v>
      </c>
      <c r="W531" s="52">
        <v>0</v>
      </c>
      <c r="X531" s="57"/>
      <c r="Y531" s="52">
        <v>0</v>
      </c>
      <c r="Z531" s="52">
        <v>0</v>
      </c>
      <c r="AA531" s="52">
        <v>1</v>
      </c>
      <c r="AB531" s="52">
        <v>0</v>
      </c>
      <c r="AC531" s="52">
        <v>22123184.030000001</v>
      </c>
      <c r="AD531" s="52">
        <v>22123184.030000001</v>
      </c>
      <c r="AE531" s="52">
        <v>0</v>
      </c>
      <c r="AF531" s="52">
        <v>0</v>
      </c>
      <c r="AG531" s="52">
        <v>0</v>
      </c>
      <c r="AH531" s="52">
        <v>0</v>
      </c>
      <c r="AI531" s="52">
        <v>0</v>
      </c>
      <c r="AJ531" s="52">
        <v>2</v>
      </c>
      <c r="AK531" s="52"/>
      <c r="AL531" s="52">
        <v>0</v>
      </c>
      <c r="AM531" s="52">
        <v>0</v>
      </c>
      <c r="AN531" s="52">
        <v>2557500000</v>
      </c>
      <c r="AO531" s="52">
        <v>392090000</v>
      </c>
      <c r="AP531" s="52">
        <v>106525615</v>
      </c>
      <c r="AQ531" s="58">
        <v>0</v>
      </c>
      <c r="AR531" s="58">
        <v>0</v>
      </c>
      <c r="AS531" s="58">
        <v>0</v>
      </c>
      <c r="AT531" s="58">
        <v>0</v>
      </c>
      <c r="AU531" s="58">
        <v>0</v>
      </c>
      <c r="AV531" s="58">
        <v>0</v>
      </c>
      <c r="AW531" s="58">
        <v>0</v>
      </c>
      <c r="AX531" s="58">
        <v>0</v>
      </c>
    </row>
    <row r="532" spans="1:50" x14ac:dyDescent="0.25">
      <c r="A532" s="52">
        <f t="shared" si="33"/>
        <v>527</v>
      </c>
      <c r="B532" s="60" t="str">
        <f t="shared" si="32"/>
        <v>011254239601</v>
      </c>
      <c r="C532" s="55" t="s">
        <v>30</v>
      </c>
      <c r="D532" s="53" t="s">
        <v>2096</v>
      </c>
      <c r="E532" s="55" t="s">
        <v>693</v>
      </c>
      <c r="F532" s="53" t="s">
        <v>2098</v>
      </c>
      <c r="G532" s="55">
        <v>11488</v>
      </c>
      <c r="H532" s="53" t="s">
        <v>2513</v>
      </c>
      <c r="I532" s="55">
        <v>301905399</v>
      </c>
      <c r="J532" s="55" t="s">
        <v>786</v>
      </c>
      <c r="K532" s="55" t="s">
        <v>787</v>
      </c>
      <c r="L532" s="53" t="s">
        <v>2075</v>
      </c>
      <c r="M532" s="55" t="s">
        <v>49</v>
      </c>
      <c r="N532" s="52">
        <v>2750000000</v>
      </c>
      <c r="O532" s="52">
        <v>2750000000</v>
      </c>
      <c r="P532" s="52">
        <v>2750000000</v>
      </c>
      <c r="Q532" s="57">
        <v>44908</v>
      </c>
      <c r="R532" s="57">
        <v>48308</v>
      </c>
      <c r="S532" s="56">
        <v>15</v>
      </c>
      <c r="T532" s="54">
        <v>36</v>
      </c>
      <c r="U532" s="52">
        <v>2553571429</v>
      </c>
      <c r="V532" s="52">
        <v>2553571429</v>
      </c>
      <c r="W532" s="52">
        <v>0</v>
      </c>
      <c r="X532" s="57"/>
      <c r="Y532" s="52">
        <v>0</v>
      </c>
      <c r="Z532" s="52">
        <v>0</v>
      </c>
      <c r="AA532" s="52">
        <v>1</v>
      </c>
      <c r="AB532" s="52">
        <v>0</v>
      </c>
      <c r="AC532" s="52">
        <v>136294520.56999999</v>
      </c>
      <c r="AD532" s="52">
        <v>124960861.08</v>
      </c>
      <c r="AE532" s="52">
        <v>11333659.49</v>
      </c>
      <c r="AF532" s="52">
        <v>0</v>
      </c>
      <c r="AG532" s="52">
        <v>0</v>
      </c>
      <c r="AH532" s="52">
        <v>0</v>
      </c>
      <c r="AI532" s="52">
        <v>0</v>
      </c>
      <c r="AJ532" s="52">
        <v>2</v>
      </c>
      <c r="AK532" s="52"/>
      <c r="AL532" s="52">
        <v>209000</v>
      </c>
      <c r="AM532" s="52">
        <v>209000</v>
      </c>
      <c r="AN532" s="52">
        <v>3437500</v>
      </c>
      <c r="AO532" s="52">
        <v>15208525</v>
      </c>
      <c r="AP532" s="52">
        <v>208000</v>
      </c>
      <c r="AQ532" s="58">
        <v>0</v>
      </c>
      <c r="AR532" s="58">
        <v>0</v>
      </c>
      <c r="AS532" s="58">
        <v>0</v>
      </c>
      <c r="AT532" s="58">
        <v>0</v>
      </c>
      <c r="AU532" s="58">
        <v>0</v>
      </c>
      <c r="AV532" s="58">
        <v>0</v>
      </c>
      <c r="AW532" s="58">
        <v>6</v>
      </c>
      <c r="AX532" s="58">
        <v>295090.84000000003</v>
      </c>
    </row>
    <row r="533" spans="1:50" x14ac:dyDescent="0.25">
      <c r="A533" s="52">
        <f t="shared" si="33"/>
        <v>528</v>
      </c>
      <c r="B533" s="60" t="str">
        <f t="shared" si="32"/>
        <v>011256007749</v>
      </c>
      <c r="C533" s="55" t="s">
        <v>30</v>
      </c>
      <c r="D533" s="53" t="s">
        <v>2096</v>
      </c>
      <c r="E533" s="55" t="s">
        <v>693</v>
      </c>
      <c r="F533" s="53" t="s">
        <v>2098</v>
      </c>
      <c r="G533" s="55">
        <v>11488</v>
      </c>
      <c r="H533" s="53" t="s">
        <v>788</v>
      </c>
      <c r="I533" s="55">
        <v>310901804</v>
      </c>
      <c r="J533" s="55" t="s">
        <v>789</v>
      </c>
      <c r="K533" s="55" t="s">
        <v>790</v>
      </c>
      <c r="L533" s="53" t="s">
        <v>2075</v>
      </c>
      <c r="M533" s="55" t="s">
        <v>75</v>
      </c>
      <c r="N533" s="52">
        <v>100000</v>
      </c>
      <c r="O533" s="52">
        <v>1206776000</v>
      </c>
      <c r="P533" s="52">
        <f>+O533</f>
        <v>1206776000</v>
      </c>
      <c r="Q533" s="57">
        <v>45887</v>
      </c>
      <c r="R533" s="57">
        <v>46977</v>
      </c>
      <c r="S533" s="56">
        <v>12</v>
      </c>
      <c r="T533" s="54">
        <v>7</v>
      </c>
      <c r="U533" s="52">
        <v>1219910000</v>
      </c>
      <c r="V533" s="52">
        <v>1219910000</v>
      </c>
      <c r="W533" s="52">
        <v>0</v>
      </c>
      <c r="X533" s="57"/>
      <c r="Y533" s="52">
        <v>0</v>
      </c>
      <c r="Z533" s="52">
        <v>0</v>
      </c>
      <c r="AA533" s="52">
        <v>1</v>
      </c>
      <c r="AB533" s="52">
        <v>0</v>
      </c>
      <c r="AC533" s="52">
        <v>10979068.01</v>
      </c>
      <c r="AD533" s="52">
        <v>10979068.01</v>
      </c>
      <c r="AE533" s="52">
        <v>0</v>
      </c>
      <c r="AF533" s="52">
        <v>0</v>
      </c>
      <c r="AG533" s="52">
        <v>0</v>
      </c>
      <c r="AH533" s="52">
        <v>0</v>
      </c>
      <c r="AI533" s="52">
        <v>0</v>
      </c>
      <c r="AJ533" s="52">
        <v>2</v>
      </c>
      <c r="AK533" s="52"/>
      <c r="AL533" s="52">
        <v>0</v>
      </c>
      <c r="AM533" s="52">
        <v>0</v>
      </c>
      <c r="AN533" s="52">
        <v>1857143</v>
      </c>
      <c r="AO533" s="52">
        <v>0</v>
      </c>
      <c r="AP533" s="52">
        <v>0</v>
      </c>
      <c r="AQ533" s="58">
        <v>0</v>
      </c>
      <c r="AR533" s="58">
        <v>0</v>
      </c>
      <c r="AS533" s="58">
        <v>0</v>
      </c>
      <c r="AT533" s="58">
        <v>0</v>
      </c>
      <c r="AU533" s="58">
        <v>0</v>
      </c>
      <c r="AV533" s="58">
        <v>0</v>
      </c>
      <c r="AW533" s="58">
        <v>0</v>
      </c>
      <c r="AX533" s="58">
        <v>0</v>
      </c>
    </row>
    <row r="534" spans="1:50" x14ac:dyDescent="0.25">
      <c r="A534" s="52">
        <f t="shared" si="33"/>
        <v>529</v>
      </c>
      <c r="B534" s="60" t="str">
        <f t="shared" si="32"/>
        <v>011254195218</v>
      </c>
      <c r="C534" s="55" t="s">
        <v>30</v>
      </c>
      <c r="D534" s="53" t="s">
        <v>2096</v>
      </c>
      <c r="E534" s="55" t="s">
        <v>693</v>
      </c>
      <c r="F534" s="53" t="s">
        <v>2098</v>
      </c>
      <c r="G534" s="55">
        <v>11488</v>
      </c>
      <c r="H534" s="53" t="s">
        <v>2513</v>
      </c>
      <c r="I534" s="55">
        <v>301905399</v>
      </c>
      <c r="J534" s="55" t="s">
        <v>791</v>
      </c>
      <c r="K534" s="55" t="s">
        <v>792</v>
      </c>
      <c r="L534" s="53" t="s">
        <v>2075</v>
      </c>
      <c r="M534" s="55" t="s">
        <v>75</v>
      </c>
      <c r="N534" s="52">
        <v>278437</v>
      </c>
      <c r="O534" s="52">
        <v>3360110891.1199999</v>
      </c>
      <c r="P534" s="52">
        <v>3360110891</v>
      </c>
      <c r="Q534" s="57">
        <v>43382</v>
      </c>
      <c r="R534" s="57">
        <v>46098</v>
      </c>
      <c r="S534" s="56">
        <v>6.5</v>
      </c>
      <c r="T534" s="54">
        <v>7</v>
      </c>
      <c r="U534" s="52">
        <v>356509914.14999998</v>
      </c>
      <c r="V534" s="52">
        <v>356509914.14999998</v>
      </c>
      <c r="W534" s="52">
        <v>0</v>
      </c>
      <c r="X534" s="57"/>
      <c r="Y534" s="52">
        <v>0</v>
      </c>
      <c r="Z534" s="52">
        <v>0</v>
      </c>
      <c r="AA534" s="52">
        <v>1</v>
      </c>
      <c r="AB534" s="52">
        <v>0</v>
      </c>
      <c r="AC534" s="52">
        <v>4763382.58</v>
      </c>
      <c r="AD534" s="52">
        <v>4763382.58</v>
      </c>
      <c r="AE534" s="52">
        <v>0</v>
      </c>
      <c r="AF534" s="52">
        <v>0</v>
      </c>
      <c r="AG534" s="52">
        <v>0</v>
      </c>
      <c r="AH534" s="52">
        <v>0</v>
      </c>
      <c r="AI534" s="52">
        <v>0</v>
      </c>
      <c r="AJ534" s="52">
        <v>2</v>
      </c>
      <c r="AK534" s="52"/>
      <c r="AL534" s="52">
        <v>209000</v>
      </c>
      <c r="AM534" s="52">
        <v>0</v>
      </c>
      <c r="AN534" s="52">
        <v>3700000</v>
      </c>
      <c r="AO534" s="52">
        <v>15208525</v>
      </c>
      <c r="AP534" s="52">
        <v>3122200</v>
      </c>
      <c r="AQ534" s="58">
        <v>0</v>
      </c>
      <c r="AR534" s="58">
        <v>0</v>
      </c>
      <c r="AS534" s="58">
        <v>0</v>
      </c>
      <c r="AT534" s="58">
        <v>0</v>
      </c>
      <c r="AU534" s="58">
        <v>0</v>
      </c>
      <c r="AV534" s="58">
        <v>0</v>
      </c>
      <c r="AW534" s="58">
        <v>6</v>
      </c>
      <c r="AX534" s="58">
        <v>295090.84000000003</v>
      </c>
    </row>
    <row r="535" spans="1:50" x14ac:dyDescent="0.25">
      <c r="A535" s="52">
        <f t="shared" si="33"/>
        <v>530</v>
      </c>
      <c r="B535" s="60" t="str">
        <f t="shared" si="32"/>
        <v>011255850189</v>
      </c>
      <c r="C535" s="55" t="s">
        <v>30</v>
      </c>
      <c r="D535" s="53" t="s">
        <v>2096</v>
      </c>
      <c r="E535" s="55" t="s">
        <v>693</v>
      </c>
      <c r="F535" s="53" t="s">
        <v>2116</v>
      </c>
      <c r="G535" s="55">
        <v>11489</v>
      </c>
      <c r="H535" s="53" t="s">
        <v>793</v>
      </c>
      <c r="I535" s="55">
        <v>310083984</v>
      </c>
      <c r="J535" s="55" t="s">
        <v>794</v>
      </c>
      <c r="K535" s="55" t="s">
        <v>795</v>
      </c>
      <c r="L535" s="53" t="s">
        <v>2066</v>
      </c>
      <c r="M535" s="55" t="s">
        <v>75</v>
      </c>
      <c r="N535" s="52">
        <v>169000</v>
      </c>
      <c r="O535" s="52">
        <v>2039451440</v>
      </c>
      <c r="P535" s="52">
        <v>2039451440</v>
      </c>
      <c r="Q535" s="57">
        <v>45769</v>
      </c>
      <c r="R535" s="57">
        <v>46864</v>
      </c>
      <c r="S535" s="56">
        <v>12</v>
      </c>
      <c r="T535" s="54">
        <v>6</v>
      </c>
      <c r="U535" s="52">
        <v>1674260111.9000001</v>
      </c>
      <c r="V535" s="52">
        <v>1674260111.9000001</v>
      </c>
      <c r="W535" s="52">
        <v>0</v>
      </c>
      <c r="X535" s="57"/>
      <c r="Y535" s="52">
        <v>0</v>
      </c>
      <c r="Z535" s="52">
        <v>0</v>
      </c>
      <c r="AA535" s="52">
        <v>1</v>
      </c>
      <c r="AB535" s="52">
        <v>0</v>
      </c>
      <c r="AC535" s="52">
        <v>14421288.060000001</v>
      </c>
      <c r="AD535" s="52">
        <v>14421288.060000001</v>
      </c>
      <c r="AE535" s="52">
        <v>0</v>
      </c>
      <c r="AF535" s="52">
        <v>0</v>
      </c>
      <c r="AG535" s="52">
        <v>0</v>
      </c>
      <c r="AH535" s="52">
        <v>0</v>
      </c>
      <c r="AI535" s="52">
        <v>0</v>
      </c>
      <c r="AJ535" s="52">
        <v>2</v>
      </c>
      <c r="AK535" s="52"/>
      <c r="AL535" s="52">
        <v>0</v>
      </c>
      <c r="AM535" s="52">
        <v>0</v>
      </c>
      <c r="AN535" s="52">
        <v>3138600000</v>
      </c>
      <c r="AO535" s="52">
        <v>1900000000</v>
      </c>
      <c r="AP535" s="52">
        <v>1700000000</v>
      </c>
      <c r="AQ535" s="58">
        <v>0</v>
      </c>
      <c r="AR535" s="58">
        <v>0</v>
      </c>
      <c r="AS535" s="58">
        <v>0</v>
      </c>
      <c r="AT535" s="58">
        <v>0</v>
      </c>
      <c r="AU535" s="58">
        <v>0</v>
      </c>
      <c r="AV535" s="58">
        <v>0</v>
      </c>
      <c r="AW535" s="58">
        <v>0</v>
      </c>
      <c r="AX535" s="58">
        <v>0</v>
      </c>
    </row>
    <row r="536" spans="1:50" x14ac:dyDescent="0.25">
      <c r="A536" s="52">
        <f t="shared" si="33"/>
        <v>531</v>
      </c>
      <c r="B536" s="60" t="str">
        <f t="shared" si="32"/>
        <v>011255999867</v>
      </c>
      <c r="C536" s="55" t="s">
        <v>30</v>
      </c>
      <c r="D536" s="53" t="s">
        <v>2096</v>
      </c>
      <c r="E536" s="55" t="s">
        <v>693</v>
      </c>
      <c r="F536" s="53" t="s">
        <v>2116</v>
      </c>
      <c r="G536" s="55">
        <v>11489</v>
      </c>
      <c r="H536" s="53" t="s">
        <v>2514</v>
      </c>
      <c r="I536" s="55">
        <v>300638637</v>
      </c>
      <c r="J536" s="55" t="s">
        <v>796</v>
      </c>
      <c r="K536" s="55" t="s">
        <v>797</v>
      </c>
      <c r="L536" s="53" t="s">
        <v>2066</v>
      </c>
      <c r="M536" s="55" t="s">
        <v>75</v>
      </c>
      <c r="N536" s="52">
        <v>150000</v>
      </c>
      <c r="O536" s="52">
        <v>1810164000</v>
      </c>
      <c r="P536" s="52">
        <v>1810164000</v>
      </c>
      <c r="Q536" s="57">
        <v>45880</v>
      </c>
      <c r="R536" s="57">
        <v>46975</v>
      </c>
      <c r="S536" s="56">
        <v>12</v>
      </c>
      <c r="T536" s="54">
        <v>6</v>
      </c>
      <c r="U536" s="52">
        <v>1588356245.53</v>
      </c>
      <c r="V536" s="52">
        <v>1588356245.53</v>
      </c>
      <c r="W536" s="52">
        <v>0</v>
      </c>
      <c r="X536" s="57"/>
      <c r="Y536" s="52">
        <v>0</v>
      </c>
      <c r="Z536" s="52">
        <v>0</v>
      </c>
      <c r="AA536" s="52">
        <v>1</v>
      </c>
      <c r="AB536" s="52">
        <v>0</v>
      </c>
      <c r="AC536" s="52">
        <v>12177385.6</v>
      </c>
      <c r="AD536" s="52">
        <v>12177385.6</v>
      </c>
      <c r="AE536" s="52">
        <v>0</v>
      </c>
      <c r="AF536" s="52">
        <v>0</v>
      </c>
      <c r="AG536" s="52">
        <v>0</v>
      </c>
      <c r="AH536" s="52">
        <v>0</v>
      </c>
      <c r="AI536" s="52">
        <v>0</v>
      </c>
      <c r="AJ536" s="52">
        <v>2</v>
      </c>
      <c r="AK536" s="52"/>
      <c r="AL536" s="52">
        <v>0</v>
      </c>
      <c r="AM536" s="52">
        <v>0</v>
      </c>
      <c r="AN536" s="52">
        <v>2790000000</v>
      </c>
      <c r="AO536" s="52">
        <v>15600000</v>
      </c>
      <c r="AP536" s="52">
        <v>15600000</v>
      </c>
      <c r="AQ536" s="58">
        <v>0</v>
      </c>
      <c r="AR536" s="58">
        <v>0</v>
      </c>
      <c r="AS536" s="58">
        <v>0</v>
      </c>
      <c r="AT536" s="58">
        <v>0</v>
      </c>
      <c r="AU536" s="58">
        <v>0</v>
      </c>
      <c r="AV536" s="58">
        <v>0</v>
      </c>
      <c r="AW536" s="58">
        <v>0</v>
      </c>
      <c r="AX536" s="58">
        <v>0</v>
      </c>
    </row>
    <row r="537" spans="1:50" x14ac:dyDescent="0.25">
      <c r="A537" s="52">
        <f t="shared" si="33"/>
        <v>532</v>
      </c>
      <c r="B537" s="60" t="str">
        <f t="shared" si="32"/>
        <v>011256025483</v>
      </c>
      <c r="C537" s="55" t="s">
        <v>30</v>
      </c>
      <c r="D537" s="53" t="s">
        <v>2096</v>
      </c>
      <c r="E537" s="55" t="s">
        <v>693</v>
      </c>
      <c r="F537" s="53" t="s">
        <v>2116</v>
      </c>
      <c r="G537" s="55">
        <v>11489</v>
      </c>
      <c r="H537" s="53" t="s">
        <v>798</v>
      </c>
      <c r="I537" s="55">
        <v>311929767</v>
      </c>
      <c r="J537" s="55" t="s">
        <v>799</v>
      </c>
      <c r="K537" s="55" t="s">
        <v>800</v>
      </c>
      <c r="L537" s="53" t="s">
        <v>2066</v>
      </c>
      <c r="M537" s="55" t="s">
        <v>75</v>
      </c>
      <c r="N537" s="52">
        <v>90000</v>
      </c>
      <c r="O537" s="52">
        <v>1086098400</v>
      </c>
      <c r="P537" s="52">
        <v>1086098400</v>
      </c>
      <c r="Q537" s="57">
        <v>45897</v>
      </c>
      <c r="R537" s="57">
        <v>46992</v>
      </c>
      <c r="S537" s="56">
        <v>12</v>
      </c>
      <c r="T537" s="54">
        <v>6</v>
      </c>
      <c r="U537" s="52">
        <v>1097919000</v>
      </c>
      <c r="V537" s="52">
        <v>1097919000</v>
      </c>
      <c r="W537" s="52">
        <v>0</v>
      </c>
      <c r="X537" s="57"/>
      <c r="Y537" s="52">
        <v>0</v>
      </c>
      <c r="Z537" s="52">
        <v>0</v>
      </c>
      <c r="AA537" s="52">
        <v>1</v>
      </c>
      <c r="AB537" s="52">
        <v>0</v>
      </c>
      <c r="AC537" s="52">
        <v>9515298</v>
      </c>
      <c r="AD537" s="52">
        <v>9515298</v>
      </c>
      <c r="AE537" s="52">
        <v>0</v>
      </c>
      <c r="AF537" s="52">
        <v>0</v>
      </c>
      <c r="AG537" s="52">
        <v>0</v>
      </c>
      <c r="AH537" s="52">
        <v>0</v>
      </c>
      <c r="AI537" s="52">
        <v>0</v>
      </c>
      <c r="AJ537" s="52">
        <v>2</v>
      </c>
      <c r="AK537" s="52"/>
      <c r="AL537" s="52">
        <v>0</v>
      </c>
      <c r="AM537" s="52">
        <v>0</v>
      </c>
      <c r="AN537" s="52">
        <v>1671436000</v>
      </c>
      <c r="AO537" s="52">
        <v>5600000</v>
      </c>
      <c r="AP537" s="52">
        <v>5600000</v>
      </c>
      <c r="AQ537" s="58">
        <v>0</v>
      </c>
      <c r="AR537" s="58">
        <v>0</v>
      </c>
      <c r="AS537" s="58">
        <v>0</v>
      </c>
      <c r="AT537" s="58">
        <v>0</v>
      </c>
      <c r="AU537" s="58">
        <v>0</v>
      </c>
      <c r="AV537" s="58">
        <v>0</v>
      </c>
      <c r="AW537" s="58">
        <v>0</v>
      </c>
      <c r="AX537" s="58">
        <v>0</v>
      </c>
    </row>
    <row r="538" spans="1:50" x14ac:dyDescent="0.25">
      <c r="A538" s="52">
        <f t="shared" si="33"/>
        <v>533</v>
      </c>
      <c r="B538" s="60" t="str">
        <f t="shared" si="32"/>
        <v>011254229414</v>
      </c>
      <c r="C538" s="55" t="s">
        <v>30</v>
      </c>
      <c r="D538" s="53" t="s">
        <v>2096</v>
      </c>
      <c r="E538" s="55" t="s">
        <v>693</v>
      </c>
      <c r="F538" s="53" t="s">
        <v>2116</v>
      </c>
      <c r="G538" s="55">
        <v>11489</v>
      </c>
      <c r="H538" s="53" t="s">
        <v>801</v>
      </c>
      <c r="I538" s="55">
        <v>306672892</v>
      </c>
      <c r="J538" s="55" t="s">
        <v>802</v>
      </c>
      <c r="K538" s="55" t="s">
        <v>803</v>
      </c>
      <c r="L538" s="53" t="s">
        <v>2045</v>
      </c>
      <c r="M538" s="55" t="s">
        <v>49</v>
      </c>
      <c r="N538" s="52">
        <v>570023117.38</v>
      </c>
      <c r="O538" s="52">
        <v>570023117.38</v>
      </c>
      <c r="P538" s="52">
        <v>570023117.38</v>
      </c>
      <c r="Q538" s="57">
        <v>44819</v>
      </c>
      <c r="R538" s="57">
        <v>48115</v>
      </c>
      <c r="S538" s="56">
        <v>14</v>
      </c>
      <c r="T538" s="54">
        <v>48</v>
      </c>
      <c r="U538" s="52">
        <v>399989010</v>
      </c>
      <c r="V538" s="52">
        <v>0</v>
      </c>
      <c r="W538" s="52">
        <v>0</v>
      </c>
      <c r="X538" s="57"/>
      <c r="Y538" s="52">
        <v>399989010</v>
      </c>
      <c r="Z538" s="52">
        <v>0</v>
      </c>
      <c r="AA538" s="52">
        <v>1</v>
      </c>
      <c r="AB538" s="52">
        <v>0</v>
      </c>
      <c r="AC538" s="52">
        <v>186425509.5</v>
      </c>
      <c r="AD538" s="52">
        <v>0</v>
      </c>
      <c r="AE538" s="52">
        <v>0</v>
      </c>
      <c r="AF538" s="52">
        <v>0</v>
      </c>
      <c r="AG538" s="52">
        <v>186425509.5</v>
      </c>
      <c r="AH538" s="52">
        <v>0</v>
      </c>
      <c r="AI538" s="52">
        <v>0</v>
      </c>
      <c r="AJ538" s="52">
        <v>2</v>
      </c>
      <c r="AK538" s="52"/>
      <c r="AL538" s="52">
        <v>0</v>
      </c>
      <c r="AM538" s="52">
        <v>0</v>
      </c>
      <c r="AN538" s="52">
        <v>712528000</v>
      </c>
      <c r="AO538" s="52">
        <v>272398000</v>
      </c>
      <c r="AP538" s="52">
        <v>205000000</v>
      </c>
      <c r="AQ538" s="58">
        <v>0</v>
      </c>
      <c r="AR538" s="58">
        <v>0</v>
      </c>
      <c r="AS538" s="58">
        <v>0</v>
      </c>
      <c r="AT538" s="58">
        <v>0</v>
      </c>
      <c r="AU538" s="58">
        <v>0</v>
      </c>
      <c r="AV538" s="58">
        <v>0</v>
      </c>
      <c r="AW538" s="58">
        <v>0</v>
      </c>
      <c r="AX538" s="58">
        <v>0</v>
      </c>
    </row>
    <row r="539" spans="1:50" x14ac:dyDescent="0.25">
      <c r="A539" s="52">
        <f t="shared" si="33"/>
        <v>534</v>
      </c>
      <c r="B539" s="60" t="str">
        <f t="shared" si="32"/>
        <v>011254229379</v>
      </c>
      <c r="C539" s="55" t="s">
        <v>30</v>
      </c>
      <c r="D539" s="53" t="s">
        <v>2096</v>
      </c>
      <c r="E539" s="55" t="s">
        <v>693</v>
      </c>
      <c r="F539" s="53" t="s">
        <v>2116</v>
      </c>
      <c r="G539" s="55">
        <v>11489</v>
      </c>
      <c r="H539" s="53" t="s">
        <v>801</v>
      </c>
      <c r="I539" s="55">
        <v>306672892</v>
      </c>
      <c r="J539" s="55" t="s">
        <v>804</v>
      </c>
      <c r="K539" s="55" t="s">
        <v>805</v>
      </c>
      <c r="L539" s="53" t="s">
        <v>2045</v>
      </c>
      <c r="M539" s="55" t="s">
        <v>49</v>
      </c>
      <c r="N539" s="52">
        <v>492453208.18000001</v>
      </c>
      <c r="O539" s="52">
        <v>492453208.18000001</v>
      </c>
      <c r="P539" s="52">
        <v>492453208.18000001</v>
      </c>
      <c r="Q539" s="57">
        <v>44819</v>
      </c>
      <c r="R539" s="57">
        <v>48419</v>
      </c>
      <c r="S539" s="56">
        <v>16</v>
      </c>
      <c r="T539" s="54">
        <v>48</v>
      </c>
      <c r="U539" s="52">
        <v>335861324</v>
      </c>
      <c r="V539" s="52">
        <v>0</v>
      </c>
      <c r="W539" s="52">
        <v>0</v>
      </c>
      <c r="X539" s="57"/>
      <c r="Y539" s="52">
        <v>335861324</v>
      </c>
      <c r="Z539" s="52">
        <v>0</v>
      </c>
      <c r="AA539" s="52">
        <v>1</v>
      </c>
      <c r="AB539" s="52">
        <v>0</v>
      </c>
      <c r="AC539" s="52">
        <v>170064702.11000001</v>
      </c>
      <c r="AD539" s="52">
        <v>0</v>
      </c>
      <c r="AE539" s="52">
        <v>0</v>
      </c>
      <c r="AF539" s="52">
        <v>0</v>
      </c>
      <c r="AG539" s="52">
        <v>170064702.11000001</v>
      </c>
      <c r="AH539" s="52">
        <v>0</v>
      </c>
      <c r="AI539" s="52">
        <v>0</v>
      </c>
      <c r="AJ539" s="52">
        <v>2</v>
      </c>
      <c r="AK539" s="52"/>
      <c r="AL539" s="52">
        <v>0</v>
      </c>
      <c r="AM539" s="52">
        <v>0</v>
      </c>
      <c r="AN539" s="52">
        <v>615586000</v>
      </c>
      <c r="AO539" s="52">
        <v>272398000</v>
      </c>
      <c r="AP539" s="52">
        <v>205000000</v>
      </c>
      <c r="AQ539" s="58">
        <v>0</v>
      </c>
      <c r="AR539" s="58">
        <v>0</v>
      </c>
      <c r="AS539" s="58">
        <v>0</v>
      </c>
      <c r="AT539" s="58">
        <v>0</v>
      </c>
      <c r="AU539" s="58">
        <v>0</v>
      </c>
      <c r="AV539" s="58">
        <v>0</v>
      </c>
      <c r="AW539" s="58">
        <v>0</v>
      </c>
      <c r="AX539" s="58">
        <v>0</v>
      </c>
    </row>
    <row r="540" spans="1:50" x14ac:dyDescent="0.25">
      <c r="A540" s="52">
        <f t="shared" si="33"/>
        <v>535</v>
      </c>
      <c r="B540" s="60" t="str">
        <f t="shared" si="32"/>
        <v>011254229405</v>
      </c>
      <c r="C540" s="55" t="s">
        <v>30</v>
      </c>
      <c r="D540" s="53" t="s">
        <v>2096</v>
      </c>
      <c r="E540" s="55" t="s">
        <v>693</v>
      </c>
      <c r="F540" s="53" t="s">
        <v>2116</v>
      </c>
      <c r="G540" s="55">
        <v>11489</v>
      </c>
      <c r="H540" s="53" t="s">
        <v>801</v>
      </c>
      <c r="I540" s="55">
        <v>306672892</v>
      </c>
      <c r="J540" s="55" t="s">
        <v>806</v>
      </c>
      <c r="K540" s="55" t="s">
        <v>807</v>
      </c>
      <c r="L540" s="53" t="s">
        <v>2045</v>
      </c>
      <c r="M540" s="55" t="s">
        <v>49</v>
      </c>
      <c r="N540" s="52">
        <v>255601856.31999999</v>
      </c>
      <c r="O540" s="52">
        <v>255601856.31999999</v>
      </c>
      <c r="P540" s="52">
        <v>255601856.31999999</v>
      </c>
      <c r="Q540" s="57">
        <v>44819</v>
      </c>
      <c r="R540" s="57">
        <v>47811</v>
      </c>
      <c r="S540" s="56">
        <v>9</v>
      </c>
      <c r="T540" s="54">
        <v>48</v>
      </c>
      <c r="U540" s="52">
        <v>277421073.26999998</v>
      </c>
      <c r="V540" s="52">
        <v>0</v>
      </c>
      <c r="W540" s="52">
        <v>0</v>
      </c>
      <c r="X540" s="57"/>
      <c r="Y540" s="52">
        <v>277421073.26999998</v>
      </c>
      <c r="Z540" s="52">
        <v>0</v>
      </c>
      <c r="AA540" s="52">
        <v>1</v>
      </c>
      <c r="AB540" s="52">
        <v>0</v>
      </c>
      <c r="AC540" s="52">
        <v>58534405.899999999</v>
      </c>
      <c r="AD540" s="52">
        <v>0</v>
      </c>
      <c r="AE540" s="52">
        <v>0</v>
      </c>
      <c r="AF540" s="52">
        <v>0</v>
      </c>
      <c r="AG540" s="52">
        <v>58534405.899999999</v>
      </c>
      <c r="AH540" s="52">
        <v>0</v>
      </c>
      <c r="AI540" s="52">
        <v>0</v>
      </c>
      <c r="AJ540" s="52">
        <v>2</v>
      </c>
      <c r="AK540" s="52"/>
      <c r="AL540" s="52">
        <v>0</v>
      </c>
      <c r="AM540" s="52">
        <v>0</v>
      </c>
      <c r="AN540" s="52">
        <v>319512000</v>
      </c>
      <c r="AO540" s="52">
        <v>272398000</v>
      </c>
      <c r="AP540" s="52">
        <v>205000000</v>
      </c>
      <c r="AQ540" s="58">
        <v>0</v>
      </c>
      <c r="AR540" s="58">
        <v>0</v>
      </c>
      <c r="AS540" s="58">
        <v>0</v>
      </c>
      <c r="AT540" s="58">
        <v>0</v>
      </c>
      <c r="AU540" s="58">
        <v>0</v>
      </c>
      <c r="AV540" s="58">
        <v>0</v>
      </c>
      <c r="AW540" s="58">
        <v>0</v>
      </c>
      <c r="AX540" s="58">
        <v>0</v>
      </c>
    </row>
    <row r="541" spans="1:50" x14ac:dyDescent="0.25">
      <c r="A541" s="52">
        <f t="shared" si="33"/>
        <v>536</v>
      </c>
      <c r="B541" s="60" t="str">
        <f t="shared" si="32"/>
        <v>011254229366</v>
      </c>
      <c r="C541" s="55" t="s">
        <v>30</v>
      </c>
      <c r="D541" s="53" t="s">
        <v>2096</v>
      </c>
      <c r="E541" s="55" t="s">
        <v>693</v>
      </c>
      <c r="F541" s="53" t="s">
        <v>2116</v>
      </c>
      <c r="G541" s="55">
        <v>11489</v>
      </c>
      <c r="H541" s="53" t="s">
        <v>801</v>
      </c>
      <c r="I541" s="55">
        <v>306672892</v>
      </c>
      <c r="J541" s="55" t="s">
        <v>808</v>
      </c>
      <c r="K541" s="55" t="s">
        <v>809</v>
      </c>
      <c r="L541" s="53" t="s">
        <v>2045</v>
      </c>
      <c r="M541" s="55" t="s">
        <v>49</v>
      </c>
      <c r="N541" s="52">
        <v>411851317.82999998</v>
      </c>
      <c r="O541" s="52">
        <v>411851317.82999998</v>
      </c>
      <c r="P541" s="52">
        <v>411851317.82999998</v>
      </c>
      <c r="Q541" s="57">
        <v>44819</v>
      </c>
      <c r="R541" s="57">
        <v>48084</v>
      </c>
      <c r="S541" s="56">
        <v>14</v>
      </c>
      <c r="T541" s="54">
        <v>48</v>
      </c>
      <c r="U541" s="52">
        <v>277358612</v>
      </c>
      <c r="V541" s="52">
        <v>0</v>
      </c>
      <c r="W541" s="52">
        <v>0</v>
      </c>
      <c r="X541" s="57"/>
      <c r="Y541" s="52">
        <v>277358612</v>
      </c>
      <c r="Z541" s="52">
        <v>0</v>
      </c>
      <c r="AA541" s="52">
        <v>1</v>
      </c>
      <c r="AB541" s="52">
        <v>0</v>
      </c>
      <c r="AC541" s="52">
        <v>145969654.50999999</v>
      </c>
      <c r="AD541" s="52">
        <v>0</v>
      </c>
      <c r="AE541" s="52">
        <v>0</v>
      </c>
      <c r="AF541" s="52">
        <v>0</v>
      </c>
      <c r="AG541" s="52">
        <v>145969654.50999999</v>
      </c>
      <c r="AH541" s="52">
        <v>0</v>
      </c>
      <c r="AI541" s="52">
        <v>0</v>
      </c>
      <c r="AJ541" s="52">
        <v>2</v>
      </c>
      <c r="AK541" s="52"/>
      <c r="AL541" s="52">
        <v>0</v>
      </c>
      <c r="AM541" s="52">
        <v>0</v>
      </c>
      <c r="AN541" s="52">
        <v>514814000</v>
      </c>
      <c r="AO541" s="52">
        <v>272398000</v>
      </c>
      <c r="AP541" s="52">
        <v>205000000</v>
      </c>
      <c r="AQ541" s="58">
        <v>0</v>
      </c>
      <c r="AR541" s="58">
        <v>0</v>
      </c>
      <c r="AS541" s="58">
        <v>0</v>
      </c>
      <c r="AT541" s="58">
        <v>0</v>
      </c>
      <c r="AU541" s="58">
        <v>0</v>
      </c>
      <c r="AV541" s="58">
        <v>0</v>
      </c>
      <c r="AW541" s="58">
        <v>0</v>
      </c>
      <c r="AX541" s="58">
        <v>0</v>
      </c>
    </row>
    <row r="542" spans="1:50" x14ac:dyDescent="0.25">
      <c r="A542" s="52">
        <f t="shared" si="33"/>
        <v>537</v>
      </c>
      <c r="B542" s="60" t="str">
        <f t="shared" si="32"/>
        <v>011254237292</v>
      </c>
      <c r="C542" s="55" t="s">
        <v>30</v>
      </c>
      <c r="D542" s="53" t="s">
        <v>2096</v>
      </c>
      <c r="E542" s="55" t="s">
        <v>693</v>
      </c>
      <c r="F542" s="53" t="s">
        <v>2104</v>
      </c>
      <c r="G542" s="55">
        <v>11490</v>
      </c>
      <c r="H542" s="53" t="s">
        <v>2515</v>
      </c>
      <c r="I542" s="55">
        <v>304737764</v>
      </c>
      <c r="J542" s="55" t="s">
        <v>810</v>
      </c>
      <c r="K542" s="55" t="s">
        <v>811</v>
      </c>
      <c r="L542" s="53" t="s">
        <v>2054</v>
      </c>
      <c r="M542" s="55" t="s">
        <v>75</v>
      </c>
      <c r="N542" s="52">
        <v>1300000</v>
      </c>
      <c r="O542" s="52">
        <v>15688088000</v>
      </c>
      <c r="P542" s="52">
        <v>15688088000</v>
      </c>
      <c r="Q542" s="57">
        <v>44883</v>
      </c>
      <c r="R542" s="57">
        <v>47437</v>
      </c>
      <c r="S542" s="56">
        <v>8</v>
      </c>
      <c r="T542" s="54">
        <v>36</v>
      </c>
      <c r="U542" s="52">
        <v>11913641060</v>
      </c>
      <c r="V542" s="52">
        <v>11913641060</v>
      </c>
      <c r="W542" s="52">
        <v>0</v>
      </c>
      <c r="X542" s="57"/>
      <c r="Y542" s="52">
        <v>0</v>
      </c>
      <c r="Z542" s="52">
        <v>0</v>
      </c>
      <c r="AA542" s="52">
        <v>2</v>
      </c>
      <c r="AB542" s="52">
        <v>0</v>
      </c>
      <c r="AC542" s="52">
        <v>608778152.81999993</v>
      </c>
      <c r="AD542" s="52">
        <v>135021224.68000001</v>
      </c>
      <c r="AE542" s="52">
        <v>0</v>
      </c>
      <c r="AF542" s="52">
        <v>473756928.13999999</v>
      </c>
      <c r="AG542" s="52">
        <v>0</v>
      </c>
      <c r="AH542" s="52">
        <v>0</v>
      </c>
      <c r="AI542" s="52">
        <v>0</v>
      </c>
      <c r="AJ542" s="52">
        <v>2</v>
      </c>
      <c r="AK542" s="52"/>
      <c r="AL542" s="52">
        <v>0</v>
      </c>
      <c r="AM542" s="52">
        <v>0</v>
      </c>
      <c r="AN542" s="52">
        <v>23500000000</v>
      </c>
      <c r="AO542" s="52">
        <v>23384437109</v>
      </c>
      <c r="AP542" s="52">
        <v>23384437109</v>
      </c>
      <c r="AQ542" s="58">
        <v>29</v>
      </c>
      <c r="AR542" s="58">
        <v>1470188.4599999997</v>
      </c>
      <c r="AS542" s="58">
        <v>135</v>
      </c>
      <c r="AT542" s="58">
        <v>3018184.48</v>
      </c>
      <c r="AU542" s="58">
        <v>27</v>
      </c>
      <c r="AV542" s="58">
        <v>782966.99000000011</v>
      </c>
      <c r="AW542" s="58">
        <v>47</v>
      </c>
      <c r="AX542" s="58">
        <v>5138862.9000000004</v>
      </c>
    </row>
    <row r="543" spans="1:50" x14ac:dyDescent="0.25">
      <c r="A543" s="52">
        <f t="shared" si="33"/>
        <v>538</v>
      </c>
      <c r="B543" s="60" t="str">
        <f t="shared" si="32"/>
        <v>011254210478</v>
      </c>
      <c r="C543" s="55" t="s">
        <v>30</v>
      </c>
      <c r="D543" s="53" t="s">
        <v>2096</v>
      </c>
      <c r="E543" s="55" t="s">
        <v>693</v>
      </c>
      <c r="F543" s="53" t="s">
        <v>2104</v>
      </c>
      <c r="G543" s="55">
        <v>11490</v>
      </c>
      <c r="H543" s="53" t="s">
        <v>2516</v>
      </c>
      <c r="I543" s="55">
        <v>206382133</v>
      </c>
      <c r="J543" s="55" t="s">
        <v>812</v>
      </c>
      <c r="K543" s="55" t="s">
        <v>813</v>
      </c>
      <c r="L543" s="53" t="s">
        <v>2054</v>
      </c>
      <c r="M543" s="55" t="s">
        <v>75</v>
      </c>
      <c r="N543" s="52">
        <v>496262</v>
      </c>
      <c r="O543" s="52">
        <v>5988770713.1199999</v>
      </c>
      <c r="P543" s="52">
        <v>5988770713.1199999</v>
      </c>
      <c r="Q543" s="57">
        <v>44202</v>
      </c>
      <c r="R543" s="57">
        <v>49279</v>
      </c>
      <c r="S543" s="56">
        <v>8.5110899999999994</v>
      </c>
      <c r="T543" s="54">
        <v>24</v>
      </c>
      <c r="U543" s="52">
        <v>4891538270.1899996</v>
      </c>
      <c r="V543" s="52">
        <v>4891538270.1899996</v>
      </c>
      <c r="W543" s="52">
        <v>0</v>
      </c>
      <c r="X543" s="57"/>
      <c r="Y543" s="52">
        <v>0</v>
      </c>
      <c r="Z543" s="52">
        <v>0</v>
      </c>
      <c r="AA543" s="52">
        <v>2</v>
      </c>
      <c r="AB543" s="52">
        <v>0</v>
      </c>
      <c r="AC543" s="52">
        <v>1035184030.3299999</v>
      </c>
      <c r="AD543" s="52">
        <v>18503350.899999999</v>
      </c>
      <c r="AE543" s="52">
        <v>0</v>
      </c>
      <c r="AF543" s="52">
        <v>1016680679.4299999</v>
      </c>
      <c r="AG543" s="52">
        <v>0</v>
      </c>
      <c r="AH543" s="52">
        <v>0</v>
      </c>
      <c r="AI543" s="52">
        <v>0</v>
      </c>
      <c r="AJ543" s="52">
        <v>2</v>
      </c>
      <c r="AK543" s="52"/>
      <c r="AL543" s="52">
        <v>0</v>
      </c>
      <c r="AM543" s="52">
        <v>0</v>
      </c>
      <c r="AN543" s="52">
        <v>8060000000</v>
      </c>
      <c r="AO543" s="52">
        <v>2506466600</v>
      </c>
      <c r="AP543" s="52">
        <v>2506466600</v>
      </c>
      <c r="AQ543" s="58">
        <v>0</v>
      </c>
      <c r="AR543" s="58">
        <v>0</v>
      </c>
      <c r="AS543" s="58">
        <v>10</v>
      </c>
      <c r="AT543" s="58">
        <v>298200</v>
      </c>
      <c r="AU543" s="58">
        <v>0</v>
      </c>
      <c r="AV543" s="58">
        <v>0</v>
      </c>
      <c r="AW543" s="58">
        <v>15</v>
      </c>
      <c r="AX543" s="58">
        <v>634418.80000000005</v>
      </c>
    </row>
    <row r="544" spans="1:50" x14ac:dyDescent="0.25">
      <c r="A544" s="52">
        <f t="shared" si="33"/>
        <v>539</v>
      </c>
      <c r="B544" s="60" t="str">
        <f t="shared" si="32"/>
        <v>011255378017</v>
      </c>
      <c r="C544" s="55" t="s">
        <v>30</v>
      </c>
      <c r="D544" s="53" t="s">
        <v>2096</v>
      </c>
      <c r="E544" s="55" t="s">
        <v>693</v>
      </c>
      <c r="F544" s="53" t="s">
        <v>2104</v>
      </c>
      <c r="G544" s="55">
        <v>11490</v>
      </c>
      <c r="H544" s="53" t="s">
        <v>2515</v>
      </c>
      <c r="I544" s="55">
        <v>304737764</v>
      </c>
      <c r="J544" s="55" t="s">
        <v>814</v>
      </c>
      <c r="K544" s="55" t="s">
        <v>815</v>
      </c>
      <c r="L544" s="53" t="s">
        <v>2054</v>
      </c>
      <c r="M544" s="55" t="s">
        <v>49</v>
      </c>
      <c r="N544" s="52">
        <v>3000000000</v>
      </c>
      <c r="O544" s="52">
        <v>3000000000</v>
      </c>
      <c r="P544" s="52">
        <v>3000000000</v>
      </c>
      <c r="Q544" s="57">
        <v>45488</v>
      </c>
      <c r="R544" s="57">
        <v>47313</v>
      </c>
      <c r="S544" s="56">
        <v>17</v>
      </c>
      <c r="T544" s="54">
        <v>18</v>
      </c>
      <c r="U544" s="52">
        <v>3000000000</v>
      </c>
      <c r="V544" s="52">
        <v>3000000000</v>
      </c>
      <c r="W544" s="52">
        <v>0</v>
      </c>
      <c r="X544" s="57"/>
      <c r="Y544" s="52">
        <v>0</v>
      </c>
      <c r="Z544" s="52">
        <v>0</v>
      </c>
      <c r="AA544" s="52">
        <v>2</v>
      </c>
      <c r="AB544" s="52">
        <v>0</v>
      </c>
      <c r="AC544" s="52">
        <v>292027397.25999999</v>
      </c>
      <c r="AD544" s="52">
        <v>39123287.670000002</v>
      </c>
      <c r="AE544" s="52">
        <v>0</v>
      </c>
      <c r="AF544" s="52">
        <v>252904109.59</v>
      </c>
      <c r="AG544" s="52">
        <v>0</v>
      </c>
      <c r="AH544" s="52">
        <v>0</v>
      </c>
      <c r="AI544" s="52">
        <v>0</v>
      </c>
      <c r="AJ544" s="52">
        <v>2</v>
      </c>
      <c r="AK544" s="52"/>
      <c r="AL544" s="52">
        <v>0</v>
      </c>
      <c r="AM544" s="52">
        <v>0</v>
      </c>
      <c r="AN544" s="52">
        <v>3500238000</v>
      </c>
      <c r="AO544" s="52">
        <v>23384437109</v>
      </c>
      <c r="AP544" s="52">
        <v>23384437109</v>
      </c>
      <c r="AQ544" s="58">
        <v>29</v>
      </c>
      <c r="AR544" s="58">
        <v>1470188.4599999997</v>
      </c>
      <c r="AS544" s="58">
        <v>135</v>
      </c>
      <c r="AT544" s="58">
        <v>3018184.48</v>
      </c>
      <c r="AU544" s="58">
        <v>27</v>
      </c>
      <c r="AV544" s="58">
        <v>782966.99000000011</v>
      </c>
      <c r="AW544" s="58">
        <v>47</v>
      </c>
      <c r="AX544" s="58">
        <v>5138862.9000000004</v>
      </c>
    </row>
    <row r="545" spans="1:50" x14ac:dyDescent="0.25">
      <c r="A545" s="52">
        <f t="shared" si="33"/>
        <v>540</v>
      </c>
      <c r="B545" s="60" t="str">
        <f t="shared" si="32"/>
        <v>011254205467</v>
      </c>
      <c r="C545" s="55" t="s">
        <v>30</v>
      </c>
      <c r="D545" s="53" t="s">
        <v>2096</v>
      </c>
      <c r="E545" s="55" t="s">
        <v>693</v>
      </c>
      <c r="F545" s="53" t="s">
        <v>2104</v>
      </c>
      <c r="G545" s="55">
        <v>11490</v>
      </c>
      <c r="H545" s="53" t="s">
        <v>2517</v>
      </c>
      <c r="I545" s="55">
        <v>302323427</v>
      </c>
      <c r="J545" s="55" t="s">
        <v>816</v>
      </c>
      <c r="K545" s="55" t="s">
        <v>817</v>
      </c>
      <c r="L545" s="53" t="s">
        <v>2054</v>
      </c>
      <c r="M545" s="55" t="s">
        <v>49</v>
      </c>
      <c r="N545" s="52">
        <v>2000000000</v>
      </c>
      <c r="O545" s="52">
        <v>2000000000</v>
      </c>
      <c r="P545" s="52">
        <v>2000000000</v>
      </c>
      <c r="Q545" s="57">
        <v>44040</v>
      </c>
      <c r="R545" s="57">
        <v>49141</v>
      </c>
      <c r="S545" s="56">
        <v>7.5</v>
      </c>
      <c r="T545" s="54">
        <v>60</v>
      </c>
      <c r="U545" s="52">
        <v>1908257088.4000001</v>
      </c>
      <c r="V545" s="52">
        <v>1871559836.7</v>
      </c>
      <c r="W545" s="52">
        <v>36697251.700000003</v>
      </c>
      <c r="X545" s="57">
        <v>46006</v>
      </c>
      <c r="Y545" s="52">
        <v>0</v>
      </c>
      <c r="Z545" s="52">
        <v>0</v>
      </c>
      <c r="AA545" s="52">
        <v>2</v>
      </c>
      <c r="AB545" s="52">
        <v>0</v>
      </c>
      <c r="AC545" s="52">
        <v>253651457.94</v>
      </c>
      <c r="AD545" s="52">
        <v>6537640.5300000003</v>
      </c>
      <c r="AE545" s="52">
        <v>173084876.87</v>
      </c>
      <c r="AF545" s="52">
        <v>23002040.91</v>
      </c>
      <c r="AG545" s="52">
        <v>51026899.630000003</v>
      </c>
      <c r="AH545" s="52">
        <v>0</v>
      </c>
      <c r="AI545" s="52">
        <v>0</v>
      </c>
      <c r="AJ545" s="52">
        <v>2</v>
      </c>
      <c r="AK545" s="52"/>
      <c r="AL545" s="52">
        <v>0</v>
      </c>
      <c r="AM545" s="52">
        <v>0</v>
      </c>
      <c r="AN545" s="52">
        <v>2500000000</v>
      </c>
      <c r="AO545" s="52">
        <v>1022766111</v>
      </c>
      <c r="AP545" s="52">
        <v>1022766111</v>
      </c>
      <c r="AQ545" s="58">
        <v>0</v>
      </c>
      <c r="AR545" s="58">
        <v>0</v>
      </c>
      <c r="AS545" s="58">
        <v>0</v>
      </c>
      <c r="AT545" s="58">
        <v>0</v>
      </c>
      <c r="AU545" s="58">
        <v>1</v>
      </c>
      <c r="AV545" s="58">
        <v>12883.5</v>
      </c>
      <c r="AW545" s="58">
        <v>3</v>
      </c>
      <c r="AX545" s="58">
        <v>206398.85</v>
      </c>
    </row>
    <row r="546" spans="1:50" x14ac:dyDescent="0.25">
      <c r="A546" s="52">
        <f t="shared" si="33"/>
        <v>541</v>
      </c>
      <c r="B546" s="60" t="str">
        <f t="shared" si="32"/>
        <v>011254194491</v>
      </c>
      <c r="C546" s="55" t="s">
        <v>30</v>
      </c>
      <c r="D546" s="53" t="s">
        <v>2096</v>
      </c>
      <c r="E546" s="55" t="s">
        <v>693</v>
      </c>
      <c r="F546" s="53" t="s">
        <v>2104</v>
      </c>
      <c r="G546" s="55">
        <v>11490</v>
      </c>
      <c r="H546" s="53" t="s">
        <v>2516</v>
      </c>
      <c r="I546" s="55">
        <v>206382133</v>
      </c>
      <c r="J546" s="55" t="s">
        <v>818</v>
      </c>
      <c r="K546" s="55" t="s">
        <v>819</v>
      </c>
      <c r="L546" s="53" t="s">
        <v>2054</v>
      </c>
      <c r="M546" s="55" t="s">
        <v>75</v>
      </c>
      <c r="N546" s="52">
        <v>497000</v>
      </c>
      <c r="O546" s="52">
        <v>5997676720</v>
      </c>
      <c r="P546" s="52">
        <v>5997676720</v>
      </c>
      <c r="Q546" s="57">
        <v>42809</v>
      </c>
      <c r="R546" s="57">
        <v>47908</v>
      </c>
      <c r="S546" s="56">
        <v>5.5</v>
      </c>
      <c r="T546" s="54">
        <v>24</v>
      </c>
      <c r="U546" s="52">
        <v>1783330435.1300001</v>
      </c>
      <c r="V546" s="52">
        <v>1783330435.1300001</v>
      </c>
      <c r="W546" s="52">
        <v>0</v>
      </c>
      <c r="X546" s="57"/>
      <c r="Y546" s="52">
        <v>0</v>
      </c>
      <c r="Z546" s="52">
        <v>0</v>
      </c>
      <c r="AA546" s="52">
        <v>2</v>
      </c>
      <c r="AB546" s="52">
        <v>0</v>
      </c>
      <c r="AC546" s="52">
        <v>31059762.539999999</v>
      </c>
      <c r="AD546" s="52">
        <v>31059762.539999999</v>
      </c>
      <c r="AE546" s="52">
        <v>0</v>
      </c>
      <c r="AF546" s="52">
        <v>0</v>
      </c>
      <c r="AG546" s="52">
        <v>0</v>
      </c>
      <c r="AH546" s="52">
        <v>0</v>
      </c>
      <c r="AI546" s="52">
        <v>0</v>
      </c>
      <c r="AJ546" s="52">
        <v>2</v>
      </c>
      <c r="AK546" s="52"/>
      <c r="AL546" s="52">
        <v>0</v>
      </c>
      <c r="AM546" s="52">
        <v>0</v>
      </c>
      <c r="AN546" s="52">
        <v>2586000000</v>
      </c>
      <c r="AO546" s="52">
        <v>2506466600</v>
      </c>
      <c r="AP546" s="52">
        <v>2506466600</v>
      </c>
      <c r="AQ546" s="58">
        <v>0</v>
      </c>
      <c r="AR546" s="58">
        <v>0</v>
      </c>
      <c r="AS546" s="58">
        <v>10</v>
      </c>
      <c r="AT546" s="58">
        <v>298200</v>
      </c>
      <c r="AU546" s="58">
        <v>0</v>
      </c>
      <c r="AV546" s="58">
        <v>0</v>
      </c>
      <c r="AW546" s="58">
        <v>15</v>
      </c>
      <c r="AX546" s="58">
        <v>634418.80000000005</v>
      </c>
    </row>
    <row r="547" spans="1:50" x14ac:dyDescent="0.25">
      <c r="A547" s="52">
        <f t="shared" si="33"/>
        <v>542</v>
      </c>
      <c r="B547" s="60" t="str">
        <f t="shared" si="32"/>
        <v>011255705960</v>
      </c>
      <c r="C547" s="55" t="s">
        <v>30</v>
      </c>
      <c r="D547" s="53" t="s">
        <v>2096</v>
      </c>
      <c r="E547" s="55" t="s">
        <v>693</v>
      </c>
      <c r="F547" s="53" t="s">
        <v>2104</v>
      </c>
      <c r="G547" s="55">
        <v>11490</v>
      </c>
      <c r="H547" s="53" t="s">
        <v>820</v>
      </c>
      <c r="I547" s="55">
        <v>308785251</v>
      </c>
      <c r="J547" s="55" t="s">
        <v>821</v>
      </c>
      <c r="K547" s="55" t="s">
        <v>822</v>
      </c>
      <c r="L547" s="53" t="s">
        <v>2054</v>
      </c>
      <c r="M547" s="55" t="s">
        <v>49</v>
      </c>
      <c r="N547" s="52">
        <v>2000000000</v>
      </c>
      <c r="O547" s="52">
        <v>2000000000</v>
      </c>
      <c r="P547" s="52">
        <v>2000000000</v>
      </c>
      <c r="Q547" s="57">
        <v>45684</v>
      </c>
      <c r="R547" s="57">
        <v>46215</v>
      </c>
      <c r="S547" s="56">
        <v>25.99</v>
      </c>
      <c r="T547" s="54">
        <v>3</v>
      </c>
      <c r="U547" s="52">
        <v>1695894891.4000001</v>
      </c>
      <c r="V547" s="52">
        <v>800000003</v>
      </c>
      <c r="W547" s="52">
        <v>895894888.39999998</v>
      </c>
      <c r="X547" s="57">
        <v>45845</v>
      </c>
      <c r="Y547" s="52">
        <v>0</v>
      </c>
      <c r="Z547" s="52">
        <v>0</v>
      </c>
      <c r="AA547" s="52">
        <v>4</v>
      </c>
      <c r="AB547" s="52">
        <v>424101696.56</v>
      </c>
      <c r="AC547" s="52">
        <v>297027000.19999993</v>
      </c>
      <c r="AD547" s="52">
        <v>18038721.530000001</v>
      </c>
      <c r="AE547" s="52">
        <v>0</v>
      </c>
      <c r="AF547" s="52">
        <v>278988278.66999996</v>
      </c>
      <c r="AG547" s="52">
        <v>0</v>
      </c>
      <c r="AH547" s="52">
        <v>0</v>
      </c>
      <c r="AI547" s="52">
        <v>0</v>
      </c>
      <c r="AJ547" s="52">
        <v>2</v>
      </c>
      <c r="AK547" s="52"/>
      <c r="AL547" s="52">
        <v>2019369700</v>
      </c>
      <c r="AM547" s="52">
        <v>2019369700</v>
      </c>
      <c r="AN547" s="52">
        <v>2500000000</v>
      </c>
      <c r="AO547" s="52">
        <v>951762600</v>
      </c>
      <c r="AP547" s="52">
        <v>951762600</v>
      </c>
      <c r="AQ547" s="58">
        <v>0</v>
      </c>
      <c r="AR547" s="58">
        <v>0</v>
      </c>
      <c r="AS547" s="58">
        <v>0</v>
      </c>
      <c r="AT547" s="58">
        <v>0</v>
      </c>
      <c r="AU547" s="58">
        <v>21</v>
      </c>
      <c r="AV547" s="58">
        <v>608098</v>
      </c>
      <c r="AW547" s="58">
        <v>0</v>
      </c>
      <c r="AX547" s="58">
        <v>0</v>
      </c>
    </row>
    <row r="548" spans="1:50" x14ac:dyDescent="0.25">
      <c r="A548" s="52">
        <f t="shared" si="33"/>
        <v>543</v>
      </c>
      <c r="B548" s="60" t="str">
        <f t="shared" si="32"/>
        <v>011256048628</v>
      </c>
      <c r="C548" s="55" t="s">
        <v>30</v>
      </c>
      <c r="D548" s="53" t="s">
        <v>2096</v>
      </c>
      <c r="E548" s="55" t="s">
        <v>693</v>
      </c>
      <c r="F548" s="53" t="s">
        <v>2104</v>
      </c>
      <c r="G548" s="55">
        <v>11490</v>
      </c>
      <c r="H548" s="53" t="s">
        <v>823</v>
      </c>
      <c r="I548" s="55">
        <v>310146714</v>
      </c>
      <c r="J548" s="55" t="s">
        <v>824</v>
      </c>
      <c r="K548" s="55" t="s">
        <v>825</v>
      </c>
      <c r="L548" s="53" t="s">
        <v>2054</v>
      </c>
      <c r="M548" s="55" t="s">
        <v>75</v>
      </c>
      <c r="N548" s="52">
        <v>100000</v>
      </c>
      <c r="O548" s="52">
        <v>1206776000</v>
      </c>
      <c r="P548" s="52">
        <v>1206776000</v>
      </c>
      <c r="Q548" s="57">
        <v>45918</v>
      </c>
      <c r="R548" s="57">
        <v>47013</v>
      </c>
      <c r="S548" s="56">
        <v>12</v>
      </c>
      <c r="T548" s="54">
        <v>6</v>
      </c>
      <c r="U548" s="52">
        <v>1219910000</v>
      </c>
      <c r="V548" s="52">
        <v>1219910000</v>
      </c>
      <c r="W548" s="52">
        <v>0</v>
      </c>
      <c r="X548" s="57"/>
      <c r="Y548" s="52">
        <v>0</v>
      </c>
      <c r="Z548" s="52">
        <v>0</v>
      </c>
      <c r="AA548" s="52">
        <v>2</v>
      </c>
      <c r="AB548" s="52">
        <v>0</v>
      </c>
      <c r="AC548" s="52">
        <v>29535241.010000002</v>
      </c>
      <c r="AD548" s="52">
        <v>12199100</v>
      </c>
      <c r="AE548" s="52">
        <v>0</v>
      </c>
      <c r="AF548" s="52">
        <v>17336141.010000002</v>
      </c>
      <c r="AG548" s="52">
        <v>0</v>
      </c>
      <c r="AH548" s="52">
        <v>0</v>
      </c>
      <c r="AI548" s="52">
        <v>0</v>
      </c>
      <c r="AJ548" s="52">
        <v>2</v>
      </c>
      <c r="AK548" s="52"/>
      <c r="AL548" s="52">
        <v>0</v>
      </c>
      <c r="AM548" s="52">
        <v>0</v>
      </c>
      <c r="AN548" s="52">
        <v>1857143000</v>
      </c>
      <c r="AO548" s="52">
        <v>10050000</v>
      </c>
      <c r="AP548" s="52">
        <v>10050000</v>
      </c>
      <c r="AQ548" s="58">
        <v>0</v>
      </c>
      <c r="AR548" s="58">
        <v>0</v>
      </c>
      <c r="AS548" s="58">
        <v>0</v>
      </c>
      <c r="AT548" s="58">
        <v>0</v>
      </c>
      <c r="AU548" s="58">
        <v>1</v>
      </c>
      <c r="AV548" s="58">
        <v>1780</v>
      </c>
      <c r="AW548" s="58">
        <v>1</v>
      </c>
      <c r="AX548" s="58">
        <v>5070</v>
      </c>
    </row>
    <row r="549" spans="1:50" x14ac:dyDescent="0.25">
      <c r="A549" s="52">
        <f t="shared" si="33"/>
        <v>544</v>
      </c>
      <c r="B549" s="60" t="str">
        <f t="shared" si="32"/>
        <v>011255858539</v>
      </c>
      <c r="C549" s="55" t="s">
        <v>30</v>
      </c>
      <c r="D549" s="53" t="s">
        <v>2096</v>
      </c>
      <c r="E549" s="55" t="s">
        <v>693</v>
      </c>
      <c r="F549" s="53" t="s">
        <v>2104</v>
      </c>
      <c r="G549" s="55">
        <v>11490</v>
      </c>
      <c r="H549" s="53" t="s">
        <v>826</v>
      </c>
      <c r="I549" s="55">
        <v>312083888</v>
      </c>
      <c r="J549" s="55" t="s">
        <v>827</v>
      </c>
      <c r="K549" s="55" t="s">
        <v>828</v>
      </c>
      <c r="L549" s="53" t="s">
        <v>2054</v>
      </c>
      <c r="M549" s="55" t="s">
        <v>75</v>
      </c>
      <c r="N549" s="52">
        <v>100000</v>
      </c>
      <c r="O549" s="52">
        <v>1206776000</v>
      </c>
      <c r="P549" s="52">
        <v>1206776000</v>
      </c>
      <c r="Q549" s="57">
        <v>45778</v>
      </c>
      <c r="R549" s="57">
        <v>46873</v>
      </c>
      <c r="S549" s="56">
        <v>12</v>
      </c>
      <c r="T549" s="54">
        <v>6</v>
      </c>
      <c r="U549" s="52">
        <v>1138590799.4000001</v>
      </c>
      <c r="V549" s="52">
        <v>1097931199.0999999</v>
      </c>
      <c r="W549" s="52">
        <v>40659600.299999997</v>
      </c>
      <c r="X549" s="57">
        <v>46027</v>
      </c>
      <c r="Y549" s="52">
        <v>0</v>
      </c>
      <c r="Z549" s="52">
        <v>0</v>
      </c>
      <c r="AA549" s="52">
        <v>1</v>
      </c>
      <c r="AB549" s="52">
        <v>0</v>
      </c>
      <c r="AC549" s="52">
        <v>21353792.609999999</v>
      </c>
      <c r="AD549" s="52">
        <v>11033597.99</v>
      </c>
      <c r="AE549" s="52">
        <v>0</v>
      </c>
      <c r="AF549" s="52">
        <v>10320194.620000001</v>
      </c>
      <c r="AG549" s="52">
        <v>0</v>
      </c>
      <c r="AH549" s="52">
        <v>0</v>
      </c>
      <c r="AI549" s="52">
        <v>0</v>
      </c>
      <c r="AJ549" s="52">
        <v>2</v>
      </c>
      <c r="AK549" s="52"/>
      <c r="AL549" s="52">
        <v>0</v>
      </c>
      <c r="AM549" s="52">
        <v>0</v>
      </c>
      <c r="AN549" s="52">
        <v>1857500000</v>
      </c>
      <c r="AO549" s="52">
        <v>34858000</v>
      </c>
      <c r="AP549" s="52">
        <v>34858000</v>
      </c>
      <c r="AQ549" s="58">
        <v>0</v>
      </c>
      <c r="AR549" s="58">
        <v>0</v>
      </c>
      <c r="AS549" s="58">
        <v>0</v>
      </c>
      <c r="AT549" s="58">
        <v>0</v>
      </c>
      <c r="AU549" s="58">
        <v>0</v>
      </c>
      <c r="AV549" s="58">
        <v>0</v>
      </c>
      <c r="AW549" s="58">
        <v>0</v>
      </c>
      <c r="AX549" s="58">
        <v>0</v>
      </c>
    </row>
    <row r="550" spans="1:50" x14ac:dyDescent="0.25">
      <c r="A550" s="52">
        <f t="shared" si="33"/>
        <v>545</v>
      </c>
      <c r="B550" s="60" t="str">
        <f t="shared" si="32"/>
        <v>011256013069</v>
      </c>
      <c r="C550" s="55" t="s">
        <v>30</v>
      </c>
      <c r="D550" s="53" t="s">
        <v>2096</v>
      </c>
      <c r="E550" s="55" t="s">
        <v>693</v>
      </c>
      <c r="F550" s="53" t="s">
        <v>2104</v>
      </c>
      <c r="G550" s="55">
        <v>11490</v>
      </c>
      <c r="H550" s="53" t="s">
        <v>829</v>
      </c>
      <c r="I550" s="55">
        <v>312289804</v>
      </c>
      <c r="J550" s="55" t="s">
        <v>830</v>
      </c>
      <c r="K550" s="55" t="s">
        <v>831</v>
      </c>
      <c r="L550" s="53" t="s">
        <v>2054</v>
      </c>
      <c r="M550" s="55" t="s">
        <v>75</v>
      </c>
      <c r="N550" s="52">
        <v>100000</v>
      </c>
      <c r="O550" s="52">
        <v>1206776000</v>
      </c>
      <c r="P550" s="52">
        <v>1206776000</v>
      </c>
      <c r="Q550" s="57">
        <v>45887</v>
      </c>
      <c r="R550" s="57">
        <v>46982</v>
      </c>
      <c r="S550" s="56">
        <v>12</v>
      </c>
      <c r="T550" s="54">
        <v>6</v>
      </c>
      <c r="U550" s="52">
        <v>1090010567.45</v>
      </c>
      <c r="V550" s="52">
        <v>1050464501</v>
      </c>
      <c r="W550" s="52">
        <v>39546066.450000003</v>
      </c>
      <c r="X550" s="57">
        <v>45996</v>
      </c>
      <c r="Y550" s="52">
        <v>0</v>
      </c>
      <c r="Z550" s="52">
        <v>0</v>
      </c>
      <c r="AA550" s="52">
        <v>2</v>
      </c>
      <c r="AB550" s="52">
        <v>0</v>
      </c>
      <c r="AC550" s="52">
        <v>10566982.41</v>
      </c>
      <c r="AD550" s="52">
        <v>10549903.67</v>
      </c>
      <c r="AE550" s="52">
        <v>0</v>
      </c>
      <c r="AF550" s="52">
        <v>17078.740000000002</v>
      </c>
      <c r="AG550" s="52">
        <v>0</v>
      </c>
      <c r="AH550" s="52">
        <v>0</v>
      </c>
      <c r="AI550" s="52">
        <v>0</v>
      </c>
      <c r="AJ550" s="52">
        <v>2</v>
      </c>
      <c r="AK550" s="52"/>
      <c r="AL550" s="52">
        <v>0</v>
      </c>
      <c r="AM550" s="52">
        <v>0</v>
      </c>
      <c r="AN550" s="52">
        <v>1508470000</v>
      </c>
      <c r="AO550" s="52">
        <v>66672000</v>
      </c>
      <c r="AP550" s="52">
        <v>66672000</v>
      </c>
      <c r="AQ550" s="58">
        <v>0</v>
      </c>
      <c r="AR550" s="58">
        <v>0</v>
      </c>
      <c r="AS550" s="58">
        <v>0</v>
      </c>
      <c r="AT550" s="58">
        <v>0</v>
      </c>
      <c r="AU550" s="58">
        <v>0</v>
      </c>
      <c r="AV550" s="58">
        <v>0</v>
      </c>
      <c r="AW550" s="58">
        <v>0</v>
      </c>
      <c r="AX550" s="58">
        <v>0</v>
      </c>
    </row>
    <row r="551" spans="1:50" x14ac:dyDescent="0.25">
      <c r="A551" s="52">
        <f t="shared" si="33"/>
        <v>546</v>
      </c>
      <c r="B551" s="60" t="str">
        <f t="shared" si="32"/>
        <v>011255935851</v>
      </c>
      <c r="C551" s="55" t="s">
        <v>30</v>
      </c>
      <c r="D551" s="53" t="s">
        <v>2096</v>
      </c>
      <c r="E551" s="55" t="s">
        <v>693</v>
      </c>
      <c r="F551" s="53" t="s">
        <v>2104</v>
      </c>
      <c r="G551" s="55">
        <v>11490</v>
      </c>
      <c r="H551" s="53" t="s">
        <v>832</v>
      </c>
      <c r="I551" s="55">
        <v>312238123</v>
      </c>
      <c r="J551" s="55" t="s">
        <v>833</v>
      </c>
      <c r="K551" s="55" t="s">
        <v>834</v>
      </c>
      <c r="L551" s="53" t="s">
        <v>2054</v>
      </c>
      <c r="M551" s="55" t="s">
        <v>75</v>
      </c>
      <c r="N551" s="52">
        <v>100000</v>
      </c>
      <c r="O551" s="52">
        <v>1206776000</v>
      </c>
      <c r="P551" s="52">
        <v>1206776000</v>
      </c>
      <c r="Q551" s="57">
        <v>45852</v>
      </c>
      <c r="R551" s="57">
        <v>46947</v>
      </c>
      <c r="S551" s="56">
        <v>12</v>
      </c>
      <c r="T551" s="54">
        <v>6</v>
      </c>
      <c r="U551" s="52">
        <v>979745830.34000003</v>
      </c>
      <c r="V551" s="52">
        <v>979745830.34000003</v>
      </c>
      <c r="W551" s="52">
        <v>0</v>
      </c>
      <c r="X551" s="57"/>
      <c r="Y551" s="52">
        <v>0</v>
      </c>
      <c r="Z551" s="52">
        <v>0</v>
      </c>
      <c r="AA551" s="52">
        <v>1</v>
      </c>
      <c r="AB551" s="52">
        <v>0</v>
      </c>
      <c r="AC551" s="52">
        <v>10351546.310000001</v>
      </c>
      <c r="AD551" s="52">
        <v>10351546.310000001</v>
      </c>
      <c r="AE551" s="52">
        <v>0</v>
      </c>
      <c r="AF551" s="52">
        <v>0</v>
      </c>
      <c r="AG551" s="52">
        <v>0</v>
      </c>
      <c r="AH551" s="52">
        <v>0</v>
      </c>
      <c r="AI551" s="52">
        <v>0</v>
      </c>
      <c r="AJ551" s="52">
        <v>2</v>
      </c>
      <c r="AK551" s="52"/>
      <c r="AL551" s="52">
        <v>0</v>
      </c>
      <c r="AM551" s="52">
        <v>0</v>
      </c>
      <c r="AN551" s="52">
        <v>1857142500</v>
      </c>
      <c r="AO551" s="52">
        <v>36000000</v>
      </c>
      <c r="AP551" s="52">
        <v>36000000</v>
      </c>
      <c r="AQ551" s="58">
        <v>0</v>
      </c>
      <c r="AR551" s="58">
        <v>0</v>
      </c>
      <c r="AS551" s="58">
        <v>0</v>
      </c>
      <c r="AT551" s="58">
        <v>0</v>
      </c>
      <c r="AU551" s="58">
        <v>0</v>
      </c>
      <c r="AV551" s="58">
        <v>0</v>
      </c>
      <c r="AW551" s="58">
        <v>0</v>
      </c>
      <c r="AX551" s="58">
        <v>0</v>
      </c>
    </row>
    <row r="552" spans="1:50" x14ac:dyDescent="0.25">
      <c r="A552" s="52">
        <f t="shared" si="33"/>
        <v>547</v>
      </c>
      <c r="B552" s="60" t="str">
        <f t="shared" si="32"/>
        <v>011254208466</v>
      </c>
      <c r="C552" s="55" t="s">
        <v>30</v>
      </c>
      <c r="D552" s="53" t="s">
        <v>2096</v>
      </c>
      <c r="E552" s="55" t="s">
        <v>693</v>
      </c>
      <c r="F552" s="53" t="s">
        <v>2106</v>
      </c>
      <c r="G552" s="55">
        <v>11579</v>
      </c>
      <c r="H552" s="53" t="s">
        <v>2518</v>
      </c>
      <c r="I552" s="55">
        <v>307347274</v>
      </c>
      <c r="J552" s="55" t="s">
        <v>835</v>
      </c>
      <c r="K552" s="55" t="s">
        <v>836</v>
      </c>
      <c r="L552" s="53" t="s">
        <v>2107</v>
      </c>
      <c r="M552" s="55" t="s">
        <v>49</v>
      </c>
      <c r="N552" s="52">
        <v>31079640000</v>
      </c>
      <c r="O552" s="52">
        <v>31079640000</v>
      </c>
      <c r="P552" s="52">
        <v>31079639988</v>
      </c>
      <c r="Q552" s="57">
        <v>44132</v>
      </c>
      <c r="R552" s="57">
        <v>49231</v>
      </c>
      <c r="S552" s="56">
        <v>8.5</v>
      </c>
      <c r="T552" s="54">
        <v>24</v>
      </c>
      <c r="U552" s="52">
        <v>31079639998</v>
      </c>
      <c r="V552" s="52">
        <v>29443869472</v>
      </c>
      <c r="W552" s="52">
        <v>1635770526</v>
      </c>
      <c r="X552" s="57">
        <v>46001</v>
      </c>
      <c r="Y552" s="52">
        <v>0</v>
      </c>
      <c r="Z552" s="52">
        <v>0</v>
      </c>
      <c r="AA552" s="52">
        <v>2</v>
      </c>
      <c r="AB552" s="52">
        <v>0</v>
      </c>
      <c r="AC552" s="52">
        <v>7311855971.8899994</v>
      </c>
      <c r="AD552" s="52">
        <v>363409950.61000001</v>
      </c>
      <c r="AE552" s="52">
        <v>1201214634.77</v>
      </c>
      <c r="AF552" s="52">
        <v>1602369251.77</v>
      </c>
      <c r="AG552" s="52">
        <v>4144862134.7399998</v>
      </c>
      <c r="AH552" s="52">
        <v>0</v>
      </c>
      <c r="AI552" s="52">
        <v>0</v>
      </c>
      <c r="AJ552" s="52">
        <v>2</v>
      </c>
      <c r="AK552" s="52"/>
      <c r="AL552" s="52">
        <v>0</v>
      </c>
      <c r="AM552" s="52">
        <v>0</v>
      </c>
      <c r="AN552" s="52">
        <v>63000000</v>
      </c>
      <c r="AO552" s="52">
        <v>22000000000</v>
      </c>
      <c r="AP552" s="52">
        <v>9000000000</v>
      </c>
      <c r="AQ552" s="58">
        <v>5</v>
      </c>
      <c r="AR552" s="58">
        <v>21844</v>
      </c>
      <c r="AS552" s="58">
        <v>73</v>
      </c>
      <c r="AT552" s="58">
        <v>706831.91999999981</v>
      </c>
      <c r="AU552" s="58">
        <v>0</v>
      </c>
      <c r="AV552" s="58">
        <v>0</v>
      </c>
      <c r="AW552" s="58">
        <v>4</v>
      </c>
      <c r="AX552" s="58">
        <v>2700000</v>
      </c>
    </row>
    <row r="553" spans="1:50" x14ac:dyDescent="0.25">
      <c r="A553" s="52">
        <f t="shared" si="33"/>
        <v>548</v>
      </c>
      <c r="B553" s="60" t="str">
        <f t="shared" si="32"/>
        <v>011255237177</v>
      </c>
      <c r="C553" s="55" t="s">
        <v>30</v>
      </c>
      <c r="D553" s="53" t="s">
        <v>2096</v>
      </c>
      <c r="E553" s="55" t="s">
        <v>693</v>
      </c>
      <c r="F553" s="53" t="s">
        <v>2106</v>
      </c>
      <c r="G553" s="55">
        <v>11579</v>
      </c>
      <c r="H553" s="53" t="s">
        <v>837</v>
      </c>
      <c r="I553" s="55">
        <v>310127279</v>
      </c>
      <c r="J553" s="55" t="s">
        <v>838</v>
      </c>
      <c r="K553" s="55" t="s">
        <v>839</v>
      </c>
      <c r="L553" s="53" t="s">
        <v>2107</v>
      </c>
      <c r="M553" s="55" t="s">
        <v>49</v>
      </c>
      <c r="N553" s="52">
        <v>10000000000</v>
      </c>
      <c r="O553" s="52">
        <v>10000000000</v>
      </c>
      <c r="P553" s="52">
        <v>10000000000</v>
      </c>
      <c r="Q553" s="57">
        <v>45408</v>
      </c>
      <c r="R553" s="57">
        <v>47216</v>
      </c>
      <c r="S553" s="56">
        <v>24</v>
      </c>
      <c r="T553" s="54">
        <v>24</v>
      </c>
      <c r="U553" s="52">
        <v>8125000003</v>
      </c>
      <c r="V553" s="52">
        <v>8125000003</v>
      </c>
      <c r="W553" s="52">
        <v>0</v>
      </c>
      <c r="X553" s="57"/>
      <c r="Y553" s="52">
        <v>0</v>
      </c>
      <c r="Z553" s="52">
        <v>0</v>
      </c>
      <c r="AA553" s="52">
        <v>1</v>
      </c>
      <c r="AB553" s="52">
        <v>0</v>
      </c>
      <c r="AC553" s="52">
        <v>149713013.08000001</v>
      </c>
      <c r="AD553" s="52">
        <v>149713013.08000001</v>
      </c>
      <c r="AE553" s="52">
        <v>0</v>
      </c>
      <c r="AF553" s="52">
        <v>0</v>
      </c>
      <c r="AG553" s="52">
        <v>0</v>
      </c>
      <c r="AH553" s="52">
        <v>0</v>
      </c>
      <c r="AI553" s="52">
        <v>0</v>
      </c>
      <c r="AJ553" s="52">
        <v>2</v>
      </c>
      <c r="AK553" s="52"/>
      <c r="AL553" s="52">
        <v>0</v>
      </c>
      <c r="AM553" s="52">
        <v>0</v>
      </c>
      <c r="AN553" s="52">
        <v>25000000000</v>
      </c>
      <c r="AO553" s="52">
        <v>42500000000</v>
      </c>
      <c r="AP553" s="52">
        <v>1500000000</v>
      </c>
      <c r="AQ553" s="58">
        <v>0</v>
      </c>
      <c r="AR553" s="58">
        <v>0</v>
      </c>
      <c r="AS553" s="58">
        <v>0</v>
      </c>
      <c r="AT553" s="58">
        <v>0</v>
      </c>
      <c r="AU553" s="58">
        <v>11</v>
      </c>
      <c r="AV553" s="58">
        <v>2435393.6</v>
      </c>
      <c r="AW553" s="58">
        <v>17</v>
      </c>
      <c r="AX553" s="58">
        <v>3729000</v>
      </c>
    </row>
    <row r="554" spans="1:50" x14ac:dyDescent="0.25">
      <c r="A554" s="52">
        <f t="shared" si="33"/>
        <v>549</v>
      </c>
      <c r="B554" s="60" t="str">
        <f t="shared" si="32"/>
        <v>011255827205</v>
      </c>
      <c r="C554" s="55" t="s">
        <v>30</v>
      </c>
      <c r="D554" s="53" t="s">
        <v>2096</v>
      </c>
      <c r="E554" s="55" t="s">
        <v>693</v>
      </c>
      <c r="F554" s="53" t="s">
        <v>2106</v>
      </c>
      <c r="G554" s="55">
        <v>11579</v>
      </c>
      <c r="H554" s="53" t="s">
        <v>840</v>
      </c>
      <c r="I554" s="55">
        <v>311648302</v>
      </c>
      <c r="J554" s="55" t="s">
        <v>841</v>
      </c>
      <c r="K554" s="55" t="s">
        <v>842</v>
      </c>
      <c r="L554" s="53" t="s">
        <v>2107</v>
      </c>
      <c r="M554" s="55" t="s">
        <v>75</v>
      </c>
      <c r="N554" s="52">
        <v>250000</v>
      </c>
      <c r="O554" s="52">
        <v>3163532500</v>
      </c>
      <c r="P554" s="52">
        <v>3163532500</v>
      </c>
      <c r="Q554" s="57">
        <v>45757</v>
      </c>
      <c r="R554" s="57">
        <v>46851</v>
      </c>
      <c r="S554" s="56">
        <v>12</v>
      </c>
      <c r="T554" s="54">
        <v>6</v>
      </c>
      <c r="U554" s="52">
        <v>2744809699.0999999</v>
      </c>
      <c r="V554" s="52">
        <v>2744809699.0999999</v>
      </c>
      <c r="W554" s="52">
        <v>0</v>
      </c>
      <c r="X554" s="57"/>
      <c r="Y554" s="52">
        <v>0</v>
      </c>
      <c r="Z554" s="52">
        <v>0</v>
      </c>
      <c r="AA554" s="52">
        <v>1</v>
      </c>
      <c r="AB554" s="52">
        <v>0</v>
      </c>
      <c r="AC554" s="52">
        <v>24640108.149999999</v>
      </c>
      <c r="AD554" s="52">
        <v>24640108.149999999</v>
      </c>
      <c r="AE554" s="52">
        <v>0</v>
      </c>
      <c r="AF554" s="52">
        <v>0</v>
      </c>
      <c r="AG554" s="52">
        <v>0</v>
      </c>
      <c r="AH554" s="52">
        <v>0</v>
      </c>
      <c r="AI554" s="52">
        <v>0</v>
      </c>
      <c r="AJ554" s="52">
        <v>2</v>
      </c>
      <c r="AK554" s="52"/>
      <c r="AL554" s="52">
        <v>0</v>
      </c>
      <c r="AM554" s="52">
        <v>0</v>
      </c>
      <c r="AN554" s="52">
        <v>4531000000</v>
      </c>
      <c r="AO554" s="52">
        <v>262430</v>
      </c>
      <c r="AP554" s="52">
        <v>12430</v>
      </c>
      <c r="AQ554" s="58">
        <v>0</v>
      </c>
      <c r="AR554" s="58">
        <v>0</v>
      </c>
      <c r="AS554" s="58">
        <v>0</v>
      </c>
      <c r="AT554" s="58">
        <v>0</v>
      </c>
      <c r="AU554" s="58">
        <v>0</v>
      </c>
      <c r="AV554" s="58">
        <v>0</v>
      </c>
      <c r="AW554" s="58">
        <v>0</v>
      </c>
      <c r="AX554" s="58">
        <v>0</v>
      </c>
    </row>
    <row r="555" spans="1:50" x14ac:dyDescent="0.25">
      <c r="A555" s="52">
        <f t="shared" si="33"/>
        <v>550</v>
      </c>
      <c r="B555" s="60" t="str">
        <f t="shared" si="32"/>
        <v>011255856300</v>
      </c>
      <c r="C555" s="55" t="s">
        <v>30</v>
      </c>
      <c r="D555" s="53" t="s">
        <v>2096</v>
      </c>
      <c r="E555" s="55" t="s">
        <v>693</v>
      </c>
      <c r="F555" s="53" t="s">
        <v>2106</v>
      </c>
      <c r="G555" s="55">
        <v>11579</v>
      </c>
      <c r="H555" s="53" t="s">
        <v>843</v>
      </c>
      <c r="I555" s="55">
        <v>312013941</v>
      </c>
      <c r="J555" s="55" t="s">
        <v>844</v>
      </c>
      <c r="K555" s="55" t="s">
        <v>845</v>
      </c>
      <c r="L555" s="53" t="s">
        <v>2107</v>
      </c>
      <c r="M555" s="55" t="s">
        <v>75</v>
      </c>
      <c r="N555" s="52">
        <v>250000</v>
      </c>
      <c r="O555" s="52">
        <v>3163532500</v>
      </c>
      <c r="P555" s="52">
        <v>3163532500</v>
      </c>
      <c r="Q555" s="57">
        <v>45777</v>
      </c>
      <c r="R555" s="57">
        <v>46872</v>
      </c>
      <c r="S555" s="56">
        <v>12</v>
      </c>
      <c r="T555" s="54">
        <v>6</v>
      </c>
      <c r="U555" s="52">
        <v>2744809699.0999999</v>
      </c>
      <c r="V555" s="52">
        <v>2744809699.0999999</v>
      </c>
      <c r="W555" s="52">
        <v>0</v>
      </c>
      <c r="X555" s="57"/>
      <c r="Y555" s="52">
        <v>0</v>
      </c>
      <c r="Z555" s="52">
        <v>0</v>
      </c>
      <c r="AA555" s="52">
        <v>1</v>
      </c>
      <c r="AB555" s="52">
        <v>0</v>
      </c>
      <c r="AC555" s="52">
        <v>27577163.469999999</v>
      </c>
      <c r="AD555" s="52">
        <v>27577163.469999999</v>
      </c>
      <c r="AE555" s="52">
        <v>0</v>
      </c>
      <c r="AF555" s="52">
        <v>0</v>
      </c>
      <c r="AG555" s="52">
        <v>0</v>
      </c>
      <c r="AH555" s="52">
        <v>0</v>
      </c>
      <c r="AI555" s="52">
        <v>0</v>
      </c>
      <c r="AJ555" s="52">
        <v>2</v>
      </c>
      <c r="AK555" s="52"/>
      <c r="AL555" s="52">
        <v>0</v>
      </c>
      <c r="AM555" s="52">
        <v>0</v>
      </c>
      <c r="AN555" s="52">
        <v>4643000000</v>
      </c>
      <c r="AO555" s="52">
        <v>260700</v>
      </c>
      <c r="AP555" s="52">
        <v>10700</v>
      </c>
      <c r="AQ555" s="58">
        <v>0</v>
      </c>
      <c r="AR555" s="58">
        <v>0</v>
      </c>
      <c r="AS555" s="58">
        <v>0</v>
      </c>
      <c r="AT555" s="58">
        <v>0</v>
      </c>
      <c r="AU555" s="58">
        <v>0</v>
      </c>
      <c r="AV555" s="58">
        <v>0</v>
      </c>
      <c r="AW555" s="58">
        <v>0</v>
      </c>
      <c r="AX555" s="58">
        <v>0</v>
      </c>
    </row>
    <row r="556" spans="1:50" x14ac:dyDescent="0.25">
      <c r="A556" s="52">
        <f t="shared" si="33"/>
        <v>551</v>
      </c>
      <c r="B556" s="60" t="str">
        <f t="shared" si="32"/>
        <v>011254230971</v>
      </c>
      <c r="C556" s="55" t="s">
        <v>30</v>
      </c>
      <c r="D556" s="53" t="s">
        <v>2096</v>
      </c>
      <c r="E556" s="55" t="s">
        <v>693</v>
      </c>
      <c r="F556" s="53" t="s">
        <v>2106</v>
      </c>
      <c r="G556" s="55">
        <v>11579</v>
      </c>
      <c r="H556" s="53" t="s">
        <v>2519</v>
      </c>
      <c r="I556" s="55">
        <v>304960211</v>
      </c>
      <c r="J556" s="55" t="s">
        <v>846</v>
      </c>
      <c r="K556" s="55" t="s">
        <v>847</v>
      </c>
      <c r="L556" s="53" t="s">
        <v>2107</v>
      </c>
      <c r="M556" s="55" t="s">
        <v>49</v>
      </c>
      <c r="N556" s="52">
        <v>3600000000</v>
      </c>
      <c r="O556" s="52">
        <v>3600000000</v>
      </c>
      <c r="P556" s="52">
        <v>3600000000</v>
      </c>
      <c r="Q556" s="57">
        <v>44831</v>
      </c>
      <c r="R556" s="57">
        <v>47270</v>
      </c>
      <c r="S556" s="56">
        <v>0</v>
      </c>
      <c r="T556" s="54">
        <v>3</v>
      </c>
      <c r="U556" s="52">
        <v>2551769854.1700001</v>
      </c>
      <c r="V556" s="52">
        <v>0</v>
      </c>
      <c r="W556" s="52">
        <v>0</v>
      </c>
      <c r="X556" s="57"/>
      <c r="Y556" s="52">
        <v>0</v>
      </c>
      <c r="Z556" s="52">
        <v>2551769854.1700001</v>
      </c>
      <c r="AA556" s="52">
        <v>2</v>
      </c>
      <c r="AB556" s="52">
        <v>3600000000</v>
      </c>
      <c r="AC556" s="52">
        <v>94369313.960000008</v>
      </c>
      <c r="AD556" s="52">
        <v>32547945.210000001</v>
      </c>
      <c r="AE556" s="52">
        <v>0</v>
      </c>
      <c r="AF556" s="52">
        <v>61821368.75</v>
      </c>
      <c r="AG556" s="52">
        <v>0</v>
      </c>
      <c r="AH556" s="52">
        <v>0</v>
      </c>
      <c r="AI556" s="52">
        <v>0</v>
      </c>
      <c r="AJ556" s="52">
        <v>2</v>
      </c>
      <c r="AK556" s="52"/>
      <c r="AL556" s="52">
        <v>0</v>
      </c>
      <c r="AM556" s="52">
        <v>0</v>
      </c>
      <c r="AN556" s="52">
        <v>9000000000</v>
      </c>
      <c r="AO556" s="52">
        <v>1195000000</v>
      </c>
      <c r="AP556" s="52">
        <v>500000000</v>
      </c>
      <c r="AQ556" s="58">
        <v>0</v>
      </c>
      <c r="AR556" s="58">
        <v>0</v>
      </c>
      <c r="AS556" s="58">
        <v>0</v>
      </c>
      <c r="AT556" s="58">
        <v>0</v>
      </c>
      <c r="AU556" s="58">
        <v>0</v>
      </c>
      <c r="AV556" s="58">
        <v>0</v>
      </c>
      <c r="AW556" s="58">
        <v>3</v>
      </c>
      <c r="AX556" s="58">
        <v>45774</v>
      </c>
    </row>
    <row r="557" spans="1:50" x14ac:dyDescent="0.25">
      <c r="A557" s="52">
        <f t="shared" si="33"/>
        <v>552</v>
      </c>
      <c r="B557" s="60" t="str">
        <f t="shared" si="32"/>
        <v>011255895995</v>
      </c>
      <c r="C557" s="55" t="s">
        <v>30</v>
      </c>
      <c r="D557" s="53" t="s">
        <v>2096</v>
      </c>
      <c r="E557" s="55" t="s">
        <v>693</v>
      </c>
      <c r="F557" s="53" t="s">
        <v>2106</v>
      </c>
      <c r="G557" s="55">
        <v>11579</v>
      </c>
      <c r="H557" s="53" t="s">
        <v>2520</v>
      </c>
      <c r="I557" s="55">
        <v>204452284</v>
      </c>
      <c r="J557" s="55" t="s">
        <v>848</v>
      </c>
      <c r="K557" s="55" t="s">
        <v>849</v>
      </c>
      <c r="L557" s="53" t="s">
        <v>2107</v>
      </c>
      <c r="M557" s="55" t="s">
        <v>75</v>
      </c>
      <c r="N557" s="52">
        <v>200000</v>
      </c>
      <c r="O557" s="52">
        <v>2530826000</v>
      </c>
      <c r="P557" s="52">
        <v>2530826000</v>
      </c>
      <c r="Q557" s="57">
        <v>45813</v>
      </c>
      <c r="R557" s="57">
        <v>46908</v>
      </c>
      <c r="S557" s="56">
        <v>12</v>
      </c>
      <c r="T557" s="54">
        <v>6</v>
      </c>
      <c r="U557" s="52">
        <v>2439820000</v>
      </c>
      <c r="V557" s="52">
        <v>2358488600.3000002</v>
      </c>
      <c r="W557" s="52">
        <v>81331399.700000003</v>
      </c>
      <c r="X557" s="57">
        <v>46027</v>
      </c>
      <c r="Y557" s="52">
        <v>0</v>
      </c>
      <c r="Z557" s="52">
        <v>0</v>
      </c>
      <c r="AA557" s="52">
        <v>2</v>
      </c>
      <c r="AB557" s="52">
        <v>0</v>
      </c>
      <c r="AC557" s="52">
        <v>70152998.390000001</v>
      </c>
      <c r="AD557" s="52">
        <v>21253637.989999998</v>
      </c>
      <c r="AE557" s="52">
        <v>0</v>
      </c>
      <c r="AF557" s="52">
        <v>48899360.399999999</v>
      </c>
      <c r="AG557" s="52">
        <v>0</v>
      </c>
      <c r="AH557" s="52">
        <v>0</v>
      </c>
      <c r="AI557" s="52">
        <v>0</v>
      </c>
      <c r="AJ557" s="52">
        <v>2</v>
      </c>
      <c r="AK557" s="52"/>
      <c r="AL557" s="52">
        <v>0</v>
      </c>
      <c r="AM557" s="52">
        <v>0</v>
      </c>
      <c r="AN557" s="52">
        <v>3714000000</v>
      </c>
      <c r="AO557" s="52">
        <v>205775</v>
      </c>
      <c r="AP557" s="52">
        <v>5775</v>
      </c>
      <c r="AQ557" s="58">
        <v>0</v>
      </c>
      <c r="AR557" s="58">
        <v>0</v>
      </c>
      <c r="AS557" s="58">
        <v>0</v>
      </c>
      <c r="AT557" s="58">
        <v>0</v>
      </c>
      <c r="AU557" s="58">
        <v>0</v>
      </c>
      <c r="AV557" s="58">
        <v>0</v>
      </c>
      <c r="AW557" s="58">
        <v>0</v>
      </c>
      <c r="AX557" s="58">
        <v>0</v>
      </c>
    </row>
    <row r="558" spans="1:50" x14ac:dyDescent="0.25">
      <c r="A558" s="52">
        <f t="shared" si="33"/>
        <v>553</v>
      </c>
      <c r="B558" s="60" t="str">
        <f t="shared" si="32"/>
        <v>011254200092</v>
      </c>
      <c r="C558" s="55" t="s">
        <v>30</v>
      </c>
      <c r="D558" s="53" t="s">
        <v>2096</v>
      </c>
      <c r="E558" s="55" t="s">
        <v>693</v>
      </c>
      <c r="F558" s="53" t="s">
        <v>2106</v>
      </c>
      <c r="G558" s="55">
        <v>11579</v>
      </c>
      <c r="H558" s="53" t="s">
        <v>2521</v>
      </c>
      <c r="I558" s="55">
        <v>302166227</v>
      </c>
      <c r="J558" s="55" t="s">
        <v>850</v>
      </c>
      <c r="K558" s="55" t="s">
        <v>851</v>
      </c>
      <c r="L558" s="53" t="s">
        <v>2107</v>
      </c>
      <c r="M558" s="55" t="s">
        <v>75</v>
      </c>
      <c r="N558" s="52">
        <v>195100</v>
      </c>
      <c r="O558" s="52">
        <v>2468820763</v>
      </c>
      <c r="P558" s="52">
        <v>2468820763</v>
      </c>
      <c r="Q558" s="57">
        <v>43811</v>
      </c>
      <c r="R558" s="57">
        <v>48915</v>
      </c>
      <c r="S558" s="56">
        <v>6.5</v>
      </c>
      <c r="T558" s="54">
        <v>24</v>
      </c>
      <c r="U558" s="52">
        <v>2022964553.9000001</v>
      </c>
      <c r="V558" s="52">
        <v>0</v>
      </c>
      <c r="W558" s="52">
        <v>0</v>
      </c>
      <c r="X558" s="57"/>
      <c r="Y558" s="52">
        <v>2022964553.9000001</v>
      </c>
      <c r="Z558" s="52">
        <v>0</v>
      </c>
      <c r="AA558" s="52">
        <v>1</v>
      </c>
      <c r="AB558" s="52">
        <v>0</v>
      </c>
      <c r="AC558" s="52">
        <v>54329789.770000003</v>
      </c>
      <c r="AD558" s="52">
        <v>54329789.770000003</v>
      </c>
      <c r="AE558" s="52">
        <v>0</v>
      </c>
      <c r="AF558" s="52">
        <v>0</v>
      </c>
      <c r="AG558" s="52">
        <v>0</v>
      </c>
      <c r="AH558" s="52">
        <v>0</v>
      </c>
      <c r="AI558" s="52">
        <v>0</v>
      </c>
      <c r="AJ558" s="52">
        <v>2</v>
      </c>
      <c r="AK558" s="52"/>
      <c r="AL558" s="52">
        <v>0</v>
      </c>
      <c r="AM558" s="52">
        <v>0</v>
      </c>
      <c r="AN558" s="52">
        <v>2600000000</v>
      </c>
      <c r="AO558" s="52">
        <v>49500</v>
      </c>
      <c r="AP558" s="52">
        <v>49500</v>
      </c>
      <c r="AQ558" s="58">
        <v>0</v>
      </c>
      <c r="AR558" s="58">
        <v>0</v>
      </c>
      <c r="AS558" s="58">
        <v>0</v>
      </c>
      <c r="AT558" s="58">
        <v>0</v>
      </c>
      <c r="AU558" s="58">
        <v>0</v>
      </c>
      <c r="AV558" s="58">
        <v>0</v>
      </c>
      <c r="AW558" s="58">
        <v>2</v>
      </c>
      <c r="AX558" s="58">
        <v>195100</v>
      </c>
    </row>
    <row r="559" spans="1:50" x14ac:dyDescent="0.25">
      <c r="A559" s="52">
        <f t="shared" si="33"/>
        <v>554</v>
      </c>
      <c r="B559" s="60" t="str">
        <f t="shared" si="32"/>
        <v>011255533790</v>
      </c>
      <c r="C559" s="55" t="s">
        <v>30</v>
      </c>
      <c r="D559" s="53" t="s">
        <v>2096</v>
      </c>
      <c r="E559" s="55" t="s">
        <v>693</v>
      </c>
      <c r="F559" s="53" t="s">
        <v>2106</v>
      </c>
      <c r="G559" s="55">
        <v>11579</v>
      </c>
      <c r="H559" s="53" t="s">
        <v>2522</v>
      </c>
      <c r="I559" s="55">
        <v>302618944</v>
      </c>
      <c r="J559" s="55" t="s">
        <v>852</v>
      </c>
      <c r="K559" s="55" t="s">
        <v>853</v>
      </c>
      <c r="L559" s="53" t="s">
        <v>2107</v>
      </c>
      <c r="M559" s="55" t="s">
        <v>49</v>
      </c>
      <c r="N559" s="52">
        <v>4500000000</v>
      </c>
      <c r="O559" s="52">
        <v>4500000000</v>
      </c>
      <c r="P559" s="52">
        <v>4500000000</v>
      </c>
      <c r="Q559" s="57">
        <v>45574</v>
      </c>
      <c r="R559" s="57">
        <v>46120</v>
      </c>
      <c r="S559" s="56">
        <v>15.5</v>
      </c>
      <c r="T559" s="54">
        <v>12</v>
      </c>
      <c r="U559" s="52">
        <v>2000000000</v>
      </c>
      <c r="V559" s="52">
        <v>2000000000</v>
      </c>
      <c r="W559" s="52">
        <v>0</v>
      </c>
      <c r="X559" s="57"/>
      <c r="Y559" s="52">
        <v>0</v>
      </c>
      <c r="Z559" s="52">
        <v>0</v>
      </c>
      <c r="AA559" s="52">
        <v>1</v>
      </c>
      <c r="AB559" s="52">
        <v>0</v>
      </c>
      <c r="AC559" s="52">
        <v>22931506.850000001</v>
      </c>
      <c r="AD559" s="52">
        <v>22931506.850000001</v>
      </c>
      <c r="AE559" s="52">
        <v>0</v>
      </c>
      <c r="AF559" s="52">
        <v>0</v>
      </c>
      <c r="AG559" s="52">
        <v>0</v>
      </c>
      <c r="AH559" s="52">
        <v>0</v>
      </c>
      <c r="AI559" s="52">
        <v>0</v>
      </c>
      <c r="AJ559" s="52">
        <v>2</v>
      </c>
      <c r="AK559" s="52"/>
      <c r="AL559" s="52">
        <v>0</v>
      </c>
      <c r="AM559" s="52">
        <v>0</v>
      </c>
      <c r="AN559" s="52">
        <v>11250000000</v>
      </c>
      <c r="AO559" s="52">
        <v>28450000000</v>
      </c>
      <c r="AP559" s="52">
        <v>1000000000</v>
      </c>
      <c r="AQ559" s="58">
        <v>0</v>
      </c>
      <c r="AR559" s="58">
        <v>0</v>
      </c>
      <c r="AS559" s="58">
        <v>0</v>
      </c>
      <c r="AT559" s="58">
        <v>0</v>
      </c>
      <c r="AU559" s="58">
        <v>0</v>
      </c>
      <c r="AV559" s="58">
        <v>0</v>
      </c>
      <c r="AW559" s="58">
        <v>0</v>
      </c>
      <c r="AX559" s="58">
        <v>0</v>
      </c>
    </row>
    <row r="560" spans="1:50" x14ac:dyDescent="0.25">
      <c r="A560" s="52">
        <f t="shared" si="33"/>
        <v>555</v>
      </c>
      <c r="B560" s="60" t="str">
        <f t="shared" si="32"/>
        <v>011254241105</v>
      </c>
      <c r="C560" s="55" t="s">
        <v>30</v>
      </c>
      <c r="D560" s="53" t="s">
        <v>2096</v>
      </c>
      <c r="E560" s="55" t="s">
        <v>693</v>
      </c>
      <c r="F560" s="53" t="s">
        <v>2106</v>
      </c>
      <c r="G560" s="55">
        <v>11579</v>
      </c>
      <c r="H560" s="53" t="s">
        <v>2523</v>
      </c>
      <c r="I560" s="55">
        <v>305169125</v>
      </c>
      <c r="J560" s="55" t="s">
        <v>854</v>
      </c>
      <c r="K560" s="55" t="s">
        <v>855</v>
      </c>
      <c r="L560" s="53" t="s">
        <v>2107</v>
      </c>
      <c r="M560" s="55" t="s">
        <v>49</v>
      </c>
      <c r="N560" s="52">
        <v>1700000000</v>
      </c>
      <c r="O560" s="52">
        <v>1700000000</v>
      </c>
      <c r="P560" s="52">
        <v>1700000000</v>
      </c>
      <c r="Q560" s="57">
        <v>44922</v>
      </c>
      <c r="R560" s="57">
        <v>48201</v>
      </c>
      <c r="S560" s="56">
        <v>15</v>
      </c>
      <c r="T560" s="54">
        <v>3</v>
      </c>
      <c r="U560" s="52">
        <v>1457142857.04</v>
      </c>
      <c r="V560" s="52">
        <v>1457142857.04</v>
      </c>
      <c r="W560" s="52">
        <v>0</v>
      </c>
      <c r="X560" s="57"/>
      <c r="Y560" s="52">
        <v>0</v>
      </c>
      <c r="Z560" s="52">
        <v>0</v>
      </c>
      <c r="AA560" s="52">
        <v>1</v>
      </c>
      <c r="AB560" s="52">
        <v>0</v>
      </c>
      <c r="AC560" s="52">
        <v>109245792.56</v>
      </c>
      <c r="AD560" s="52">
        <v>102778473.58</v>
      </c>
      <c r="AE560" s="52">
        <v>6467318.9800000004</v>
      </c>
      <c r="AF560" s="52">
        <v>0</v>
      </c>
      <c r="AG560" s="52">
        <v>0</v>
      </c>
      <c r="AH560" s="52">
        <v>0</v>
      </c>
      <c r="AI560" s="52">
        <v>0</v>
      </c>
      <c r="AJ560" s="52">
        <v>2</v>
      </c>
      <c r="AK560" s="52"/>
      <c r="AL560" s="52">
        <v>0</v>
      </c>
      <c r="AM560" s="52">
        <v>0</v>
      </c>
      <c r="AN560" s="52">
        <v>2822500000</v>
      </c>
      <c r="AO560" s="52">
        <v>2754000000</v>
      </c>
      <c r="AP560" s="52">
        <v>500000000</v>
      </c>
      <c r="AQ560" s="58">
        <v>0</v>
      </c>
      <c r="AR560" s="58">
        <v>0</v>
      </c>
      <c r="AS560" s="58">
        <v>0</v>
      </c>
      <c r="AT560" s="58">
        <v>0</v>
      </c>
      <c r="AU560" s="58">
        <v>0</v>
      </c>
      <c r="AV560" s="58">
        <v>0</v>
      </c>
      <c r="AW560" s="58">
        <v>1</v>
      </c>
      <c r="AX560" s="58">
        <v>149571.06</v>
      </c>
    </row>
    <row r="561" spans="1:50" x14ac:dyDescent="0.25">
      <c r="A561" s="52">
        <f t="shared" si="33"/>
        <v>556</v>
      </c>
      <c r="B561" s="60" t="str">
        <f t="shared" si="32"/>
        <v>011255875513</v>
      </c>
      <c r="C561" s="55" t="s">
        <v>30</v>
      </c>
      <c r="D561" s="53" t="s">
        <v>2096</v>
      </c>
      <c r="E561" s="55" t="s">
        <v>693</v>
      </c>
      <c r="F561" s="53" t="s">
        <v>2106</v>
      </c>
      <c r="G561" s="55">
        <v>11579</v>
      </c>
      <c r="H561" s="53" t="s">
        <v>856</v>
      </c>
      <c r="I561" s="55">
        <v>306270515</v>
      </c>
      <c r="J561" s="55" t="s">
        <v>857</v>
      </c>
      <c r="K561" s="55" t="s">
        <v>858</v>
      </c>
      <c r="L561" s="53" t="s">
        <v>2107</v>
      </c>
      <c r="M561" s="55" t="s">
        <v>75</v>
      </c>
      <c r="N561" s="52">
        <v>45000</v>
      </c>
      <c r="O561" s="52">
        <v>569435850</v>
      </c>
      <c r="P561" s="52">
        <v>569435850</v>
      </c>
      <c r="Q561" s="57">
        <v>45734</v>
      </c>
      <c r="R561" s="57">
        <v>46828</v>
      </c>
      <c r="S561" s="56">
        <v>12</v>
      </c>
      <c r="T561" s="54">
        <v>6</v>
      </c>
      <c r="U561" s="52">
        <v>1250162914.0599999</v>
      </c>
      <c r="V561" s="52">
        <v>1250162914.0599999</v>
      </c>
      <c r="W561" s="52">
        <v>0</v>
      </c>
      <c r="X561" s="57"/>
      <c r="Y561" s="52">
        <v>0</v>
      </c>
      <c r="Z561" s="52">
        <v>0</v>
      </c>
      <c r="AA561" s="52">
        <v>1</v>
      </c>
      <c r="AB561" s="52">
        <v>0</v>
      </c>
      <c r="AC561" s="52">
        <v>11284533.470000001</v>
      </c>
      <c r="AD561" s="52">
        <v>11284533.470000001</v>
      </c>
      <c r="AE561" s="52">
        <v>0</v>
      </c>
      <c r="AF561" s="52">
        <v>0</v>
      </c>
      <c r="AG561" s="52">
        <v>0</v>
      </c>
      <c r="AH561" s="52">
        <v>0</v>
      </c>
      <c r="AI561" s="52">
        <v>0</v>
      </c>
      <c r="AJ561" s="52">
        <v>2</v>
      </c>
      <c r="AK561" s="52"/>
      <c r="AL561" s="52">
        <v>0</v>
      </c>
      <c r="AM561" s="52">
        <v>0</v>
      </c>
      <c r="AN561" s="52">
        <v>787500000</v>
      </c>
      <c r="AO561" s="52">
        <v>9232</v>
      </c>
      <c r="AP561" s="52">
        <v>9232</v>
      </c>
      <c r="AQ561" s="58">
        <v>0</v>
      </c>
      <c r="AR561" s="58">
        <v>0</v>
      </c>
      <c r="AS561" s="58">
        <v>0</v>
      </c>
      <c r="AT561" s="58">
        <v>0</v>
      </c>
      <c r="AU561" s="58">
        <v>4</v>
      </c>
      <c r="AV561" s="58">
        <v>172612.48000000001</v>
      </c>
      <c r="AW561" s="58">
        <v>0</v>
      </c>
      <c r="AX561" s="58">
        <v>0</v>
      </c>
    </row>
    <row r="562" spans="1:50" x14ac:dyDescent="0.25">
      <c r="A562" s="52">
        <f t="shared" si="33"/>
        <v>557</v>
      </c>
      <c r="B562" s="60" t="str">
        <f t="shared" si="32"/>
        <v>011255990090</v>
      </c>
      <c r="C562" s="55" t="s">
        <v>30</v>
      </c>
      <c r="D562" s="53" t="s">
        <v>2096</v>
      </c>
      <c r="E562" s="55" t="s">
        <v>693</v>
      </c>
      <c r="F562" s="53" t="s">
        <v>2106</v>
      </c>
      <c r="G562" s="55">
        <v>11579</v>
      </c>
      <c r="H562" s="53" t="s">
        <v>859</v>
      </c>
      <c r="I562" s="55">
        <v>311305959</v>
      </c>
      <c r="J562" s="55" t="s">
        <v>860</v>
      </c>
      <c r="K562" s="55" t="s">
        <v>861</v>
      </c>
      <c r="L562" s="53" t="s">
        <v>2107</v>
      </c>
      <c r="M562" s="55" t="s">
        <v>75</v>
      </c>
      <c r="N562" s="52">
        <v>100000</v>
      </c>
      <c r="O562" s="52">
        <v>1206776000</v>
      </c>
      <c r="P562" s="52">
        <v>1206776000</v>
      </c>
      <c r="Q562" s="57">
        <v>45873</v>
      </c>
      <c r="R562" s="57">
        <v>46965</v>
      </c>
      <c r="S562" s="56">
        <v>12</v>
      </c>
      <c r="T562" s="54">
        <v>6</v>
      </c>
      <c r="U562" s="52">
        <v>1219910000</v>
      </c>
      <c r="V562" s="52">
        <v>1219910000</v>
      </c>
      <c r="W562" s="52">
        <v>0</v>
      </c>
      <c r="X562" s="57"/>
      <c r="Y562" s="52">
        <v>0</v>
      </c>
      <c r="Z562" s="52">
        <v>0</v>
      </c>
      <c r="AA562" s="52">
        <v>1</v>
      </c>
      <c r="AB562" s="52">
        <v>0</v>
      </c>
      <c r="AC562" s="52">
        <v>12142130.199999999</v>
      </c>
      <c r="AD562" s="52">
        <v>12142130.199999999</v>
      </c>
      <c r="AE562" s="52">
        <v>0</v>
      </c>
      <c r="AF562" s="52">
        <v>0</v>
      </c>
      <c r="AG562" s="52">
        <v>0</v>
      </c>
      <c r="AH562" s="52">
        <v>0</v>
      </c>
      <c r="AI562" s="52">
        <v>0</v>
      </c>
      <c r="AJ562" s="52">
        <v>2</v>
      </c>
      <c r="AK562" s="52"/>
      <c r="AL562" s="52">
        <v>0</v>
      </c>
      <c r="AM562" s="52">
        <v>0</v>
      </c>
      <c r="AN562" s="52">
        <v>1857000000</v>
      </c>
      <c r="AO562" s="52">
        <v>102000</v>
      </c>
      <c r="AP562" s="52">
        <v>2000</v>
      </c>
      <c r="AQ562" s="58">
        <v>0</v>
      </c>
      <c r="AR562" s="58">
        <v>0</v>
      </c>
      <c r="AS562" s="58">
        <v>0</v>
      </c>
      <c r="AT562" s="58">
        <v>0</v>
      </c>
      <c r="AU562" s="58">
        <v>0</v>
      </c>
      <c r="AV562" s="58">
        <v>0</v>
      </c>
      <c r="AW562" s="58">
        <v>0</v>
      </c>
      <c r="AX562" s="58">
        <v>0</v>
      </c>
    </row>
    <row r="563" spans="1:50" x14ac:dyDescent="0.25">
      <c r="A563" s="52">
        <f t="shared" si="33"/>
        <v>558</v>
      </c>
      <c r="B563" s="60" t="str">
        <f t="shared" si="32"/>
        <v>011255923032</v>
      </c>
      <c r="C563" s="55" t="s">
        <v>30</v>
      </c>
      <c r="D563" s="53" t="s">
        <v>2096</v>
      </c>
      <c r="E563" s="55" t="s">
        <v>693</v>
      </c>
      <c r="F563" s="53" t="s">
        <v>2106</v>
      </c>
      <c r="G563" s="55">
        <v>11579</v>
      </c>
      <c r="H563" s="53" t="s">
        <v>862</v>
      </c>
      <c r="I563" s="55">
        <v>312213574</v>
      </c>
      <c r="J563" s="55" t="s">
        <v>863</v>
      </c>
      <c r="K563" s="55" t="s">
        <v>864</v>
      </c>
      <c r="L563" s="53" t="s">
        <v>2107</v>
      </c>
      <c r="M563" s="55" t="s">
        <v>75</v>
      </c>
      <c r="N563" s="52">
        <v>100000</v>
      </c>
      <c r="O563" s="52">
        <v>1206776000</v>
      </c>
      <c r="P563" s="52">
        <v>1206776000</v>
      </c>
      <c r="Q563" s="57">
        <v>45840</v>
      </c>
      <c r="R563" s="57">
        <v>46935</v>
      </c>
      <c r="S563" s="56">
        <v>12</v>
      </c>
      <c r="T563" s="54">
        <v>6</v>
      </c>
      <c r="U563" s="52">
        <v>1219910000</v>
      </c>
      <c r="V563" s="52">
        <v>1219910000</v>
      </c>
      <c r="W563" s="52">
        <v>0</v>
      </c>
      <c r="X563" s="57"/>
      <c r="Y563" s="52">
        <v>0</v>
      </c>
      <c r="Z563" s="52">
        <v>0</v>
      </c>
      <c r="AA563" s="52">
        <v>1</v>
      </c>
      <c r="AB563" s="52">
        <v>0</v>
      </c>
      <c r="AC563" s="52">
        <v>10572594</v>
      </c>
      <c r="AD563" s="52">
        <v>10572594</v>
      </c>
      <c r="AE563" s="52">
        <v>0</v>
      </c>
      <c r="AF563" s="52">
        <v>0</v>
      </c>
      <c r="AG563" s="52">
        <v>0</v>
      </c>
      <c r="AH563" s="52">
        <v>0</v>
      </c>
      <c r="AI563" s="52">
        <v>0</v>
      </c>
      <c r="AJ563" s="52">
        <v>2</v>
      </c>
      <c r="AK563" s="52"/>
      <c r="AL563" s="52">
        <v>0</v>
      </c>
      <c r="AM563" s="52">
        <v>0</v>
      </c>
      <c r="AN563" s="52">
        <v>1857143000</v>
      </c>
      <c r="AO563" s="52">
        <v>101037</v>
      </c>
      <c r="AP563" s="52">
        <v>1037</v>
      </c>
      <c r="AQ563" s="58">
        <v>0</v>
      </c>
      <c r="AR563" s="58">
        <v>0</v>
      </c>
      <c r="AS563" s="58">
        <v>0</v>
      </c>
      <c r="AT563" s="58">
        <v>0</v>
      </c>
      <c r="AU563" s="58">
        <v>0</v>
      </c>
      <c r="AV563" s="58">
        <v>0</v>
      </c>
      <c r="AW563" s="58">
        <v>0</v>
      </c>
      <c r="AX563" s="58">
        <v>0</v>
      </c>
    </row>
    <row r="564" spans="1:50" x14ac:dyDescent="0.25">
      <c r="A564" s="52">
        <f t="shared" si="33"/>
        <v>559</v>
      </c>
      <c r="B564" s="60" t="str">
        <f t="shared" si="32"/>
        <v>011256000658</v>
      </c>
      <c r="C564" s="55" t="s">
        <v>30</v>
      </c>
      <c r="D564" s="53" t="s">
        <v>2096</v>
      </c>
      <c r="E564" s="55" t="s">
        <v>693</v>
      </c>
      <c r="F564" s="53" t="s">
        <v>2106</v>
      </c>
      <c r="G564" s="55">
        <v>11579</v>
      </c>
      <c r="H564" s="53" t="s">
        <v>865</v>
      </c>
      <c r="I564" s="55">
        <v>312333077</v>
      </c>
      <c r="J564" s="55" t="s">
        <v>866</v>
      </c>
      <c r="K564" s="55" t="s">
        <v>867</v>
      </c>
      <c r="L564" s="53" t="s">
        <v>2107</v>
      </c>
      <c r="M564" s="55" t="s">
        <v>75</v>
      </c>
      <c r="N564" s="52">
        <v>100000</v>
      </c>
      <c r="O564" s="52">
        <v>1206776000</v>
      </c>
      <c r="P564" s="52">
        <v>1206776000</v>
      </c>
      <c r="Q564" s="57">
        <v>45882</v>
      </c>
      <c r="R564" s="57">
        <v>46975</v>
      </c>
      <c r="S564" s="56">
        <v>12</v>
      </c>
      <c r="T564" s="54">
        <v>6</v>
      </c>
      <c r="U564" s="52">
        <v>1219910000</v>
      </c>
      <c r="V564" s="52">
        <v>1219910000</v>
      </c>
      <c r="W564" s="52">
        <v>0</v>
      </c>
      <c r="X564" s="57"/>
      <c r="Y564" s="52">
        <v>0</v>
      </c>
      <c r="Z564" s="52">
        <v>0</v>
      </c>
      <c r="AA564" s="52">
        <v>1</v>
      </c>
      <c r="AB564" s="52">
        <v>0</v>
      </c>
      <c r="AC564" s="52">
        <v>10825237.359999999</v>
      </c>
      <c r="AD564" s="52">
        <v>10825237.359999999</v>
      </c>
      <c r="AE564" s="52">
        <v>0</v>
      </c>
      <c r="AF564" s="52">
        <v>0</v>
      </c>
      <c r="AG564" s="52">
        <v>0</v>
      </c>
      <c r="AH564" s="52">
        <v>0</v>
      </c>
      <c r="AI564" s="52">
        <v>0</v>
      </c>
      <c r="AJ564" s="52">
        <v>2</v>
      </c>
      <c r="AK564" s="52"/>
      <c r="AL564" s="52">
        <v>0</v>
      </c>
      <c r="AM564" s="52">
        <v>0</v>
      </c>
      <c r="AN564" s="52">
        <v>3714000000</v>
      </c>
      <c r="AO564" s="52">
        <v>101035</v>
      </c>
      <c r="AP564" s="52">
        <v>1035</v>
      </c>
      <c r="AQ564" s="58">
        <v>0</v>
      </c>
      <c r="AR564" s="58">
        <v>0</v>
      </c>
      <c r="AS564" s="58">
        <v>0</v>
      </c>
      <c r="AT564" s="58">
        <v>0</v>
      </c>
      <c r="AU564" s="58">
        <v>0</v>
      </c>
      <c r="AV564" s="58">
        <v>0</v>
      </c>
      <c r="AW564" s="58">
        <v>0</v>
      </c>
      <c r="AX564" s="58">
        <v>0</v>
      </c>
    </row>
    <row r="565" spans="1:50" x14ac:dyDescent="0.25">
      <c r="A565" s="52">
        <f t="shared" si="33"/>
        <v>560</v>
      </c>
      <c r="B565" s="60" t="str">
        <f t="shared" si="32"/>
        <v>011255990181</v>
      </c>
      <c r="C565" s="55" t="s">
        <v>30</v>
      </c>
      <c r="D565" s="53" t="s">
        <v>2096</v>
      </c>
      <c r="E565" s="55" t="s">
        <v>693</v>
      </c>
      <c r="F565" s="53" t="s">
        <v>2106</v>
      </c>
      <c r="G565" s="55">
        <v>11579</v>
      </c>
      <c r="H565" s="53" t="s">
        <v>868</v>
      </c>
      <c r="I565" s="55">
        <v>312217609</v>
      </c>
      <c r="J565" s="55" t="s">
        <v>869</v>
      </c>
      <c r="K565" s="55" t="s">
        <v>870</v>
      </c>
      <c r="L565" s="53" t="s">
        <v>2107</v>
      </c>
      <c r="M565" s="55" t="s">
        <v>75</v>
      </c>
      <c r="N565" s="52">
        <v>100000</v>
      </c>
      <c r="O565" s="52">
        <v>1206776000</v>
      </c>
      <c r="P565" s="52">
        <v>1206776000</v>
      </c>
      <c r="Q565" s="57">
        <v>45874</v>
      </c>
      <c r="R565" s="57">
        <v>46969</v>
      </c>
      <c r="S565" s="56">
        <v>12</v>
      </c>
      <c r="T565" s="54">
        <v>6</v>
      </c>
      <c r="U565" s="52">
        <v>1219910000</v>
      </c>
      <c r="V565" s="52">
        <v>1219910000</v>
      </c>
      <c r="W565" s="52">
        <v>0</v>
      </c>
      <c r="X565" s="57"/>
      <c r="Y565" s="52">
        <v>0</v>
      </c>
      <c r="Z565" s="52">
        <v>0</v>
      </c>
      <c r="AA565" s="52">
        <v>1</v>
      </c>
      <c r="AB565" s="52">
        <v>0</v>
      </c>
      <c r="AC565" s="52">
        <v>10667137.02</v>
      </c>
      <c r="AD565" s="52">
        <v>10667137.02</v>
      </c>
      <c r="AE565" s="52">
        <v>0</v>
      </c>
      <c r="AF565" s="52">
        <v>0</v>
      </c>
      <c r="AG565" s="52">
        <v>0</v>
      </c>
      <c r="AH565" s="52">
        <v>0</v>
      </c>
      <c r="AI565" s="52">
        <v>0</v>
      </c>
      <c r="AJ565" s="52">
        <v>2</v>
      </c>
      <c r="AK565" s="52"/>
      <c r="AL565" s="52">
        <v>0</v>
      </c>
      <c r="AM565" s="52">
        <v>0</v>
      </c>
      <c r="AN565" s="52">
        <v>1857143000</v>
      </c>
      <c r="AO565" s="52">
        <v>102000</v>
      </c>
      <c r="AP565" s="52">
        <v>2000</v>
      </c>
      <c r="AQ565" s="58">
        <v>0</v>
      </c>
      <c r="AR565" s="58">
        <v>0</v>
      </c>
      <c r="AS565" s="58">
        <v>0</v>
      </c>
      <c r="AT565" s="58">
        <v>0</v>
      </c>
      <c r="AU565" s="58">
        <v>0</v>
      </c>
      <c r="AV565" s="58">
        <v>0</v>
      </c>
      <c r="AW565" s="58">
        <v>0</v>
      </c>
      <c r="AX565" s="58">
        <v>0</v>
      </c>
    </row>
    <row r="566" spans="1:50" x14ac:dyDescent="0.25">
      <c r="A566" s="52">
        <f t="shared" si="33"/>
        <v>561</v>
      </c>
      <c r="B566" s="60" t="str">
        <f t="shared" si="32"/>
        <v>011256053993</v>
      </c>
      <c r="C566" s="55" t="s">
        <v>30</v>
      </c>
      <c r="D566" s="53" t="s">
        <v>2096</v>
      </c>
      <c r="E566" s="55" t="s">
        <v>693</v>
      </c>
      <c r="F566" s="53" t="s">
        <v>2106</v>
      </c>
      <c r="G566" s="55">
        <v>11579</v>
      </c>
      <c r="H566" s="53" t="s">
        <v>871</v>
      </c>
      <c r="I566" s="55">
        <v>312214485</v>
      </c>
      <c r="J566" s="55" t="s">
        <v>872</v>
      </c>
      <c r="K566" s="55" t="s">
        <v>873</v>
      </c>
      <c r="L566" s="53" t="s">
        <v>2107</v>
      </c>
      <c r="M566" s="55" t="s">
        <v>75</v>
      </c>
      <c r="N566" s="52">
        <v>100000</v>
      </c>
      <c r="O566" s="52">
        <v>1206776000</v>
      </c>
      <c r="P566" s="52">
        <v>1206776000</v>
      </c>
      <c r="Q566" s="57">
        <v>45919</v>
      </c>
      <c r="R566" s="57">
        <v>47014</v>
      </c>
      <c r="S566" s="56">
        <v>12</v>
      </c>
      <c r="T566" s="54">
        <v>6</v>
      </c>
      <c r="U566" s="52">
        <v>1217049921.01</v>
      </c>
      <c r="V566" s="52">
        <v>1217049921.01</v>
      </c>
      <c r="W566" s="52">
        <v>0</v>
      </c>
      <c r="X566" s="57"/>
      <c r="Y566" s="52">
        <v>0</v>
      </c>
      <c r="Z566" s="52">
        <v>0</v>
      </c>
      <c r="AA566" s="52">
        <v>1</v>
      </c>
      <c r="AB566" s="52">
        <v>0</v>
      </c>
      <c r="AC566" s="52">
        <v>10977238.140000001</v>
      </c>
      <c r="AD566" s="52">
        <v>10977238.140000001</v>
      </c>
      <c r="AE566" s="52">
        <v>0</v>
      </c>
      <c r="AF566" s="52">
        <v>0</v>
      </c>
      <c r="AG566" s="52">
        <v>0</v>
      </c>
      <c r="AH566" s="52">
        <v>0</v>
      </c>
      <c r="AI566" s="52">
        <v>0</v>
      </c>
      <c r="AJ566" s="52">
        <v>2</v>
      </c>
      <c r="AK566" s="52"/>
      <c r="AL566" s="52">
        <v>0</v>
      </c>
      <c r="AM566" s="52">
        <v>0</v>
      </c>
      <c r="AN566" s="52">
        <v>1857143000</v>
      </c>
      <c r="AO566" s="52">
        <v>100567</v>
      </c>
      <c r="AP566" s="52">
        <v>567</v>
      </c>
      <c r="AQ566" s="58">
        <v>0</v>
      </c>
      <c r="AR566" s="58">
        <v>0</v>
      </c>
      <c r="AS566" s="58">
        <v>0</v>
      </c>
      <c r="AT566" s="58">
        <v>0</v>
      </c>
      <c r="AU566" s="58">
        <v>0</v>
      </c>
      <c r="AV566" s="58">
        <v>0</v>
      </c>
      <c r="AW566" s="58">
        <v>0</v>
      </c>
      <c r="AX566" s="58">
        <v>0</v>
      </c>
    </row>
    <row r="567" spans="1:50" x14ac:dyDescent="0.25">
      <c r="A567" s="52">
        <f t="shared" si="33"/>
        <v>562</v>
      </c>
      <c r="B567" s="60" t="str">
        <f t="shared" si="32"/>
        <v>011256053944</v>
      </c>
      <c r="C567" s="55" t="s">
        <v>30</v>
      </c>
      <c r="D567" s="53" t="s">
        <v>2096</v>
      </c>
      <c r="E567" s="55" t="s">
        <v>693</v>
      </c>
      <c r="F567" s="53" t="s">
        <v>2106</v>
      </c>
      <c r="G567" s="55">
        <v>11579</v>
      </c>
      <c r="H567" s="53" t="s">
        <v>874</v>
      </c>
      <c r="I567" s="55">
        <v>311991075</v>
      </c>
      <c r="J567" s="55" t="s">
        <v>875</v>
      </c>
      <c r="K567" s="55" t="s">
        <v>876</v>
      </c>
      <c r="L567" s="53" t="s">
        <v>2107</v>
      </c>
      <c r="M567" s="55" t="s">
        <v>75</v>
      </c>
      <c r="N567" s="52">
        <v>100000</v>
      </c>
      <c r="O567" s="52">
        <v>1206776000</v>
      </c>
      <c r="P567" s="52">
        <v>1206776000</v>
      </c>
      <c r="Q567" s="57">
        <v>45919</v>
      </c>
      <c r="R567" s="57">
        <v>47014</v>
      </c>
      <c r="S567" s="56">
        <v>12</v>
      </c>
      <c r="T567" s="54">
        <v>6</v>
      </c>
      <c r="U567" s="52">
        <v>1215486484.3499999</v>
      </c>
      <c r="V567" s="52">
        <v>1215486484.3499999</v>
      </c>
      <c r="W567" s="52">
        <v>0</v>
      </c>
      <c r="X567" s="57"/>
      <c r="Y567" s="52">
        <v>0</v>
      </c>
      <c r="Z567" s="52">
        <v>0</v>
      </c>
      <c r="AA567" s="52">
        <v>1</v>
      </c>
      <c r="AB567" s="52">
        <v>0</v>
      </c>
      <c r="AC567" s="52">
        <v>10885866.890000001</v>
      </c>
      <c r="AD567" s="52">
        <v>10885866.890000001</v>
      </c>
      <c r="AE567" s="52">
        <v>0</v>
      </c>
      <c r="AF567" s="52">
        <v>0</v>
      </c>
      <c r="AG567" s="52">
        <v>0</v>
      </c>
      <c r="AH567" s="52">
        <v>0</v>
      </c>
      <c r="AI567" s="52">
        <v>0</v>
      </c>
      <c r="AJ567" s="52">
        <v>2</v>
      </c>
      <c r="AK567" s="52"/>
      <c r="AL567" s="52">
        <v>0</v>
      </c>
      <c r="AM567" s="52">
        <v>0</v>
      </c>
      <c r="AN567" s="52">
        <v>1857143000</v>
      </c>
      <c r="AO567" s="52">
        <v>10435</v>
      </c>
      <c r="AP567" s="52">
        <v>435</v>
      </c>
      <c r="AQ567" s="58">
        <v>0</v>
      </c>
      <c r="AR567" s="58">
        <v>0</v>
      </c>
      <c r="AS567" s="58">
        <v>0</v>
      </c>
      <c r="AT567" s="58">
        <v>0</v>
      </c>
      <c r="AU567" s="58">
        <v>0</v>
      </c>
      <c r="AV567" s="58">
        <v>0</v>
      </c>
      <c r="AW567" s="58">
        <v>0</v>
      </c>
      <c r="AX567" s="58">
        <v>0</v>
      </c>
    </row>
    <row r="568" spans="1:50" x14ac:dyDescent="0.25">
      <c r="A568" s="52">
        <f t="shared" si="33"/>
        <v>563</v>
      </c>
      <c r="B568" s="60" t="str">
        <f t="shared" si="32"/>
        <v>011255923901</v>
      </c>
      <c r="C568" s="55" t="s">
        <v>30</v>
      </c>
      <c r="D568" s="53" t="s">
        <v>2096</v>
      </c>
      <c r="E568" s="55" t="s">
        <v>693</v>
      </c>
      <c r="F568" s="53" t="s">
        <v>2106</v>
      </c>
      <c r="G568" s="55">
        <v>11579</v>
      </c>
      <c r="H568" s="53" t="s">
        <v>877</v>
      </c>
      <c r="I568" s="55">
        <v>312193957</v>
      </c>
      <c r="J568" s="55" t="s">
        <v>878</v>
      </c>
      <c r="K568" s="55" t="s">
        <v>879</v>
      </c>
      <c r="L568" s="53" t="s">
        <v>2107</v>
      </c>
      <c r="M568" s="55" t="s">
        <v>75</v>
      </c>
      <c r="N568" s="52">
        <v>100000</v>
      </c>
      <c r="O568" s="52">
        <v>1206776000</v>
      </c>
      <c r="P568" s="52">
        <v>1206776000</v>
      </c>
      <c r="Q568" s="57">
        <v>45835</v>
      </c>
      <c r="R568" s="57">
        <v>46930</v>
      </c>
      <c r="S568" s="56">
        <v>12</v>
      </c>
      <c r="T568" s="54">
        <v>6</v>
      </c>
      <c r="U568" s="52">
        <v>1179250399.7</v>
      </c>
      <c r="V568" s="52">
        <v>1179250399.7</v>
      </c>
      <c r="W568" s="52">
        <v>0</v>
      </c>
      <c r="X568" s="57"/>
      <c r="Y568" s="52">
        <v>0</v>
      </c>
      <c r="Z568" s="52">
        <v>0</v>
      </c>
      <c r="AA568" s="52">
        <v>1</v>
      </c>
      <c r="AB568" s="52">
        <v>0</v>
      </c>
      <c r="AC568" s="52">
        <v>10562224.76</v>
      </c>
      <c r="AD568" s="52">
        <v>10562224.76</v>
      </c>
      <c r="AE568" s="52">
        <v>0</v>
      </c>
      <c r="AF568" s="52">
        <v>0</v>
      </c>
      <c r="AG568" s="52">
        <v>0</v>
      </c>
      <c r="AH568" s="52">
        <v>0</v>
      </c>
      <c r="AI568" s="52">
        <v>0</v>
      </c>
      <c r="AJ568" s="52">
        <v>2</v>
      </c>
      <c r="AK568" s="52"/>
      <c r="AL568" s="52">
        <v>0</v>
      </c>
      <c r="AM568" s="52">
        <v>0</v>
      </c>
      <c r="AN568" s="52">
        <v>1857143000</v>
      </c>
      <c r="AO568" s="52">
        <v>102800</v>
      </c>
      <c r="AP568" s="52">
        <v>2800</v>
      </c>
      <c r="AQ568" s="58">
        <v>0</v>
      </c>
      <c r="AR568" s="58">
        <v>0</v>
      </c>
      <c r="AS568" s="58">
        <v>0</v>
      </c>
      <c r="AT568" s="58">
        <v>0</v>
      </c>
      <c r="AU568" s="58">
        <v>0</v>
      </c>
      <c r="AV568" s="58">
        <v>0</v>
      </c>
      <c r="AW568" s="58">
        <v>0</v>
      </c>
      <c r="AX568" s="58">
        <v>0</v>
      </c>
    </row>
    <row r="569" spans="1:50" x14ac:dyDescent="0.25">
      <c r="A569" s="52">
        <f t="shared" si="33"/>
        <v>564</v>
      </c>
      <c r="B569" s="60" t="str">
        <f t="shared" si="32"/>
        <v>011255887043</v>
      </c>
      <c r="C569" s="55" t="s">
        <v>30</v>
      </c>
      <c r="D569" s="53" t="s">
        <v>2096</v>
      </c>
      <c r="E569" s="55" t="s">
        <v>693</v>
      </c>
      <c r="F569" s="53" t="s">
        <v>2106</v>
      </c>
      <c r="G569" s="55">
        <v>11579</v>
      </c>
      <c r="H569" s="53" t="s">
        <v>880</v>
      </c>
      <c r="I569" s="55">
        <v>307301213</v>
      </c>
      <c r="J569" s="55" t="s">
        <v>881</v>
      </c>
      <c r="K569" s="55" t="s">
        <v>882</v>
      </c>
      <c r="L569" s="53" t="s">
        <v>2107</v>
      </c>
      <c r="M569" s="55" t="s">
        <v>75</v>
      </c>
      <c r="N569" s="52">
        <v>100000</v>
      </c>
      <c r="O569" s="52">
        <v>1265413000</v>
      </c>
      <c r="P569" s="52">
        <v>1265413000</v>
      </c>
      <c r="Q569" s="57">
        <v>45800</v>
      </c>
      <c r="R569" s="57">
        <v>46895</v>
      </c>
      <c r="S569" s="56">
        <v>12</v>
      </c>
      <c r="T569" s="54">
        <v>6</v>
      </c>
      <c r="U569" s="52">
        <v>1138590799.4000001</v>
      </c>
      <c r="V569" s="52">
        <v>1138590799.4000001</v>
      </c>
      <c r="W569" s="52">
        <v>0</v>
      </c>
      <c r="X569" s="57"/>
      <c r="Y569" s="52">
        <v>0</v>
      </c>
      <c r="Z569" s="52">
        <v>0</v>
      </c>
      <c r="AA569" s="52">
        <v>1</v>
      </c>
      <c r="AB569" s="52">
        <v>0</v>
      </c>
      <c r="AC569" s="52">
        <v>9867730</v>
      </c>
      <c r="AD569" s="52">
        <v>9867730</v>
      </c>
      <c r="AE569" s="52">
        <v>0</v>
      </c>
      <c r="AF569" s="52">
        <v>0</v>
      </c>
      <c r="AG569" s="52">
        <v>0</v>
      </c>
      <c r="AH569" s="52">
        <v>0</v>
      </c>
      <c r="AI569" s="52">
        <v>0</v>
      </c>
      <c r="AJ569" s="52">
        <v>2</v>
      </c>
      <c r="AK569" s="52"/>
      <c r="AL569" s="52">
        <v>0</v>
      </c>
      <c r="AM569" s="52">
        <v>0</v>
      </c>
      <c r="AN569" s="52">
        <v>1857000000</v>
      </c>
      <c r="AO569" s="52">
        <v>103245</v>
      </c>
      <c r="AP569" s="52">
        <v>3245</v>
      </c>
      <c r="AQ569" s="58">
        <v>0</v>
      </c>
      <c r="AR569" s="58">
        <v>0</v>
      </c>
      <c r="AS569" s="58">
        <v>0</v>
      </c>
      <c r="AT569" s="58">
        <v>0</v>
      </c>
      <c r="AU569" s="58">
        <v>0</v>
      </c>
      <c r="AV569" s="58">
        <v>0</v>
      </c>
      <c r="AW569" s="58">
        <v>0</v>
      </c>
      <c r="AX569" s="58">
        <v>0</v>
      </c>
    </row>
    <row r="570" spans="1:50" x14ac:dyDescent="0.25">
      <c r="A570" s="52">
        <f t="shared" si="33"/>
        <v>565</v>
      </c>
      <c r="B570" s="60" t="str">
        <f t="shared" si="32"/>
        <v>011255889535</v>
      </c>
      <c r="C570" s="55" t="s">
        <v>30</v>
      </c>
      <c r="D570" s="53" t="s">
        <v>2096</v>
      </c>
      <c r="E570" s="55" t="s">
        <v>693</v>
      </c>
      <c r="F570" s="53" t="s">
        <v>2106</v>
      </c>
      <c r="G570" s="55">
        <v>11579</v>
      </c>
      <c r="H570" s="53" t="s">
        <v>883</v>
      </c>
      <c r="I570" s="55">
        <v>312048613</v>
      </c>
      <c r="J570" s="55" t="s">
        <v>884</v>
      </c>
      <c r="K570" s="55" t="s">
        <v>885</v>
      </c>
      <c r="L570" s="53" t="s">
        <v>2107</v>
      </c>
      <c r="M570" s="55" t="s">
        <v>75</v>
      </c>
      <c r="N570" s="52">
        <v>100000</v>
      </c>
      <c r="O570" s="52">
        <v>1265413000</v>
      </c>
      <c r="P570" s="52">
        <v>1265413000</v>
      </c>
      <c r="Q570" s="57">
        <v>45806</v>
      </c>
      <c r="R570" s="57">
        <v>46901</v>
      </c>
      <c r="S570" s="56">
        <v>12</v>
      </c>
      <c r="T570" s="54">
        <v>6</v>
      </c>
      <c r="U570" s="52">
        <v>1138590799.4000001</v>
      </c>
      <c r="V570" s="52">
        <v>1138590799.4000001</v>
      </c>
      <c r="W570" s="52">
        <v>0</v>
      </c>
      <c r="X570" s="57"/>
      <c r="Y570" s="52">
        <v>0</v>
      </c>
      <c r="Z570" s="52">
        <v>0</v>
      </c>
      <c r="AA570" s="52">
        <v>1</v>
      </c>
      <c r="AB570" s="52">
        <v>0</v>
      </c>
      <c r="AC570" s="52">
        <v>10260906.99</v>
      </c>
      <c r="AD570" s="52">
        <v>10260906.99</v>
      </c>
      <c r="AE570" s="52">
        <v>0</v>
      </c>
      <c r="AF570" s="52">
        <v>0</v>
      </c>
      <c r="AG570" s="52">
        <v>0</v>
      </c>
      <c r="AH570" s="52">
        <v>0</v>
      </c>
      <c r="AI570" s="52">
        <v>0</v>
      </c>
      <c r="AJ570" s="52">
        <v>2</v>
      </c>
      <c r="AK570" s="52"/>
      <c r="AL570" s="52">
        <v>0</v>
      </c>
      <c r="AM570" s="52">
        <v>0</v>
      </c>
      <c r="AN570" s="52">
        <v>1857143000</v>
      </c>
      <c r="AO570" s="52">
        <v>104400</v>
      </c>
      <c r="AP570" s="52">
        <v>4400</v>
      </c>
      <c r="AQ570" s="58">
        <v>0</v>
      </c>
      <c r="AR570" s="58">
        <v>0</v>
      </c>
      <c r="AS570" s="58">
        <v>0</v>
      </c>
      <c r="AT570" s="58">
        <v>0</v>
      </c>
      <c r="AU570" s="58">
        <v>0</v>
      </c>
      <c r="AV570" s="58">
        <v>0</v>
      </c>
      <c r="AW570" s="58">
        <v>0</v>
      </c>
      <c r="AX570" s="58">
        <v>0</v>
      </c>
    </row>
    <row r="571" spans="1:50" x14ac:dyDescent="0.25">
      <c r="A571" s="52">
        <f t="shared" si="33"/>
        <v>566</v>
      </c>
      <c r="B571" s="60" t="str">
        <f t="shared" si="32"/>
        <v>011255893703</v>
      </c>
      <c r="C571" s="55" t="s">
        <v>30</v>
      </c>
      <c r="D571" s="53" t="s">
        <v>2096</v>
      </c>
      <c r="E571" s="55" t="s">
        <v>693</v>
      </c>
      <c r="F571" s="53" t="s">
        <v>2106</v>
      </c>
      <c r="G571" s="55">
        <v>11579</v>
      </c>
      <c r="H571" s="53" t="s">
        <v>886</v>
      </c>
      <c r="I571" s="55">
        <v>310040095</v>
      </c>
      <c r="J571" s="55" t="s">
        <v>887</v>
      </c>
      <c r="K571" s="55" t="s">
        <v>888</v>
      </c>
      <c r="L571" s="53" t="s">
        <v>2107</v>
      </c>
      <c r="M571" s="55" t="s">
        <v>75</v>
      </c>
      <c r="N571" s="52">
        <v>100000</v>
      </c>
      <c r="O571" s="52">
        <v>1265413000</v>
      </c>
      <c r="P571" s="52">
        <v>1265413000</v>
      </c>
      <c r="Q571" s="57">
        <v>45807</v>
      </c>
      <c r="R571" s="57">
        <v>46902</v>
      </c>
      <c r="S571" s="56">
        <v>12</v>
      </c>
      <c r="T571" s="54">
        <v>6</v>
      </c>
      <c r="U571" s="52">
        <v>1138590799.4000001</v>
      </c>
      <c r="V571" s="52">
        <v>1138590799.4000001</v>
      </c>
      <c r="W571" s="52">
        <v>0</v>
      </c>
      <c r="X571" s="57"/>
      <c r="Y571" s="52">
        <v>0</v>
      </c>
      <c r="Z571" s="52">
        <v>0</v>
      </c>
      <c r="AA571" s="52">
        <v>1</v>
      </c>
      <c r="AB571" s="52">
        <v>0</v>
      </c>
      <c r="AC571" s="52">
        <v>10260785</v>
      </c>
      <c r="AD571" s="52">
        <v>10260785</v>
      </c>
      <c r="AE571" s="52">
        <v>0</v>
      </c>
      <c r="AF571" s="52">
        <v>0</v>
      </c>
      <c r="AG571" s="52">
        <v>0</v>
      </c>
      <c r="AH571" s="52">
        <v>0</v>
      </c>
      <c r="AI571" s="52">
        <v>0</v>
      </c>
      <c r="AJ571" s="52">
        <v>2</v>
      </c>
      <c r="AK571" s="52"/>
      <c r="AL571" s="52">
        <v>0</v>
      </c>
      <c r="AM571" s="52">
        <v>0</v>
      </c>
      <c r="AN571" s="52">
        <v>1857000000</v>
      </c>
      <c r="AO571" s="52">
        <v>4062</v>
      </c>
      <c r="AP571" s="52">
        <v>4062</v>
      </c>
      <c r="AQ571" s="58">
        <v>0</v>
      </c>
      <c r="AR571" s="58">
        <v>0</v>
      </c>
      <c r="AS571" s="58">
        <v>0</v>
      </c>
      <c r="AT571" s="58">
        <v>0</v>
      </c>
      <c r="AU571" s="58">
        <v>0</v>
      </c>
      <c r="AV571" s="58">
        <v>0</v>
      </c>
      <c r="AW571" s="58">
        <v>4</v>
      </c>
      <c r="AX571" s="58">
        <v>97000</v>
      </c>
    </row>
    <row r="572" spans="1:50" x14ac:dyDescent="0.25">
      <c r="A572" s="52">
        <f t="shared" si="33"/>
        <v>567</v>
      </c>
      <c r="B572" s="60" t="str">
        <f t="shared" si="32"/>
        <v>011256013355</v>
      </c>
      <c r="C572" s="55" t="s">
        <v>30</v>
      </c>
      <c r="D572" s="53" t="s">
        <v>2096</v>
      </c>
      <c r="E572" s="55" t="s">
        <v>693</v>
      </c>
      <c r="F572" s="53" t="s">
        <v>2106</v>
      </c>
      <c r="G572" s="55">
        <v>11579</v>
      </c>
      <c r="H572" s="53" t="s">
        <v>889</v>
      </c>
      <c r="I572" s="55">
        <v>312349981</v>
      </c>
      <c r="J572" s="55" t="s">
        <v>890</v>
      </c>
      <c r="K572" s="55" t="s">
        <v>891</v>
      </c>
      <c r="L572" s="53" t="s">
        <v>2107</v>
      </c>
      <c r="M572" s="55" t="s">
        <v>75</v>
      </c>
      <c r="N572" s="52">
        <v>92000</v>
      </c>
      <c r="O572" s="52">
        <v>1110233920</v>
      </c>
      <c r="P572" s="52">
        <v>1110233920</v>
      </c>
      <c r="Q572" s="57">
        <v>45890</v>
      </c>
      <c r="R572" s="57">
        <v>46985</v>
      </c>
      <c r="S572" s="56">
        <v>12</v>
      </c>
      <c r="T572" s="54">
        <v>6</v>
      </c>
      <c r="U572" s="52">
        <v>1122317200</v>
      </c>
      <c r="V572" s="52">
        <v>1122317200</v>
      </c>
      <c r="W572" s="52">
        <v>0</v>
      </c>
      <c r="X572" s="57"/>
      <c r="Y572" s="52">
        <v>0</v>
      </c>
      <c r="Z572" s="52">
        <v>0</v>
      </c>
      <c r="AA572" s="52">
        <v>1</v>
      </c>
      <c r="AB572" s="52">
        <v>0</v>
      </c>
      <c r="AC572" s="52">
        <v>9934337.0899999999</v>
      </c>
      <c r="AD572" s="52">
        <v>9934337.0899999999</v>
      </c>
      <c r="AE572" s="52">
        <v>0</v>
      </c>
      <c r="AF572" s="52">
        <v>0</v>
      </c>
      <c r="AG572" s="52">
        <v>0</v>
      </c>
      <c r="AH572" s="52">
        <v>0</v>
      </c>
      <c r="AI572" s="52">
        <v>0</v>
      </c>
      <c r="AJ572" s="52">
        <v>2</v>
      </c>
      <c r="AK572" s="52"/>
      <c r="AL572" s="52">
        <v>0</v>
      </c>
      <c r="AM572" s="52">
        <v>0</v>
      </c>
      <c r="AN572" s="52">
        <v>1708572000</v>
      </c>
      <c r="AO572" s="52">
        <v>92963</v>
      </c>
      <c r="AP572" s="52">
        <v>963</v>
      </c>
      <c r="AQ572" s="58">
        <v>0</v>
      </c>
      <c r="AR572" s="58">
        <v>0</v>
      </c>
      <c r="AS572" s="58">
        <v>0</v>
      </c>
      <c r="AT572" s="58">
        <v>0</v>
      </c>
      <c r="AU572" s="58">
        <v>0</v>
      </c>
      <c r="AV572" s="58">
        <v>0</v>
      </c>
      <c r="AW572" s="58">
        <v>0</v>
      </c>
      <c r="AX572" s="58">
        <v>0</v>
      </c>
    </row>
    <row r="573" spans="1:50" x14ac:dyDescent="0.25">
      <c r="A573" s="52">
        <f t="shared" si="33"/>
        <v>568</v>
      </c>
      <c r="B573" s="60" t="str">
        <f t="shared" ref="B573:B636" si="34">+E573&amp;J573</f>
        <v>011256017965</v>
      </c>
      <c r="C573" s="55" t="s">
        <v>30</v>
      </c>
      <c r="D573" s="53" t="s">
        <v>2096</v>
      </c>
      <c r="E573" s="55" t="s">
        <v>693</v>
      </c>
      <c r="F573" s="53" t="s">
        <v>2106</v>
      </c>
      <c r="G573" s="55">
        <v>11579</v>
      </c>
      <c r="H573" s="53" t="s">
        <v>892</v>
      </c>
      <c r="I573" s="55">
        <v>312237124</v>
      </c>
      <c r="J573" s="55" t="s">
        <v>893</v>
      </c>
      <c r="K573" s="55" t="s">
        <v>894</v>
      </c>
      <c r="L573" s="53" t="s">
        <v>2107</v>
      </c>
      <c r="M573" s="55" t="s">
        <v>75</v>
      </c>
      <c r="N573" s="52">
        <v>92000</v>
      </c>
      <c r="O573" s="52">
        <v>1110233920</v>
      </c>
      <c r="P573" s="52">
        <v>1110233920</v>
      </c>
      <c r="Q573" s="57">
        <v>45894</v>
      </c>
      <c r="R573" s="57">
        <v>46989</v>
      </c>
      <c r="S573" s="56">
        <v>12</v>
      </c>
      <c r="T573" s="54">
        <v>6</v>
      </c>
      <c r="U573" s="52">
        <v>1122317200</v>
      </c>
      <c r="V573" s="52">
        <v>1122317200</v>
      </c>
      <c r="W573" s="52">
        <v>0</v>
      </c>
      <c r="X573" s="57"/>
      <c r="Y573" s="52">
        <v>0</v>
      </c>
      <c r="Z573" s="52">
        <v>0</v>
      </c>
      <c r="AA573" s="52">
        <v>1</v>
      </c>
      <c r="AB573" s="52">
        <v>0</v>
      </c>
      <c r="AC573" s="52">
        <v>10038395.41</v>
      </c>
      <c r="AD573" s="52">
        <v>10038395.41</v>
      </c>
      <c r="AE573" s="52">
        <v>0</v>
      </c>
      <c r="AF573" s="52">
        <v>0</v>
      </c>
      <c r="AG573" s="52">
        <v>0</v>
      </c>
      <c r="AH573" s="52">
        <v>0</v>
      </c>
      <c r="AI573" s="52">
        <v>0</v>
      </c>
      <c r="AJ573" s="52">
        <v>2</v>
      </c>
      <c r="AK573" s="52"/>
      <c r="AL573" s="52">
        <v>0</v>
      </c>
      <c r="AM573" s="52">
        <v>0</v>
      </c>
      <c r="AN573" s="52">
        <v>1708571000</v>
      </c>
      <c r="AO573" s="52">
        <v>93215</v>
      </c>
      <c r="AP573" s="52">
        <v>1215</v>
      </c>
      <c r="AQ573" s="58">
        <v>0</v>
      </c>
      <c r="AR573" s="58">
        <v>0</v>
      </c>
      <c r="AS573" s="58">
        <v>0</v>
      </c>
      <c r="AT573" s="58">
        <v>0</v>
      </c>
      <c r="AU573" s="58">
        <v>0</v>
      </c>
      <c r="AV573" s="58">
        <v>0</v>
      </c>
      <c r="AW573" s="58">
        <v>0</v>
      </c>
      <c r="AX573" s="58">
        <v>0</v>
      </c>
    </row>
    <row r="574" spans="1:50" x14ac:dyDescent="0.25">
      <c r="A574" s="52">
        <f t="shared" si="33"/>
        <v>569</v>
      </c>
      <c r="B574" s="60" t="str">
        <f t="shared" si="34"/>
        <v>011255837879</v>
      </c>
      <c r="C574" s="55" t="s">
        <v>30</v>
      </c>
      <c r="D574" s="53" t="s">
        <v>2096</v>
      </c>
      <c r="E574" s="55" t="s">
        <v>693</v>
      </c>
      <c r="F574" s="53" t="s">
        <v>2106</v>
      </c>
      <c r="G574" s="55">
        <v>11579</v>
      </c>
      <c r="H574" s="53" t="s">
        <v>895</v>
      </c>
      <c r="I574" s="55">
        <v>307555514</v>
      </c>
      <c r="J574" s="55" t="s">
        <v>896</v>
      </c>
      <c r="K574" s="55" t="s">
        <v>897</v>
      </c>
      <c r="L574" s="53" t="s">
        <v>2107</v>
      </c>
      <c r="M574" s="55" t="s">
        <v>75</v>
      </c>
      <c r="N574" s="52">
        <v>100000</v>
      </c>
      <c r="O574" s="52">
        <v>1265413000</v>
      </c>
      <c r="P574" s="52">
        <v>1265413000</v>
      </c>
      <c r="Q574" s="57">
        <v>45762</v>
      </c>
      <c r="R574" s="57">
        <v>46856</v>
      </c>
      <c r="S574" s="56">
        <v>12</v>
      </c>
      <c r="T574" s="54">
        <v>6</v>
      </c>
      <c r="U574" s="52">
        <v>1097931199.0999999</v>
      </c>
      <c r="V574" s="52">
        <v>1097931199.0999999</v>
      </c>
      <c r="W574" s="52">
        <v>0</v>
      </c>
      <c r="X574" s="57"/>
      <c r="Y574" s="52">
        <v>0</v>
      </c>
      <c r="Z574" s="52">
        <v>0</v>
      </c>
      <c r="AA574" s="52">
        <v>1</v>
      </c>
      <c r="AB574" s="52">
        <v>0</v>
      </c>
      <c r="AC574" s="52">
        <v>9831620.6600000001</v>
      </c>
      <c r="AD574" s="52">
        <v>9831620.6600000001</v>
      </c>
      <c r="AE574" s="52">
        <v>0</v>
      </c>
      <c r="AF574" s="52">
        <v>0</v>
      </c>
      <c r="AG574" s="52">
        <v>0</v>
      </c>
      <c r="AH574" s="52">
        <v>0</v>
      </c>
      <c r="AI574" s="52">
        <v>0</v>
      </c>
      <c r="AJ574" s="52">
        <v>2</v>
      </c>
      <c r="AK574" s="52"/>
      <c r="AL574" s="52">
        <v>0</v>
      </c>
      <c r="AM574" s="52">
        <v>0</v>
      </c>
      <c r="AN574" s="52">
        <v>1812500000</v>
      </c>
      <c r="AO574" s="52">
        <v>107000</v>
      </c>
      <c r="AP574" s="52">
        <v>7000</v>
      </c>
      <c r="AQ574" s="58">
        <v>0</v>
      </c>
      <c r="AR574" s="58">
        <v>0</v>
      </c>
      <c r="AS574" s="58">
        <v>0</v>
      </c>
      <c r="AT574" s="58">
        <v>0</v>
      </c>
      <c r="AU574" s="58">
        <v>0</v>
      </c>
      <c r="AV574" s="58">
        <v>0</v>
      </c>
      <c r="AW574" s="58">
        <v>0</v>
      </c>
      <c r="AX574" s="58">
        <v>0</v>
      </c>
    </row>
    <row r="575" spans="1:50" x14ac:dyDescent="0.25">
      <c r="A575" s="52">
        <f t="shared" si="33"/>
        <v>570</v>
      </c>
      <c r="B575" s="60" t="str">
        <f t="shared" si="34"/>
        <v>011255487106</v>
      </c>
      <c r="C575" s="55" t="s">
        <v>30</v>
      </c>
      <c r="D575" s="53" t="s">
        <v>2096</v>
      </c>
      <c r="E575" s="55" t="s">
        <v>693</v>
      </c>
      <c r="F575" s="53" t="s">
        <v>2106</v>
      </c>
      <c r="G575" s="55">
        <v>11579</v>
      </c>
      <c r="H575" s="53" t="s">
        <v>2524</v>
      </c>
      <c r="I575" s="55">
        <v>304502448</v>
      </c>
      <c r="J575" s="55" t="s">
        <v>898</v>
      </c>
      <c r="K575" s="55" t="s">
        <v>899</v>
      </c>
      <c r="L575" s="53" t="s">
        <v>2107</v>
      </c>
      <c r="M575" s="55" t="s">
        <v>49</v>
      </c>
      <c r="N575" s="52">
        <v>2000000000</v>
      </c>
      <c r="O575" s="52">
        <v>2000000000</v>
      </c>
      <c r="P575" s="52">
        <v>2000000000</v>
      </c>
      <c r="Q575" s="57">
        <v>45551</v>
      </c>
      <c r="R575" s="57">
        <v>46563</v>
      </c>
      <c r="S575" s="56">
        <v>14</v>
      </c>
      <c r="T575" s="54">
        <v>0</v>
      </c>
      <c r="U575" s="52">
        <v>1030303024</v>
      </c>
      <c r="V575" s="52">
        <v>1030303024</v>
      </c>
      <c r="W575" s="52">
        <v>0</v>
      </c>
      <c r="X575" s="57"/>
      <c r="Y575" s="52">
        <v>0</v>
      </c>
      <c r="Z575" s="52">
        <v>0</v>
      </c>
      <c r="AA575" s="52">
        <v>1</v>
      </c>
      <c r="AB575" s="52">
        <v>0</v>
      </c>
      <c r="AC575" s="52">
        <v>4552248.88</v>
      </c>
      <c r="AD575" s="52">
        <v>4552248.88</v>
      </c>
      <c r="AE575" s="52">
        <v>0</v>
      </c>
      <c r="AF575" s="52">
        <v>0</v>
      </c>
      <c r="AG575" s="52">
        <v>0</v>
      </c>
      <c r="AH575" s="52">
        <v>0</v>
      </c>
      <c r="AI575" s="52">
        <v>0</v>
      </c>
      <c r="AJ575" s="52">
        <v>2</v>
      </c>
      <c r="AK575" s="52"/>
      <c r="AL575" s="52">
        <v>0</v>
      </c>
      <c r="AM575" s="52">
        <v>0</v>
      </c>
      <c r="AN575" s="52">
        <v>7500000000</v>
      </c>
      <c r="AO575" s="52">
        <v>1264000000</v>
      </c>
      <c r="AP575" s="52">
        <v>900000000</v>
      </c>
      <c r="AQ575" s="58">
        <v>0</v>
      </c>
      <c r="AR575" s="58">
        <v>0</v>
      </c>
      <c r="AS575" s="58">
        <v>0</v>
      </c>
      <c r="AT575" s="58">
        <v>0</v>
      </c>
      <c r="AU575" s="58">
        <v>2</v>
      </c>
      <c r="AV575" s="58">
        <v>440</v>
      </c>
      <c r="AW575" s="58">
        <v>0</v>
      </c>
      <c r="AX575" s="58">
        <v>0</v>
      </c>
    </row>
    <row r="576" spans="1:50" x14ac:dyDescent="0.25">
      <c r="A576" s="52">
        <f t="shared" si="33"/>
        <v>571</v>
      </c>
      <c r="B576" s="60" t="str">
        <f t="shared" si="34"/>
        <v>011255780490</v>
      </c>
      <c r="C576" s="55" t="s">
        <v>30</v>
      </c>
      <c r="D576" s="53" t="s">
        <v>2096</v>
      </c>
      <c r="E576" s="55" t="s">
        <v>693</v>
      </c>
      <c r="F576" s="53" t="s">
        <v>2106</v>
      </c>
      <c r="G576" s="55">
        <v>11579</v>
      </c>
      <c r="H576" s="53" t="s">
        <v>856</v>
      </c>
      <c r="I576" s="55">
        <v>306270515</v>
      </c>
      <c r="J576" s="55" t="s">
        <v>900</v>
      </c>
      <c r="K576" s="55" t="s">
        <v>901</v>
      </c>
      <c r="L576" s="53" t="s">
        <v>2107</v>
      </c>
      <c r="M576" s="55" t="s">
        <v>75</v>
      </c>
      <c r="N576" s="52">
        <v>110000</v>
      </c>
      <c r="O576" s="52">
        <v>1391954300</v>
      </c>
      <c r="P576" s="52">
        <v>1391954300</v>
      </c>
      <c r="Q576" s="57">
        <v>45792</v>
      </c>
      <c r="R576" s="57">
        <v>46887</v>
      </c>
      <c r="S576" s="56">
        <v>12</v>
      </c>
      <c r="T576" s="54">
        <v>6</v>
      </c>
      <c r="U576" s="52">
        <v>475764900</v>
      </c>
      <c r="V576" s="52">
        <v>475764900</v>
      </c>
      <c r="W576" s="52">
        <v>0</v>
      </c>
      <c r="X576" s="57"/>
      <c r="Y576" s="52">
        <v>0</v>
      </c>
      <c r="Z576" s="52">
        <v>0</v>
      </c>
      <c r="AA576" s="52">
        <v>1</v>
      </c>
      <c r="AB576" s="52">
        <v>0</v>
      </c>
      <c r="AC576" s="52">
        <v>4287983.6500000004</v>
      </c>
      <c r="AD576" s="52">
        <v>4287983.6500000004</v>
      </c>
      <c r="AE576" s="52">
        <v>0</v>
      </c>
      <c r="AF576" s="52">
        <v>0</v>
      </c>
      <c r="AG576" s="52">
        <v>0</v>
      </c>
      <c r="AH576" s="52">
        <v>0</v>
      </c>
      <c r="AI576" s="52">
        <v>0</v>
      </c>
      <c r="AJ576" s="52">
        <v>2</v>
      </c>
      <c r="AK576" s="52"/>
      <c r="AL576" s="52">
        <v>0</v>
      </c>
      <c r="AM576" s="52">
        <v>0</v>
      </c>
      <c r="AN576" s="52">
        <v>2050000000</v>
      </c>
      <c r="AO576" s="52">
        <v>9232</v>
      </c>
      <c r="AP576" s="52">
        <v>9232</v>
      </c>
      <c r="AQ576" s="58">
        <v>0</v>
      </c>
      <c r="AR576" s="58">
        <v>0</v>
      </c>
      <c r="AS576" s="58">
        <v>0</v>
      </c>
      <c r="AT576" s="58">
        <v>0</v>
      </c>
      <c r="AU576" s="58">
        <v>4</v>
      </c>
      <c r="AV576" s="58">
        <v>172612.48000000001</v>
      </c>
      <c r="AW576" s="58">
        <v>0</v>
      </c>
      <c r="AX576" s="58">
        <v>0</v>
      </c>
    </row>
    <row r="577" spans="1:50" x14ac:dyDescent="0.25">
      <c r="A577" s="52">
        <f t="shared" si="33"/>
        <v>572</v>
      </c>
      <c r="B577" s="60" t="str">
        <f t="shared" si="34"/>
        <v>011255053230</v>
      </c>
      <c r="C577" s="55" t="s">
        <v>30</v>
      </c>
      <c r="D577" s="53" t="s">
        <v>2096</v>
      </c>
      <c r="E577" s="55" t="s">
        <v>693</v>
      </c>
      <c r="F577" s="53" t="s">
        <v>2110</v>
      </c>
      <c r="G577" s="55">
        <v>11580</v>
      </c>
      <c r="H577" s="53" t="s">
        <v>902</v>
      </c>
      <c r="I577" s="55">
        <v>305725200</v>
      </c>
      <c r="J577" s="55" t="s">
        <v>903</v>
      </c>
      <c r="K577" s="55" t="s">
        <v>904</v>
      </c>
      <c r="L577" s="53" t="s">
        <v>2047</v>
      </c>
      <c r="M577" s="55" t="s">
        <v>49</v>
      </c>
      <c r="N577" s="52">
        <v>3000000000</v>
      </c>
      <c r="O577" s="52">
        <v>3000000000</v>
      </c>
      <c r="P577" s="52">
        <v>1600000000</v>
      </c>
      <c r="Q577" s="57">
        <v>45259</v>
      </c>
      <c r="R577" s="57">
        <v>46354</v>
      </c>
      <c r="S577" s="56">
        <v>14</v>
      </c>
      <c r="T577" s="54">
        <v>6</v>
      </c>
      <c r="U577" s="52">
        <v>1600000000</v>
      </c>
      <c r="V577" s="52">
        <v>1250000000</v>
      </c>
      <c r="W577" s="52">
        <v>350000000</v>
      </c>
      <c r="X577" s="57">
        <v>45966</v>
      </c>
      <c r="Y577" s="52">
        <v>0</v>
      </c>
      <c r="Z577" s="52">
        <v>0</v>
      </c>
      <c r="AA577" s="52">
        <v>2</v>
      </c>
      <c r="AB577" s="52">
        <v>160000000</v>
      </c>
      <c r="AC577" s="52">
        <v>73979990.689999998</v>
      </c>
      <c r="AD577" s="52">
        <v>13472602.74</v>
      </c>
      <c r="AE577" s="52">
        <v>0</v>
      </c>
      <c r="AF577" s="52">
        <v>60507387.950000003</v>
      </c>
      <c r="AG577" s="52">
        <v>0</v>
      </c>
      <c r="AH577" s="52">
        <v>0</v>
      </c>
      <c r="AI577" s="52">
        <v>0</v>
      </c>
      <c r="AJ577" s="52">
        <v>2</v>
      </c>
      <c r="AK577" s="52"/>
      <c r="AL577" s="52">
        <v>0</v>
      </c>
      <c r="AM577" s="52">
        <v>0</v>
      </c>
      <c r="AN577" s="52">
        <v>0</v>
      </c>
      <c r="AO577" s="52">
        <v>0</v>
      </c>
      <c r="AP577" s="52">
        <v>0</v>
      </c>
      <c r="AQ577" s="58">
        <v>0</v>
      </c>
      <c r="AR577" s="58">
        <v>0</v>
      </c>
      <c r="AS577" s="58">
        <v>0</v>
      </c>
      <c r="AT577" s="58">
        <v>0</v>
      </c>
      <c r="AU577" s="58">
        <v>0</v>
      </c>
      <c r="AV577" s="58">
        <v>0</v>
      </c>
      <c r="AW577" s="58">
        <v>0</v>
      </c>
      <c r="AX577" s="58">
        <v>0</v>
      </c>
    </row>
    <row r="578" spans="1:50" x14ac:dyDescent="0.25">
      <c r="A578" s="52">
        <f t="shared" si="33"/>
        <v>573</v>
      </c>
      <c r="B578" s="60" t="str">
        <f t="shared" si="34"/>
        <v>011256031600</v>
      </c>
      <c r="C578" s="55" t="s">
        <v>30</v>
      </c>
      <c r="D578" s="53" t="s">
        <v>2096</v>
      </c>
      <c r="E578" s="55" t="s">
        <v>693</v>
      </c>
      <c r="F578" s="53" t="s">
        <v>2110</v>
      </c>
      <c r="G578" s="55">
        <v>11580</v>
      </c>
      <c r="H578" s="53" t="s">
        <v>905</v>
      </c>
      <c r="I578" s="55">
        <v>311941097</v>
      </c>
      <c r="J578" s="55" t="s">
        <v>906</v>
      </c>
      <c r="K578" s="55" t="s">
        <v>907</v>
      </c>
      <c r="L578" s="53" t="s">
        <v>2047</v>
      </c>
      <c r="M578" s="55" t="s">
        <v>75</v>
      </c>
      <c r="N578" s="52">
        <v>111000</v>
      </c>
      <c r="O578" s="52">
        <v>1339521360</v>
      </c>
      <c r="P578" s="52">
        <v>1339521360</v>
      </c>
      <c r="Q578" s="57">
        <v>45908</v>
      </c>
      <c r="R578" s="57">
        <v>46997</v>
      </c>
      <c r="S578" s="56">
        <v>12</v>
      </c>
      <c r="T578" s="54">
        <v>6</v>
      </c>
      <c r="U578" s="52">
        <v>1354100100</v>
      </c>
      <c r="V578" s="52">
        <v>1354100100</v>
      </c>
      <c r="W578" s="52">
        <v>0</v>
      </c>
      <c r="X578" s="57"/>
      <c r="Y578" s="52">
        <v>0</v>
      </c>
      <c r="Z578" s="52">
        <v>0</v>
      </c>
      <c r="AA578" s="52">
        <v>1</v>
      </c>
      <c r="AB578" s="52">
        <v>0</v>
      </c>
      <c r="AC578" s="52">
        <v>12859559.27</v>
      </c>
      <c r="AD578" s="52">
        <v>12186900.9</v>
      </c>
      <c r="AE578" s="52">
        <v>0</v>
      </c>
      <c r="AF578" s="52">
        <v>672658.37</v>
      </c>
      <c r="AG578" s="52">
        <v>0</v>
      </c>
      <c r="AH578" s="52">
        <v>0</v>
      </c>
      <c r="AI578" s="52">
        <v>0</v>
      </c>
      <c r="AJ578" s="52">
        <v>2</v>
      </c>
      <c r="AK578" s="52"/>
      <c r="AL578" s="52">
        <v>0</v>
      </c>
      <c r="AM578" s="52">
        <v>0</v>
      </c>
      <c r="AN578" s="52">
        <v>0</v>
      </c>
      <c r="AO578" s="52">
        <v>0</v>
      </c>
      <c r="AP578" s="52">
        <v>0</v>
      </c>
      <c r="AQ578" s="58">
        <v>0</v>
      </c>
      <c r="AR578" s="58">
        <v>0</v>
      </c>
      <c r="AS578" s="58">
        <v>0</v>
      </c>
      <c r="AT578" s="58">
        <v>0</v>
      </c>
      <c r="AU578" s="58">
        <v>0</v>
      </c>
      <c r="AV578" s="58">
        <v>0</v>
      </c>
      <c r="AW578" s="58">
        <v>0</v>
      </c>
      <c r="AX578" s="58">
        <v>0</v>
      </c>
    </row>
    <row r="579" spans="1:50" x14ac:dyDescent="0.25">
      <c r="A579" s="52">
        <f t="shared" si="33"/>
        <v>574</v>
      </c>
      <c r="B579" s="60" t="str">
        <f t="shared" si="34"/>
        <v>011255917072</v>
      </c>
      <c r="C579" s="55" t="s">
        <v>30</v>
      </c>
      <c r="D579" s="53" t="s">
        <v>2096</v>
      </c>
      <c r="E579" s="55" t="s">
        <v>693</v>
      </c>
      <c r="F579" s="53" t="s">
        <v>2110</v>
      </c>
      <c r="G579" s="55">
        <v>11580</v>
      </c>
      <c r="H579" s="53" t="s">
        <v>908</v>
      </c>
      <c r="I579" s="55">
        <v>312153887</v>
      </c>
      <c r="J579" s="55" t="s">
        <v>909</v>
      </c>
      <c r="K579" s="55" t="s">
        <v>910</v>
      </c>
      <c r="L579" s="53" t="s">
        <v>2047</v>
      </c>
      <c r="M579" s="55" t="s">
        <v>75</v>
      </c>
      <c r="N579" s="52">
        <v>100000</v>
      </c>
      <c r="O579" s="52">
        <v>1206776000</v>
      </c>
      <c r="P579" s="52">
        <v>1206776000</v>
      </c>
      <c r="Q579" s="57">
        <v>45833</v>
      </c>
      <c r="R579" s="57">
        <v>46928</v>
      </c>
      <c r="S579" s="56">
        <v>12</v>
      </c>
      <c r="T579" s="54">
        <v>6</v>
      </c>
      <c r="U579" s="52">
        <v>1219910000</v>
      </c>
      <c r="V579" s="52">
        <v>1179250399.7</v>
      </c>
      <c r="W579" s="52">
        <v>40659600.299999997</v>
      </c>
      <c r="X579" s="57">
        <v>46027</v>
      </c>
      <c r="Y579" s="52">
        <v>0</v>
      </c>
      <c r="Z579" s="52">
        <v>0</v>
      </c>
      <c r="AA579" s="52">
        <v>1</v>
      </c>
      <c r="AB579" s="52">
        <v>0</v>
      </c>
      <c r="AC579" s="52">
        <v>14351997.17</v>
      </c>
      <c r="AD579" s="52">
        <v>10626758</v>
      </c>
      <c r="AE579" s="52">
        <v>0</v>
      </c>
      <c r="AF579" s="52">
        <v>3725239.17</v>
      </c>
      <c r="AG579" s="52">
        <v>0</v>
      </c>
      <c r="AH579" s="52">
        <v>0</v>
      </c>
      <c r="AI579" s="52">
        <v>0</v>
      </c>
      <c r="AJ579" s="52">
        <v>2</v>
      </c>
      <c r="AK579" s="52"/>
      <c r="AL579" s="52">
        <v>0</v>
      </c>
      <c r="AM579" s="52">
        <v>0</v>
      </c>
      <c r="AN579" s="52">
        <v>0</v>
      </c>
      <c r="AO579" s="52">
        <v>0</v>
      </c>
      <c r="AP579" s="52">
        <v>0</v>
      </c>
      <c r="AQ579" s="58">
        <v>0</v>
      </c>
      <c r="AR579" s="58">
        <v>0</v>
      </c>
      <c r="AS579" s="58">
        <v>0</v>
      </c>
      <c r="AT579" s="58">
        <v>0</v>
      </c>
      <c r="AU579" s="58">
        <v>0</v>
      </c>
      <c r="AV579" s="58">
        <v>0</v>
      </c>
      <c r="AW579" s="58">
        <v>0</v>
      </c>
      <c r="AX579" s="58">
        <v>0</v>
      </c>
    </row>
    <row r="580" spans="1:50" x14ac:dyDescent="0.25">
      <c r="A580" s="52">
        <f t="shared" si="33"/>
        <v>575</v>
      </c>
      <c r="B580" s="60" t="str">
        <f t="shared" si="34"/>
        <v>011256032538</v>
      </c>
      <c r="C580" s="55" t="s">
        <v>30</v>
      </c>
      <c r="D580" s="53" t="s">
        <v>2096</v>
      </c>
      <c r="E580" s="55" t="s">
        <v>693</v>
      </c>
      <c r="F580" s="53" t="s">
        <v>2110</v>
      </c>
      <c r="G580" s="55">
        <v>11580</v>
      </c>
      <c r="H580" s="53" t="s">
        <v>911</v>
      </c>
      <c r="I580" s="55">
        <v>200940598</v>
      </c>
      <c r="J580" s="55" t="s">
        <v>912</v>
      </c>
      <c r="K580" s="55" t="s">
        <v>913</v>
      </c>
      <c r="L580" s="53" t="s">
        <v>2047</v>
      </c>
      <c r="M580" s="55" t="s">
        <v>75</v>
      </c>
      <c r="N580" s="52">
        <v>100000</v>
      </c>
      <c r="O580" s="52">
        <v>1206776000</v>
      </c>
      <c r="P580" s="52">
        <v>1206776000</v>
      </c>
      <c r="Q580" s="57">
        <v>45909</v>
      </c>
      <c r="R580" s="57">
        <v>46999</v>
      </c>
      <c r="S580" s="56">
        <v>12</v>
      </c>
      <c r="T580" s="54">
        <v>6</v>
      </c>
      <c r="U580" s="52">
        <v>1219910000</v>
      </c>
      <c r="V580" s="52">
        <v>1219910000</v>
      </c>
      <c r="W580" s="52">
        <v>0</v>
      </c>
      <c r="X580" s="57"/>
      <c r="Y580" s="52">
        <v>0</v>
      </c>
      <c r="Z580" s="52">
        <v>0</v>
      </c>
      <c r="AA580" s="52">
        <v>1</v>
      </c>
      <c r="AB580" s="52">
        <v>0</v>
      </c>
      <c r="AC580" s="52">
        <v>25675079.800000001</v>
      </c>
      <c r="AD580" s="52">
        <v>25675079.800000001</v>
      </c>
      <c r="AE580" s="52">
        <v>0</v>
      </c>
      <c r="AF580" s="52">
        <v>0</v>
      </c>
      <c r="AG580" s="52">
        <v>0</v>
      </c>
      <c r="AH580" s="52">
        <v>0</v>
      </c>
      <c r="AI580" s="52">
        <v>0</v>
      </c>
      <c r="AJ580" s="52">
        <v>2</v>
      </c>
      <c r="AK580" s="52"/>
      <c r="AL580" s="52">
        <v>0</v>
      </c>
      <c r="AM580" s="52">
        <v>0</v>
      </c>
      <c r="AN580" s="52">
        <v>0</v>
      </c>
      <c r="AO580" s="52">
        <v>0</v>
      </c>
      <c r="AP580" s="52">
        <v>0</v>
      </c>
      <c r="AQ580" s="58">
        <v>0</v>
      </c>
      <c r="AR580" s="58">
        <v>0</v>
      </c>
      <c r="AS580" s="58">
        <v>0</v>
      </c>
      <c r="AT580" s="58">
        <v>0</v>
      </c>
      <c r="AU580" s="58">
        <v>0</v>
      </c>
      <c r="AV580" s="58">
        <v>0</v>
      </c>
      <c r="AW580" s="58">
        <v>0</v>
      </c>
      <c r="AX580" s="58">
        <v>0</v>
      </c>
    </row>
    <row r="581" spans="1:50" x14ac:dyDescent="0.25">
      <c r="A581" s="52">
        <f t="shared" si="33"/>
        <v>576</v>
      </c>
      <c r="B581" s="60" t="str">
        <f t="shared" si="34"/>
        <v>011254220513</v>
      </c>
      <c r="C581" s="55" t="s">
        <v>30</v>
      </c>
      <c r="D581" s="53" t="s">
        <v>2096</v>
      </c>
      <c r="E581" s="55" t="s">
        <v>693</v>
      </c>
      <c r="F581" s="53" t="s">
        <v>2110</v>
      </c>
      <c r="G581" s="55">
        <v>11580</v>
      </c>
      <c r="H581" s="53" t="s">
        <v>2525</v>
      </c>
      <c r="I581" s="55">
        <v>307785632</v>
      </c>
      <c r="J581" s="55" t="s">
        <v>914</v>
      </c>
      <c r="K581" s="55" t="s">
        <v>915</v>
      </c>
      <c r="L581" s="53" t="s">
        <v>2047</v>
      </c>
      <c r="M581" s="55" t="s">
        <v>49</v>
      </c>
      <c r="N581" s="52">
        <v>1664000000</v>
      </c>
      <c r="O581" s="52">
        <v>1664000000</v>
      </c>
      <c r="P581" s="52">
        <v>1664000000</v>
      </c>
      <c r="Q581" s="57">
        <v>44596</v>
      </c>
      <c r="R581" s="57">
        <v>46432</v>
      </c>
      <c r="S581" s="56">
        <v>16</v>
      </c>
      <c r="T581" s="54">
        <v>6</v>
      </c>
      <c r="U581" s="52">
        <v>424156862</v>
      </c>
      <c r="V581" s="52">
        <v>424156862</v>
      </c>
      <c r="W581" s="52">
        <v>0</v>
      </c>
      <c r="X581" s="57"/>
      <c r="Y581" s="52">
        <v>0</v>
      </c>
      <c r="Z581" s="52">
        <v>0</v>
      </c>
      <c r="AA581" s="52">
        <v>1</v>
      </c>
      <c r="AB581" s="52">
        <v>0</v>
      </c>
      <c r="AC581" s="52">
        <v>99159293.040000007</v>
      </c>
      <c r="AD581" s="52">
        <v>3160840.17</v>
      </c>
      <c r="AE581" s="52">
        <v>95998452.870000005</v>
      </c>
      <c r="AF581" s="52">
        <v>0</v>
      </c>
      <c r="AG581" s="52">
        <v>0</v>
      </c>
      <c r="AH581" s="52">
        <v>0</v>
      </c>
      <c r="AI581" s="52">
        <v>0</v>
      </c>
      <c r="AJ581" s="52">
        <v>2</v>
      </c>
      <c r="AK581" s="52"/>
      <c r="AL581" s="52">
        <v>0</v>
      </c>
      <c r="AM581" s="52">
        <v>0</v>
      </c>
      <c r="AN581" s="52">
        <v>0</v>
      </c>
      <c r="AO581" s="52">
        <v>0</v>
      </c>
      <c r="AP581" s="52">
        <v>0</v>
      </c>
      <c r="AQ581" s="58">
        <v>0</v>
      </c>
      <c r="AR581" s="58">
        <v>0</v>
      </c>
      <c r="AS581" s="58">
        <v>0</v>
      </c>
      <c r="AT581" s="58">
        <v>0</v>
      </c>
      <c r="AU581" s="58">
        <v>0</v>
      </c>
      <c r="AV581" s="58">
        <v>0</v>
      </c>
      <c r="AW581" s="58">
        <v>6</v>
      </c>
      <c r="AX581" s="58">
        <v>502398.64</v>
      </c>
    </row>
    <row r="582" spans="1:50" x14ac:dyDescent="0.25">
      <c r="A582" s="52">
        <f t="shared" si="33"/>
        <v>577</v>
      </c>
      <c r="B582" s="60" t="str">
        <f t="shared" si="34"/>
        <v>011255936324</v>
      </c>
      <c r="C582" s="55" t="s">
        <v>30</v>
      </c>
      <c r="D582" s="53" t="s">
        <v>2096</v>
      </c>
      <c r="E582" s="55" t="s">
        <v>693</v>
      </c>
      <c r="F582" s="53" t="s">
        <v>2110</v>
      </c>
      <c r="G582" s="55">
        <v>11580</v>
      </c>
      <c r="H582" s="53" t="s">
        <v>911</v>
      </c>
      <c r="I582" s="55">
        <v>200940598</v>
      </c>
      <c r="J582" s="55" t="s">
        <v>916</v>
      </c>
      <c r="K582" s="55" t="s">
        <v>917</v>
      </c>
      <c r="L582" s="53" t="s">
        <v>2047</v>
      </c>
      <c r="M582" s="55" t="s">
        <v>75</v>
      </c>
      <c r="N582" s="52">
        <v>31000</v>
      </c>
      <c r="O582" s="52">
        <v>374100560</v>
      </c>
      <c r="P582" s="52">
        <v>374100560</v>
      </c>
      <c r="Q582" s="57">
        <v>45854</v>
      </c>
      <c r="R582" s="57">
        <v>46949</v>
      </c>
      <c r="S582" s="56">
        <v>12</v>
      </c>
      <c r="T582" s="54">
        <v>6</v>
      </c>
      <c r="U582" s="52">
        <v>378172100</v>
      </c>
      <c r="V582" s="52">
        <v>378172100</v>
      </c>
      <c r="W582" s="52">
        <v>0</v>
      </c>
      <c r="X582" s="57"/>
      <c r="Y582" s="52">
        <v>0</v>
      </c>
      <c r="Z582" s="52">
        <v>0</v>
      </c>
      <c r="AA582" s="52">
        <v>1</v>
      </c>
      <c r="AB582" s="52">
        <v>0</v>
      </c>
      <c r="AC582" s="52">
        <v>3277532.2</v>
      </c>
      <c r="AD582" s="52">
        <v>3277532.2</v>
      </c>
      <c r="AE582" s="52">
        <v>0</v>
      </c>
      <c r="AF582" s="52">
        <v>0</v>
      </c>
      <c r="AG582" s="52">
        <v>0</v>
      </c>
      <c r="AH582" s="52">
        <v>0</v>
      </c>
      <c r="AI582" s="52">
        <v>0</v>
      </c>
      <c r="AJ582" s="52">
        <v>2</v>
      </c>
      <c r="AK582" s="52"/>
      <c r="AL582" s="52">
        <v>0</v>
      </c>
      <c r="AM582" s="52">
        <v>0</v>
      </c>
      <c r="AN582" s="52">
        <v>0</v>
      </c>
      <c r="AO582" s="52">
        <v>0</v>
      </c>
      <c r="AP582" s="52">
        <v>0</v>
      </c>
      <c r="AQ582" s="58">
        <v>0</v>
      </c>
      <c r="AR582" s="58">
        <v>0</v>
      </c>
      <c r="AS582" s="58">
        <v>0</v>
      </c>
      <c r="AT582" s="58">
        <v>0</v>
      </c>
      <c r="AU582" s="58">
        <v>0</v>
      </c>
      <c r="AV582" s="58">
        <v>0</v>
      </c>
      <c r="AW582" s="58">
        <v>0</v>
      </c>
      <c r="AX582" s="58">
        <v>0</v>
      </c>
    </row>
    <row r="583" spans="1:50" x14ac:dyDescent="0.25">
      <c r="A583" s="52">
        <f t="shared" si="33"/>
        <v>578</v>
      </c>
      <c r="B583" s="60" t="str">
        <f t="shared" si="34"/>
        <v>011254212681</v>
      </c>
      <c r="C583" s="55" t="s">
        <v>30</v>
      </c>
      <c r="D583" s="53" t="s">
        <v>2096</v>
      </c>
      <c r="E583" s="55" t="s">
        <v>693</v>
      </c>
      <c r="F583" s="53" t="s">
        <v>2110</v>
      </c>
      <c r="G583" s="55">
        <v>11580</v>
      </c>
      <c r="H583" s="53" t="s">
        <v>2525</v>
      </c>
      <c r="I583" s="55">
        <v>307785632</v>
      </c>
      <c r="J583" s="55" t="s">
        <v>918</v>
      </c>
      <c r="K583" s="55" t="s">
        <v>919</v>
      </c>
      <c r="L583" s="53" t="s">
        <v>2047</v>
      </c>
      <c r="M583" s="55" t="s">
        <v>49</v>
      </c>
      <c r="N583" s="52">
        <v>4000000000</v>
      </c>
      <c r="O583" s="52">
        <v>4000000000</v>
      </c>
      <c r="P583" s="52">
        <v>4000000000</v>
      </c>
      <c r="Q583" s="57">
        <v>44299</v>
      </c>
      <c r="R583" s="57">
        <v>46117</v>
      </c>
      <c r="S583" s="56">
        <v>14</v>
      </c>
      <c r="T583" s="54">
        <v>6</v>
      </c>
      <c r="U583" s="52">
        <v>117552588.73</v>
      </c>
      <c r="V583" s="52">
        <v>117552588.73</v>
      </c>
      <c r="W583" s="52">
        <v>0</v>
      </c>
      <c r="X583" s="57"/>
      <c r="Y583" s="52">
        <v>0</v>
      </c>
      <c r="Z583" s="52">
        <v>0</v>
      </c>
      <c r="AA583" s="52">
        <v>1</v>
      </c>
      <c r="AB583" s="52">
        <v>0</v>
      </c>
      <c r="AC583" s="52">
        <v>160655345.35999998</v>
      </c>
      <c r="AD583" s="52">
        <v>721418.63</v>
      </c>
      <c r="AE583" s="52">
        <v>159933926.72999999</v>
      </c>
      <c r="AF583" s="52">
        <v>0</v>
      </c>
      <c r="AG583" s="52">
        <v>0</v>
      </c>
      <c r="AH583" s="52">
        <v>0</v>
      </c>
      <c r="AI583" s="52">
        <v>0</v>
      </c>
      <c r="AJ583" s="52">
        <v>2</v>
      </c>
      <c r="AK583" s="52"/>
      <c r="AL583" s="52">
        <v>0</v>
      </c>
      <c r="AM583" s="52">
        <v>0</v>
      </c>
      <c r="AN583" s="52">
        <v>0</v>
      </c>
      <c r="AO583" s="52">
        <v>0</v>
      </c>
      <c r="AP583" s="52">
        <v>0</v>
      </c>
      <c r="AQ583" s="58">
        <v>0</v>
      </c>
      <c r="AR583" s="58">
        <v>0</v>
      </c>
      <c r="AS583" s="58">
        <v>0</v>
      </c>
      <c r="AT583" s="58">
        <v>0</v>
      </c>
      <c r="AU583" s="58">
        <v>0</v>
      </c>
      <c r="AV583" s="58">
        <v>0</v>
      </c>
      <c r="AW583" s="58">
        <v>6</v>
      </c>
      <c r="AX583" s="58">
        <v>502398.64</v>
      </c>
    </row>
    <row r="584" spans="1:50" x14ac:dyDescent="0.25">
      <c r="A584" s="52">
        <f t="shared" ref="A584:A647" si="35">+A583+1</f>
        <v>579</v>
      </c>
      <c r="B584" s="60" t="str">
        <f t="shared" si="34"/>
        <v>011256051363</v>
      </c>
      <c r="C584" s="55" t="s">
        <v>30</v>
      </c>
      <c r="D584" s="53" t="s">
        <v>2096</v>
      </c>
      <c r="E584" s="55" t="s">
        <v>693</v>
      </c>
      <c r="F584" s="53" t="s">
        <v>2099</v>
      </c>
      <c r="G584" s="55">
        <v>11633</v>
      </c>
      <c r="H584" s="53" t="s">
        <v>920</v>
      </c>
      <c r="I584" s="55">
        <v>312188882</v>
      </c>
      <c r="J584" s="55" t="s">
        <v>921</v>
      </c>
      <c r="K584" s="55" t="s">
        <v>922</v>
      </c>
      <c r="L584" s="53" t="s">
        <v>2100</v>
      </c>
      <c r="M584" s="55" t="s">
        <v>75</v>
      </c>
      <c r="N584" s="52">
        <v>250000</v>
      </c>
      <c r="O584" s="52">
        <v>3016940000</v>
      </c>
      <c r="P584" s="52">
        <v>250000</v>
      </c>
      <c r="Q584" s="57">
        <v>45917</v>
      </c>
      <c r="R584" s="57">
        <v>47012</v>
      </c>
      <c r="S584" s="56">
        <v>12</v>
      </c>
      <c r="T584" s="54">
        <v>6</v>
      </c>
      <c r="U584" s="52">
        <v>3049775000</v>
      </c>
      <c r="V584" s="52">
        <v>3049775000</v>
      </c>
      <c r="W584" s="52">
        <v>0</v>
      </c>
      <c r="X584" s="57"/>
      <c r="Y584" s="52">
        <v>0</v>
      </c>
      <c r="Z584" s="52">
        <v>0</v>
      </c>
      <c r="AA584" s="52">
        <v>1</v>
      </c>
      <c r="AB584" s="52">
        <v>0</v>
      </c>
      <c r="AC584" s="52">
        <v>27447975</v>
      </c>
      <c r="AD584" s="52">
        <v>27447975</v>
      </c>
      <c r="AE584" s="52">
        <v>0</v>
      </c>
      <c r="AF584" s="52">
        <v>0</v>
      </c>
      <c r="AG584" s="52">
        <v>0</v>
      </c>
      <c r="AH584" s="52">
        <v>0</v>
      </c>
      <c r="AI584" s="52">
        <v>0</v>
      </c>
      <c r="AJ584" s="52">
        <v>2</v>
      </c>
      <c r="AK584" s="52"/>
      <c r="AL584" s="52">
        <v>80761502</v>
      </c>
      <c r="AM584" s="52">
        <v>0</v>
      </c>
      <c r="AN584" s="52">
        <v>5088705000</v>
      </c>
      <c r="AO584" s="52">
        <v>1584</v>
      </c>
      <c r="AP584" s="52">
        <v>1584</v>
      </c>
      <c r="AQ584" s="58">
        <v>0</v>
      </c>
      <c r="AR584" s="58">
        <v>0</v>
      </c>
      <c r="AS584" s="58">
        <v>0</v>
      </c>
      <c r="AT584" s="58">
        <v>0</v>
      </c>
      <c r="AU584" s="58">
        <v>0</v>
      </c>
      <c r="AV584" s="58">
        <v>0</v>
      </c>
      <c r="AW584" s="58">
        <v>0</v>
      </c>
      <c r="AX584" s="58">
        <v>0</v>
      </c>
    </row>
    <row r="585" spans="1:50" x14ac:dyDescent="0.25">
      <c r="A585" s="52">
        <f t="shared" si="35"/>
        <v>580</v>
      </c>
      <c r="B585" s="60" t="str">
        <f t="shared" si="34"/>
        <v>011254203723</v>
      </c>
      <c r="C585" s="55" t="s">
        <v>30</v>
      </c>
      <c r="D585" s="53" t="s">
        <v>2096</v>
      </c>
      <c r="E585" s="55" t="s">
        <v>693</v>
      </c>
      <c r="F585" s="53" t="s">
        <v>2099</v>
      </c>
      <c r="G585" s="55">
        <v>11633</v>
      </c>
      <c r="H585" s="53" t="s">
        <v>923</v>
      </c>
      <c r="I585" s="55">
        <v>304026042</v>
      </c>
      <c r="J585" s="55" t="s">
        <v>924</v>
      </c>
      <c r="K585" s="55" t="s">
        <v>925</v>
      </c>
      <c r="L585" s="53" t="s">
        <v>2100</v>
      </c>
      <c r="M585" s="55" t="s">
        <v>49</v>
      </c>
      <c r="N585" s="52">
        <v>5500000000</v>
      </c>
      <c r="O585" s="52">
        <v>5500000000</v>
      </c>
      <c r="P585" s="52">
        <v>5500000000</v>
      </c>
      <c r="Q585" s="57">
        <v>43966</v>
      </c>
      <c r="R585" s="57">
        <v>46506</v>
      </c>
      <c r="S585" s="56">
        <v>14</v>
      </c>
      <c r="T585" s="54">
        <v>24</v>
      </c>
      <c r="U585" s="52">
        <v>1520394611.99</v>
      </c>
      <c r="V585" s="52">
        <v>1500000000</v>
      </c>
      <c r="W585" s="52">
        <v>20394611.989999998</v>
      </c>
      <c r="X585" s="57">
        <v>45996</v>
      </c>
      <c r="Y585" s="52">
        <v>0</v>
      </c>
      <c r="Z585" s="52">
        <v>0</v>
      </c>
      <c r="AA585" s="52">
        <v>2</v>
      </c>
      <c r="AB585" s="52">
        <v>0</v>
      </c>
      <c r="AC585" s="52">
        <v>98299311.550000012</v>
      </c>
      <c r="AD585" s="52">
        <v>33369863.010000002</v>
      </c>
      <c r="AE585" s="52">
        <v>56958904.109999999</v>
      </c>
      <c r="AF585" s="52">
        <v>7970544.4299999997</v>
      </c>
      <c r="AG585" s="52">
        <v>0</v>
      </c>
      <c r="AH585" s="52">
        <v>0</v>
      </c>
      <c r="AI585" s="52">
        <v>0</v>
      </c>
      <c r="AJ585" s="52">
        <v>2</v>
      </c>
      <c r="AK585" s="52"/>
      <c r="AL585" s="52">
        <v>0</v>
      </c>
      <c r="AM585" s="52">
        <v>0</v>
      </c>
      <c r="AN585" s="52">
        <v>6875000000</v>
      </c>
      <c r="AO585" s="52">
        <v>589391726293</v>
      </c>
      <c r="AP585" s="52">
        <v>589391726293</v>
      </c>
      <c r="AQ585" s="58">
        <v>0</v>
      </c>
      <c r="AR585" s="58">
        <v>0</v>
      </c>
      <c r="AS585" s="58">
        <v>0</v>
      </c>
      <c r="AT585" s="58">
        <v>0</v>
      </c>
      <c r="AU585" s="58">
        <v>0</v>
      </c>
      <c r="AV585" s="58">
        <v>0</v>
      </c>
      <c r="AW585" s="58">
        <v>2</v>
      </c>
      <c r="AX585" s="58">
        <v>2929329.02</v>
      </c>
    </row>
    <row r="586" spans="1:50" x14ac:dyDescent="0.25">
      <c r="A586" s="52">
        <f t="shared" si="35"/>
        <v>581</v>
      </c>
      <c r="B586" s="60" t="str">
        <f t="shared" si="34"/>
        <v>011256067764</v>
      </c>
      <c r="C586" s="55" t="s">
        <v>30</v>
      </c>
      <c r="D586" s="53" t="s">
        <v>2096</v>
      </c>
      <c r="E586" s="55" t="s">
        <v>693</v>
      </c>
      <c r="F586" s="53" t="s">
        <v>2099</v>
      </c>
      <c r="G586" s="55">
        <v>11633</v>
      </c>
      <c r="H586" s="53" t="s">
        <v>2526</v>
      </c>
      <c r="I586" s="55">
        <v>312456485</v>
      </c>
      <c r="J586" s="55" t="s">
        <v>926</v>
      </c>
      <c r="K586" s="55" t="s">
        <v>927</v>
      </c>
      <c r="L586" s="53" t="s">
        <v>2100</v>
      </c>
      <c r="M586" s="55" t="s">
        <v>75</v>
      </c>
      <c r="N586" s="52">
        <v>100000</v>
      </c>
      <c r="O586" s="52">
        <v>1206776000</v>
      </c>
      <c r="P586" s="52">
        <v>100000</v>
      </c>
      <c r="Q586" s="57">
        <v>45929</v>
      </c>
      <c r="R586" s="57">
        <v>47024</v>
      </c>
      <c r="S586" s="56">
        <v>12</v>
      </c>
      <c r="T586" s="54">
        <v>6</v>
      </c>
      <c r="U586" s="52">
        <v>1219910000</v>
      </c>
      <c r="V586" s="52">
        <v>1219910000</v>
      </c>
      <c r="W586" s="52">
        <v>0</v>
      </c>
      <c r="X586" s="57"/>
      <c r="Y586" s="52">
        <v>0</v>
      </c>
      <c r="Z586" s="52">
        <v>0</v>
      </c>
      <c r="AA586" s="52">
        <v>1</v>
      </c>
      <c r="AB586" s="52">
        <v>0</v>
      </c>
      <c r="AC586" s="52">
        <v>10572472.01</v>
      </c>
      <c r="AD586" s="52">
        <v>10572472.01</v>
      </c>
      <c r="AE586" s="52">
        <v>0</v>
      </c>
      <c r="AF586" s="52">
        <v>0</v>
      </c>
      <c r="AG586" s="52">
        <v>0</v>
      </c>
      <c r="AH586" s="52">
        <v>0</v>
      </c>
      <c r="AI586" s="52">
        <v>0</v>
      </c>
      <c r="AJ586" s="52">
        <v>2</v>
      </c>
      <c r="AK586" s="52"/>
      <c r="AL586" s="52">
        <v>0</v>
      </c>
      <c r="AM586" s="52">
        <v>0</v>
      </c>
      <c r="AN586" s="52">
        <v>1857143000</v>
      </c>
      <c r="AO586" s="52">
        <v>0</v>
      </c>
      <c r="AP586" s="52">
        <v>0</v>
      </c>
      <c r="AQ586" s="58">
        <v>0</v>
      </c>
      <c r="AR586" s="58">
        <v>0</v>
      </c>
      <c r="AS586" s="58">
        <v>0</v>
      </c>
      <c r="AT586" s="58">
        <v>0</v>
      </c>
      <c r="AU586" s="58">
        <v>0</v>
      </c>
      <c r="AV586" s="58">
        <v>0</v>
      </c>
      <c r="AW586" s="58">
        <v>0</v>
      </c>
      <c r="AX586" s="58">
        <v>0</v>
      </c>
    </row>
    <row r="587" spans="1:50" x14ac:dyDescent="0.25">
      <c r="A587" s="52">
        <f t="shared" si="35"/>
        <v>582</v>
      </c>
      <c r="B587" s="60" t="str">
        <f t="shared" si="34"/>
        <v>011255134963</v>
      </c>
      <c r="C587" s="55" t="s">
        <v>30</v>
      </c>
      <c r="D587" s="53" t="s">
        <v>2096</v>
      </c>
      <c r="E587" s="55" t="s">
        <v>693</v>
      </c>
      <c r="F587" s="53" t="s">
        <v>2112</v>
      </c>
      <c r="G587" s="55">
        <v>11634</v>
      </c>
      <c r="H587" s="53" t="s">
        <v>2527</v>
      </c>
      <c r="I587" s="55">
        <v>305070979</v>
      </c>
      <c r="J587" s="55" t="s">
        <v>928</v>
      </c>
      <c r="K587" s="55" t="s">
        <v>929</v>
      </c>
      <c r="L587" s="53" t="s">
        <v>2041</v>
      </c>
      <c r="M587" s="55" t="s">
        <v>49</v>
      </c>
      <c r="N587" s="52">
        <v>1700000000</v>
      </c>
      <c r="O587" s="52">
        <v>1700000000</v>
      </c>
      <c r="P587" s="52">
        <v>1700000000</v>
      </c>
      <c r="Q587" s="57">
        <v>45356</v>
      </c>
      <c r="R587" s="57">
        <v>47911</v>
      </c>
      <c r="S587" s="56">
        <v>14</v>
      </c>
      <c r="T587" s="54">
        <v>24</v>
      </c>
      <c r="U587" s="52">
        <v>1699999534.24</v>
      </c>
      <c r="V587" s="52">
        <v>1699999534.24</v>
      </c>
      <c r="W587" s="52">
        <v>0</v>
      </c>
      <c r="X587" s="57"/>
      <c r="Y587" s="52">
        <v>0</v>
      </c>
      <c r="Z587" s="52">
        <v>0</v>
      </c>
      <c r="AA587" s="52">
        <v>1</v>
      </c>
      <c r="AB587" s="52">
        <v>0</v>
      </c>
      <c r="AC587" s="52">
        <v>17605474.629999999</v>
      </c>
      <c r="AD587" s="52">
        <v>17605474.629999999</v>
      </c>
      <c r="AE587" s="52">
        <v>0</v>
      </c>
      <c r="AF587" s="52">
        <v>0</v>
      </c>
      <c r="AG587" s="52">
        <v>0</v>
      </c>
      <c r="AH587" s="52">
        <v>0</v>
      </c>
      <c r="AI587" s="52">
        <v>0</v>
      </c>
      <c r="AJ587" s="52">
        <v>2</v>
      </c>
      <c r="AK587" s="52"/>
      <c r="AL587" s="52">
        <v>0</v>
      </c>
      <c r="AM587" s="52">
        <v>0</v>
      </c>
      <c r="AN587" s="52">
        <v>2313450000</v>
      </c>
      <c r="AO587" s="52">
        <v>20949165000</v>
      </c>
      <c r="AP587" s="52">
        <v>18750000000</v>
      </c>
      <c r="AQ587" s="58">
        <v>5</v>
      </c>
      <c r="AR587" s="58">
        <v>91143.97</v>
      </c>
      <c r="AS587" s="58">
        <v>0</v>
      </c>
      <c r="AT587" s="58">
        <v>0</v>
      </c>
      <c r="AU587" s="58">
        <v>0</v>
      </c>
      <c r="AV587" s="58">
        <v>0</v>
      </c>
      <c r="AW587" s="58">
        <v>0</v>
      </c>
      <c r="AX587" s="58">
        <v>0</v>
      </c>
    </row>
    <row r="588" spans="1:50" x14ac:dyDescent="0.25">
      <c r="A588" s="52">
        <f t="shared" si="35"/>
        <v>583</v>
      </c>
      <c r="B588" s="60" t="str">
        <f t="shared" si="34"/>
        <v>011254208314</v>
      </c>
      <c r="C588" s="55" t="s">
        <v>30</v>
      </c>
      <c r="D588" s="53" t="s">
        <v>2096</v>
      </c>
      <c r="E588" s="55" t="s">
        <v>693</v>
      </c>
      <c r="F588" s="53" t="s">
        <v>2115</v>
      </c>
      <c r="G588" s="55">
        <v>11782</v>
      </c>
      <c r="H588" s="53" t="s">
        <v>2528</v>
      </c>
      <c r="I588" s="55">
        <v>307642557</v>
      </c>
      <c r="J588" s="55" t="s">
        <v>930</v>
      </c>
      <c r="K588" s="55" t="s">
        <v>931</v>
      </c>
      <c r="L588" s="53" t="s">
        <v>2087</v>
      </c>
      <c r="M588" s="55" t="s">
        <v>75</v>
      </c>
      <c r="N588" s="52">
        <v>1900000</v>
      </c>
      <c r="O588" s="52">
        <v>22928744000</v>
      </c>
      <c r="P588" s="52">
        <v>1900000</v>
      </c>
      <c r="Q588" s="57">
        <v>44131</v>
      </c>
      <c r="R588" s="57">
        <v>49105</v>
      </c>
      <c r="S588" s="56">
        <v>4</v>
      </c>
      <c r="T588" s="54">
        <v>36</v>
      </c>
      <c r="U588" s="52">
        <v>22482941300</v>
      </c>
      <c r="V588" s="52">
        <v>0</v>
      </c>
      <c r="W588" s="52">
        <v>0</v>
      </c>
      <c r="X588" s="57"/>
      <c r="Y588" s="52">
        <v>22482941300</v>
      </c>
      <c r="Z588" s="52">
        <v>0</v>
      </c>
      <c r="AA588" s="52">
        <v>1</v>
      </c>
      <c r="AB588" s="52">
        <v>5620735325</v>
      </c>
      <c r="AC588" s="52">
        <v>3977182299.6700001</v>
      </c>
      <c r="AD588" s="52">
        <v>19524171.59</v>
      </c>
      <c r="AE588" s="52">
        <v>967483660.99000001</v>
      </c>
      <c r="AF588" s="52">
        <v>0</v>
      </c>
      <c r="AG588" s="52">
        <v>2990174467.0900002</v>
      </c>
      <c r="AH588" s="52">
        <v>0</v>
      </c>
      <c r="AI588" s="52">
        <v>0</v>
      </c>
      <c r="AJ588" s="52">
        <v>2</v>
      </c>
      <c r="AK588" s="52"/>
      <c r="AL588" s="52">
        <v>28555391538</v>
      </c>
      <c r="AM588" s="52">
        <v>0</v>
      </c>
      <c r="AN588" s="52">
        <v>45000000000</v>
      </c>
      <c r="AO588" s="52">
        <v>1445295</v>
      </c>
      <c r="AP588" s="52">
        <v>1445296</v>
      </c>
      <c r="AQ588" s="58">
        <v>0</v>
      </c>
      <c r="AR588" s="58">
        <v>0</v>
      </c>
      <c r="AS588" s="58">
        <v>1</v>
      </c>
      <c r="AT588" s="58">
        <v>21169.5</v>
      </c>
      <c r="AU588" s="58">
        <v>0</v>
      </c>
      <c r="AV588" s="58">
        <v>0</v>
      </c>
      <c r="AW588" s="58">
        <v>8</v>
      </c>
      <c r="AX588" s="58">
        <v>1878165</v>
      </c>
    </row>
    <row r="589" spans="1:50" x14ac:dyDescent="0.25">
      <c r="A589" s="52">
        <f t="shared" si="35"/>
        <v>584</v>
      </c>
      <c r="B589" s="60" t="str">
        <f t="shared" si="34"/>
        <v>011254211048</v>
      </c>
      <c r="C589" s="55" t="s">
        <v>30</v>
      </c>
      <c r="D589" s="53" t="s">
        <v>2096</v>
      </c>
      <c r="E589" s="55" t="s">
        <v>693</v>
      </c>
      <c r="F589" s="53" t="s">
        <v>2115</v>
      </c>
      <c r="G589" s="55">
        <v>11782</v>
      </c>
      <c r="H589" s="53" t="s">
        <v>2529</v>
      </c>
      <c r="I589" s="55">
        <v>206322523</v>
      </c>
      <c r="J589" s="55" t="s">
        <v>932</v>
      </c>
      <c r="K589" s="55" t="s">
        <v>933</v>
      </c>
      <c r="L589" s="53" t="s">
        <v>2087</v>
      </c>
      <c r="M589" s="55" t="s">
        <v>75</v>
      </c>
      <c r="N589" s="52">
        <v>945000</v>
      </c>
      <c r="O589" s="52">
        <v>11404033200</v>
      </c>
      <c r="P589" s="52">
        <v>945000</v>
      </c>
      <c r="Q589" s="57">
        <v>44256</v>
      </c>
      <c r="R589" s="57">
        <v>49364</v>
      </c>
      <c r="S589" s="56">
        <v>5.6</v>
      </c>
      <c r="T589" s="54">
        <v>36</v>
      </c>
      <c r="U589" s="52">
        <v>11528149500</v>
      </c>
      <c r="V589" s="52">
        <v>11528149500</v>
      </c>
      <c r="W589" s="52">
        <v>0</v>
      </c>
      <c r="X589" s="57"/>
      <c r="Y589" s="52">
        <v>0</v>
      </c>
      <c r="Z589" s="52">
        <v>0</v>
      </c>
      <c r="AA589" s="52">
        <v>2</v>
      </c>
      <c r="AB589" s="52">
        <v>1152814950</v>
      </c>
      <c r="AC589" s="52">
        <v>2068631518.78</v>
      </c>
      <c r="AD589" s="52">
        <v>91456652.700000003</v>
      </c>
      <c r="AE589" s="52">
        <v>1079027229.76</v>
      </c>
      <c r="AF589" s="52">
        <v>322177865.02999997</v>
      </c>
      <c r="AG589" s="52">
        <v>575969771.28999996</v>
      </c>
      <c r="AH589" s="52">
        <v>0</v>
      </c>
      <c r="AI589" s="52">
        <v>0</v>
      </c>
      <c r="AJ589" s="52">
        <v>2</v>
      </c>
      <c r="AK589" s="52"/>
      <c r="AL589" s="52">
        <v>6868286354</v>
      </c>
      <c r="AM589" s="52">
        <v>0</v>
      </c>
      <c r="AN589" s="52">
        <v>20767074368</v>
      </c>
      <c r="AO589" s="52">
        <v>2875096087.0999999</v>
      </c>
      <c r="AP589" s="52">
        <v>2875096087.0999999</v>
      </c>
      <c r="AQ589" s="58">
        <v>5</v>
      </c>
      <c r="AR589" s="58">
        <v>34867.800000000003</v>
      </c>
      <c r="AS589" s="58">
        <v>1</v>
      </c>
      <c r="AT589" s="58">
        <v>4603.2</v>
      </c>
      <c r="AU589" s="58">
        <v>0</v>
      </c>
      <c r="AV589" s="58">
        <v>0</v>
      </c>
      <c r="AW589" s="58">
        <v>6</v>
      </c>
      <c r="AX589" s="58">
        <v>1336200</v>
      </c>
    </row>
    <row r="590" spans="1:50" x14ac:dyDescent="0.25">
      <c r="A590" s="52">
        <f t="shared" si="35"/>
        <v>585</v>
      </c>
      <c r="B590" s="60" t="str">
        <f t="shared" si="34"/>
        <v>011254211652</v>
      </c>
      <c r="C590" s="55" t="s">
        <v>30</v>
      </c>
      <c r="D590" s="53" t="s">
        <v>2096</v>
      </c>
      <c r="E590" s="55" t="s">
        <v>693</v>
      </c>
      <c r="F590" s="53" t="s">
        <v>2115</v>
      </c>
      <c r="G590" s="55">
        <v>11782</v>
      </c>
      <c r="H590" s="53" t="s">
        <v>2529</v>
      </c>
      <c r="I590" s="55">
        <v>206322523</v>
      </c>
      <c r="J590" s="55" t="s">
        <v>934</v>
      </c>
      <c r="K590" s="55" t="s">
        <v>935</v>
      </c>
      <c r="L590" s="53" t="s">
        <v>2087</v>
      </c>
      <c r="M590" s="55" t="s">
        <v>75</v>
      </c>
      <c r="N590" s="52">
        <v>405000</v>
      </c>
      <c r="O590" s="52">
        <v>4887442800</v>
      </c>
      <c r="P590" s="52">
        <v>405000</v>
      </c>
      <c r="Q590" s="57">
        <v>44271</v>
      </c>
      <c r="R590" s="57">
        <v>47903</v>
      </c>
      <c r="S590" s="56">
        <v>8</v>
      </c>
      <c r="T590" s="54">
        <v>36</v>
      </c>
      <c r="U590" s="52">
        <v>3619553484.0599999</v>
      </c>
      <c r="V590" s="52">
        <v>3394585001.3200002</v>
      </c>
      <c r="W590" s="52">
        <v>224968482.74000001</v>
      </c>
      <c r="X590" s="57">
        <v>46001</v>
      </c>
      <c r="Y590" s="52">
        <v>0</v>
      </c>
      <c r="Z590" s="52">
        <v>0</v>
      </c>
      <c r="AA590" s="52">
        <v>2</v>
      </c>
      <c r="AB590" s="52">
        <v>361955348.41000003</v>
      </c>
      <c r="AC590" s="52">
        <v>186038470.83999997</v>
      </c>
      <c r="AD590" s="52">
        <v>38471935.700000003</v>
      </c>
      <c r="AE590" s="52">
        <v>0</v>
      </c>
      <c r="AF590" s="52">
        <v>147566535.13999999</v>
      </c>
      <c r="AG590" s="52">
        <v>0</v>
      </c>
      <c r="AH590" s="52">
        <v>0</v>
      </c>
      <c r="AI590" s="52">
        <v>0</v>
      </c>
      <c r="AJ590" s="52">
        <v>2</v>
      </c>
      <c r="AK590" s="52"/>
      <c r="AL590" s="52">
        <v>6868286354</v>
      </c>
      <c r="AM590" s="52">
        <v>0</v>
      </c>
      <c r="AN590" s="52">
        <v>20767074368</v>
      </c>
      <c r="AO590" s="52">
        <v>2875096087.0999999</v>
      </c>
      <c r="AP590" s="52">
        <v>2875096087.0999999</v>
      </c>
      <c r="AQ590" s="58">
        <v>5</v>
      </c>
      <c r="AR590" s="58">
        <v>34867.800000000003</v>
      </c>
      <c r="AS590" s="58">
        <v>1</v>
      </c>
      <c r="AT590" s="58">
        <v>4603.2</v>
      </c>
      <c r="AU590" s="58">
        <v>0</v>
      </c>
      <c r="AV590" s="58">
        <v>0</v>
      </c>
      <c r="AW590" s="58">
        <v>6</v>
      </c>
      <c r="AX590" s="58">
        <v>1336200</v>
      </c>
    </row>
    <row r="591" spans="1:50" x14ac:dyDescent="0.25">
      <c r="A591" s="52">
        <f t="shared" si="35"/>
        <v>586</v>
      </c>
      <c r="B591" s="60" t="str">
        <f t="shared" si="34"/>
        <v>011254194434</v>
      </c>
      <c r="C591" s="55" t="s">
        <v>30</v>
      </c>
      <c r="D591" s="53" t="s">
        <v>2096</v>
      </c>
      <c r="E591" s="55" t="s">
        <v>693</v>
      </c>
      <c r="F591" s="53" t="s">
        <v>2115</v>
      </c>
      <c r="G591" s="55">
        <v>11782</v>
      </c>
      <c r="H591" s="53" t="s">
        <v>2530</v>
      </c>
      <c r="I591" s="55">
        <v>205293252</v>
      </c>
      <c r="J591" s="55" t="s">
        <v>936</v>
      </c>
      <c r="K591" s="55" t="s">
        <v>937</v>
      </c>
      <c r="L591" s="53" t="s">
        <v>2087</v>
      </c>
      <c r="M591" s="55" t="s">
        <v>75</v>
      </c>
      <c r="N591" s="52">
        <v>624500</v>
      </c>
      <c r="O591" s="52">
        <v>7536316120</v>
      </c>
      <c r="P591" s="52">
        <v>624500</v>
      </c>
      <c r="Q591" s="57">
        <v>42651</v>
      </c>
      <c r="R591" s="57">
        <v>47727</v>
      </c>
      <c r="S591" s="56">
        <v>5.5</v>
      </c>
      <c r="T591" s="54">
        <v>36</v>
      </c>
      <c r="U591" s="52">
        <v>3178901375.5799999</v>
      </c>
      <c r="V591" s="52">
        <v>3178901375.5799999</v>
      </c>
      <c r="W591" s="52">
        <v>0</v>
      </c>
      <c r="X591" s="57"/>
      <c r="Y591" s="52">
        <v>0</v>
      </c>
      <c r="Z591" s="52">
        <v>0</v>
      </c>
      <c r="AA591" s="52">
        <v>1</v>
      </c>
      <c r="AB591" s="52">
        <v>0</v>
      </c>
      <c r="AC591" s="52">
        <v>73335377.609999999</v>
      </c>
      <c r="AD591" s="52">
        <v>73335377.609999999</v>
      </c>
      <c r="AE591" s="52">
        <v>0</v>
      </c>
      <c r="AF591" s="52">
        <v>0</v>
      </c>
      <c r="AG591" s="52">
        <v>0</v>
      </c>
      <c r="AH591" s="52">
        <v>0</v>
      </c>
      <c r="AI591" s="52">
        <v>0</v>
      </c>
      <c r="AJ591" s="52">
        <v>2</v>
      </c>
      <c r="AK591" s="52"/>
      <c r="AL591" s="52">
        <v>0</v>
      </c>
      <c r="AM591" s="52">
        <v>0</v>
      </c>
      <c r="AN591" s="52">
        <v>10735000000</v>
      </c>
      <c r="AO591" s="52">
        <v>10813951955</v>
      </c>
      <c r="AP591" s="52">
        <v>4366981080</v>
      </c>
      <c r="AQ591" s="58">
        <v>0</v>
      </c>
      <c r="AR591" s="58">
        <v>0</v>
      </c>
      <c r="AS591" s="58">
        <v>0</v>
      </c>
      <c r="AT591" s="58">
        <v>0</v>
      </c>
      <c r="AU591" s="58">
        <v>0</v>
      </c>
      <c r="AV591" s="58">
        <v>0</v>
      </c>
      <c r="AW591" s="58">
        <v>1</v>
      </c>
      <c r="AX591" s="58">
        <v>2880</v>
      </c>
    </row>
    <row r="592" spans="1:50" x14ac:dyDescent="0.25">
      <c r="A592" s="52">
        <f t="shared" si="35"/>
        <v>587</v>
      </c>
      <c r="B592" s="60" t="str">
        <f t="shared" si="34"/>
        <v>011256042867</v>
      </c>
      <c r="C592" s="55" t="s">
        <v>30</v>
      </c>
      <c r="D592" s="53" t="s">
        <v>2096</v>
      </c>
      <c r="E592" s="55" t="s">
        <v>693</v>
      </c>
      <c r="F592" s="53" t="s">
        <v>2115</v>
      </c>
      <c r="G592" s="55">
        <v>11782</v>
      </c>
      <c r="H592" s="53" t="s">
        <v>938</v>
      </c>
      <c r="I592" s="55">
        <v>312410718</v>
      </c>
      <c r="J592" s="55" t="s">
        <v>939</v>
      </c>
      <c r="K592" s="55" t="s">
        <v>940</v>
      </c>
      <c r="L592" s="53" t="s">
        <v>2087</v>
      </c>
      <c r="M592" s="55" t="s">
        <v>75</v>
      </c>
      <c r="N592" s="52">
        <v>240000</v>
      </c>
      <c r="O592" s="52">
        <v>2896262400</v>
      </c>
      <c r="P592" s="52">
        <v>240000</v>
      </c>
      <c r="Q592" s="57">
        <v>45915</v>
      </c>
      <c r="R592" s="57">
        <v>47010</v>
      </c>
      <c r="S592" s="56">
        <v>12</v>
      </c>
      <c r="T592" s="54">
        <v>6</v>
      </c>
      <c r="U592" s="52">
        <v>2927784000</v>
      </c>
      <c r="V592" s="52">
        <v>2927784000</v>
      </c>
      <c r="W592" s="52">
        <v>0</v>
      </c>
      <c r="X592" s="57"/>
      <c r="Y592" s="52">
        <v>0</v>
      </c>
      <c r="Z592" s="52">
        <v>0</v>
      </c>
      <c r="AA592" s="52">
        <v>1</v>
      </c>
      <c r="AB592" s="52">
        <v>0</v>
      </c>
      <c r="AC592" s="52">
        <v>25374128</v>
      </c>
      <c r="AD592" s="52">
        <v>25374128</v>
      </c>
      <c r="AE592" s="52">
        <v>0</v>
      </c>
      <c r="AF592" s="52">
        <v>0</v>
      </c>
      <c r="AG592" s="52">
        <v>0</v>
      </c>
      <c r="AH592" s="52">
        <v>0</v>
      </c>
      <c r="AI592" s="52">
        <v>0</v>
      </c>
      <c r="AJ592" s="52">
        <v>2</v>
      </c>
      <c r="AK592" s="52"/>
      <c r="AL592" s="52">
        <v>0</v>
      </c>
      <c r="AM592" s="52">
        <v>0</v>
      </c>
      <c r="AN592" s="52">
        <v>4457142858</v>
      </c>
      <c r="AO592" s="52">
        <v>0</v>
      </c>
      <c r="AP592" s="52">
        <v>0</v>
      </c>
      <c r="AQ592" s="58">
        <v>0</v>
      </c>
      <c r="AR592" s="58">
        <v>0</v>
      </c>
      <c r="AS592" s="58">
        <v>0</v>
      </c>
      <c r="AT592" s="58">
        <v>0</v>
      </c>
      <c r="AU592" s="58">
        <v>0</v>
      </c>
      <c r="AV592" s="58">
        <v>0</v>
      </c>
      <c r="AW592" s="58">
        <v>0</v>
      </c>
      <c r="AX592" s="58">
        <v>0</v>
      </c>
    </row>
    <row r="593" spans="1:50" x14ac:dyDescent="0.25">
      <c r="A593" s="52">
        <f t="shared" si="35"/>
        <v>588</v>
      </c>
      <c r="B593" s="60" t="str">
        <f t="shared" si="34"/>
        <v>011255919808</v>
      </c>
      <c r="C593" s="55" t="s">
        <v>30</v>
      </c>
      <c r="D593" s="53" t="s">
        <v>2096</v>
      </c>
      <c r="E593" s="55" t="s">
        <v>693</v>
      </c>
      <c r="F593" s="53" t="s">
        <v>2115</v>
      </c>
      <c r="G593" s="55">
        <v>11782</v>
      </c>
      <c r="H593" s="53" t="s">
        <v>941</v>
      </c>
      <c r="I593" s="55">
        <v>310044399</v>
      </c>
      <c r="J593" s="55" t="s">
        <v>942</v>
      </c>
      <c r="K593" s="55" t="s">
        <v>943</v>
      </c>
      <c r="L593" s="53" t="s">
        <v>2045</v>
      </c>
      <c r="M593" s="55" t="s">
        <v>75</v>
      </c>
      <c r="N593" s="52">
        <v>242000</v>
      </c>
      <c r="O593" s="52">
        <v>2920397920</v>
      </c>
      <c r="P593" s="52">
        <v>242000</v>
      </c>
      <c r="Q593" s="57">
        <v>45838</v>
      </c>
      <c r="R593" s="57">
        <v>46933</v>
      </c>
      <c r="S593" s="56">
        <v>12</v>
      </c>
      <c r="T593" s="54">
        <v>6</v>
      </c>
      <c r="U593" s="52">
        <v>2853772060.3000002</v>
      </c>
      <c r="V593" s="52">
        <v>2853772060.3000002</v>
      </c>
      <c r="W593" s="52">
        <v>0</v>
      </c>
      <c r="X593" s="57"/>
      <c r="Y593" s="52">
        <v>0</v>
      </c>
      <c r="Z593" s="52">
        <v>0</v>
      </c>
      <c r="AA593" s="52">
        <v>1</v>
      </c>
      <c r="AB593" s="52">
        <v>0</v>
      </c>
      <c r="AC593" s="52">
        <v>25716800.719999999</v>
      </c>
      <c r="AD593" s="52">
        <v>25716800.719999999</v>
      </c>
      <c r="AE593" s="52">
        <v>0</v>
      </c>
      <c r="AF593" s="52">
        <v>0</v>
      </c>
      <c r="AG593" s="52">
        <v>0</v>
      </c>
      <c r="AH593" s="52">
        <v>0</v>
      </c>
      <c r="AI593" s="52">
        <v>0</v>
      </c>
      <c r="AJ593" s="52">
        <v>2</v>
      </c>
      <c r="AK593" s="52"/>
      <c r="AL593" s="52">
        <v>0</v>
      </c>
      <c r="AM593" s="52">
        <v>0</v>
      </c>
      <c r="AN593" s="52">
        <v>4494300000</v>
      </c>
      <c r="AO593" s="52">
        <v>2816052443.0999999</v>
      </c>
      <c r="AP593" s="52">
        <v>2816052443.0999999</v>
      </c>
      <c r="AQ593" s="58">
        <v>1</v>
      </c>
      <c r="AR593" s="58">
        <v>147940</v>
      </c>
      <c r="AS593" s="58">
        <v>0</v>
      </c>
      <c r="AT593" s="58">
        <v>0</v>
      </c>
      <c r="AU593" s="58">
        <v>267</v>
      </c>
      <c r="AV593" s="58">
        <v>74499513.780000001</v>
      </c>
      <c r="AW593" s="58">
        <v>60</v>
      </c>
      <c r="AX593" s="58">
        <v>31027686.84</v>
      </c>
    </row>
    <row r="594" spans="1:50" x14ac:dyDescent="0.25">
      <c r="A594" s="52">
        <f t="shared" si="35"/>
        <v>589</v>
      </c>
      <c r="B594" s="60" t="str">
        <f t="shared" si="34"/>
        <v>011256022267</v>
      </c>
      <c r="C594" s="55" t="s">
        <v>30</v>
      </c>
      <c r="D594" s="53" t="s">
        <v>2096</v>
      </c>
      <c r="E594" s="55" t="s">
        <v>693</v>
      </c>
      <c r="F594" s="53" t="s">
        <v>2115</v>
      </c>
      <c r="G594" s="55">
        <v>11782</v>
      </c>
      <c r="H594" s="53" t="s">
        <v>2531</v>
      </c>
      <c r="I594" s="55">
        <v>304109136</v>
      </c>
      <c r="J594" s="55" t="s">
        <v>944</v>
      </c>
      <c r="K594" s="55" t="s">
        <v>945</v>
      </c>
      <c r="L594" s="53" t="s">
        <v>2087</v>
      </c>
      <c r="M594" s="55" t="s">
        <v>75</v>
      </c>
      <c r="N594" s="52">
        <v>220000</v>
      </c>
      <c r="O594" s="52">
        <v>2654907200</v>
      </c>
      <c r="P594" s="52">
        <v>220000</v>
      </c>
      <c r="Q594" s="57">
        <v>45898</v>
      </c>
      <c r="R594" s="57">
        <v>46993</v>
      </c>
      <c r="S594" s="56">
        <v>12</v>
      </c>
      <c r="T594" s="54">
        <v>6</v>
      </c>
      <c r="U594" s="52">
        <v>2683802000</v>
      </c>
      <c r="V594" s="52">
        <v>2683802000</v>
      </c>
      <c r="W594" s="52">
        <v>0</v>
      </c>
      <c r="X594" s="57"/>
      <c r="Y594" s="52">
        <v>0</v>
      </c>
      <c r="Z594" s="52">
        <v>0</v>
      </c>
      <c r="AA594" s="52">
        <v>1</v>
      </c>
      <c r="AB594" s="52">
        <v>0</v>
      </c>
      <c r="AC594" s="52">
        <v>24154218</v>
      </c>
      <c r="AD594" s="52">
        <v>24154218</v>
      </c>
      <c r="AE594" s="52">
        <v>0</v>
      </c>
      <c r="AF594" s="52">
        <v>0</v>
      </c>
      <c r="AG594" s="52">
        <v>0</v>
      </c>
      <c r="AH594" s="52">
        <v>0</v>
      </c>
      <c r="AI594" s="52">
        <v>0</v>
      </c>
      <c r="AJ594" s="52">
        <v>2</v>
      </c>
      <c r="AK594" s="52"/>
      <c r="AL594" s="52">
        <v>0</v>
      </c>
      <c r="AM594" s="52">
        <v>0</v>
      </c>
      <c r="AN594" s="52">
        <v>4085714286</v>
      </c>
      <c r="AO594" s="52">
        <v>6270337.4000000004</v>
      </c>
      <c r="AP594" s="52">
        <v>6270337.4000000004</v>
      </c>
      <c r="AQ594" s="58">
        <v>0</v>
      </c>
      <c r="AR594" s="58">
        <v>0</v>
      </c>
      <c r="AS594" s="58">
        <v>0</v>
      </c>
      <c r="AT594" s="58">
        <v>0</v>
      </c>
      <c r="AU594" s="58">
        <v>0</v>
      </c>
      <c r="AV594" s="58">
        <v>0</v>
      </c>
      <c r="AW594" s="58">
        <v>0</v>
      </c>
      <c r="AX594" s="58">
        <v>0</v>
      </c>
    </row>
    <row r="595" spans="1:50" x14ac:dyDescent="0.25">
      <c r="A595" s="52">
        <f t="shared" si="35"/>
        <v>590</v>
      </c>
      <c r="B595" s="60" t="str">
        <f t="shared" si="34"/>
        <v>011255848211</v>
      </c>
      <c r="C595" s="55" t="s">
        <v>30</v>
      </c>
      <c r="D595" s="53" t="s">
        <v>2096</v>
      </c>
      <c r="E595" s="55" t="s">
        <v>693</v>
      </c>
      <c r="F595" s="53" t="s">
        <v>2115</v>
      </c>
      <c r="G595" s="55">
        <v>11782</v>
      </c>
      <c r="H595" s="53" t="s">
        <v>946</v>
      </c>
      <c r="I595" s="55">
        <v>311974784</v>
      </c>
      <c r="J595" s="55" t="s">
        <v>947</v>
      </c>
      <c r="K595" s="55" t="s">
        <v>948</v>
      </c>
      <c r="L595" s="53" t="s">
        <v>2087</v>
      </c>
      <c r="M595" s="55" t="s">
        <v>75</v>
      </c>
      <c r="N595" s="52">
        <v>190000</v>
      </c>
      <c r="O595" s="52">
        <v>2292874400</v>
      </c>
      <c r="P595" s="52"/>
      <c r="Q595" s="57">
        <v>45768</v>
      </c>
      <c r="R595" s="57">
        <v>46863</v>
      </c>
      <c r="S595" s="56">
        <v>12</v>
      </c>
      <c r="T595" s="54">
        <v>6</v>
      </c>
      <c r="U595" s="52">
        <v>2086058299.0999999</v>
      </c>
      <c r="V595" s="52">
        <v>2086058299.0999999</v>
      </c>
      <c r="W595" s="52">
        <v>0</v>
      </c>
      <c r="X595" s="57"/>
      <c r="Y595" s="52">
        <v>0</v>
      </c>
      <c r="Z595" s="52">
        <v>0</v>
      </c>
      <c r="AA595" s="52">
        <v>1</v>
      </c>
      <c r="AB595" s="52">
        <v>0</v>
      </c>
      <c r="AC595" s="52">
        <v>18178122.890000001</v>
      </c>
      <c r="AD595" s="52">
        <v>18178122.890000001</v>
      </c>
      <c r="AE595" s="52">
        <v>0</v>
      </c>
      <c r="AF595" s="52">
        <v>0</v>
      </c>
      <c r="AG595" s="52">
        <v>0</v>
      </c>
      <c r="AH595" s="52">
        <v>0</v>
      </c>
      <c r="AI595" s="52">
        <v>0</v>
      </c>
      <c r="AJ595" s="52">
        <v>2</v>
      </c>
      <c r="AK595" s="52"/>
      <c r="AL595" s="52">
        <v>0</v>
      </c>
      <c r="AM595" s="52">
        <v>0</v>
      </c>
      <c r="AN595" s="52">
        <v>3850000000</v>
      </c>
      <c r="AO595" s="52">
        <v>2436892216</v>
      </c>
      <c r="AP595" s="52">
        <v>8951882566.5</v>
      </c>
      <c r="AQ595" s="58">
        <v>0</v>
      </c>
      <c r="AR595" s="58">
        <v>0</v>
      </c>
      <c r="AS595" s="58">
        <v>0</v>
      </c>
      <c r="AT595" s="58">
        <v>0</v>
      </c>
      <c r="AU595" s="58">
        <v>0</v>
      </c>
      <c r="AV595" s="58">
        <v>0</v>
      </c>
      <c r="AW595" s="58">
        <v>0</v>
      </c>
      <c r="AX595" s="58">
        <v>0</v>
      </c>
    </row>
    <row r="596" spans="1:50" x14ac:dyDescent="0.25">
      <c r="A596" s="52">
        <f t="shared" si="35"/>
        <v>591</v>
      </c>
      <c r="B596" s="60" t="str">
        <f t="shared" si="34"/>
        <v>011256041470</v>
      </c>
      <c r="C596" s="55" t="s">
        <v>30</v>
      </c>
      <c r="D596" s="53" t="s">
        <v>2096</v>
      </c>
      <c r="E596" s="55" t="s">
        <v>693</v>
      </c>
      <c r="F596" s="53" t="s">
        <v>2115</v>
      </c>
      <c r="G596" s="55">
        <v>11782</v>
      </c>
      <c r="H596" s="53" t="s">
        <v>949</v>
      </c>
      <c r="I596" s="55">
        <v>312161276</v>
      </c>
      <c r="J596" s="55" t="s">
        <v>950</v>
      </c>
      <c r="K596" s="55" t="s">
        <v>951</v>
      </c>
      <c r="L596" s="53" t="s">
        <v>2087</v>
      </c>
      <c r="M596" s="55" t="s">
        <v>75</v>
      </c>
      <c r="N596" s="52">
        <v>155000</v>
      </c>
      <c r="O596" s="52">
        <v>1870502800</v>
      </c>
      <c r="P596" s="52">
        <v>155000</v>
      </c>
      <c r="Q596" s="57">
        <v>45915</v>
      </c>
      <c r="R596" s="57">
        <v>47007</v>
      </c>
      <c r="S596" s="56">
        <v>12</v>
      </c>
      <c r="T596" s="54">
        <v>0</v>
      </c>
      <c r="U596" s="52">
        <v>1890860500</v>
      </c>
      <c r="V596" s="52">
        <v>1680743201.5999999</v>
      </c>
      <c r="W596" s="52">
        <v>210117298.40000001</v>
      </c>
      <c r="X596" s="57">
        <v>45936</v>
      </c>
      <c r="Y596" s="52">
        <v>0</v>
      </c>
      <c r="Z596" s="52">
        <v>0</v>
      </c>
      <c r="AA596" s="52">
        <v>3</v>
      </c>
      <c r="AB596" s="52">
        <v>472715125</v>
      </c>
      <c r="AC596" s="52">
        <v>86575304.829999998</v>
      </c>
      <c r="AD596" s="52">
        <v>15144206.720000001</v>
      </c>
      <c r="AE596" s="52">
        <v>0</v>
      </c>
      <c r="AF596" s="52">
        <v>71431098.109999999</v>
      </c>
      <c r="AG596" s="52">
        <v>0</v>
      </c>
      <c r="AH596" s="52">
        <v>0</v>
      </c>
      <c r="AI596" s="52">
        <v>0</v>
      </c>
      <c r="AJ596" s="52">
        <v>2</v>
      </c>
      <c r="AK596" s="52"/>
      <c r="AL596" s="52">
        <v>0</v>
      </c>
      <c r="AM596" s="52">
        <v>0</v>
      </c>
      <c r="AN596" s="52">
        <v>2878571429</v>
      </c>
      <c r="AO596" s="52">
        <v>0</v>
      </c>
      <c r="AP596" s="52">
        <v>0</v>
      </c>
      <c r="AQ596" s="58">
        <v>0</v>
      </c>
      <c r="AR596" s="58">
        <v>0</v>
      </c>
      <c r="AS596" s="58">
        <v>0</v>
      </c>
      <c r="AT596" s="58">
        <v>0</v>
      </c>
      <c r="AU596" s="58">
        <v>0</v>
      </c>
      <c r="AV596" s="58">
        <v>0</v>
      </c>
      <c r="AW596" s="58">
        <v>0</v>
      </c>
      <c r="AX596" s="58">
        <v>0</v>
      </c>
    </row>
    <row r="597" spans="1:50" x14ac:dyDescent="0.25">
      <c r="A597" s="52">
        <f t="shared" si="35"/>
        <v>592</v>
      </c>
      <c r="B597" s="60" t="str">
        <f t="shared" si="34"/>
        <v>011256020356</v>
      </c>
      <c r="C597" s="55" t="s">
        <v>30</v>
      </c>
      <c r="D597" s="53" t="s">
        <v>2096</v>
      </c>
      <c r="E597" s="55" t="s">
        <v>693</v>
      </c>
      <c r="F597" s="53" t="s">
        <v>2115</v>
      </c>
      <c r="G597" s="55">
        <v>11782</v>
      </c>
      <c r="H597" s="53" t="s">
        <v>952</v>
      </c>
      <c r="I597" s="55">
        <v>306230137</v>
      </c>
      <c r="J597" s="55" t="s">
        <v>953</v>
      </c>
      <c r="K597" s="55" t="s">
        <v>954</v>
      </c>
      <c r="L597" s="53" t="s">
        <v>2087</v>
      </c>
      <c r="M597" s="55" t="s">
        <v>75</v>
      </c>
      <c r="N597" s="52">
        <v>145000</v>
      </c>
      <c r="O597" s="52">
        <v>1749825200</v>
      </c>
      <c r="P597" s="52">
        <v>145000</v>
      </c>
      <c r="Q597" s="57">
        <v>45896</v>
      </c>
      <c r="R597" s="57">
        <v>46991</v>
      </c>
      <c r="S597" s="56">
        <v>12</v>
      </c>
      <c r="T597" s="54">
        <v>0</v>
      </c>
      <c r="U597" s="52">
        <v>1566706014.8</v>
      </c>
      <c r="V597" s="52">
        <v>1566706014.8</v>
      </c>
      <c r="W597" s="52">
        <v>0</v>
      </c>
      <c r="X597" s="57"/>
      <c r="Y597" s="52">
        <v>0</v>
      </c>
      <c r="Z597" s="52">
        <v>0</v>
      </c>
      <c r="AA597" s="52">
        <v>1</v>
      </c>
      <c r="AB597" s="52">
        <v>0</v>
      </c>
      <c r="AC597" s="52">
        <v>14117286.48</v>
      </c>
      <c r="AD597" s="52">
        <v>14117286.48</v>
      </c>
      <c r="AE597" s="52">
        <v>0</v>
      </c>
      <c r="AF597" s="52">
        <v>0</v>
      </c>
      <c r="AG597" s="52">
        <v>0</v>
      </c>
      <c r="AH597" s="52">
        <v>0</v>
      </c>
      <c r="AI597" s="52">
        <v>0</v>
      </c>
      <c r="AJ597" s="52">
        <v>2</v>
      </c>
      <c r="AK597" s="52"/>
      <c r="AL597" s="52">
        <v>0</v>
      </c>
      <c r="AM597" s="52">
        <v>0</v>
      </c>
      <c r="AN597" s="52">
        <v>2692857143</v>
      </c>
      <c r="AO597" s="52">
        <v>76854330</v>
      </c>
      <c r="AP597" s="52">
        <v>76854330</v>
      </c>
      <c r="AQ597" s="58">
        <v>0</v>
      </c>
      <c r="AR597" s="58">
        <v>0</v>
      </c>
      <c r="AS597" s="58">
        <v>0</v>
      </c>
      <c r="AT597" s="58">
        <v>0</v>
      </c>
      <c r="AU597" s="58">
        <v>0</v>
      </c>
      <c r="AV597" s="58">
        <v>0</v>
      </c>
      <c r="AW597" s="58">
        <v>0</v>
      </c>
      <c r="AX597" s="58">
        <v>0</v>
      </c>
    </row>
    <row r="598" spans="1:50" x14ac:dyDescent="0.25">
      <c r="A598" s="52">
        <f t="shared" si="35"/>
        <v>593</v>
      </c>
      <c r="B598" s="60" t="str">
        <f t="shared" si="34"/>
        <v>011255303146</v>
      </c>
      <c r="C598" s="55" t="s">
        <v>30</v>
      </c>
      <c r="D598" s="53" t="s">
        <v>2096</v>
      </c>
      <c r="E598" s="55" t="s">
        <v>693</v>
      </c>
      <c r="F598" s="53" t="s">
        <v>2115</v>
      </c>
      <c r="G598" s="55">
        <v>11782</v>
      </c>
      <c r="H598" s="53" t="s">
        <v>955</v>
      </c>
      <c r="I598" s="55">
        <v>305079103</v>
      </c>
      <c r="J598" s="55" t="s">
        <v>956</v>
      </c>
      <c r="K598" s="55" t="s">
        <v>957</v>
      </c>
      <c r="L598" s="53" t="s">
        <v>2087</v>
      </c>
      <c r="M598" s="55" t="s">
        <v>49</v>
      </c>
      <c r="N598" s="52">
        <v>2000000000</v>
      </c>
      <c r="O598" s="52">
        <v>2000000000</v>
      </c>
      <c r="P598" s="52">
        <v>2000000000</v>
      </c>
      <c r="Q598" s="57">
        <v>45436</v>
      </c>
      <c r="R598" s="57">
        <v>47261</v>
      </c>
      <c r="S598" s="56">
        <v>14</v>
      </c>
      <c r="T598" s="54">
        <v>24</v>
      </c>
      <c r="U598" s="52">
        <v>1528999979.2</v>
      </c>
      <c r="V598" s="52">
        <v>1528999979.2</v>
      </c>
      <c r="W598" s="52">
        <v>0</v>
      </c>
      <c r="X598" s="57"/>
      <c r="Y598" s="52">
        <v>0</v>
      </c>
      <c r="Z598" s="52">
        <v>0</v>
      </c>
      <c r="AA598" s="52">
        <v>1</v>
      </c>
      <c r="AB598" s="52">
        <v>0</v>
      </c>
      <c r="AC598" s="52">
        <v>15834575.130000001</v>
      </c>
      <c r="AD598" s="52">
        <v>15834575.130000001</v>
      </c>
      <c r="AE598" s="52">
        <v>0</v>
      </c>
      <c r="AF598" s="52">
        <v>0</v>
      </c>
      <c r="AG598" s="52">
        <v>0</v>
      </c>
      <c r="AH598" s="52">
        <v>0</v>
      </c>
      <c r="AI598" s="52">
        <v>0</v>
      </c>
      <c r="AJ598" s="52">
        <v>2</v>
      </c>
      <c r="AK598" s="52"/>
      <c r="AL598" s="52">
        <v>0</v>
      </c>
      <c r="AM598" s="52">
        <v>0</v>
      </c>
      <c r="AN598" s="52">
        <v>2500000000</v>
      </c>
      <c r="AO598" s="52">
        <v>657109945</v>
      </c>
      <c r="AP598" s="52">
        <v>375145088</v>
      </c>
      <c r="AQ598" s="58">
        <v>0</v>
      </c>
      <c r="AR598" s="58">
        <v>0</v>
      </c>
      <c r="AS598" s="58">
        <v>0</v>
      </c>
      <c r="AT598" s="58">
        <v>0</v>
      </c>
      <c r="AU598" s="58">
        <v>0</v>
      </c>
      <c r="AV598" s="58">
        <v>0</v>
      </c>
      <c r="AW598" s="58">
        <v>0</v>
      </c>
      <c r="AX598" s="58">
        <v>0</v>
      </c>
    </row>
    <row r="599" spans="1:50" x14ac:dyDescent="0.25">
      <c r="A599" s="52">
        <f t="shared" si="35"/>
        <v>594</v>
      </c>
      <c r="B599" s="60" t="str">
        <f t="shared" si="34"/>
        <v>011256065820</v>
      </c>
      <c r="C599" s="55" t="s">
        <v>30</v>
      </c>
      <c r="D599" s="53" t="s">
        <v>2096</v>
      </c>
      <c r="E599" s="55" t="s">
        <v>693</v>
      </c>
      <c r="F599" s="53" t="s">
        <v>2115</v>
      </c>
      <c r="G599" s="55">
        <v>11782</v>
      </c>
      <c r="H599" s="53" t="s">
        <v>958</v>
      </c>
      <c r="I599" s="55">
        <v>312361344</v>
      </c>
      <c r="J599" s="55" t="s">
        <v>959</v>
      </c>
      <c r="K599" s="55" t="s">
        <v>960</v>
      </c>
      <c r="L599" s="53" t="s">
        <v>2087</v>
      </c>
      <c r="M599" s="55" t="s">
        <v>75</v>
      </c>
      <c r="N599" s="52">
        <v>100000</v>
      </c>
      <c r="O599" s="52">
        <v>1206776000</v>
      </c>
      <c r="P599" s="52">
        <v>100000</v>
      </c>
      <c r="Q599" s="57">
        <v>45926</v>
      </c>
      <c r="R599" s="57">
        <v>47021</v>
      </c>
      <c r="S599" s="56">
        <v>12</v>
      </c>
      <c r="T599" s="54">
        <v>6</v>
      </c>
      <c r="U599" s="52">
        <v>1219016903.8900001</v>
      </c>
      <c r="V599" s="52">
        <v>1219016903.8900001</v>
      </c>
      <c r="W599" s="52">
        <v>0</v>
      </c>
      <c r="X599" s="57"/>
      <c r="Y599" s="52">
        <v>0</v>
      </c>
      <c r="Z599" s="52">
        <v>0</v>
      </c>
      <c r="AA599" s="52">
        <v>1</v>
      </c>
      <c r="AB599" s="52">
        <v>0</v>
      </c>
      <c r="AC599" s="52">
        <v>10976750.18</v>
      </c>
      <c r="AD599" s="52">
        <v>10976750.18</v>
      </c>
      <c r="AE599" s="52">
        <v>0</v>
      </c>
      <c r="AF599" s="52">
        <v>0</v>
      </c>
      <c r="AG599" s="52">
        <v>0</v>
      </c>
      <c r="AH599" s="52">
        <v>0</v>
      </c>
      <c r="AI599" s="52">
        <v>0</v>
      </c>
      <c r="AJ599" s="52">
        <v>2</v>
      </c>
      <c r="AK599" s="52"/>
      <c r="AL599" s="52">
        <v>888953</v>
      </c>
      <c r="AM599" s="52">
        <v>0</v>
      </c>
      <c r="AN599" s="52">
        <v>1857142858</v>
      </c>
      <c r="AO599" s="52">
        <v>0</v>
      </c>
      <c r="AP599" s="52">
        <v>0</v>
      </c>
      <c r="AQ599" s="58">
        <v>0</v>
      </c>
      <c r="AR599" s="58">
        <v>0</v>
      </c>
      <c r="AS599" s="58">
        <v>0</v>
      </c>
      <c r="AT599" s="58">
        <v>0</v>
      </c>
      <c r="AU599" s="58">
        <v>0</v>
      </c>
      <c r="AV599" s="58">
        <v>0</v>
      </c>
      <c r="AW599" s="58">
        <v>0</v>
      </c>
      <c r="AX599" s="58">
        <v>0</v>
      </c>
    </row>
    <row r="600" spans="1:50" x14ac:dyDescent="0.25">
      <c r="A600" s="52">
        <f t="shared" si="35"/>
        <v>595</v>
      </c>
      <c r="B600" s="60" t="str">
        <f t="shared" si="34"/>
        <v>011255882699</v>
      </c>
      <c r="C600" s="55" t="s">
        <v>30</v>
      </c>
      <c r="D600" s="53" t="s">
        <v>2096</v>
      </c>
      <c r="E600" s="55" t="s">
        <v>693</v>
      </c>
      <c r="F600" s="53" t="s">
        <v>2115</v>
      </c>
      <c r="G600" s="55">
        <v>11782</v>
      </c>
      <c r="H600" s="53" t="s">
        <v>961</v>
      </c>
      <c r="I600" s="55">
        <v>311933644</v>
      </c>
      <c r="J600" s="55" t="s">
        <v>962</v>
      </c>
      <c r="K600" s="55" t="s">
        <v>963</v>
      </c>
      <c r="L600" s="53" t="s">
        <v>2087</v>
      </c>
      <c r="M600" s="55" t="s">
        <v>75</v>
      </c>
      <c r="N600" s="52">
        <v>100000</v>
      </c>
      <c r="O600" s="52">
        <v>1206776000</v>
      </c>
      <c r="P600" s="52">
        <v>100000</v>
      </c>
      <c r="Q600" s="57">
        <v>45798</v>
      </c>
      <c r="R600" s="57">
        <v>46893</v>
      </c>
      <c r="S600" s="56">
        <v>12</v>
      </c>
      <c r="T600" s="54">
        <v>0</v>
      </c>
      <c r="U600" s="52">
        <v>948454162.90999997</v>
      </c>
      <c r="V600" s="52">
        <v>948454162.90999997</v>
      </c>
      <c r="W600" s="52">
        <v>0</v>
      </c>
      <c r="X600" s="57"/>
      <c r="Y600" s="52">
        <v>0</v>
      </c>
      <c r="Z600" s="52">
        <v>0</v>
      </c>
      <c r="AA600" s="52">
        <v>1</v>
      </c>
      <c r="AB600" s="52">
        <v>0</v>
      </c>
      <c r="AC600" s="52">
        <v>8550349.1899999995</v>
      </c>
      <c r="AD600" s="52">
        <v>8550349.1899999995</v>
      </c>
      <c r="AE600" s="52">
        <v>0</v>
      </c>
      <c r="AF600" s="52">
        <v>0</v>
      </c>
      <c r="AG600" s="52">
        <v>0</v>
      </c>
      <c r="AH600" s="52">
        <v>0</v>
      </c>
      <c r="AI600" s="52">
        <v>0</v>
      </c>
      <c r="AJ600" s="52">
        <v>2</v>
      </c>
      <c r="AK600" s="52"/>
      <c r="AL600" s="52">
        <v>1520000</v>
      </c>
      <c r="AM600" s="52">
        <v>0</v>
      </c>
      <c r="AN600" s="52">
        <v>1860000000</v>
      </c>
      <c r="AO600" s="52">
        <v>1255287390</v>
      </c>
      <c r="AP600" s="52">
        <v>10830336581.800001</v>
      </c>
      <c r="AQ600" s="58">
        <v>0</v>
      </c>
      <c r="AR600" s="58">
        <v>0</v>
      </c>
      <c r="AS600" s="58">
        <v>0</v>
      </c>
      <c r="AT600" s="58">
        <v>0</v>
      </c>
      <c r="AU600" s="58">
        <v>0</v>
      </c>
      <c r="AV600" s="58">
        <v>0</v>
      </c>
      <c r="AW600" s="58">
        <v>0</v>
      </c>
      <c r="AX600" s="58">
        <v>0</v>
      </c>
    </row>
    <row r="601" spans="1:50" x14ac:dyDescent="0.25">
      <c r="A601" s="52">
        <f t="shared" si="35"/>
        <v>596</v>
      </c>
      <c r="B601" s="60" t="str">
        <f t="shared" si="34"/>
        <v>011254199221</v>
      </c>
      <c r="C601" s="55" t="s">
        <v>30</v>
      </c>
      <c r="D601" s="53" t="s">
        <v>2096</v>
      </c>
      <c r="E601" s="55" t="s">
        <v>693</v>
      </c>
      <c r="F601" s="53" t="s">
        <v>2103</v>
      </c>
      <c r="G601" s="55">
        <v>11799</v>
      </c>
      <c r="H601" s="53" t="s">
        <v>2504</v>
      </c>
      <c r="I601" s="55">
        <v>203071206</v>
      </c>
      <c r="J601" s="55" t="s">
        <v>964</v>
      </c>
      <c r="K601" s="55" t="s">
        <v>965</v>
      </c>
      <c r="L601" s="53" t="s">
        <v>2045</v>
      </c>
      <c r="M601" s="55" t="s">
        <v>49</v>
      </c>
      <c r="N601" s="52">
        <v>183000000000</v>
      </c>
      <c r="O601" s="52">
        <v>183000000000</v>
      </c>
      <c r="P601" s="52">
        <v>183000000000</v>
      </c>
      <c r="Q601" s="57">
        <v>43749</v>
      </c>
      <c r="R601" s="57">
        <v>46310</v>
      </c>
      <c r="S601" s="56">
        <v>6</v>
      </c>
      <c r="T601" s="54">
        <v>4</v>
      </c>
      <c r="U601" s="52">
        <v>29880515046</v>
      </c>
      <c r="V601" s="52">
        <v>26892463542</v>
      </c>
      <c r="W601" s="52">
        <v>2988051504</v>
      </c>
      <c r="X601" s="57">
        <v>46037</v>
      </c>
      <c r="Y601" s="52">
        <v>0</v>
      </c>
      <c r="Z601" s="52">
        <v>0</v>
      </c>
      <c r="AA601" s="52">
        <v>1</v>
      </c>
      <c r="AB601" s="52">
        <v>0</v>
      </c>
      <c r="AC601" s="52">
        <v>1113770127.04</v>
      </c>
      <c r="AD601" s="52">
        <v>75151541.950000003</v>
      </c>
      <c r="AE601" s="52">
        <v>0</v>
      </c>
      <c r="AF601" s="52">
        <v>170591760.53999999</v>
      </c>
      <c r="AG601" s="52">
        <v>868026824.54999995</v>
      </c>
      <c r="AH601" s="52">
        <v>0</v>
      </c>
      <c r="AI601" s="52">
        <v>0</v>
      </c>
      <c r="AJ601" s="52">
        <v>2</v>
      </c>
      <c r="AK601" s="52"/>
      <c r="AL601" s="52">
        <v>0</v>
      </c>
      <c r="AM601" s="52">
        <v>0</v>
      </c>
      <c r="AN601" s="52">
        <v>183000000000</v>
      </c>
      <c r="AO601" s="52">
        <v>88000000000</v>
      </c>
      <c r="AP601" s="52">
        <v>88000000000</v>
      </c>
      <c r="AQ601" s="58">
        <v>0</v>
      </c>
      <c r="AR601" s="58">
        <v>0</v>
      </c>
      <c r="AS601" s="58">
        <v>0</v>
      </c>
      <c r="AT601" s="58">
        <v>0</v>
      </c>
      <c r="AU601" s="58">
        <v>0</v>
      </c>
      <c r="AV601" s="58">
        <v>0</v>
      </c>
      <c r="AW601" s="58">
        <v>25</v>
      </c>
      <c r="AX601" s="58">
        <v>4991749.07</v>
      </c>
    </row>
    <row r="602" spans="1:50" x14ac:dyDescent="0.25">
      <c r="A602" s="52">
        <f t="shared" si="35"/>
        <v>597</v>
      </c>
      <c r="B602" s="60" t="str">
        <f t="shared" si="34"/>
        <v>011254217351</v>
      </c>
      <c r="C602" s="55" t="s">
        <v>30</v>
      </c>
      <c r="D602" s="53" t="s">
        <v>2096</v>
      </c>
      <c r="E602" s="55" t="s">
        <v>693</v>
      </c>
      <c r="F602" s="53" t="s">
        <v>2103</v>
      </c>
      <c r="G602" s="55">
        <v>11799</v>
      </c>
      <c r="H602" s="53" t="s">
        <v>2532</v>
      </c>
      <c r="I602" s="55">
        <v>308181047</v>
      </c>
      <c r="J602" s="55" t="s">
        <v>966</v>
      </c>
      <c r="K602" s="55" t="s">
        <v>967</v>
      </c>
      <c r="L602" s="53" t="s">
        <v>2045</v>
      </c>
      <c r="M602" s="55" t="s">
        <v>75</v>
      </c>
      <c r="N602" s="52">
        <v>1354385.59</v>
      </c>
      <c r="O602" s="52">
        <v>16344400247.58</v>
      </c>
      <c r="P602" s="52">
        <v>16344400247.58</v>
      </c>
      <c r="Q602" s="57">
        <v>44389</v>
      </c>
      <c r="R602" s="57">
        <v>49470</v>
      </c>
      <c r="S602" s="56">
        <v>8.0110899999999994</v>
      </c>
      <c r="T602" s="54">
        <v>36</v>
      </c>
      <c r="U602" s="52">
        <v>14360185691.879999</v>
      </c>
      <c r="V602" s="52">
        <v>14360185691.879999</v>
      </c>
      <c r="W602" s="52">
        <v>0</v>
      </c>
      <c r="X602" s="57"/>
      <c r="Y602" s="52">
        <v>0</v>
      </c>
      <c r="Z602" s="52">
        <v>0</v>
      </c>
      <c r="AA602" s="52">
        <v>5</v>
      </c>
      <c r="AB602" s="52">
        <v>14360185691.879999</v>
      </c>
      <c r="AC602" s="52">
        <v>2273476122.1800003</v>
      </c>
      <c r="AD602" s="52">
        <v>162974364.41</v>
      </c>
      <c r="AE602" s="52">
        <v>0</v>
      </c>
      <c r="AF602" s="52">
        <v>1809338184.3900001</v>
      </c>
      <c r="AG602" s="52">
        <v>301163573.38</v>
      </c>
      <c r="AH602" s="52">
        <v>0</v>
      </c>
      <c r="AI602" s="52">
        <v>0</v>
      </c>
      <c r="AJ602" s="52">
        <v>2</v>
      </c>
      <c r="AK602" s="52"/>
      <c r="AL602" s="52">
        <v>1406516800</v>
      </c>
      <c r="AM602" s="52">
        <v>1392133800</v>
      </c>
      <c r="AN602" s="52">
        <v>21902000000</v>
      </c>
      <c r="AO602" s="52">
        <v>5592000000</v>
      </c>
      <c r="AP602" s="52">
        <v>5592000000</v>
      </c>
      <c r="AQ602" s="58">
        <v>0</v>
      </c>
      <c r="AR602" s="58">
        <v>0</v>
      </c>
      <c r="AS602" s="58">
        <v>0</v>
      </c>
      <c r="AT602" s="58">
        <v>0</v>
      </c>
      <c r="AU602" s="58">
        <v>1</v>
      </c>
      <c r="AV602" s="58">
        <v>1945290.41</v>
      </c>
      <c r="AW602" s="58">
        <v>2</v>
      </c>
      <c r="AX602" s="58">
        <v>1177151.24</v>
      </c>
    </row>
    <row r="603" spans="1:50" x14ac:dyDescent="0.25">
      <c r="A603" s="52">
        <f t="shared" si="35"/>
        <v>598</v>
      </c>
      <c r="B603" s="60" t="str">
        <f t="shared" si="34"/>
        <v>011254197660</v>
      </c>
      <c r="C603" s="55" t="s">
        <v>30</v>
      </c>
      <c r="D603" s="53" t="s">
        <v>2096</v>
      </c>
      <c r="E603" s="55" t="s">
        <v>693</v>
      </c>
      <c r="F603" s="53" t="s">
        <v>2103</v>
      </c>
      <c r="G603" s="55">
        <v>11799</v>
      </c>
      <c r="H603" s="53" t="s">
        <v>2533</v>
      </c>
      <c r="I603" s="55">
        <v>304916454</v>
      </c>
      <c r="J603" s="55" t="s">
        <v>968</v>
      </c>
      <c r="K603" s="55" t="s">
        <v>969</v>
      </c>
      <c r="L603" s="53" t="s">
        <v>2035</v>
      </c>
      <c r="M603" s="55" t="s">
        <v>75</v>
      </c>
      <c r="N603" s="52">
        <v>1182000</v>
      </c>
      <c r="O603" s="52">
        <v>14264092320</v>
      </c>
      <c r="P603" s="52">
        <v>14264092320</v>
      </c>
      <c r="Q603" s="57">
        <v>43654</v>
      </c>
      <c r="R603" s="57">
        <v>48648</v>
      </c>
      <c r="S603" s="56">
        <v>5.19109</v>
      </c>
      <c r="T603" s="54">
        <v>60</v>
      </c>
      <c r="U603" s="52">
        <v>11808168617.33</v>
      </c>
      <c r="V603" s="52">
        <v>11808168617.33</v>
      </c>
      <c r="W603" s="52">
        <v>0</v>
      </c>
      <c r="X603" s="57"/>
      <c r="Y603" s="52">
        <v>0</v>
      </c>
      <c r="Z603" s="52">
        <v>0</v>
      </c>
      <c r="AA603" s="52">
        <v>1</v>
      </c>
      <c r="AB603" s="52">
        <v>0</v>
      </c>
      <c r="AC603" s="52">
        <v>967145989.90999997</v>
      </c>
      <c r="AD603" s="52">
        <v>229597431.24000001</v>
      </c>
      <c r="AE603" s="52">
        <v>737548558.66999996</v>
      </c>
      <c r="AF603" s="52">
        <v>0</v>
      </c>
      <c r="AG603" s="52">
        <v>0</v>
      </c>
      <c r="AH603" s="52">
        <v>0</v>
      </c>
      <c r="AI603" s="52">
        <v>0</v>
      </c>
      <c r="AJ603" s="52">
        <v>2</v>
      </c>
      <c r="AK603" s="52"/>
      <c r="AL603" s="52">
        <v>292753600</v>
      </c>
      <c r="AM603" s="52">
        <v>292753600</v>
      </c>
      <c r="AN603" s="52">
        <v>17134200000</v>
      </c>
      <c r="AO603" s="52">
        <v>2500000000</v>
      </c>
      <c r="AP603" s="52">
        <v>2500000000</v>
      </c>
      <c r="AQ603" s="58">
        <v>0</v>
      </c>
      <c r="AR603" s="58">
        <v>0</v>
      </c>
      <c r="AS603" s="58">
        <v>0</v>
      </c>
      <c r="AT603" s="58">
        <v>0</v>
      </c>
      <c r="AU603" s="58">
        <v>0</v>
      </c>
      <c r="AV603" s="58">
        <v>0</v>
      </c>
      <c r="AW603" s="58">
        <v>1</v>
      </c>
      <c r="AX603" s="58">
        <v>118200</v>
      </c>
    </row>
    <row r="604" spans="1:50" x14ac:dyDescent="0.25">
      <c r="A604" s="52">
        <f t="shared" si="35"/>
        <v>599</v>
      </c>
      <c r="B604" s="60" t="str">
        <f t="shared" si="34"/>
        <v>011254241481</v>
      </c>
      <c r="C604" s="55" t="s">
        <v>30</v>
      </c>
      <c r="D604" s="53" t="s">
        <v>2096</v>
      </c>
      <c r="E604" s="55" t="s">
        <v>693</v>
      </c>
      <c r="F604" s="53" t="s">
        <v>2103</v>
      </c>
      <c r="G604" s="55">
        <v>11799</v>
      </c>
      <c r="H604" s="53" t="s">
        <v>2534</v>
      </c>
      <c r="I604" s="55">
        <v>206539624</v>
      </c>
      <c r="J604" s="55" t="s">
        <v>970</v>
      </c>
      <c r="K604" s="55" t="s">
        <v>971</v>
      </c>
      <c r="L604" s="53" t="s">
        <v>2035</v>
      </c>
      <c r="M604" s="55" t="s">
        <v>49</v>
      </c>
      <c r="N604" s="52">
        <v>4950000000</v>
      </c>
      <c r="O604" s="52">
        <v>4950000000</v>
      </c>
      <c r="P604" s="52">
        <v>4950000000</v>
      </c>
      <c r="Q604" s="57">
        <v>44925</v>
      </c>
      <c r="R604" s="57">
        <v>47480</v>
      </c>
      <c r="S604" s="56">
        <v>15</v>
      </c>
      <c r="T604" s="54">
        <v>36</v>
      </c>
      <c r="U604" s="52">
        <v>3600000000</v>
      </c>
      <c r="V604" s="52">
        <v>3600000000</v>
      </c>
      <c r="W604" s="52">
        <v>0</v>
      </c>
      <c r="X604" s="57"/>
      <c r="Y604" s="52">
        <v>0</v>
      </c>
      <c r="Z604" s="52">
        <v>0</v>
      </c>
      <c r="AA604" s="52">
        <v>3</v>
      </c>
      <c r="AB604" s="52">
        <v>3600000000</v>
      </c>
      <c r="AC604" s="52">
        <v>392185004.57999998</v>
      </c>
      <c r="AD604" s="52">
        <v>123719178.08</v>
      </c>
      <c r="AE604" s="52">
        <v>0</v>
      </c>
      <c r="AF604" s="52">
        <v>268465826.5</v>
      </c>
      <c r="AG604" s="52">
        <v>0</v>
      </c>
      <c r="AH604" s="52">
        <v>0</v>
      </c>
      <c r="AI604" s="52">
        <v>0</v>
      </c>
      <c r="AJ604" s="52">
        <v>2</v>
      </c>
      <c r="AK604" s="52"/>
      <c r="AL604" s="52">
        <v>15342534193</v>
      </c>
      <c r="AM604" s="52">
        <v>2488032008</v>
      </c>
      <c r="AN604" s="52">
        <v>6187500000</v>
      </c>
      <c r="AO604" s="52">
        <v>726000000</v>
      </c>
      <c r="AP604" s="52">
        <v>726000000</v>
      </c>
      <c r="AQ604" s="58">
        <v>0</v>
      </c>
      <c r="AR604" s="58">
        <v>0</v>
      </c>
      <c r="AS604" s="58">
        <v>0</v>
      </c>
      <c r="AT604" s="58">
        <v>0</v>
      </c>
      <c r="AU604" s="58">
        <v>0</v>
      </c>
      <c r="AV604" s="58">
        <v>0</v>
      </c>
      <c r="AW604" s="58">
        <v>1</v>
      </c>
      <c r="AX604" s="58">
        <v>434820.38</v>
      </c>
    </row>
    <row r="605" spans="1:50" x14ac:dyDescent="0.25">
      <c r="A605" s="52">
        <f t="shared" si="35"/>
        <v>600</v>
      </c>
      <c r="B605" s="60" t="str">
        <f t="shared" si="34"/>
        <v>011255922520</v>
      </c>
      <c r="C605" s="55" t="s">
        <v>30</v>
      </c>
      <c r="D605" s="53" t="s">
        <v>2096</v>
      </c>
      <c r="E605" s="55" t="s">
        <v>693</v>
      </c>
      <c r="F605" s="53" t="s">
        <v>2103</v>
      </c>
      <c r="G605" s="55">
        <v>11799</v>
      </c>
      <c r="H605" s="53" t="s">
        <v>2535</v>
      </c>
      <c r="I605" s="55">
        <v>307174902</v>
      </c>
      <c r="J605" s="55" t="s">
        <v>972</v>
      </c>
      <c r="K605" s="55" t="s">
        <v>973</v>
      </c>
      <c r="L605" s="53" t="s">
        <v>2035</v>
      </c>
      <c r="M605" s="55" t="s">
        <v>75</v>
      </c>
      <c r="N605" s="52">
        <v>250000</v>
      </c>
      <c r="O605" s="52">
        <v>3016940000</v>
      </c>
      <c r="P605" s="52">
        <v>3016940000</v>
      </c>
      <c r="Q605" s="57">
        <v>45839</v>
      </c>
      <c r="R605" s="57">
        <v>46934</v>
      </c>
      <c r="S605" s="56">
        <v>12</v>
      </c>
      <c r="T605" s="54">
        <v>6</v>
      </c>
      <c r="U605" s="52">
        <v>3049775000</v>
      </c>
      <c r="V605" s="52">
        <v>3049775000</v>
      </c>
      <c r="W605" s="52">
        <v>0</v>
      </c>
      <c r="X605" s="57"/>
      <c r="Y605" s="52">
        <v>0</v>
      </c>
      <c r="Z605" s="52">
        <v>0</v>
      </c>
      <c r="AA605" s="52">
        <v>1</v>
      </c>
      <c r="AB605" s="52">
        <v>0</v>
      </c>
      <c r="AC605" s="52">
        <v>27447975</v>
      </c>
      <c r="AD605" s="52">
        <v>27447975</v>
      </c>
      <c r="AE605" s="52">
        <v>0</v>
      </c>
      <c r="AF605" s="52">
        <v>0</v>
      </c>
      <c r="AG605" s="52">
        <v>0</v>
      </c>
      <c r="AH605" s="52">
        <v>0</v>
      </c>
      <c r="AI605" s="52">
        <v>0</v>
      </c>
      <c r="AJ605" s="52">
        <v>2</v>
      </c>
      <c r="AK605" s="52"/>
      <c r="AL605" s="52">
        <v>0</v>
      </c>
      <c r="AM605" s="52">
        <v>0</v>
      </c>
      <c r="AN605" s="52">
        <v>4642857143</v>
      </c>
      <c r="AO605" s="52">
        <v>89000040</v>
      </c>
      <c r="AP605" s="52">
        <v>89000040</v>
      </c>
      <c r="AQ605" s="58">
        <v>0</v>
      </c>
      <c r="AR605" s="58">
        <v>0</v>
      </c>
      <c r="AS605" s="58">
        <v>0</v>
      </c>
      <c r="AT605" s="58">
        <v>0</v>
      </c>
      <c r="AU605" s="58">
        <v>16</v>
      </c>
      <c r="AV605" s="58">
        <v>567230.42999999993</v>
      </c>
      <c r="AW605" s="58">
        <v>1</v>
      </c>
      <c r="AX605" s="58">
        <v>250000</v>
      </c>
    </row>
    <row r="606" spans="1:50" x14ac:dyDescent="0.25">
      <c r="A606" s="52">
        <f t="shared" si="35"/>
        <v>601</v>
      </c>
      <c r="B606" s="60" t="str">
        <f t="shared" si="34"/>
        <v>011256033839</v>
      </c>
      <c r="C606" s="55" t="s">
        <v>30</v>
      </c>
      <c r="D606" s="53" t="s">
        <v>2096</v>
      </c>
      <c r="E606" s="55" t="s">
        <v>693</v>
      </c>
      <c r="F606" s="53" t="s">
        <v>2103</v>
      </c>
      <c r="G606" s="55">
        <v>11799</v>
      </c>
      <c r="H606" s="53" t="s">
        <v>974</v>
      </c>
      <c r="I606" s="55">
        <v>312374897</v>
      </c>
      <c r="J606" s="55" t="s">
        <v>975</v>
      </c>
      <c r="K606" s="55" t="s">
        <v>976</v>
      </c>
      <c r="L606" s="53" t="s">
        <v>2035</v>
      </c>
      <c r="M606" s="55" t="s">
        <v>75</v>
      </c>
      <c r="N606" s="52">
        <v>250000</v>
      </c>
      <c r="O606" s="52">
        <v>3016940000</v>
      </c>
      <c r="P606" s="52">
        <v>3016940000</v>
      </c>
      <c r="Q606" s="57">
        <v>45904</v>
      </c>
      <c r="R606" s="57">
        <v>46999</v>
      </c>
      <c r="S606" s="56">
        <v>12</v>
      </c>
      <c r="T606" s="54">
        <v>6</v>
      </c>
      <c r="U606" s="52">
        <v>3049775000</v>
      </c>
      <c r="V606" s="52">
        <v>3049775000</v>
      </c>
      <c r="W606" s="52">
        <v>0</v>
      </c>
      <c r="X606" s="57"/>
      <c r="Y606" s="52">
        <v>0</v>
      </c>
      <c r="Z606" s="52">
        <v>0</v>
      </c>
      <c r="AA606" s="52">
        <v>1</v>
      </c>
      <c r="AB606" s="52">
        <v>0</v>
      </c>
      <c r="AC606" s="52">
        <v>26544021.690000001</v>
      </c>
      <c r="AD606" s="52">
        <v>26544021.690000001</v>
      </c>
      <c r="AE606" s="52">
        <v>0</v>
      </c>
      <c r="AF606" s="52">
        <v>0</v>
      </c>
      <c r="AG606" s="52">
        <v>0</v>
      </c>
      <c r="AH606" s="52">
        <v>0</v>
      </c>
      <c r="AI606" s="52">
        <v>0</v>
      </c>
      <c r="AJ606" s="52">
        <v>2</v>
      </c>
      <c r="AK606" s="52"/>
      <c r="AL606" s="52">
        <v>0</v>
      </c>
      <c r="AM606" s="52">
        <v>0</v>
      </c>
      <c r="AN606" s="52">
        <v>4642857143</v>
      </c>
      <c r="AO606" s="52">
        <v>31200000</v>
      </c>
      <c r="AP606" s="52">
        <v>31200000</v>
      </c>
      <c r="AQ606" s="58">
        <v>0</v>
      </c>
      <c r="AR606" s="58">
        <v>0</v>
      </c>
      <c r="AS606" s="58">
        <v>0</v>
      </c>
      <c r="AT606" s="58">
        <v>0</v>
      </c>
      <c r="AU606" s="58">
        <v>0</v>
      </c>
      <c r="AV606" s="58">
        <v>0</v>
      </c>
      <c r="AW606" s="58">
        <v>0</v>
      </c>
      <c r="AX606" s="58">
        <v>0</v>
      </c>
    </row>
    <row r="607" spans="1:50" x14ac:dyDescent="0.25">
      <c r="A607" s="52">
        <f t="shared" si="35"/>
        <v>602</v>
      </c>
      <c r="B607" s="60" t="str">
        <f t="shared" si="34"/>
        <v>011255143790</v>
      </c>
      <c r="C607" s="55" t="s">
        <v>30</v>
      </c>
      <c r="D607" s="53" t="s">
        <v>2096</v>
      </c>
      <c r="E607" s="55" t="s">
        <v>693</v>
      </c>
      <c r="F607" s="53" t="s">
        <v>2103</v>
      </c>
      <c r="G607" s="55">
        <v>11799</v>
      </c>
      <c r="H607" s="53" t="s">
        <v>977</v>
      </c>
      <c r="I607" s="55">
        <v>307183400</v>
      </c>
      <c r="J607" s="55" t="s">
        <v>978</v>
      </c>
      <c r="K607" s="55" t="s">
        <v>979</v>
      </c>
      <c r="L607" s="53" t="s">
        <v>2068</v>
      </c>
      <c r="M607" s="55" t="s">
        <v>49</v>
      </c>
      <c r="N607" s="52">
        <v>2300000000</v>
      </c>
      <c r="O607" s="52">
        <v>2300000000</v>
      </c>
      <c r="P607" s="52">
        <v>2300000000</v>
      </c>
      <c r="Q607" s="57">
        <v>45364</v>
      </c>
      <c r="R607" s="57">
        <v>47639</v>
      </c>
      <c r="S607" s="56">
        <v>17</v>
      </c>
      <c r="T607" s="54">
        <v>24</v>
      </c>
      <c r="U607" s="52">
        <v>2299998637.7399998</v>
      </c>
      <c r="V607" s="52">
        <v>2299998637.7399998</v>
      </c>
      <c r="W607" s="52">
        <v>0</v>
      </c>
      <c r="X607" s="57"/>
      <c r="Y607" s="52">
        <v>0</v>
      </c>
      <c r="Z607" s="52">
        <v>0</v>
      </c>
      <c r="AA607" s="52">
        <v>2</v>
      </c>
      <c r="AB607" s="52">
        <v>229999863.77000001</v>
      </c>
      <c r="AC607" s="52">
        <v>258167023.68000001</v>
      </c>
      <c r="AD607" s="52">
        <v>62131470.049999997</v>
      </c>
      <c r="AE607" s="52">
        <v>0</v>
      </c>
      <c r="AF607" s="52">
        <v>196035553.63</v>
      </c>
      <c r="AG607" s="52">
        <v>0</v>
      </c>
      <c r="AH607" s="52">
        <v>0</v>
      </c>
      <c r="AI607" s="52">
        <v>0</v>
      </c>
      <c r="AJ607" s="52">
        <v>2</v>
      </c>
      <c r="AK607" s="52"/>
      <c r="AL607" s="52">
        <v>0</v>
      </c>
      <c r="AM607" s="52">
        <v>0</v>
      </c>
      <c r="AN607" s="52">
        <v>2660000000</v>
      </c>
      <c r="AO607" s="52">
        <v>4500000000</v>
      </c>
      <c r="AP607" s="52">
        <v>4500000000</v>
      </c>
      <c r="AQ607" s="58">
        <v>0</v>
      </c>
      <c r="AR607" s="58">
        <v>0</v>
      </c>
      <c r="AS607" s="58">
        <v>0</v>
      </c>
      <c r="AT607" s="58">
        <v>0</v>
      </c>
      <c r="AU607" s="58">
        <v>0</v>
      </c>
      <c r="AV607" s="58">
        <v>0</v>
      </c>
      <c r="AW607" s="58">
        <v>2</v>
      </c>
      <c r="AX607" s="58">
        <v>167373</v>
      </c>
    </row>
    <row r="608" spans="1:50" x14ac:dyDescent="0.25">
      <c r="A608" s="52">
        <f t="shared" si="35"/>
        <v>603</v>
      </c>
      <c r="B608" s="60" t="str">
        <f t="shared" si="34"/>
        <v>011254241480</v>
      </c>
      <c r="C608" s="55" t="s">
        <v>30</v>
      </c>
      <c r="D608" s="53" t="s">
        <v>2096</v>
      </c>
      <c r="E608" s="55" t="s">
        <v>693</v>
      </c>
      <c r="F608" s="53" t="s">
        <v>2103</v>
      </c>
      <c r="G608" s="55">
        <v>11799</v>
      </c>
      <c r="H608" s="53" t="s">
        <v>2536</v>
      </c>
      <c r="I608" s="55">
        <v>200447434</v>
      </c>
      <c r="J608" s="55" t="s">
        <v>980</v>
      </c>
      <c r="K608" s="55" t="s">
        <v>981</v>
      </c>
      <c r="L608" s="53" t="s">
        <v>2045</v>
      </c>
      <c r="M608" s="55" t="s">
        <v>49</v>
      </c>
      <c r="N608" s="52">
        <v>2295000000</v>
      </c>
      <c r="O608" s="52">
        <v>2295000000</v>
      </c>
      <c r="P608" s="52">
        <v>2295000000</v>
      </c>
      <c r="Q608" s="57">
        <v>44925</v>
      </c>
      <c r="R608" s="57">
        <v>48309</v>
      </c>
      <c r="S608" s="56">
        <v>15</v>
      </c>
      <c r="T608" s="54">
        <v>36</v>
      </c>
      <c r="U608" s="52">
        <v>2131071429</v>
      </c>
      <c r="V608" s="52">
        <v>2131071429</v>
      </c>
      <c r="W608" s="52">
        <v>0</v>
      </c>
      <c r="X608" s="57"/>
      <c r="Y608" s="52">
        <v>0</v>
      </c>
      <c r="Z608" s="52">
        <v>0</v>
      </c>
      <c r="AA608" s="52">
        <v>3</v>
      </c>
      <c r="AB608" s="52">
        <v>532767857.25</v>
      </c>
      <c r="AC608" s="52">
        <v>215879100.66000003</v>
      </c>
      <c r="AD608" s="52">
        <v>150958003.93000001</v>
      </c>
      <c r="AE608" s="52">
        <v>9458454.0199999996</v>
      </c>
      <c r="AF608" s="52">
        <v>55462642.710000001</v>
      </c>
      <c r="AG608" s="52">
        <v>0</v>
      </c>
      <c r="AH608" s="52">
        <v>0</v>
      </c>
      <c r="AI608" s="52">
        <v>0</v>
      </c>
      <c r="AJ608" s="52">
        <v>2</v>
      </c>
      <c r="AK608" s="52"/>
      <c r="AL608" s="52">
        <v>407348000</v>
      </c>
      <c r="AM608" s="52">
        <v>364039892</v>
      </c>
      <c r="AN608" s="52">
        <v>2918750000</v>
      </c>
      <c r="AO608" s="52">
        <v>2186862000</v>
      </c>
      <c r="AP608" s="52">
        <v>2186862000</v>
      </c>
      <c r="AQ608" s="58">
        <v>0</v>
      </c>
      <c r="AR608" s="58">
        <v>0</v>
      </c>
      <c r="AS608" s="58">
        <v>0</v>
      </c>
      <c r="AT608" s="58">
        <v>0</v>
      </c>
      <c r="AU608" s="58">
        <v>0</v>
      </c>
      <c r="AV608" s="58">
        <v>0</v>
      </c>
      <c r="AW608" s="58">
        <v>1</v>
      </c>
      <c r="AX608" s="58">
        <v>140375.51999999999</v>
      </c>
    </row>
    <row r="609" spans="1:50" x14ac:dyDescent="0.25">
      <c r="A609" s="52">
        <f t="shared" si="35"/>
        <v>604</v>
      </c>
      <c r="B609" s="60" t="str">
        <f t="shared" si="34"/>
        <v>011255933848</v>
      </c>
      <c r="C609" s="55" t="s">
        <v>30</v>
      </c>
      <c r="D609" s="53" t="s">
        <v>2096</v>
      </c>
      <c r="E609" s="55" t="s">
        <v>693</v>
      </c>
      <c r="F609" s="53" t="s">
        <v>2103</v>
      </c>
      <c r="G609" s="55">
        <v>11799</v>
      </c>
      <c r="H609" s="53" t="s">
        <v>982</v>
      </c>
      <c r="I609" s="55">
        <v>308258771</v>
      </c>
      <c r="J609" s="55" t="s">
        <v>983</v>
      </c>
      <c r="K609" s="55" t="s">
        <v>984</v>
      </c>
      <c r="L609" s="53" t="s">
        <v>2035</v>
      </c>
      <c r="M609" s="55" t="s">
        <v>75</v>
      </c>
      <c r="N609" s="52">
        <v>100000</v>
      </c>
      <c r="O609" s="52">
        <v>1206776000</v>
      </c>
      <c r="P609" s="52">
        <v>1206776000</v>
      </c>
      <c r="Q609" s="57">
        <v>45849</v>
      </c>
      <c r="R609" s="57">
        <v>46944</v>
      </c>
      <c r="S609" s="56">
        <v>12</v>
      </c>
      <c r="T609" s="54">
        <v>6</v>
      </c>
      <c r="U609" s="52">
        <v>1215965665</v>
      </c>
      <c r="V609" s="52">
        <v>1215965665</v>
      </c>
      <c r="W609" s="52">
        <v>0</v>
      </c>
      <c r="X609" s="57"/>
      <c r="Y609" s="52">
        <v>0</v>
      </c>
      <c r="Z609" s="52">
        <v>0</v>
      </c>
      <c r="AA609" s="52">
        <v>1</v>
      </c>
      <c r="AB609" s="52">
        <v>0</v>
      </c>
      <c r="AC609" s="52">
        <v>10538436.52</v>
      </c>
      <c r="AD609" s="52">
        <v>10538436.52</v>
      </c>
      <c r="AE609" s="52">
        <v>0</v>
      </c>
      <c r="AF609" s="52">
        <v>0</v>
      </c>
      <c r="AG609" s="52">
        <v>0</v>
      </c>
      <c r="AH609" s="52">
        <v>0</v>
      </c>
      <c r="AI609" s="52">
        <v>0</v>
      </c>
      <c r="AJ609" s="52">
        <v>2</v>
      </c>
      <c r="AK609" s="52"/>
      <c r="AL609" s="52">
        <v>0</v>
      </c>
      <c r="AM609" s="52">
        <v>0</v>
      </c>
      <c r="AN609" s="52">
        <v>1800000000</v>
      </c>
      <c r="AO609" s="52">
        <v>35280000</v>
      </c>
      <c r="AP609" s="52">
        <v>35280000</v>
      </c>
      <c r="AQ609" s="58">
        <v>0</v>
      </c>
      <c r="AR609" s="58">
        <v>0</v>
      </c>
      <c r="AS609" s="58">
        <v>0</v>
      </c>
      <c r="AT609" s="58">
        <v>0</v>
      </c>
      <c r="AU609" s="58">
        <v>0</v>
      </c>
      <c r="AV609" s="58">
        <v>0</v>
      </c>
      <c r="AW609" s="58">
        <v>0</v>
      </c>
      <c r="AX609" s="58">
        <v>0</v>
      </c>
    </row>
    <row r="610" spans="1:50" x14ac:dyDescent="0.25">
      <c r="A610" s="52">
        <f t="shared" si="35"/>
        <v>605</v>
      </c>
      <c r="B610" s="60" t="str">
        <f t="shared" si="34"/>
        <v>011255681774</v>
      </c>
      <c r="C610" s="55" t="s">
        <v>30</v>
      </c>
      <c r="D610" s="53" t="s">
        <v>2096</v>
      </c>
      <c r="E610" s="55" t="s">
        <v>693</v>
      </c>
      <c r="F610" s="53" t="s">
        <v>2109</v>
      </c>
      <c r="G610" s="55">
        <v>11800</v>
      </c>
      <c r="H610" s="53" t="s">
        <v>985</v>
      </c>
      <c r="I610" s="55">
        <v>202787984</v>
      </c>
      <c r="J610" s="55" t="s">
        <v>986</v>
      </c>
      <c r="K610" s="55" t="s">
        <v>987</v>
      </c>
      <c r="L610" s="53" t="s">
        <v>2073</v>
      </c>
      <c r="M610" s="55" t="s">
        <v>49</v>
      </c>
      <c r="N610" s="52">
        <v>2750000000</v>
      </c>
      <c r="O610" s="52">
        <v>2750000000</v>
      </c>
      <c r="P610" s="52">
        <v>2750000000</v>
      </c>
      <c r="Q610" s="57">
        <v>45651</v>
      </c>
      <c r="R610" s="57">
        <v>49293</v>
      </c>
      <c r="S610" s="56">
        <v>17</v>
      </c>
      <c r="T610" s="54">
        <v>36</v>
      </c>
      <c r="U610" s="52">
        <v>2750000000</v>
      </c>
      <c r="V610" s="52">
        <v>2750000000</v>
      </c>
      <c r="W610" s="52">
        <v>0</v>
      </c>
      <c r="X610" s="57"/>
      <c r="Y610" s="52">
        <v>0</v>
      </c>
      <c r="Z610" s="52">
        <v>0</v>
      </c>
      <c r="AA610" s="52">
        <v>1</v>
      </c>
      <c r="AB610" s="52">
        <v>0</v>
      </c>
      <c r="AC610" s="52">
        <v>160519227.91</v>
      </c>
      <c r="AD610" s="52">
        <v>160519227.91</v>
      </c>
      <c r="AE610" s="52">
        <v>0</v>
      </c>
      <c r="AF610" s="52">
        <v>0</v>
      </c>
      <c r="AG610" s="52">
        <v>0</v>
      </c>
      <c r="AH610" s="52">
        <v>0</v>
      </c>
      <c r="AI610" s="52">
        <v>0</v>
      </c>
      <c r="AJ610" s="52">
        <v>2</v>
      </c>
      <c r="AK610" s="52"/>
      <c r="AL610" s="52">
        <v>113764365</v>
      </c>
      <c r="AM610" s="52">
        <v>37358051</v>
      </c>
      <c r="AN610" s="52">
        <v>3437500000</v>
      </c>
      <c r="AO610" s="52">
        <v>1447687009.6600001</v>
      </c>
      <c r="AP610" s="52">
        <v>239416000</v>
      </c>
      <c r="AQ610" s="58">
        <v>0</v>
      </c>
      <c r="AR610" s="58">
        <v>0</v>
      </c>
      <c r="AS610" s="58">
        <v>0</v>
      </c>
      <c r="AT610" s="58">
        <v>0</v>
      </c>
      <c r="AU610" s="58">
        <v>1</v>
      </c>
      <c r="AV610" s="58">
        <v>160232.51</v>
      </c>
      <c r="AW610" s="58">
        <v>2</v>
      </c>
      <c r="AX610" s="58">
        <v>18384614.399999999</v>
      </c>
    </row>
    <row r="611" spans="1:50" x14ac:dyDescent="0.25">
      <c r="A611" s="52">
        <f t="shared" si="35"/>
        <v>606</v>
      </c>
      <c r="B611" s="60" t="str">
        <f t="shared" si="34"/>
        <v>011255885662</v>
      </c>
      <c r="C611" s="55" t="s">
        <v>30</v>
      </c>
      <c r="D611" s="53" t="s">
        <v>2096</v>
      </c>
      <c r="E611" s="55" t="s">
        <v>693</v>
      </c>
      <c r="F611" s="53" t="s">
        <v>2109</v>
      </c>
      <c r="G611" s="55">
        <v>11800</v>
      </c>
      <c r="H611" s="53" t="s">
        <v>988</v>
      </c>
      <c r="I611" s="55">
        <v>312147996</v>
      </c>
      <c r="J611" s="55" t="s">
        <v>989</v>
      </c>
      <c r="K611" s="55" t="s">
        <v>990</v>
      </c>
      <c r="L611" s="53" t="s">
        <v>2073</v>
      </c>
      <c r="M611" s="55" t="s">
        <v>75</v>
      </c>
      <c r="N611" s="52">
        <v>100000</v>
      </c>
      <c r="O611" s="52">
        <v>1206776000</v>
      </c>
      <c r="P611" s="52">
        <v>1206776000</v>
      </c>
      <c r="Q611" s="57">
        <v>45803</v>
      </c>
      <c r="R611" s="57">
        <v>46898</v>
      </c>
      <c r="S611" s="56">
        <v>12</v>
      </c>
      <c r="T611" s="54">
        <v>6</v>
      </c>
      <c r="U611" s="52">
        <v>1219910000</v>
      </c>
      <c r="V611" s="52">
        <v>1138590799.4000001</v>
      </c>
      <c r="W611" s="52">
        <v>81319200.599999994</v>
      </c>
      <c r="X611" s="57">
        <v>45996</v>
      </c>
      <c r="Y611" s="52">
        <v>0</v>
      </c>
      <c r="Z611" s="52">
        <v>0</v>
      </c>
      <c r="AA611" s="52">
        <v>2</v>
      </c>
      <c r="AB611" s="52">
        <v>121991000</v>
      </c>
      <c r="AC611" s="52">
        <v>11628182.120000001</v>
      </c>
      <c r="AD611" s="52">
        <v>10260906.99</v>
      </c>
      <c r="AE611" s="52">
        <v>0</v>
      </c>
      <c r="AF611" s="52">
        <v>1367275.13</v>
      </c>
      <c r="AG611" s="52">
        <v>0</v>
      </c>
      <c r="AH611" s="52">
        <v>0</v>
      </c>
      <c r="AI611" s="52">
        <v>0</v>
      </c>
      <c r="AJ611" s="52">
        <v>2</v>
      </c>
      <c r="AK611" s="52"/>
      <c r="AL611" s="52">
        <v>336000</v>
      </c>
      <c r="AM611" s="52">
        <v>0</v>
      </c>
      <c r="AN611" s="52">
        <v>1930000000</v>
      </c>
      <c r="AO611" s="52">
        <v>2350</v>
      </c>
      <c r="AP611" s="52">
        <v>2350</v>
      </c>
      <c r="AQ611" s="58">
        <v>0</v>
      </c>
      <c r="AR611" s="58">
        <v>0</v>
      </c>
      <c r="AS611" s="58">
        <v>0</v>
      </c>
      <c r="AT611" s="58">
        <v>0</v>
      </c>
      <c r="AU611" s="58">
        <v>0</v>
      </c>
      <c r="AV611" s="58">
        <v>0</v>
      </c>
      <c r="AW611" s="58">
        <v>0</v>
      </c>
      <c r="AX611" s="58">
        <v>0</v>
      </c>
    </row>
    <row r="612" spans="1:50" x14ac:dyDescent="0.25">
      <c r="A612" s="52">
        <f t="shared" si="35"/>
        <v>607</v>
      </c>
      <c r="B612" s="60" t="str">
        <f t="shared" si="34"/>
        <v>011255870834</v>
      </c>
      <c r="C612" s="55" t="s">
        <v>30</v>
      </c>
      <c r="D612" s="53" t="s">
        <v>2096</v>
      </c>
      <c r="E612" s="55" t="s">
        <v>693</v>
      </c>
      <c r="F612" s="53" t="s">
        <v>2109</v>
      </c>
      <c r="G612" s="55">
        <v>11800</v>
      </c>
      <c r="H612" s="53" t="s">
        <v>991</v>
      </c>
      <c r="I612" s="55">
        <v>312037262</v>
      </c>
      <c r="J612" s="55" t="s">
        <v>992</v>
      </c>
      <c r="K612" s="55" t="s">
        <v>993</v>
      </c>
      <c r="L612" s="53" t="s">
        <v>2073</v>
      </c>
      <c r="M612" s="55" t="s">
        <v>75</v>
      </c>
      <c r="N612" s="52">
        <v>87000</v>
      </c>
      <c r="O612" s="52">
        <v>1049895120</v>
      </c>
      <c r="P612" s="52">
        <v>1049895120</v>
      </c>
      <c r="Q612" s="57">
        <v>45785</v>
      </c>
      <c r="R612" s="57">
        <v>46880</v>
      </c>
      <c r="S612" s="56">
        <v>12</v>
      </c>
      <c r="T612" s="54">
        <v>6</v>
      </c>
      <c r="U612" s="52">
        <v>990566920</v>
      </c>
      <c r="V612" s="52">
        <v>990566920</v>
      </c>
      <c r="W612" s="52">
        <v>0</v>
      </c>
      <c r="X612" s="57"/>
      <c r="Y612" s="52">
        <v>0</v>
      </c>
      <c r="Z612" s="52">
        <v>0</v>
      </c>
      <c r="AA612" s="52">
        <v>1</v>
      </c>
      <c r="AB612" s="52">
        <v>0</v>
      </c>
      <c r="AC612" s="52">
        <v>8231098.7400000002</v>
      </c>
      <c r="AD612" s="52">
        <v>8231098.7400000002</v>
      </c>
      <c r="AE612" s="52">
        <v>0</v>
      </c>
      <c r="AF612" s="52">
        <v>0</v>
      </c>
      <c r="AG612" s="52">
        <v>0</v>
      </c>
      <c r="AH612" s="52">
        <v>0</v>
      </c>
      <c r="AI612" s="52">
        <v>0</v>
      </c>
      <c r="AJ612" s="52">
        <v>2</v>
      </c>
      <c r="AK612" s="52"/>
      <c r="AL612" s="52">
        <v>0</v>
      </c>
      <c r="AM612" s="52">
        <v>0</v>
      </c>
      <c r="AN612" s="52">
        <v>1620000000</v>
      </c>
      <c r="AO612" s="52">
        <v>4300</v>
      </c>
      <c r="AP612" s="52">
        <v>4300</v>
      </c>
      <c r="AQ612" s="58">
        <v>0</v>
      </c>
      <c r="AR612" s="58">
        <v>0</v>
      </c>
      <c r="AS612" s="58">
        <v>0</v>
      </c>
      <c r="AT612" s="58">
        <v>0</v>
      </c>
      <c r="AU612" s="58">
        <v>0</v>
      </c>
      <c r="AV612" s="58">
        <v>0</v>
      </c>
      <c r="AW612" s="58">
        <v>0</v>
      </c>
      <c r="AX612" s="58">
        <v>0</v>
      </c>
    </row>
    <row r="613" spans="1:50" x14ac:dyDescent="0.25">
      <c r="A613" s="52">
        <f t="shared" si="35"/>
        <v>608</v>
      </c>
      <c r="B613" s="60" t="str">
        <f t="shared" si="34"/>
        <v>00439321766</v>
      </c>
      <c r="C613" s="55" t="s">
        <v>34</v>
      </c>
      <c r="D613" s="53" t="s">
        <v>2135</v>
      </c>
      <c r="E613" s="55" t="s">
        <v>994</v>
      </c>
      <c r="F613" s="53" t="s">
        <v>2138</v>
      </c>
      <c r="G613" s="55">
        <v>12090</v>
      </c>
      <c r="H613" s="53" t="s">
        <v>995</v>
      </c>
      <c r="I613" s="55">
        <v>309082003</v>
      </c>
      <c r="J613" s="55" t="s">
        <v>996</v>
      </c>
      <c r="K613" s="55" t="s">
        <v>997</v>
      </c>
      <c r="L613" s="53" t="s">
        <v>2047</v>
      </c>
      <c r="M613" s="55" t="s">
        <v>49</v>
      </c>
      <c r="N613" s="52">
        <v>2000000000</v>
      </c>
      <c r="O613" s="52">
        <v>2000000000</v>
      </c>
      <c r="P613" s="52">
        <v>2000000000</v>
      </c>
      <c r="Q613" s="57">
        <v>45799</v>
      </c>
      <c r="R613" s="57">
        <v>46894</v>
      </c>
      <c r="S613" s="56">
        <v>28</v>
      </c>
      <c r="T613" s="54">
        <v>6</v>
      </c>
      <c r="U613" s="52">
        <v>2000000000</v>
      </c>
      <c r="V613" s="52">
        <v>1866666666</v>
      </c>
      <c r="W613" s="52">
        <v>133333334</v>
      </c>
      <c r="X613" s="57">
        <v>45993</v>
      </c>
      <c r="Y613" s="52">
        <v>0</v>
      </c>
      <c r="Z613" s="52">
        <v>0</v>
      </c>
      <c r="AA613" s="52">
        <v>2</v>
      </c>
      <c r="AB613" s="52">
        <v>0</v>
      </c>
      <c r="AC613" s="52">
        <v>187293736.03</v>
      </c>
      <c r="AD613" s="52">
        <v>44595433.770000003</v>
      </c>
      <c r="AE613" s="52">
        <v>0</v>
      </c>
      <c r="AF613" s="52">
        <v>0</v>
      </c>
      <c r="AG613" s="52">
        <v>142698302.25999999</v>
      </c>
      <c r="AH613" s="52">
        <v>0</v>
      </c>
      <c r="AI613" s="52">
        <v>0</v>
      </c>
      <c r="AJ613" s="52">
        <v>2</v>
      </c>
      <c r="AK613" s="52"/>
      <c r="AL613" s="52">
        <v>0</v>
      </c>
      <c r="AM613" s="52">
        <v>0</v>
      </c>
      <c r="AN613" s="52">
        <v>2500000000</v>
      </c>
      <c r="AO613" s="52">
        <v>154817000</v>
      </c>
      <c r="AP613" s="52">
        <v>0</v>
      </c>
      <c r="AQ613" s="58">
        <v>0</v>
      </c>
      <c r="AR613" s="58">
        <v>0</v>
      </c>
      <c r="AS613" s="58">
        <v>0</v>
      </c>
      <c r="AT613" s="58">
        <v>0</v>
      </c>
      <c r="AU613" s="58">
        <v>0</v>
      </c>
      <c r="AV613" s="58">
        <v>0</v>
      </c>
      <c r="AW613" s="58">
        <v>0</v>
      </c>
      <c r="AX613" s="58">
        <v>0</v>
      </c>
    </row>
    <row r="614" spans="1:50" x14ac:dyDescent="0.25">
      <c r="A614" s="52">
        <f t="shared" si="35"/>
        <v>609</v>
      </c>
      <c r="B614" s="60" t="str">
        <f t="shared" si="34"/>
        <v>00439322207</v>
      </c>
      <c r="C614" s="55" t="s">
        <v>34</v>
      </c>
      <c r="D614" s="53" t="s">
        <v>2135</v>
      </c>
      <c r="E614" s="55" t="s">
        <v>994</v>
      </c>
      <c r="F614" s="53" t="s">
        <v>2138</v>
      </c>
      <c r="G614" s="55">
        <v>12090</v>
      </c>
      <c r="H614" s="53" t="s">
        <v>2537</v>
      </c>
      <c r="I614" s="55">
        <v>200440864</v>
      </c>
      <c r="J614" s="55" t="s">
        <v>998</v>
      </c>
      <c r="K614" s="55" t="s">
        <v>999</v>
      </c>
      <c r="L614" s="53" t="s">
        <v>2043</v>
      </c>
      <c r="M614" s="55" t="s">
        <v>49</v>
      </c>
      <c r="N614" s="52">
        <v>1000000000</v>
      </c>
      <c r="O614" s="52">
        <v>1000000000</v>
      </c>
      <c r="P614" s="52">
        <v>1000000000</v>
      </c>
      <c r="Q614" s="57">
        <v>45821</v>
      </c>
      <c r="R614" s="57">
        <v>46916</v>
      </c>
      <c r="S614" s="56">
        <v>28</v>
      </c>
      <c r="T614" s="54">
        <v>6</v>
      </c>
      <c r="U614" s="52">
        <v>977058569.79999995</v>
      </c>
      <c r="V614" s="52">
        <v>977058569.79999995</v>
      </c>
      <c r="W614" s="52">
        <v>0</v>
      </c>
      <c r="X614" s="57"/>
      <c r="Y614" s="52">
        <v>0</v>
      </c>
      <c r="Z614" s="52">
        <v>0</v>
      </c>
      <c r="AA614" s="52">
        <v>1</v>
      </c>
      <c r="AB614" s="52">
        <v>0</v>
      </c>
      <c r="AC614" s="52">
        <v>22538528.190000001</v>
      </c>
      <c r="AD614" s="52">
        <v>22538528.190000001</v>
      </c>
      <c r="AE614" s="52">
        <v>0</v>
      </c>
      <c r="AF614" s="52">
        <v>0</v>
      </c>
      <c r="AG614" s="52">
        <v>0</v>
      </c>
      <c r="AH614" s="52">
        <v>0</v>
      </c>
      <c r="AI614" s="52">
        <v>0</v>
      </c>
      <c r="AJ614" s="52">
        <v>2</v>
      </c>
      <c r="AK614" s="52"/>
      <c r="AL614" s="52">
        <v>0</v>
      </c>
      <c r="AM614" s="52">
        <v>0</v>
      </c>
      <c r="AN614" s="52">
        <v>1250000000</v>
      </c>
      <c r="AO614" s="52">
        <v>3056571171</v>
      </c>
      <c r="AP614" s="52">
        <v>0</v>
      </c>
      <c r="AQ614" s="58">
        <v>0</v>
      </c>
      <c r="AR614" s="58">
        <v>0</v>
      </c>
      <c r="AS614" s="58">
        <v>0</v>
      </c>
      <c r="AT614" s="58">
        <v>0</v>
      </c>
      <c r="AU614" s="58">
        <v>0</v>
      </c>
      <c r="AV614" s="58">
        <v>0</v>
      </c>
      <c r="AW614" s="58">
        <v>0</v>
      </c>
      <c r="AX614" s="58">
        <v>0</v>
      </c>
    </row>
    <row r="615" spans="1:50" x14ac:dyDescent="0.25">
      <c r="A615" s="52">
        <f t="shared" si="35"/>
        <v>610</v>
      </c>
      <c r="B615" s="60" t="str">
        <f t="shared" si="34"/>
        <v>00439318052</v>
      </c>
      <c r="C615" s="55" t="s">
        <v>34</v>
      </c>
      <c r="D615" s="53" t="s">
        <v>2135</v>
      </c>
      <c r="E615" s="55" t="s">
        <v>994</v>
      </c>
      <c r="F615" s="53" t="s">
        <v>2138</v>
      </c>
      <c r="G615" s="55">
        <v>12090</v>
      </c>
      <c r="H615" s="53" t="s">
        <v>2537</v>
      </c>
      <c r="I615" s="55">
        <v>200440864</v>
      </c>
      <c r="J615" s="55" t="s">
        <v>1000</v>
      </c>
      <c r="K615" s="55" t="s">
        <v>1001</v>
      </c>
      <c r="L615" s="53" t="s">
        <v>2043</v>
      </c>
      <c r="M615" s="55" t="s">
        <v>49</v>
      </c>
      <c r="N615" s="52">
        <v>400000000</v>
      </c>
      <c r="O615" s="52">
        <v>400000000</v>
      </c>
      <c r="P615" s="52">
        <v>400000000</v>
      </c>
      <c r="Q615" s="57">
        <v>45491</v>
      </c>
      <c r="R615" s="57">
        <v>46219</v>
      </c>
      <c r="S615" s="56">
        <v>30</v>
      </c>
      <c r="T615" s="54">
        <v>6</v>
      </c>
      <c r="U615" s="52">
        <v>133333336</v>
      </c>
      <c r="V615" s="52">
        <v>133333336</v>
      </c>
      <c r="W615" s="52">
        <v>0</v>
      </c>
      <c r="X615" s="57"/>
      <c r="Y615" s="52">
        <v>0</v>
      </c>
      <c r="Z615" s="52">
        <v>0</v>
      </c>
      <c r="AA615" s="52">
        <v>1</v>
      </c>
      <c r="AB615" s="52">
        <v>0</v>
      </c>
      <c r="AC615" s="52">
        <v>2958904.17</v>
      </c>
      <c r="AD615" s="52">
        <v>2958904.17</v>
      </c>
      <c r="AE615" s="52">
        <v>0</v>
      </c>
      <c r="AF615" s="52">
        <v>0</v>
      </c>
      <c r="AG615" s="52">
        <v>0</v>
      </c>
      <c r="AH615" s="52">
        <v>0</v>
      </c>
      <c r="AI615" s="52">
        <v>0</v>
      </c>
      <c r="AJ615" s="52">
        <v>2</v>
      </c>
      <c r="AK615" s="52"/>
      <c r="AL615" s="52">
        <v>0</v>
      </c>
      <c r="AM615" s="52">
        <v>0</v>
      </c>
      <c r="AN615" s="52">
        <v>500000000</v>
      </c>
      <c r="AO615" s="52">
        <v>3056571171</v>
      </c>
      <c r="AP615" s="52">
        <v>0</v>
      </c>
      <c r="AQ615" s="58">
        <v>0</v>
      </c>
      <c r="AR615" s="58">
        <v>0</v>
      </c>
      <c r="AS615" s="58">
        <v>0</v>
      </c>
      <c r="AT615" s="58">
        <v>0</v>
      </c>
      <c r="AU615" s="58">
        <v>0</v>
      </c>
      <c r="AV615" s="58">
        <v>0</v>
      </c>
      <c r="AW615" s="58">
        <v>0</v>
      </c>
      <c r="AX615" s="58">
        <v>0</v>
      </c>
    </row>
    <row r="616" spans="1:50" x14ac:dyDescent="0.25">
      <c r="A616" s="52">
        <f t="shared" si="35"/>
        <v>611</v>
      </c>
      <c r="B616" s="60" t="str">
        <f t="shared" si="34"/>
        <v>00439323497</v>
      </c>
      <c r="C616" s="55" t="s">
        <v>34</v>
      </c>
      <c r="D616" s="53" t="s">
        <v>2135</v>
      </c>
      <c r="E616" s="55" t="s">
        <v>994</v>
      </c>
      <c r="F616" s="53" t="s">
        <v>2137</v>
      </c>
      <c r="G616" s="55">
        <v>12091</v>
      </c>
      <c r="H616" s="53" t="s">
        <v>1002</v>
      </c>
      <c r="I616" s="55">
        <v>306057042</v>
      </c>
      <c r="J616" s="55" t="s">
        <v>1003</v>
      </c>
      <c r="K616" s="55" t="s">
        <v>1004</v>
      </c>
      <c r="L616" s="53" t="s">
        <v>2107</v>
      </c>
      <c r="M616" s="55" t="s">
        <v>49</v>
      </c>
      <c r="N616" s="52">
        <v>8900000000</v>
      </c>
      <c r="O616" s="52">
        <v>8900000000</v>
      </c>
      <c r="P616" s="52">
        <v>8900000000</v>
      </c>
      <c r="Q616" s="57">
        <v>45883</v>
      </c>
      <c r="R616" s="57">
        <v>46978</v>
      </c>
      <c r="S616" s="56">
        <v>27.9</v>
      </c>
      <c r="T616" s="54">
        <v>0</v>
      </c>
      <c r="U616" s="52">
        <v>8900000000</v>
      </c>
      <c r="V616" s="52">
        <v>8900000000</v>
      </c>
      <c r="W616" s="52">
        <v>0</v>
      </c>
      <c r="X616" s="57"/>
      <c r="Y616" s="52">
        <v>0</v>
      </c>
      <c r="Z616" s="52">
        <v>0</v>
      </c>
      <c r="AA616" s="52">
        <v>2</v>
      </c>
      <c r="AB616" s="52">
        <v>0</v>
      </c>
      <c r="AC616" s="52">
        <v>842786331.5</v>
      </c>
      <c r="AD616" s="52">
        <v>210893424.66</v>
      </c>
      <c r="AE616" s="52">
        <v>0</v>
      </c>
      <c r="AF616" s="52">
        <v>0</v>
      </c>
      <c r="AG616" s="52">
        <v>631892906.84000003</v>
      </c>
      <c r="AH616" s="52">
        <v>0</v>
      </c>
      <c r="AI616" s="52">
        <v>0</v>
      </c>
      <c r="AJ616" s="52">
        <v>2</v>
      </c>
      <c r="AK616" s="52"/>
      <c r="AL616" s="52">
        <v>0</v>
      </c>
      <c r="AM616" s="52">
        <v>0</v>
      </c>
      <c r="AN616" s="52">
        <v>11125000000</v>
      </c>
      <c r="AO616" s="52">
        <v>986158949329</v>
      </c>
      <c r="AP616" s="52">
        <v>0</v>
      </c>
      <c r="AQ616" s="58">
        <v>0</v>
      </c>
      <c r="AR616" s="58">
        <v>0</v>
      </c>
      <c r="AS616" s="58">
        <v>0</v>
      </c>
      <c r="AT616" s="58">
        <v>0</v>
      </c>
      <c r="AU616" s="58">
        <v>0</v>
      </c>
      <c r="AV616" s="58">
        <v>0</v>
      </c>
      <c r="AW616" s="58">
        <v>0</v>
      </c>
      <c r="AX616" s="58">
        <v>0</v>
      </c>
    </row>
    <row r="617" spans="1:50" x14ac:dyDescent="0.25">
      <c r="A617" s="52">
        <f t="shared" si="35"/>
        <v>612</v>
      </c>
      <c r="B617" s="60" t="str">
        <f t="shared" si="34"/>
        <v>00439322221</v>
      </c>
      <c r="C617" s="55" t="s">
        <v>34</v>
      </c>
      <c r="D617" s="53" t="s">
        <v>2135</v>
      </c>
      <c r="E617" s="55" t="s">
        <v>994</v>
      </c>
      <c r="F617" s="53" t="s">
        <v>2137</v>
      </c>
      <c r="G617" s="55">
        <v>12091</v>
      </c>
      <c r="H617" s="53" t="s">
        <v>1005</v>
      </c>
      <c r="I617" s="55">
        <v>312197531</v>
      </c>
      <c r="J617" s="55" t="s">
        <v>1006</v>
      </c>
      <c r="K617" s="55" t="s">
        <v>1007</v>
      </c>
      <c r="L617" s="53" t="s">
        <v>2107</v>
      </c>
      <c r="M617" s="55" t="s">
        <v>49</v>
      </c>
      <c r="N617" s="52">
        <v>5000000000</v>
      </c>
      <c r="O617" s="52">
        <v>5000000000</v>
      </c>
      <c r="P617" s="52">
        <v>5000000000</v>
      </c>
      <c r="Q617" s="57">
        <v>45821</v>
      </c>
      <c r="R617" s="57">
        <v>46916</v>
      </c>
      <c r="S617" s="56">
        <v>28</v>
      </c>
      <c r="T617" s="54">
        <v>0</v>
      </c>
      <c r="U617" s="52">
        <v>5000000000</v>
      </c>
      <c r="V617" s="52">
        <v>4833333333</v>
      </c>
      <c r="W617" s="52">
        <v>166666667</v>
      </c>
      <c r="X617" s="57">
        <v>46027</v>
      </c>
      <c r="Y617" s="52">
        <v>0</v>
      </c>
      <c r="Z617" s="52">
        <v>0</v>
      </c>
      <c r="AA617" s="52">
        <v>1</v>
      </c>
      <c r="AB617" s="52">
        <v>0</v>
      </c>
      <c r="AC617" s="52">
        <v>235684008.22</v>
      </c>
      <c r="AD617" s="52">
        <v>115452054.78</v>
      </c>
      <c r="AE617" s="52">
        <v>0</v>
      </c>
      <c r="AF617" s="52">
        <v>0</v>
      </c>
      <c r="AG617" s="52">
        <v>120231953.44</v>
      </c>
      <c r="AH617" s="52">
        <v>0</v>
      </c>
      <c r="AI617" s="52">
        <v>0</v>
      </c>
      <c r="AJ617" s="52">
        <v>2</v>
      </c>
      <c r="AK617" s="52"/>
      <c r="AL617" s="52">
        <v>0</v>
      </c>
      <c r="AM617" s="52">
        <v>0</v>
      </c>
      <c r="AN617" s="52">
        <v>6250000000</v>
      </c>
      <c r="AO617" s="52">
        <v>5427015000</v>
      </c>
      <c r="AP617" s="52">
        <v>0</v>
      </c>
      <c r="AQ617" s="58">
        <v>0</v>
      </c>
      <c r="AR617" s="58">
        <v>0</v>
      </c>
      <c r="AS617" s="58">
        <v>0</v>
      </c>
      <c r="AT617" s="58">
        <v>0</v>
      </c>
      <c r="AU617" s="58">
        <v>0</v>
      </c>
      <c r="AV617" s="58">
        <v>0</v>
      </c>
      <c r="AW617" s="58">
        <v>0</v>
      </c>
      <c r="AX617" s="58">
        <v>0</v>
      </c>
    </row>
    <row r="618" spans="1:50" x14ac:dyDescent="0.25">
      <c r="A618" s="52">
        <f t="shared" si="35"/>
        <v>613</v>
      </c>
      <c r="B618" s="60" t="str">
        <f t="shared" si="34"/>
        <v>00439322340</v>
      </c>
      <c r="C618" s="55" t="s">
        <v>34</v>
      </c>
      <c r="D618" s="53" t="s">
        <v>2135</v>
      </c>
      <c r="E618" s="55" t="s">
        <v>994</v>
      </c>
      <c r="F618" s="53" t="s">
        <v>2137</v>
      </c>
      <c r="G618" s="55">
        <v>12091</v>
      </c>
      <c r="H618" s="53" t="s">
        <v>1008</v>
      </c>
      <c r="I618" s="55">
        <v>312197516</v>
      </c>
      <c r="J618" s="55" t="s">
        <v>1009</v>
      </c>
      <c r="K618" s="55" t="s">
        <v>1010</v>
      </c>
      <c r="L618" s="53" t="s">
        <v>2107</v>
      </c>
      <c r="M618" s="55" t="s">
        <v>49</v>
      </c>
      <c r="N618" s="52">
        <v>5000000000</v>
      </c>
      <c r="O618" s="52">
        <v>5000000000</v>
      </c>
      <c r="P618" s="52">
        <v>5000000000</v>
      </c>
      <c r="Q618" s="57">
        <v>45828</v>
      </c>
      <c r="R618" s="57">
        <v>46923</v>
      </c>
      <c r="S618" s="56">
        <v>28</v>
      </c>
      <c r="T618" s="54">
        <v>0</v>
      </c>
      <c r="U618" s="52">
        <v>5000000000</v>
      </c>
      <c r="V618" s="52">
        <v>4833333333</v>
      </c>
      <c r="W618" s="52">
        <v>166666667</v>
      </c>
      <c r="X618" s="57">
        <v>46027</v>
      </c>
      <c r="Y618" s="52">
        <v>0</v>
      </c>
      <c r="Z618" s="52">
        <v>0</v>
      </c>
      <c r="AA618" s="52">
        <v>1</v>
      </c>
      <c r="AB618" s="52">
        <v>0</v>
      </c>
      <c r="AC618" s="52">
        <v>235698542.47000003</v>
      </c>
      <c r="AD618" s="52">
        <v>115452054.79000001</v>
      </c>
      <c r="AE618" s="52">
        <v>0</v>
      </c>
      <c r="AF618" s="52">
        <v>0</v>
      </c>
      <c r="AG618" s="52">
        <v>120246487.68000001</v>
      </c>
      <c r="AH618" s="52">
        <v>0</v>
      </c>
      <c r="AI618" s="52">
        <v>0</v>
      </c>
      <c r="AJ618" s="52">
        <v>2</v>
      </c>
      <c r="AK618" s="52"/>
      <c r="AL618" s="52">
        <v>0</v>
      </c>
      <c r="AM618" s="52">
        <v>0</v>
      </c>
      <c r="AN618" s="52">
        <v>6250000000</v>
      </c>
      <c r="AO618" s="52">
        <v>5278670000</v>
      </c>
      <c r="AP618" s="52">
        <v>0</v>
      </c>
      <c r="AQ618" s="58">
        <v>0</v>
      </c>
      <c r="AR618" s="58">
        <v>0</v>
      </c>
      <c r="AS618" s="58">
        <v>0</v>
      </c>
      <c r="AT618" s="58">
        <v>0</v>
      </c>
      <c r="AU618" s="58">
        <v>0</v>
      </c>
      <c r="AV618" s="58">
        <v>0</v>
      </c>
      <c r="AW618" s="58">
        <v>0</v>
      </c>
      <c r="AX618" s="58">
        <v>0</v>
      </c>
    </row>
    <row r="619" spans="1:50" x14ac:dyDescent="0.25">
      <c r="A619" s="52">
        <f t="shared" si="35"/>
        <v>614</v>
      </c>
      <c r="B619" s="60" t="str">
        <f t="shared" si="34"/>
        <v>00439324662</v>
      </c>
      <c r="C619" s="55" t="s">
        <v>34</v>
      </c>
      <c r="D619" s="53" t="s">
        <v>2135</v>
      </c>
      <c r="E619" s="55" t="s">
        <v>994</v>
      </c>
      <c r="F619" s="53" t="s">
        <v>2137</v>
      </c>
      <c r="G619" s="55">
        <v>12091</v>
      </c>
      <c r="H619" s="53" t="s">
        <v>1011</v>
      </c>
      <c r="I619" s="55">
        <v>312443462</v>
      </c>
      <c r="J619" s="55" t="s">
        <v>1012</v>
      </c>
      <c r="K619" s="55" t="s">
        <v>1013</v>
      </c>
      <c r="L619" s="53" t="s">
        <v>2107</v>
      </c>
      <c r="M619" s="55" t="s">
        <v>49</v>
      </c>
      <c r="N619" s="52">
        <v>3000000000</v>
      </c>
      <c r="O619" s="52">
        <v>3000000000</v>
      </c>
      <c r="P619" s="52">
        <v>3000000000</v>
      </c>
      <c r="Q619" s="57">
        <v>45922</v>
      </c>
      <c r="R619" s="57">
        <v>47017</v>
      </c>
      <c r="S619" s="56">
        <v>27.9</v>
      </c>
      <c r="T619" s="54">
        <v>0</v>
      </c>
      <c r="U619" s="52">
        <v>3000000000</v>
      </c>
      <c r="V619" s="52">
        <v>3000000000</v>
      </c>
      <c r="W619" s="52">
        <v>0</v>
      </c>
      <c r="X619" s="57"/>
      <c r="Y619" s="52">
        <v>0</v>
      </c>
      <c r="Z619" s="52">
        <v>0</v>
      </c>
      <c r="AA619" s="52">
        <v>2</v>
      </c>
      <c r="AB619" s="52">
        <v>0</v>
      </c>
      <c r="AC619" s="52">
        <v>191009589.04000002</v>
      </c>
      <c r="AD619" s="52">
        <v>71087671.230000004</v>
      </c>
      <c r="AE619" s="52">
        <v>0</v>
      </c>
      <c r="AF619" s="52">
        <v>0</v>
      </c>
      <c r="AG619" s="52">
        <v>119921917.81</v>
      </c>
      <c r="AH619" s="52">
        <v>0</v>
      </c>
      <c r="AI619" s="52">
        <v>0</v>
      </c>
      <c r="AJ619" s="52">
        <v>2</v>
      </c>
      <c r="AK619" s="52"/>
      <c r="AL619" s="52">
        <v>0</v>
      </c>
      <c r="AM619" s="52">
        <v>0</v>
      </c>
      <c r="AN619" s="52">
        <v>3750000000</v>
      </c>
      <c r="AO619" s="52">
        <v>2629850000</v>
      </c>
      <c r="AP619" s="52">
        <v>0</v>
      </c>
      <c r="AQ619" s="58">
        <v>0</v>
      </c>
      <c r="AR619" s="58">
        <v>0</v>
      </c>
      <c r="AS619" s="58">
        <v>0</v>
      </c>
      <c r="AT619" s="58">
        <v>0</v>
      </c>
      <c r="AU619" s="58">
        <v>0</v>
      </c>
      <c r="AV619" s="58">
        <v>0</v>
      </c>
      <c r="AW619" s="58">
        <v>0</v>
      </c>
      <c r="AX619" s="58">
        <v>0</v>
      </c>
    </row>
    <row r="620" spans="1:50" x14ac:dyDescent="0.25">
      <c r="A620" s="52">
        <f t="shared" si="35"/>
        <v>615</v>
      </c>
      <c r="B620" s="60" t="str">
        <f t="shared" si="34"/>
        <v>00439317516</v>
      </c>
      <c r="C620" s="55" t="s">
        <v>34</v>
      </c>
      <c r="D620" s="53" t="s">
        <v>2135</v>
      </c>
      <c r="E620" s="55" t="s">
        <v>994</v>
      </c>
      <c r="F620" s="53" t="s">
        <v>2137</v>
      </c>
      <c r="G620" s="55">
        <v>12091</v>
      </c>
      <c r="H620" s="53" t="s">
        <v>1014</v>
      </c>
      <c r="I620" s="55">
        <v>302503115</v>
      </c>
      <c r="J620" s="55" t="s">
        <v>1015</v>
      </c>
      <c r="K620" s="55" t="s">
        <v>1016</v>
      </c>
      <c r="L620" s="53" t="s">
        <v>2107</v>
      </c>
      <c r="M620" s="55" t="s">
        <v>75</v>
      </c>
      <c r="N620" s="52">
        <v>329000</v>
      </c>
      <c r="O620" s="52">
        <v>3970293040</v>
      </c>
      <c r="P620" s="52">
        <f>+O620</f>
        <v>3970293040</v>
      </c>
      <c r="Q620" s="57">
        <v>45435</v>
      </c>
      <c r="R620" s="57">
        <v>46529</v>
      </c>
      <c r="S620" s="56">
        <v>16</v>
      </c>
      <c r="T620" s="54">
        <v>0</v>
      </c>
      <c r="U620" s="52">
        <v>2067503468</v>
      </c>
      <c r="V620" s="52">
        <v>1945878441</v>
      </c>
      <c r="W620" s="52">
        <v>121625027</v>
      </c>
      <c r="X620" s="57">
        <v>46027</v>
      </c>
      <c r="Y620" s="52">
        <v>0</v>
      </c>
      <c r="Z620" s="52">
        <v>0</v>
      </c>
      <c r="AA620" s="52">
        <v>1</v>
      </c>
      <c r="AB620" s="52">
        <v>0</v>
      </c>
      <c r="AC620" s="52">
        <v>53285302.829999998</v>
      </c>
      <c r="AD620" s="52">
        <v>23936952.030000001</v>
      </c>
      <c r="AE620" s="52">
        <v>0</v>
      </c>
      <c r="AF620" s="52">
        <v>0</v>
      </c>
      <c r="AG620" s="52">
        <v>29348350.800000001</v>
      </c>
      <c r="AH620" s="52">
        <v>0</v>
      </c>
      <c r="AI620" s="52">
        <v>0</v>
      </c>
      <c r="AJ620" s="52">
        <v>2</v>
      </c>
      <c r="AK620" s="52"/>
      <c r="AL620" s="52">
        <v>0</v>
      </c>
      <c r="AM620" s="52">
        <v>0</v>
      </c>
      <c r="AN620" s="52">
        <v>703377</v>
      </c>
      <c r="AO620" s="52">
        <v>635474309019</v>
      </c>
      <c r="AP620" s="52">
        <v>0</v>
      </c>
      <c r="AQ620" s="58">
        <v>0</v>
      </c>
      <c r="AR620" s="58">
        <v>0</v>
      </c>
      <c r="AS620" s="58">
        <v>0</v>
      </c>
      <c r="AT620" s="58">
        <v>0</v>
      </c>
      <c r="AU620" s="58">
        <v>0</v>
      </c>
      <c r="AV620" s="58">
        <v>0</v>
      </c>
      <c r="AW620" s="58">
        <v>0</v>
      </c>
      <c r="AX620" s="58">
        <v>0</v>
      </c>
    </row>
    <row r="621" spans="1:50" x14ac:dyDescent="0.25">
      <c r="A621" s="52">
        <f t="shared" si="35"/>
        <v>616</v>
      </c>
      <c r="B621" s="60" t="str">
        <f t="shared" si="34"/>
        <v>00439312700</v>
      </c>
      <c r="C621" s="55" t="s">
        <v>34</v>
      </c>
      <c r="D621" s="53" t="s">
        <v>2135</v>
      </c>
      <c r="E621" s="55" t="s">
        <v>994</v>
      </c>
      <c r="F621" s="53" t="s">
        <v>2137</v>
      </c>
      <c r="G621" s="55">
        <v>12091</v>
      </c>
      <c r="H621" s="53" t="s">
        <v>1017</v>
      </c>
      <c r="I621" s="55">
        <v>309577304</v>
      </c>
      <c r="J621" s="55" t="s">
        <v>1018</v>
      </c>
      <c r="K621" s="55" t="s">
        <v>1019</v>
      </c>
      <c r="L621" s="53" t="s">
        <v>2107</v>
      </c>
      <c r="M621" s="55" t="s">
        <v>49</v>
      </c>
      <c r="N621" s="52">
        <v>1500000000</v>
      </c>
      <c r="O621" s="52">
        <v>1500000000</v>
      </c>
      <c r="P621" s="52">
        <v>1500000000</v>
      </c>
      <c r="Q621" s="57">
        <v>44804</v>
      </c>
      <c r="R621" s="57">
        <v>48410</v>
      </c>
      <c r="S621" s="56">
        <v>0</v>
      </c>
      <c r="T621" s="54">
        <v>0</v>
      </c>
      <c r="U621" s="52">
        <v>1500000000</v>
      </c>
      <c r="V621" s="52">
        <v>1500000000</v>
      </c>
      <c r="W621" s="52">
        <v>0</v>
      </c>
      <c r="X621" s="57"/>
      <c r="Y621" s="52">
        <v>0</v>
      </c>
      <c r="Z621" s="52">
        <v>0</v>
      </c>
      <c r="AA621" s="52">
        <v>1</v>
      </c>
      <c r="AB621" s="52">
        <v>0</v>
      </c>
      <c r="AC621" s="52">
        <v>635799005.01999998</v>
      </c>
      <c r="AD621" s="52">
        <v>47730648.630000003</v>
      </c>
      <c r="AE621" s="52">
        <v>0</v>
      </c>
      <c r="AF621" s="52">
        <v>588068356.38999999</v>
      </c>
      <c r="AG621" s="52">
        <v>0</v>
      </c>
      <c r="AH621" s="52">
        <v>0</v>
      </c>
      <c r="AI621" s="52">
        <v>0</v>
      </c>
      <c r="AJ621" s="52">
        <v>2</v>
      </c>
      <c r="AK621" s="52"/>
      <c r="AL621" s="52">
        <v>0</v>
      </c>
      <c r="AM621" s="52">
        <v>0</v>
      </c>
      <c r="AN621" s="52">
        <v>816110000</v>
      </c>
      <c r="AO621" s="52">
        <v>55043112784</v>
      </c>
      <c r="AP621" s="52">
        <v>0</v>
      </c>
      <c r="AQ621" s="58">
        <v>0</v>
      </c>
      <c r="AR621" s="58">
        <v>0</v>
      </c>
      <c r="AS621" s="58">
        <v>0</v>
      </c>
      <c r="AT621" s="58">
        <v>0</v>
      </c>
      <c r="AU621" s="58">
        <v>0</v>
      </c>
      <c r="AV621" s="58">
        <v>0</v>
      </c>
      <c r="AW621" s="58">
        <v>0</v>
      </c>
      <c r="AX621" s="58">
        <v>0</v>
      </c>
    </row>
    <row r="622" spans="1:50" x14ac:dyDescent="0.25">
      <c r="A622" s="52">
        <f t="shared" si="35"/>
        <v>617</v>
      </c>
      <c r="B622" s="60" t="str">
        <f t="shared" si="34"/>
        <v>00439323109</v>
      </c>
      <c r="C622" s="55" t="s">
        <v>34</v>
      </c>
      <c r="D622" s="53" t="s">
        <v>2135</v>
      </c>
      <c r="E622" s="55" t="s">
        <v>994</v>
      </c>
      <c r="F622" s="53" t="s">
        <v>2137</v>
      </c>
      <c r="G622" s="55">
        <v>12091</v>
      </c>
      <c r="H622" s="53" t="s">
        <v>1020</v>
      </c>
      <c r="I622" s="55">
        <v>304977964</v>
      </c>
      <c r="J622" s="55" t="s">
        <v>1021</v>
      </c>
      <c r="K622" s="55" t="s">
        <v>1022</v>
      </c>
      <c r="L622" s="53" t="s">
        <v>2107</v>
      </c>
      <c r="M622" s="55" t="s">
        <v>49</v>
      </c>
      <c r="N622" s="52">
        <v>2000000000</v>
      </c>
      <c r="O622" s="52">
        <v>2000000000</v>
      </c>
      <c r="P622" s="52">
        <v>2000000000</v>
      </c>
      <c r="Q622" s="57">
        <v>45861</v>
      </c>
      <c r="R622" s="57">
        <v>46409</v>
      </c>
      <c r="S622" s="56">
        <v>28</v>
      </c>
      <c r="T622" s="54">
        <v>0</v>
      </c>
      <c r="U622" s="52">
        <v>1381065251.6900001</v>
      </c>
      <c r="V622" s="52">
        <v>1381065251.6900001</v>
      </c>
      <c r="W622" s="52">
        <v>0</v>
      </c>
      <c r="X622" s="57"/>
      <c r="Y622" s="52">
        <v>0</v>
      </c>
      <c r="Z622" s="52">
        <v>0</v>
      </c>
      <c r="AA622" s="52">
        <v>1</v>
      </c>
      <c r="AB622" s="52">
        <v>0</v>
      </c>
      <c r="AC622" s="52">
        <v>32700443.109999999</v>
      </c>
      <c r="AD622" s="52">
        <v>32700443.109999999</v>
      </c>
      <c r="AE622" s="52">
        <v>0</v>
      </c>
      <c r="AF622" s="52">
        <v>0</v>
      </c>
      <c r="AG622" s="52">
        <v>0</v>
      </c>
      <c r="AH622" s="52">
        <v>0</v>
      </c>
      <c r="AI622" s="52">
        <v>0</v>
      </c>
      <c r="AJ622" s="52">
        <v>2</v>
      </c>
      <c r="AK622" s="52"/>
      <c r="AL622" s="52">
        <v>0</v>
      </c>
      <c r="AM622" s="52">
        <v>0</v>
      </c>
      <c r="AN622" s="52">
        <v>2500000000</v>
      </c>
      <c r="AO622" s="52">
        <v>2409600000</v>
      </c>
      <c r="AP622" s="52">
        <v>0</v>
      </c>
      <c r="AQ622" s="58">
        <v>0</v>
      </c>
      <c r="AR622" s="58">
        <v>0</v>
      </c>
      <c r="AS622" s="58">
        <v>0</v>
      </c>
      <c r="AT622" s="58">
        <v>0</v>
      </c>
      <c r="AU622" s="58">
        <v>15</v>
      </c>
      <c r="AV622" s="58">
        <v>522048.74</v>
      </c>
      <c r="AW622" s="58">
        <v>3</v>
      </c>
      <c r="AX622" s="58">
        <v>118055.13</v>
      </c>
    </row>
    <row r="623" spans="1:50" x14ac:dyDescent="0.25">
      <c r="A623" s="52">
        <f t="shared" si="35"/>
        <v>618</v>
      </c>
      <c r="B623" s="60" t="str">
        <f t="shared" si="34"/>
        <v>00439312701</v>
      </c>
      <c r="C623" s="55" t="s">
        <v>34</v>
      </c>
      <c r="D623" s="53" t="s">
        <v>2135</v>
      </c>
      <c r="E623" s="55" t="s">
        <v>994</v>
      </c>
      <c r="F623" s="53" t="s">
        <v>2137</v>
      </c>
      <c r="G623" s="55">
        <v>12091</v>
      </c>
      <c r="H623" s="53" t="s">
        <v>2538</v>
      </c>
      <c r="I623" s="55">
        <v>309688545</v>
      </c>
      <c r="J623" s="55" t="s">
        <v>1023</v>
      </c>
      <c r="K623" s="55" t="s">
        <v>1024</v>
      </c>
      <c r="L623" s="53" t="s">
        <v>2107</v>
      </c>
      <c r="M623" s="55" t="s">
        <v>49</v>
      </c>
      <c r="N623" s="52">
        <v>1000000000</v>
      </c>
      <c r="O623" s="52">
        <v>1000000000</v>
      </c>
      <c r="P623" s="52">
        <v>155070058.75999999</v>
      </c>
      <c r="Q623" s="57">
        <v>44804</v>
      </c>
      <c r="R623" s="57">
        <v>48349</v>
      </c>
      <c r="S623" s="56">
        <v>0</v>
      </c>
      <c r="T623" s="54">
        <v>0</v>
      </c>
      <c r="U623" s="52">
        <v>1000000000</v>
      </c>
      <c r="V623" s="52">
        <v>1000000000</v>
      </c>
      <c r="W623" s="52">
        <v>0</v>
      </c>
      <c r="X623" s="57"/>
      <c r="Y623" s="52">
        <v>0</v>
      </c>
      <c r="Z623" s="52">
        <v>0</v>
      </c>
      <c r="AA623" s="52">
        <v>1</v>
      </c>
      <c r="AB623" s="52">
        <v>0</v>
      </c>
      <c r="AC623" s="52">
        <v>179214167.06999999</v>
      </c>
      <c r="AD623" s="52">
        <v>31805175.039999999</v>
      </c>
      <c r="AE623" s="52">
        <v>0</v>
      </c>
      <c r="AF623" s="52">
        <v>147408992.03</v>
      </c>
      <c r="AG623" s="52">
        <v>0</v>
      </c>
      <c r="AH623" s="52">
        <v>0</v>
      </c>
      <c r="AI623" s="52">
        <v>0</v>
      </c>
      <c r="AJ623" s="52">
        <v>2</v>
      </c>
      <c r="AK623" s="52"/>
      <c r="AL623" s="52">
        <v>0</v>
      </c>
      <c r="AM623" s="52">
        <v>0</v>
      </c>
      <c r="AN623" s="52">
        <v>1443857000</v>
      </c>
      <c r="AO623" s="52">
        <v>147505717422</v>
      </c>
      <c r="AP623" s="52">
        <v>0</v>
      </c>
      <c r="AQ623" s="58">
        <v>0</v>
      </c>
      <c r="AR623" s="58">
        <v>0</v>
      </c>
      <c r="AS623" s="58">
        <v>0</v>
      </c>
      <c r="AT623" s="58">
        <v>0</v>
      </c>
      <c r="AU623" s="58">
        <v>0</v>
      </c>
      <c r="AV623" s="58">
        <v>0</v>
      </c>
      <c r="AW623" s="58">
        <v>0</v>
      </c>
      <c r="AX623" s="58">
        <v>0</v>
      </c>
    </row>
    <row r="624" spans="1:50" x14ac:dyDescent="0.25">
      <c r="A624" s="52">
        <f t="shared" si="35"/>
        <v>619</v>
      </c>
      <c r="B624" s="60" t="str">
        <f t="shared" si="34"/>
        <v>00439322188</v>
      </c>
      <c r="C624" s="55" t="s">
        <v>34</v>
      </c>
      <c r="D624" s="53" t="s">
        <v>2135</v>
      </c>
      <c r="E624" s="55" t="s">
        <v>994</v>
      </c>
      <c r="F624" s="53" t="s">
        <v>2137</v>
      </c>
      <c r="G624" s="55">
        <v>12091</v>
      </c>
      <c r="H624" s="53" t="s">
        <v>2539</v>
      </c>
      <c r="I624" s="55">
        <v>303115881</v>
      </c>
      <c r="J624" s="55" t="s">
        <v>1025</v>
      </c>
      <c r="K624" s="55" t="s">
        <v>1026</v>
      </c>
      <c r="L624" s="53" t="s">
        <v>2107</v>
      </c>
      <c r="M624" s="55" t="s">
        <v>49</v>
      </c>
      <c r="N624" s="52">
        <v>1200000000</v>
      </c>
      <c r="O624" s="52">
        <v>1200000000</v>
      </c>
      <c r="P624" s="52">
        <v>1200000000</v>
      </c>
      <c r="Q624" s="57">
        <v>45820</v>
      </c>
      <c r="R624" s="57">
        <v>46915</v>
      </c>
      <c r="S624" s="56">
        <v>28</v>
      </c>
      <c r="T624" s="54">
        <v>0</v>
      </c>
      <c r="U624" s="52">
        <v>800000000</v>
      </c>
      <c r="V624" s="52">
        <v>800000000</v>
      </c>
      <c r="W624" s="52">
        <v>0</v>
      </c>
      <c r="X624" s="57"/>
      <c r="Y624" s="52">
        <v>0</v>
      </c>
      <c r="Z624" s="52">
        <v>0</v>
      </c>
      <c r="AA624" s="52">
        <v>1</v>
      </c>
      <c r="AB624" s="52">
        <v>0</v>
      </c>
      <c r="AC624" s="52">
        <v>18410958.899999999</v>
      </c>
      <c r="AD624" s="52">
        <v>18410958.899999999</v>
      </c>
      <c r="AE624" s="52">
        <v>0</v>
      </c>
      <c r="AF624" s="52">
        <v>0</v>
      </c>
      <c r="AG624" s="52">
        <v>0</v>
      </c>
      <c r="AH624" s="52">
        <v>0</v>
      </c>
      <c r="AI624" s="52">
        <v>0</v>
      </c>
      <c r="AJ624" s="52">
        <v>2</v>
      </c>
      <c r="AK624" s="52"/>
      <c r="AL624" s="52">
        <v>0</v>
      </c>
      <c r="AM624" s="52">
        <v>0</v>
      </c>
      <c r="AN624" s="52">
        <v>1500000000</v>
      </c>
      <c r="AO624" s="52">
        <v>2124600000</v>
      </c>
      <c r="AP624" s="52">
        <v>0</v>
      </c>
      <c r="AQ624" s="58">
        <v>0</v>
      </c>
      <c r="AR624" s="58">
        <v>0</v>
      </c>
      <c r="AS624" s="58">
        <v>0</v>
      </c>
      <c r="AT624" s="58">
        <v>0</v>
      </c>
      <c r="AU624" s="58">
        <v>0</v>
      </c>
      <c r="AV624" s="58">
        <v>0</v>
      </c>
      <c r="AW624" s="58">
        <v>1</v>
      </c>
      <c r="AX624" s="58">
        <v>20000</v>
      </c>
    </row>
    <row r="625" spans="1:50" x14ac:dyDescent="0.25">
      <c r="A625" s="52">
        <f t="shared" si="35"/>
        <v>620</v>
      </c>
      <c r="B625" s="60" t="str">
        <f t="shared" si="34"/>
        <v>00439321223</v>
      </c>
      <c r="C625" s="55" t="s">
        <v>34</v>
      </c>
      <c r="D625" s="53" t="s">
        <v>2135</v>
      </c>
      <c r="E625" s="55" t="s">
        <v>994</v>
      </c>
      <c r="F625" s="53" t="s">
        <v>2137</v>
      </c>
      <c r="G625" s="55">
        <v>12091</v>
      </c>
      <c r="H625" s="53" t="s">
        <v>2539</v>
      </c>
      <c r="I625" s="55">
        <v>303115881</v>
      </c>
      <c r="J625" s="55" t="s">
        <v>1027</v>
      </c>
      <c r="K625" s="55" t="s">
        <v>1028</v>
      </c>
      <c r="L625" s="53" t="s">
        <v>2107</v>
      </c>
      <c r="M625" s="55" t="s">
        <v>49</v>
      </c>
      <c r="N625" s="52">
        <v>600000000</v>
      </c>
      <c r="O625" s="52">
        <v>600000000</v>
      </c>
      <c r="P625" s="52">
        <f>+O625</f>
        <v>600000000</v>
      </c>
      <c r="Q625" s="57">
        <v>45777</v>
      </c>
      <c r="R625" s="57">
        <v>46872</v>
      </c>
      <c r="S625" s="56">
        <v>28</v>
      </c>
      <c r="T625" s="54">
        <v>0</v>
      </c>
      <c r="U625" s="52">
        <v>540000000</v>
      </c>
      <c r="V625" s="52">
        <v>540000000</v>
      </c>
      <c r="W625" s="52">
        <v>0</v>
      </c>
      <c r="X625" s="57"/>
      <c r="Y625" s="52">
        <v>0</v>
      </c>
      <c r="Z625" s="52">
        <v>0</v>
      </c>
      <c r="AA625" s="52">
        <v>1</v>
      </c>
      <c r="AB625" s="52">
        <v>0</v>
      </c>
      <c r="AC625" s="52">
        <v>12473424.65</v>
      </c>
      <c r="AD625" s="52">
        <v>12473424.65</v>
      </c>
      <c r="AE625" s="52">
        <v>0</v>
      </c>
      <c r="AF625" s="52">
        <v>0</v>
      </c>
      <c r="AG625" s="52">
        <v>0</v>
      </c>
      <c r="AH625" s="52">
        <v>0</v>
      </c>
      <c r="AI625" s="52">
        <v>0</v>
      </c>
      <c r="AJ625" s="52">
        <v>2</v>
      </c>
      <c r="AK625" s="52"/>
      <c r="AL625" s="52">
        <v>0</v>
      </c>
      <c r="AM625" s="52">
        <v>0</v>
      </c>
      <c r="AN625" s="52">
        <v>750000000</v>
      </c>
      <c r="AO625" s="52">
        <v>3286900000</v>
      </c>
      <c r="AP625" s="52">
        <v>0</v>
      </c>
      <c r="AQ625" s="58">
        <v>0</v>
      </c>
      <c r="AR625" s="58">
        <v>0</v>
      </c>
      <c r="AS625" s="58">
        <v>0</v>
      </c>
      <c r="AT625" s="58">
        <v>0</v>
      </c>
      <c r="AU625" s="58">
        <v>0</v>
      </c>
      <c r="AV625" s="58">
        <v>0</v>
      </c>
      <c r="AW625" s="58">
        <v>1</v>
      </c>
      <c r="AX625" s="58">
        <v>20000</v>
      </c>
    </row>
    <row r="626" spans="1:50" x14ac:dyDescent="0.25">
      <c r="A626" s="52">
        <f t="shared" si="35"/>
        <v>621</v>
      </c>
      <c r="B626" s="60" t="str">
        <f t="shared" si="34"/>
        <v>00439312699</v>
      </c>
      <c r="C626" s="55" t="s">
        <v>34</v>
      </c>
      <c r="D626" s="53" t="s">
        <v>2135</v>
      </c>
      <c r="E626" s="55" t="s">
        <v>994</v>
      </c>
      <c r="F626" s="53" t="s">
        <v>2137</v>
      </c>
      <c r="G626" s="55">
        <v>12091</v>
      </c>
      <c r="H626" s="53" t="s">
        <v>1017</v>
      </c>
      <c r="I626" s="55">
        <v>309577304</v>
      </c>
      <c r="J626" s="55" t="s">
        <v>1029</v>
      </c>
      <c r="K626" s="55" t="s">
        <v>1030</v>
      </c>
      <c r="L626" s="53" t="s">
        <v>2107</v>
      </c>
      <c r="M626" s="55" t="s">
        <v>49</v>
      </c>
      <c r="N626" s="52">
        <v>427624711.72000003</v>
      </c>
      <c r="O626" s="52">
        <v>427624711.72000003</v>
      </c>
      <c r="P626" s="52">
        <f>+O626</f>
        <v>427624711.72000003</v>
      </c>
      <c r="Q626" s="57">
        <v>44804</v>
      </c>
      <c r="R626" s="57">
        <v>48025</v>
      </c>
      <c r="S626" s="56">
        <v>0</v>
      </c>
      <c r="T626" s="54">
        <v>0</v>
      </c>
      <c r="U626" s="52">
        <v>427624711.72000003</v>
      </c>
      <c r="V626" s="52">
        <v>427624711.72000003</v>
      </c>
      <c r="W626" s="52">
        <v>0</v>
      </c>
      <c r="X626" s="57"/>
      <c r="Y626" s="52">
        <v>0</v>
      </c>
      <c r="Z626" s="52">
        <v>0</v>
      </c>
      <c r="AA626" s="52">
        <v>1</v>
      </c>
      <c r="AB626" s="52">
        <v>0</v>
      </c>
      <c r="AC626" s="52">
        <v>161899093.19999999</v>
      </c>
      <c r="AD626" s="52">
        <v>11863363.939999999</v>
      </c>
      <c r="AE626" s="52">
        <v>0</v>
      </c>
      <c r="AF626" s="52">
        <v>150035729.25999999</v>
      </c>
      <c r="AG626" s="52">
        <v>0</v>
      </c>
      <c r="AH626" s="52">
        <v>0</v>
      </c>
      <c r="AI626" s="52">
        <v>0</v>
      </c>
      <c r="AJ626" s="52">
        <v>2</v>
      </c>
      <c r="AK626" s="52"/>
      <c r="AL626" s="52">
        <v>0</v>
      </c>
      <c r="AM626" s="52">
        <v>0</v>
      </c>
      <c r="AN626" s="52">
        <v>2599540000</v>
      </c>
      <c r="AO626" s="52">
        <v>55043112784</v>
      </c>
      <c r="AP626" s="52">
        <v>0</v>
      </c>
      <c r="AQ626" s="58">
        <v>0</v>
      </c>
      <c r="AR626" s="58">
        <v>0</v>
      </c>
      <c r="AS626" s="58">
        <v>0</v>
      </c>
      <c r="AT626" s="58">
        <v>0</v>
      </c>
      <c r="AU626" s="58">
        <v>0</v>
      </c>
      <c r="AV626" s="58">
        <v>0</v>
      </c>
      <c r="AW626" s="58">
        <v>0</v>
      </c>
      <c r="AX626" s="58">
        <v>0</v>
      </c>
    </row>
    <row r="627" spans="1:50" x14ac:dyDescent="0.25">
      <c r="A627" s="52">
        <f t="shared" si="35"/>
        <v>622</v>
      </c>
      <c r="B627" s="60" t="str">
        <f t="shared" si="34"/>
        <v>00439324844</v>
      </c>
      <c r="C627" s="55" t="s">
        <v>34</v>
      </c>
      <c r="D627" s="53" t="s">
        <v>2135</v>
      </c>
      <c r="E627" s="55" t="s">
        <v>994</v>
      </c>
      <c r="F627" s="53" t="s">
        <v>2136</v>
      </c>
      <c r="G627" s="55">
        <v>12097</v>
      </c>
      <c r="H627" s="53" t="s">
        <v>1031</v>
      </c>
      <c r="I627" s="55">
        <v>312455939</v>
      </c>
      <c r="J627" s="55" t="s">
        <v>1032</v>
      </c>
      <c r="K627" s="55" t="s">
        <v>1033</v>
      </c>
      <c r="L627" s="53" t="s">
        <v>2054</v>
      </c>
      <c r="M627" s="55" t="s">
        <v>49</v>
      </c>
      <c r="N627" s="52">
        <v>8000000000</v>
      </c>
      <c r="O627" s="52">
        <v>8000000000</v>
      </c>
      <c r="P627" s="52">
        <v>8000000000</v>
      </c>
      <c r="Q627" s="57">
        <v>45925</v>
      </c>
      <c r="R627" s="57">
        <v>47750</v>
      </c>
      <c r="S627" s="56">
        <v>28</v>
      </c>
      <c r="T627" s="54">
        <v>3</v>
      </c>
      <c r="U627" s="52">
        <v>8000000000</v>
      </c>
      <c r="V627" s="52">
        <v>7931466034.2700005</v>
      </c>
      <c r="W627" s="52">
        <v>68533965.730000004</v>
      </c>
      <c r="X627" s="57">
        <v>46027</v>
      </c>
      <c r="Y627" s="52">
        <v>0</v>
      </c>
      <c r="Z627" s="52">
        <v>0</v>
      </c>
      <c r="AA627" s="52">
        <v>1</v>
      </c>
      <c r="AB627" s="52">
        <v>0</v>
      </c>
      <c r="AC627" s="52">
        <v>375065277.77999997</v>
      </c>
      <c r="AD627" s="52">
        <v>188827077.31999999</v>
      </c>
      <c r="AE627" s="52">
        <v>0</v>
      </c>
      <c r="AF627" s="52">
        <v>0</v>
      </c>
      <c r="AG627" s="52">
        <v>186238200.45999998</v>
      </c>
      <c r="AH627" s="52">
        <v>0</v>
      </c>
      <c r="AI627" s="52">
        <v>0</v>
      </c>
      <c r="AJ627" s="52">
        <v>2</v>
      </c>
      <c r="AK627" s="52"/>
      <c r="AL627" s="52">
        <v>0</v>
      </c>
      <c r="AM627" s="52">
        <v>0</v>
      </c>
      <c r="AN627" s="52">
        <v>10000000000</v>
      </c>
      <c r="AO627" s="52">
        <v>8000000000</v>
      </c>
      <c r="AP627" s="52">
        <v>8000000000</v>
      </c>
      <c r="AQ627" s="58">
        <v>0</v>
      </c>
      <c r="AR627" s="58">
        <v>0</v>
      </c>
      <c r="AS627" s="58">
        <v>0</v>
      </c>
      <c r="AT627" s="58">
        <v>0</v>
      </c>
      <c r="AU627" s="58">
        <v>0</v>
      </c>
      <c r="AV627" s="58">
        <v>0</v>
      </c>
      <c r="AW627" s="58">
        <v>0</v>
      </c>
      <c r="AX627" s="58">
        <v>0</v>
      </c>
    </row>
    <row r="628" spans="1:50" x14ac:dyDescent="0.25">
      <c r="A628" s="52">
        <f t="shared" si="35"/>
        <v>623</v>
      </c>
      <c r="B628" s="60" t="str">
        <f t="shared" si="34"/>
        <v>00439323846</v>
      </c>
      <c r="C628" s="55" t="s">
        <v>34</v>
      </c>
      <c r="D628" s="53" t="s">
        <v>2135</v>
      </c>
      <c r="E628" s="55" t="s">
        <v>994</v>
      </c>
      <c r="F628" s="53" t="s">
        <v>2136</v>
      </c>
      <c r="G628" s="55">
        <v>12097</v>
      </c>
      <c r="H628" s="53" t="s">
        <v>1034</v>
      </c>
      <c r="I628" s="55">
        <v>312377157</v>
      </c>
      <c r="J628" s="55" t="s">
        <v>1035</v>
      </c>
      <c r="K628" s="55" t="s">
        <v>1036</v>
      </c>
      <c r="L628" s="53" t="s">
        <v>2054</v>
      </c>
      <c r="M628" s="55" t="s">
        <v>49</v>
      </c>
      <c r="N628" s="52">
        <v>2000000000</v>
      </c>
      <c r="O628" s="52">
        <v>2000000000</v>
      </c>
      <c r="P628" s="52">
        <v>2000000000</v>
      </c>
      <c r="Q628" s="57">
        <v>45894</v>
      </c>
      <c r="R628" s="57">
        <v>46989</v>
      </c>
      <c r="S628" s="56">
        <v>28</v>
      </c>
      <c r="T628" s="54">
        <v>3</v>
      </c>
      <c r="U628" s="52">
        <v>1917227598.48</v>
      </c>
      <c r="V628" s="52">
        <v>1917227598.48</v>
      </c>
      <c r="W628" s="52">
        <v>0</v>
      </c>
      <c r="X628" s="57"/>
      <c r="Y628" s="52">
        <v>0</v>
      </c>
      <c r="Z628" s="52">
        <v>0</v>
      </c>
      <c r="AA628" s="52">
        <v>1</v>
      </c>
      <c r="AB628" s="52">
        <v>0</v>
      </c>
      <c r="AC628" s="52">
        <v>39702232.780000001</v>
      </c>
      <c r="AD628" s="52">
        <v>39702232.780000001</v>
      </c>
      <c r="AE628" s="52">
        <v>0</v>
      </c>
      <c r="AF628" s="52">
        <v>0</v>
      </c>
      <c r="AG628" s="52">
        <v>0</v>
      </c>
      <c r="AH628" s="52">
        <v>0</v>
      </c>
      <c r="AI628" s="52">
        <v>0</v>
      </c>
      <c r="AJ628" s="52">
        <v>2</v>
      </c>
      <c r="AK628" s="52"/>
      <c r="AL628" s="52">
        <v>0</v>
      </c>
      <c r="AM628" s="52">
        <v>0</v>
      </c>
      <c r="AN628" s="52">
        <v>2500000000</v>
      </c>
      <c r="AO628" s="52">
        <v>2001000000</v>
      </c>
      <c r="AP628" s="52">
        <v>2000000000</v>
      </c>
      <c r="AQ628" s="58">
        <v>0</v>
      </c>
      <c r="AR628" s="58">
        <v>0</v>
      </c>
      <c r="AS628" s="58">
        <v>0</v>
      </c>
      <c r="AT628" s="58">
        <v>0</v>
      </c>
      <c r="AU628" s="58">
        <v>0</v>
      </c>
      <c r="AV628" s="58">
        <v>0</v>
      </c>
      <c r="AW628" s="58">
        <v>0</v>
      </c>
      <c r="AX628" s="58">
        <v>0</v>
      </c>
    </row>
    <row r="629" spans="1:50" x14ac:dyDescent="0.25">
      <c r="A629" s="52">
        <f t="shared" si="35"/>
        <v>624</v>
      </c>
      <c r="B629" s="60" t="str">
        <f t="shared" si="34"/>
        <v>00439324959</v>
      </c>
      <c r="C629" s="55" t="s">
        <v>34</v>
      </c>
      <c r="D629" s="53" t="s">
        <v>2135</v>
      </c>
      <c r="E629" s="55" t="s">
        <v>994</v>
      </c>
      <c r="F629" s="53" t="s">
        <v>2136</v>
      </c>
      <c r="G629" s="55">
        <v>12097</v>
      </c>
      <c r="H629" s="53" t="s">
        <v>1037</v>
      </c>
      <c r="I629" s="55">
        <v>312226351</v>
      </c>
      <c r="J629" s="55" t="s">
        <v>1038</v>
      </c>
      <c r="K629" s="55" t="s">
        <v>1039</v>
      </c>
      <c r="L629" s="53" t="s">
        <v>2054</v>
      </c>
      <c r="M629" s="55" t="s">
        <v>49</v>
      </c>
      <c r="N629" s="52">
        <v>1500000000</v>
      </c>
      <c r="O629" s="52">
        <v>1500000000</v>
      </c>
      <c r="P629" s="52">
        <v>1500000000</v>
      </c>
      <c r="Q629" s="57">
        <v>45926</v>
      </c>
      <c r="R629" s="57">
        <v>47021</v>
      </c>
      <c r="S629" s="56">
        <v>28</v>
      </c>
      <c r="T629" s="54">
        <v>3</v>
      </c>
      <c r="U629" s="52">
        <v>1500000000</v>
      </c>
      <c r="V629" s="52">
        <v>1469318302.5599999</v>
      </c>
      <c r="W629" s="52">
        <v>30681697.440000001</v>
      </c>
      <c r="X629" s="57">
        <v>46027</v>
      </c>
      <c r="Y629" s="52">
        <v>0</v>
      </c>
      <c r="Z629" s="52">
        <v>0</v>
      </c>
      <c r="AA629" s="52">
        <v>1</v>
      </c>
      <c r="AB629" s="52">
        <v>0</v>
      </c>
      <c r="AC629" s="52">
        <v>70388136.210000008</v>
      </c>
      <c r="AD629" s="52">
        <v>35035743.469999999</v>
      </c>
      <c r="AE629" s="52">
        <v>0</v>
      </c>
      <c r="AF629" s="52">
        <v>0</v>
      </c>
      <c r="AG629" s="52">
        <v>35352392.740000002</v>
      </c>
      <c r="AH629" s="52">
        <v>0</v>
      </c>
      <c r="AI629" s="52">
        <v>0</v>
      </c>
      <c r="AJ629" s="52">
        <v>2</v>
      </c>
      <c r="AK629" s="52"/>
      <c r="AL629" s="52">
        <v>0</v>
      </c>
      <c r="AM629" s="52">
        <v>0</v>
      </c>
      <c r="AN629" s="52">
        <v>1875000000</v>
      </c>
      <c r="AO629" s="52">
        <v>1542700000</v>
      </c>
      <c r="AP629" s="52">
        <v>1542700000</v>
      </c>
      <c r="AQ629" s="58">
        <v>0</v>
      </c>
      <c r="AR629" s="58">
        <v>0</v>
      </c>
      <c r="AS629" s="58">
        <v>0</v>
      </c>
      <c r="AT629" s="58">
        <v>0</v>
      </c>
      <c r="AU629" s="58">
        <v>0</v>
      </c>
      <c r="AV629" s="58">
        <v>0</v>
      </c>
      <c r="AW629" s="58">
        <v>0</v>
      </c>
      <c r="AX629" s="58">
        <v>0</v>
      </c>
    </row>
    <row r="630" spans="1:50" x14ac:dyDescent="0.25">
      <c r="A630" s="52">
        <f t="shared" si="35"/>
        <v>625</v>
      </c>
      <c r="B630" s="60" t="str">
        <f t="shared" si="34"/>
        <v>00439322960</v>
      </c>
      <c r="C630" s="55" t="s">
        <v>34</v>
      </c>
      <c r="D630" s="53" t="s">
        <v>2135</v>
      </c>
      <c r="E630" s="55" t="s">
        <v>994</v>
      </c>
      <c r="F630" s="53" t="s">
        <v>2136</v>
      </c>
      <c r="G630" s="55">
        <v>12097</v>
      </c>
      <c r="H630" s="53" t="s">
        <v>1040</v>
      </c>
      <c r="I630" s="55">
        <v>312270576</v>
      </c>
      <c r="J630" s="55" t="s">
        <v>1041</v>
      </c>
      <c r="K630" s="55" t="s">
        <v>1042</v>
      </c>
      <c r="L630" s="53" t="s">
        <v>2054</v>
      </c>
      <c r="M630" s="55" t="s">
        <v>49</v>
      </c>
      <c r="N630" s="52">
        <v>1300000000</v>
      </c>
      <c r="O630" s="52">
        <v>1300000000</v>
      </c>
      <c r="P630" s="52">
        <v>1300000000</v>
      </c>
      <c r="Q630" s="57">
        <v>45856</v>
      </c>
      <c r="R630" s="57">
        <v>46951</v>
      </c>
      <c r="S630" s="56">
        <v>28</v>
      </c>
      <c r="T630" s="54">
        <v>0</v>
      </c>
      <c r="U630" s="52">
        <v>1150900513.8399999</v>
      </c>
      <c r="V630" s="52">
        <v>1150900513.8399999</v>
      </c>
      <c r="W630" s="52">
        <v>0</v>
      </c>
      <c r="X630" s="57"/>
      <c r="Y630" s="52">
        <v>0</v>
      </c>
      <c r="Z630" s="52">
        <v>0</v>
      </c>
      <c r="AA630" s="52">
        <v>1</v>
      </c>
      <c r="AB630" s="52">
        <v>0</v>
      </c>
      <c r="AC630" s="52">
        <v>27450075.48</v>
      </c>
      <c r="AD630" s="52">
        <v>27450075.48</v>
      </c>
      <c r="AE630" s="52">
        <v>0</v>
      </c>
      <c r="AF630" s="52">
        <v>0</v>
      </c>
      <c r="AG630" s="52">
        <v>0</v>
      </c>
      <c r="AH630" s="52">
        <v>0</v>
      </c>
      <c r="AI630" s="52">
        <v>0</v>
      </c>
      <c r="AJ630" s="52">
        <v>2</v>
      </c>
      <c r="AK630" s="52"/>
      <c r="AL630" s="52">
        <v>0</v>
      </c>
      <c r="AM630" s="52">
        <v>0</v>
      </c>
      <c r="AN630" s="52">
        <v>1625000000</v>
      </c>
      <c r="AO630" s="52">
        <v>1305040000</v>
      </c>
      <c r="AP630" s="52">
        <v>1300000000</v>
      </c>
      <c r="AQ630" s="58">
        <v>0</v>
      </c>
      <c r="AR630" s="58">
        <v>0</v>
      </c>
      <c r="AS630" s="58">
        <v>0</v>
      </c>
      <c r="AT630" s="58">
        <v>0</v>
      </c>
      <c r="AU630" s="58">
        <v>0</v>
      </c>
      <c r="AV630" s="58">
        <v>0</v>
      </c>
      <c r="AW630" s="58">
        <v>0</v>
      </c>
      <c r="AX630" s="58">
        <v>0</v>
      </c>
    </row>
    <row r="631" spans="1:50" x14ac:dyDescent="0.25">
      <c r="A631" s="52">
        <f t="shared" si="35"/>
        <v>626</v>
      </c>
      <c r="B631" s="60" t="str">
        <f t="shared" si="34"/>
        <v>00439324275</v>
      </c>
      <c r="C631" s="55" t="s">
        <v>34</v>
      </c>
      <c r="D631" s="53" t="s">
        <v>2135</v>
      </c>
      <c r="E631" s="55" t="s">
        <v>994</v>
      </c>
      <c r="F631" s="53" t="s">
        <v>2136</v>
      </c>
      <c r="G631" s="55">
        <v>12097</v>
      </c>
      <c r="H631" s="53" t="s">
        <v>1043</v>
      </c>
      <c r="I631" s="55">
        <v>312413959</v>
      </c>
      <c r="J631" s="55" t="s">
        <v>1044</v>
      </c>
      <c r="K631" s="55" t="s">
        <v>1045</v>
      </c>
      <c r="L631" s="53" t="s">
        <v>2054</v>
      </c>
      <c r="M631" s="55" t="s">
        <v>49</v>
      </c>
      <c r="N631" s="52">
        <v>1100000000</v>
      </c>
      <c r="O631" s="52">
        <v>1100000000</v>
      </c>
      <c r="P631" s="52">
        <v>1100000000</v>
      </c>
      <c r="Q631" s="57">
        <v>45909</v>
      </c>
      <c r="R631" s="57">
        <v>47004</v>
      </c>
      <c r="S631" s="56">
        <v>28</v>
      </c>
      <c r="T631" s="54">
        <v>0</v>
      </c>
      <c r="U631" s="52">
        <v>1039101032.98</v>
      </c>
      <c r="V631" s="52">
        <v>1017846777.3099999</v>
      </c>
      <c r="W631" s="52">
        <v>21254255.670000002</v>
      </c>
      <c r="X631" s="57">
        <v>46027</v>
      </c>
      <c r="Y631" s="52">
        <v>0</v>
      </c>
      <c r="Z631" s="52">
        <v>0</v>
      </c>
      <c r="AA631" s="52">
        <v>1</v>
      </c>
      <c r="AB631" s="52">
        <v>0</v>
      </c>
      <c r="AC631" s="52">
        <v>48812180.920000002</v>
      </c>
      <c r="AD631" s="52">
        <v>24270451.489999998</v>
      </c>
      <c r="AE631" s="52">
        <v>0</v>
      </c>
      <c r="AF631" s="52">
        <v>0</v>
      </c>
      <c r="AG631" s="52">
        <v>24541729.43</v>
      </c>
      <c r="AH631" s="52">
        <v>0</v>
      </c>
      <c r="AI631" s="52">
        <v>0</v>
      </c>
      <c r="AJ631" s="52">
        <v>2</v>
      </c>
      <c r="AK631" s="52"/>
      <c r="AL631" s="52">
        <v>0</v>
      </c>
      <c r="AM631" s="52">
        <v>0</v>
      </c>
      <c r="AN631" s="52">
        <v>1375000000</v>
      </c>
      <c r="AO631" s="52">
        <v>1136050000</v>
      </c>
      <c r="AP631" s="52">
        <v>1136050000</v>
      </c>
      <c r="AQ631" s="58">
        <v>0</v>
      </c>
      <c r="AR631" s="58">
        <v>0</v>
      </c>
      <c r="AS631" s="58">
        <v>0</v>
      </c>
      <c r="AT631" s="58">
        <v>0</v>
      </c>
      <c r="AU631" s="58">
        <v>0</v>
      </c>
      <c r="AV631" s="58">
        <v>0</v>
      </c>
      <c r="AW631" s="58">
        <v>0</v>
      </c>
      <c r="AX631" s="58">
        <v>0</v>
      </c>
    </row>
    <row r="632" spans="1:50" x14ac:dyDescent="0.25">
      <c r="A632" s="52">
        <f t="shared" si="35"/>
        <v>627</v>
      </c>
      <c r="B632" s="60" t="str">
        <f t="shared" si="34"/>
        <v>01037617630</v>
      </c>
      <c r="C632" s="55" t="s">
        <v>42</v>
      </c>
      <c r="D632" s="53" t="s">
        <v>2118</v>
      </c>
      <c r="E632" s="55" t="s">
        <v>1046</v>
      </c>
      <c r="F632" s="53" t="s">
        <v>2122</v>
      </c>
      <c r="G632" s="55">
        <v>10818</v>
      </c>
      <c r="H632" s="53" t="s">
        <v>1047</v>
      </c>
      <c r="I632" s="55">
        <v>305138979</v>
      </c>
      <c r="J632" s="55" t="s">
        <v>1048</v>
      </c>
      <c r="K632" s="55" t="s">
        <v>1049</v>
      </c>
      <c r="L632" s="53" t="s">
        <v>2035</v>
      </c>
      <c r="M632" s="55" t="s">
        <v>75</v>
      </c>
      <c r="N632" s="52">
        <v>1997071</v>
      </c>
      <c r="O632" s="52">
        <v>25271196053.23</v>
      </c>
      <c r="P632" s="52">
        <v>25271196053.23</v>
      </c>
      <c r="Q632" s="57">
        <v>43938</v>
      </c>
      <c r="R632" s="57">
        <v>49049</v>
      </c>
      <c r="S632" s="56">
        <v>8.5912000000000006</v>
      </c>
      <c r="T632" s="54">
        <v>24</v>
      </c>
      <c r="U632" s="52">
        <v>23007509431.5</v>
      </c>
      <c r="V632" s="52">
        <v>22332197021.299999</v>
      </c>
      <c r="W632" s="52">
        <v>675312410.20000005</v>
      </c>
      <c r="X632" s="57">
        <v>45978</v>
      </c>
      <c r="Y632" s="52">
        <v>0</v>
      </c>
      <c r="Z632" s="52">
        <v>0</v>
      </c>
      <c r="AA632" s="52">
        <v>2</v>
      </c>
      <c r="AB632" s="52">
        <v>5806105407.1499996</v>
      </c>
      <c r="AC632" s="52">
        <v>2245707554.8299999</v>
      </c>
      <c r="AD632" s="52">
        <v>90600641.849999994</v>
      </c>
      <c r="AE632" s="52">
        <v>1766424434.3900001</v>
      </c>
      <c r="AF632" s="52">
        <v>388682478.58999997</v>
      </c>
      <c r="AG632" s="52">
        <v>0</v>
      </c>
      <c r="AH632" s="52">
        <v>0</v>
      </c>
      <c r="AI632" s="52">
        <v>0</v>
      </c>
      <c r="AJ632" s="52">
        <v>2</v>
      </c>
      <c r="AK632" s="52"/>
      <c r="AL632" s="52">
        <v>0</v>
      </c>
      <c r="AM632" s="52">
        <v>0</v>
      </c>
      <c r="AN632" s="52">
        <v>25572950000</v>
      </c>
      <c r="AO632" s="52">
        <v>2065482513019</v>
      </c>
      <c r="AP632" s="52">
        <v>45727</v>
      </c>
      <c r="AQ632" s="58">
        <v>0</v>
      </c>
      <c r="AR632" s="58">
        <v>0</v>
      </c>
      <c r="AS632" s="58">
        <v>11</v>
      </c>
      <c r="AT632" s="58">
        <v>206966.21000000002</v>
      </c>
      <c r="AU632" s="58">
        <v>0</v>
      </c>
      <c r="AV632" s="58">
        <v>0</v>
      </c>
      <c r="AW632" s="58">
        <v>7</v>
      </c>
      <c r="AX632" s="58">
        <v>2761876.59</v>
      </c>
    </row>
    <row r="633" spans="1:50" x14ac:dyDescent="0.25">
      <c r="A633" s="52">
        <f t="shared" si="35"/>
        <v>628</v>
      </c>
      <c r="B633" s="60" t="str">
        <f t="shared" si="34"/>
        <v>01037618160</v>
      </c>
      <c r="C633" s="55" t="s">
        <v>42</v>
      </c>
      <c r="D633" s="53" t="s">
        <v>2118</v>
      </c>
      <c r="E633" s="55" t="s">
        <v>1046</v>
      </c>
      <c r="F633" s="53" t="s">
        <v>2122</v>
      </c>
      <c r="G633" s="55">
        <v>10818</v>
      </c>
      <c r="H633" s="53" t="s">
        <v>1050</v>
      </c>
      <c r="I633" s="55">
        <v>300421726</v>
      </c>
      <c r="J633" s="55" t="s">
        <v>1051</v>
      </c>
      <c r="K633" s="55" t="s">
        <v>1052</v>
      </c>
      <c r="L633" s="53" t="s">
        <v>2035</v>
      </c>
      <c r="M633" s="55" t="s">
        <v>75</v>
      </c>
      <c r="N633" s="52">
        <v>2370000</v>
      </c>
      <c r="O633" s="52">
        <v>29990288100</v>
      </c>
      <c r="P633" s="52">
        <v>29990288100</v>
      </c>
      <c r="Q633" s="57">
        <v>44438</v>
      </c>
      <c r="R633" s="57">
        <v>46798</v>
      </c>
      <c r="S633" s="56">
        <v>9</v>
      </c>
      <c r="T633" s="54">
        <v>20</v>
      </c>
      <c r="U633" s="52">
        <v>17517700215.299999</v>
      </c>
      <c r="V633" s="52">
        <v>17517700215.299999</v>
      </c>
      <c r="W633" s="52">
        <v>0</v>
      </c>
      <c r="X633" s="57"/>
      <c r="Y633" s="52">
        <v>0</v>
      </c>
      <c r="Z633" s="52">
        <v>0</v>
      </c>
      <c r="AA633" s="52">
        <v>1</v>
      </c>
      <c r="AB633" s="52">
        <v>0</v>
      </c>
      <c r="AC633" s="52">
        <v>705167023.63999999</v>
      </c>
      <c r="AD633" s="52">
        <v>705167023.63999999</v>
      </c>
      <c r="AE633" s="52">
        <v>0</v>
      </c>
      <c r="AF633" s="52">
        <v>0</v>
      </c>
      <c r="AG633" s="52">
        <v>0</v>
      </c>
      <c r="AH633" s="52">
        <v>0</v>
      </c>
      <c r="AI633" s="52">
        <v>0</v>
      </c>
      <c r="AJ633" s="52">
        <v>2</v>
      </c>
      <c r="AK633" s="52"/>
      <c r="AL633" s="52">
        <v>100302035026</v>
      </c>
      <c r="AM633" s="52">
        <v>0</v>
      </c>
      <c r="AN633" s="52">
        <v>113250000000</v>
      </c>
      <c r="AO633" s="52">
        <v>472346</v>
      </c>
      <c r="AP633" s="52">
        <v>45856</v>
      </c>
      <c r="AQ633" s="58">
        <v>0</v>
      </c>
      <c r="AR633" s="58">
        <v>0</v>
      </c>
      <c r="AS633" s="58">
        <v>90</v>
      </c>
      <c r="AT633" s="58">
        <v>8020741.8799999999</v>
      </c>
      <c r="AU633" s="58">
        <v>0</v>
      </c>
      <c r="AV633" s="58">
        <v>0</v>
      </c>
      <c r="AW633" s="58">
        <v>21</v>
      </c>
      <c r="AX633" s="58">
        <v>5196835</v>
      </c>
    </row>
    <row r="634" spans="1:50" x14ac:dyDescent="0.25">
      <c r="A634" s="52">
        <f t="shared" si="35"/>
        <v>629</v>
      </c>
      <c r="B634" s="60" t="str">
        <f t="shared" si="34"/>
        <v>01037617411</v>
      </c>
      <c r="C634" s="55" t="s">
        <v>42</v>
      </c>
      <c r="D634" s="53" t="s">
        <v>2118</v>
      </c>
      <c r="E634" s="55" t="s">
        <v>1046</v>
      </c>
      <c r="F634" s="53" t="s">
        <v>2122</v>
      </c>
      <c r="G634" s="55">
        <v>10818</v>
      </c>
      <c r="H634" s="53" t="s">
        <v>1053</v>
      </c>
      <c r="I634" s="55">
        <v>206999701</v>
      </c>
      <c r="J634" s="55" t="s">
        <v>1054</v>
      </c>
      <c r="K634" s="55" t="s">
        <v>1055</v>
      </c>
      <c r="L634" s="53" t="s">
        <v>2035</v>
      </c>
      <c r="M634" s="55" t="s">
        <v>75</v>
      </c>
      <c r="N634" s="52">
        <v>919634</v>
      </c>
      <c r="O634" s="52">
        <v>11637168188.42</v>
      </c>
      <c r="P634" s="52">
        <v>11637168188.42</v>
      </c>
      <c r="Q634" s="57">
        <v>43598</v>
      </c>
      <c r="R634" s="57">
        <v>48502</v>
      </c>
      <c r="S634" s="56">
        <v>8.5912000000000006</v>
      </c>
      <c r="T634" s="54">
        <v>30</v>
      </c>
      <c r="U634" s="52">
        <v>11031731523.700001</v>
      </c>
      <c r="V634" s="52">
        <v>11031731523.700001</v>
      </c>
      <c r="W634" s="52">
        <v>0</v>
      </c>
      <c r="X634" s="57"/>
      <c r="Y634" s="52">
        <v>0</v>
      </c>
      <c r="Z634" s="52">
        <v>0</v>
      </c>
      <c r="AA634" s="52">
        <v>1</v>
      </c>
      <c r="AB634" s="52">
        <v>0</v>
      </c>
      <c r="AC634" s="52">
        <v>165857743.69</v>
      </c>
      <c r="AD634" s="52">
        <v>165857743.69</v>
      </c>
      <c r="AE634" s="52">
        <v>0</v>
      </c>
      <c r="AF634" s="52">
        <v>0</v>
      </c>
      <c r="AG634" s="52">
        <v>0</v>
      </c>
      <c r="AH634" s="52">
        <v>0</v>
      </c>
      <c r="AI634" s="52">
        <v>0</v>
      </c>
      <c r="AJ634" s="52">
        <v>2</v>
      </c>
      <c r="AK634" s="52"/>
      <c r="AL634" s="52">
        <v>0</v>
      </c>
      <c r="AM634" s="52">
        <v>0</v>
      </c>
      <c r="AN634" s="52">
        <v>37935000000</v>
      </c>
      <c r="AO634" s="52">
        <v>919634</v>
      </c>
      <c r="AP634" s="52">
        <v>45886</v>
      </c>
      <c r="AQ634" s="58">
        <v>0</v>
      </c>
      <c r="AR634" s="58">
        <v>0</v>
      </c>
      <c r="AS634" s="58">
        <v>0</v>
      </c>
      <c r="AT634" s="58">
        <v>0</v>
      </c>
      <c r="AU634" s="58">
        <v>0</v>
      </c>
      <c r="AV634" s="58">
        <v>0</v>
      </c>
      <c r="AW634" s="58">
        <v>3</v>
      </c>
      <c r="AX634" s="58">
        <v>619500</v>
      </c>
    </row>
    <row r="635" spans="1:50" x14ac:dyDescent="0.25">
      <c r="A635" s="52">
        <f t="shared" si="35"/>
        <v>630</v>
      </c>
      <c r="B635" s="60" t="str">
        <f t="shared" si="34"/>
        <v>01037707947</v>
      </c>
      <c r="C635" s="55" t="s">
        <v>42</v>
      </c>
      <c r="D635" s="53" t="s">
        <v>2118</v>
      </c>
      <c r="E635" s="55" t="s">
        <v>1046</v>
      </c>
      <c r="F635" s="53" t="s">
        <v>2122</v>
      </c>
      <c r="G635" s="55">
        <v>10818</v>
      </c>
      <c r="H635" s="53" t="s">
        <v>1050</v>
      </c>
      <c r="I635" s="55">
        <v>300421726</v>
      </c>
      <c r="J635" s="55" t="s">
        <v>1056</v>
      </c>
      <c r="K635" s="55" t="s">
        <v>1057</v>
      </c>
      <c r="L635" s="53" t="s">
        <v>2035</v>
      </c>
      <c r="M635" s="55" t="s">
        <v>75</v>
      </c>
      <c r="N635" s="52">
        <v>1350000</v>
      </c>
      <c r="O635" s="52">
        <v>17083075499.999998</v>
      </c>
      <c r="P635" s="52">
        <v>17083075499.999998</v>
      </c>
      <c r="Q635" s="57">
        <v>44662</v>
      </c>
      <c r="R635" s="57">
        <v>46798</v>
      </c>
      <c r="S635" s="56">
        <v>6</v>
      </c>
      <c r="T635" s="54">
        <v>12</v>
      </c>
      <c r="U635" s="52">
        <v>9335495465.1000004</v>
      </c>
      <c r="V635" s="52">
        <v>9335495465.1000004</v>
      </c>
      <c r="W635" s="52">
        <v>0</v>
      </c>
      <c r="X635" s="57"/>
      <c r="Y635" s="52">
        <v>0</v>
      </c>
      <c r="Z635" s="52">
        <v>0</v>
      </c>
      <c r="AA635" s="52">
        <v>1</v>
      </c>
      <c r="AB635" s="52">
        <v>0</v>
      </c>
      <c r="AC635" s="52">
        <v>24894703.370000001</v>
      </c>
      <c r="AD635" s="52">
        <v>24894703.370000001</v>
      </c>
      <c r="AE635" s="52">
        <v>0</v>
      </c>
      <c r="AF635" s="52">
        <v>0</v>
      </c>
      <c r="AG635" s="52">
        <v>0</v>
      </c>
      <c r="AH635" s="52">
        <v>0</v>
      </c>
      <c r="AI635" s="52">
        <v>0</v>
      </c>
      <c r="AJ635" s="52">
        <v>2</v>
      </c>
      <c r="AK635" s="52"/>
      <c r="AL635" s="52">
        <v>100302035026</v>
      </c>
      <c r="AM635" s="52">
        <v>0</v>
      </c>
      <c r="AN635" s="52">
        <v>52614163520</v>
      </c>
      <c r="AO635" s="52">
        <v>472346</v>
      </c>
      <c r="AP635" s="52">
        <v>45888</v>
      </c>
      <c r="AQ635" s="58">
        <v>0</v>
      </c>
      <c r="AR635" s="58">
        <v>0</v>
      </c>
      <c r="AS635" s="58">
        <v>90</v>
      </c>
      <c r="AT635" s="58">
        <v>8020741.8799999999</v>
      </c>
      <c r="AU635" s="58">
        <v>0</v>
      </c>
      <c r="AV635" s="58">
        <v>0</v>
      </c>
      <c r="AW635" s="58">
        <v>21</v>
      </c>
      <c r="AX635" s="58">
        <v>5196835</v>
      </c>
    </row>
    <row r="636" spans="1:50" x14ac:dyDescent="0.25">
      <c r="A636" s="52">
        <f t="shared" si="35"/>
        <v>631</v>
      </c>
      <c r="B636" s="60" t="str">
        <f t="shared" si="34"/>
        <v>01037617617</v>
      </c>
      <c r="C636" s="55" t="s">
        <v>42</v>
      </c>
      <c r="D636" s="53" t="s">
        <v>2118</v>
      </c>
      <c r="E636" s="55" t="s">
        <v>1046</v>
      </c>
      <c r="F636" s="53" t="s">
        <v>2122</v>
      </c>
      <c r="G636" s="55">
        <v>10818</v>
      </c>
      <c r="H636" s="53" t="s">
        <v>1053</v>
      </c>
      <c r="I636" s="55">
        <v>206999701</v>
      </c>
      <c r="J636" s="55" t="s">
        <v>1058</v>
      </c>
      <c r="K636" s="55" t="s">
        <v>1059</v>
      </c>
      <c r="L636" s="53" t="s">
        <v>2035</v>
      </c>
      <c r="M636" s="55" t="s">
        <v>75</v>
      </c>
      <c r="N636" s="52">
        <v>578205</v>
      </c>
      <c r="O636" s="52">
        <v>7316681236.6499996</v>
      </c>
      <c r="P636" s="52">
        <v>7316681236.6499996</v>
      </c>
      <c r="Q636" s="57">
        <v>43861</v>
      </c>
      <c r="R636" s="57">
        <v>48775</v>
      </c>
      <c r="S636" s="56">
        <v>8.5912000000000006</v>
      </c>
      <c r="T636" s="54">
        <v>30</v>
      </c>
      <c r="U636" s="52">
        <v>7036379884.5</v>
      </c>
      <c r="V636" s="52">
        <v>7036379884.5</v>
      </c>
      <c r="W636" s="52">
        <v>0</v>
      </c>
      <c r="X636" s="57"/>
      <c r="Y636" s="52">
        <v>0</v>
      </c>
      <c r="Z636" s="52">
        <v>0</v>
      </c>
      <c r="AA636" s="52">
        <v>1</v>
      </c>
      <c r="AB636" s="52">
        <v>0</v>
      </c>
      <c r="AC636" s="52">
        <v>173700179.11000001</v>
      </c>
      <c r="AD636" s="52">
        <v>18822357.359999999</v>
      </c>
      <c r="AE636" s="52">
        <v>89553471.109999999</v>
      </c>
      <c r="AF636" s="52">
        <v>65324350.640000001</v>
      </c>
      <c r="AG636" s="52">
        <v>0</v>
      </c>
      <c r="AH636" s="52">
        <v>0</v>
      </c>
      <c r="AI636" s="52">
        <v>0</v>
      </c>
      <c r="AJ636" s="52">
        <v>2</v>
      </c>
      <c r="AK636" s="52"/>
      <c r="AL636" s="52">
        <v>0</v>
      </c>
      <c r="AM636" s="52">
        <v>0</v>
      </c>
      <c r="AN636" s="52">
        <v>59364626550</v>
      </c>
      <c r="AO636" s="52">
        <v>800288063055</v>
      </c>
      <c r="AP636" s="52">
        <v>45813</v>
      </c>
      <c r="AQ636" s="58">
        <v>0</v>
      </c>
      <c r="AR636" s="58">
        <v>0</v>
      </c>
      <c r="AS636" s="58">
        <v>0</v>
      </c>
      <c r="AT636" s="58">
        <v>0</v>
      </c>
      <c r="AU636" s="58">
        <v>0</v>
      </c>
      <c r="AV636" s="58">
        <v>0</v>
      </c>
      <c r="AW636" s="58">
        <v>3</v>
      </c>
      <c r="AX636" s="58">
        <v>619500</v>
      </c>
    </row>
    <row r="637" spans="1:50" x14ac:dyDescent="0.25">
      <c r="A637" s="52">
        <f t="shared" si="35"/>
        <v>632</v>
      </c>
      <c r="B637" s="60" t="str">
        <f t="shared" ref="B637:B700" si="36">+E637&amp;J637</f>
        <v>01037618263</v>
      </c>
      <c r="C637" s="55" t="s">
        <v>42</v>
      </c>
      <c r="D637" s="53" t="s">
        <v>2118</v>
      </c>
      <c r="E637" s="55" t="s">
        <v>1046</v>
      </c>
      <c r="F637" s="53" t="s">
        <v>2122</v>
      </c>
      <c r="G637" s="55">
        <v>10818</v>
      </c>
      <c r="H637" s="53" t="s">
        <v>1060</v>
      </c>
      <c r="I637" s="55">
        <v>304728577</v>
      </c>
      <c r="J637" s="55" t="s">
        <v>1061</v>
      </c>
      <c r="K637" s="55" t="s">
        <v>1062</v>
      </c>
      <c r="L637" s="53" t="s">
        <v>2035</v>
      </c>
      <c r="M637" s="55" t="s">
        <v>75</v>
      </c>
      <c r="N637" s="52">
        <v>910000</v>
      </c>
      <c r="O637" s="52">
        <v>11515258300</v>
      </c>
      <c r="P637" s="52">
        <v>11515258300</v>
      </c>
      <c r="Q637" s="57">
        <v>44560</v>
      </c>
      <c r="R637" s="57">
        <v>47071</v>
      </c>
      <c r="S637" s="56">
        <v>8</v>
      </c>
      <c r="T637" s="54">
        <v>24</v>
      </c>
      <c r="U637" s="52">
        <v>6291304481.1300001</v>
      </c>
      <c r="V637" s="52">
        <v>6290563507.8000002</v>
      </c>
      <c r="W637" s="52">
        <v>740973.33</v>
      </c>
      <c r="X637" s="57">
        <v>46037</v>
      </c>
      <c r="Y637" s="52">
        <v>0</v>
      </c>
      <c r="Z637" s="52">
        <v>0</v>
      </c>
      <c r="AA637" s="52">
        <v>1</v>
      </c>
      <c r="AB637" s="52">
        <v>0</v>
      </c>
      <c r="AC637" s="52">
        <v>300323299.37</v>
      </c>
      <c r="AD637" s="52">
        <v>15656446.93</v>
      </c>
      <c r="AE637" s="52">
        <v>255303496.75</v>
      </c>
      <c r="AF637" s="52">
        <v>29363355.690000001</v>
      </c>
      <c r="AG637" s="52">
        <v>0</v>
      </c>
      <c r="AH637" s="52">
        <v>0</v>
      </c>
      <c r="AI637" s="52">
        <v>0</v>
      </c>
      <c r="AJ637" s="52">
        <v>2</v>
      </c>
      <c r="AK637" s="52"/>
      <c r="AL637" s="52">
        <v>0</v>
      </c>
      <c r="AM637" s="52">
        <v>0</v>
      </c>
      <c r="AN637" s="52">
        <v>25500000000</v>
      </c>
      <c r="AO637" s="52">
        <v>116785743353</v>
      </c>
      <c r="AP637" s="52">
        <v>45884</v>
      </c>
      <c r="AQ637" s="58">
        <v>0</v>
      </c>
      <c r="AR637" s="58">
        <v>0</v>
      </c>
      <c r="AS637" s="58">
        <v>0</v>
      </c>
      <c r="AT637" s="58">
        <v>0</v>
      </c>
      <c r="AU637" s="58">
        <v>1</v>
      </c>
      <c r="AV637" s="58">
        <v>300000</v>
      </c>
      <c r="AW637" s="58">
        <v>4</v>
      </c>
      <c r="AX637" s="58">
        <v>1000000</v>
      </c>
    </row>
    <row r="638" spans="1:50" x14ac:dyDescent="0.25">
      <c r="A638" s="52">
        <f t="shared" si="35"/>
        <v>633</v>
      </c>
      <c r="B638" s="60" t="str">
        <f t="shared" si="36"/>
        <v>01037618122</v>
      </c>
      <c r="C638" s="55" t="s">
        <v>42</v>
      </c>
      <c r="D638" s="53" t="s">
        <v>2118</v>
      </c>
      <c r="E638" s="55" t="s">
        <v>1046</v>
      </c>
      <c r="F638" s="53" t="s">
        <v>2122</v>
      </c>
      <c r="G638" s="55">
        <v>10818</v>
      </c>
      <c r="H638" s="53" t="s">
        <v>1050</v>
      </c>
      <c r="I638" s="55">
        <v>300421726</v>
      </c>
      <c r="J638" s="55" t="s">
        <v>1063</v>
      </c>
      <c r="K638" s="55" t="s">
        <v>1064</v>
      </c>
      <c r="L638" s="53" t="s">
        <v>2035</v>
      </c>
      <c r="M638" s="55" t="s">
        <v>75</v>
      </c>
      <c r="N638" s="52">
        <v>900000</v>
      </c>
      <c r="O638" s="52">
        <v>11388717000</v>
      </c>
      <c r="P638" s="52">
        <v>11388717000</v>
      </c>
      <c r="Q638" s="57">
        <v>44392</v>
      </c>
      <c r="R638" s="57">
        <v>46767</v>
      </c>
      <c r="S638" s="56">
        <v>10</v>
      </c>
      <c r="T638" s="54">
        <v>7</v>
      </c>
      <c r="U638" s="52">
        <v>4740667852.8000002</v>
      </c>
      <c r="V638" s="52">
        <v>4740667852.8000002</v>
      </c>
      <c r="W638" s="52">
        <v>0</v>
      </c>
      <c r="X638" s="57"/>
      <c r="Y638" s="52">
        <v>0</v>
      </c>
      <c r="Z638" s="52">
        <v>0</v>
      </c>
      <c r="AA638" s="52">
        <v>1</v>
      </c>
      <c r="AB638" s="52">
        <v>0</v>
      </c>
      <c r="AC638" s="52">
        <v>21069675.57</v>
      </c>
      <c r="AD638" s="52">
        <v>21069675.57</v>
      </c>
      <c r="AE638" s="52">
        <v>0</v>
      </c>
      <c r="AF638" s="52">
        <v>0</v>
      </c>
      <c r="AG638" s="52">
        <v>0</v>
      </c>
      <c r="AH638" s="52">
        <v>0</v>
      </c>
      <c r="AI638" s="52">
        <v>0</v>
      </c>
      <c r="AJ638" s="52">
        <v>2</v>
      </c>
      <c r="AK638" s="52"/>
      <c r="AL638" s="52">
        <v>100302035026</v>
      </c>
      <c r="AM638" s="52">
        <v>0</v>
      </c>
      <c r="AN638" s="52">
        <v>25800000000</v>
      </c>
      <c r="AO638" s="52">
        <v>550240433752</v>
      </c>
      <c r="AP638" s="52">
        <v>45888</v>
      </c>
      <c r="AQ638" s="58">
        <v>0</v>
      </c>
      <c r="AR638" s="58">
        <v>0</v>
      </c>
      <c r="AS638" s="58">
        <v>90</v>
      </c>
      <c r="AT638" s="58">
        <v>8020741.8799999999</v>
      </c>
      <c r="AU638" s="58">
        <v>0</v>
      </c>
      <c r="AV638" s="58">
        <v>0</v>
      </c>
      <c r="AW638" s="58">
        <v>21</v>
      </c>
      <c r="AX638" s="58">
        <v>5196835</v>
      </c>
    </row>
    <row r="639" spans="1:50" x14ac:dyDescent="0.25">
      <c r="A639" s="52">
        <f t="shared" si="35"/>
        <v>634</v>
      </c>
      <c r="B639" s="60" t="str">
        <f t="shared" si="36"/>
        <v>01037616483</v>
      </c>
      <c r="C639" s="55" t="s">
        <v>42</v>
      </c>
      <c r="D639" s="53" t="s">
        <v>2118</v>
      </c>
      <c r="E639" s="55" t="s">
        <v>1046</v>
      </c>
      <c r="F639" s="53" t="s">
        <v>2122</v>
      </c>
      <c r="G639" s="55">
        <v>10818</v>
      </c>
      <c r="H639" s="53" t="s">
        <v>2540</v>
      </c>
      <c r="I639" s="55">
        <v>302768062</v>
      </c>
      <c r="J639" s="55" t="s">
        <v>1065</v>
      </c>
      <c r="K639" s="55" t="s">
        <v>1066</v>
      </c>
      <c r="L639" s="53" t="s">
        <v>2035</v>
      </c>
      <c r="M639" s="55" t="s">
        <v>75</v>
      </c>
      <c r="N639" s="52">
        <v>74000</v>
      </c>
      <c r="O639" s="52">
        <v>893014240</v>
      </c>
      <c r="P639" s="52">
        <v>893014240</v>
      </c>
      <c r="Q639" s="57">
        <v>45923</v>
      </c>
      <c r="R639" s="57">
        <v>47017</v>
      </c>
      <c r="S639" s="56">
        <v>6.3</v>
      </c>
      <c r="T639" s="54">
        <v>6</v>
      </c>
      <c r="U639" s="52">
        <v>4199723161.5</v>
      </c>
      <c r="V639" s="52">
        <v>3899747292.5</v>
      </c>
      <c r="W639" s="52">
        <v>299975869</v>
      </c>
      <c r="X639" s="57">
        <v>46028</v>
      </c>
      <c r="Y639" s="52">
        <v>0</v>
      </c>
      <c r="Z639" s="52">
        <v>0</v>
      </c>
      <c r="AA639" s="52">
        <v>1</v>
      </c>
      <c r="AB639" s="52">
        <v>419972316.14999998</v>
      </c>
      <c r="AC639" s="52">
        <v>49604712.369999997</v>
      </c>
      <c r="AD639" s="52">
        <v>1417413.43</v>
      </c>
      <c r="AE639" s="52">
        <v>0</v>
      </c>
      <c r="AF639" s="52">
        <v>48187298.939999998</v>
      </c>
      <c r="AG639" s="52">
        <v>0</v>
      </c>
      <c r="AH639" s="52">
        <v>0</v>
      </c>
      <c r="AI639" s="52">
        <v>0</v>
      </c>
      <c r="AJ639" s="52">
        <v>2</v>
      </c>
      <c r="AK639" s="52"/>
      <c r="AL639" s="52">
        <v>0</v>
      </c>
      <c r="AM639" s="52">
        <v>0</v>
      </c>
      <c r="AN639" s="52">
        <v>1202500000</v>
      </c>
      <c r="AO639" s="52">
        <v>18725807.199999999</v>
      </c>
      <c r="AP639" s="52">
        <v>115714702001</v>
      </c>
      <c r="AQ639" s="58">
        <v>0</v>
      </c>
      <c r="AR639" s="58">
        <v>0</v>
      </c>
      <c r="AS639" s="58">
        <v>0</v>
      </c>
      <c r="AT639" s="58">
        <v>0</v>
      </c>
      <c r="AU639" s="58">
        <v>2</v>
      </c>
      <c r="AV639" s="58">
        <v>230127.16</v>
      </c>
      <c r="AW639" s="58">
        <v>0</v>
      </c>
      <c r="AX639" s="58">
        <v>0</v>
      </c>
    </row>
    <row r="640" spans="1:50" x14ac:dyDescent="0.25">
      <c r="A640" s="52">
        <f t="shared" si="35"/>
        <v>635</v>
      </c>
      <c r="B640" s="60" t="str">
        <f t="shared" si="36"/>
        <v>01037960671</v>
      </c>
      <c r="C640" s="55" t="s">
        <v>42</v>
      </c>
      <c r="D640" s="53" t="s">
        <v>2118</v>
      </c>
      <c r="E640" s="55" t="s">
        <v>1046</v>
      </c>
      <c r="F640" s="53" t="s">
        <v>2122</v>
      </c>
      <c r="G640" s="55">
        <v>10818</v>
      </c>
      <c r="H640" s="53" t="s">
        <v>2541</v>
      </c>
      <c r="I640" s="55">
        <v>305532362</v>
      </c>
      <c r="J640" s="55" t="s">
        <v>1067</v>
      </c>
      <c r="K640" s="55" t="s">
        <v>1068</v>
      </c>
      <c r="L640" s="53" t="s">
        <v>2035</v>
      </c>
      <c r="M640" s="55" t="s">
        <v>49</v>
      </c>
      <c r="N640" s="52">
        <v>5000000000</v>
      </c>
      <c r="O640" s="52">
        <v>5000000000</v>
      </c>
      <c r="P640" s="52">
        <v>5000000000</v>
      </c>
      <c r="Q640" s="57">
        <v>45309</v>
      </c>
      <c r="R640" s="57">
        <v>47135</v>
      </c>
      <c r="S640" s="56">
        <v>14</v>
      </c>
      <c r="T640" s="54">
        <v>12</v>
      </c>
      <c r="U640" s="52">
        <v>3333323326</v>
      </c>
      <c r="V640" s="52">
        <v>3333323326</v>
      </c>
      <c r="W640" s="52">
        <v>0</v>
      </c>
      <c r="X640" s="57"/>
      <c r="Y640" s="52">
        <v>0</v>
      </c>
      <c r="Z640" s="52">
        <v>0</v>
      </c>
      <c r="AA640" s="52">
        <v>1</v>
      </c>
      <c r="AB640" s="52">
        <v>0</v>
      </c>
      <c r="AC640" s="52">
        <v>21735094.559999999</v>
      </c>
      <c r="AD640" s="52">
        <v>21735094.559999999</v>
      </c>
      <c r="AE640" s="52">
        <v>0</v>
      </c>
      <c r="AF640" s="52">
        <v>0</v>
      </c>
      <c r="AG640" s="52">
        <v>0</v>
      </c>
      <c r="AH640" s="52">
        <v>0</v>
      </c>
      <c r="AI640" s="52">
        <v>0</v>
      </c>
      <c r="AJ640" s="52">
        <v>2</v>
      </c>
      <c r="AK640" s="52"/>
      <c r="AL640" s="52">
        <v>0</v>
      </c>
      <c r="AM640" s="52">
        <v>0</v>
      </c>
      <c r="AN640" s="52">
        <v>13500000000</v>
      </c>
      <c r="AO640" s="52">
        <v>9740556472</v>
      </c>
      <c r="AP640" s="52">
        <v>45884</v>
      </c>
      <c r="AQ640" s="58">
        <v>0</v>
      </c>
      <c r="AR640" s="58">
        <v>0</v>
      </c>
      <c r="AS640" s="58">
        <v>0</v>
      </c>
      <c r="AT640" s="58">
        <v>0</v>
      </c>
      <c r="AU640" s="58">
        <v>5</v>
      </c>
      <c r="AV640" s="58">
        <v>419901.31</v>
      </c>
      <c r="AW640" s="58">
        <v>3</v>
      </c>
      <c r="AX640" s="58">
        <v>297302</v>
      </c>
    </row>
    <row r="641" spans="1:50" x14ac:dyDescent="0.25">
      <c r="A641" s="52">
        <f t="shared" si="35"/>
        <v>636</v>
      </c>
      <c r="B641" s="60" t="str">
        <f t="shared" si="36"/>
        <v>01037819587</v>
      </c>
      <c r="C641" s="55" t="s">
        <v>42</v>
      </c>
      <c r="D641" s="53" t="s">
        <v>2118</v>
      </c>
      <c r="E641" s="55" t="s">
        <v>1046</v>
      </c>
      <c r="F641" s="53" t="s">
        <v>2122</v>
      </c>
      <c r="G641" s="55">
        <v>10818</v>
      </c>
      <c r="H641" s="53" t="s">
        <v>1050</v>
      </c>
      <c r="I641" s="55">
        <v>300421726</v>
      </c>
      <c r="J641" s="55" t="s">
        <v>1069</v>
      </c>
      <c r="K641" s="55" t="s">
        <v>1070</v>
      </c>
      <c r="L641" s="53" t="s">
        <v>2035</v>
      </c>
      <c r="M641" s="55" t="s">
        <v>49</v>
      </c>
      <c r="N641" s="52">
        <v>7308503500</v>
      </c>
      <c r="O641" s="52">
        <v>7308503500</v>
      </c>
      <c r="P641" s="52">
        <v>7308503500</v>
      </c>
      <c r="Q641" s="57">
        <v>44785</v>
      </c>
      <c r="R641" s="57">
        <v>46675</v>
      </c>
      <c r="S641" s="56">
        <v>20</v>
      </c>
      <c r="T641" s="54">
        <v>6</v>
      </c>
      <c r="U641" s="52">
        <v>3228503500</v>
      </c>
      <c r="V641" s="52">
        <v>3228503500</v>
      </c>
      <c r="W641" s="52">
        <v>0</v>
      </c>
      <c r="X641" s="57"/>
      <c r="Y641" s="52">
        <v>0</v>
      </c>
      <c r="Z641" s="52">
        <v>0</v>
      </c>
      <c r="AA641" s="52">
        <v>1</v>
      </c>
      <c r="AB641" s="52">
        <v>0</v>
      </c>
      <c r="AC641" s="52">
        <v>30073731.23</v>
      </c>
      <c r="AD641" s="52">
        <v>30073731.23</v>
      </c>
      <c r="AE641" s="52">
        <v>0</v>
      </c>
      <c r="AF641" s="52">
        <v>0</v>
      </c>
      <c r="AG641" s="52">
        <v>0</v>
      </c>
      <c r="AH641" s="52">
        <v>0</v>
      </c>
      <c r="AI641" s="52">
        <v>0</v>
      </c>
      <c r="AJ641" s="52">
        <v>2</v>
      </c>
      <c r="AK641" s="52"/>
      <c r="AL641" s="52">
        <v>100302035026</v>
      </c>
      <c r="AM641" s="52">
        <v>0</v>
      </c>
      <c r="AN641" s="52">
        <v>18272000000</v>
      </c>
      <c r="AO641" s="52">
        <v>6534105150805</v>
      </c>
      <c r="AP641" s="52">
        <v>45888</v>
      </c>
      <c r="AQ641" s="58">
        <v>0</v>
      </c>
      <c r="AR641" s="58">
        <v>0</v>
      </c>
      <c r="AS641" s="58">
        <v>90</v>
      </c>
      <c r="AT641" s="58">
        <v>8020741.8799999999</v>
      </c>
      <c r="AU641" s="58">
        <v>0</v>
      </c>
      <c r="AV641" s="58">
        <v>0</v>
      </c>
      <c r="AW641" s="58">
        <v>21</v>
      </c>
      <c r="AX641" s="58">
        <v>5196835</v>
      </c>
    </row>
    <row r="642" spans="1:50" x14ac:dyDescent="0.25">
      <c r="A642" s="52">
        <f t="shared" si="35"/>
        <v>637</v>
      </c>
      <c r="B642" s="60" t="str">
        <f t="shared" si="36"/>
        <v>01037617530</v>
      </c>
      <c r="C642" s="55" t="s">
        <v>42</v>
      </c>
      <c r="D642" s="53" t="s">
        <v>2118</v>
      </c>
      <c r="E642" s="55" t="s">
        <v>1046</v>
      </c>
      <c r="F642" s="53" t="s">
        <v>2122</v>
      </c>
      <c r="G642" s="55">
        <v>10818</v>
      </c>
      <c r="H642" s="53" t="s">
        <v>1053</v>
      </c>
      <c r="I642" s="55">
        <v>206999701</v>
      </c>
      <c r="J642" s="55" t="s">
        <v>1071</v>
      </c>
      <c r="K642" s="55" t="s">
        <v>1072</v>
      </c>
      <c r="L642" s="53" t="s">
        <v>2035</v>
      </c>
      <c r="M642" s="55" t="s">
        <v>75</v>
      </c>
      <c r="N642" s="52">
        <v>272447</v>
      </c>
      <c r="O642" s="52">
        <v>3447579756.1099997</v>
      </c>
      <c r="P642" s="52">
        <v>3447579756.1099997</v>
      </c>
      <c r="Q642" s="57">
        <v>43698</v>
      </c>
      <c r="R642" s="57">
        <v>48625</v>
      </c>
      <c r="S642" s="56">
        <v>8.8211999999999993</v>
      </c>
      <c r="T642" s="54">
        <v>24</v>
      </c>
      <c r="U642" s="52">
        <v>3157419858.4000001</v>
      </c>
      <c r="V642" s="52">
        <v>3157419858.4000001</v>
      </c>
      <c r="W642" s="52">
        <v>0</v>
      </c>
      <c r="X642" s="57"/>
      <c r="Y642" s="52">
        <v>0</v>
      </c>
      <c r="Z642" s="52">
        <v>0</v>
      </c>
      <c r="AA642" s="52">
        <v>1</v>
      </c>
      <c r="AB642" s="52">
        <v>0</v>
      </c>
      <c r="AC642" s="52">
        <v>467074627.13</v>
      </c>
      <c r="AD642" s="52">
        <v>30894220.75</v>
      </c>
      <c r="AE642" s="52">
        <v>436180406.38</v>
      </c>
      <c r="AF642" s="52">
        <v>0</v>
      </c>
      <c r="AG642" s="52">
        <v>0</v>
      </c>
      <c r="AH642" s="52">
        <v>0</v>
      </c>
      <c r="AI642" s="52">
        <v>0</v>
      </c>
      <c r="AJ642" s="52">
        <v>2</v>
      </c>
      <c r="AK642" s="52"/>
      <c r="AL642" s="52">
        <v>0</v>
      </c>
      <c r="AM642" s="52">
        <v>0</v>
      </c>
      <c r="AN642" s="52">
        <v>42807290770</v>
      </c>
      <c r="AO642" s="52">
        <v>4436558700</v>
      </c>
      <c r="AP642" s="52">
        <v>45448</v>
      </c>
      <c r="AQ642" s="58">
        <v>0</v>
      </c>
      <c r="AR642" s="58">
        <v>0</v>
      </c>
      <c r="AS642" s="58">
        <v>0</v>
      </c>
      <c r="AT642" s="58">
        <v>0</v>
      </c>
      <c r="AU642" s="58">
        <v>0</v>
      </c>
      <c r="AV642" s="58">
        <v>0</v>
      </c>
      <c r="AW642" s="58">
        <v>3</v>
      </c>
      <c r="AX642" s="58">
        <v>619500</v>
      </c>
    </row>
    <row r="643" spans="1:50" x14ac:dyDescent="0.25">
      <c r="A643" s="52">
        <f t="shared" si="35"/>
        <v>638</v>
      </c>
      <c r="B643" s="60" t="str">
        <f t="shared" si="36"/>
        <v>010371053907</v>
      </c>
      <c r="C643" s="55" t="s">
        <v>42</v>
      </c>
      <c r="D643" s="53" t="s">
        <v>2118</v>
      </c>
      <c r="E643" s="55" t="s">
        <v>1046</v>
      </c>
      <c r="F643" s="53" t="s">
        <v>2122</v>
      </c>
      <c r="G643" s="55">
        <v>10818</v>
      </c>
      <c r="H643" s="53" t="s">
        <v>1073</v>
      </c>
      <c r="I643" s="55">
        <v>301526768</v>
      </c>
      <c r="J643" s="55" t="s">
        <v>1074</v>
      </c>
      <c r="K643" s="55" t="s">
        <v>1075</v>
      </c>
      <c r="L643" s="53" t="s">
        <v>2035</v>
      </c>
      <c r="M643" s="55" t="s">
        <v>49</v>
      </c>
      <c r="N643" s="52">
        <v>250000000</v>
      </c>
      <c r="O643" s="52">
        <v>250000000</v>
      </c>
      <c r="P643" s="52">
        <v>250000000</v>
      </c>
      <c r="Q643" s="57">
        <v>45834</v>
      </c>
      <c r="R643" s="57">
        <v>46927</v>
      </c>
      <c r="S643" s="56">
        <v>28</v>
      </c>
      <c r="T643" s="54">
        <v>0</v>
      </c>
      <c r="U643" s="52">
        <v>3075000000</v>
      </c>
      <c r="V643" s="52">
        <v>2460000000</v>
      </c>
      <c r="W643" s="52">
        <v>615000000</v>
      </c>
      <c r="X643" s="57">
        <v>46028</v>
      </c>
      <c r="Y643" s="52">
        <v>0</v>
      </c>
      <c r="Z643" s="52">
        <v>0</v>
      </c>
      <c r="AA643" s="52">
        <v>1</v>
      </c>
      <c r="AB643" s="52">
        <v>307500000</v>
      </c>
      <c r="AC643" s="52">
        <v>303574893.03000003</v>
      </c>
      <c r="AD643" s="52">
        <v>51109589.039999999</v>
      </c>
      <c r="AE643" s="52">
        <v>0</v>
      </c>
      <c r="AF643" s="52">
        <v>252465303.99000001</v>
      </c>
      <c r="AG643" s="52">
        <v>0</v>
      </c>
      <c r="AH643" s="52">
        <v>0</v>
      </c>
      <c r="AI643" s="52">
        <v>0</v>
      </c>
      <c r="AJ643" s="52">
        <v>2</v>
      </c>
      <c r="AK643" s="52"/>
      <c r="AL643" s="52">
        <v>0</v>
      </c>
      <c r="AM643" s="52">
        <v>0</v>
      </c>
      <c r="AN643" s="52">
        <v>312500000</v>
      </c>
      <c r="AO643" s="52">
        <v>0</v>
      </c>
      <c r="AP643" s="52">
        <v>0</v>
      </c>
      <c r="AQ643" s="58">
        <v>0</v>
      </c>
      <c r="AR643" s="58">
        <v>0</v>
      </c>
      <c r="AS643" s="58">
        <v>0</v>
      </c>
      <c r="AT643" s="58">
        <v>0</v>
      </c>
      <c r="AU643" s="58">
        <v>3</v>
      </c>
      <c r="AV643" s="58">
        <v>25650</v>
      </c>
      <c r="AW643" s="58">
        <v>0</v>
      </c>
      <c r="AX643" s="58">
        <v>0</v>
      </c>
    </row>
    <row r="644" spans="1:50" x14ac:dyDescent="0.25">
      <c r="A644" s="52">
        <f t="shared" si="35"/>
        <v>639</v>
      </c>
      <c r="B644" s="60" t="str">
        <f t="shared" si="36"/>
        <v>01037837882</v>
      </c>
      <c r="C644" s="55" t="s">
        <v>42</v>
      </c>
      <c r="D644" s="53" t="s">
        <v>2118</v>
      </c>
      <c r="E644" s="55" t="s">
        <v>1046</v>
      </c>
      <c r="F644" s="53" t="s">
        <v>2122</v>
      </c>
      <c r="G644" s="55">
        <v>10818</v>
      </c>
      <c r="H644" s="53" t="s">
        <v>2542</v>
      </c>
      <c r="I644" s="55">
        <v>304585851</v>
      </c>
      <c r="J644" s="55" t="s">
        <v>1076</v>
      </c>
      <c r="K644" s="55" t="s">
        <v>1077</v>
      </c>
      <c r="L644" s="53" t="s">
        <v>2035</v>
      </c>
      <c r="M644" s="55" t="s">
        <v>49</v>
      </c>
      <c r="N644" s="52">
        <v>3000000000</v>
      </c>
      <c r="O644" s="52">
        <v>3000000000</v>
      </c>
      <c r="P644" s="52">
        <v>3000000000</v>
      </c>
      <c r="Q644" s="57">
        <v>44840</v>
      </c>
      <c r="R644" s="57">
        <v>47395</v>
      </c>
      <c r="S644" s="56">
        <v>18</v>
      </c>
      <c r="T644" s="54">
        <v>36</v>
      </c>
      <c r="U644" s="52">
        <v>2929160193.8400002</v>
      </c>
      <c r="V644" s="52">
        <v>2812500000</v>
      </c>
      <c r="W644" s="52">
        <v>116660193.84</v>
      </c>
      <c r="X644" s="57">
        <v>46028</v>
      </c>
      <c r="Y644" s="52">
        <v>0</v>
      </c>
      <c r="Z644" s="52">
        <v>0</v>
      </c>
      <c r="AA644" s="52">
        <v>1</v>
      </c>
      <c r="AB644" s="52">
        <v>0</v>
      </c>
      <c r="AC644" s="52">
        <v>71118772.039999992</v>
      </c>
      <c r="AD644" s="52">
        <v>23578767.129999999</v>
      </c>
      <c r="AE644" s="52">
        <v>0</v>
      </c>
      <c r="AF644" s="52">
        <v>47540004.909999996</v>
      </c>
      <c r="AG644" s="52">
        <v>0</v>
      </c>
      <c r="AH644" s="52">
        <v>0</v>
      </c>
      <c r="AI644" s="52">
        <v>0</v>
      </c>
      <c r="AJ644" s="52">
        <v>2</v>
      </c>
      <c r="AK644" s="52"/>
      <c r="AL644" s="52">
        <v>0</v>
      </c>
      <c r="AM644" s="52">
        <v>0</v>
      </c>
      <c r="AN644" s="52">
        <v>7500000000</v>
      </c>
      <c r="AO644" s="52">
        <v>1096035000</v>
      </c>
      <c r="AP644" s="52">
        <v>45869</v>
      </c>
      <c r="AQ644" s="58">
        <v>0</v>
      </c>
      <c r="AR644" s="58">
        <v>0</v>
      </c>
      <c r="AS644" s="58">
        <v>0</v>
      </c>
      <c r="AT644" s="58">
        <v>0</v>
      </c>
      <c r="AU644" s="58">
        <v>1</v>
      </c>
      <c r="AV644" s="58">
        <v>100080.05</v>
      </c>
      <c r="AW644" s="58">
        <v>0</v>
      </c>
      <c r="AX644" s="58">
        <v>0</v>
      </c>
    </row>
    <row r="645" spans="1:50" x14ac:dyDescent="0.25">
      <c r="A645" s="52">
        <f t="shared" si="35"/>
        <v>640</v>
      </c>
      <c r="B645" s="60" t="str">
        <f t="shared" si="36"/>
        <v>01037616285</v>
      </c>
      <c r="C645" s="55" t="s">
        <v>42</v>
      </c>
      <c r="D645" s="53" t="s">
        <v>2118</v>
      </c>
      <c r="E645" s="55" t="s">
        <v>1046</v>
      </c>
      <c r="F645" s="53" t="s">
        <v>2122</v>
      </c>
      <c r="G645" s="55">
        <v>10818</v>
      </c>
      <c r="H645" s="53" t="s">
        <v>1050</v>
      </c>
      <c r="I645" s="55">
        <v>300421726</v>
      </c>
      <c r="J645" s="55" t="s">
        <v>1078</v>
      </c>
      <c r="K645" s="55" t="s">
        <v>1079</v>
      </c>
      <c r="L645" s="53" t="s">
        <v>2035</v>
      </c>
      <c r="M645" s="55" t="s">
        <v>49</v>
      </c>
      <c r="N645" s="52">
        <v>8778800000</v>
      </c>
      <c r="O645" s="52">
        <v>8778800000</v>
      </c>
      <c r="P645" s="52">
        <v>8778800000</v>
      </c>
      <c r="Q645" s="57">
        <v>43286</v>
      </c>
      <c r="R645" s="57">
        <v>46583</v>
      </c>
      <c r="S645" s="56">
        <v>18</v>
      </c>
      <c r="T645" s="54">
        <v>6</v>
      </c>
      <c r="U645" s="52">
        <v>2629412684</v>
      </c>
      <c r="V645" s="52">
        <v>2629412684</v>
      </c>
      <c r="W645" s="52">
        <v>0</v>
      </c>
      <c r="X645" s="57"/>
      <c r="Y645" s="52">
        <v>0</v>
      </c>
      <c r="Z645" s="52">
        <v>0</v>
      </c>
      <c r="AA645" s="52">
        <v>1</v>
      </c>
      <c r="AB645" s="52">
        <v>0</v>
      </c>
      <c r="AC645" s="52">
        <v>9076876.6699999999</v>
      </c>
      <c r="AD645" s="52">
        <v>9076876.6699999999</v>
      </c>
      <c r="AE645" s="52">
        <v>0</v>
      </c>
      <c r="AF645" s="52">
        <v>0</v>
      </c>
      <c r="AG645" s="52">
        <v>0</v>
      </c>
      <c r="AH645" s="52">
        <v>0</v>
      </c>
      <c r="AI645" s="52">
        <v>0</v>
      </c>
      <c r="AJ645" s="52">
        <v>2</v>
      </c>
      <c r="AK645" s="52"/>
      <c r="AL645" s="52">
        <v>100302035026</v>
      </c>
      <c r="AM645" s="52">
        <v>0</v>
      </c>
      <c r="AN645" s="52">
        <v>22000000000</v>
      </c>
      <c r="AO645" s="52">
        <v>33452212210</v>
      </c>
      <c r="AP645" s="52">
        <v>45888</v>
      </c>
      <c r="AQ645" s="58">
        <v>0</v>
      </c>
      <c r="AR645" s="58">
        <v>0</v>
      </c>
      <c r="AS645" s="58">
        <v>90</v>
      </c>
      <c r="AT645" s="58">
        <v>8020741.8799999999</v>
      </c>
      <c r="AU645" s="58">
        <v>0</v>
      </c>
      <c r="AV645" s="58">
        <v>0</v>
      </c>
      <c r="AW645" s="58">
        <v>21</v>
      </c>
      <c r="AX645" s="58">
        <v>5196835</v>
      </c>
    </row>
    <row r="646" spans="1:50" x14ac:dyDescent="0.25">
      <c r="A646" s="52">
        <f t="shared" si="35"/>
        <v>641</v>
      </c>
      <c r="B646" s="60" t="str">
        <f t="shared" si="36"/>
        <v>01037842824</v>
      </c>
      <c r="C646" s="55" t="s">
        <v>42</v>
      </c>
      <c r="D646" s="53" t="s">
        <v>2118</v>
      </c>
      <c r="E646" s="55" t="s">
        <v>1046</v>
      </c>
      <c r="F646" s="53" t="s">
        <v>2122</v>
      </c>
      <c r="G646" s="55">
        <v>10818</v>
      </c>
      <c r="H646" s="53" t="s">
        <v>2543</v>
      </c>
      <c r="I646" s="55">
        <v>306006334</v>
      </c>
      <c r="J646" s="55" t="s">
        <v>1080</v>
      </c>
      <c r="K646" s="55" t="s">
        <v>1081</v>
      </c>
      <c r="L646" s="53" t="s">
        <v>2035</v>
      </c>
      <c r="M646" s="55" t="s">
        <v>49</v>
      </c>
      <c r="N646" s="52">
        <v>3250000000</v>
      </c>
      <c r="O646" s="52">
        <v>3250000000</v>
      </c>
      <c r="P646" s="52">
        <v>3250000000</v>
      </c>
      <c r="Q646" s="57">
        <v>44854</v>
      </c>
      <c r="R646" s="57">
        <v>46673</v>
      </c>
      <c r="S646" s="56">
        <v>14</v>
      </c>
      <c r="T646" s="54">
        <v>24</v>
      </c>
      <c r="U646" s="52">
        <v>2166666664</v>
      </c>
      <c r="V646" s="52">
        <v>1895833330</v>
      </c>
      <c r="W646" s="52">
        <v>270833334</v>
      </c>
      <c r="X646" s="57">
        <v>46028</v>
      </c>
      <c r="Y646" s="52">
        <v>0</v>
      </c>
      <c r="Z646" s="52">
        <v>0</v>
      </c>
      <c r="AA646" s="52">
        <v>1</v>
      </c>
      <c r="AB646" s="52">
        <v>216666666.40000001</v>
      </c>
      <c r="AC646" s="52">
        <v>88744049.060000002</v>
      </c>
      <c r="AD646" s="52">
        <v>12361872.119999999</v>
      </c>
      <c r="AE646" s="52">
        <v>0</v>
      </c>
      <c r="AF646" s="52">
        <v>76382176.939999998</v>
      </c>
      <c r="AG646" s="52">
        <v>0</v>
      </c>
      <c r="AH646" s="52">
        <v>0</v>
      </c>
      <c r="AI646" s="52">
        <v>0</v>
      </c>
      <c r="AJ646" s="52">
        <v>2</v>
      </c>
      <c r="AK646" s="52"/>
      <c r="AL646" s="52">
        <v>52057776437</v>
      </c>
      <c r="AM646" s="52">
        <v>0</v>
      </c>
      <c r="AN646" s="52">
        <v>8125000000</v>
      </c>
      <c r="AO646" s="52">
        <v>10774159313</v>
      </c>
      <c r="AP646" s="52">
        <v>45888</v>
      </c>
      <c r="AQ646" s="58">
        <v>162</v>
      </c>
      <c r="AR646" s="58">
        <v>2151225.12</v>
      </c>
      <c r="AS646" s="58">
        <v>96</v>
      </c>
      <c r="AT646" s="58">
        <v>886031.53</v>
      </c>
      <c r="AU646" s="58">
        <v>69</v>
      </c>
      <c r="AV646" s="58">
        <v>380401.29</v>
      </c>
      <c r="AW646" s="58">
        <v>43</v>
      </c>
      <c r="AX646" s="58">
        <v>507136.37000000005</v>
      </c>
    </row>
    <row r="647" spans="1:50" x14ac:dyDescent="0.25">
      <c r="A647" s="52">
        <f t="shared" si="35"/>
        <v>642</v>
      </c>
      <c r="B647" s="60" t="str">
        <f t="shared" si="36"/>
        <v>01037618230</v>
      </c>
      <c r="C647" s="55" t="s">
        <v>42</v>
      </c>
      <c r="D647" s="53" t="s">
        <v>2118</v>
      </c>
      <c r="E647" s="55" t="s">
        <v>1046</v>
      </c>
      <c r="F647" s="53" t="s">
        <v>2122</v>
      </c>
      <c r="G647" s="55">
        <v>10818</v>
      </c>
      <c r="H647" s="53" t="s">
        <v>2544</v>
      </c>
      <c r="I647" s="55">
        <v>302768062</v>
      </c>
      <c r="J647" s="55" t="s">
        <v>1082</v>
      </c>
      <c r="K647" s="55" t="s">
        <v>1083</v>
      </c>
      <c r="L647" s="53" t="s">
        <v>2035</v>
      </c>
      <c r="M647" s="55" t="s">
        <v>49</v>
      </c>
      <c r="N647" s="52">
        <v>200000000</v>
      </c>
      <c r="O647" s="52">
        <v>200000000</v>
      </c>
      <c r="P647" s="52">
        <v>200000000</v>
      </c>
      <c r="Q647" s="57">
        <v>45772</v>
      </c>
      <c r="R647" s="57">
        <v>46864</v>
      </c>
      <c r="S647" s="56">
        <v>8</v>
      </c>
      <c r="T647" s="54">
        <v>6</v>
      </c>
      <c r="U647" s="52">
        <v>1960723769.77</v>
      </c>
      <c r="V647" s="52">
        <v>1901083345.8</v>
      </c>
      <c r="W647" s="52">
        <v>59640423.969999999</v>
      </c>
      <c r="X647" s="57">
        <v>46028</v>
      </c>
      <c r="Y647" s="52">
        <v>0</v>
      </c>
      <c r="Z647" s="52">
        <v>0</v>
      </c>
      <c r="AA647" s="52">
        <v>1</v>
      </c>
      <c r="AB647" s="52">
        <v>121.99</v>
      </c>
      <c r="AC647" s="52">
        <v>54812630.149999999</v>
      </c>
      <c r="AD647" s="52">
        <v>4224670.32</v>
      </c>
      <c r="AE647" s="52">
        <v>41024353.390000001</v>
      </c>
      <c r="AF647" s="52">
        <v>9563606.4399999995</v>
      </c>
      <c r="AG647" s="52">
        <v>0</v>
      </c>
      <c r="AH647" s="52">
        <v>0</v>
      </c>
      <c r="AI647" s="52">
        <v>0</v>
      </c>
      <c r="AJ647" s="52">
        <v>2</v>
      </c>
      <c r="AK647" s="52"/>
      <c r="AL647" s="52">
        <v>0</v>
      </c>
      <c r="AM647" s="52">
        <v>0</v>
      </c>
      <c r="AN647" s="52">
        <v>250000000</v>
      </c>
      <c r="AO647" s="52">
        <v>1243233196</v>
      </c>
      <c r="AP647" s="52">
        <v>1243233196</v>
      </c>
      <c r="AQ647" s="58">
        <v>0</v>
      </c>
      <c r="AR647" s="58">
        <v>0</v>
      </c>
      <c r="AS647" s="58">
        <v>0</v>
      </c>
      <c r="AT647" s="58">
        <v>0</v>
      </c>
      <c r="AU647" s="58">
        <v>2</v>
      </c>
      <c r="AV647" s="58">
        <v>230127.16</v>
      </c>
      <c r="AW647" s="58">
        <v>0</v>
      </c>
      <c r="AX647" s="58">
        <v>0</v>
      </c>
    </row>
    <row r="648" spans="1:50" x14ac:dyDescent="0.25">
      <c r="A648" s="52">
        <f t="shared" ref="A648:A711" si="37">+A647+1</f>
        <v>643</v>
      </c>
      <c r="B648" s="60" t="str">
        <f t="shared" si="36"/>
        <v>010371086920</v>
      </c>
      <c r="C648" s="55" t="s">
        <v>42</v>
      </c>
      <c r="D648" s="53" t="s">
        <v>2118</v>
      </c>
      <c r="E648" s="55" t="s">
        <v>1046</v>
      </c>
      <c r="F648" s="53" t="s">
        <v>2122</v>
      </c>
      <c r="G648" s="55">
        <v>10818</v>
      </c>
      <c r="H648" s="53" t="s">
        <v>1084</v>
      </c>
      <c r="I648" s="55">
        <v>310035780</v>
      </c>
      <c r="J648" s="55" t="s">
        <v>1085</v>
      </c>
      <c r="K648" s="55" t="s">
        <v>1086</v>
      </c>
      <c r="L648" s="53" t="s">
        <v>2035</v>
      </c>
      <c r="M648" s="55" t="s">
        <v>49</v>
      </c>
      <c r="N648" s="52">
        <v>2200000000</v>
      </c>
      <c r="O648" s="52">
        <v>2200000000</v>
      </c>
      <c r="P648" s="52">
        <v>2200000000</v>
      </c>
      <c r="Q648" s="57">
        <v>45763</v>
      </c>
      <c r="R648" s="57">
        <v>46492</v>
      </c>
      <c r="S648" s="56">
        <v>27.75</v>
      </c>
      <c r="T648" s="54">
        <v>6</v>
      </c>
      <c r="U648" s="52">
        <v>1549718094.76</v>
      </c>
      <c r="V648" s="52">
        <v>1549718094.76</v>
      </c>
      <c r="W648" s="52">
        <v>0</v>
      </c>
      <c r="X648" s="57"/>
      <c r="Y648" s="52">
        <v>0</v>
      </c>
      <c r="Z648" s="52">
        <v>0</v>
      </c>
      <c r="AA648" s="52">
        <v>1</v>
      </c>
      <c r="AB648" s="52">
        <v>0</v>
      </c>
      <c r="AC648" s="52">
        <v>33712363.909999996</v>
      </c>
      <c r="AD648" s="52">
        <v>33712363.909999996</v>
      </c>
      <c r="AE648" s="52">
        <v>0</v>
      </c>
      <c r="AF648" s="52">
        <v>0</v>
      </c>
      <c r="AG648" s="52">
        <v>0</v>
      </c>
      <c r="AH648" s="52">
        <v>0</v>
      </c>
      <c r="AI648" s="52">
        <v>0</v>
      </c>
      <c r="AJ648" s="52">
        <v>2</v>
      </c>
      <c r="AK648" s="52"/>
      <c r="AL648" s="52">
        <v>0</v>
      </c>
      <c r="AM648" s="52">
        <v>0</v>
      </c>
      <c r="AN648" s="52">
        <v>5500000000</v>
      </c>
      <c r="AO648" s="52">
        <v>683756814275</v>
      </c>
      <c r="AP648" s="52">
        <v>45888</v>
      </c>
      <c r="AQ648" s="58">
        <v>0</v>
      </c>
      <c r="AR648" s="58">
        <v>0</v>
      </c>
      <c r="AS648" s="58">
        <v>0</v>
      </c>
      <c r="AT648" s="58">
        <v>0</v>
      </c>
      <c r="AU648" s="58">
        <v>0</v>
      </c>
      <c r="AV648" s="58">
        <v>0</v>
      </c>
      <c r="AW648" s="58">
        <v>0</v>
      </c>
      <c r="AX648" s="58">
        <v>0</v>
      </c>
    </row>
    <row r="649" spans="1:50" x14ac:dyDescent="0.25">
      <c r="A649" s="52">
        <f t="shared" si="37"/>
        <v>644</v>
      </c>
      <c r="B649" s="60" t="str">
        <f t="shared" si="36"/>
        <v>01037643617</v>
      </c>
      <c r="C649" s="55" t="s">
        <v>42</v>
      </c>
      <c r="D649" s="53" t="s">
        <v>2118</v>
      </c>
      <c r="E649" s="55" t="s">
        <v>1046</v>
      </c>
      <c r="F649" s="53" t="s">
        <v>2122</v>
      </c>
      <c r="G649" s="55">
        <v>10818</v>
      </c>
      <c r="H649" s="53" t="s">
        <v>1087</v>
      </c>
      <c r="I649" s="55">
        <v>306384444</v>
      </c>
      <c r="J649" s="55" t="s">
        <v>1088</v>
      </c>
      <c r="K649" s="55" t="s">
        <v>1089</v>
      </c>
      <c r="L649" s="53" t="s">
        <v>2035</v>
      </c>
      <c r="M649" s="55" t="s">
        <v>49</v>
      </c>
      <c r="N649" s="52">
        <v>8000000000</v>
      </c>
      <c r="O649" s="52">
        <v>8000000000</v>
      </c>
      <c r="P649" s="52">
        <v>8000000000</v>
      </c>
      <c r="Q649" s="57">
        <v>44354</v>
      </c>
      <c r="R649" s="57">
        <v>46176</v>
      </c>
      <c r="S649" s="56">
        <v>20</v>
      </c>
      <c r="T649" s="54">
        <v>24</v>
      </c>
      <c r="U649" s="52">
        <v>1527200895.7</v>
      </c>
      <c r="V649" s="52">
        <v>1111111118</v>
      </c>
      <c r="W649" s="52">
        <v>416089777.69999999</v>
      </c>
      <c r="X649" s="57">
        <v>46028</v>
      </c>
      <c r="Y649" s="52">
        <v>0</v>
      </c>
      <c r="Z649" s="52">
        <v>0</v>
      </c>
      <c r="AA649" s="52">
        <v>1</v>
      </c>
      <c r="AB649" s="52">
        <v>0</v>
      </c>
      <c r="AC649" s="52">
        <v>58545859.809999995</v>
      </c>
      <c r="AD649" s="52">
        <v>16560121.869999999</v>
      </c>
      <c r="AE649" s="52">
        <v>0</v>
      </c>
      <c r="AF649" s="52">
        <v>41985737.939999998</v>
      </c>
      <c r="AG649" s="52">
        <v>0</v>
      </c>
      <c r="AH649" s="52">
        <v>0</v>
      </c>
      <c r="AI649" s="52">
        <v>0</v>
      </c>
      <c r="AJ649" s="52">
        <v>2</v>
      </c>
      <c r="AK649" s="52"/>
      <c r="AL649" s="52">
        <v>88469293502</v>
      </c>
      <c r="AM649" s="52">
        <v>0</v>
      </c>
      <c r="AN649" s="52">
        <v>20000000000</v>
      </c>
      <c r="AO649" s="52">
        <v>8415698113</v>
      </c>
      <c r="AP649" s="52">
        <v>45888</v>
      </c>
      <c r="AQ649" s="58">
        <v>0</v>
      </c>
      <c r="AR649" s="58">
        <v>0</v>
      </c>
      <c r="AS649" s="58">
        <v>0</v>
      </c>
      <c r="AT649" s="58">
        <v>0</v>
      </c>
      <c r="AU649" s="58">
        <v>0</v>
      </c>
      <c r="AV649" s="58">
        <v>0</v>
      </c>
      <c r="AW649" s="58">
        <v>0</v>
      </c>
      <c r="AX649" s="58">
        <v>0</v>
      </c>
    </row>
    <row r="650" spans="1:50" x14ac:dyDescent="0.25">
      <c r="A650" s="52">
        <f t="shared" si="37"/>
        <v>645</v>
      </c>
      <c r="B650" s="60" t="str">
        <f t="shared" si="36"/>
        <v>01037825014</v>
      </c>
      <c r="C650" s="55" t="s">
        <v>42</v>
      </c>
      <c r="D650" s="53" t="s">
        <v>2118</v>
      </c>
      <c r="E650" s="55" t="s">
        <v>1046</v>
      </c>
      <c r="F650" s="53" t="s">
        <v>2122</v>
      </c>
      <c r="G650" s="55">
        <v>10818</v>
      </c>
      <c r="H650" s="53" t="s">
        <v>1090</v>
      </c>
      <c r="I650" s="55">
        <v>307791998</v>
      </c>
      <c r="J650" s="55" t="s">
        <v>1091</v>
      </c>
      <c r="K650" s="55" t="s">
        <v>1092</v>
      </c>
      <c r="L650" s="53" t="s">
        <v>2035</v>
      </c>
      <c r="M650" s="55" t="s">
        <v>49</v>
      </c>
      <c r="N650" s="52">
        <v>1500000000</v>
      </c>
      <c r="O650" s="52">
        <v>1500000000</v>
      </c>
      <c r="P650" s="52">
        <v>1500000000</v>
      </c>
      <c r="Q650" s="57">
        <v>44803</v>
      </c>
      <c r="R650" s="57">
        <v>48472</v>
      </c>
      <c r="S650" s="56">
        <v>21</v>
      </c>
      <c r="T650" s="54">
        <v>36</v>
      </c>
      <c r="U650" s="52">
        <v>1500000000</v>
      </c>
      <c r="V650" s="52">
        <v>1500000000</v>
      </c>
      <c r="W650" s="52">
        <v>0</v>
      </c>
      <c r="X650" s="57"/>
      <c r="Y650" s="52">
        <v>0</v>
      </c>
      <c r="Z650" s="52">
        <v>0</v>
      </c>
      <c r="AA650" s="52">
        <v>1</v>
      </c>
      <c r="AB650" s="52">
        <v>0</v>
      </c>
      <c r="AC650" s="52">
        <v>149281687.19999999</v>
      </c>
      <c r="AD650" s="52">
        <v>14671232.880000001</v>
      </c>
      <c r="AE650" s="52">
        <v>0</v>
      </c>
      <c r="AF650" s="52">
        <v>134610454.31999999</v>
      </c>
      <c r="AG650" s="52">
        <v>0</v>
      </c>
      <c r="AH650" s="52">
        <v>0</v>
      </c>
      <c r="AI650" s="52">
        <v>0</v>
      </c>
      <c r="AJ650" s="52">
        <v>2</v>
      </c>
      <c r="AK650" s="52"/>
      <c r="AL650" s="52">
        <v>3596345709</v>
      </c>
      <c r="AM650" s="52">
        <v>0</v>
      </c>
      <c r="AN650" s="52">
        <v>3375000000</v>
      </c>
      <c r="AO650" s="52">
        <v>614963700</v>
      </c>
      <c r="AP650" s="52">
        <v>45888</v>
      </c>
      <c r="AQ650" s="58">
        <v>0</v>
      </c>
      <c r="AR650" s="58">
        <v>0</v>
      </c>
      <c r="AS650" s="58">
        <v>0</v>
      </c>
      <c r="AT650" s="58">
        <v>0</v>
      </c>
      <c r="AU650" s="58">
        <v>0</v>
      </c>
      <c r="AV650" s="58">
        <v>0</v>
      </c>
      <c r="AW650" s="58">
        <v>0</v>
      </c>
      <c r="AX650" s="58">
        <v>0</v>
      </c>
    </row>
    <row r="651" spans="1:50" x14ac:dyDescent="0.25">
      <c r="A651" s="52">
        <f t="shared" si="37"/>
        <v>646</v>
      </c>
      <c r="B651" s="60" t="str">
        <f t="shared" si="36"/>
        <v>010371120171</v>
      </c>
      <c r="C651" s="55" t="s">
        <v>42</v>
      </c>
      <c r="D651" s="53" t="s">
        <v>2118</v>
      </c>
      <c r="E651" s="55" t="s">
        <v>1046</v>
      </c>
      <c r="F651" s="53" t="s">
        <v>2122</v>
      </c>
      <c r="G651" s="55">
        <v>10818</v>
      </c>
      <c r="H651" s="53" t="s">
        <v>1093</v>
      </c>
      <c r="I651" s="55">
        <v>306380118</v>
      </c>
      <c r="J651" s="55" t="s">
        <v>1094</v>
      </c>
      <c r="K651" s="55" t="s">
        <v>1095</v>
      </c>
      <c r="L651" s="53" t="s">
        <v>2035</v>
      </c>
      <c r="M651" s="55" t="s">
        <v>49</v>
      </c>
      <c r="N651" s="52">
        <v>1375000000</v>
      </c>
      <c r="O651" s="52">
        <v>1375000000</v>
      </c>
      <c r="P651" s="52">
        <v>1375000</v>
      </c>
      <c r="Q651" s="57">
        <v>45891</v>
      </c>
      <c r="R651" s="57">
        <v>46986</v>
      </c>
      <c r="S651" s="56">
        <v>25.5</v>
      </c>
      <c r="T651" s="54">
        <v>0</v>
      </c>
      <c r="U651" s="52">
        <v>1375000000</v>
      </c>
      <c r="V651" s="52">
        <v>1375000000</v>
      </c>
      <c r="W651" s="52">
        <v>0</v>
      </c>
      <c r="X651" s="57"/>
      <c r="Y651" s="52">
        <v>0</v>
      </c>
      <c r="Z651" s="52">
        <v>0</v>
      </c>
      <c r="AA651" s="52">
        <v>1</v>
      </c>
      <c r="AB651" s="52">
        <v>0</v>
      </c>
      <c r="AC651" s="52">
        <v>24015410.960000001</v>
      </c>
      <c r="AD651" s="52">
        <v>24015410.960000001</v>
      </c>
      <c r="AE651" s="52">
        <v>0</v>
      </c>
      <c r="AF651" s="52">
        <v>0</v>
      </c>
      <c r="AG651" s="52">
        <v>0</v>
      </c>
      <c r="AH651" s="52">
        <v>0</v>
      </c>
      <c r="AI651" s="52">
        <v>0</v>
      </c>
      <c r="AJ651" s="52">
        <v>2</v>
      </c>
      <c r="AK651" s="52"/>
      <c r="AL651" s="52">
        <v>0</v>
      </c>
      <c r="AM651" s="52">
        <v>0</v>
      </c>
      <c r="AN651" s="52">
        <v>1718750</v>
      </c>
      <c r="AO651" s="52">
        <v>0</v>
      </c>
      <c r="AP651" s="52">
        <v>0</v>
      </c>
      <c r="AQ651" s="58">
        <v>0</v>
      </c>
      <c r="AR651" s="58">
        <v>0</v>
      </c>
      <c r="AS651" s="58">
        <v>0</v>
      </c>
      <c r="AT651" s="58">
        <v>0</v>
      </c>
      <c r="AU651" s="58">
        <v>0</v>
      </c>
      <c r="AV651" s="58">
        <v>0</v>
      </c>
      <c r="AW651" s="58">
        <v>0</v>
      </c>
      <c r="AX651" s="58">
        <v>0</v>
      </c>
    </row>
    <row r="652" spans="1:50" x14ac:dyDescent="0.25">
      <c r="A652" s="52">
        <f t="shared" si="37"/>
        <v>647</v>
      </c>
      <c r="B652" s="60" t="str">
        <f t="shared" si="36"/>
        <v>010371042082</v>
      </c>
      <c r="C652" s="55" t="s">
        <v>42</v>
      </c>
      <c r="D652" s="53" t="s">
        <v>2118</v>
      </c>
      <c r="E652" s="55" t="s">
        <v>1046</v>
      </c>
      <c r="F652" s="53" t="s">
        <v>2122</v>
      </c>
      <c r="G652" s="55">
        <v>10818</v>
      </c>
      <c r="H652" s="53" t="s">
        <v>1096</v>
      </c>
      <c r="I652" s="55">
        <v>308435568</v>
      </c>
      <c r="J652" s="55" t="s">
        <v>1097</v>
      </c>
      <c r="K652" s="55" t="s">
        <v>1098</v>
      </c>
      <c r="L652" s="53" t="s">
        <v>2035</v>
      </c>
      <c r="M652" s="55" t="s">
        <v>49</v>
      </c>
      <c r="N652" s="52">
        <v>1354390000</v>
      </c>
      <c r="O652" s="52">
        <v>1354390000</v>
      </c>
      <c r="P652" s="52">
        <v>1354390000</v>
      </c>
      <c r="Q652" s="57">
        <v>45603</v>
      </c>
      <c r="R652" s="57">
        <v>48158</v>
      </c>
      <c r="S652" s="56">
        <v>20.5</v>
      </c>
      <c r="T652" s="54">
        <v>24</v>
      </c>
      <c r="U652" s="52">
        <v>1354390000</v>
      </c>
      <c r="V652" s="52">
        <v>1354390000</v>
      </c>
      <c r="W652" s="52">
        <v>0</v>
      </c>
      <c r="X652" s="57"/>
      <c r="Y652" s="52">
        <v>0</v>
      </c>
      <c r="Z652" s="52">
        <v>0</v>
      </c>
      <c r="AA652" s="52">
        <v>1</v>
      </c>
      <c r="AB652" s="52">
        <v>0</v>
      </c>
      <c r="AC652" s="52">
        <v>19017119.859999999</v>
      </c>
      <c r="AD652" s="52">
        <v>19017119.859999999</v>
      </c>
      <c r="AE652" s="52">
        <v>0</v>
      </c>
      <c r="AF652" s="52">
        <v>0</v>
      </c>
      <c r="AG652" s="52">
        <v>0</v>
      </c>
      <c r="AH652" s="52">
        <v>0</v>
      </c>
      <c r="AI652" s="52">
        <v>0</v>
      </c>
      <c r="AJ652" s="52">
        <v>2</v>
      </c>
      <c r="AK652" s="52"/>
      <c r="AL652" s="52">
        <v>0</v>
      </c>
      <c r="AM652" s="52">
        <v>0</v>
      </c>
      <c r="AN652" s="52">
        <v>4063170000</v>
      </c>
      <c r="AO652" s="52">
        <v>13718022003</v>
      </c>
      <c r="AP652" s="52">
        <v>45876</v>
      </c>
      <c r="AQ652" s="58">
        <v>0</v>
      </c>
      <c r="AR652" s="58">
        <v>0</v>
      </c>
      <c r="AS652" s="58">
        <v>0</v>
      </c>
      <c r="AT652" s="58">
        <v>0</v>
      </c>
      <c r="AU652" s="58">
        <v>0</v>
      </c>
      <c r="AV652" s="58">
        <v>0</v>
      </c>
      <c r="AW652" s="58">
        <v>4</v>
      </c>
      <c r="AX652" s="58">
        <v>124000</v>
      </c>
    </row>
    <row r="653" spans="1:50" x14ac:dyDescent="0.25">
      <c r="A653" s="52">
        <f t="shared" si="37"/>
        <v>648</v>
      </c>
      <c r="B653" s="60" t="str">
        <f t="shared" si="36"/>
        <v>010371128888</v>
      </c>
      <c r="C653" s="55" t="s">
        <v>42</v>
      </c>
      <c r="D653" s="53" t="s">
        <v>2118</v>
      </c>
      <c r="E653" s="55" t="s">
        <v>1046</v>
      </c>
      <c r="F653" s="53" t="s">
        <v>2122</v>
      </c>
      <c r="G653" s="55">
        <v>10818</v>
      </c>
      <c r="H653" s="53" t="s">
        <v>1099</v>
      </c>
      <c r="I653" s="55">
        <v>308859902</v>
      </c>
      <c r="J653" s="55" t="s">
        <v>1100</v>
      </c>
      <c r="K653" s="55" t="s">
        <v>1101</v>
      </c>
      <c r="L653" s="53" t="s">
        <v>2035</v>
      </c>
      <c r="M653" s="55" t="s">
        <v>49</v>
      </c>
      <c r="N653" s="52">
        <v>1300000000</v>
      </c>
      <c r="O653" s="52">
        <v>1300000000</v>
      </c>
      <c r="P653" s="52">
        <v>1300000</v>
      </c>
      <c r="Q653" s="57">
        <v>45924</v>
      </c>
      <c r="R653" s="57">
        <v>47019</v>
      </c>
      <c r="S653" s="56">
        <v>25.5</v>
      </c>
      <c r="T653" s="54">
        <v>12</v>
      </c>
      <c r="U653" s="52">
        <v>1300000000</v>
      </c>
      <c r="V653" s="52">
        <v>1300000000</v>
      </c>
      <c r="W653" s="52">
        <v>0</v>
      </c>
      <c r="X653" s="57"/>
      <c r="Y653" s="52">
        <v>0</v>
      </c>
      <c r="Z653" s="52">
        <v>0</v>
      </c>
      <c r="AA653" s="52">
        <v>1</v>
      </c>
      <c r="AB653" s="52">
        <v>0</v>
      </c>
      <c r="AC653" s="52">
        <v>52676712.32</v>
      </c>
      <c r="AD653" s="52">
        <v>22705479.449999999</v>
      </c>
      <c r="AE653" s="52">
        <v>0</v>
      </c>
      <c r="AF653" s="52">
        <v>29971232.870000001</v>
      </c>
      <c r="AG653" s="52">
        <v>0</v>
      </c>
      <c r="AH653" s="52">
        <v>0</v>
      </c>
      <c r="AI653" s="52">
        <v>0</v>
      </c>
      <c r="AJ653" s="52">
        <v>2</v>
      </c>
      <c r="AK653" s="52"/>
      <c r="AL653" s="52">
        <v>0</v>
      </c>
      <c r="AM653" s="52">
        <v>0</v>
      </c>
      <c r="AN653" s="52">
        <v>1625000</v>
      </c>
      <c r="AO653" s="52">
        <v>0</v>
      </c>
      <c r="AP653" s="52">
        <v>0</v>
      </c>
      <c r="AQ653" s="58">
        <v>0</v>
      </c>
      <c r="AR653" s="58">
        <v>0</v>
      </c>
      <c r="AS653" s="58">
        <v>0</v>
      </c>
      <c r="AT653" s="58">
        <v>0</v>
      </c>
      <c r="AU653" s="58">
        <v>0</v>
      </c>
      <c r="AV653" s="58">
        <v>0</v>
      </c>
      <c r="AW653" s="58">
        <v>0</v>
      </c>
      <c r="AX653" s="58">
        <v>0</v>
      </c>
    </row>
    <row r="654" spans="1:50" x14ac:dyDescent="0.25">
      <c r="A654" s="52">
        <f t="shared" si="37"/>
        <v>649</v>
      </c>
      <c r="B654" s="60" t="str">
        <f t="shared" si="36"/>
        <v>010371113989</v>
      </c>
      <c r="C654" s="55" t="s">
        <v>42</v>
      </c>
      <c r="D654" s="53" t="s">
        <v>2118</v>
      </c>
      <c r="E654" s="55" t="s">
        <v>1046</v>
      </c>
      <c r="F654" s="53" t="s">
        <v>2122</v>
      </c>
      <c r="G654" s="55">
        <v>10818</v>
      </c>
      <c r="H654" s="53" t="s">
        <v>1102</v>
      </c>
      <c r="I654" s="55">
        <v>202483524</v>
      </c>
      <c r="J654" s="55" t="s">
        <v>1103</v>
      </c>
      <c r="K654" s="55" t="s">
        <v>1104</v>
      </c>
      <c r="L654" s="53" t="s">
        <v>2035</v>
      </c>
      <c r="M654" s="55" t="s">
        <v>49</v>
      </c>
      <c r="N654" s="52">
        <v>1100000000</v>
      </c>
      <c r="O654" s="52">
        <v>1100000000</v>
      </c>
      <c r="P654" s="52">
        <v>1100000</v>
      </c>
      <c r="Q654" s="57">
        <v>45866</v>
      </c>
      <c r="R654" s="57">
        <v>46414</v>
      </c>
      <c r="S654" s="56">
        <v>27</v>
      </c>
      <c r="T654" s="54">
        <v>12</v>
      </c>
      <c r="U654" s="52">
        <v>1100000000</v>
      </c>
      <c r="V654" s="52">
        <v>1100000000</v>
      </c>
      <c r="W654" s="52">
        <v>0</v>
      </c>
      <c r="X654" s="57"/>
      <c r="Y654" s="52">
        <v>0</v>
      </c>
      <c r="Z654" s="52">
        <v>0</v>
      </c>
      <c r="AA654" s="52">
        <v>1</v>
      </c>
      <c r="AB654" s="52">
        <v>0</v>
      </c>
      <c r="AC654" s="52">
        <v>26038356.170000002</v>
      </c>
      <c r="AD654" s="52">
        <v>20342465.760000002</v>
      </c>
      <c r="AE654" s="52">
        <v>0</v>
      </c>
      <c r="AF654" s="52">
        <v>5695890.4100000001</v>
      </c>
      <c r="AG654" s="52">
        <v>0</v>
      </c>
      <c r="AH654" s="52">
        <v>0</v>
      </c>
      <c r="AI654" s="52">
        <v>0</v>
      </c>
      <c r="AJ654" s="52">
        <v>2</v>
      </c>
      <c r="AK654" s="52"/>
      <c r="AL654" s="52">
        <v>0</v>
      </c>
      <c r="AM654" s="52">
        <v>0</v>
      </c>
      <c r="AN654" s="52">
        <v>1375000</v>
      </c>
      <c r="AO654" s="52">
        <v>417402000</v>
      </c>
      <c r="AP654" s="52">
        <v>205550000</v>
      </c>
      <c r="AQ654" s="58">
        <v>0</v>
      </c>
      <c r="AR654" s="58">
        <v>0</v>
      </c>
      <c r="AS654" s="58">
        <v>0</v>
      </c>
      <c r="AT654" s="58">
        <v>0</v>
      </c>
      <c r="AU654" s="58">
        <v>0</v>
      </c>
      <c r="AV654" s="58">
        <v>0</v>
      </c>
      <c r="AW654" s="58">
        <v>0</v>
      </c>
      <c r="AX654" s="58">
        <v>0</v>
      </c>
    </row>
    <row r="655" spans="1:50" x14ac:dyDescent="0.25">
      <c r="A655" s="52">
        <f t="shared" si="37"/>
        <v>650</v>
      </c>
      <c r="B655" s="60" t="str">
        <f t="shared" si="36"/>
        <v>01037932695</v>
      </c>
      <c r="C655" s="55" t="s">
        <v>42</v>
      </c>
      <c r="D655" s="53" t="s">
        <v>2118</v>
      </c>
      <c r="E655" s="55" t="s">
        <v>1046</v>
      </c>
      <c r="F655" s="53" t="s">
        <v>2122</v>
      </c>
      <c r="G655" s="55">
        <v>10818</v>
      </c>
      <c r="H655" s="53" t="s">
        <v>2545</v>
      </c>
      <c r="I655" s="55">
        <v>310652552</v>
      </c>
      <c r="J655" s="55" t="s">
        <v>1105</v>
      </c>
      <c r="K655" s="55" t="s">
        <v>1106</v>
      </c>
      <c r="L655" s="53" t="s">
        <v>2035</v>
      </c>
      <c r="M655" s="55" t="s">
        <v>49</v>
      </c>
      <c r="N655" s="52">
        <v>1940000000</v>
      </c>
      <c r="O655" s="52">
        <v>1940000000</v>
      </c>
      <c r="P655" s="52">
        <v>1940000000</v>
      </c>
      <c r="Q655" s="57">
        <v>45159</v>
      </c>
      <c r="R655" s="57">
        <v>46615</v>
      </c>
      <c r="S655" s="56">
        <v>14</v>
      </c>
      <c r="T655" s="54">
        <v>12</v>
      </c>
      <c r="U655" s="52">
        <v>1027476225.36</v>
      </c>
      <c r="V655" s="52">
        <v>1023888904</v>
      </c>
      <c r="W655" s="52">
        <v>3587321.36</v>
      </c>
      <c r="X655" s="57">
        <v>46037</v>
      </c>
      <c r="Y655" s="52">
        <v>0</v>
      </c>
      <c r="Z655" s="52">
        <v>0</v>
      </c>
      <c r="AA655" s="52">
        <v>1</v>
      </c>
      <c r="AB655" s="52">
        <v>0</v>
      </c>
      <c r="AC655" s="52">
        <v>7024350.1600000001</v>
      </c>
      <c r="AD655" s="52">
        <v>6676316.6900000004</v>
      </c>
      <c r="AE655" s="52">
        <v>0</v>
      </c>
      <c r="AF655" s="52">
        <v>348033.47</v>
      </c>
      <c r="AG655" s="52">
        <v>0</v>
      </c>
      <c r="AH655" s="52">
        <v>0</v>
      </c>
      <c r="AI655" s="52">
        <v>0</v>
      </c>
      <c r="AJ655" s="52">
        <v>2</v>
      </c>
      <c r="AK655" s="52"/>
      <c r="AL655" s="52">
        <v>0</v>
      </c>
      <c r="AM655" s="52">
        <v>0</v>
      </c>
      <c r="AN655" s="52">
        <v>2730000000</v>
      </c>
      <c r="AO655" s="52">
        <v>28612457334</v>
      </c>
      <c r="AP655" s="52">
        <v>45875</v>
      </c>
      <c r="AQ655" s="58">
        <v>0</v>
      </c>
      <c r="AR655" s="58">
        <v>0</v>
      </c>
      <c r="AS655" s="58">
        <v>0</v>
      </c>
      <c r="AT655" s="58">
        <v>0</v>
      </c>
      <c r="AU655" s="58">
        <v>0</v>
      </c>
      <c r="AV655" s="58">
        <v>0</v>
      </c>
      <c r="AW655" s="58">
        <v>0</v>
      </c>
      <c r="AX655" s="58">
        <v>0</v>
      </c>
    </row>
    <row r="656" spans="1:50" x14ac:dyDescent="0.25">
      <c r="A656" s="52">
        <f t="shared" si="37"/>
        <v>651</v>
      </c>
      <c r="B656" s="60" t="str">
        <f t="shared" si="36"/>
        <v>01037617873</v>
      </c>
      <c r="C656" s="55" t="s">
        <v>42</v>
      </c>
      <c r="D656" s="53" t="s">
        <v>2118</v>
      </c>
      <c r="E656" s="55" t="s">
        <v>1046</v>
      </c>
      <c r="F656" s="53" t="s">
        <v>2122</v>
      </c>
      <c r="G656" s="55">
        <v>10818</v>
      </c>
      <c r="H656" s="53" t="s">
        <v>1050</v>
      </c>
      <c r="I656" s="55">
        <v>300421726</v>
      </c>
      <c r="J656" s="55" t="s">
        <v>1107</v>
      </c>
      <c r="K656" s="55" t="s">
        <v>1108</v>
      </c>
      <c r="L656" s="53" t="s">
        <v>2035</v>
      </c>
      <c r="M656" s="55" t="s">
        <v>49</v>
      </c>
      <c r="N656" s="52">
        <v>4000000000</v>
      </c>
      <c r="O656" s="52">
        <v>4000000000</v>
      </c>
      <c r="P656" s="52">
        <v>4000000000</v>
      </c>
      <c r="Q656" s="57">
        <v>44133</v>
      </c>
      <c r="R656" s="57">
        <v>46218</v>
      </c>
      <c r="S656" s="56">
        <v>20</v>
      </c>
      <c r="T656" s="54">
        <v>6</v>
      </c>
      <c r="U656" s="52">
        <v>596158500</v>
      </c>
      <c r="V656" s="52">
        <v>596158500</v>
      </c>
      <c r="W656" s="52">
        <v>0</v>
      </c>
      <c r="X656" s="57"/>
      <c r="Y656" s="52">
        <v>0</v>
      </c>
      <c r="Z656" s="52">
        <v>0</v>
      </c>
      <c r="AA656" s="52">
        <v>1</v>
      </c>
      <c r="AB656" s="52">
        <v>0</v>
      </c>
      <c r="AC656" s="52">
        <v>5553257.2599999998</v>
      </c>
      <c r="AD656" s="52">
        <v>5553257.2599999998</v>
      </c>
      <c r="AE656" s="52">
        <v>0</v>
      </c>
      <c r="AF656" s="52">
        <v>0</v>
      </c>
      <c r="AG656" s="52">
        <v>0</v>
      </c>
      <c r="AH656" s="52">
        <v>0</v>
      </c>
      <c r="AI656" s="52">
        <v>0</v>
      </c>
      <c r="AJ656" s="52">
        <v>2</v>
      </c>
      <c r="AK656" s="52"/>
      <c r="AL656" s="52">
        <v>100302035026</v>
      </c>
      <c r="AM656" s="52">
        <v>0</v>
      </c>
      <c r="AN656" s="52">
        <v>10000000000</v>
      </c>
      <c r="AO656" s="52">
        <v>6534105150805</v>
      </c>
      <c r="AP656" s="52">
        <v>45888</v>
      </c>
      <c r="AQ656" s="58">
        <v>0</v>
      </c>
      <c r="AR656" s="58">
        <v>0</v>
      </c>
      <c r="AS656" s="58">
        <v>90</v>
      </c>
      <c r="AT656" s="58">
        <v>8020741.8799999999</v>
      </c>
      <c r="AU656" s="58">
        <v>0</v>
      </c>
      <c r="AV656" s="58">
        <v>0</v>
      </c>
      <c r="AW656" s="58">
        <v>21</v>
      </c>
      <c r="AX656" s="58">
        <v>5196835</v>
      </c>
    </row>
    <row r="657" spans="1:50" x14ac:dyDescent="0.25">
      <c r="A657" s="52">
        <f t="shared" si="37"/>
        <v>652</v>
      </c>
      <c r="B657" s="60" t="str">
        <f t="shared" si="36"/>
        <v>010371099660</v>
      </c>
      <c r="C657" s="55" t="s">
        <v>42</v>
      </c>
      <c r="D657" s="53" t="s">
        <v>2118</v>
      </c>
      <c r="E657" s="55" t="s">
        <v>1046</v>
      </c>
      <c r="F657" s="53" t="s">
        <v>2121</v>
      </c>
      <c r="G657" s="55">
        <v>10819</v>
      </c>
      <c r="H657" s="53" t="s">
        <v>1109</v>
      </c>
      <c r="I657" s="55">
        <v>309427480</v>
      </c>
      <c r="J657" s="55" t="s">
        <v>1110</v>
      </c>
      <c r="K657" s="55" t="s">
        <v>1111</v>
      </c>
      <c r="L657" s="53" t="s">
        <v>2100</v>
      </c>
      <c r="M657" s="55" t="s">
        <v>49</v>
      </c>
      <c r="N657" s="52">
        <v>17600000000</v>
      </c>
      <c r="O657" s="52">
        <v>17600000000</v>
      </c>
      <c r="P657" s="52">
        <v>17600000000</v>
      </c>
      <c r="Q657" s="57">
        <v>45804</v>
      </c>
      <c r="R657" s="57">
        <v>47994</v>
      </c>
      <c r="S657" s="56">
        <v>26</v>
      </c>
      <c r="T657" s="54">
        <v>6</v>
      </c>
      <c r="U657" s="52">
        <v>17320634920.639999</v>
      </c>
      <c r="V657" s="52">
        <v>17320634920.639999</v>
      </c>
      <c r="W657" s="52">
        <v>0</v>
      </c>
      <c r="X657" s="57"/>
      <c r="Y657" s="52">
        <v>0</v>
      </c>
      <c r="Z657" s="52">
        <v>0</v>
      </c>
      <c r="AA657" s="52">
        <v>1</v>
      </c>
      <c r="AB657" s="52">
        <v>0</v>
      </c>
      <c r="AC657" s="52">
        <v>333225135.89999998</v>
      </c>
      <c r="AD657" s="52">
        <v>333225135.89999998</v>
      </c>
      <c r="AE657" s="52">
        <v>0</v>
      </c>
      <c r="AF657" s="52">
        <v>0</v>
      </c>
      <c r="AG657" s="52">
        <v>0</v>
      </c>
      <c r="AH657" s="52">
        <v>0</v>
      </c>
      <c r="AI657" s="52">
        <v>0</v>
      </c>
      <c r="AJ657" s="52">
        <v>2</v>
      </c>
      <c r="AK657" s="52"/>
      <c r="AL657" s="52">
        <v>0</v>
      </c>
      <c r="AM657" s="52">
        <v>0</v>
      </c>
      <c r="AN657" s="52">
        <v>22000000000</v>
      </c>
      <c r="AO657" s="52">
        <v>3891903570</v>
      </c>
      <c r="AP657" s="52">
        <v>45888</v>
      </c>
      <c r="AQ657" s="58">
        <v>0</v>
      </c>
      <c r="AR657" s="58">
        <v>0</v>
      </c>
      <c r="AS657" s="58">
        <v>0</v>
      </c>
      <c r="AT657" s="58">
        <v>0</v>
      </c>
      <c r="AU657" s="58">
        <v>0</v>
      </c>
      <c r="AV657" s="58">
        <v>0</v>
      </c>
      <c r="AW657" s="58">
        <v>0</v>
      </c>
      <c r="AX657" s="58">
        <v>0</v>
      </c>
    </row>
    <row r="658" spans="1:50" x14ac:dyDescent="0.25">
      <c r="A658" s="52">
        <f t="shared" si="37"/>
        <v>653</v>
      </c>
      <c r="B658" s="60" t="str">
        <f t="shared" si="36"/>
        <v>01037874051</v>
      </c>
      <c r="C658" s="55" t="s">
        <v>42</v>
      </c>
      <c r="D658" s="53" t="s">
        <v>2118</v>
      </c>
      <c r="E658" s="55" t="s">
        <v>1046</v>
      </c>
      <c r="F658" s="53" t="s">
        <v>2121</v>
      </c>
      <c r="G658" s="55">
        <v>10819</v>
      </c>
      <c r="H658" s="53" t="s">
        <v>2546</v>
      </c>
      <c r="I658" s="55">
        <v>303064424</v>
      </c>
      <c r="J658" s="55" t="s">
        <v>1112</v>
      </c>
      <c r="K658" s="55" t="s">
        <v>1113</v>
      </c>
      <c r="L658" s="53" t="s">
        <v>2100</v>
      </c>
      <c r="M658" s="55" t="s">
        <v>49</v>
      </c>
      <c r="N658" s="52">
        <v>7500000000</v>
      </c>
      <c r="O658" s="52">
        <v>7500000000</v>
      </c>
      <c r="P658" s="52">
        <v>7500000000</v>
      </c>
      <c r="Q658" s="57">
        <v>44978</v>
      </c>
      <c r="R658" s="57">
        <v>46803</v>
      </c>
      <c r="S658" s="56">
        <v>21</v>
      </c>
      <c r="T658" s="54">
        <v>12</v>
      </c>
      <c r="U658" s="52">
        <v>3906250000</v>
      </c>
      <c r="V658" s="52">
        <v>3906250000</v>
      </c>
      <c r="W658" s="52">
        <v>0</v>
      </c>
      <c r="X658" s="57"/>
      <c r="Y658" s="52">
        <v>0</v>
      </c>
      <c r="Z658" s="52">
        <v>0</v>
      </c>
      <c r="AA658" s="52">
        <v>1</v>
      </c>
      <c r="AB658" s="52">
        <v>0</v>
      </c>
      <c r="AC658" s="52">
        <v>38206335.619999997</v>
      </c>
      <c r="AD658" s="52">
        <v>38206335.619999997</v>
      </c>
      <c r="AE658" s="52">
        <v>0</v>
      </c>
      <c r="AF658" s="52">
        <v>0</v>
      </c>
      <c r="AG658" s="52">
        <v>0</v>
      </c>
      <c r="AH658" s="52">
        <v>0</v>
      </c>
      <c r="AI658" s="52">
        <v>0</v>
      </c>
      <c r="AJ658" s="52">
        <v>2</v>
      </c>
      <c r="AK658" s="52"/>
      <c r="AL658" s="52">
        <v>0</v>
      </c>
      <c r="AM658" s="52">
        <v>0</v>
      </c>
      <c r="AN658" s="52">
        <v>9375000000</v>
      </c>
      <c r="AO658" s="52">
        <v>67202543599</v>
      </c>
      <c r="AP658" s="52">
        <v>45888</v>
      </c>
      <c r="AQ658" s="58">
        <v>0</v>
      </c>
      <c r="AR658" s="58">
        <v>0</v>
      </c>
      <c r="AS658" s="58">
        <v>0</v>
      </c>
      <c r="AT658" s="58">
        <v>0</v>
      </c>
      <c r="AU658" s="58">
        <v>2</v>
      </c>
      <c r="AV658" s="58">
        <v>70200</v>
      </c>
      <c r="AW658" s="58">
        <v>2</v>
      </c>
      <c r="AX658" s="58">
        <v>66200</v>
      </c>
    </row>
    <row r="659" spans="1:50" x14ac:dyDescent="0.25">
      <c r="A659" s="52">
        <f t="shared" si="37"/>
        <v>654</v>
      </c>
      <c r="B659" s="60" t="str">
        <f t="shared" si="36"/>
        <v>010371093273</v>
      </c>
      <c r="C659" s="55" t="s">
        <v>42</v>
      </c>
      <c r="D659" s="53" t="s">
        <v>2118</v>
      </c>
      <c r="E659" s="55" t="s">
        <v>1046</v>
      </c>
      <c r="F659" s="53" t="s">
        <v>2121</v>
      </c>
      <c r="G659" s="55">
        <v>10819</v>
      </c>
      <c r="H659" s="53" t="s">
        <v>2547</v>
      </c>
      <c r="I659" s="55">
        <v>310278993</v>
      </c>
      <c r="J659" s="55" t="s">
        <v>1114</v>
      </c>
      <c r="K659" s="55" t="s">
        <v>1115</v>
      </c>
      <c r="L659" s="53" t="s">
        <v>2100</v>
      </c>
      <c r="M659" s="55" t="s">
        <v>49</v>
      </c>
      <c r="N659" s="52">
        <v>3750000000</v>
      </c>
      <c r="O659" s="52">
        <v>3750000000</v>
      </c>
      <c r="P659" s="52">
        <v>3750000000</v>
      </c>
      <c r="Q659" s="57">
        <v>45784</v>
      </c>
      <c r="R659" s="57">
        <v>46332</v>
      </c>
      <c r="S659" s="56">
        <v>27</v>
      </c>
      <c r="T659" s="54">
        <v>6</v>
      </c>
      <c r="U659" s="52">
        <v>3125000000</v>
      </c>
      <c r="V659" s="52">
        <v>3125000000</v>
      </c>
      <c r="W659" s="52">
        <v>0</v>
      </c>
      <c r="X659" s="57"/>
      <c r="Y659" s="52">
        <v>0</v>
      </c>
      <c r="Z659" s="52">
        <v>0</v>
      </c>
      <c r="AA659" s="52">
        <v>1</v>
      </c>
      <c r="AB659" s="52">
        <v>0</v>
      </c>
      <c r="AC659" s="52">
        <v>62645547.939999998</v>
      </c>
      <c r="AD659" s="52">
        <v>62645547.939999998</v>
      </c>
      <c r="AE659" s="52">
        <v>0</v>
      </c>
      <c r="AF659" s="52">
        <v>0</v>
      </c>
      <c r="AG659" s="52">
        <v>0</v>
      </c>
      <c r="AH659" s="52">
        <v>0</v>
      </c>
      <c r="AI659" s="52">
        <v>0</v>
      </c>
      <c r="AJ659" s="52">
        <v>2</v>
      </c>
      <c r="AK659" s="52"/>
      <c r="AL659" s="52">
        <v>16804544566</v>
      </c>
      <c r="AM659" s="52">
        <v>0</v>
      </c>
      <c r="AN659" s="52">
        <v>9375000000</v>
      </c>
      <c r="AO659" s="52">
        <v>77455013</v>
      </c>
      <c r="AP659" s="52">
        <v>45846</v>
      </c>
      <c r="AQ659" s="58">
        <v>0</v>
      </c>
      <c r="AR659" s="58">
        <v>0</v>
      </c>
      <c r="AS659" s="58">
        <v>0</v>
      </c>
      <c r="AT659" s="58">
        <v>0</v>
      </c>
      <c r="AU659" s="58">
        <v>0</v>
      </c>
      <c r="AV659" s="58">
        <v>0</v>
      </c>
      <c r="AW659" s="58">
        <v>0</v>
      </c>
      <c r="AX659" s="58">
        <v>0</v>
      </c>
    </row>
    <row r="660" spans="1:50" x14ac:dyDescent="0.25">
      <c r="A660" s="52">
        <f t="shared" si="37"/>
        <v>655</v>
      </c>
      <c r="B660" s="60" t="str">
        <f t="shared" si="36"/>
        <v>010371099372</v>
      </c>
      <c r="C660" s="55" t="s">
        <v>42</v>
      </c>
      <c r="D660" s="53" t="s">
        <v>2118</v>
      </c>
      <c r="E660" s="55" t="s">
        <v>1046</v>
      </c>
      <c r="F660" s="53" t="s">
        <v>2121</v>
      </c>
      <c r="G660" s="55">
        <v>10819</v>
      </c>
      <c r="H660" s="53" t="s">
        <v>2548</v>
      </c>
      <c r="I660" s="55">
        <v>308652924</v>
      </c>
      <c r="J660" s="55" t="s">
        <v>1116</v>
      </c>
      <c r="K660" s="55" t="s">
        <v>1117</v>
      </c>
      <c r="L660" s="53" t="s">
        <v>2100</v>
      </c>
      <c r="M660" s="55" t="s">
        <v>75</v>
      </c>
      <c r="N660" s="52">
        <v>200000</v>
      </c>
      <c r="O660" s="52">
        <v>2530826000</v>
      </c>
      <c r="P660" s="52">
        <v>2530826000</v>
      </c>
      <c r="Q660" s="57">
        <v>45803</v>
      </c>
      <c r="R660" s="57">
        <v>46898</v>
      </c>
      <c r="S660" s="56">
        <v>15</v>
      </c>
      <c r="T660" s="54">
        <v>0</v>
      </c>
      <c r="U660" s="52">
        <v>1965137038.1800001</v>
      </c>
      <c r="V660" s="52">
        <v>1897594403.2</v>
      </c>
      <c r="W660" s="52">
        <v>67542634.980000004</v>
      </c>
      <c r="X660" s="57">
        <v>46028</v>
      </c>
      <c r="Y660" s="52">
        <v>0</v>
      </c>
      <c r="Z660" s="52">
        <v>0</v>
      </c>
      <c r="AA660" s="52">
        <v>1</v>
      </c>
      <c r="AB660" s="52">
        <v>0</v>
      </c>
      <c r="AC660" s="52">
        <v>46412817.850000001</v>
      </c>
      <c r="AD660" s="52">
        <v>20303450.09</v>
      </c>
      <c r="AE660" s="52">
        <v>0</v>
      </c>
      <c r="AF660" s="52">
        <v>26109367.760000002</v>
      </c>
      <c r="AG660" s="52">
        <v>0</v>
      </c>
      <c r="AH660" s="52">
        <v>0</v>
      </c>
      <c r="AI660" s="52">
        <v>0</v>
      </c>
      <c r="AJ660" s="52">
        <v>2</v>
      </c>
      <c r="AK660" s="52"/>
      <c r="AL660" s="52">
        <v>786217</v>
      </c>
      <c r="AM660" s="52">
        <v>0</v>
      </c>
      <c r="AN660" s="52">
        <v>3250000000</v>
      </c>
      <c r="AO660" s="52">
        <v>3478598973</v>
      </c>
      <c r="AP660" s="52">
        <v>45874</v>
      </c>
      <c r="AQ660" s="58">
        <v>0</v>
      </c>
      <c r="AR660" s="58">
        <v>0</v>
      </c>
      <c r="AS660" s="58">
        <v>0</v>
      </c>
      <c r="AT660" s="58">
        <v>0</v>
      </c>
      <c r="AU660" s="58">
        <v>0</v>
      </c>
      <c r="AV660" s="58">
        <v>0</v>
      </c>
      <c r="AW660" s="58">
        <v>0</v>
      </c>
      <c r="AX660" s="58">
        <v>0</v>
      </c>
    </row>
    <row r="661" spans="1:50" x14ac:dyDescent="0.25">
      <c r="A661" s="52">
        <f t="shared" si="37"/>
        <v>656</v>
      </c>
      <c r="B661" s="60" t="str">
        <f t="shared" si="36"/>
        <v>010371120185</v>
      </c>
      <c r="C661" s="55" t="s">
        <v>42</v>
      </c>
      <c r="D661" s="53" t="s">
        <v>2118</v>
      </c>
      <c r="E661" s="55" t="s">
        <v>1046</v>
      </c>
      <c r="F661" s="53" t="s">
        <v>2121</v>
      </c>
      <c r="G661" s="55">
        <v>10819</v>
      </c>
      <c r="H661" s="53" t="s">
        <v>1109</v>
      </c>
      <c r="I661" s="55">
        <v>309427480</v>
      </c>
      <c r="J661" s="55" t="s">
        <v>1118</v>
      </c>
      <c r="K661" s="55" t="s">
        <v>1119</v>
      </c>
      <c r="L661" s="53" t="s">
        <v>2100</v>
      </c>
      <c r="M661" s="55" t="s">
        <v>75</v>
      </c>
      <c r="N661" s="52">
        <v>150000</v>
      </c>
      <c r="O661" s="52">
        <v>1810164000</v>
      </c>
      <c r="P661" s="52"/>
      <c r="Q661" s="57">
        <v>45896</v>
      </c>
      <c r="R661" s="57">
        <v>46989</v>
      </c>
      <c r="S661" s="56">
        <v>15</v>
      </c>
      <c r="T661" s="54">
        <v>0</v>
      </c>
      <c r="U661" s="52">
        <v>1807296665</v>
      </c>
      <c r="V661" s="52">
        <v>1807296665</v>
      </c>
      <c r="W661" s="52">
        <v>0</v>
      </c>
      <c r="X661" s="57"/>
      <c r="Y661" s="52">
        <v>0</v>
      </c>
      <c r="Z661" s="52">
        <v>0</v>
      </c>
      <c r="AA661" s="52">
        <v>1</v>
      </c>
      <c r="AB661" s="52">
        <v>0</v>
      </c>
      <c r="AC661" s="52">
        <v>17825446.91</v>
      </c>
      <c r="AD661" s="52">
        <v>17825446.91</v>
      </c>
      <c r="AE661" s="52">
        <v>0</v>
      </c>
      <c r="AF661" s="52">
        <v>0</v>
      </c>
      <c r="AG661" s="52">
        <v>0</v>
      </c>
      <c r="AH661" s="52">
        <v>0</v>
      </c>
      <c r="AI661" s="52">
        <v>0</v>
      </c>
      <c r="AJ661" s="52">
        <v>2</v>
      </c>
      <c r="AK661" s="52"/>
      <c r="AL661" s="52">
        <v>0</v>
      </c>
      <c r="AM661" s="52">
        <v>0</v>
      </c>
      <c r="AN661" s="52">
        <v>0</v>
      </c>
      <c r="AO661" s="52">
        <v>0</v>
      </c>
      <c r="AP661" s="52">
        <v>0</v>
      </c>
      <c r="AQ661" s="58">
        <v>0</v>
      </c>
      <c r="AR661" s="58">
        <v>0</v>
      </c>
      <c r="AS661" s="58">
        <v>0</v>
      </c>
      <c r="AT661" s="58">
        <v>0</v>
      </c>
      <c r="AU661" s="58">
        <v>0</v>
      </c>
      <c r="AV661" s="58">
        <v>0</v>
      </c>
      <c r="AW661" s="58">
        <v>0</v>
      </c>
      <c r="AX661" s="58">
        <v>0</v>
      </c>
    </row>
    <row r="662" spans="1:50" x14ac:dyDescent="0.25">
      <c r="A662" s="52">
        <f t="shared" si="37"/>
        <v>657</v>
      </c>
      <c r="B662" s="60" t="str">
        <f t="shared" si="36"/>
        <v>01037795844</v>
      </c>
      <c r="C662" s="55" t="s">
        <v>42</v>
      </c>
      <c r="D662" s="53" t="s">
        <v>2118</v>
      </c>
      <c r="E662" s="55" t="s">
        <v>1046</v>
      </c>
      <c r="F662" s="53" t="s">
        <v>2121</v>
      </c>
      <c r="G662" s="55">
        <v>10819</v>
      </c>
      <c r="H662" s="53" t="s">
        <v>2549</v>
      </c>
      <c r="I662" s="55">
        <v>303747547</v>
      </c>
      <c r="J662" s="55" t="s">
        <v>1120</v>
      </c>
      <c r="K662" s="55" t="s">
        <v>1121</v>
      </c>
      <c r="L662" s="53" t="s">
        <v>2100</v>
      </c>
      <c r="M662" s="55" t="s">
        <v>49</v>
      </c>
      <c r="N662" s="52">
        <v>200000000</v>
      </c>
      <c r="O662" s="52">
        <v>200000000</v>
      </c>
      <c r="P662" s="52">
        <v>200000000</v>
      </c>
      <c r="Q662" s="57">
        <v>45610</v>
      </c>
      <c r="R662" s="57">
        <v>48134</v>
      </c>
      <c r="S662" s="56">
        <v>18</v>
      </c>
      <c r="T662" s="54">
        <v>24</v>
      </c>
      <c r="U662" s="52">
        <v>1708333331</v>
      </c>
      <c r="V662" s="52">
        <v>1708333331</v>
      </c>
      <c r="W662" s="52">
        <v>0</v>
      </c>
      <c r="X662" s="57"/>
      <c r="Y662" s="52">
        <v>0</v>
      </c>
      <c r="Z662" s="52">
        <v>0</v>
      </c>
      <c r="AA662" s="52">
        <v>1</v>
      </c>
      <c r="AB662" s="52">
        <v>0</v>
      </c>
      <c r="AC662" s="52">
        <v>21171232.84</v>
      </c>
      <c r="AD662" s="52">
        <v>11934931.49</v>
      </c>
      <c r="AE662" s="52">
        <v>9236301.3499999996</v>
      </c>
      <c r="AF662" s="52">
        <v>0</v>
      </c>
      <c r="AG662" s="52">
        <v>0</v>
      </c>
      <c r="AH662" s="52">
        <v>0</v>
      </c>
      <c r="AI662" s="52">
        <v>0</v>
      </c>
      <c r="AJ662" s="52">
        <v>2</v>
      </c>
      <c r="AK662" s="52"/>
      <c r="AL662" s="52">
        <v>0</v>
      </c>
      <c r="AM662" s="52">
        <v>0</v>
      </c>
      <c r="AN662" s="52">
        <v>375000000</v>
      </c>
      <c r="AO662" s="52">
        <v>511483</v>
      </c>
      <c r="AP662" s="52">
        <v>37972</v>
      </c>
      <c r="AQ662" s="58">
        <v>0</v>
      </c>
      <c r="AR662" s="58">
        <v>0</v>
      </c>
      <c r="AS662" s="58">
        <v>0</v>
      </c>
      <c r="AT662" s="58">
        <v>0</v>
      </c>
      <c r="AU662" s="58">
        <v>0</v>
      </c>
      <c r="AV662" s="58">
        <v>0</v>
      </c>
      <c r="AW662" s="58">
        <v>0</v>
      </c>
      <c r="AX662" s="58">
        <v>0</v>
      </c>
    </row>
    <row r="663" spans="1:50" x14ac:dyDescent="0.25">
      <c r="A663" s="52">
        <f t="shared" si="37"/>
        <v>658</v>
      </c>
      <c r="B663" s="60" t="str">
        <f t="shared" si="36"/>
        <v>01037959434</v>
      </c>
      <c r="C663" s="55" t="s">
        <v>42</v>
      </c>
      <c r="D663" s="53" t="s">
        <v>2118</v>
      </c>
      <c r="E663" s="55" t="s">
        <v>1046</v>
      </c>
      <c r="F663" s="53" t="s">
        <v>2121</v>
      </c>
      <c r="G663" s="55">
        <v>10819</v>
      </c>
      <c r="H663" s="53" t="s">
        <v>1122</v>
      </c>
      <c r="I663" s="55">
        <v>305703591</v>
      </c>
      <c r="J663" s="55" t="s">
        <v>1123</v>
      </c>
      <c r="K663" s="55" t="s">
        <v>1124</v>
      </c>
      <c r="L663" s="53" t="s">
        <v>2100</v>
      </c>
      <c r="M663" s="55" t="s">
        <v>49</v>
      </c>
      <c r="N663" s="52">
        <v>1521000000</v>
      </c>
      <c r="O663" s="52">
        <v>1521000000</v>
      </c>
      <c r="P663" s="52">
        <v>1521000000</v>
      </c>
      <c r="Q663" s="57">
        <v>45227</v>
      </c>
      <c r="R663" s="57">
        <v>47053</v>
      </c>
      <c r="S663" s="56">
        <v>14</v>
      </c>
      <c r="T663" s="54">
        <v>1</v>
      </c>
      <c r="U663" s="52">
        <v>1478750000</v>
      </c>
      <c r="V663" s="52">
        <v>1394250000</v>
      </c>
      <c r="W663" s="52">
        <v>84500000</v>
      </c>
      <c r="X663" s="57">
        <v>46028</v>
      </c>
      <c r="Y663" s="52">
        <v>0</v>
      </c>
      <c r="Z663" s="52">
        <v>0</v>
      </c>
      <c r="AA663" s="52">
        <v>1</v>
      </c>
      <c r="AB663" s="52">
        <v>0</v>
      </c>
      <c r="AC663" s="52">
        <v>36005609.829999998</v>
      </c>
      <c r="AD663" s="52">
        <v>3759671.23</v>
      </c>
      <c r="AE663" s="52">
        <v>0</v>
      </c>
      <c r="AF663" s="52">
        <v>32245938.600000001</v>
      </c>
      <c r="AG663" s="52">
        <v>0</v>
      </c>
      <c r="AH663" s="52">
        <v>0</v>
      </c>
      <c r="AI663" s="52">
        <v>0</v>
      </c>
      <c r="AJ663" s="52">
        <v>2</v>
      </c>
      <c r="AK663" s="52"/>
      <c r="AL663" s="52">
        <v>4539253621</v>
      </c>
      <c r="AM663" s="52">
        <v>0</v>
      </c>
      <c r="AN663" s="52">
        <v>2026250000</v>
      </c>
      <c r="AO663" s="52">
        <v>2390624800</v>
      </c>
      <c r="AP663" s="52">
        <v>45883</v>
      </c>
      <c r="AQ663" s="58">
        <v>0</v>
      </c>
      <c r="AR663" s="58">
        <v>0</v>
      </c>
      <c r="AS663" s="58">
        <v>0</v>
      </c>
      <c r="AT663" s="58">
        <v>0</v>
      </c>
      <c r="AU663" s="58">
        <v>0</v>
      </c>
      <c r="AV663" s="58">
        <v>0</v>
      </c>
      <c r="AW663" s="58">
        <v>0</v>
      </c>
      <c r="AX663" s="58">
        <v>0</v>
      </c>
    </row>
    <row r="664" spans="1:50" x14ac:dyDescent="0.25">
      <c r="A664" s="52">
        <f t="shared" si="37"/>
        <v>659</v>
      </c>
      <c r="B664" s="60" t="str">
        <f t="shared" si="36"/>
        <v>010371124839</v>
      </c>
      <c r="C664" s="55" t="s">
        <v>42</v>
      </c>
      <c r="D664" s="53" t="s">
        <v>2118</v>
      </c>
      <c r="E664" s="55" t="s">
        <v>1046</v>
      </c>
      <c r="F664" s="53" t="s">
        <v>2121</v>
      </c>
      <c r="G664" s="55">
        <v>10819</v>
      </c>
      <c r="H664" s="53" t="s">
        <v>2550</v>
      </c>
      <c r="I664" s="55">
        <v>200463219</v>
      </c>
      <c r="J664" s="55" t="s">
        <v>1125</v>
      </c>
      <c r="K664" s="55" t="s">
        <v>1126</v>
      </c>
      <c r="L664" s="53" t="s">
        <v>2100</v>
      </c>
      <c r="M664" s="55" t="s">
        <v>75</v>
      </c>
      <c r="N664" s="52">
        <v>100000</v>
      </c>
      <c r="O664" s="52">
        <v>1206776000</v>
      </c>
      <c r="P664" s="52">
        <v>1206776000</v>
      </c>
      <c r="Q664" s="57">
        <v>45917</v>
      </c>
      <c r="R664" s="57">
        <v>47007</v>
      </c>
      <c r="S664" s="56">
        <v>13</v>
      </c>
      <c r="T664" s="54">
        <v>0</v>
      </c>
      <c r="U664" s="52">
        <v>1084353600.8</v>
      </c>
      <c r="V664" s="52">
        <v>1084353600.8</v>
      </c>
      <c r="W664" s="52">
        <v>0</v>
      </c>
      <c r="X664" s="57"/>
      <c r="Y664" s="52">
        <v>0</v>
      </c>
      <c r="Z664" s="52">
        <v>0</v>
      </c>
      <c r="AA664" s="52">
        <v>1</v>
      </c>
      <c r="AB664" s="52">
        <v>0</v>
      </c>
      <c r="AC664" s="52">
        <v>10053400.300000001</v>
      </c>
      <c r="AD664" s="52">
        <v>10053400.300000001</v>
      </c>
      <c r="AE664" s="52">
        <v>0</v>
      </c>
      <c r="AF664" s="52">
        <v>0</v>
      </c>
      <c r="AG664" s="52">
        <v>0</v>
      </c>
      <c r="AH664" s="52">
        <v>0</v>
      </c>
      <c r="AI664" s="52">
        <v>0</v>
      </c>
      <c r="AJ664" s="52">
        <v>2</v>
      </c>
      <c r="AK664" s="52"/>
      <c r="AL664" s="52">
        <v>0</v>
      </c>
      <c r="AM664" s="52">
        <v>0</v>
      </c>
      <c r="AN664" s="52">
        <v>1625000000</v>
      </c>
      <c r="AO664" s="52">
        <v>24699140502</v>
      </c>
      <c r="AP664" s="52">
        <v>1100000</v>
      </c>
      <c r="AQ664" s="58">
        <v>0</v>
      </c>
      <c r="AR664" s="58">
        <v>0</v>
      </c>
      <c r="AS664" s="58">
        <v>0</v>
      </c>
      <c r="AT664" s="58">
        <v>0</v>
      </c>
      <c r="AU664" s="58">
        <v>0</v>
      </c>
      <c r="AV664" s="58">
        <v>0</v>
      </c>
      <c r="AW664" s="58">
        <v>0</v>
      </c>
      <c r="AX664" s="58">
        <v>0</v>
      </c>
    </row>
    <row r="665" spans="1:50" x14ac:dyDescent="0.25">
      <c r="A665" s="52">
        <f t="shared" si="37"/>
        <v>660</v>
      </c>
      <c r="B665" s="60" t="str">
        <f t="shared" si="36"/>
        <v>01037819579</v>
      </c>
      <c r="C665" s="55" t="s">
        <v>42</v>
      </c>
      <c r="D665" s="53" t="s">
        <v>2118</v>
      </c>
      <c r="E665" s="55" t="s">
        <v>1046</v>
      </c>
      <c r="F665" s="53" t="s">
        <v>2121</v>
      </c>
      <c r="G665" s="55">
        <v>10819</v>
      </c>
      <c r="H665" s="53" t="s">
        <v>2551</v>
      </c>
      <c r="I665" s="55">
        <v>302765992</v>
      </c>
      <c r="J665" s="55" t="s">
        <v>1127</v>
      </c>
      <c r="K665" s="55" t="s">
        <v>1128</v>
      </c>
      <c r="L665" s="53" t="s">
        <v>2100</v>
      </c>
      <c r="M665" s="55" t="s">
        <v>49</v>
      </c>
      <c r="N665" s="52">
        <v>400000000</v>
      </c>
      <c r="O665" s="52">
        <v>400000000</v>
      </c>
      <c r="P665" s="52">
        <v>400000000</v>
      </c>
      <c r="Q665" s="57">
        <v>45873</v>
      </c>
      <c r="R665" s="57">
        <v>46417</v>
      </c>
      <c r="S665" s="56">
        <v>14</v>
      </c>
      <c r="T665" s="54">
        <v>0</v>
      </c>
      <c r="U665" s="52">
        <v>1055555548</v>
      </c>
      <c r="V665" s="52">
        <v>1055555548</v>
      </c>
      <c r="W665" s="52">
        <v>0</v>
      </c>
      <c r="X665" s="57"/>
      <c r="Y665" s="52">
        <v>0</v>
      </c>
      <c r="Z665" s="52">
        <v>0</v>
      </c>
      <c r="AA665" s="52">
        <v>1</v>
      </c>
      <c r="AB665" s="52">
        <v>0</v>
      </c>
      <c r="AC665" s="52">
        <v>6882800.5599999996</v>
      </c>
      <c r="AD665" s="52">
        <v>6882800.5599999996</v>
      </c>
      <c r="AE665" s="52">
        <v>0</v>
      </c>
      <c r="AF665" s="52">
        <v>0</v>
      </c>
      <c r="AG665" s="52">
        <v>0</v>
      </c>
      <c r="AH665" s="52">
        <v>0</v>
      </c>
      <c r="AI665" s="52">
        <v>0</v>
      </c>
      <c r="AJ665" s="52">
        <v>2</v>
      </c>
      <c r="AK665" s="52"/>
      <c r="AL665" s="52">
        <v>0</v>
      </c>
      <c r="AM665" s="52">
        <v>0</v>
      </c>
      <c r="AN665" s="52">
        <v>500000000</v>
      </c>
      <c r="AO665" s="52">
        <v>24487876.09</v>
      </c>
      <c r="AP665" s="52">
        <v>46814692517</v>
      </c>
      <c r="AQ665" s="58">
        <v>0</v>
      </c>
      <c r="AR665" s="58">
        <v>0</v>
      </c>
      <c r="AS665" s="58">
        <v>0</v>
      </c>
      <c r="AT665" s="58">
        <v>0</v>
      </c>
      <c r="AU665" s="58">
        <v>0</v>
      </c>
      <c r="AV665" s="58">
        <v>0</v>
      </c>
      <c r="AW665" s="58">
        <v>0</v>
      </c>
      <c r="AX665" s="58">
        <v>0</v>
      </c>
    </row>
    <row r="666" spans="1:50" x14ac:dyDescent="0.25">
      <c r="A666" s="52">
        <f t="shared" si="37"/>
        <v>661</v>
      </c>
      <c r="B666" s="60" t="str">
        <f t="shared" si="36"/>
        <v>01037897449</v>
      </c>
      <c r="C666" s="55" t="s">
        <v>42</v>
      </c>
      <c r="D666" s="53" t="s">
        <v>2118</v>
      </c>
      <c r="E666" s="55" t="s">
        <v>1046</v>
      </c>
      <c r="F666" s="53" t="s">
        <v>2121</v>
      </c>
      <c r="G666" s="55">
        <v>10819</v>
      </c>
      <c r="H666" s="53" t="s">
        <v>1129</v>
      </c>
      <c r="I666" s="55">
        <v>305013059</v>
      </c>
      <c r="J666" s="55" t="s">
        <v>1130</v>
      </c>
      <c r="K666" s="55" t="s">
        <v>1131</v>
      </c>
      <c r="L666" s="53" t="s">
        <v>2100</v>
      </c>
      <c r="M666" s="55" t="s">
        <v>49</v>
      </c>
      <c r="N666" s="52">
        <v>1759711075</v>
      </c>
      <c r="O666" s="52">
        <v>1759711075</v>
      </c>
      <c r="P666" s="52">
        <v>1759711075</v>
      </c>
      <c r="Q666" s="57">
        <v>45049</v>
      </c>
      <c r="R666" s="57">
        <v>46867</v>
      </c>
      <c r="S666" s="56">
        <v>14</v>
      </c>
      <c r="T666" s="54">
        <v>12</v>
      </c>
      <c r="U666" s="52">
        <v>974819428</v>
      </c>
      <c r="V666" s="52">
        <v>974819428</v>
      </c>
      <c r="W666" s="52">
        <v>0</v>
      </c>
      <c r="X666" s="57"/>
      <c r="Y666" s="52">
        <v>0</v>
      </c>
      <c r="Z666" s="52">
        <v>0</v>
      </c>
      <c r="AA666" s="52">
        <v>1</v>
      </c>
      <c r="AB666" s="52">
        <v>0</v>
      </c>
      <c r="AC666" s="52">
        <v>6356356.8200000003</v>
      </c>
      <c r="AD666" s="52">
        <v>6356356.8200000003</v>
      </c>
      <c r="AE666" s="52">
        <v>0</v>
      </c>
      <c r="AF666" s="52">
        <v>0</v>
      </c>
      <c r="AG666" s="52">
        <v>0</v>
      </c>
      <c r="AH666" s="52">
        <v>0</v>
      </c>
      <c r="AI666" s="52">
        <v>0</v>
      </c>
      <c r="AJ666" s="52">
        <v>2</v>
      </c>
      <c r="AK666" s="52"/>
      <c r="AL666" s="52">
        <v>0</v>
      </c>
      <c r="AM666" s="52">
        <v>0</v>
      </c>
      <c r="AN666" s="52">
        <v>2200000000</v>
      </c>
      <c r="AO666" s="52">
        <v>1341486145</v>
      </c>
      <c r="AP666" s="52">
        <v>45884</v>
      </c>
      <c r="AQ666" s="58">
        <v>0</v>
      </c>
      <c r="AR666" s="58">
        <v>0</v>
      </c>
      <c r="AS666" s="58">
        <v>0</v>
      </c>
      <c r="AT666" s="58">
        <v>0</v>
      </c>
      <c r="AU666" s="58">
        <v>0</v>
      </c>
      <c r="AV666" s="58">
        <v>0</v>
      </c>
      <c r="AW666" s="58">
        <v>2</v>
      </c>
      <c r="AX666" s="58">
        <v>124000</v>
      </c>
    </row>
    <row r="667" spans="1:50" x14ac:dyDescent="0.25">
      <c r="A667" s="52">
        <f t="shared" si="37"/>
        <v>662</v>
      </c>
      <c r="B667" s="60" t="str">
        <f t="shared" si="36"/>
        <v>010371051533</v>
      </c>
      <c r="C667" s="55" t="s">
        <v>42</v>
      </c>
      <c r="D667" s="53" t="s">
        <v>2118</v>
      </c>
      <c r="E667" s="55" t="s">
        <v>1046</v>
      </c>
      <c r="F667" s="53" t="s">
        <v>2121</v>
      </c>
      <c r="G667" s="55">
        <v>10819</v>
      </c>
      <c r="H667" s="53" t="s">
        <v>2552</v>
      </c>
      <c r="I667" s="55">
        <v>311756216</v>
      </c>
      <c r="J667" s="55" t="s">
        <v>1132</v>
      </c>
      <c r="K667" s="55" t="s">
        <v>1133</v>
      </c>
      <c r="L667" s="53" t="s">
        <v>2100</v>
      </c>
      <c r="M667" s="55" t="s">
        <v>49</v>
      </c>
      <c r="N667" s="52">
        <v>1000000000</v>
      </c>
      <c r="O667" s="52">
        <v>1000000000</v>
      </c>
      <c r="P667" s="52">
        <v>1000000000</v>
      </c>
      <c r="Q667" s="57">
        <v>45666</v>
      </c>
      <c r="R667" s="57">
        <v>46757</v>
      </c>
      <c r="S667" s="56">
        <v>30</v>
      </c>
      <c r="T667" s="54">
        <v>0</v>
      </c>
      <c r="U667" s="52">
        <v>800000002</v>
      </c>
      <c r="V667" s="52">
        <v>800000002</v>
      </c>
      <c r="W667" s="52">
        <v>0</v>
      </c>
      <c r="X667" s="57"/>
      <c r="Y667" s="52">
        <v>0</v>
      </c>
      <c r="Z667" s="52">
        <v>0</v>
      </c>
      <c r="AA667" s="52">
        <v>1</v>
      </c>
      <c r="AB667" s="52">
        <v>0</v>
      </c>
      <c r="AC667" s="52">
        <v>14658190.73</v>
      </c>
      <c r="AD667" s="52">
        <v>14658190.73</v>
      </c>
      <c r="AE667" s="52">
        <v>0</v>
      </c>
      <c r="AF667" s="52">
        <v>0</v>
      </c>
      <c r="AG667" s="52">
        <v>0</v>
      </c>
      <c r="AH667" s="52">
        <v>0</v>
      </c>
      <c r="AI667" s="52">
        <v>0</v>
      </c>
      <c r="AJ667" s="52">
        <v>2</v>
      </c>
      <c r="AK667" s="52"/>
      <c r="AL667" s="52">
        <v>58812785</v>
      </c>
      <c r="AM667" s="52">
        <v>0</v>
      </c>
      <c r="AN667" s="52">
        <v>1250000000</v>
      </c>
      <c r="AO667" s="52">
        <v>1165850000</v>
      </c>
      <c r="AP667" s="52">
        <v>45856</v>
      </c>
      <c r="AQ667" s="58">
        <v>0</v>
      </c>
      <c r="AR667" s="58">
        <v>0</v>
      </c>
      <c r="AS667" s="58">
        <v>0</v>
      </c>
      <c r="AT667" s="58">
        <v>0</v>
      </c>
      <c r="AU667" s="58">
        <v>0</v>
      </c>
      <c r="AV667" s="58">
        <v>0</v>
      </c>
      <c r="AW667" s="58">
        <v>0</v>
      </c>
      <c r="AX667" s="58">
        <v>0</v>
      </c>
    </row>
    <row r="668" spans="1:50" x14ac:dyDescent="0.25">
      <c r="A668" s="52">
        <f t="shared" si="37"/>
        <v>663</v>
      </c>
      <c r="B668" s="60" t="str">
        <f t="shared" si="36"/>
        <v>01037949089</v>
      </c>
      <c r="C668" s="55" t="s">
        <v>42</v>
      </c>
      <c r="D668" s="53" t="s">
        <v>2118</v>
      </c>
      <c r="E668" s="55" t="s">
        <v>1046</v>
      </c>
      <c r="F668" s="53" t="s">
        <v>2121</v>
      </c>
      <c r="G668" s="55">
        <v>10819</v>
      </c>
      <c r="H668" s="53" t="s">
        <v>2546</v>
      </c>
      <c r="I668" s="55">
        <v>303064424</v>
      </c>
      <c r="J668" s="55" t="s">
        <v>1134</v>
      </c>
      <c r="K668" s="55" t="s">
        <v>1135</v>
      </c>
      <c r="L668" s="53" t="s">
        <v>2100</v>
      </c>
      <c r="M668" s="55" t="s">
        <v>49</v>
      </c>
      <c r="N668" s="52">
        <v>700000000</v>
      </c>
      <c r="O668" s="52">
        <v>700000000</v>
      </c>
      <c r="P668" s="52">
        <v>700000000</v>
      </c>
      <c r="Q668" s="57">
        <v>45197</v>
      </c>
      <c r="R668" s="57">
        <v>47021</v>
      </c>
      <c r="S668" s="56">
        <v>21</v>
      </c>
      <c r="T668" s="54">
        <v>12</v>
      </c>
      <c r="U668" s="52">
        <v>449810402</v>
      </c>
      <c r="V668" s="52">
        <v>449810402</v>
      </c>
      <c r="W668" s="52">
        <v>0</v>
      </c>
      <c r="X668" s="57"/>
      <c r="Y668" s="52">
        <v>0</v>
      </c>
      <c r="Z668" s="52">
        <v>0</v>
      </c>
      <c r="AA668" s="52">
        <v>1</v>
      </c>
      <c r="AB668" s="52">
        <v>0</v>
      </c>
      <c r="AC668" s="52">
        <v>4399515.4400000004</v>
      </c>
      <c r="AD668" s="52">
        <v>4399515.4400000004</v>
      </c>
      <c r="AE668" s="52">
        <v>0</v>
      </c>
      <c r="AF668" s="52">
        <v>0</v>
      </c>
      <c r="AG668" s="52">
        <v>0</v>
      </c>
      <c r="AH668" s="52">
        <v>0</v>
      </c>
      <c r="AI668" s="52">
        <v>0</v>
      </c>
      <c r="AJ668" s="52">
        <v>2</v>
      </c>
      <c r="AK668" s="52"/>
      <c r="AL668" s="52">
        <v>3845502648</v>
      </c>
      <c r="AM668" s="52">
        <v>0</v>
      </c>
      <c r="AN668" s="52">
        <v>1304848000</v>
      </c>
      <c r="AO668" s="52">
        <v>36617843158</v>
      </c>
      <c r="AP668" s="52">
        <v>45889</v>
      </c>
      <c r="AQ668" s="58">
        <v>0</v>
      </c>
      <c r="AR668" s="58">
        <v>0</v>
      </c>
      <c r="AS668" s="58">
        <v>0</v>
      </c>
      <c r="AT668" s="58">
        <v>0</v>
      </c>
      <c r="AU668" s="58">
        <v>2</v>
      </c>
      <c r="AV668" s="58">
        <v>70200</v>
      </c>
      <c r="AW668" s="58">
        <v>2</v>
      </c>
      <c r="AX668" s="58">
        <v>66200</v>
      </c>
    </row>
    <row r="669" spans="1:50" x14ac:dyDescent="0.25">
      <c r="A669" s="52">
        <f t="shared" si="37"/>
        <v>664</v>
      </c>
      <c r="B669" s="60" t="str">
        <f t="shared" si="36"/>
        <v>01037643964</v>
      </c>
      <c r="C669" s="55" t="s">
        <v>42</v>
      </c>
      <c r="D669" s="53" t="s">
        <v>2118</v>
      </c>
      <c r="E669" s="55" t="s">
        <v>1046</v>
      </c>
      <c r="F669" s="53" t="s">
        <v>2121</v>
      </c>
      <c r="G669" s="55">
        <v>10819</v>
      </c>
      <c r="H669" s="53" t="s">
        <v>2546</v>
      </c>
      <c r="I669" s="55">
        <v>303064424</v>
      </c>
      <c r="J669" s="55" t="s">
        <v>1136</v>
      </c>
      <c r="K669" s="55" t="s">
        <v>1137</v>
      </c>
      <c r="L669" s="53" t="s">
        <v>2100</v>
      </c>
      <c r="M669" s="55" t="s">
        <v>49</v>
      </c>
      <c r="N669" s="52">
        <v>250000000</v>
      </c>
      <c r="O669" s="52">
        <v>250000000</v>
      </c>
      <c r="P669" s="52">
        <v>250000000</v>
      </c>
      <c r="Q669" s="57">
        <v>45646</v>
      </c>
      <c r="R669" s="57">
        <v>46738</v>
      </c>
      <c r="S669" s="56">
        <v>14</v>
      </c>
      <c r="T669" s="54">
        <v>6</v>
      </c>
      <c r="U669" s="52">
        <v>291666653</v>
      </c>
      <c r="V669" s="52">
        <v>291666653</v>
      </c>
      <c r="W669" s="52">
        <v>0</v>
      </c>
      <c r="X669" s="57"/>
      <c r="Y669" s="52">
        <v>0</v>
      </c>
      <c r="Z669" s="52">
        <v>0</v>
      </c>
      <c r="AA669" s="52">
        <v>1</v>
      </c>
      <c r="AB669" s="52">
        <v>0</v>
      </c>
      <c r="AC669" s="52">
        <v>1901826.39</v>
      </c>
      <c r="AD669" s="52">
        <v>1901826.39</v>
      </c>
      <c r="AE669" s="52">
        <v>0</v>
      </c>
      <c r="AF669" s="52">
        <v>0</v>
      </c>
      <c r="AG669" s="52">
        <v>0</v>
      </c>
      <c r="AH669" s="52">
        <v>0</v>
      </c>
      <c r="AI669" s="52">
        <v>0</v>
      </c>
      <c r="AJ669" s="52">
        <v>2</v>
      </c>
      <c r="AK669" s="52"/>
      <c r="AL669" s="52">
        <v>0</v>
      </c>
      <c r="AM669" s="52">
        <v>0</v>
      </c>
      <c r="AN669" s="52">
        <v>312500000</v>
      </c>
      <c r="AO669" s="52">
        <v>350950000</v>
      </c>
      <c r="AP669" s="52">
        <v>350950000</v>
      </c>
      <c r="AQ669" s="58">
        <v>0</v>
      </c>
      <c r="AR669" s="58">
        <v>0</v>
      </c>
      <c r="AS669" s="58">
        <v>0</v>
      </c>
      <c r="AT669" s="58">
        <v>0</v>
      </c>
      <c r="AU669" s="58">
        <v>2</v>
      </c>
      <c r="AV669" s="58">
        <v>70200</v>
      </c>
      <c r="AW669" s="58">
        <v>2</v>
      </c>
      <c r="AX669" s="58">
        <v>66200</v>
      </c>
    </row>
    <row r="670" spans="1:50" x14ac:dyDescent="0.25">
      <c r="A670" s="52">
        <f t="shared" si="37"/>
        <v>665</v>
      </c>
      <c r="B670" s="60" t="str">
        <f t="shared" si="36"/>
        <v>01037638801</v>
      </c>
      <c r="C670" s="55" t="s">
        <v>42</v>
      </c>
      <c r="D670" s="53" t="s">
        <v>2118</v>
      </c>
      <c r="E670" s="55" t="s">
        <v>1046</v>
      </c>
      <c r="F670" s="53" t="s">
        <v>2120</v>
      </c>
      <c r="G670" s="55">
        <v>10820</v>
      </c>
      <c r="H670" s="53" t="s">
        <v>2553</v>
      </c>
      <c r="I670" s="55">
        <v>200468116</v>
      </c>
      <c r="J670" s="55" t="s">
        <v>1138</v>
      </c>
      <c r="K670" s="55" t="s">
        <v>1139</v>
      </c>
      <c r="L670" s="53" t="s">
        <v>2039</v>
      </c>
      <c r="M670" s="55" t="s">
        <v>49</v>
      </c>
      <c r="N670" s="52">
        <v>6300000000</v>
      </c>
      <c r="O670" s="52">
        <v>6300000000</v>
      </c>
      <c r="P670" s="52">
        <v>6300000000</v>
      </c>
      <c r="Q670" s="57">
        <v>43748</v>
      </c>
      <c r="R670" s="57">
        <v>51028</v>
      </c>
      <c r="S670" s="56">
        <v>16</v>
      </c>
      <c r="T670" s="54">
        <v>0</v>
      </c>
      <c r="U670" s="52">
        <v>12671296321</v>
      </c>
      <c r="V670" s="52">
        <v>12671296321</v>
      </c>
      <c r="W670" s="52">
        <v>0</v>
      </c>
      <c r="X670" s="57"/>
      <c r="Y670" s="52">
        <v>0</v>
      </c>
      <c r="Z670" s="52">
        <v>0</v>
      </c>
      <c r="AA670" s="52">
        <v>1</v>
      </c>
      <c r="AB670" s="52">
        <v>0</v>
      </c>
      <c r="AC670" s="52">
        <v>66654490.240000002</v>
      </c>
      <c r="AD670" s="52">
        <v>66654490.240000002</v>
      </c>
      <c r="AE670" s="52">
        <v>0</v>
      </c>
      <c r="AF670" s="52">
        <v>0</v>
      </c>
      <c r="AG670" s="52">
        <v>0</v>
      </c>
      <c r="AH670" s="52">
        <v>0</v>
      </c>
      <c r="AI670" s="52">
        <v>0</v>
      </c>
      <c r="AJ670" s="52">
        <v>2</v>
      </c>
      <c r="AK670" s="52"/>
      <c r="AL670" s="52">
        <v>1448157349</v>
      </c>
      <c r="AM670" s="52">
        <v>0</v>
      </c>
      <c r="AN670" s="52">
        <v>20058672134</v>
      </c>
      <c r="AO670" s="52">
        <v>393059467947</v>
      </c>
      <c r="AP670" s="52">
        <v>45889</v>
      </c>
      <c r="AQ670" s="58">
        <v>0</v>
      </c>
      <c r="AR670" s="58">
        <v>0</v>
      </c>
      <c r="AS670" s="58">
        <v>0</v>
      </c>
      <c r="AT670" s="58">
        <v>0</v>
      </c>
      <c r="AU670" s="58">
        <v>0</v>
      </c>
      <c r="AV670" s="58">
        <v>0</v>
      </c>
      <c r="AW670" s="58">
        <v>0</v>
      </c>
      <c r="AX670" s="58">
        <v>0</v>
      </c>
    </row>
    <row r="671" spans="1:50" x14ac:dyDescent="0.25">
      <c r="A671" s="52">
        <f t="shared" si="37"/>
        <v>666</v>
      </c>
      <c r="B671" s="60" t="str">
        <f t="shared" si="36"/>
        <v>01037946398</v>
      </c>
      <c r="C671" s="55" t="s">
        <v>42</v>
      </c>
      <c r="D671" s="53" t="s">
        <v>2118</v>
      </c>
      <c r="E671" s="55" t="s">
        <v>1046</v>
      </c>
      <c r="F671" s="53" t="s">
        <v>2120</v>
      </c>
      <c r="G671" s="55">
        <v>10820</v>
      </c>
      <c r="H671" s="53" t="s">
        <v>2554</v>
      </c>
      <c r="I671" s="55">
        <v>301536597</v>
      </c>
      <c r="J671" s="55" t="s">
        <v>1140</v>
      </c>
      <c r="K671" s="55" t="s">
        <v>1141</v>
      </c>
      <c r="L671" s="53" t="s">
        <v>2039</v>
      </c>
      <c r="M671" s="55" t="s">
        <v>49</v>
      </c>
      <c r="N671" s="52">
        <v>250000000</v>
      </c>
      <c r="O671" s="52">
        <v>250000000</v>
      </c>
      <c r="P671" s="52">
        <v>250000000</v>
      </c>
      <c r="Q671" s="57">
        <v>45617</v>
      </c>
      <c r="R671" s="57">
        <v>46705</v>
      </c>
      <c r="S671" s="56">
        <v>21</v>
      </c>
      <c r="T671" s="54">
        <v>6</v>
      </c>
      <c r="U671" s="52">
        <v>9721205080.7299995</v>
      </c>
      <c r="V671" s="52">
        <v>8888888884</v>
      </c>
      <c r="W671" s="52">
        <v>832316196.73000002</v>
      </c>
      <c r="X671" s="57">
        <v>45985</v>
      </c>
      <c r="Y671" s="52">
        <v>0</v>
      </c>
      <c r="Z671" s="52">
        <v>0</v>
      </c>
      <c r="AA671" s="52">
        <v>2</v>
      </c>
      <c r="AB671" s="52">
        <v>2430301270.1799998</v>
      </c>
      <c r="AC671" s="52">
        <v>646043891</v>
      </c>
      <c r="AD671" s="52">
        <v>51141552.490000002</v>
      </c>
      <c r="AE671" s="52">
        <v>0</v>
      </c>
      <c r="AF671" s="52">
        <v>594902338.50999999</v>
      </c>
      <c r="AG671" s="52">
        <v>0</v>
      </c>
      <c r="AH671" s="52">
        <v>0</v>
      </c>
      <c r="AI671" s="52">
        <v>0</v>
      </c>
      <c r="AJ671" s="52">
        <v>2</v>
      </c>
      <c r="AK671" s="52"/>
      <c r="AL671" s="52">
        <v>0</v>
      </c>
      <c r="AM671" s="52">
        <v>0</v>
      </c>
      <c r="AN671" s="52">
        <v>312500000</v>
      </c>
      <c r="AO671" s="52">
        <v>394272916</v>
      </c>
      <c r="AP671" s="52">
        <v>3942729164</v>
      </c>
      <c r="AQ671" s="58">
        <v>0</v>
      </c>
      <c r="AR671" s="58">
        <v>0</v>
      </c>
      <c r="AS671" s="58">
        <v>0</v>
      </c>
      <c r="AT671" s="58">
        <v>0</v>
      </c>
      <c r="AU671" s="58">
        <v>0</v>
      </c>
      <c r="AV671" s="58">
        <v>0</v>
      </c>
      <c r="AW671" s="58">
        <v>0</v>
      </c>
      <c r="AX671" s="58">
        <v>0</v>
      </c>
    </row>
    <row r="672" spans="1:50" x14ac:dyDescent="0.25">
      <c r="A672" s="52">
        <f t="shared" si="37"/>
        <v>667</v>
      </c>
      <c r="B672" s="60" t="str">
        <f t="shared" si="36"/>
        <v>01037642745</v>
      </c>
      <c r="C672" s="55" t="s">
        <v>42</v>
      </c>
      <c r="D672" s="53" t="s">
        <v>2118</v>
      </c>
      <c r="E672" s="55" t="s">
        <v>1046</v>
      </c>
      <c r="F672" s="53" t="s">
        <v>2120</v>
      </c>
      <c r="G672" s="55">
        <v>10820</v>
      </c>
      <c r="H672" s="53" t="s">
        <v>2553</v>
      </c>
      <c r="I672" s="55">
        <v>200468116</v>
      </c>
      <c r="J672" s="55" t="s">
        <v>1142</v>
      </c>
      <c r="K672" s="55" t="s">
        <v>1143</v>
      </c>
      <c r="L672" s="53" t="s">
        <v>2039</v>
      </c>
      <c r="M672" s="55" t="s">
        <v>49</v>
      </c>
      <c r="N672" s="52">
        <v>16700000000</v>
      </c>
      <c r="O672" s="52">
        <v>16700000000</v>
      </c>
      <c r="P672" s="52">
        <v>16700000000</v>
      </c>
      <c r="Q672" s="57">
        <v>43153</v>
      </c>
      <c r="R672" s="57">
        <v>48629</v>
      </c>
      <c r="S672" s="56">
        <v>20</v>
      </c>
      <c r="T672" s="54">
        <v>0</v>
      </c>
      <c r="U672" s="52">
        <v>5740000000</v>
      </c>
      <c r="V672" s="52">
        <v>5740000000</v>
      </c>
      <c r="W672" s="52">
        <v>0</v>
      </c>
      <c r="X672" s="57"/>
      <c r="Y672" s="52">
        <v>0</v>
      </c>
      <c r="Z672" s="52">
        <v>0</v>
      </c>
      <c r="AA672" s="52">
        <v>1</v>
      </c>
      <c r="AB672" s="52">
        <v>0</v>
      </c>
      <c r="AC672" s="52">
        <v>53468493.149999999</v>
      </c>
      <c r="AD672" s="52">
        <v>53468493.149999999</v>
      </c>
      <c r="AE672" s="52">
        <v>0</v>
      </c>
      <c r="AF672" s="52">
        <v>0</v>
      </c>
      <c r="AG672" s="52">
        <v>0</v>
      </c>
      <c r="AH672" s="52">
        <v>0</v>
      </c>
      <c r="AI672" s="52">
        <v>0</v>
      </c>
      <c r="AJ672" s="52">
        <v>2</v>
      </c>
      <c r="AK672" s="52"/>
      <c r="AL672" s="52">
        <v>1448157349</v>
      </c>
      <c r="AM672" s="52">
        <v>0</v>
      </c>
      <c r="AN672" s="52">
        <v>41750000000</v>
      </c>
      <c r="AO672" s="52">
        <v>393059467947</v>
      </c>
      <c r="AP672" s="52">
        <v>45889</v>
      </c>
      <c r="AQ672" s="58">
        <v>0</v>
      </c>
      <c r="AR672" s="58">
        <v>0</v>
      </c>
      <c r="AS672" s="58">
        <v>0</v>
      </c>
      <c r="AT672" s="58">
        <v>0</v>
      </c>
      <c r="AU672" s="58">
        <v>0</v>
      </c>
      <c r="AV672" s="58">
        <v>0</v>
      </c>
      <c r="AW672" s="58">
        <v>0</v>
      </c>
      <c r="AX672" s="58">
        <v>0</v>
      </c>
    </row>
    <row r="673" spans="1:50" x14ac:dyDescent="0.25">
      <c r="A673" s="52">
        <f t="shared" si="37"/>
        <v>668</v>
      </c>
      <c r="B673" s="60" t="str">
        <f t="shared" si="36"/>
        <v>01037644564</v>
      </c>
      <c r="C673" s="55" t="s">
        <v>42</v>
      </c>
      <c r="D673" s="53" t="s">
        <v>2118</v>
      </c>
      <c r="E673" s="55" t="s">
        <v>1046</v>
      </c>
      <c r="F673" s="53" t="s">
        <v>2120</v>
      </c>
      <c r="G673" s="55">
        <v>10820</v>
      </c>
      <c r="H673" s="53" t="s">
        <v>2555</v>
      </c>
      <c r="I673" s="55">
        <v>303297919</v>
      </c>
      <c r="J673" s="55" t="s">
        <v>1144</v>
      </c>
      <c r="K673" s="55" t="s">
        <v>1145</v>
      </c>
      <c r="L673" s="53" t="s">
        <v>2039</v>
      </c>
      <c r="M673" s="55" t="s">
        <v>75</v>
      </c>
      <c r="N673" s="52">
        <v>682000</v>
      </c>
      <c r="O673" s="52">
        <v>8630116660</v>
      </c>
      <c r="P673" s="52">
        <v>8630116660</v>
      </c>
      <c r="Q673" s="57">
        <v>44559</v>
      </c>
      <c r="R673" s="57">
        <v>46563</v>
      </c>
      <c r="S673" s="56">
        <v>8</v>
      </c>
      <c r="T673" s="54">
        <v>0</v>
      </c>
      <c r="U673" s="52">
        <v>3404665239.6399999</v>
      </c>
      <c r="V673" s="52">
        <v>3404665239.6399999</v>
      </c>
      <c r="W673" s="52">
        <v>0</v>
      </c>
      <c r="X673" s="57"/>
      <c r="Y673" s="52">
        <v>0</v>
      </c>
      <c r="Z673" s="52">
        <v>0</v>
      </c>
      <c r="AA673" s="52">
        <v>1</v>
      </c>
      <c r="AB673" s="52">
        <v>0</v>
      </c>
      <c r="AC673" s="52">
        <v>12105532.9</v>
      </c>
      <c r="AD673" s="52">
        <v>12105532.9</v>
      </c>
      <c r="AE673" s="52">
        <v>0</v>
      </c>
      <c r="AF673" s="52">
        <v>0</v>
      </c>
      <c r="AG673" s="52">
        <v>0</v>
      </c>
      <c r="AH673" s="52">
        <v>0</v>
      </c>
      <c r="AI673" s="52">
        <v>0</v>
      </c>
      <c r="AJ673" s="52">
        <v>2</v>
      </c>
      <c r="AK673" s="52"/>
      <c r="AL673" s="52">
        <v>0</v>
      </c>
      <c r="AM673" s="52">
        <v>0</v>
      </c>
      <c r="AN673" s="52">
        <v>19952160000</v>
      </c>
      <c r="AO673" s="52">
        <v>50739764238</v>
      </c>
      <c r="AP673" s="52">
        <v>45889</v>
      </c>
      <c r="AQ673" s="58">
        <v>0</v>
      </c>
      <c r="AR673" s="58">
        <v>0</v>
      </c>
      <c r="AS673" s="58">
        <v>0</v>
      </c>
      <c r="AT673" s="58">
        <v>0</v>
      </c>
      <c r="AU673" s="58">
        <v>8</v>
      </c>
      <c r="AV673" s="58">
        <v>373976.58</v>
      </c>
      <c r="AW673" s="58">
        <v>7</v>
      </c>
      <c r="AX673" s="58">
        <v>722800</v>
      </c>
    </row>
    <row r="674" spans="1:50" x14ac:dyDescent="0.25">
      <c r="A674" s="52">
        <f t="shared" si="37"/>
        <v>669</v>
      </c>
      <c r="B674" s="60" t="str">
        <f t="shared" si="36"/>
        <v>01037642961</v>
      </c>
      <c r="C674" s="55" t="s">
        <v>42</v>
      </c>
      <c r="D674" s="53" t="s">
        <v>2118</v>
      </c>
      <c r="E674" s="55" t="s">
        <v>1046</v>
      </c>
      <c r="F674" s="53" t="s">
        <v>2120</v>
      </c>
      <c r="G674" s="55">
        <v>10820</v>
      </c>
      <c r="H674" s="53" t="s">
        <v>1146</v>
      </c>
      <c r="I674" s="55">
        <v>304635654</v>
      </c>
      <c r="J674" s="55" t="s">
        <v>1147</v>
      </c>
      <c r="K674" s="55" t="s">
        <v>1148</v>
      </c>
      <c r="L674" s="53" t="s">
        <v>2039</v>
      </c>
      <c r="M674" s="55" t="s">
        <v>75</v>
      </c>
      <c r="N674" s="52">
        <v>500000</v>
      </c>
      <c r="O674" s="52">
        <v>6327065000</v>
      </c>
      <c r="P674" s="52">
        <v>6327065000</v>
      </c>
      <c r="Q674" s="57">
        <v>43914</v>
      </c>
      <c r="R674" s="57">
        <v>48545</v>
      </c>
      <c r="S674" s="56">
        <v>10</v>
      </c>
      <c r="T674" s="54">
        <v>0</v>
      </c>
      <c r="U674" s="52">
        <v>3035911942.7599998</v>
      </c>
      <c r="V674" s="52">
        <v>2929001714.1599998</v>
      </c>
      <c r="W674" s="52">
        <v>106910228.59999999</v>
      </c>
      <c r="X674" s="57">
        <v>46028</v>
      </c>
      <c r="Y674" s="52">
        <v>0</v>
      </c>
      <c r="Z674" s="52">
        <v>0</v>
      </c>
      <c r="AA674" s="52">
        <v>1</v>
      </c>
      <c r="AB674" s="52">
        <v>0</v>
      </c>
      <c r="AC674" s="52">
        <v>83634223.810000002</v>
      </c>
      <c r="AD674" s="52">
        <v>3254475.9</v>
      </c>
      <c r="AE674" s="52">
        <v>0</v>
      </c>
      <c r="AF674" s="52">
        <v>80379747.909999996</v>
      </c>
      <c r="AG674" s="52">
        <v>0</v>
      </c>
      <c r="AH674" s="52">
        <v>0</v>
      </c>
      <c r="AI674" s="52">
        <v>0</v>
      </c>
      <c r="AJ674" s="52">
        <v>2</v>
      </c>
      <c r="AK674" s="52"/>
      <c r="AL674" s="52">
        <v>78700</v>
      </c>
      <c r="AM674" s="52">
        <v>0</v>
      </c>
      <c r="AN674" s="52">
        <v>22009706666</v>
      </c>
      <c r="AO674" s="52">
        <v>720600000</v>
      </c>
      <c r="AP674" s="52">
        <v>45694</v>
      </c>
      <c r="AQ674" s="58">
        <v>0</v>
      </c>
      <c r="AR674" s="58">
        <v>0</v>
      </c>
      <c r="AS674" s="58">
        <v>0</v>
      </c>
      <c r="AT674" s="58">
        <v>0</v>
      </c>
      <c r="AU674" s="58">
        <v>0</v>
      </c>
      <c r="AV674" s="58">
        <v>0</v>
      </c>
      <c r="AW674" s="58">
        <v>5</v>
      </c>
      <c r="AX674" s="58">
        <v>800000</v>
      </c>
    </row>
    <row r="675" spans="1:50" x14ac:dyDescent="0.25">
      <c r="A675" s="52">
        <f t="shared" si="37"/>
        <v>670</v>
      </c>
      <c r="B675" s="60" t="str">
        <f t="shared" si="36"/>
        <v>01037644493</v>
      </c>
      <c r="C675" s="55" t="s">
        <v>42</v>
      </c>
      <c r="D675" s="53" t="s">
        <v>2118</v>
      </c>
      <c r="E675" s="55" t="s">
        <v>1046</v>
      </c>
      <c r="F675" s="53" t="s">
        <v>2120</v>
      </c>
      <c r="G675" s="55">
        <v>10820</v>
      </c>
      <c r="H675" s="53" t="s">
        <v>1146</v>
      </c>
      <c r="I675" s="55">
        <v>304635654</v>
      </c>
      <c r="J675" s="55" t="s">
        <v>1149</v>
      </c>
      <c r="K675" s="55" t="s">
        <v>1150</v>
      </c>
      <c r="L675" s="53" t="s">
        <v>2039</v>
      </c>
      <c r="M675" s="55" t="s">
        <v>75</v>
      </c>
      <c r="N675" s="52">
        <v>300000</v>
      </c>
      <c r="O675" s="52">
        <v>3796238999.9999995</v>
      </c>
      <c r="P675" s="52">
        <v>3796238999.9999995</v>
      </c>
      <c r="Q675" s="57">
        <v>44545</v>
      </c>
      <c r="R675" s="57">
        <v>48545</v>
      </c>
      <c r="S675" s="56">
        <v>9</v>
      </c>
      <c r="T675" s="54">
        <v>0</v>
      </c>
      <c r="U675" s="52">
        <v>2566141680.5</v>
      </c>
      <c r="V675" s="52">
        <v>2475807345</v>
      </c>
      <c r="W675" s="52">
        <v>90334335.5</v>
      </c>
      <c r="X675" s="57">
        <v>46028</v>
      </c>
      <c r="Y675" s="52">
        <v>0</v>
      </c>
      <c r="Z675" s="52">
        <v>0</v>
      </c>
      <c r="AA675" s="52">
        <v>1</v>
      </c>
      <c r="AB675" s="52">
        <v>0</v>
      </c>
      <c r="AC675" s="52">
        <v>63754936.420000002</v>
      </c>
      <c r="AD675" s="52">
        <v>1856947</v>
      </c>
      <c r="AE675" s="52">
        <v>0</v>
      </c>
      <c r="AF675" s="52">
        <v>61897989.420000002</v>
      </c>
      <c r="AG675" s="52">
        <v>0</v>
      </c>
      <c r="AH675" s="52">
        <v>0</v>
      </c>
      <c r="AI675" s="52">
        <v>0</v>
      </c>
      <c r="AJ675" s="52">
        <v>2</v>
      </c>
      <c r="AK675" s="52"/>
      <c r="AL675" s="52">
        <v>78700</v>
      </c>
      <c r="AM675" s="52">
        <v>0</v>
      </c>
      <c r="AN675" s="52">
        <v>22009706666</v>
      </c>
      <c r="AO675" s="52">
        <v>720600000</v>
      </c>
      <c r="AP675" s="52">
        <v>45694</v>
      </c>
      <c r="AQ675" s="58">
        <v>0</v>
      </c>
      <c r="AR675" s="58">
        <v>0</v>
      </c>
      <c r="AS675" s="58">
        <v>0</v>
      </c>
      <c r="AT675" s="58">
        <v>0</v>
      </c>
      <c r="AU675" s="58">
        <v>0</v>
      </c>
      <c r="AV675" s="58">
        <v>0</v>
      </c>
      <c r="AW675" s="58">
        <v>5</v>
      </c>
      <c r="AX675" s="58">
        <v>800000</v>
      </c>
    </row>
    <row r="676" spans="1:50" x14ac:dyDescent="0.25">
      <c r="A676" s="52">
        <f t="shared" si="37"/>
        <v>671</v>
      </c>
      <c r="B676" s="60" t="str">
        <f t="shared" si="36"/>
        <v>01037644068</v>
      </c>
      <c r="C676" s="55" t="s">
        <v>42</v>
      </c>
      <c r="D676" s="53" t="s">
        <v>2118</v>
      </c>
      <c r="E676" s="55" t="s">
        <v>1046</v>
      </c>
      <c r="F676" s="53" t="s">
        <v>2120</v>
      </c>
      <c r="G676" s="55">
        <v>10820</v>
      </c>
      <c r="H676" s="53" t="s">
        <v>2503</v>
      </c>
      <c r="I676" s="55">
        <v>305812963</v>
      </c>
      <c r="J676" s="55" t="s">
        <v>1151</v>
      </c>
      <c r="K676" s="55" t="s">
        <v>1152</v>
      </c>
      <c r="L676" s="53" t="s">
        <v>2039</v>
      </c>
      <c r="M676" s="55" t="s">
        <v>49</v>
      </c>
      <c r="N676" s="52">
        <v>2162093979.29</v>
      </c>
      <c r="O676" s="52">
        <v>2162093979.29</v>
      </c>
      <c r="P676" s="52">
        <v>2162093979.29</v>
      </c>
      <c r="Q676" s="57">
        <v>44466</v>
      </c>
      <c r="R676" s="57">
        <v>49546</v>
      </c>
      <c r="S676" s="56">
        <v>0</v>
      </c>
      <c r="T676" s="54">
        <v>0</v>
      </c>
      <c r="U676" s="52">
        <v>2162093794.1900001</v>
      </c>
      <c r="V676" s="52">
        <v>2162093794.1900001</v>
      </c>
      <c r="W676" s="52">
        <v>0</v>
      </c>
      <c r="X676" s="57"/>
      <c r="Y676" s="52">
        <v>0</v>
      </c>
      <c r="Z676" s="52">
        <v>0</v>
      </c>
      <c r="AA676" s="52">
        <v>1</v>
      </c>
      <c r="AB676" s="52">
        <v>0</v>
      </c>
      <c r="AC676" s="52">
        <v>0</v>
      </c>
      <c r="AD676" s="52">
        <v>0</v>
      </c>
      <c r="AE676" s="52">
        <v>0</v>
      </c>
      <c r="AF676" s="52">
        <v>0</v>
      </c>
      <c r="AG676" s="52">
        <v>0</v>
      </c>
      <c r="AH676" s="52">
        <v>0</v>
      </c>
      <c r="AI676" s="52">
        <v>0</v>
      </c>
      <c r="AJ676" s="52">
        <v>2</v>
      </c>
      <c r="AK676" s="52"/>
      <c r="AL676" s="52">
        <v>1311508</v>
      </c>
      <c r="AM676" s="52">
        <v>0</v>
      </c>
      <c r="AN676" s="52">
        <v>0</v>
      </c>
      <c r="AO676" s="52">
        <v>50550</v>
      </c>
      <c r="AP676" s="52">
        <v>44936</v>
      </c>
      <c r="AQ676" s="58">
        <v>0</v>
      </c>
      <c r="AR676" s="58">
        <v>0</v>
      </c>
      <c r="AS676" s="58">
        <v>0</v>
      </c>
      <c r="AT676" s="58">
        <v>0</v>
      </c>
      <c r="AU676" s="58">
        <v>0</v>
      </c>
      <c r="AV676" s="58">
        <v>0</v>
      </c>
      <c r="AW676" s="58">
        <v>0</v>
      </c>
      <c r="AX676" s="58">
        <v>0</v>
      </c>
    </row>
    <row r="677" spans="1:50" x14ac:dyDescent="0.25">
      <c r="A677" s="52">
        <f t="shared" si="37"/>
        <v>672</v>
      </c>
      <c r="B677" s="60" t="str">
        <f t="shared" si="36"/>
        <v>01037644435</v>
      </c>
      <c r="C677" s="55" t="s">
        <v>42</v>
      </c>
      <c r="D677" s="53" t="s">
        <v>2118</v>
      </c>
      <c r="E677" s="55" t="s">
        <v>1046</v>
      </c>
      <c r="F677" s="53" t="s">
        <v>2120</v>
      </c>
      <c r="G677" s="55">
        <v>10820</v>
      </c>
      <c r="H677" s="53" t="s">
        <v>1153</v>
      </c>
      <c r="I677" s="55">
        <v>308452706</v>
      </c>
      <c r="J677" s="55" t="s">
        <v>1154</v>
      </c>
      <c r="K677" s="55" t="s">
        <v>1155</v>
      </c>
      <c r="L677" s="53" t="s">
        <v>2039</v>
      </c>
      <c r="M677" s="55" t="s">
        <v>49</v>
      </c>
      <c r="N677" s="52">
        <v>2073699945.21</v>
      </c>
      <c r="O677" s="52">
        <v>2073699945.21</v>
      </c>
      <c r="P677" s="52">
        <v>2073699945.21</v>
      </c>
      <c r="Q677" s="57">
        <v>44530</v>
      </c>
      <c r="R677" s="57">
        <v>48085</v>
      </c>
      <c r="S677" s="56">
        <v>0</v>
      </c>
      <c r="T677" s="54">
        <v>0</v>
      </c>
      <c r="U677" s="52">
        <v>2073699945.21</v>
      </c>
      <c r="V677" s="52">
        <v>2073699945.21</v>
      </c>
      <c r="W677" s="52">
        <v>0</v>
      </c>
      <c r="X677" s="57"/>
      <c r="Y677" s="52">
        <v>0</v>
      </c>
      <c r="Z677" s="52">
        <v>0</v>
      </c>
      <c r="AA677" s="52">
        <v>1</v>
      </c>
      <c r="AB677" s="52">
        <v>0</v>
      </c>
      <c r="AC677" s="52">
        <v>0</v>
      </c>
      <c r="AD677" s="52">
        <v>0</v>
      </c>
      <c r="AE677" s="52">
        <v>0</v>
      </c>
      <c r="AF677" s="52">
        <v>0</v>
      </c>
      <c r="AG677" s="52">
        <v>0</v>
      </c>
      <c r="AH677" s="52">
        <v>0</v>
      </c>
      <c r="AI677" s="52">
        <v>0</v>
      </c>
      <c r="AJ677" s="52">
        <v>2</v>
      </c>
      <c r="AK677" s="52"/>
      <c r="AL677" s="52">
        <v>134000</v>
      </c>
      <c r="AM677" s="52">
        <v>0</v>
      </c>
      <c r="AN677" s="52">
        <v>0</v>
      </c>
      <c r="AO677" s="52">
        <v>115620350</v>
      </c>
      <c r="AP677" s="52">
        <v>45391</v>
      </c>
      <c r="AQ677" s="58">
        <v>0</v>
      </c>
      <c r="AR677" s="58">
        <v>0</v>
      </c>
      <c r="AS677" s="58">
        <v>0</v>
      </c>
      <c r="AT677" s="58">
        <v>0</v>
      </c>
      <c r="AU677" s="58">
        <v>0</v>
      </c>
      <c r="AV677" s="58">
        <v>0</v>
      </c>
      <c r="AW677" s="58">
        <v>0</v>
      </c>
      <c r="AX677" s="58">
        <v>0</v>
      </c>
    </row>
    <row r="678" spans="1:50" x14ac:dyDescent="0.25">
      <c r="A678" s="52">
        <f t="shared" si="37"/>
        <v>673</v>
      </c>
      <c r="B678" s="60" t="str">
        <f t="shared" si="36"/>
        <v>01037994991</v>
      </c>
      <c r="C678" s="55" t="s">
        <v>42</v>
      </c>
      <c r="D678" s="53" t="s">
        <v>2118</v>
      </c>
      <c r="E678" s="55" t="s">
        <v>1046</v>
      </c>
      <c r="F678" s="53" t="s">
        <v>2120</v>
      </c>
      <c r="G678" s="55">
        <v>10820</v>
      </c>
      <c r="H678" s="53" t="s">
        <v>1156</v>
      </c>
      <c r="I678" s="55">
        <v>305369074</v>
      </c>
      <c r="J678" s="55" t="s">
        <v>1157</v>
      </c>
      <c r="K678" s="55" t="s">
        <v>1158</v>
      </c>
      <c r="L678" s="53" t="s">
        <v>2039</v>
      </c>
      <c r="M678" s="55" t="s">
        <v>49</v>
      </c>
      <c r="N678" s="52">
        <v>1200000000</v>
      </c>
      <c r="O678" s="52">
        <v>1200000000</v>
      </c>
      <c r="P678" s="52">
        <v>1200000000</v>
      </c>
      <c r="Q678" s="57">
        <v>45467</v>
      </c>
      <c r="R678" s="57">
        <v>47278</v>
      </c>
      <c r="S678" s="56">
        <v>14</v>
      </c>
      <c r="T678" s="54">
        <v>0</v>
      </c>
      <c r="U678" s="52">
        <v>1200000000</v>
      </c>
      <c r="V678" s="52">
        <v>1200000000</v>
      </c>
      <c r="W678" s="52">
        <v>0</v>
      </c>
      <c r="X678" s="57"/>
      <c r="Y678" s="52">
        <v>0</v>
      </c>
      <c r="Z678" s="52">
        <v>0</v>
      </c>
      <c r="AA678" s="52">
        <v>2</v>
      </c>
      <c r="AB678" s="52">
        <v>300000000</v>
      </c>
      <c r="AC678" s="52">
        <v>45978662.459999993</v>
      </c>
      <c r="AD678" s="52">
        <v>2761643.84</v>
      </c>
      <c r="AE678" s="52">
        <v>0</v>
      </c>
      <c r="AF678" s="52">
        <v>43217018.619999997</v>
      </c>
      <c r="AG678" s="52">
        <v>0</v>
      </c>
      <c r="AH678" s="52">
        <v>0</v>
      </c>
      <c r="AI678" s="52">
        <v>0</v>
      </c>
      <c r="AJ678" s="52">
        <v>2</v>
      </c>
      <c r="AK678" s="52"/>
      <c r="AL678" s="52">
        <v>3571319367</v>
      </c>
      <c r="AM678" s="52">
        <v>0</v>
      </c>
      <c r="AN678" s="52">
        <v>3000000000</v>
      </c>
      <c r="AO678" s="52">
        <v>150252300</v>
      </c>
      <c r="AP678" s="52">
        <v>45869</v>
      </c>
      <c r="AQ678" s="58">
        <v>0</v>
      </c>
      <c r="AR678" s="58">
        <v>0</v>
      </c>
      <c r="AS678" s="58">
        <v>0</v>
      </c>
      <c r="AT678" s="58">
        <v>0</v>
      </c>
      <c r="AU678" s="58">
        <v>0</v>
      </c>
      <c r="AV678" s="58">
        <v>0</v>
      </c>
      <c r="AW678" s="58">
        <v>0</v>
      </c>
      <c r="AX678" s="58">
        <v>0</v>
      </c>
    </row>
    <row r="679" spans="1:50" x14ac:dyDescent="0.25">
      <c r="A679" s="52">
        <f t="shared" si="37"/>
        <v>674</v>
      </c>
      <c r="B679" s="60" t="str">
        <f t="shared" si="36"/>
        <v>01037644437</v>
      </c>
      <c r="C679" s="55" t="s">
        <v>42</v>
      </c>
      <c r="D679" s="53" t="s">
        <v>2118</v>
      </c>
      <c r="E679" s="55" t="s">
        <v>1046</v>
      </c>
      <c r="F679" s="53" t="s">
        <v>2120</v>
      </c>
      <c r="G679" s="55">
        <v>10820</v>
      </c>
      <c r="H679" s="53" t="s">
        <v>1153</v>
      </c>
      <c r="I679" s="55">
        <v>308452706</v>
      </c>
      <c r="J679" s="55" t="s">
        <v>1159</v>
      </c>
      <c r="K679" s="55" t="s">
        <v>1160</v>
      </c>
      <c r="L679" s="53" t="s">
        <v>2039</v>
      </c>
      <c r="M679" s="55" t="s">
        <v>49</v>
      </c>
      <c r="N679" s="52">
        <v>1190584236.6900001</v>
      </c>
      <c r="O679" s="52">
        <v>1190584236.6900001</v>
      </c>
      <c r="P679" s="52">
        <v>1190584236.6900001</v>
      </c>
      <c r="Q679" s="57">
        <v>44530</v>
      </c>
      <c r="R679" s="57">
        <v>48663</v>
      </c>
      <c r="S679" s="56">
        <v>0</v>
      </c>
      <c r="T679" s="54">
        <v>0</v>
      </c>
      <c r="U679" s="52">
        <v>1190584236.6900001</v>
      </c>
      <c r="V679" s="52">
        <v>1190584236.6900001</v>
      </c>
      <c r="W679" s="52">
        <v>0</v>
      </c>
      <c r="X679" s="57"/>
      <c r="Y679" s="52">
        <v>0</v>
      </c>
      <c r="Z679" s="52">
        <v>0</v>
      </c>
      <c r="AA679" s="52">
        <v>1</v>
      </c>
      <c r="AB679" s="52">
        <v>0</v>
      </c>
      <c r="AC679" s="52">
        <v>0</v>
      </c>
      <c r="AD679" s="52">
        <v>0</v>
      </c>
      <c r="AE679" s="52">
        <v>0</v>
      </c>
      <c r="AF679" s="52">
        <v>0</v>
      </c>
      <c r="AG679" s="52">
        <v>0</v>
      </c>
      <c r="AH679" s="52">
        <v>0</v>
      </c>
      <c r="AI679" s="52">
        <v>0</v>
      </c>
      <c r="AJ679" s="52">
        <v>2</v>
      </c>
      <c r="AK679" s="52"/>
      <c r="AL679" s="52">
        <v>134000</v>
      </c>
      <c r="AM679" s="52">
        <v>0</v>
      </c>
      <c r="AN679" s="52">
        <v>0</v>
      </c>
      <c r="AO679" s="52">
        <v>115620350</v>
      </c>
      <c r="AP679" s="52">
        <v>45391</v>
      </c>
      <c r="AQ679" s="58">
        <v>0</v>
      </c>
      <c r="AR679" s="58">
        <v>0</v>
      </c>
      <c r="AS679" s="58">
        <v>0</v>
      </c>
      <c r="AT679" s="58">
        <v>0</v>
      </c>
      <c r="AU679" s="58">
        <v>0</v>
      </c>
      <c r="AV679" s="58">
        <v>0</v>
      </c>
      <c r="AW679" s="58">
        <v>0</v>
      </c>
      <c r="AX679" s="58">
        <v>0</v>
      </c>
    </row>
    <row r="680" spans="1:50" x14ac:dyDescent="0.25">
      <c r="A680" s="52">
        <f t="shared" si="37"/>
        <v>675</v>
      </c>
      <c r="B680" s="60" t="str">
        <f t="shared" si="36"/>
        <v>010371105745</v>
      </c>
      <c r="C680" s="55" t="s">
        <v>42</v>
      </c>
      <c r="D680" s="53" t="s">
        <v>2118</v>
      </c>
      <c r="E680" s="55" t="s">
        <v>1046</v>
      </c>
      <c r="F680" s="53" t="s">
        <v>2120</v>
      </c>
      <c r="G680" s="55">
        <v>10820</v>
      </c>
      <c r="H680" s="53" t="s">
        <v>1161</v>
      </c>
      <c r="I680" s="55">
        <v>311412145</v>
      </c>
      <c r="J680" s="55" t="s">
        <v>1162</v>
      </c>
      <c r="K680" s="55" t="s">
        <v>1163</v>
      </c>
      <c r="L680" s="53" t="s">
        <v>2039</v>
      </c>
      <c r="M680" s="55" t="s">
        <v>49</v>
      </c>
      <c r="N680" s="52">
        <v>1135000000</v>
      </c>
      <c r="O680" s="52">
        <v>1135000000</v>
      </c>
      <c r="P680" s="52">
        <v>1135000000</v>
      </c>
      <c r="Q680" s="57">
        <v>45833</v>
      </c>
      <c r="R680" s="57">
        <v>46928</v>
      </c>
      <c r="S680" s="56">
        <v>28.5</v>
      </c>
      <c r="T680" s="54">
        <v>0</v>
      </c>
      <c r="U680" s="52">
        <v>1135000000</v>
      </c>
      <c r="V680" s="52">
        <v>1097166667</v>
      </c>
      <c r="W680" s="52">
        <v>37833333</v>
      </c>
      <c r="X680" s="57">
        <v>46028</v>
      </c>
      <c r="Y680" s="52">
        <v>0</v>
      </c>
      <c r="Z680" s="52">
        <v>0</v>
      </c>
      <c r="AA680" s="52">
        <v>3</v>
      </c>
      <c r="AB680" s="52">
        <v>283750000</v>
      </c>
      <c r="AC680" s="52">
        <v>186933007.56999999</v>
      </c>
      <c r="AD680" s="52">
        <v>23160219.190000001</v>
      </c>
      <c r="AE680" s="52">
        <v>0</v>
      </c>
      <c r="AF680" s="52">
        <v>163772788.38</v>
      </c>
      <c r="AG680" s="52">
        <v>0</v>
      </c>
      <c r="AH680" s="52">
        <v>0</v>
      </c>
      <c r="AI680" s="52">
        <v>0</v>
      </c>
      <c r="AJ680" s="52">
        <v>2</v>
      </c>
      <c r="AK680" s="52"/>
      <c r="AL680" s="52">
        <v>2702705552</v>
      </c>
      <c r="AM680" s="52">
        <v>0</v>
      </c>
      <c r="AN680" s="52">
        <v>2837500000</v>
      </c>
      <c r="AO680" s="52">
        <v>0</v>
      </c>
      <c r="AP680" s="52">
        <v>0</v>
      </c>
      <c r="AQ680" s="58">
        <v>0</v>
      </c>
      <c r="AR680" s="58">
        <v>0</v>
      </c>
      <c r="AS680" s="58">
        <v>0</v>
      </c>
      <c r="AT680" s="58">
        <v>0</v>
      </c>
      <c r="AU680" s="58">
        <v>0</v>
      </c>
      <c r="AV680" s="58">
        <v>0</v>
      </c>
      <c r="AW680" s="58">
        <v>0</v>
      </c>
      <c r="AX680" s="58">
        <v>0</v>
      </c>
    </row>
    <row r="681" spans="1:50" x14ac:dyDescent="0.25">
      <c r="A681" s="52">
        <f t="shared" si="37"/>
        <v>676</v>
      </c>
      <c r="B681" s="60" t="str">
        <f t="shared" si="36"/>
        <v>01037862881</v>
      </c>
      <c r="C681" s="55" t="s">
        <v>42</v>
      </c>
      <c r="D681" s="53" t="s">
        <v>2118</v>
      </c>
      <c r="E681" s="55" t="s">
        <v>1046</v>
      </c>
      <c r="F681" s="53" t="s">
        <v>2120</v>
      </c>
      <c r="G681" s="55">
        <v>10820</v>
      </c>
      <c r="H681" s="53" t="s">
        <v>2556</v>
      </c>
      <c r="I681" s="55">
        <v>308431225</v>
      </c>
      <c r="J681" s="55" t="s">
        <v>1164</v>
      </c>
      <c r="K681" s="55" t="s">
        <v>1165</v>
      </c>
      <c r="L681" s="53" t="s">
        <v>2079</v>
      </c>
      <c r="M681" s="55" t="s">
        <v>49</v>
      </c>
      <c r="N681" s="52">
        <v>1572000000</v>
      </c>
      <c r="O681" s="52">
        <v>1572000000</v>
      </c>
      <c r="P681" s="52">
        <v>1572000000</v>
      </c>
      <c r="Q681" s="57">
        <v>44924</v>
      </c>
      <c r="R681" s="57">
        <v>46749</v>
      </c>
      <c r="S681" s="56">
        <v>14</v>
      </c>
      <c r="T681" s="54">
        <v>0</v>
      </c>
      <c r="U681" s="52">
        <v>1113561265.8699999</v>
      </c>
      <c r="V681" s="52">
        <v>1004333329</v>
      </c>
      <c r="W681" s="52">
        <v>109227936.87</v>
      </c>
      <c r="X681" s="57">
        <v>46028</v>
      </c>
      <c r="Y681" s="52">
        <v>0</v>
      </c>
      <c r="Z681" s="52">
        <v>0</v>
      </c>
      <c r="AA681" s="52">
        <v>1</v>
      </c>
      <c r="AB681" s="52">
        <v>0</v>
      </c>
      <c r="AC681" s="52">
        <v>32984852.809999999</v>
      </c>
      <c r="AD681" s="52">
        <v>4622684.91</v>
      </c>
      <c r="AE681" s="52">
        <v>0</v>
      </c>
      <c r="AF681" s="52">
        <v>28362167.899999999</v>
      </c>
      <c r="AG681" s="52">
        <v>0</v>
      </c>
      <c r="AH681" s="52">
        <v>0</v>
      </c>
      <c r="AI681" s="52">
        <v>0</v>
      </c>
      <c r="AJ681" s="52">
        <v>2</v>
      </c>
      <c r="AK681" s="52"/>
      <c r="AL681" s="52">
        <v>14114890407</v>
      </c>
      <c r="AM681" s="52">
        <v>0</v>
      </c>
      <c r="AN681" s="52">
        <v>4159416000</v>
      </c>
      <c r="AO681" s="52">
        <v>500252300</v>
      </c>
      <c r="AP681" s="52">
        <v>45862</v>
      </c>
      <c r="AQ681" s="58">
        <v>0</v>
      </c>
      <c r="AR681" s="58">
        <v>0</v>
      </c>
      <c r="AS681" s="58">
        <v>0</v>
      </c>
      <c r="AT681" s="58">
        <v>0</v>
      </c>
      <c r="AU681" s="58">
        <v>0</v>
      </c>
      <c r="AV681" s="58">
        <v>0</v>
      </c>
      <c r="AW681" s="58">
        <v>0</v>
      </c>
      <c r="AX681" s="58">
        <v>0</v>
      </c>
    </row>
    <row r="682" spans="1:50" x14ac:dyDescent="0.25">
      <c r="A682" s="52">
        <f t="shared" si="37"/>
        <v>677</v>
      </c>
      <c r="B682" s="60" t="str">
        <f t="shared" si="36"/>
        <v>01037643979</v>
      </c>
      <c r="C682" s="55" t="s">
        <v>42</v>
      </c>
      <c r="D682" s="53" t="s">
        <v>2118</v>
      </c>
      <c r="E682" s="55" t="s">
        <v>1046</v>
      </c>
      <c r="F682" s="53" t="s">
        <v>2120</v>
      </c>
      <c r="G682" s="55">
        <v>10820</v>
      </c>
      <c r="H682" s="53" t="s">
        <v>2503</v>
      </c>
      <c r="I682" s="55">
        <v>305812963</v>
      </c>
      <c r="J682" s="55" t="s">
        <v>1166</v>
      </c>
      <c r="K682" s="55" t="s">
        <v>1167</v>
      </c>
      <c r="L682" s="53" t="s">
        <v>2039</v>
      </c>
      <c r="M682" s="55" t="s">
        <v>49</v>
      </c>
      <c r="N682" s="52">
        <v>1060963917.52</v>
      </c>
      <c r="O682" s="52">
        <v>1060963917.52</v>
      </c>
      <c r="P682" s="52">
        <v>1060963917.52</v>
      </c>
      <c r="Q682" s="57">
        <v>44466</v>
      </c>
      <c r="R682" s="57">
        <v>49357</v>
      </c>
      <c r="S682" s="56">
        <v>0</v>
      </c>
      <c r="T682" s="54">
        <v>0</v>
      </c>
      <c r="U682" s="52">
        <v>1060910684.67</v>
      </c>
      <c r="V682" s="52">
        <v>1060910684.67</v>
      </c>
      <c r="W682" s="52">
        <v>0</v>
      </c>
      <c r="X682" s="57"/>
      <c r="Y682" s="52">
        <v>0</v>
      </c>
      <c r="Z682" s="52">
        <v>0</v>
      </c>
      <c r="AA682" s="52">
        <v>1</v>
      </c>
      <c r="AB682" s="52">
        <v>0</v>
      </c>
      <c r="AC682" s="52">
        <v>0</v>
      </c>
      <c r="AD682" s="52">
        <v>0</v>
      </c>
      <c r="AE682" s="52">
        <v>0</v>
      </c>
      <c r="AF682" s="52">
        <v>0</v>
      </c>
      <c r="AG682" s="52">
        <v>0</v>
      </c>
      <c r="AH682" s="52">
        <v>0</v>
      </c>
      <c r="AI682" s="52">
        <v>0</v>
      </c>
      <c r="AJ682" s="52">
        <v>2</v>
      </c>
      <c r="AK682" s="52"/>
      <c r="AL682" s="52">
        <v>1311508</v>
      </c>
      <c r="AM682" s="52">
        <v>0</v>
      </c>
      <c r="AN682" s="52">
        <v>0</v>
      </c>
      <c r="AO682" s="52">
        <v>50550</v>
      </c>
      <c r="AP682" s="52">
        <v>44936</v>
      </c>
      <c r="AQ682" s="58">
        <v>0</v>
      </c>
      <c r="AR682" s="58">
        <v>0</v>
      </c>
      <c r="AS682" s="58">
        <v>0</v>
      </c>
      <c r="AT682" s="58">
        <v>0</v>
      </c>
      <c r="AU682" s="58">
        <v>0</v>
      </c>
      <c r="AV682" s="58">
        <v>0</v>
      </c>
      <c r="AW682" s="58">
        <v>0</v>
      </c>
      <c r="AX682" s="58">
        <v>0</v>
      </c>
    </row>
    <row r="683" spans="1:50" x14ac:dyDescent="0.25">
      <c r="A683" s="52">
        <f t="shared" si="37"/>
        <v>678</v>
      </c>
      <c r="B683" s="60" t="str">
        <f t="shared" si="36"/>
        <v>01037959705</v>
      </c>
      <c r="C683" s="55" t="s">
        <v>42</v>
      </c>
      <c r="D683" s="53" t="s">
        <v>2118</v>
      </c>
      <c r="E683" s="55" t="s">
        <v>1046</v>
      </c>
      <c r="F683" s="53" t="s">
        <v>2120</v>
      </c>
      <c r="G683" s="55">
        <v>10820</v>
      </c>
      <c r="H683" s="53" t="s">
        <v>2557</v>
      </c>
      <c r="I683" s="55">
        <v>304312669</v>
      </c>
      <c r="J683" s="55" t="s">
        <v>1168</v>
      </c>
      <c r="K683" s="55" t="s">
        <v>1169</v>
      </c>
      <c r="L683" s="53" t="s">
        <v>2039</v>
      </c>
      <c r="M683" s="55" t="s">
        <v>49</v>
      </c>
      <c r="N683" s="52">
        <v>1052000000</v>
      </c>
      <c r="O683" s="52">
        <v>1052000000</v>
      </c>
      <c r="P683" s="52">
        <v>1052000000</v>
      </c>
      <c r="Q683" s="57">
        <v>45257</v>
      </c>
      <c r="R683" s="57">
        <v>47062</v>
      </c>
      <c r="S683" s="56">
        <v>19</v>
      </c>
      <c r="T683" s="54">
        <v>0</v>
      </c>
      <c r="U683" s="52">
        <v>1052000000</v>
      </c>
      <c r="V683" s="52">
        <v>993555556</v>
      </c>
      <c r="W683" s="52">
        <v>58444444</v>
      </c>
      <c r="X683" s="57">
        <v>46013</v>
      </c>
      <c r="Y683" s="52">
        <v>0</v>
      </c>
      <c r="Z683" s="52">
        <v>0</v>
      </c>
      <c r="AA683" s="52">
        <v>2</v>
      </c>
      <c r="AB683" s="52">
        <v>263000000</v>
      </c>
      <c r="AC683" s="52">
        <v>57263394.210000001</v>
      </c>
      <c r="AD683" s="52">
        <v>6206319.6299999999</v>
      </c>
      <c r="AE683" s="52">
        <v>0</v>
      </c>
      <c r="AF683" s="52">
        <v>51057074.579999998</v>
      </c>
      <c r="AG683" s="52">
        <v>0</v>
      </c>
      <c r="AH683" s="52">
        <v>0</v>
      </c>
      <c r="AI683" s="52">
        <v>0</v>
      </c>
      <c r="AJ683" s="52">
        <v>2</v>
      </c>
      <c r="AK683" s="52"/>
      <c r="AL683" s="52">
        <v>5001314785</v>
      </c>
      <c r="AM683" s="52">
        <v>0</v>
      </c>
      <c r="AN683" s="52">
        <v>2630000000</v>
      </c>
      <c r="AO683" s="52">
        <v>325625000</v>
      </c>
      <c r="AP683" s="52">
        <v>45882</v>
      </c>
      <c r="AQ683" s="58">
        <v>0</v>
      </c>
      <c r="AR683" s="58">
        <v>0</v>
      </c>
      <c r="AS683" s="58">
        <v>0</v>
      </c>
      <c r="AT683" s="58">
        <v>0</v>
      </c>
      <c r="AU683" s="58">
        <v>1</v>
      </c>
      <c r="AV683" s="58">
        <v>1200</v>
      </c>
      <c r="AW683" s="58">
        <v>1</v>
      </c>
      <c r="AX683" s="58">
        <v>84578.900000000009</v>
      </c>
    </row>
    <row r="684" spans="1:50" x14ac:dyDescent="0.25">
      <c r="A684" s="52">
        <f t="shared" si="37"/>
        <v>679</v>
      </c>
      <c r="B684" s="60" t="str">
        <f t="shared" si="36"/>
        <v>010371051534</v>
      </c>
      <c r="C684" s="55" t="s">
        <v>42</v>
      </c>
      <c r="D684" s="53" t="s">
        <v>2118</v>
      </c>
      <c r="E684" s="55" t="s">
        <v>1046</v>
      </c>
      <c r="F684" s="53" t="s">
        <v>2120</v>
      </c>
      <c r="G684" s="55">
        <v>10820</v>
      </c>
      <c r="H684" s="53" t="s">
        <v>2558</v>
      </c>
      <c r="I684" s="55">
        <v>305781774</v>
      </c>
      <c r="J684" s="55" t="s">
        <v>1170</v>
      </c>
      <c r="K684" s="55" t="s">
        <v>1171</v>
      </c>
      <c r="L684" s="53" t="s">
        <v>2039</v>
      </c>
      <c r="M684" s="55" t="s">
        <v>49</v>
      </c>
      <c r="N684" s="52">
        <v>1200000000</v>
      </c>
      <c r="O684" s="52">
        <v>1200000000</v>
      </c>
      <c r="P684" s="52">
        <v>1200000000</v>
      </c>
      <c r="Q684" s="57">
        <v>45666</v>
      </c>
      <c r="R684" s="57">
        <v>46757</v>
      </c>
      <c r="S684" s="56">
        <v>30</v>
      </c>
      <c r="T684" s="54">
        <v>6</v>
      </c>
      <c r="U684" s="52">
        <v>960000000</v>
      </c>
      <c r="V684" s="52">
        <v>960000000</v>
      </c>
      <c r="W684" s="52">
        <v>0</v>
      </c>
      <c r="X684" s="57"/>
      <c r="Y684" s="52">
        <v>0</v>
      </c>
      <c r="Z684" s="52">
        <v>0</v>
      </c>
      <c r="AA684" s="52">
        <v>1</v>
      </c>
      <c r="AB684" s="52">
        <v>0</v>
      </c>
      <c r="AC684" s="52">
        <v>21336986.300000001</v>
      </c>
      <c r="AD684" s="52">
        <v>21336986.300000001</v>
      </c>
      <c r="AE684" s="52">
        <v>0</v>
      </c>
      <c r="AF684" s="52">
        <v>0</v>
      </c>
      <c r="AG684" s="52">
        <v>0</v>
      </c>
      <c r="AH684" s="52">
        <v>0</v>
      </c>
      <c r="AI684" s="52">
        <v>0</v>
      </c>
      <c r="AJ684" s="52">
        <v>2</v>
      </c>
      <c r="AK684" s="52"/>
      <c r="AL684" s="52">
        <v>0</v>
      </c>
      <c r="AM684" s="52">
        <v>0</v>
      </c>
      <c r="AN684" s="52">
        <v>3665919000</v>
      </c>
      <c r="AO684" s="52">
        <v>0</v>
      </c>
      <c r="AP684" s="52">
        <v>0</v>
      </c>
      <c r="AQ684" s="58">
        <v>0</v>
      </c>
      <c r="AR684" s="58">
        <v>0</v>
      </c>
      <c r="AS684" s="58">
        <v>0</v>
      </c>
      <c r="AT684" s="58">
        <v>0</v>
      </c>
      <c r="AU684" s="58">
        <v>139</v>
      </c>
      <c r="AV684" s="58">
        <v>1975392.4899999998</v>
      </c>
      <c r="AW684" s="58">
        <v>76</v>
      </c>
      <c r="AX684" s="58">
        <v>1230839.3500000001</v>
      </c>
    </row>
    <row r="685" spans="1:50" x14ac:dyDescent="0.25">
      <c r="A685" s="52">
        <f t="shared" si="37"/>
        <v>680</v>
      </c>
      <c r="B685" s="60" t="str">
        <f t="shared" si="36"/>
        <v>01037849353</v>
      </c>
      <c r="C685" s="55" t="s">
        <v>42</v>
      </c>
      <c r="D685" s="53" t="s">
        <v>2118</v>
      </c>
      <c r="E685" s="55" t="s">
        <v>1046</v>
      </c>
      <c r="F685" s="53" t="s">
        <v>2120</v>
      </c>
      <c r="G685" s="55">
        <v>10820</v>
      </c>
      <c r="H685" s="53" t="s">
        <v>2559</v>
      </c>
      <c r="I685" s="55">
        <v>200467402</v>
      </c>
      <c r="J685" s="55" t="s">
        <v>1172</v>
      </c>
      <c r="K685" s="55" t="s">
        <v>1173</v>
      </c>
      <c r="L685" s="53" t="s">
        <v>2039</v>
      </c>
      <c r="M685" s="55" t="s">
        <v>49</v>
      </c>
      <c r="N685" s="52">
        <v>1350000000</v>
      </c>
      <c r="O685" s="52">
        <v>1350000000</v>
      </c>
      <c r="P685" s="52">
        <v>1350000000</v>
      </c>
      <c r="Q685" s="57">
        <v>44874</v>
      </c>
      <c r="R685" s="57">
        <v>46697</v>
      </c>
      <c r="S685" s="56">
        <v>14</v>
      </c>
      <c r="T685" s="54">
        <v>24</v>
      </c>
      <c r="U685" s="52">
        <v>937500000</v>
      </c>
      <c r="V685" s="52">
        <v>825000000</v>
      </c>
      <c r="W685" s="52">
        <v>112500000</v>
      </c>
      <c r="X685" s="57">
        <v>46028</v>
      </c>
      <c r="Y685" s="52">
        <v>0</v>
      </c>
      <c r="Z685" s="52">
        <v>0</v>
      </c>
      <c r="AA685" s="52">
        <v>1</v>
      </c>
      <c r="AB685" s="52">
        <v>0</v>
      </c>
      <c r="AC685" s="52">
        <v>42124404.720000006</v>
      </c>
      <c r="AD685" s="52">
        <v>3797260.27</v>
      </c>
      <c r="AE685" s="52">
        <v>0</v>
      </c>
      <c r="AF685" s="52">
        <v>38327144.450000003</v>
      </c>
      <c r="AG685" s="52">
        <v>0</v>
      </c>
      <c r="AH685" s="52">
        <v>0</v>
      </c>
      <c r="AI685" s="52">
        <v>0</v>
      </c>
      <c r="AJ685" s="52">
        <v>2</v>
      </c>
      <c r="AK685" s="52"/>
      <c r="AL685" s="52">
        <v>7253128954</v>
      </c>
      <c r="AM685" s="52">
        <v>0</v>
      </c>
      <c r="AN685" s="52">
        <v>3281000000</v>
      </c>
      <c r="AO685" s="52">
        <v>339650000</v>
      </c>
      <c r="AP685" s="52">
        <v>45888</v>
      </c>
      <c r="AQ685" s="58">
        <v>0</v>
      </c>
      <c r="AR685" s="58">
        <v>0</v>
      </c>
      <c r="AS685" s="58">
        <v>0</v>
      </c>
      <c r="AT685" s="58">
        <v>0</v>
      </c>
      <c r="AU685" s="58">
        <v>0</v>
      </c>
      <c r="AV685" s="58">
        <v>0</v>
      </c>
      <c r="AW685" s="58">
        <v>0</v>
      </c>
      <c r="AX685" s="58">
        <v>0</v>
      </c>
    </row>
    <row r="686" spans="1:50" x14ac:dyDescent="0.25">
      <c r="A686" s="52">
        <f t="shared" si="37"/>
        <v>681</v>
      </c>
      <c r="B686" s="60" t="str">
        <f t="shared" si="36"/>
        <v>01037643978</v>
      </c>
      <c r="C686" s="55" t="s">
        <v>42</v>
      </c>
      <c r="D686" s="53" t="s">
        <v>2118</v>
      </c>
      <c r="E686" s="55" t="s">
        <v>1046</v>
      </c>
      <c r="F686" s="53" t="s">
        <v>2120</v>
      </c>
      <c r="G686" s="55">
        <v>10820</v>
      </c>
      <c r="H686" s="53" t="s">
        <v>2503</v>
      </c>
      <c r="I686" s="55">
        <v>305812963</v>
      </c>
      <c r="J686" s="55" t="s">
        <v>1174</v>
      </c>
      <c r="K686" s="55" t="s">
        <v>1175</v>
      </c>
      <c r="L686" s="53" t="s">
        <v>2039</v>
      </c>
      <c r="M686" s="55" t="s">
        <v>49</v>
      </c>
      <c r="N686" s="52">
        <v>933306958.12</v>
      </c>
      <c r="O686" s="52">
        <v>933306958.12</v>
      </c>
      <c r="P686" s="52">
        <v>933306958.12</v>
      </c>
      <c r="Q686" s="57">
        <v>44466</v>
      </c>
      <c r="R686" s="57">
        <v>49118</v>
      </c>
      <c r="S686" s="56">
        <v>0</v>
      </c>
      <c r="T686" s="54">
        <v>0</v>
      </c>
      <c r="U686" s="52">
        <v>929369203.59000003</v>
      </c>
      <c r="V686" s="52">
        <v>929369203.59000003</v>
      </c>
      <c r="W686" s="52">
        <v>0</v>
      </c>
      <c r="X686" s="57"/>
      <c r="Y686" s="52">
        <v>0</v>
      </c>
      <c r="Z686" s="52">
        <v>0</v>
      </c>
      <c r="AA686" s="52">
        <v>1</v>
      </c>
      <c r="AB686" s="52">
        <v>0</v>
      </c>
      <c r="AC686" s="52">
        <v>0</v>
      </c>
      <c r="AD686" s="52">
        <v>0</v>
      </c>
      <c r="AE686" s="52">
        <v>0</v>
      </c>
      <c r="AF686" s="52">
        <v>0</v>
      </c>
      <c r="AG686" s="52">
        <v>0</v>
      </c>
      <c r="AH686" s="52">
        <v>0</v>
      </c>
      <c r="AI686" s="52">
        <v>0</v>
      </c>
      <c r="AJ686" s="52">
        <v>2</v>
      </c>
      <c r="AK686" s="52"/>
      <c r="AL686" s="52">
        <v>1311508</v>
      </c>
      <c r="AM686" s="52">
        <v>0</v>
      </c>
      <c r="AN686" s="52">
        <v>0</v>
      </c>
      <c r="AO686" s="52">
        <v>50550</v>
      </c>
      <c r="AP686" s="52">
        <v>44936</v>
      </c>
      <c r="AQ686" s="58">
        <v>0</v>
      </c>
      <c r="AR686" s="58">
        <v>0</v>
      </c>
      <c r="AS686" s="58">
        <v>0</v>
      </c>
      <c r="AT686" s="58">
        <v>0</v>
      </c>
      <c r="AU686" s="58">
        <v>0</v>
      </c>
      <c r="AV686" s="58">
        <v>0</v>
      </c>
      <c r="AW686" s="58">
        <v>0</v>
      </c>
      <c r="AX686" s="58">
        <v>0</v>
      </c>
    </row>
    <row r="687" spans="1:50" x14ac:dyDescent="0.25">
      <c r="A687" s="52">
        <f t="shared" si="37"/>
        <v>682</v>
      </c>
      <c r="B687" s="60" t="str">
        <f t="shared" si="36"/>
        <v>01037644428</v>
      </c>
      <c r="C687" s="55" t="s">
        <v>42</v>
      </c>
      <c r="D687" s="53" t="s">
        <v>2118</v>
      </c>
      <c r="E687" s="55" t="s">
        <v>1046</v>
      </c>
      <c r="F687" s="53" t="s">
        <v>2120</v>
      </c>
      <c r="G687" s="55">
        <v>10820</v>
      </c>
      <c r="H687" s="53" t="s">
        <v>1153</v>
      </c>
      <c r="I687" s="55">
        <v>308452706</v>
      </c>
      <c r="J687" s="55" t="s">
        <v>1176</v>
      </c>
      <c r="K687" s="55" t="s">
        <v>1177</v>
      </c>
      <c r="L687" s="53" t="s">
        <v>2039</v>
      </c>
      <c r="M687" s="55" t="s">
        <v>49</v>
      </c>
      <c r="N687" s="52">
        <v>538214106.59000003</v>
      </c>
      <c r="O687" s="52">
        <v>538214106.59000003</v>
      </c>
      <c r="P687" s="52">
        <v>538214106.59000003</v>
      </c>
      <c r="Q687" s="57">
        <v>44530</v>
      </c>
      <c r="R687" s="57">
        <v>46624</v>
      </c>
      <c r="S687" s="56">
        <v>0</v>
      </c>
      <c r="T687" s="54">
        <v>0</v>
      </c>
      <c r="U687" s="52">
        <v>536368641.74000001</v>
      </c>
      <c r="V687" s="52">
        <v>536368641.74000001</v>
      </c>
      <c r="W687" s="52">
        <v>0</v>
      </c>
      <c r="X687" s="57"/>
      <c r="Y687" s="52">
        <v>0</v>
      </c>
      <c r="Z687" s="52">
        <v>0</v>
      </c>
      <c r="AA687" s="52">
        <v>1</v>
      </c>
      <c r="AB687" s="52">
        <v>0</v>
      </c>
      <c r="AC687" s="52">
        <v>0</v>
      </c>
      <c r="AD687" s="52">
        <v>0</v>
      </c>
      <c r="AE687" s="52">
        <v>0</v>
      </c>
      <c r="AF687" s="52">
        <v>0</v>
      </c>
      <c r="AG687" s="52">
        <v>0</v>
      </c>
      <c r="AH687" s="52">
        <v>0</v>
      </c>
      <c r="AI687" s="52">
        <v>0</v>
      </c>
      <c r="AJ687" s="52">
        <v>2</v>
      </c>
      <c r="AK687" s="52"/>
      <c r="AL687" s="52">
        <v>134000</v>
      </c>
      <c r="AM687" s="52">
        <v>0</v>
      </c>
      <c r="AN687" s="52">
        <v>0</v>
      </c>
      <c r="AO687" s="52">
        <v>115620350</v>
      </c>
      <c r="AP687" s="52">
        <v>45391</v>
      </c>
      <c r="AQ687" s="58">
        <v>0</v>
      </c>
      <c r="AR687" s="58">
        <v>0</v>
      </c>
      <c r="AS687" s="58">
        <v>0</v>
      </c>
      <c r="AT687" s="58">
        <v>0</v>
      </c>
      <c r="AU687" s="58">
        <v>0</v>
      </c>
      <c r="AV687" s="58">
        <v>0</v>
      </c>
      <c r="AW687" s="58">
        <v>0</v>
      </c>
      <c r="AX687" s="58">
        <v>0</v>
      </c>
    </row>
    <row r="688" spans="1:50" x14ac:dyDescent="0.25">
      <c r="A688" s="52">
        <f t="shared" si="37"/>
        <v>683</v>
      </c>
      <c r="B688" s="60" t="str">
        <f t="shared" si="36"/>
        <v>01037644430</v>
      </c>
      <c r="C688" s="55" t="s">
        <v>42</v>
      </c>
      <c r="D688" s="53" t="s">
        <v>2118</v>
      </c>
      <c r="E688" s="55" t="s">
        <v>1046</v>
      </c>
      <c r="F688" s="53" t="s">
        <v>2120</v>
      </c>
      <c r="G688" s="55">
        <v>10820</v>
      </c>
      <c r="H688" s="53" t="s">
        <v>1153</v>
      </c>
      <c r="I688" s="55">
        <v>308452706</v>
      </c>
      <c r="J688" s="55" t="s">
        <v>1178</v>
      </c>
      <c r="K688" s="55" t="s">
        <v>1179</v>
      </c>
      <c r="L688" s="53" t="s">
        <v>2039</v>
      </c>
      <c r="M688" s="55" t="s">
        <v>49</v>
      </c>
      <c r="N688" s="52">
        <v>472823178.07999998</v>
      </c>
      <c r="O688" s="52">
        <v>472823178.07999998</v>
      </c>
      <c r="P688" s="52">
        <v>472823178.07999998</v>
      </c>
      <c r="Q688" s="57">
        <v>44530</v>
      </c>
      <c r="R688" s="57">
        <v>48085</v>
      </c>
      <c r="S688" s="56">
        <v>0</v>
      </c>
      <c r="T688" s="54">
        <v>0</v>
      </c>
      <c r="U688" s="52">
        <v>472823178.07999998</v>
      </c>
      <c r="V688" s="52">
        <v>472823178.07999998</v>
      </c>
      <c r="W688" s="52">
        <v>0</v>
      </c>
      <c r="X688" s="57"/>
      <c r="Y688" s="52">
        <v>0</v>
      </c>
      <c r="Z688" s="52">
        <v>0</v>
      </c>
      <c r="AA688" s="52">
        <v>1</v>
      </c>
      <c r="AB688" s="52">
        <v>0</v>
      </c>
      <c r="AC688" s="52">
        <v>0</v>
      </c>
      <c r="AD688" s="52">
        <v>0</v>
      </c>
      <c r="AE688" s="52">
        <v>0</v>
      </c>
      <c r="AF688" s="52">
        <v>0</v>
      </c>
      <c r="AG688" s="52">
        <v>0</v>
      </c>
      <c r="AH688" s="52">
        <v>0</v>
      </c>
      <c r="AI688" s="52">
        <v>0</v>
      </c>
      <c r="AJ688" s="52">
        <v>2</v>
      </c>
      <c r="AK688" s="52"/>
      <c r="AL688" s="52">
        <v>134000</v>
      </c>
      <c r="AM688" s="52">
        <v>0</v>
      </c>
      <c r="AN688" s="52">
        <v>0</v>
      </c>
      <c r="AO688" s="52">
        <v>115620350</v>
      </c>
      <c r="AP688" s="52">
        <v>45391</v>
      </c>
      <c r="AQ688" s="58">
        <v>0</v>
      </c>
      <c r="AR688" s="58">
        <v>0</v>
      </c>
      <c r="AS688" s="58">
        <v>0</v>
      </c>
      <c r="AT688" s="58">
        <v>0</v>
      </c>
      <c r="AU688" s="58">
        <v>0</v>
      </c>
      <c r="AV688" s="58">
        <v>0</v>
      </c>
      <c r="AW688" s="58">
        <v>0</v>
      </c>
      <c r="AX688" s="58">
        <v>0</v>
      </c>
    </row>
    <row r="689" spans="1:50" x14ac:dyDescent="0.25">
      <c r="A689" s="52">
        <f t="shared" si="37"/>
        <v>684</v>
      </c>
      <c r="B689" s="60" t="str">
        <f t="shared" si="36"/>
        <v>01037643977</v>
      </c>
      <c r="C689" s="55" t="s">
        <v>42</v>
      </c>
      <c r="D689" s="53" t="s">
        <v>2118</v>
      </c>
      <c r="E689" s="55" t="s">
        <v>1046</v>
      </c>
      <c r="F689" s="53" t="s">
        <v>2120</v>
      </c>
      <c r="G689" s="55">
        <v>10820</v>
      </c>
      <c r="H689" s="53" t="s">
        <v>2503</v>
      </c>
      <c r="I689" s="55">
        <v>305812963</v>
      </c>
      <c r="J689" s="55" t="s">
        <v>1180</v>
      </c>
      <c r="K689" s="55" t="s">
        <v>1181</v>
      </c>
      <c r="L689" s="53" t="s">
        <v>2039</v>
      </c>
      <c r="M689" s="55" t="s">
        <v>49</v>
      </c>
      <c r="N689" s="52">
        <v>450459684.11000001</v>
      </c>
      <c r="O689" s="52">
        <v>450459684.11000001</v>
      </c>
      <c r="P689" s="52">
        <v>450459684.11000001</v>
      </c>
      <c r="Q689" s="57">
        <v>44466</v>
      </c>
      <c r="R689" s="57">
        <v>48763</v>
      </c>
      <c r="S689" s="56">
        <v>0</v>
      </c>
      <c r="T689" s="54">
        <v>0</v>
      </c>
      <c r="U689" s="52">
        <v>450430010.48000002</v>
      </c>
      <c r="V689" s="52">
        <v>450430010.48000002</v>
      </c>
      <c r="W689" s="52">
        <v>0</v>
      </c>
      <c r="X689" s="57"/>
      <c r="Y689" s="52">
        <v>0</v>
      </c>
      <c r="Z689" s="52">
        <v>0</v>
      </c>
      <c r="AA689" s="52">
        <v>1</v>
      </c>
      <c r="AB689" s="52">
        <v>0</v>
      </c>
      <c r="AC689" s="52">
        <v>0</v>
      </c>
      <c r="AD689" s="52">
        <v>0</v>
      </c>
      <c r="AE689" s="52">
        <v>0</v>
      </c>
      <c r="AF689" s="52">
        <v>0</v>
      </c>
      <c r="AG689" s="52">
        <v>0</v>
      </c>
      <c r="AH689" s="52">
        <v>0</v>
      </c>
      <c r="AI689" s="52">
        <v>0</v>
      </c>
      <c r="AJ689" s="52">
        <v>2</v>
      </c>
      <c r="AK689" s="52"/>
      <c r="AL689" s="52">
        <v>1311508</v>
      </c>
      <c r="AM689" s="52">
        <v>0</v>
      </c>
      <c r="AN689" s="52">
        <v>0</v>
      </c>
      <c r="AO689" s="52">
        <v>50550</v>
      </c>
      <c r="AP689" s="52">
        <v>44936</v>
      </c>
      <c r="AQ689" s="58">
        <v>0</v>
      </c>
      <c r="AR689" s="58">
        <v>0</v>
      </c>
      <c r="AS689" s="58">
        <v>0</v>
      </c>
      <c r="AT689" s="58">
        <v>0</v>
      </c>
      <c r="AU689" s="58">
        <v>0</v>
      </c>
      <c r="AV689" s="58">
        <v>0</v>
      </c>
      <c r="AW689" s="58">
        <v>0</v>
      </c>
      <c r="AX689" s="58">
        <v>0</v>
      </c>
    </row>
    <row r="690" spans="1:50" x14ac:dyDescent="0.25">
      <c r="A690" s="52">
        <f t="shared" si="37"/>
        <v>685</v>
      </c>
      <c r="B690" s="60" t="str">
        <f t="shared" si="36"/>
        <v>01037643974</v>
      </c>
      <c r="C690" s="55" t="s">
        <v>42</v>
      </c>
      <c r="D690" s="53" t="s">
        <v>2118</v>
      </c>
      <c r="E690" s="55" t="s">
        <v>1046</v>
      </c>
      <c r="F690" s="53" t="s">
        <v>2120</v>
      </c>
      <c r="G690" s="55">
        <v>10820</v>
      </c>
      <c r="H690" s="53" t="s">
        <v>2503</v>
      </c>
      <c r="I690" s="55">
        <v>305812963</v>
      </c>
      <c r="J690" s="55" t="s">
        <v>1182</v>
      </c>
      <c r="K690" s="55" t="s">
        <v>1183</v>
      </c>
      <c r="L690" s="53" t="s">
        <v>2039</v>
      </c>
      <c r="M690" s="55" t="s">
        <v>49</v>
      </c>
      <c r="N690" s="52">
        <v>392628418.13</v>
      </c>
      <c r="O690" s="52">
        <v>392628418.13</v>
      </c>
      <c r="P690" s="52">
        <v>392628418.13</v>
      </c>
      <c r="Q690" s="57">
        <v>44466</v>
      </c>
      <c r="R690" s="57">
        <v>46684</v>
      </c>
      <c r="S690" s="56">
        <v>0</v>
      </c>
      <c r="T690" s="54">
        <v>0</v>
      </c>
      <c r="U690" s="52">
        <v>392089342.41000003</v>
      </c>
      <c r="V690" s="52">
        <v>392089342.41000003</v>
      </c>
      <c r="W690" s="52">
        <v>0</v>
      </c>
      <c r="X690" s="57"/>
      <c r="Y690" s="52">
        <v>0</v>
      </c>
      <c r="Z690" s="52">
        <v>0</v>
      </c>
      <c r="AA690" s="52">
        <v>1</v>
      </c>
      <c r="AB690" s="52">
        <v>0</v>
      </c>
      <c r="AC690" s="52">
        <v>0</v>
      </c>
      <c r="AD690" s="52">
        <v>0</v>
      </c>
      <c r="AE690" s="52">
        <v>0</v>
      </c>
      <c r="AF690" s="52">
        <v>0</v>
      </c>
      <c r="AG690" s="52">
        <v>0</v>
      </c>
      <c r="AH690" s="52">
        <v>0</v>
      </c>
      <c r="AI690" s="52">
        <v>0</v>
      </c>
      <c r="AJ690" s="52">
        <v>2</v>
      </c>
      <c r="AK690" s="52"/>
      <c r="AL690" s="52">
        <v>1311508</v>
      </c>
      <c r="AM690" s="52">
        <v>0</v>
      </c>
      <c r="AN690" s="52">
        <v>0</v>
      </c>
      <c r="AO690" s="52">
        <v>50550</v>
      </c>
      <c r="AP690" s="52">
        <v>44936</v>
      </c>
      <c r="AQ690" s="58">
        <v>0</v>
      </c>
      <c r="AR690" s="58">
        <v>0</v>
      </c>
      <c r="AS690" s="58">
        <v>0</v>
      </c>
      <c r="AT690" s="58">
        <v>0</v>
      </c>
      <c r="AU690" s="58">
        <v>0</v>
      </c>
      <c r="AV690" s="58">
        <v>0</v>
      </c>
      <c r="AW690" s="58">
        <v>0</v>
      </c>
      <c r="AX690" s="58">
        <v>0</v>
      </c>
    </row>
    <row r="691" spans="1:50" x14ac:dyDescent="0.25">
      <c r="A691" s="52">
        <f t="shared" si="37"/>
        <v>686</v>
      </c>
      <c r="B691" s="60" t="str">
        <f t="shared" si="36"/>
        <v>01037848013</v>
      </c>
      <c r="C691" s="55" t="s">
        <v>42</v>
      </c>
      <c r="D691" s="53" t="s">
        <v>2118</v>
      </c>
      <c r="E691" s="55" t="s">
        <v>1046</v>
      </c>
      <c r="F691" s="53" t="s">
        <v>2119</v>
      </c>
      <c r="G691" s="55">
        <v>12129</v>
      </c>
      <c r="H691" s="53" t="s">
        <v>1184</v>
      </c>
      <c r="I691" s="55">
        <v>300858656</v>
      </c>
      <c r="J691" s="55" t="s">
        <v>1185</v>
      </c>
      <c r="K691" s="55" t="s">
        <v>1186</v>
      </c>
      <c r="L691" s="53" t="s">
        <v>2043</v>
      </c>
      <c r="M691" s="55" t="s">
        <v>49</v>
      </c>
      <c r="N691" s="52">
        <v>2500000000</v>
      </c>
      <c r="O691" s="52">
        <v>2500000000</v>
      </c>
      <c r="P691" s="52">
        <v>2500000000</v>
      </c>
      <c r="Q691" s="57">
        <v>44866</v>
      </c>
      <c r="R691" s="57">
        <v>47419</v>
      </c>
      <c r="S691" s="56">
        <v>21</v>
      </c>
      <c r="T691" s="54">
        <v>0</v>
      </c>
      <c r="U691" s="52">
        <v>2500000000</v>
      </c>
      <c r="V691" s="52">
        <v>2447916667</v>
      </c>
      <c r="W691" s="52">
        <v>52083333</v>
      </c>
      <c r="X691" s="57">
        <v>46028</v>
      </c>
      <c r="Y691" s="52">
        <v>0</v>
      </c>
      <c r="Z691" s="52">
        <v>0</v>
      </c>
      <c r="AA691" s="52">
        <v>1</v>
      </c>
      <c r="AB691" s="52">
        <v>250000000</v>
      </c>
      <c r="AC691" s="52">
        <v>222927168.00999999</v>
      </c>
      <c r="AD691" s="52">
        <v>104250856.18000001</v>
      </c>
      <c r="AE691" s="52">
        <v>0</v>
      </c>
      <c r="AF691" s="52">
        <v>118676311.83</v>
      </c>
      <c r="AG691" s="52">
        <v>0</v>
      </c>
      <c r="AH691" s="52">
        <v>0</v>
      </c>
      <c r="AI691" s="52">
        <v>0</v>
      </c>
      <c r="AJ691" s="52">
        <v>2</v>
      </c>
      <c r="AK691" s="52"/>
      <c r="AL691" s="52">
        <v>0</v>
      </c>
      <c r="AM691" s="52">
        <v>0</v>
      </c>
      <c r="AN691" s="52">
        <v>6250000000</v>
      </c>
      <c r="AO691" s="52">
        <v>132653361912</v>
      </c>
      <c r="AP691" s="52">
        <v>45887</v>
      </c>
      <c r="AQ691" s="58">
        <v>1</v>
      </c>
      <c r="AR691" s="58">
        <v>379</v>
      </c>
      <c r="AS691" s="58">
        <v>0</v>
      </c>
      <c r="AT691" s="58">
        <v>0</v>
      </c>
      <c r="AU691" s="58">
        <v>0</v>
      </c>
      <c r="AV691" s="58">
        <v>0</v>
      </c>
      <c r="AW691" s="58">
        <v>0</v>
      </c>
      <c r="AX691" s="58">
        <v>0</v>
      </c>
    </row>
    <row r="692" spans="1:50" x14ac:dyDescent="0.25">
      <c r="A692" s="52">
        <f t="shared" si="37"/>
        <v>687</v>
      </c>
      <c r="B692" s="60" t="str">
        <f t="shared" si="36"/>
        <v>00446468179</v>
      </c>
      <c r="C692" s="55" t="s">
        <v>31</v>
      </c>
      <c r="D692" s="53" t="s">
        <v>2123</v>
      </c>
      <c r="E692" s="55" t="s">
        <v>1187</v>
      </c>
      <c r="F692" s="53" t="s">
        <v>2124</v>
      </c>
      <c r="G692" s="55">
        <v>11291</v>
      </c>
      <c r="H692" s="53" t="s">
        <v>2560</v>
      </c>
      <c r="I692" s="55" t="s">
        <v>1188</v>
      </c>
      <c r="J692" s="55" t="s">
        <v>1189</v>
      </c>
      <c r="K692" s="55" t="s">
        <v>1190</v>
      </c>
      <c r="L692" s="53" t="s">
        <v>2100</v>
      </c>
      <c r="M692" s="55" t="s">
        <v>49</v>
      </c>
      <c r="N692" s="52">
        <v>43500000000</v>
      </c>
      <c r="O692" s="52">
        <v>43500000000</v>
      </c>
      <c r="P692" s="52">
        <v>43188376666.150002</v>
      </c>
      <c r="Q692" s="57">
        <v>45471</v>
      </c>
      <c r="R692" s="57">
        <v>47639</v>
      </c>
      <c r="S692" s="56">
        <v>17</v>
      </c>
      <c r="T692" s="54">
        <v>36</v>
      </c>
      <c r="U692" s="52">
        <v>43188376666.150002</v>
      </c>
      <c r="V692" s="52">
        <v>43188376666.150002</v>
      </c>
      <c r="W692" s="52">
        <v>0</v>
      </c>
      <c r="X692" s="57"/>
      <c r="Y692" s="52">
        <v>0</v>
      </c>
      <c r="Z692" s="52">
        <v>0</v>
      </c>
      <c r="AA692" s="52">
        <v>1</v>
      </c>
      <c r="AB692" s="52">
        <v>0</v>
      </c>
      <c r="AC692" s="52">
        <v>528485454.89999998</v>
      </c>
      <c r="AD692" s="52">
        <v>528485454.89999998</v>
      </c>
      <c r="AE692" s="52">
        <v>0</v>
      </c>
      <c r="AF692" s="52">
        <v>0</v>
      </c>
      <c r="AG692" s="52">
        <v>0</v>
      </c>
      <c r="AH692" s="52">
        <v>0</v>
      </c>
      <c r="AI692" s="52">
        <v>0</v>
      </c>
      <c r="AJ692" s="52">
        <v>2</v>
      </c>
      <c r="AK692" s="52"/>
      <c r="AL692" s="52">
        <v>0</v>
      </c>
      <c r="AM692" s="52">
        <v>0</v>
      </c>
      <c r="AN692" s="52">
        <v>119000000000</v>
      </c>
      <c r="AO692" s="52">
        <v>4733325215659</v>
      </c>
      <c r="AP692" s="52">
        <v>4725108215659</v>
      </c>
      <c r="AQ692" s="58">
        <v>0</v>
      </c>
      <c r="AR692" s="58">
        <v>0</v>
      </c>
      <c r="AS692" s="58">
        <v>0</v>
      </c>
      <c r="AT692" s="58">
        <v>0</v>
      </c>
      <c r="AU692" s="58">
        <v>0</v>
      </c>
      <c r="AV692" s="58">
        <v>0</v>
      </c>
      <c r="AW692" s="58">
        <v>0</v>
      </c>
      <c r="AX692" s="58">
        <v>0</v>
      </c>
    </row>
    <row r="693" spans="1:50" x14ac:dyDescent="0.25">
      <c r="A693" s="52">
        <f t="shared" si="37"/>
        <v>688</v>
      </c>
      <c r="B693" s="60" t="str">
        <f t="shared" si="36"/>
        <v>00446486338</v>
      </c>
      <c r="C693" s="55" t="s">
        <v>31</v>
      </c>
      <c r="D693" s="53" t="s">
        <v>2123</v>
      </c>
      <c r="E693" s="55" t="s">
        <v>1187</v>
      </c>
      <c r="F693" s="53" t="s">
        <v>2124</v>
      </c>
      <c r="G693" s="55">
        <v>11291</v>
      </c>
      <c r="H693" s="53" t="s">
        <v>2561</v>
      </c>
      <c r="I693" s="55" t="s">
        <v>1191</v>
      </c>
      <c r="J693" s="55">
        <v>486338</v>
      </c>
      <c r="K693" s="55" t="s">
        <v>1192</v>
      </c>
      <c r="L693" s="53" t="s">
        <v>2043</v>
      </c>
      <c r="M693" s="55" t="s">
        <v>49</v>
      </c>
      <c r="N693" s="52">
        <v>20000000000</v>
      </c>
      <c r="O693" s="52">
        <v>20000000000</v>
      </c>
      <c r="P693" s="52">
        <v>20000000000</v>
      </c>
      <c r="Q693" s="57">
        <v>45804</v>
      </c>
      <c r="R693" s="57">
        <v>46534</v>
      </c>
      <c r="S693" s="56">
        <v>14</v>
      </c>
      <c r="T693" s="54">
        <v>12</v>
      </c>
      <c r="U693" s="52">
        <v>20000000000</v>
      </c>
      <c r="V693" s="52">
        <v>20000000000</v>
      </c>
      <c r="W693" s="52">
        <v>0</v>
      </c>
      <c r="X693" s="57"/>
      <c r="Y693" s="52">
        <v>0</v>
      </c>
      <c r="Z693" s="52">
        <v>0</v>
      </c>
      <c r="AA693" s="52">
        <v>1</v>
      </c>
      <c r="AB693" s="52">
        <v>0</v>
      </c>
      <c r="AC693" s="52">
        <v>199452054.78999999</v>
      </c>
      <c r="AD693" s="52">
        <v>199452054.78999999</v>
      </c>
      <c r="AE693" s="52">
        <v>0</v>
      </c>
      <c r="AF693" s="52">
        <v>0</v>
      </c>
      <c r="AG693" s="52">
        <v>0</v>
      </c>
      <c r="AH693" s="52">
        <v>0</v>
      </c>
      <c r="AI693" s="52">
        <v>0</v>
      </c>
      <c r="AJ693" s="52">
        <v>2</v>
      </c>
      <c r="AK693" s="52"/>
      <c r="AL693" s="52">
        <v>0</v>
      </c>
      <c r="AM693" s="52">
        <v>0</v>
      </c>
      <c r="AN693" s="52">
        <v>2600000000000</v>
      </c>
      <c r="AO693" s="52">
        <v>3395500000</v>
      </c>
      <c r="AP693" s="52">
        <v>3395500000</v>
      </c>
      <c r="AQ693" s="58">
        <v>0</v>
      </c>
      <c r="AR693" s="58">
        <v>0</v>
      </c>
      <c r="AS693" s="58">
        <v>0</v>
      </c>
      <c r="AT693" s="58">
        <v>0</v>
      </c>
      <c r="AU693" s="58">
        <v>0</v>
      </c>
      <c r="AV693" s="58">
        <v>0</v>
      </c>
      <c r="AW693" s="58">
        <v>0</v>
      </c>
      <c r="AX693" s="58">
        <v>0</v>
      </c>
    </row>
    <row r="694" spans="1:50" x14ac:dyDescent="0.25">
      <c r="A694" s="52">
        <f t="shared" si="37"/>
        <v>689</v>
      </c>
      <c r="B694" s="60" t="str">
        <f t="shared" si="36"/>
        <v>00446152427</v>
      </c>
      <c r="C694" s="55" t="s">
        <v>31</v>
      </c>
      <c r="D694" s="53" t="s">
        <v>2123</v>
      </c>
      <c r="E694" s="55" t="s">
        <v>1187</v>
      </c>
      <c r="F694" s="53" t="s">
        <v>2124</v>
      </c>
      <c r="G694" s="55">
        <v>11291</v>
      </c>
      <c r="H694" s="53" t="s">
        <v>1193</v>
      </c>
      <c r="I694" s="55" t="s">
        <v>1194</v>
      </c>
      <c r="J694" s="55">
        <v>152427</v>
      </c>
      <c r="K694" s="55" t="s">
        <v>1195</v>
      </c>
      <c r="L694" s="53" t="s">
        <v>2107</v>
      </c>
      <c r="M694" s="55" t="s">
        <v>75</v>
      </c>
      <c r="N694" s="52">
        <v>5000000</v>
      </c>
      <c r="O694" s="52">
        <v>60338800000</v>
      </c>
      <c r="P694" s="52"/>
      <c r="Q694" s="57">
        <v>42962</v>
      </c>
      <c r="R694" s="57">
        <v>46756</v>
      </c>
      <c r="S694" s="56">
        <v>6</v>
      </c>
      <c r="T694" s="54">
        <v>36</v>
      </c>
      <c r="U694" s="52">
        <v>16265467113.969999</v>
      </c>
      <c r="V694" s="52">
        <v>16265467113.969999</v>
      </c>
      <c r="W694" s="52">
        <v>0</v>
      </c>
      <c r="X694" s="57"/>
      <c r="Y694" s="52">
        <v>0</v>
      </c>
      <c r="Z694" s="52">
        <v>0</v>
      </c>
      <c r="AA694" s="52">
        <v>1</v>
      </c>
      <c r="AB694" s="52">
        <v>0</v>
      </c>
      <c r="AC694" s="52">
        <v>207384700</v>
      </c>
      <c r="AD694" s="52">
        <v>207384700</v>
      </c>
      <c r="AE694" s="52">
        <v>0</v>
      </c>
      <c r="AF694" s="52">
        <v>0</v>
      </c>
      <c r="AG694" s="52">
        <v>0</v>
      </c>
      <c r="AH694" s="52">
        <v>0</v>
      </c>
      <c r="AI694" s="52">
        <v>0</v>
      </c>
      <c r="AJ694" s="52">
        <v>2</v>
      </c>
      <c r="AK694" s="52"/>
      <c r="AL694" s="52">
        <v>0</v>
      </c>
      <c r="AM694" s="52">
        <v>0</v>
      </c>
      <c r="AN694" s="52">
        <v>7764312500000</v>
      </c>
      <c r="AO694" s="52">
        <v>24749281801919</v>
      </c>
      <c r="AP694" s="52">
        <v>98885081000</v>
      </c>
      <c r="AQ694" s="58">
        <v>0</v>
      </c>
      <c r="AR694" s="58">
        <v>0</v>
      </c>
      <c r="AS694" s="58">
        <v>0</v>
      </c>
      <c r="AT694" s="58">
        <v>0</v>
      </c>
      <c r="AU694" s="58">
        <v>0</v>
      </c>
      <c r="AV694" s="58">
        <v>0</v>
      </c>
      <c r="AW694" s="58">
        <v>0</v>
      </c>
      <c r="AX694" s="58">
        <v>0</v>
      </c>
    </row>
    <row r="695" spans="1:50" x14ac:dyDescent="0.25">
      <c r="A695" s="52">
        <f t="shared" si="37"/>
        <v>690</v>
      </c>
      <c r="B695" s="60" t="str">
        <f t="shared" si="36"/>
        <v>00446496858</v>
      </c>
      <c r="C695" s="55" t="s">
        <v>31</v>
      </c>
      <c r="D695" s="53" t="s">
        <v>2123</v>
      </c>
      <c r="E695" s="55" t="s">
        <v>1187</v>
      </c>
      <c r="F695" s="53" t="s">
        <v>2124</v>
      </c>
      <c r="G695" s="55">
        <v>11291</v>
      </c>
      <c r="H695" s="53" t="s">
        <v>2562</v>
      </c>
      <c r="I695" s="55" t="s">
        <v>1196</v>
      </c>
      <c r="J695" s="55">
        <v>496858</v>
      </c>
      <c r="K695" s="55" t="s">
        <v>1197</v>
      </c>
      <c r="L695" s="53" t="s">
        <v>2100</v>
      </c>
      <c r="M695" s="55" t="s">
        <v>49</v>
      </c>
      <c r="N695" s="52">
        <v>15000000000</v>
      </c>
      <c r="O695" s="52">
        <v>15000000000</v>
      </c>
      <c r="P695" s="52">
        <v>15000000000</v>
      </c>
      <c r="Q695" s="57">
        <v>45895</v>
      </c>
      <c r="R695" s="57">
        <v>46260</v>
      </c>
      <c r="S695" s="56">
        <v>26</v>
      </c>
      <c r="T695" s="54">
        <v>3</v>
      </c>
      <c r="U695" s="52">
        <v>15000000000</v>
      </c>
      <c r="V695" s="52">
        <v>15000000000</v>
      </c>
      <c r="W695" s="52">
        <v>0</v>
      </c>
      <c r="X695" s="57"/>
      <c r="Y695" s="52">
        <v>0</v>
      </c>
      <c r="Z695" s="52">
        <v>0</v>
      </c>
      <c r="AA695" s="52">
        <v>1</v>
      </c>
      <c r="AB695" s="52">
        <v>0</v>
      </c>
      <c r="AC695" s="52">
        <v>277808219.18000001</v>
      </c>
      <c r="AD695" s="52">
        <v>277808219.18000001</v>
      </c>
      <c r="AE695" s="52">
        <v>0</v>
      </c>
      <c r="AF695" s="52">
        <v>0</v>
      </c>
      <c r="AG695" s="52">
        <v>0</v>
      </c>
      <c r="AH695" s="52">
        <v>0</v>
      </c>
      <c r="AI695" s="52">
        <v>0</v>
      </c>
      <c r="AJ695" s="52">
        <v>2</v>
      </c>
      <c r="AK695" s="52"/>
      <c r="AL695" s="52">
        <v>0</v>
      </c>
      <c r="AM695" s="52">
        <v>0</v>
      </c>
      <c r="AN695" s="52">
        <v>52490000000</v>
      </c>
      <c r="AO695" s="52">
        <v>423260966</v>
      </c>
      <c r="AP695" s="52">
        <v>423260966</v>
      </c>
      <c r="AQ695" s="58">
        <v>0</v>
      </c>
      <c r="AR695" s="58">
        <v>0</v>
      </c>
      <c r="AS695" s="58">
        <v>0</v>
      </c>
      <c r="AT695" s="58">
        <v>0</v>
      </c>
      <c r="AU695" s="58">
        <v>0</v>
      </c>
      <c r="AV695" s="58">
        <v>0</v>
      </c>
      <c r="AW695" s="58">
        <v>0</v>
      </c>
      <c r="AX695" s="58">
        <v>0</v>
      </c>
    </row>
    <row r="696" spans="1:50" x14ac:dyDescent="0.25">
      <c r="A696" s="52">
        <f t="shared" si="37"/>
        <v>691</v>
      </c>
      <c r="B696" s="60" t="str">
        <f t="shared" si="36"/>
        <v>00446192858</v>
      </c>
      <c r="C696" s="55" t="s">
        <v>31</v>
      </c>
      <c r="D696" s="53" t="s">
        <v>2123</v>
      </c>
      <c r="E696" s="55" t="s">
        <v>1187</v>
      </c>
      <c r="F696" s="53" t="s">
        <v>2124</v>
      </c>
      <c r="G696" s="55">
        <v>11291</v>
      </c>
      <c r="H696" s="53" t="s">
        <v>1198</v>
      </c>
      <c r="I696" s="55" t="s">
        <v>1199</v>
      </c>
      <c r="J696" s="55">
        <v>192858</v>
      </c>
      <c r="K696" s="55" t="s">
        <v>1200</v>
      </c>
      <c r="L696" s="53" t="s">
        <v>2107</v>
      </c>
      <c r="M696" s="55" t="s">
        <v>75</v>
      </c>
      <c r="N696" s="52">
        <v>932000</v>
      </c>
      <c r="O696" s="52">
        <v>11247152320</v>
      </c>
      <c r="P696" s="52">
        <v>11247152320</v>
      </c>
      <c r="Q696" s="57">
        <v>43691</v>
      </c>
      <c r="R696" s="57">
        <v>48802</v>
      </c>
      <c r="S696" s="56">
        <v>6</v>
      </c>
      <c r="T696" s="54">
        <v>24</v>
      </c>
      <c r="U696" s="52">
        <v>11252399091.74</v>
      </c>
      <c r="V696" s="52">
        <v>11252399091.74</v>
      </c>
      <c r="W696" s="52">
        <v>0</v>
      </c>
      <c r="X696" s="57"/>
      <c r="Y696" s="52">
        <v>0</v>
      </c>
      <c r="Z696" s="52">
        <v>0</v>
      </c>
      <c r="AA696" s="52">
        <v>1</v>
      </c>
      <c r="AB696" s="52">
        <v>0</v>
      </c>
      <c r="AC696" s="52">
        <v>924977970.88999999</v>
      </c>
      <c r="AD696" s="52">
        <v>924977970.88999999</v>
      </c>
      <c r="AE696" s="52">
        <v>0</v>
      </c>
      <c r="AF696" s="52">
        <v>0</v>
      </c>
      <c r="AG696" s="52">
        <v>0</v>
      </c>
      <c r="AH696" s="52">
        <v>0</v>
      </c>
      <c r="AI696" s="52">
        <v>0</v>
      </c>
      <c r="AJ696" s="52">
        <v>2</v>
      </c>
      <c r="AK696" s="52"/>
      <c r="AL696" s="52">
        <v>0</v>
      </c>
      <c r="AM696" s="52">
        <v>0</v>
      </c>
      <c r="AN696" s="52">
        <v>230767842525</v>
      </c>
      <c r="AO696" s="52">
        <v>819471105144</v>
      </c>
      <c r="AP696" s="52">
        <v>607516005144</v>
      </c>
      <c r="AQ696" s="58">
        <v>0</v>
      </c>
      <c r="AR696" s="58">
        <v>0</v>
      </c>
      <c r="AS696" s="58">
        <v>0</v>
      </c>
      <c r="AT696" s="58">
        <v>0</v>
      </c>
      <c r="AU696" s="58">
        <v>0</v>
      </c>
      <c r="AV696" s="58">
        <v>0</v>
      </c>
      <c r="AW696" s="58">
        <v>0</v>
      </c>
      <c r="AX696" s="58">
        <v>0</v>
      </c>
    </row>
    <row r="697" spans="1:50" x14ac:dyDescent="0.25">
      <c r="A697" s="52">
        <f t="shared" si="37"/>
        <v>692</v>
      </c>
      <c r="B697" s="60" t="str">
        <f t="shared" si="36"/>
        <v>00446266826</v>
      </c>
      <c r="C697" s="55" t="s">
        <v>31</v>
      </c>
      <c r="D697" s="53" t="s">
        <v>2123</v>
      </c>
      <c r="E697" s="55" t="s">
        <v>1187</v>
      </c>
      <c r="F697" s="53" t="s">
        <v>2124</v>
      </c>
      <c r="G697" s="55">
        <v>11291</v>
      </c>
      <c r="H697" s="53" t="s">
        <v>2563</v>
      </c>
      <c r="I697" s="55" t="s">
        <v>1201</v>
      </c>
      <c r="J697" s="55">
        <v>266826</v>
      </c>
      <c r="K697" s="55" t="s">
        <v>1202</v>
      </c>
      <c r="L697" s="53" t="s">
        <v>2107</v>
      </c>
      <c r="M697" s="55" t="s">
        <v>75</v>
      </c>
      <c r="N697" s="52">
        <v>770000</v>
      </c>
      <c r="O697" s="52">
        <v>9292175200</v>
      </c>
      <c r="P697" s="52">
        <v>9292175200</v>
      </c>
      <c r="Q697" s="57">
        <v>44092</v>
      </c>
      <c r="R697" s="57">
        <v>49195</v>
      </c>
      <c r="S697" s="56">
        <v>7</v>
      </c>
      <c r="T697" s="54">
        <v>24</v>
      </c>
      <c r="U697" s="52">
        <v>9392042685.2800007</v>
      </c>
      <c r="V697" s="52">
        <v>9149325000</v>
      </c>
      <c r="W697" s="52">
        <v>242717685.28</v>
      </c>
      <c r="X697" s="57">
        <v>45967</v>
      </c>
      <c r="Y697" s="52">
        <v>0</v>
      </c>
      <c r="Z697" s="52">
        <v>0</v>
      </c>
      <c r="AA697" s="52">
        <v>1</v>
      </c>
      <c r="AB697" s="52">
        <v>0</v>
      </c>
      <c r="AC697" s="52">
        <v>694727155.85000002</v>
      </c>
      <c r="AD697" s="52">
        <v>152772257.08000001</v>
      </c>
      <c r="AE697" s="52">
        <v>332124035.24000001</v>
      </c>
      <c r="AF697" s="52">
        <v>33464693.109999999</v>
      </c>
      <c r="AG697" s="52">
        <v>176366170.41999999</v>
      </c>
      <c r="AH697" s="52">
        <v>0</v>
      </c>
      <c r="AI697" s="52">
        <v>0</v>
      </c>
      <c r="AJ697" s="52">
        <v>2</v>
      </c>
      <c r="AK697" s="52"/>
      <c r="AL697" s="52">
        <v>0</v>
      </c>
      <c r="AM697" s="52">
        <v>0</v>
      </c>
      <c r="AN697" s="52">
        <v>11957041250</v>
      </c>
      <c r="AO697" s="52">
        <v>231764082998</v>
      </c>
      <c r="AP697" s="52">
        <v>14256408532</v>
      </c>
      <c r="AQ697" s="58">
        <v>0</v>
      </c>
      <c r="AR697" s="58">
        <v>0</v>
      </c>
      <c r="AS697" s="58">
        <v>0</v>
      </c>
      <c r="AT697" s="58">
        <v>0</v>
      </c>
      <c r="AU697" s="58">
        <v>0</v>
      </c>
      <c r="AV697" s="58">
        <v>0</v>
      </c>
      <c r="AW697" s="58">
        <v>0</v>
      </c>
      <c r="AX697" s="58">
        <v>0</v>
      </c>
    </row>
    <row r="698" spans="1:50" x14ac:dyDescent="0.25">
      <c r="A698" s="52">
        <f t="shared" si="37"/>
        <v>693</v>
      </c>
      <c r="B698" s="60" t="str">
        <f t="shared" si="36"/>
        <v>00446189939</v>
      </c>
      <c r="C698" s="55" t="s">
        <v>31</v>
      </c>
      <c r="D698" s="53" t="s">
        <v>2123</v>
      </c>
      <c r="E698" s="55" t="s">
        <v>1187</v>
      </c>
      <c r="F698" s="53" t="s">
        <v>2124</v>
      </c>
      <c r="G698" s="55">
        <v>11291</v>
      </c>
      <c r="H698" s="53" t="s">
        <v>2564</v>
      </c>
      <c r="I698" s="55" t="s">
        <v>1203</v>
      </c>
      <c r="J698" s="55" t="s">
        <v>1204</v>
      </c>
      <c r="K698" s="55" t="s">
        <v>1205</v>
      </c>
      <c r="L698" s="53" t="s">
        <v>2107</v>
      </c>
      <c r="M698" s="55" t="s">
        <v>75</v>
      </c>
      <c r="N698" s="52">
        <v>840000</v>
      </c>
      <c r="O698" s="52">
        <v>10136918400</v>
      </c>
      <c r="P698" s="52">
        <v>756000</v>
      </c>
      <c r="Q698" s="57">
        <v>43658</v>
      </c>
      <c r="R698" s="57">
        <v>48754</v>
      </c>
      <c r="S698" s="56">
        <v>6</v>
      </c>
      <c r="T698" s="54">
        <v>24</v>
      </c>
      <c r="U698" s="52">
        <v>8294737543.9899998</v>
      </c>
      <c r="V698" s="52">
        <v>8294737543.9899998</v>
      </c>
      <c r="W698" s="52">
        <v>0</v>
      </c>
      <c r="X698" s="57"/>
      <c r="Y698" s="52">
        <v>0</v>
      </c>
      <c r="Z698" s="52">
        <v>0</v>
      </c>
      <c r="AA698" s="52">
        <v>1</v>
      </c>
      <c r="AB698" s="52">
        <v>0</v>
      </c>
      <c r="AC698" s="52">
        <v>293461793.58000004</v>
      </c>
      <c r="AD698" s="52">
        <v>257885680.24000001</v>
      </c>
      <c r="AE698" s="52">
        <v>0</v>
      </c>
      <c r="AF698" s="52">
        <v>35576113.340000004</v>
      </c>
      <c r="AG698" s="52">
        <v>0</v>
      </c>
      <c r="AH698" s="52">
        <v>0</v>
      </c>
      <c r="AI698" s="52">
        <v>0</v>
      </c>
      <c r="AJ698" s="52">
        <v>2</v>
      </c>
      <c r="AK698" s="52"/>
      <c r="AL698" s="52">
        <v>0</v>
      </c>
      <c r="AM698" s="52">
        <v>0</v>
      </c>
      <c r="AN698" s="52">
        <v>22708974300</v>
      </c>
      <c r="AO698" s="52">
        <v>127535059683</v>
      </c>
      <c r="AP698" s="52">
        <v>201450000</v>
      </c>
      <c r="AQ698" s="58">
        <v>0</v>
      </c>
      <c r="AR698" s="58">
        <v>0</v>
      </c>
      <c r="AS698" s="58">
        <v>0</v>
      </c>
      <c r="AT698" s="58">
        <v>0</v>
      </c>
      <c r="AU698" s="58">
        <v>0</v>
      </c>
      <c r="AV698" s="58">
        <v>0</v>
      </c>
      <c r="AW698" s="58">
        <v>0</v>
      </c>
      <c r="AX698" s="58">
        <v>0</v>
      </c>
    </row>
    <row r="699" spans="1:50" x14ac:dyDescent="0.25">
      <c r="A699" s="52">
        <f t="shared" si="37"/>
        <v>694</v>
      </c>
      <c r="B699" s="60" t="str">
        <f t="shared" si="36"/>
        <v>00446149486</v>
      </c>
      <c r="C699" s="55" t="s">
        <v>31</v>
      </c>
      <c r="D699" s="53" t="s">
        <v>2123</v>
      </c>
      <c r="E699" s="55" t="s">
        <v>1187</v>
      </c>
      <c r="F699" s="53" t="s">
        <v>2124</v>
      </c>
      <c r="G699" s="55">
        <v>11291</v>
      </c>
      <c r="H699" s="53" t="s">
        <v>2565</v>
      </c>
      <c r="I699" s="55" t="s">
        <v>1206</v>
      </c>
      <c r="J699" s="55">
        <v>149486</v>
      </c>
      <c r="K699" s="55" t="s">
        <v>1207</v>
      </c>
      <c r="L699" s="53" t="s">
        <v>2107</v>
      </c>
      <c r="M699" s="55" t="s">
        <v>75</v>
      </c>
      <c r="N699" s="52">
        <v>990000</v>
      </c>
      <c r="O699" s="52">
        <v>11947082400</v>
      </c>
      <c r="P699" s="52">
        <v>11947082400</v>
      </c>
      <c r="Q699" s="57">
        <v>42873</v>
      </c>
      <c r="R699" s="57">
        <v>47767</v>
      </c>
      <c r="S699" s="56">
        <v>6</v>
      </c>
      <c r="T699" s="54">
        <v>24</v>
      </c>
      <c r="U699" s="52">
        <v>7656405119.5600004</v>
      </c>
      <c r="V699" s="52">
        <v>7656405119.5600004</v>
      </c>
      <c r="W699" s="52">
        <v>0</v>
      </c>
      <c r="X699" s="57"/>
      <c r="Y699" s="52">
        <v>0</v>
      </c>
      <c r="Z699" s="52">
        <v>0</v>
      </c>
      <c r="AA699" s="52">
        <v>1</v>
      </c>
      <c r="AB699" s="52">
        <v>0</v>
      </c>
      <c r="AC699" s="52">
        <v>932824188.01999998</v>
      </c>
      <c r="AD699" s="52">
        <v>730319981.96000004</v>
      </c>
      <c r="AE699" s="52">
        <v>202504206.06</v>
      </c>
      <c r="AF699" s="52">
        <v>0</v>
      </c>
      <c r="AG699" s="52">
        <v>0</v>
      </c>
      <c r="AH699" s="52">
        <v>0</v>
      </c>
      <c r="AI699" s="52">
        <v>0</v>
      </c>
      <c r="AJ699" s="52">
        <v>2</v>
      </c>
      <c r="AK699" s="52"/>
      <c r="AL699" s="52">
        <v>0</v>
      </c>
      <c r="AM699" s="52">
        <v>0</v>
      </c>
      <c r="AN699" s="52">
        <v>1226009550000</v>
      </c>
      <c r="AO699" s="52">
        <v>15323178794</v>
      </c>
      <c r="AP699" s="52">
        <v>15323178794</v>
      </c>
      <c r="AQ699" s="58">
        <v>0</v>
      </c>
      <c r="AR699" s="58">
        <v>0</v>
      </c>
      <c r="AS699" s="58">
        <v>0</v>
      </c>
      <c r="AT699" s="58">
        <v>0</v>
      </c>
      <c r="AU699" s="58">
        <v>0</v>
      </c>
      <c r="AV699" s="58">
        <v>0</v>
      </c>
      <c r="AW699" s="58">
        <v>0</v>
      </c>
      <c r="AX699" s="58">
        <v>0</v>
      </c>
    </row>
    <row r="700" spans="1:50" x14ac:dyDescent="0.25">
      <c r="A700" s="52">
        <f t="shared" si="37"/>
        <v>695</v>
      </c>
      <c r="B700" s="60" t="str">
        <f t="shared" si="36"/>
        <v>00446493375</v>
      </c>
      <c r="C700" s="55" t="s">
        <v>31</v>
      </c>
      <c r="D700" s="53" t="s">
        <v>2123</v>
      </c>
      <c r="E700" s="55" t="s">
        <v>1187</v>
      </c>
      <c r="F700" s="53" t="s">
        <v>2124</v>
      </c>
      <c r="G700" s="55">
        <v>11291</v>
      </c>
      <c r="H700" s="53" t="s">
        <v>2561</v>
      </c>
      <c r="I700" s="55" t="s">
        <v>1191</v>
      </c>
      <c r="J700" s="55">
        <v>493375</v>
      </c>
      <c r="K700" s="55" t="s">
        <v>1208</v>
      </c>
      <c r="L700" s="53" t="s">
        <v>2043</v>
      </c>
      <c r="M700" s="55" t="s">
        <v>49</v>
      </c>
      <c r="N700" s="52">
        <v>6780000000</v>
      </c>
      <c r="O700" s="52">
        <v>6780000000</v>
      </c>
      <c r="P700" s="52">
        <v>6780000000</v>
      </c>
      <c r="Q700" s="57">
        <v>45868</v>
      </c>
      <c r="R700" s="57">
        <v>46598</v>
      </c>
      <c r="S700" s="56">
        <v>14</v>
      </c>
      <c r="T700" s="54">
        <v>12</v>
      </c>
      <c r="U700" s="52">
        <v>6780000000</v>
      </c>
      <c r="V700" s="52">
        <v>6780000000</v>
      </c>
      <c r="W700" s="52">
        <v>0</v>
      </c>
      <c r="X700" s="57"/>
      <c r="Y700" s="52">
        <v>0</v>
      </c>
      <c r="Z700" s="52">
        <v>0</v>
      </c>
      <c r="AA700" s="52">
        <v>1</v>
      </c>
      <c r="AB700" s="52">
        <v>0</v>
      </c>
      <c r="AC700" s="52">
        <v>67614246.569999993</v>
      </c>
      <c r="AD700" s="52">
        <v>67614246.569999993</v>
      </c>
      <c r="AE700" s="52">
        <v>0</v>
      </c>
      <c r="AF700" s="52">
        <v>0</v>
      </c>
      <c r="AG700" s="52">
        <v>0</v>
      </c>
      <c r="AH700" s="52">
        <v>0</v>
      </c>
      <c r="AI700" s="52">
        <v>0</v>
      </c>
      <c r="AJ700" s="52">
        <v>2</v>
      </c>
      <c r="AK700" s="52"/>
      <c r="AL700" s="52">
        <v>0</v>
      </c>
      <c r="AM700" s="52">
        <v>0</v>
      </c>
      <c r="AN700" s="52">
        <v>881400000000</v>
      </c>
      <c r="AO700" s="52">
        <v>3395500000</v>
      </c>
      <c r="AP700" s="52">
        <v>3395500000</v>
      </c>
      <c r="AQ700" s="58">
        <v>0</v>
      </c>
      <c r="AR700" s="58">
        <v>0</v>
      </c>
      <c r="AS700" s="58">
        <v>0</v>
      </c>
      <c r="AT700" s="58">
        <v>0</v>
      </c>
      <c r="AU700" s="58">
        <v>0</v>
      </c>
      <c r="AV700" s="58">
        <v>0</v>
      </c>
      <c r="AW700" s="58">
        <v>0</v>
      </c>
      <c r="AX700" s="58">
        <v>0</v>
      </c>
    </row>
    <row r="701" spans="1:50" x14ac:dyDescent="0.25">
      <c r="A701" s="52">
        <f t="shared" si="37"/>
        <v>696</v>
      </c>
      <c r="B701" s="60" t="str">
        <f t="shared" ref="B701:B764" si="38">+E701&amp;J701</f>
        <v>00446371203</v>
      </c>
      <c r="C701" s="55" t="s">
        <v>31</v>
      </c>
      <c r="D701" s="53" t="s">
        <v>2123</v>
      </c>
      <c r="E701" s="55" t="s">
        <v>1187</v>
      </c>
      <c r="F701" s="53" t="s">
        <v>2124</v>
      </c>
      <c r="G701" s="55">
        <v>11291</v>
      </c>
      <c r="H701" s="53" t="s">
        <v>1193</v>
      </c>
      <c r="I701" s="55" t="s">
        <v>1194</v>
      </c>
      <c r="J701" s="55">
        <v>371203</v>
      </c>
      <c r="K701" s="55" t="s">
        <v>1209</v>
      </c>
      <c r="L701" s="53" t="s">
        <v>2107</v>
      </c>
      <c r="M701" s="55" t="s">
        <v>49</v>
      </c>
      <c r="N701" s="52">
        <v>9600000000</v>
      </c>
      <c r="O701" s="52">
        <v>9600000000</v>
      </c>
      <c r="P701" s="52"/>
      <c r="Q701" s="57">
        <v>44678</v>
      </c>
      <c r="R701" s="57">
        <v>46511</v>
      </c>
      <c r="S701" s="56">
        <v>22</v>
      </c>
      <c r="T701" s="54">
        <v>30</v>
      </c>
      <c r="U701" s="52">
        <v>5760000000</v>
      </c>
      <c r="V701" s="52">
        <v>5760000000</v>
      </c>
      <c r="W701" s="52">
        <v>0</v>
      </c>
      <c r="X701" s="57"/>
      <c r="Y701" s="52">
        <v>0</v>
      </c>
      <c r="Z701" s="52">
        <v>0</v>
      </c>
      <c r="AA701" s="52">
        <v>1</v>
      </c>
      <c r="AB701" s="52">
        <v>0</v>
      </c>
      <c r="AC701" s="52">
        <v>175610556.37</v>
      </c>
      <c r="AD701" s="52">
        <v>91213150.680000007</v>
      </c>
      <c r="AE701" s="52">
        <v>84397405.689999998</v>
      </c>
      <c r="AF701" s="52">
        <v>0</v>
      </c>
      <c r="AG701" s="52">
        <v>0</v>
      </c>
      <c r="AH701" s="52">
        <v>0</v>
      </c>
      <c r="AI701" s="52">
        <v>0</v>
      </c>
      <c r="AJ701" s="52">
        <v>2</v>
      </c>
      <c r="AK701" s="52"/>
      <c r="AL701" s="52">
        <v>0</v>
      </c>
      <c r="AM701" s="52">
        <v>0</v>
      </c>
      <c r="AN701" s="52">
        <v>1200000000000</v>
      </c>
      <c r="AO701" s="52">
        <v>14349261800919</v>
      </c>
      <c r="AP701" s="52">
        <v>23885081000</v>
      </c>
      <c r="AQ701" s="58">
        <v>0</v>
      </c>
      <c r="AR701" s="58">
        <v>0</v>
      </c>
      <c r="AS701" s="58">
        <v>0</v>
      </c>
      <c r="AT701" s="58">
        <v>0</v>
      </c>
      <c r="AU701" s="58">
        <v>0</v>
      </c>
      <c r="AV701" s="58">
        <v>0</v>
      </c>
      <c r="AW701" s="58">
        <v>0</v>
      </c>
      <c r="AX701" s="58">
        <v>0</v>
      </c>
    </row>
    <row r="702" spans="1:50" x14ac:dyDescent="0.25">
      <c r="A702" s="52">
        <f t="shared" si="37"/>
        <v>697</v>
      </c>
      <c r="B702" s="60" t="str">
        <f t="shared" si="38"/>
        <v>00446468117</v>
      </c>
      <c r="C702" s="55" t="s">
        <v>31</v>
      </c>
      <c r="D702" s="53" t="s">
        <v>2123</v>
      </c>
      <c r="E702" s="55" t="s">
        <v>1187</v>
      </c>
      <c r="F702" s="53" t="s">
        <v>2124</v>
      </c>
      <c r="G702" s="55">
        <v>11291</v>
      </c>
      <c r="H702" s="53" t="s">
        <v>2566</v>
      </c>
      <c r="I702" s="55" t="s">
        <v>1210</v>
      </c>
      <c r="J702" s="55">
        <v>468117</v>
      </c>
      <c r="K702" s="55" t="s">
        <v>1211</v>
      </c>
      <c r="L702" s="53" t="s">
        <v>2107</v>
      </c>
      <c r="M702" s="55" t="s">
        <v>49</v>
      </c>
      <c r="N702" s="52">
        <v>10412000000</v>
      </c>
      <c r="O702" s="52">
        <v>10412000000</v>
      </c>
      <c r="P702" s="52">
        <v>10412000000</v>
      </c>
      <c r="Q702" s="57">
        <v>45472</v>
      </c>
      <c r="R702" s="57">
        <v>46202</v>
      </c>
      <c r="S702" s="56">
        <v>14</v>
      </c>
      <c r="T702" s="54">
        <v>12</v>
      </c>
      <c r="U702" s="52">
        <v>5205999999</v>
      </c>
      <c r="V702" s="52">
        <v>5205999999</v>
      </c>
      <c r="W702" s="52">
        <v>0</v>
      </c>
      <c r="X702" s="57"/>
      <c r="Y702" s="52">
        <v>0</v>
      </c>
      <c r="Z702" s="52">
        <v>0</v>
      </c>
      <c r="AA702" s="52">
        <v>1</v>
      </c>
      <c r="AB702" s="52">
        <v>0</v>
      </c>
      <c r="AC702" s="52">
        <v>52912076.149999999</v>
      </c>
      <c r="AD702" s="52">
        <v>52912076.149999999</v>
      </c>
      <c r="AE702" s="52">
        <v>0</v>
      </c>
      <c r="AF702" s="52">
        <v>0</v>
      </c>
      <c r="AG702" s="52">
        <v>0</v>
      </c>
      <c r="AH702" s="52">
        <v>0</v>
      </c>
      <c r="AI702" s="52">
        <v>0</v>
      </c>
      <c r="AJ702" s="52">
        <v>2</v>
      </c>
      <c r="AK702" s="52"/>
      <c r="AL702" s="52">
        <v>0</v>
      </c>
      <c r="AM702" s="52">
        <v>0</v>
      </c>
      <c r="AN702" s="52">
        <v>1690000000000</v>
      </c>
      <c r="AO702" s="52">
        <v>2665313481198</v>
      </c>
      <c r="AP702" s="52">
        <v>2065465099799</v>
      </c>
      <c r="AQ702" s="58">
        <v>0</v>
      </c>
      <c r="AR702" s="58">
        <v>0</v>
      </c>
      <c r="AS702" s="58">
        <v>0</v>
      </c>
      <c r="AT702" s="58">
        <v>0</v>
      </c>
      <c r="AU702" s="58">
        <v>0</v>
      </c>
      <c r="AV702" s="58">
        <v>0</v>
      </c>
      <c r="AW702" s="58">
        <v>0</v>
      </c>
      <c r="AX702" s="58">
        <v>0</v>
      </c>
    </row>
    <row r="703" spans="1:50" x14ac:dyDescent="0.25">
      <c r="A703" s="52">
        <f t="shared" si="37"/>
        <v>698</v>
      </c>
      <c r="B703" s="60" t="str">
        <f t="shared" si="38"/>
        <v>00446469171</v>
      </c>
      <c r="C703" s="55" t="s">
        <v>31</v>
      </c>
      <c r="D703" s="53" t="s">
        <v>2123</v>
      </c>
      <c r="E703" s="55" t="s">
        <v>1187</v>
      </c>
      <c r="F703" s="53" t="s">
        <v>2124</v>
      </c>
      <c r="G703" s="55">
        <v>11291</v>
      </c>
      <c r="H703" s="53" t="s">
        <v>2567</v>
      </c>
      <c r="I703" s="55" t="s">
        <v>1212</v>
      </c>
      <c r="J703" s="55">
        <v>469171</v>
      </c>
      <c r="K703" s="55" t="s">
        <v>1213</v>
      </c>
      <c r="L703" s="53" t="s">
        <v>2107</v>
      </c>
      <c r="M703" s="55" t="s">
        <v>75</v>
      </c>
      <c r="N703" s="52">
        <v>4700000</v>
      </c>
      <c r="O703" s="52">
        <v>56718472000</v>
      </c>
      <c r="P703" s="52">
        <v>3460000</v>
      </c>
      <c r="Q703" s="57">
        <v>45499</v>
      </c>
      <c r="R703" s="57">
        <v>47325</v>
      </c>
      <c r="S703" s="56">
        <v>14.99</v>
      </c>
      <c r="T703" s="54">
        <v>24</v>
      </c>
      <c r="U703" s="52">
        <v>5056184277.2799997</v>
      </c>
      <c r="V703" s="52">
        <v>5056184277.2799997</v>
      </c>
      <c r="W703" s="52">
        <v>0</v>
      </c>
      <c r="X703" s="57"/>
      <c r="Y703" s="52">
        <v>0</v>
      </c>
      <c r="Z703" s="52">
        <v>0</v>
      </c>
      <c r="AA703" s="52">
        <v>1</v>
      </c>
      <c r="AB703" s="52">
        <v>0</v>
      </c>
      <c r="AC703" s="52">
        <v>180655373.97999999</v>
      </c>
      <c r="AD703" s="52">
        <v>180655373.97999999</v>
      </c>
      <c r="AE703" s="52">
        <v>0</v>
      </c>
      <c r="AF703" s="52">
        <v>0</v>
      </c>
      <c r="AG703" s="52">
        <v>0</v>
      </c>
      <c r="AH703" s="52">
        <v>0</v>
      </c>
      <c r="AI703" s="52">
        <v>0</v>
      </c>
      <c r="AJ703" s="52">
        <v>2</v>
      </c>
      <c r="AK703" s="52"/>
      <c r="AL703" s="52">
        <v>0</v>
      </c>
      <c r="AM703" s="52">
        <v>0</v>
      </c>
      <c r="AN703" s="52">
        <v>583435600</v>
      </c>
      <c r="AO703" s="52">
        <v>23768711856</v>
      </c>
      <c r="AP703" s="52">
        <v>0</v>
      </c>
      <c r="AQ703" s="58">
        <v>0</v>
      </c>
      <c r="AR703" s="58">
        <v>0</v>
      </c>
      <c r="AS703" s="58">
        <v>0</v>
      </c>
      <c r="AT703" s="58">
        <v>0</v>
      </c>
      <c r="AU703" s="58">
        <v>0</v>
      </c>
      <c r="AV703" s="58">
        <v>0</v>
      </c>
      <c r="AW703" s="58">
        <v>0</v>
      </c>
      <c r="AX703" s="58">
        <v>0</v>
      </c>
    </row>
    <row r="704" spans="1:50" x14ac:dyDescent="0.25">
      <c r="A704" s="52">
        <f t="shared" si="37"/>
        <v>699</v>
      </c>
      <c r="B704" s="60" t="str">
        <f t="shared" si="38"/>
        <v>00446486350</v>
      </c>
      <c r="C704" s="55" t="s">
        <v>31</v>
      </c>
      <c r="D704" s="53" t="s">
        <v>2123</v>
      </c>
      <c r="E704" s="55" t="s">
        <v>1187</v>
      </c>
      <c r="F704" s="53" t="s">
        <v>2124</v>
      </c>
      <c r="G704" s="55">
        <v>11291</v>
      </c>
      <c r="H704" s="53" t="s">
        <v>2561</v>
      </c>
      <c r="I704" s="55" t="s">
        <v>1191</v>
      </c>
      <c r="J704" s="55">
        <v>486350</v>
      </c>
      <c r="K704" s="55" t="s">
        <v>1214</v>
      </c>
      <c r="L704" s="53" t="s">
        <v>2043</v>
      </c>
      <c r="M704" s="55" t="s">
        <v>49</v>
      </c>
      <c r="N704" s="52">
        <v>5000000000</v>
      </c>
      <c r="O704" s="52">
        <v>5000000000</v>
      </c>
      <c r="P704" s="52">
        <v>5000000000</v>
      </c>
      <c r="Q704" s="57">
        <v>45804</v>
      </c>
      <c r="R704" s="57">
        <v>46534</v>
      </c>
      <c r="S704" s="56">
        <v>14</v>
      </c>
      <c r="T704" s="54">
        <v>12</v>
      </c>
      <c r="U704" s="52">
        <v>5000000000</v>
      </c>
      <c r="V704" s="52">
        <v>5000000000</v>
      </c>
      <c r="W704" s="52">
        <v>0</v>
      </c>
      <c r="X704" s="57"/>
      <c r="Y704" s="52">
        <v>0</v>
      </c>
      <c r="Z704" s="52">
        <v>0</v>
      </c>
      <c r="AA704" s="52">
        <v>1</v>
      </c>
      <c r="AB704" s="52">
        <v>0</v>
      </c>
      <c r="AC704" s="52">
        <v>49863013.700000003</v>
      </c>
      <c r="AD704" s="52">
        <v>49863013.700000003</v>
      </c>
      <c r="AE704" s="52">
        <v>0</v>
      </c>
      <c r="AF704" s="52">
        <v>0</v>
      </c>
      <c r="AG704" s="52">
        <v>0</v>
      </c>
      <c r="AH704" s="52">
        <v>0</v>
      </c>
      <c r="AI704" s="52">
        <v>0</v>
      </c>
      <c r="AJ704" s="52">
        <v>2</v>
      </c>
      <c r="AK704" s="52"/>
      <c r="AL704" s="52">
        <v>0</v>
      </c>
      <c r="AM704" s="52">
        <v>0</v>
      </c>
      <c r="AN704" s="52">
        <v>650000000000</v>
      </c>
      <c r="AO704" s="52">
        <v>3395500000</v>
      </c>
      <c r="AP704" s="52">
        <v>3395500000</v>
      </c>
      <c r="AQ704" s="58">
        <v>0</v>
      </c>
      <c r="AR704" s="58">
        <v>0</v>
      </c>
      <c r="AS704" s="58">
        <v>0</v>
      </c>
      <c r="AT704" s="58">
        <v>0</v>
      </c>
      <c r="AU704" s="58">
        <v>0</v>
      </c>
      <c r="AV704" s="58">
        <v>0</v>
      </c>
      <c r="AW704" s="58">
        <v>0</v>
      </c>
      <c r="AX704" s="58">
        <v>0</v>
      </c>
    </row>
    <row r="705" spans="1:50" x14ac:dyDescent="0.25">
      <c r="A705" s="52">
        <f t="shared" si="37"/>
        <v>700</v>
      </c>
      <c r="B705" s="60" t="str">
        <f t="shared" si="38"/>
        <v>00446492060</v>
      </c>
      <c r="C705" s="55" t="s">
        <v>31</v>
      </c>
      <c r="D705" s="53" t="s">
        <v>2123</v>
      </c>
      <c r="E705" s="55" t="s">
        <v>1187</v>
      </c>
      <c r="F705" s="53" t="s">
        <v>2124</v>
      </c>
      <c r="G705" s="55">
        <v>11291</v>
      </c>
      <c r="H705" s="53" t="s">
        <v>2568</v>
      </c>
      <c r="I705" s="55" t="s">
        <v>1215</v>
      </c>
      <c r="J705" s="55" t="s">
        <v>1216</v>
      </c>
      <c r="K705" s="55" t="s">
        <v>1217</v>
      </c>
      <c r="L705" s="53" t="s">
        <v>2100</v>
      </c>
      <c r="M705" s="55" t="s">
        <v>49</v>
      </c>
      <c r="N705" s="52">
        <v>5500000000</v>
      </c>
      <c r="O705" s="52">
        <v>5500000000</v>
      </c>
      <c r="P705" s="52">
        <v>4700000000</v>
      </c>
      <c r="Q705" s="57">
        <v>45845</v>
      </c>
      <c r="R705" s="57">
        <v>47669</v>
      </c>
      <c r="S705" s="56">
        <v>24</v>
      </c>
      <c r="T705" s="54">
        <v>6</v>
      </c>
      <c r="U705" s="52">
        <v>4700000000</v>
      </c>
      <c r="V705" s="52">
        <v>4700000000</v>
      </c>
      <c r="W705" s="52">
        <v>0</v>
      </c>
      <c r="X705" s="57"/>
      <c r="Y705" s="52">
        <v>0</v>
      </c>
      <c r="Z705" s="52">
        <v>0</v>
      </c>
      <c r="AA705" s="52">
        <v>1</v>
      </c>
      <c r="AB705" s="52">
        <v>0</v>
      </c>
      <c r="AC705" s="52">
        <v>80350684.930000007</v>
      </c>
      <c r="AD705" s="52">
        <v>80350684.930000007</v>
      </c>
      <c r="AE705" s="52">
        <v>0</v>
      </c>
      <c r="AF705" s="52">
        <v>0</v>
      </c>
      <c r="AG705" s="52">
        <v>0</v>
      </c>
      <c r="AH705" s="52">
        <v>0</v>
      </c>
      <c r="AI705" s="52">
        <v>0</v>
      </c>
      <c r="AJ705" s="52">
        <v>2</v>
      </c>
      <c r="AK705" s="52"/>
      <c r="AL705" s="52">
        <v>0</v>
      </c>
      <c r="AM705" s="52">
        <v>0</v>
      </c>
      <c r="AN705" s="52">
        <v>11650000000</v>
      </c>
      <c r="AO705" s="52">
        <v>937316101</v>
      </c>
      <c r="AP705" s="52">
        <v>937316101</v>
      </c>
      <c r="AQ705" s="58">
        <v>0</v>
      </c>
      <c r="AR705" s="58">
        <v>0</v>
      </c>
      <c r="AS705" s="58">
        <v>0</v>
      </c>
      <c r="AT705" s="58">
        <v>0</v>
      </c>
      <c r="AU705" s="58">
        <v>0</v>
      </c>
      <c r="AV705" s="58">
        <v>0</v>
      </c>
      <c r="AW705" s="58">
        <v>0</v>
      </c>
      <c r="AX705" s="58">
        <v>0</v>
      </c>
    </row>
    <row r="706" spans="1:50" x14ac:dyDescent="0.25">
      <c r="A706" s="52">
        <f t="shared" si="37"/>
        <v>701</v>
      </c>
      <c r="B706" s="60" t="str">
        <f t="shared" si="38"/>
        <v>00446468116</v>
      </c>
      <c r="C706" s="55" t="s">
        <v>31</v>
      </c>
      <c r="D706" s="53" t="s">
        <v>2123</v>
      </c>
      <c r="E706" s="55" t="s">
        <v>1187</v>
      </c>
      <c r="F706" s="53" t="s">
        <v>2124</v>
      </c>
      <c r="G706" s="55">
        <v>11291</v>
      </c>
      <c r="H706" s="53" t="s">
        <v>2415</v>
      </c>
      <c r="I706" s="55" t="s">
        <v>1218</v>
      </c>
      <c r="J706" s="55">
        <v>468116</v>
      </c>
      <c r="K706" s="55" t="s">
        <v>1219</v>
      </c>
      <c r="L706" s="53" t="s">
        <v>2107</v>
      </c>
      <c r="M706" s="55" t="s">
        <v>49</v>
      </c>
      <c r="N706" s="52">
        <v>7288000000</v>
      </c>
      <c r="O706" s="52">
        <v>7288000000</v>
      </c>
      <c r="P706" s="52"/>
      <c r="Q706" s="57">
        <v>45472</v>
      </c>
      <c r="R706" s="57">
        <v>46202</v>
      </c>
      <c r="S706" s="56">
        <v>14</v>
      </c>
      <c r="T706" s="54">
        <v>12</v>
      </c>
      <c r="U706" s="52">
        <v>3644000002</v>
      </c>
      <c r="V706" s="52">
        <v>3644000002</v>
      </c>
      <c r="W706" s="52">
        <v>0</v>
      </c>
      <c r="X706" s="57"/>
      <c r="Y706" s="52">
        <v>0</v>
      </c>
      <c r="Z706" s="52">
        <v>0</v>
      </c>
      <c r="AA706" s="52">
        <v>1</v>
      </c>
      <c r="AB706" s="52">
        <v>0</v>
      </c>
      <c r="AC706" s="52">
        <v>37530692.07</v>
      </c>
      <c r="AD706" s="52">
        <v>37530692.07</v>
      </c>
      <c r="AE706" s="52">
        <v>0</v>
      </c>
      <c r="AF706" s="52">
        <v>0</v>
      </c>
      <c r="AG706" s="52">
        <v>0</v>
      </c>
      <c r="AH706" s="52">
        <v>0</v>
      </c>
      <c r="AI706" s="52">
        <v>0</v>
      </c>
      <c r="AJ706" s="52">
        <v>2</v>
      </c>
      <c r="AK706" s="52"/>
      <c r="AL706" s="52">
        <v>0</v>
      </c>
      <c r="AM706" s="52">
        <v>0</v>
      </c>
      <c r="AN706" s="52">
        <v>1183000000000</v>
      </c>
      <c r="AO706" s="52">
        <v>408916310617</v>
      </c>
      <c r="AP706" s="52">
        <v>2684000000</v>
      </c>
      <c r="AQ706" s="58">
        <v>0</v>
      </c>
      <c r="AR706" s="58">
        <v>0</v>
      </c>
      <c r="AS706" s="58">
        <v>0</v>
      </c>
      <c r="AT706" s="58">
        <v>0</v>
      </c>
      <c r="AU706" s="58">
        <v>0</v>
      </c>
      <c r="AV706" s="58">
        <v>0</v>
      </c>
      <c r="AW706" s="58">
        <v>0</v>
      </c>
      <c r="AX706" s="58">
        <v>0</v>
      </c>
    </row>
    <row r="707" spans="1:50" x14ac:dyDescent="0.25">
      <c r="A707" s="52">
        <f t="shared" si="37"/>
        <v>702</v>
      </c>
      <c r="B707" s="60" t="str">
        <f t="shared" si="38"/>
        <v>00446320076</v>
      </c>
      <c r="C707" s="55" t="s">
        <v>31</v>
      </c>
      <c r="D707" s="53" t="s">
        <v>2123</v>
      </c>
      <c r="E707" s="55" t="s">
        <v>1187</v>
      </c>
      <c r="F707" s="53" t="s">
        <v>2124</v>
      </c>
      <c r="G707" s="55">
        <v>11291</v>
      </c>
      <c r="H707" s="53" t="s">
        <v>2569</v>
      </c>
      <c r="I707" s="55" t="s">
        <v>1220</v>
      </c>
      <c r="J707" s="55">
        <v>320076</v>
      </c>
      <c r="K707" s="55" t="s">
        <v>1221</v>
      </c>
      <c r="L707" s="53" t="s">
        <v>2107</v>
      </c>
      <c r="M707" s="55" t="s">
        <v>75</v>
      </c>
      <c r="N707" s="52">
        <v>822741.4</v>
      </c>
      <c r="O707" s="52">
        <v>9928645757.2600002</v>
      </c>
      <c r="P707" s="52">
        <v>9928645757.2600002</v>
      </c>
      <c r="Q707" s="57">
        <v>44302</v>
      </c>
      <c r="R707" s="57">
        <v>46514</v>
      </c>
      <c r="S707" s="56">
        <v>6</v>
      </c>
      <c r="T707" s="54">
        <v>12</v>
      </c>
      <c r="U707" s="52">
        <v>2317829487.96</v>
      </c>
      <c r="V707" s="52">
        <v>2317829487.96</v>
      </c>
      <c r="W707" s="52">
        <v>0</v>
      </c>
      <c r="X707" s="57"/>
      <c r="Y707" s="52">
        <v>0</v>
      </c>
      <c r="Z707" s="52">
        <v>0</v>
      </c>
      <c r="AA707" s="52">
        <v>2</v>
      </c>
      <c r="AB707" s="52">
        <v>0</v>
      </c>
      <c r="AC707" s="52">
        <v>32511699.420000002</v>
      </c>
      <c r="AD707" s="52">
        <v>32511699.420000002</v>
      </c>
      <c r="AE707" s="52">
        <v>0</v>
      </c>
      <c r="AF707" s="52">
        <v>0</v>
      </c>
      <c r="AG707" s="52">
        <v>0</v>
      </c>
      <c r="AH707" s="52">
        <v>0</v>
      </c>
      <c r="AI707" s="52">
        <v>0</v>
      </c>
      <c r="AJ707" s="52">
        <v>2</v>
      </c>
      <c r="AK707" s="52"/>
      <c r="AL707" s="52">
        <v>0</v>
      </c>
      <c r="AM707" s="52">
        <v>0</v>
      </c>
      <c r="AN707" s="52">
        <v>1341901000000</v>
      </c>
      <c r="AO707" s="52">
        <v>19411489733</v>
      </c>
      <c r="AP707" s="52">
        <v>18411489733</v>
      </c>
      <c r="AQ707" s="58">
        <v>0</v>
      </c>
      <c r="AR707" s="58">
        <v>0</v>
      </c>
      <c r="AS707" s="58">
        <v>0</v>
      </c>
      <c r="AT707" s="58">
        <v>0</v>
      </c>
      <c r="AU707" s="58">
        <v>0</v>
      </c>
      <c r="AV707" s="58">
        <v>0</v>
      </c>
      <c r="AW707" s="58">
        <v>0</v>
      </c>
      <c r="AX707" s="58">
        <v>0</v>
      </c>
    </row>
    <row r="708" spans="1:50" x14ac:dyDescent="0.25">
      <c r="A708" s="52">
        <f t="shared" si="37"/>
        <v>703</v>
      </c>
      <c r="B708" s="60" t="str">
        <f t="shared" si="38"/>
        <v>00446406034</v>
      </c>
      <c r="C708" s="55" t="s">
        <v>31</v>
      </c>
      <c r="D708" s="53" t="s">
        <v>2123</v>
      </c>
      <c r="E708" s="55" t="s">
        <v>1187</v>
      </c>
      <c r="F708" s="53" t="s">
        <v>2124</v>
      </c>
      <c r="G708" s="55">
        <v>11291</v>
      </c>
      <c r="H708" s="53" t="s">
        <v>2570</v>
      </c>
      <c r="I708" s="55" t="s">
        <v>1222</v>
      </c>
      <c r="J708" s="55">
        <v>406034</v>
      </c>
      <c r="K708" s="55" t="s">
        <v>1223</v>
      </c>
      <c r="L708" s="53" t="s">
        <v>2107</v>
      </c>
      <c r="M708" s="55" t="s">
        <v>75</v>
      </c>
      <c r="N708" s="52">
        <v>349500</v>
      </c>
      <c r="O708" s="52">
        <v>4217682120</v>
      </c>
      <c r="P708" s="52">
        <v>4217682120</v>
      </c>
      <c r="Q708" s="57">
        <v>44925</v>
      </c>
      <c r="R708" s="57">
        <v>46751</v>
      </c>
      <c r="S708" s="56">
        <v>10</v>
      </c>
      <c r="T708" s="54">
        <v>12</v>
      </c>
      <c r="U708" s="52">
        <v>2090450097.0899999</v>
      </c>
      <c r="V708" s="52">
        <v>2006373777.9000001</v>
      </c>
      <c r="W708" s="52">
        <v>84076319.189999998</v>
      </c>
      <c r="X708" s="57">
        <v>46027</v>
      </c>
      <c r="Y708" s="52">
        <v>0</v>
      </c>
      <c r="Z708" s="52">
        <v>0</v>
      </c>
      <c r="AA708" s="52">
        <v>1</v>
      </c>
      <c r="AB708" s="52">
        <v>0</v>
      </c>
      <c r="AC708" s="52">
        <v>75874986.25</v>
      </c>
      <c r="AD708" s="52">
        <v>17055683.699999999</v>
      </c>
      <c r="AE708" s="52">
        <v>0</v>
      </c>
      <c r="AF708" s="52">
        <v>0</v>
      </c>
      <c r="AG708" s="52">
        <v>58819302.549999997</v>
      </c>
      <c r="AH708" s="52">
        <v>0</v>
      </c>
      <c r="AI708" s="52">
        <v>0</v>
      </c>
      <c r="AJ708" s="52">
        <v>2</v>
      </c>
      <c r="AK708" s="52"/>
      <c r="AL708" s="52">
        <v>0</v>
      </c>
      <c r="AM708" s="52">
        <v>0</v>
      </c>
      <c r="AN708" s="52">
        <v>50300000</v>
      </c>
      <c r="AO708" s="52">
        <v>754185232967</v>
      </c>
      <c r="AP708" s="52">
        <v>726685232967</v>
      </c>
      <c r="AQ708" s="58">
        <v>0</v>
      </c>
      <c r="AR708" s="58">
        <v>0</v>
      </c>
      <c r="AS708" s="58">
        <v>0</v>
      </c>
      <c r="AT708" s="58">
        <v>0</v>
      </c>
      <c r="AU708" s="58">
        <v>0</v>
      </c>
      <c r="AV708" s="58">
        <v>0</v>
      </c>
      <c r="AW708" s="58">
        <v>0</v>
      </c>
      <c r="AX708" s="58">
        <v>0</v>
      </c>
    </row>
    <row r="709" spans="1:50" x14ac:dyDescent="0.25">
      <c r="A709" s="52">
        <f t="shared" si="37"/>
        <v>704</v>
      </c>
      <c r="B709" s="60" t="str">
        <f t="shared" si="38"/>
        <v>00446202586</v>
      </c>
      <c r="C709" s="55" t="s">
        <v>31</v>
      </c>
      <c r="D709" s="53" t="s">
        <v>2123</v>
      </c>
      <c r="E709" s="55" t="s">
        <v>1187</v>
      </c>
      <c r="F709" s="53" t="s">
        <v>2124</v>
      </c>
      <c r="G709" s="55">
        <v>11291</v>
      </c>
      <c r="H709" s="53" t="s">
        <v>2571</v>
      </c>
      <c r="I709" s="55" t="s">
        <v>1224</v>
      </c>
      <c r="J709" s="55">
        <v>202586</v>
      </c>
      <c r="K709" s="55" t="s">
        <v>1225</v>
      </c>
      <c r="L709" s="53" t="s">
        <v>2107</v>
      </c>
      <c r="M709" s="55" t="s">
        <v>75</v>
      </c>
      <c r="N709" s="52">
        <v>834500</v>
      </c>
      <c r="O709" s="52">
        <v>10070545720</v>
      </c>
      <c r="P709" s="52">
        <v>10070545720</v>
      </c>
      <c r="Q709" s="57">
        <v>43804</v>
      </c>
      <c r="R709" s="57">
        <v>46355</v>
      </c>
      <c r="S709" s="56">
        <v>6</v>
      </c>
      <c r="T709" s="54">
        <v>24</v>
      </c>
      <c r="U709" s="52">
        <v>2036029790</v>
      </c>
      <c r="V709" s="52">
        <v>2036029790</v>
      </c>
      <c r="W709" s="52">
        <v>0</v>
      </c>
      <c r="X709" s="57"/>
      <c r="Y709" s="52">
        <v>0</v>
      </c>
      <c r="Z709" s="52">
        <v>0</v>
      </c>
      <c r="AA709" s="52">
        <v>1</v>
      </c>
      <c r="AB709" s="52">
        <v>0</v>
      </c>
      <c r="AC709" s="52">
        <v>23128761.66</v>
      </c>
      <c r="AD709" s="52">
        <v>8754928.0999999996</v>
      </c>
      <c r="AE709" s="52">
        <v>14373833.560000001</v>
      </c>
      <c r="AF709" s="52">
        <v>0</v>
      </c>
      <c r="AG709" s="52">
        <v>0</v>
      </c>
      <c r="AH709" s="52">
        <v>0</v>
      </c>
      <c r="AI709" s="52">
        <v>0</v>
      </c>
      <c r="AJ709" s="52">
        <v>2</v>
      </c>
      <c r="AK709" s="52"/>
      <c r="AL709" s="52">
        <v>0</v>
      </c>
      <c r="AM709" s="52">
        <v>0</v>
      </c>
      <c r="AN709" s="52">
        <v>1276513824000</v>
      </c>
      <c r="AO709" s="52">
        <v>422015396914</v>
      </c>
      <c r="AP709" s="52">
        <v>3993856945125</v>
      </c>
      <c r="AQ709" s="58">
        <v>0</v>
      </c>
      <c r="AR709" s="58">
        <v>0</v>
      </c>
      <c r="AS709" s="58">
        <v>0</v>
      </c>
      <c r="AT709" s="58">
        <v>0</v>
      </c>
      <c r="AU709" s="58">
        <v>0</v>
      </c>
      <c r="AV709" s="58">
        <v>0</v>
      </c>
      <c r="AW709" s="58">
        <v>0</v>
      </c>
      <c r="AX709" s="58">
        <v>0</v>
      </c>
    </row>
    <row r="710" spans="1:50" x14ac:dyDescent="0.25">
      <c r="A710" s="52">
        <f t="shared" si="37"/>
        <v>705</v>
      </c>
      <c r="B710" s="60" t="str">
        <f t="shared" si="38"/>
        <v>00446494701</v>
      </c>
      <c r="C710" s="55" t="s">
        <v>31</v>
      </c>
      <c r="D710" s="53" t="s">
        <v>2123</v>
      </c>
      <c r="E710" s="55" t="s">
        <v>1187</v>
      </c>
      <c r="F710" s="53" t="s">
        <v>2124</v>
      </c>
      <c r="G710" s="55">
        <v>11291</v>
      </c>
      <c r="H710" s="53" t="s">
        <v>1226</v>
      </c>
      <c r="I710" s="55" t="s">
        <v>1227</v>
      </c>
      <c r="J710" s="55">
        <v>494701</v>
      </c>
      <c r="K710" s="55" t="s">
        <v>1228</v>
      </c>
      <c r="L710" s="53" t="s">
        <v>2041</v>
      </c>
      <c r="M710" s="55" t="s">
        <v>49</v>
      </c>
      <c r="N710" s="52">
        <v>2000000000</v>
      </c>
      <c r="O710" s="52">
        <v>2000000000</v>
      </c>
      <c r="P710" s="52">
        <v>2000000000</v>
      </c>
      <c r="Q710" s="57">
        <v>45877</v>
      </c>
      <c r="R710" s="57">
        <v>46973</v>
      </c>
      <c r="S710" s="56">
        <v>27</v>
      </c>
      <c r="T710" s="54">
        <v>3</v>
      </c>
      <c r="U710" s="52">
        <v>1878787878</v>
      </c>
      <c r="V710" s="52">
        <v>1878787878</v>
      </c>
      <c r="W710" s="52">
        <v>0</v>
      </c>
      <c r="X710" s="57"/>
      <c r="Y710" s="52">
        <v>0</v>
      </c>
      <c r="Z710" s="52">
        <v>0</v>
      </c>
      <c r="AA710" s="52">
        <v>1</v>
      </c>
      <c r="AB710" s="52">
        <v>0</v>
      </c>
      <c r="AC710" s="52">
        <v>36134495.630000003</v>
      </c>
      <c r="AD710" s="52">
        <v>36134495.630000003</v>
      </c>
      <c r="AE710" s="52">
        <v>0</v>
      </c>
      <c r="AF710" s="52">
        <v>0</v>
      </c>
      <c r="AG710" s="52">
        <v>0</v>
      </c>
      <c r="AH710" s="52">
        <v>0</v>
      </c>
      <c r="AI710" s="52">
        <v>0</v>
      </c>
      <c r="AJ710" s="52">
        <v>2</v>
      </c>
      <c r="AK710" s="52"/>
      <c r="AL710" s="52">
        <v>0</v>
      </c>
      <c r="AM710" s="52">
        <v>0</v>
      </c>
      <c r="AN710" s="52">
        <v>2500000000</v>
      </c>
      <c r="AO710" s="52">
        <v>2095750000</v>
      </c>
      <c r="AP710" s="52">
        <v>0</v>
      </c>
      <c r="AQ710" s="58">
        <v>0</v>
      </c>
      <c r="AR710" s="58">
        <v>0</v>
      </c>
      <c r="AS710" s="58">
        <v>0</v>
      </c>
      <c r="AT710" s="58">
        <v>0</v>
      </c>
      <c r="AU710" s="58">
        <v>0</v>
      </c>
      <c r="AV710" s="58">
        <v>0</v>
      </c>
      <c r="AW710" s="58">
        <v>0</v>
      </c>
      <c r="AX710" s="58">
        <v>0</v>
      </c>
    </row>
    <row r="711" spans="1:50" x14ac:dyDescent="0.25">
      <c r="A711" s="52">
        <f t="shared" si="37"/>
        <v>706</v>
      </c>
      <c r="B711" s="60" t="str">
        <f t="shared" si="38"/>
        <v>00446484124</v>
      </c>
      <c r="C711" s="55" t="s">
        <v>31</v>
      </c>
      <c r="D711" s="53" t="s">
        <v>2123</v>
      </c>
      <c r="E711" s="55" t="s">
        <v>1187</v>
      </c>
      <c r="F711" s="53" t="s">
        <v>2124</v>
      </c>
      <c r="G711" s="55">
        <v>11291</v>
      </c>
      <c r="H711" s="53" t="s">
        <v>1229</v>
      </c>
      <c r="I711" s="55" t="s">
        <v>1230</v>
      </c>
      <c r="J711" s="55" t="s">
        <v>1231</v>
      </c>
      <c r="K711" s="55" t="s">
        <v>1232</v>
      </c>
      <c r="L711" s="53" t="s">
        <v>2107</v>
      </c>
      <c r="M711" s="55" t="s">
        <v>49</v>
      </c>
      <c r="N711" s="52">
        <v>2600000000</v>
      </c>
      <c r="O711" s="52">
        <v>2600000000</v>
      </c>
      <c r="P711" s="52">
        <v>2600000000</v>
      </c>
      <c r="Q711" s="57">
        <v>45779</v>
      </c>
      <c r="R711" s="57">
        <v>46328</v>
      </c>
      <c r="S711" s="56">
        <v>24</v>
      </c>
      <c r="T711" s="54">
        <v>3</v>
      </c>
      <c r="U711" s="52">
        <v>1733333335</v>
      </c>
      <c r="V711" s="52">
        <v>1733333335</v>
      </c>
      <c r="W711" s="52">
        <v>0</v>
      </c>
      <c r="X711" s="57"/>
      <c r="Y711" s="52">
        <v>0</v>
      </c>
      <c r="Z711" s="52">
        <v>0</v>
      </c>
      <c r="AA711" s="52">
        <v>1</v>
      </c>
      <c r="AB711" s="52">
        <v>0</v>
      </c>
      <c r="AC711" s="52">
        <v>29632876.739999998</v>
      </c>
      <c r="AD711" s="52">
        <v>29632876.739999998</v>
      </c>
      <c r="AE711" s="52">
        <v>0</v>
      </c>
      <c r="AF711" s="52">
        <v>0</v>
      </c>
      <c r="AG711" s="52">
        <v>0</v>
      </c>
      <c r="AH711" s="52">
        <v>0</v>
      </c>
      <c r="AI711" s="52">
        <v>0</v>
      </c>
      <c r="AJ711" s="52">
        <v>2</v>
      </c>
      <c r="AK711" s="52"/>
      <c r="AL711" s="52">
        <v>0</v>
      </c>
      <c r="AM711" s="52">
        <v>0</v>
      </c>
      <c r="AN711" s="52">
        <v>5980000000</v>
      </c>
      <c r="AO711" s="52">
        <v>3022300000</v>
      </c>
      <c r="AP711" s="52">
        <v>0</v>
      </c>
      <c r="AQ711" s="58">
        <v>0</v>
      </c>
      <c r="AR711" s="58">
        <v>0</v>
      </c>
      <c r="AS711" s="58">
        <v>0</v>
      </c>
      <c r="AT711" s="58">
        <v>0</v>
      </c>
      <c r="AU711" s="58">
        <v>0</v>
      </c>
      <c r="AV711" s="58">
        <v>0</v>
      </c>
      <c r="AW711" s="58">
        <v>0</v>
      </c>
      <c r="AX711" s="58">
        <v>0</v>
      </c>
    </row>
    <row r="712" spans="1:50" x14ac:dyDescent="0.25">
      <c r="A712" s="52">
        <f t="shared" ref="A712:A775" si="39">+A711+1</f>
        <v>707</v>
      </c>
      <c r="B712" s="60" t="str">
        <f t="shared" si="38"/>
        <v>00446493379</v>
      </c>
      <c r="C712" s="55" t="s">
        <v>31</v>
      </c>
      <c r="D712" s="53" t="s">
        <v>2123</v>
      </c>
      <c r="E712" s="55" t="s">
        <v>1187</v>
      </c>
      <c r="F712" s="53" t="s">
        <v>2124</v>
      </c>
      <c r="G712" s="55">
        <v>11291</v>
      </c>
      <c r="H712" s="53" t="s">
        <v>2561</v>
      </c>
      <c r="I712" s="55" t="s">
        <v>1191</v>
      </c>
      <c r="J712" s="55">
        <v>493379</v>
      </c>
      <c r="K712" s="55" t="s">
        <v>1233</v>
      </c>
      <c r="L712" s="53" t="s">
        <v>2043</v>
      </c>
      <c r="M712" s="55" t="s">
        <v>49</v>
      </c>
      <c r="N712" s="52">
        <v>1695000000</v>
      </c>
      <c r="O712" s="52">
        <v>1695000000</v>
      </c>
      <c r="P712" s="52">
        <v>1695000000</v>
      </c>
      <c r="Q712" s="57">
        <v>45868</v>
      </c>
      <c r="R712" s="57">
        <v>46598</v>
      </c>
      <c r="S712" s="56">
        <v>14</v>
      </c>
      <c r="T712" s="54">
        <v>12</v>
      </c>
      <c r="U712" s="52">
        <v>1695000000</v>
      </c>
      <c r="V712" s="52">
        <v>1695000000</v>
      </c>
      <c r="W712" s="52">
        <v>0</v>
      </c>
      <c r="X712" s="57"/>
      <c r="Y712" s="52">
        <v>0</v>
      </c>
      <c r="Z712" s="52">
        <v>0</v>
      </c>
      <c r="AA712" s="52">
        <v>1</v>
      </c>
      <c r="AB712" s="52">
        <v>0</v>
      </c>
      <c r="AC712" s="52">
        <v>16903561.649999999</v>
      </c>
      <c r="AD712" s="52">
        <v>16903561.649999999</v>
      </c>
      <c r="AE712" s="52">
        <v>0</v>
      </c>
      <c r="AF712" s="52">
        <v>0</v>
      </c>
      <c r="AG712" s="52">
        <v>0</v>
      </c>
      <c r="AH712" s="52">
        <v>0</v>
      </c>
      <c r="AI712" s="52">
        <v>0</v>
      </c>
      <c r="AJ712" s="52">
        <v>2</v>
      </c>
      <c r="AK712" s="52"/>
      <c r="AL712" s="52">
        <v>0</v>
      </c>
      <c r="AM712" s="52">
        <v>0</v>
      </c>
      <c r="AN712" s="52">
        <v>220350000000</v>
      </c>
      <c r="AO712" s="52">
        <v>3395500000</v>
      </c>
      <c r="AP712" s="52">
        <v>3395500000</v>
      </c>
      <c r="AQ712" s="58">
        <v>0</v>
      </c>
      <c r="AR712" s="58">
        <v>0</v>
      </c>
      <c r="AS712" s="58">
        <v>0</v>
      </c>
      <c r="AT712" s="58">
        <v>0</v>
      </c>
      <c r="AU712" s="58">
        <v>0</v>
      </c>
      <c r="AV712" s="58">
        <v>0</v>
      </c>
      <c r="AW712" s="58">
        <v>0</v>
      </c>
      <c r="AX712" s="58">
        <v>0</v>
      </c>
    </row>
    <row r="713" spans="1:50" x14ac:dyDescent="0.25">
      <c r="A713" s="52">
        <f t="shared" si="39"/>
        <v>708</v>
      </c>
      <c r="B713" s="60" t="str">
        <f t="shared" si="38"/>
        <v>00446468360</v>
      </c>
      <c r="C713" s="55" t="s">
        <v>31</v>
      </c>
      <c r="D713" s="53" t="s">
        <v>2123</v>
      </c>
      <c r="E713" s="55" t="s">
        <v>1187</v>
      </c>
      <c r="F713" s="53" t="s">
        <v>2124</v>
      </c>
      <c r="G713" s="55">
        <v>11291</v>
      </c>
      <c r="H713" s="53" t="s">
        <v>2566</v>
      </c>
      <c r="I713" s="55" t="s">
        <v>1210</v>
      </c>
      <c r="J713" s="55">
        <v>468360</v>
      </c>
      <c r="K713" s="55" t="s">
        <v>1234</v>
      </c>
      <c r="L713" s="53" t="s">
        <v>2107</v>
      </c>
      <c r="M713" s="55" t="s">
        <v>49</v>
      </c>
      <c r="N713" s="52">
        <v>2588000000</v>
      </c>
      <c r="O713" s="52">
        <v>2588000000</v>
      </c>
      <c r="P713" s="52">
        <v>2588000000</v>
      </c>
      <c r="Q713" s="57">
        <v>45472</v>
      </c>
      <c r="R713" s="57">
        <v>46202</v>
      </c>
      <c r="S713" s="56">
        <v>14</v>
      </c>
      <c r="T713" s="54">
        <v>12</v>
      </c>
      <c r="U713" s="52">
        <v>1293999999</v>
      </c>
      <c r="V713" s="52">
        <v>1293999999</v>
      </c>
      <c r="W713" s="52">
        <v>0</v>
      </c>
      <c r="X713" s="57"/>
      <c r="Y713" s="52">
        <v>0</v>
      </c>
      <c r="Z713" s="52">
        <v>0</v>
      </c>
      <c r="AA713" s="52">
        <v>1</v>
      </c>
      <c r="AB713" s="52">
        <v>0</v>
      </c>
      <c r="AC713" s="52">
        <v>13412847.52</v>
      </c>
      <c r="AD713" s="52">
        <v>13412847.52</v>
      </c>
      <c r="AE713" s="52">
        <v>0</v>
      </c>
      <c r="AF713" s="52">
        <v>0</v>
      </c>
      <c r="AG713" s="52">
        <v>0</v>
      </c>
      <c r="AH713" s="52">
        <v>0</v>
      </c>
      <c r="AI713" s="52">
        <v>0</v>
      </c>
      <c r="AJ713" s="52">
        <v>2</v>
      </c>
      <c r="AK713" s="52"/>
      <c r="AL713" s="52">
        <v>0</v>
      </c>
      <c r="AM713" s="52">
        <v>0</v>
      </c>
      <c r="AN713" s="52">
        <v>1690000000000</v>
      </c>
      <c r="AO713" s="52">
        <v>2665313481198</v>
      </c>
      <c r="AP713" s="52">
        <v>2065465099799</v>
      </c>
      <c r="AQ713" s="58">
        <v>0</v>
      </c>
      <c r="AR713" s="58">
        <v>0</v>
      </c>
      <c r="AS713" s="58">
        <v>0</v>
      </c>
      <c r="AT713" s="58">
        <v>0</v>
      </c>
      <c r="AU713" s="58">
        <v>0</v>
      </c>
      <c r="AV713" s="58">
        <v>0</v>
      </c>
      <c r="AW713" s="58">
        <v>0</v>
      </c>
      <c r="AX713" s="58">
        <v>0</v>
      </c>
    </row>
    <row r="714" spans="1:50" x14ac:dyDescent="0.25">
      <c r="A714" s="52">
        <f t="shared" si="39"/>
        <v>709</v>
      </c>
      <c r="B714" s="60" t="str">
        <f t="shared" si="38"/>
        <v>00446487048</v>
      </c>
      <c r="C714" s="55" t="s">
        <v>31</v>
      </c>
      <c r="D714" s="53" t="s">
        <v>2123</v>
      </c>
      <c r="E714" s="55" t="s">
        <v>1187</v>
      </c>
      <c r="F714" s="53" t="s">
        <v>2124</v>
      </c>
      <c r="G714" s="55">
        <v>11291</v>
      </c>
      <c r="H714" s="53" t="s">
        <v>2572</v>
      </c>
      <c r="I714" s="55" t="s">
        <v>1235</v>
      </c>
      <c r="J714" s="55" t="s">
        <v>1236</v>
      </c>
      <c r="K714" s="55" t="s">
        <v>1237</v>
      </c>
      <c r="L714" s="53" t="s">
        <v>2073</v>
      </c>
      <c r="M714" s="55" t="s">
        <v>49</v>
      </c>
      <c r="N714" s="52">
        <v>2000000000</v>
      </c>
      <c r="O714" s="52">
        <v>2000000000</v>
      </c>
      <c r="P714" s="52">
        <v>2000000000</v>
      </c>
      <c r="Q714" s="57">
        <v>45811</v>
      </c>
      <c r="R714" s="57">
        <v>46359</v>
      </c>
      <c r="S714" s="56">
        <v>24</v>
      </c>
      <c r="T714" s="54">
        <v>0</v>
      </c>
      <c r="U714" s="52">
        <v>1222222223</v>
      </c>
      <c r="V714" s="52">
        <v>1222222223</v>
      </c>
      <c r="W714" s="52">
        <v>0</v>
      </c>
      <c r="X714" s="57"/>
      <c r="Y714" s="52">
        <v>0</v>
      </c>
      <c r="Z714" s="52">
        <v>0</v>
      </c>
      <c r="AA714" s="52">
        <v>1</v>
      </c>
      <c r="AB714" s="52">
        <v>0</v>
      </c>
      <c r="AC714" s="52">
        <v>20894977.18</v>
      </c>
      <c r="AD714" s="52">
        <v>20894977.18</v>
      </c>
      <c r="AE714" s="52">
        <v>0</v>
      </c>
      <c r="AF714" s="52">
        <v>0</v>
      </c>
      <c r="AG714" s="52">
        <v>0</v>
      </c>
      <c r="AH714" s="52">
        <v>0</v>
      </c>
      <c r="AI714" s="52">
        <v>0</v>
      </c>
      <c r="AJ714" s="52">
        <v>2</v>
      </c>
      <c r="AK714" s="52"/>
      <c r="AL714" s="52">
        <v>0</v>
      </c>
      <c r="AM714" s="52">
        <v>0</v>
      </c>
      <c r="AN714" s="52">
        <v>4500000000</v>
      </c>
      <c r="AO714" s="52">
        <v>399325947376</v>
      </c>
      <c r="AP714" s="52">
        <v>0</v>
      </c>
      <c r="AQ714" s="58">
        <v>0</v>
      </c>
      <c r="AR714" s="58">
        <v>0</v>
      </c>
      <c r="AS714" s="58">
        <v>0</v>
      </c>
      <c r="AT714" s="58">
        <v>0</v>
      </c>
      <c r="AU714" s="58">
        <v>0</v>
      </c>
      <c r="AV714" s="58">
        <v>0</v>
      </c>
      <c r="AW714" s="58">
        <v>0</v>
      </c>
      <c r="AX714" s="58">
        <v>0</v>
      </c>
    </row>
    <row r="715" spans="1:50" x14ac:dyDescent="0.25">
      <c r="A715" s="52">
        <f t="shared" si="39"/>
        <v>710</v>
      </c>
      <c r="B715" s="60" t="str">
        <f t="shared" si="38"/>
        <v>00446480548</v>
      </c>
      <c r="C715" s="55" t="s">
        <v>31</v>
      </c>
      <c r="D715" s="53" t="s">
        <v>2123</v>
      </c>
      <c r="E715" s="55" t="s">
        <v>1187</v>
      </c>
      <c r="F715" s="53" t="s">
        <v>2124</v>
      </c>
      <c r="G715" s="55">
        <v>11291</v>
      </c>
      <c r="H715" s="53" t="s">
        <v>2573</v>
      </c>
      <c r="I715" s="55" t="s">
        <v>1238</v>
      </c>
      <c r="J715" s="55" t="s">
        <v>1239</v>
      </c>
      <c r="K715" s="55" t="s">
        <v>1240</v>
      </c>
      <c r="L715" s="53" t="s">
        <v>2107</v>
      </c>
      <c r="M715" s="55" t="s">
        <v>49</v>
      </c>
      <c r="N715" s="52">
        <v>2000000000</v>
      </c>
      <c r="O715" s="52">
        <v>2000000000</v>
      </c>
      <c r="P715" s="52">
        <v>2000000000</v>
      </c>
      <c r="Q715" s="57">
        <v>45744</v>
      </c>
      <c r="R715" s="57">
        <v>46293</v>
      </c>
      <c r="S715" s="56">
        <v>24</v>
      </c>
      <c r="T715" s="54">
        <v>3</v>
      </c>
      <c r="U715" s="52">
        <v>1200000002</v>
      </c>
      <c r="V715" s="52">
        <v>1200000002</v>
      </c>
      <c r="W715" s="52">
        <v>0</v>
      </c>
      <c r="X715" s="57"/>
      <c r="Y715" s="52">
        <v>0</v>
      </c>
      <c r="Z715" s="52">
        <v>0</v>
      </c>
      <c r="AA715" s="52">
        <v>1</v>
      </c>
      <c r="AB715" s="52">
        <v>0</v>
      </c>
      <c r="AC715" s="52">
        <v>48592954.899999999</v>
      </c>
      <c r="AD715" s="52">
        <v>48592954.899999999</v>
      </c>
      <c r="AE715" s="52">
        <v>0</v>
      </c>
      <c r="AF715" s="52">
        <v>0</v>
      </c>
      <c r="AG715" s="52">
        <v>0</v>
      </c>
      <c r="AH715" s="52">
        <v>0</v>
      </c>
      <c r="AI715" s="52">
        <v>0</v>
      </c>
      <c r="AJ715" s="52">
        <v>2</v>
      </c>
      <c r="AK715" s="52"/>
      <c r="AL715" s="52">
        <v>0</v>
      </c>
      <c r="AM715" s="52">
        <v>0</v>
      </c>
      <c r="AN715" s="52">
        <v>4600000000</v>
      </c>
      <c r="AO715" s="52">
        <v>354580992075</v>
      </c>
      <c r="AP715" s="52">
        <v>0</v>
      </c>
      <c r="AQ715" s="58">
        <v>0</v>
      </c>
      <c r="AR715" s="58">
        <v>0</v>
      </c>
      <c r="AS715" s="58">
        <v>0</v>
      </c>
      <c r="AT715" s="58">
        <v>0</v>
      </c>
      <c r="AU715" s="58">
        <v>0</v>
      </c>
      <c r="AV715" s="58">
        <v>0</v>
      </c>
      <c r="AW715" s="58">
        <v>0</v>
      </c>
      <c r="AX715" s="58">
        <v>0</v>
      </c>
    </row>
    <row r="716" spans="1:50" x14ac:dyDescent="0.25">
      <c r="A716" s="52">
        <f t="shared" si="39"/>
        <v>711</v>
      </c>
      <c r="B716" s="60" t="str">
        <f t="shared" si="38"/>
        <v>00446480243</v>
      </c>
      <c r="C716" s="55" t="s">
        <v>31</v>
      </c>
      <c r="D716" s="53" t="s">
        <v>2123</v>
      </c>
      <c r="E716" s="55" t="s">
        <v>1187</v>
      </c>
      <c r="F716" s="53" t="s">
        <v>2124</v>
      </c>
      <c r="G716" s="55">
        <v>11291</v>
      </c>
      <c r="H716" s="53" t="s">
        <v>2574</v>
      </c>
      <c r="I716" s="55" t="s">
        <v>1241</v>
      </c>
      <c r="J716" s="55">
        <v>480243</v>
      </c>
      <c r="K716" s="55" t="s">
        <v>1242</v>
      </c>
      <c r="L716" s="53" t="s">
        <v>2107</v>
      </c>
      <c r="M716" s="55" t="s">
        <v>49</v>
      </c>
      <c r="N716" s="52">
        <v>1500000000</v>
      </c>
      <c r="O716" s="52">
        <v>1500000000</v>
      </c>
      <c r="P716" s="52"/>
      <c r="Q716" s="57">
        <v>45742</v>
      </c>
      <c r="R716" s="57">
        <v>46290</v>
      </c>
      <c r="S716" s="56">
        <v>24</v>
      </c>
      <c r="T716" s="54">
        <v>3</v>
      </c>
      <c r="U716" s="52">
        <v>1101004263.53</v>
      </c>
      <c r="V716" s="52">
        <v>0</v>
      </c>
      <c r="W716" s="52">
        <v>0</v>
      </c>
      <c r="X716" s="57"/>
      <c r="Y716" s="52">
        <v>0</v>
      </c>
      <c r="Z716" s="52">
        <v>1101004263.53</v>
      </c>
      <c r="AA716" s="52">
        <v>1</v>
      </c>
      <c r="AB716" s="52">
        <v>0</v>
      </c>
      <c r="AC716" s="52">
        <v>76501558.579999998</v>
      </c>
      <c r="AD716" s="52">
        <v>15386301.369999999</v>
      </c>
      <c r="AE716" s="52">
        <v>0</v>
      </c>
      <c r="AF716" s="52">
        <v>0</v>
      </c>
      <c r="AG716" s="52">
        <v>61115257.210000001</v>
      </c>
      <c r="AH716" s="52">
        <v>0</v>
      </c>
      <c r="AI716" s="52">
        <v>0</v>
      </c>
      <c r="AJ716" s="52">
        <v>2</v>
      </c>
      <c r="AK716" s="52"/>
      <c r="AL716" s="52">
        <v>0</v>
      </c>
      <c r="AM716" s="52">
        <v>0</v>
      </c>
      <c r="AN716" s="52">
        <v>195000000000</v>
      </c>
      <c r="AO716" s="52">
        <v>1574902300</v>
      </c>
      <c r="AP716" s="52">
        <v>74902300</v>
      </c>
      <c r="AQ716" s="58">
        <v>0</v>
      </c>
      <c r="AR716" s="58">
        <v>0</v>
      </c>
      <c r="AS716" s="58">
        <v>0</v>
      </c>
      <c r="AT716" s="58">
        <v>0</v>
      </c>
      <c r="AU716" s="58">
        <v>0</v>
      </c>
      <c r="AV716" s="58">
        <v>0</v>
      </c>
      <c r="AW716" s="58">
        <v>0</v>
      </c>
      <c r="AX716" s="58">
        <v>0</v>
      </c>
    </row>
    <row r="717" spans="1:50" x14ac:dyDescent="0.25">
      <c r="A717" s="52">
        <f t="shared" si="39"/>
        <v>712</v>
      </c>
      <c r="B717" s="60" t="str">
        <f t="shared" si="38"/>
        <v>00446484004</v>
      </c>
      <c r="C717" s="55" t="s">
        <v>31</v>
      </c>
      <c r="D717" s="53" t="s">
        <v>2123</v>
      </c>
      <c r="E717" s="55" t="s">
        <v>1187</v>
      </c>
      <c r="F717" s="53" t="s">
        <v>2124</v>
      </c>
      <c r="G717" s="55">
        <v>11291</v>
      </c>
      <c r="H717" s="53" t="s">
        <v>2575</v>
      </c>
      <c r="I717" s="55" t="s">
        <v>1243</v>
      </c>
      <c r="J717" s="55" t="s">
        <v>1244</v>
      </c>
      <c r="K717" s="55" t="s">
        <v>1245</v>
      </c>
      <c r="L717" s="53" t="s">
        <v>2049</v>
      </c>
      <c r="M717" s="55" t="s">
        <v>49</v>
      </c>
      <c r="N717" s="52">
        <v>1500000000</v>
      </c>
      <c r="O717" s="52">
        <v>1500000000</v>
      </c>
      <c r="P717" s="52">
        <v>1500000000</v>
      </c>
      <c r="Q717" s="57">
        <v>45778</v>
      </c>
      <c r="R717" s="57">
        <v>46325</v>
      </c>
      <c r="S717" s="56">
        <v>24</v>
      </c>
      <c r="T717" s="54">
        <v>3</v>
      </c>
      <c r="U717" s="52">
        <v>1000000000</v>
      </c>
      <c r="V717" s="52">
        <v>1000000000</v>
      </c>
      <c r="W717" s="52">
        <v>0</v>
      </c>
      <c r="X717" s="57"/>
      <c r="Y717" s="52">
        <v>0</v>
      </c>
      <c r="Z717" s="52">
        <v>0</v>
      </c>
      <c r="AA717" s="52">
        <v>1</v>
      </c>
      <c r="AB717" s="52">
        <v>0</v>
      </c>
      <c r="AC717" s="52">
        <v>17095890.41</v>
      </c>
      <c r="AD717" s="52">
        <v>17095890.41</v>
      </c>
      <c r="AE717" s="52">
        <v>0</v>
      </c>
      <c r="AF717" s="52">
        <v>0</v>
      </c>
      <c r="AG717" s="52">
        <v>0</v>
      </c>
      <c r="AH717" s="52">
        <v>0</v>
      </c>
      <c r="AI717" s="52">
        <v>0</v>
      </c>
      <c r="AJ717" s="52">
        <v>2</v>
      </c>
      <c r="AK717" s="52"/>
      <c r="AL717" s="52">
        <v>0</v>
      </c>
      <c r="AM717" s="52">
        <v>0</v>
      </c>
      <c r="AN717" s="52">
        <v>3450000000</v>
      </c>
      <c r="AO717" s="52">
        <v>1761710000</v>
      </c>
      <c r="AP717" s="52">
        <v>0</v>
      </c>
      <c r="AQ717" s="58">
        <v>0</v>
      </c>
      <c r="AR717" s="58">
        <v>0</v>
      </c>
      <c r="AS717" s="58">
        <v>0</v>
      </c>
      <c r="AT717" s="58">
        <v>0</v>
      </c>
      <c r="AU717" s="58">
        <v>0</v>
      </c>
      <c r="AV717" s="58">
        <v>0</v>
      </c>
      <c r="AW717" s="58">
        <v>0</v>
      </c>
      <c r="AX717" s="58">
        <v>0</v>
      </c>
    </row>
    <row r="718" spans="1:50" x14ac:dyDescent="0.25">
      <c r="A718" s="52">
        <f t="shared" si="39"/>
        <v>713</v>
      </c>
      <c r="B718" s="60" t="str">
        <f t="shared" si="38"/>
        <v>00446494779</v>
      </c>
      <c r="C718" s="55" t="s">
        <v>31</v>
      </c>
      <c r="D718" s="53" t="s">
        <v>2123</v>
      </c>
      <c r="E718" s="55" t="s">
        <v>1187</v>
      </c>
      <c r="F718" s="53" t="s">
        <v>2124</v>
      </c>
      <c r="G718" s="55">
        <v>11291</v>
      </c>
      <c r="H718" s="53" t="s">
        <v>2563</v>
      </c>
      <c r="I718" s="55" t="s">
        <v>1201</v>
      </c>
      <c r="J718" s="55">
        <v>494779</v>
      </c>
      <c r="K718" s="55" t="s">
        <v>1246</v>
      </c>
      <c r="L718" s="53" t="s">
        <v>2130</v>
      </c>
      <c r="M718" s="55" t="s">
        <v>75</v>
      </c>
      <c r="N718" s="52">
        <v>80000</v>
      </c>
      <c r="O718" s="52">
        <v>965420800</v>
      </c>
      <c r="P718" s="52">
        <v>965420800</v>
      </c>
      <c r="Q718" s="57">
        <v>45881</v>
      </c>
      <c r="R718" s="57">
        <v>46246</v>
      </c>
      <c r="S718" s="56">
        <v>6</v>
      </c>
      <c r="T718" s="54">
        <v>6</v>
      </c>
      <c r="U718" s="52">
        <v>975928000</v>
      </c>
      <c r="V718" s="52">
        <v>975928000</v>
      </c>
      <c r="W718" s="52">
        <v>0</v>
      </c>
      <c r="X718" s="57"/>
      <c r="Y718" s="52">
        <v>0</v>
      </c>
      <c r="Z718" s="52">
        <v>0</v>
      </c>
      <c r="AA718" s="52">
        <v>1</v>
      </c>
      <c r="AB718" s="52">
        <v>0</v>
      </c>
      <c r="AC718" s="52">
        <v>4171116.27</v>
      </c>
      <c r="AD718" s="52">
        <v>4171116.27</v>
      </c>
      <c r="AE718" s="52">
        <v>0</v>
      </c>
      <c r="AF718" s="52">
        <v>0</v>
      </c>
      <c r="AG718" s="52">
        <v>0</v>
      </c>
      <c r="AH718" s="52">
        <v>0</v>
      </c>
      <c r="AI718" s="52">
        <v>0</v>
      </c>
      <c r="AJ718" s="52">
        <v>2</v>
      </c>
      <c r="AK718" s="52"/>
      <c r="AL718" s="52">
        <v>0</v>
      </c>
      <c r="AM718" s="52">
        <v>0</v>
      </c>
      <c r="AN718" s="52">
        <v>1291981600</v>
      </c>
      <c r="AO718" s="52">
        <v>718480427</v>
      </c>
      <c r="AP718" s="52">
        <v>718480427</v>
      </c>
      <c r="AQ718" s="58">
        <v>0</v>
      </c>
      <c r="AR718" s="58">
        <v>0</v>
      </c>
      <c r="AS718" s="58">
        <v>0</v>
      </c>
      <c r="AT718" s="58">
        <v>0</v>
      </c>
      <c r="AU718" s="58">
        <v>0</v>
      </c>
      <c r="AV718" s="58">
        <v>0</v>
      </c>
      <c r="AW718" s="58">
        <v>0</v>
      </c>
      <c r="AX718" s="58">
        <v>0</v>
      </c>
    </row>
    <row r="719" spans="1:50" x14ac:dyDescent="0.25">
      <c r="A719" s="52">
        <f t="shared" si="39"/>
        <v>714</v>
      </c>
      <c r="B719" s="60" t="str">
        <f t="shared" si="38"/>
        <v>00446486602</v>
      </c>
      <c r="C719" s="55" t="s">
        <v>31</v>
      </c>
      <c r="D719" s="53" t="s">
        <v>2123</v>
      </c>
      <c r="E719" s="55" t="s">
        <v>1187</v>
      </c>
      <c r="F719" s="53" t="s">
        <v>2124</v>
      </c>
      <c r="G719" s="55">
        <v>11291</v>
      </c>
      <c r="H719" s="53" t="s">
        <v>2576</v>
      </c>
      <c r="I719" s="55" t="s">
        <v>1247</v>
      </c>
      <c r="J719" s="55" t="s">
        <v>1248</v>
      </c>
      <c r="K719" s="55" t="s">
        <v>1249</v>
      </c>
      <c r="L719" s="53" t="s">
        <v>2107</v>
      </c>
      <c r="M719" s="55" t="s">
        <v>49</v>
      </c>
      <c r="N719" s="52">
        <v>1700000000</v>
      </c>
      <c r="O719" s="52">
        <v>1700000000</v>
      </c>
      <c r="P719" s="52">
        <v>1700000000</v>
      </c>
      <c r="Q719" s="57">
        <v>45803</v>
      </c>
      <c r="R719" s="57">
        <v>46168</v>
      </c>
      <c r="S719" s="56">
        <v>23</v>
      </c>
      <c r="T719" s="54">
        <v>3</v>
      </c>
      <c r="U719" s="52">
        <v>944444444</v>
      </c>
      <c r="V719" s="52">
        <v>944444444</v>
      </c>
      <c r="W719" s="52">
        <v>0</v>
      </c>
      <c r="X719" s="57"/>
      <c r="Y719" s="52">
        <v>0</v>
      </c>
      <c r="Z719" s="52">
        <v>0</v>
      </c>
      <c r="AA719" s="52">
        <v>1</v>
      </c>
      <c r="AB719" s="52">
        <v>0</v>
      </c>
      <c r="AC719" s="52">
        <v>15473363.77</v>
      </c>
      <c r="AD719" s="52">
        <v>15473363.77</v>
      </c>
      <c r="AE719" s="52">
        <v>0</v>
      </c>
      <c r="AF719" s="52">
        <v>0</v>
      </c>
      <c r="AG719" s="52">
        <v>0</v>
      </c>
      <c r="AH719" s="52">
        <v>0</v>
      </c>
      <c r="AI719" s="52">
        <v>0</v>
      </c>
      <c r="AJ719" s="52">
        <v>2</v>
      </c>
      <c r="AK719" s="52"/>
      <c r="AL719" s="52">
        <v>0</v>
      </c>
      <c r="AM719" s="52">
        <v>0</v>
      </c>
      <c r="AN719" s="52">
        <v>3825000000</v>
      </c>
      <c r="AO719" s="52">
        <v>1702857055581</v>
      </c>
      <c r="AP719" s="52">
        <v>12035897302</v>
      </c>
      <c r="AQ719" s="58">
        <v>0</v>
      </c>
      <c r="AR719" s="58">
        <v>0</v>
      </c>
      <c r="AS719" s="58">
        <v>0</v>
      </c>
      <c r="AT719" s="58">
        <v>0</v>
      </c>
      <c r="AU719" s="58">
        <v>0</v>
      </c>
      <c r="AV719" s="58">
        <v>0</v>
      </c>
      <c r="AW719" s="58">
        <v>0</v>
      </c>
      <c r="AX719" s="58">
        <v>0</v>
      </c>
    </row>
    <row r="720" spans="1:50" x14ac:dyDescent="0.25">
      <c r="A720" s="52">
        <f t="shared" si="39"/>
        <v>715</v>
      </c>
      <c r="B720" s="60" t="str">
        <f t="shared" si="38"/>
        <v>00446468460</v>
      </c>
      <c r="C720" s="55" t="s">
        <v>31</v>
      </c>
      <c r="D720" s="53" t="s">
        <v>2123</v>
      </c>
      <c r="E720" s="55" t="s">
        <v>1187</v>
      </c>
      <c r="F720" s="53" t="s">
        <v>2124</v>
      </c>
      <c r="G720" s="55">
        <v>11291</v>
      </c>
      <c r="H720" s="53" t="s">
        <v>2415</v>
      </c>
      <c r="I720" s="55" t="s">
        <v>1218</v>
      </c>
      <c r="J720" s="55">
        <v>468460</v>
      </c>
      <c r="K720" s="55" t="s">
        <v>1250</v>
      </c>
      <c r="L720" s="53" t="s">
        <v>2107</v>
      </c>
      <c r="M720" s="55" t="s">
        <v>49</v>
      </c>
      <c r="N720" s="52">
        <v>1812000000</v>
      </c>
      <c r="O720" s="52">
        <v>1812000000</v>
      </c>
      <c r="P720" s="52"/>
      <c r="Q720" s="57">
        <v>45472</v>
      </c>
      <c r="R720" s="57">
        <v>46202</v>
      </c>
      <c r="S720" s="56">
        <v>14</v>
      </c>
      <c r="T720" s="54">
        <v>12</v>
      </c>
      <c r="U720" s="52">
        <v>906000000</v>
      </c>
      <c r="V720" s="52">
        <v>906000000</v>
      </c>
      <c r="W720" s="52">
        <v>0</v>
      </c>
      <c r="X720" s="57"/>
      <c r="Y720" s="52">
        <v>0</v>
      </c>
      <c r="Z720" s="52">
        <v>0</v>
      </c>
      <c r="AA720" s="52">
        <v>1</v>
      </c>
      <c r="AB720" s="52">
        <v>0</v>
      </c>
      <c r="AC720" s="52">
        <v>9391066.3800000008</v>
      </c>
      <c r="AD720" s="52">
        <v>9391066.3800000008</v>
      </c>
      <c r="AE720" s="52">
        <v>0</v>
      </c>
      <c r="AF720" s="52">
        <v>0</v>
      </c>
      <c r="AG720" s="52">
        <v>0</v>
      </c>
      <c r="AH720" s="52">
        <v>0</v>
      </c>
      <c r="AI720" s="52">
        <v>0</v>
      </c>
      <c r="AJ720" s="52">
        <v>2</v>
      </c>
      <c r="AK720" s="52"/>
      <c r="AL720" s="52">
        <v>0</v>
      </c>
      <c r="AM720" s="52">
        <v>0</v>
      </c>
      <c r="AN720" s="52">
        <v>1183000000000</v>
      </c>
      <c r="AO720" s="52">
        <v>408916310617</v>
      </c>
      <c r="AP720" s="52">
        <v>2684000000</v>
      </c>
      <c r="AQ720" s="58">
        <v>0</v>
      </c>
      <c r="AR720" s="58">
        <v>0</v>
      </c>
      <c r="AS720" s="58">
        <v>0</v>
      </c>
      <c r="AT720" s="58">
        <v>0</v>
      </c>
      <c r="AU720" s="58">
        <v>0</v>
      </c>
      <c r="AV720" s="58">
        <v>0</v>
      </c>
      <c r="AW720" s="58">
        <v>0</v>
      </c>
      <c r="AX720" s="58">
        <v>0</v>
      </c>
    </row>
    <row r="721" spans="1:50" x14ac:dyDescent="0.25">
      <c r="A721" s="52">
        <f t="shared" si="39"/>
        <v>716</v>
      </c>
      <c r="B721" s="60" t="str">
        <f t="shared" si="38"/>
        <v>0008315408007</v>
      </c>
      <c r="C721" s="55" t="s">
        <v>35</v>
      </c>
      <c r="D721" s="53" t="s">
        <v>2139</v>
      </c>
      <c r="E721" s="55" t="s">
        <v>1251</v>
      </c>
      <c r="F721" s="53" t="s">
        <v>2140</v>
      </c>
      <c r="G721" s="55">
        <v>11443</v>
      </c>
      <c r="H721" s="53" t="s">
        <v>2577</v>
      </c>
      <c r="I721" s="55">
        <v>306581444</v>
      </c>
      <c r="J721" s="55" t="s">
        <v>1252</v>
      </c>
      <c r="K721" s="55" t="s">
        <v>1253</v>
      </c>
      <c r="L721" s="53" t="s">
        <v>2073</v>
      </c>
      <c r="M721" s="55" t="s">
        <v>49</v>
      </c>
      <c r="N721" s="52">
        <v>14394240000</v>
      </c>
      <c r="O721" s="52">
        <v>14394240000</v>
      </c>
      <c r="P721" s="52">
        <v>14394240000</v>
      </c>
      <c r="Q721" s="57">
        <v>45476</v>
      </c>
      <c r="R721" s="57">
        <v>48032</v>
      </c>
      <c r="S721" s="56">
        <v>14</v>
      </c>
      <c r="T721" s="54">
        <v>0</v>
      </c>
      <c r="U721" s="52">
        <v>12458411979.49</v>
      </c>
      <c r="V721" s="52">
        <v>12458411979.49</v>
      </c>
      <c r="W721" s="52">
        <v>0</v>
      </c>
      <c r="X721" s="57"/>
      <c r="Y721" s="52">
        <v>0</v>
      </c>
      <c r="Z721" s="52">
        <v>0</v>
      </c>
      <c r="AA721" s="52">
        <v>1</v>
      </c>
      <c r="AB721" s="52">
        <v>0</v>
      </c>
      <c r="AC721" s="52">
        <v>81235672.640000001</v>
      </c>
      <c r="AD721" s="52">
        <v>81235672.640000001</v>
      </c>
      <c r="AE721" s="52">
        <v>0</v>
      </c>
      <c r="AF721" s="52">
        <v>0</v>
      </c>
      <c r="AG721" s="52">
        <v>0</v>
      </c>
      <c r="AH721" s="52">
        <v>0</v>
      </c>
      <c r="AI721" s="52">
        <v>0</v>
      </c>
      <c r="AJ721" s="52">
        <v>2</v>
      </c>
      <c r="AK721" s="52"/>
      <c r="AL721" s="52">
        <v>0</v>
      </c>
      <c r="AM721" s="52">
        <v>0</v>
      </c>
      <c r="AN721" s="52">
        <v>17992800000</v>
      </c>
      <c r="AO721" s="52">
        <v>22176667174878</v>
      </c>
      <c r="AP721" s="52">
        <v>22176667174878</v>
      </c>
      <c r="AQ721" s="58">
        <v>317</v>
      </c>
      <c r="AR721" s="58">
        <v>35671025.950000018</v>
      </c>
      <c r="AS721" s="58">
        <v>132</v>
      </c>
      <c r="AT721" s="58">
        <v>23953695.780000005</v>
      </c>
      <c r="AU721" s="58">
        <v>36</v>
      </c>
      <c r="AV721" s="58">
        <v>566036.27999999991</v>
      </c>
      <c r="AW721" s="58">
        <v>44</v>
      </c>
      <c r="AX721" s="58">
        <v>6336381.5800000001</v>
      </c>
    </row>
    <row r="722" spans="1:50" x14ac:dyDescent="0.25">
      <c r="A722" s="52">
        <f t="shared" si="39"/>
        <v>717</v>
      </c>
      <c r="B722" s="60" t="str">
        <f t="shared" si="38"/>
        <v>0008315928200</v>
      </c>
      <c r="C722" s="55" t="s">
        <v>35</v>
      </c>
      <c r="D722" s="53" t="s">
        <v>2139</v>
      </c>
      <c r="E722" s="55" t="s">
        <v>1251</v>
      </c>
      <c r="F722" s="53" t="s">
        <v>2140</v>
      </c>
      <c r="G722" s="55">
        <v>11443</v>
      </c>
      <c r="H722" s="53" t="s">
        <v>1254</v>
      </c>
      <c r="I722" s="55">
        <v>301657541</v>
      </c>
      <c r="J722" s="55" t="s">
        <v>1255</v>
      </c>
      <c r="K722" s="55" t="s">
        <v>1256</v>
      </c>
      <c r="L722" s="53" t="s">
        <v>2073</v>
      </c>
      <c r="M722" s="55" t="s">
        <v>49</v>
      </c>
      <c r="N722" s="52">
        <v>10000000000</v>
      </c>
      <c r="O722" s="52">
        <v>10000000000</v>
      </c>
      <c r="P722" s="52">
        <v>10000000000</v>
      </c>
      <c r="Q722" s="57">
        <v>45896</v>
      </c>
      <c r="R722" s="57">
        <v>48453</v>
      </c>
      <c r="S722" s="56">
        <v>14</v>
      </c>
      <c r="T722" s="54">
        <v>0</v>
      </c>
      <c r="U722" s="52">
        <v>9637362532.7199993</v>
      </c>
      <c r="V722" s="52">
        <v>9637362532.7199993</v>
      </c>
      <c r="W722" s="52">
        <v>0</v>
      </c>
      <c r="X722" s="57"/>
      <c r="Y722" s="52">
        <v>0</v>
      </c>
      <c r="Z722" s="52">
        <v>0</v>
      </c>
      <c r="AA722" s="52">
        <v>1</v>
      </c>
      <c r="AB722" s="52">
        <v>0</v>
      </c>
      <c r="AC722" s="52">
        <v>22179135.690000001</v>
      </c>
      <c r="AD722" s="52">
        <v>22179135.690000001</v>
      </c>
      <c r="AE722" s="52">
        <v>0</v>
      </c>
      <c r="AF722" s="52">
        <v>0</v>
      </c>
      <c r="AG722" s="52">
        <v>0</v>
      </c>
      <c r="AH722" s="52">
        <v>0</v>
      </c>
      <c r="AI722" s="52">
        <v>0</v>
      </c>
      <c r="AJ722" s="52">
        <v>2</v>
      </c>
      <c r="AK722" s="52"/>
      <c r="AL722" s="52">
        <v>0</v>
      </c>
      <c r="AM722" s="52">
        <v>0</v>
      </c>
      <c r="AN722" s="52">
        <v>12500000000</v>
      </c>
      <c r="AO722" s="52">
        <v>50684933874</v>
      </c>
      <c r="AP722" s="52">
        <v>34926879096</v>
      </c>
      <c r="AQ722" s="58">
        <v>11</v>
      </c>
      <c r="AR722" s="58">
        <v>40219.620000000003</v>
      </c>
      <c r="AS722" s="58">
        <v>4</v>
      </c>
      <c r="AT722" s="58">
        <v>6962</v>
      </c>
      <c r="AU722" s="58">
        <v>3</v>
      </c>
      <c r="AV722" s="58">
        <v>21877</v>
      </c>
      <c r="AW722" s="58">
        <v>1</v>
      </c>
      <c r="AX722" s="58">
        <v>799370.73</v>
      </c>
    </row>
    <row r="723" spans="1:50" x14ac:dyDescent="0.25">
      <c r="A723" s="52">
        <f t="shared" si="39"/>
        <v>718</v>
      </c>
      <c r="B723" s="60" t="str">
        <f t="shared" si="38"/>
        <v>0008315809846</v>
      </c>
      <c r="C723" s="55" t="s">
        <v>35</v>
      </c>
      <c r="D723" s="53" t="s">
        <v>2139</v>
      </c>
      <c r="E723" s="55" t="s">
        <v>1251</v>
      </c>
      <c r="F723" s="53" t="s">
        <v>2140</v>
      </c>
      <c r="G723" s="55">
        <v>11443</v>
      </c>
      <c r="H723" s="53" t="s">
        <v>1257</v>
      </c>
      <c r="I723" s="55">
        <v>305194927</v>
      </c>
      <c r="J723" s="55" t="s">
        <v>1258</v>
      </c>
      <c r="K723" s="55" t="s">
        <v>1259</v>
      </c>
      <c r="L723" s="53" t="s">
        <v>2073</v>
      </c>
      <c r="M723" s="55" t="s">
        <v>49</v>
      </c>
      <c r="N723" s="52">
        <v>10000000000</v>
      </c>
      <c r="O723" s="52">
        <v>10000000000</v>
      </c>
      <c r="P723" s="52">
        <v>10000000000</v>
      </c>
      <c r="Q723" s="57">
        <v>45734</v>
      </c>
      <c r="R723" s="57">
        <v>48291</v>
      </c>
      <c r="S723" s="56">
        <v>14</v>
      </c>
      <c r="T723" s="54">
        <v>0</v>
      </c>
      <c r="U723" s="52">
        <v>5596893757.7200003</v>
      </c>
      <c r="V723" s="52">
        <v>5596893757.7200003</v>
      </c>
      <c r="W723" s="52">
        <v>0</v>
      </c>
      <c r="X723" s="57"/>
      <c r="Y723" s="52">
        <v>0</v>
      </c>
      <c r="Z723" s="52">
        <v>0</v>
      </c>
      <c r="AA723" s="52">
        <v>1</v>
      </c>
      <c r="AB723" s="52">
        <v>0</v>
      </c>
      <c r="AC723" s="52">
        <v>25761045.239999998</v>
      </c>
      <c r="AD723" s="52">
        <v>25761045.239999998</v>
      </c>
      <c r="AE723" s="52">
        <v>0</v>
      </c>
      <c r="AF723" s="52">
        <v>0</v>
      </c>
      <c r="AG723" s="52">
        <v>0</v>
      </c>
      <c r="AH723" s="52">
        <v>0</v>
      </c>
      <c r="AI723" s="52">
        <v>0</v>
      </c>
      <c r="AJ723" s="52">
        <v>2</v>
      </c>
      <c r="AK723" s="52"/>
      <c r="AL723" s="52">
        <v>0</v>
      </c>
      <c r="AM723" s="52">
        <v>0</v>
      </c>
      <c r="AN723" s="52">
        <v>12500000000</v>
      </c>
      <c r="AO723" s="52">
        <v>3657968061199</v>
      </c>
      <c r="AP723" s="52">
        <v>3657968061199</v>
      </c>
      <c r="AQ723" s="58">
        <v>330</v>
      </c>
      <c r="AR723" s="58">
        <v>30874946.25</v>
      </c>
      <c r="AS723" s="58">
        <v>57</v>
      </c>
      <c r="AT723" s="58">
        <v>5990058.6799999997</v>
      </c>
      <c r="AU723" s="58">
        <v>388</v>
      </c>
      <c r="AV723" s="58">
        <v>42022079.280000001</v>
      </c>
      <c r="AW723" s="58">
        <v>68</v>
      </c>
      <c r="AX723" s="58">
        <v>8865436.2699999996</v>
      </c>
    </row>
    <row r="724" spans="1:50" x14ac:dyDescent="0.25">
      <c r="A724" s="52">
        <f t="shared" si="39"/>
        <v>719</v>
      </c>
      <c r="B724" s="60" t="str">
        <f t="shared" si="38"/>
        <v>0008315918542</v>
      </c>
      <c r="C724" s="55" t="s">
        <v>35</v>
      </c>
      <c r="D724" s="53" t="s">
        <v>2139</v>
      </c>
      <c r="E724" s="55" t="s">
        <v>1251</v>
      </c>
      <c r="F724" s="53" t="s">
        <v>2140</v>
      </c>
      <c r="G724" s="55">
        <v>11443</v>
      </c>
      <c r="H724" s="53" t="s">
        <v>1260</v>
      </c>
      <c r="I724" s="55">
        <v>310662549</v>
      </c>
      <c r="J724" s="55" t="s">
        <v>1261</v>
      </c>
      <c r="K724" s="55" t="s">
        <v>1262</v>
      </c>
      <c r="L724" s="53" t="s">
        <v>2073</v>
      </c>
      <c r="M724" s="55" t="s">
        <v>75</v>
      </c>
      <c r="N724" s="52">
        <v>500000</v>
      </c>
      <c r="O724" s="52">
        <v>6042050000</v>
      </c>
      <c r="P724" s="52">
        <v>6042050000</v>
      </c>
      <c r="Q724" s="57">
        <v>45883</v>
      </c>
      <c r="R724" s="57">
        <v>46248</v>
      </c>
      <c r="S724" s="56">
        <v>12</v>
      </c>
      <c r="T724" s="54">
        <v>3</v>
      </c>
      <c r="U724" s="52">
        <v>4791337912.5699997</v>
      </c>
      <c r="V724" s="52">
        <v>4791337912.5699997</v>
      </c>
      <c r="W724" s="52">
        <v>0</v>
      </c>
      <c r="X724" s="57"/>
      <c r="Y724" s="52">
        <v>0</v>
      </c>
      <c r="Z724" s="52">
        <v>0</v>
      </c>
      <c r="AA724" s="52">
        <v>1</v>
      </c>
      <c r="AB724" s="52">
        <v>0</v>
      </c>
      <c r="AC724" s="52">
        <v>28570658.170000002</v>
      </c>
      <c r="AD724" s="52">
        <v>28570658.170000002</v>
      </c>
      <c r="AE724" s="52">
        <v>0</v>
      </c>
      <c r="AF724" s="52">
        <v>0</v>
      </c>
      <c r="AG724" s="52">
        <v>0</v>
      </c>
      <c r="AH724" s="52">
        <v>0</v>
      </c>
      <c r="AI724" s="52">
        <v>0</v>
      </c>
      <c r="AJ724" s="52">
        <v>2</v>
      </c>
      <c r="AK724" s="52"/>
      <c r="AL724" s="52">
        <v>0</v>
      </c>
      <c r="AM724" s="52">
        <v>0</v>
      </c>
      <c r="AN724" s="52">
        <v>16300000000</v>
      </c>
      <c r="AO724" s="52">
        <v>1014938084393</v>
      </c>
      <c r="AP724" s="52">
        <v>1014938084393</v>
      </c>
      <c r="AQ724" s="58">
        <v>2</v>
      </c>
      <c r="AR724" s="58">
        <v>26000</v>
      </c>
      <c r="AS724" s="58">
        <v>1</v>
      </c>
      <c r="AT724" s="58">
        <v>61100</v>
      </c>
      <c r="AU724" s="58">
        <v>15</v>
      </c>
      <c r="AV724" s="58">
        <v>380938</v>
      </c>
      <c r="AW724" s="58">
        <v>7</v>
      </c>
      <c r="AX724" s="58">
        <v>322078.57</v>
      </c>
    </row>
    <row r="725" spans="1:50" x14ac:dyDescent="0.25">
      <c r="A725" s="52">
        <f t="shared" si="39"/>
        <v>720</v>
      </c>
      <c r="B725" s="60" t="str">
        <f t="shared" si="38"/>
        <v>0008315840420</v>
      </c>
      <c r="C725" s="55" t="s">
        <v>35</v>
      </c>
      <c r="D725" s="53" t="s">
        <v>2139</v>
      </c>
      <c r="E725" s="55" t="s">
        <v>1251</v>
      </c>
      <c r="F725" s="53" t="s">
        <v>2140</v>
      </c>
      <c r="G725" s="55">
        <v>11443</v>
      </c>
      <c r="H725" s="53" t="s">
        <v>1263</v>
      </c>
      <c r="I725" s="55">
        <v>306778980</v>
      </c>
      <c r="J725" s="55" t="s">
        <v>1264</v>
      </c>
      <c r="K725" s="55" t="s">
        <v>1265</v>
      </c>
      <c r="L725" s="53" t="s">
        <v>2073</v>
      </c>
      <c r="M725" s="55" t="s">
        <v>75</v>
      </c>
      <c r="N725" s="52">
        <v>430000</v>
      </c>
      <c r="O725" s="52">
        <v>5196163000</v>
      </c>
      <c r="P725" s="52">
        <v>5196163000</v>
      </c>
      <c r="Q725" s="57">
        <v>45769</v>
      </c>
      <c r="R725" s="57">
        <v>47595</v>
      </c>
      <c r="S725" s="56">
        <v>11.27</v>
      </c>
      <c r="T725" s="54">
        <v>6</v>
      </c>
      <c r="U725" s="52">
        <v>4790935952.2200003</v>
      </c>
      <c r="V725" s="52">
        <v>4790935952.2200003</v>
      </c>
      <c r="W725" s="52">
        <v>0</v>
      </c>
      <c r="X725" s="57"/>
      <c r="Y725" s="52">
        <v>0</v>
      </c>
      <c r="Z725" s="52">
        <v>0</v>
      </c>
      <c r="AA725" s="52">
        <v>1</v>
      </c>
      <c r="AB725" s="52">
        <v>0</v>
      </c>
      <c r="AC725" s="52">
        <v>36685621.479999997</v>
      </c>
      <c r="AD725" s="52">
        <v>36685621.479999997</v>
      </c>
      <c r="AE725" s="52">
        <v>0</v>
      </c>
      <c r="AF725" s="52">
        <v>0</v>
      </c>
      <c r="AG725" s="52">
        <v>0</v>
      </c>
      <c r="AH725" s="52">
        <v>0</v>
      </c>
      <c r="AI725" s="52">
        <v>0</v>
      </c>
      <c r="AJ725" s="52">
        <v>2</v>
      </c>
      <c r="AK725" s="52"/>
      <c r="AL725" s="52">
        <v>0</v>
      </c>
      <c r="AM725" s="52">
        <v>0</v>
      </c>
      <c r="AN725" s="52">
        <v>13772000000</v>
      </c>
      <c r="AO725" s="52">
        <v>1131197642428</v>
      </c>
      <c r="AP725" s="52">
        <v>512714042442</v>
      </c>
      <c r="AQ725" s="58">
        <v>0</v>
      </c>
      <c r="AR725" s="58">
        <v>0</v>
      </c>
      <c r="AS725" s="58">
        <v>0</v>
      </c>
      <c r="AT725" s="58">
        <v>0</v>
      </c>
      <c r="AU725" s="58">
        <v>1</v>
      </c>
      <c r="AV725" s="58">
        <v>150000</v>
      </c>
      <c r="AW725" s="58">
        <v>0</v>
      </c>
      <c r="AX725" s="58">
        <v>0</v>
      </c>
    </row>
    <row r="726" spans="1:50" x14ac:dyDescent="0.25">
      <c r="A726" s="52">
        <f t="shared" si="39"/>
        <v>721</v>
      </c>
      <c r="B726" s="60" t="str">
        <f t="shared" si="38"/>
        <v>0008315258802</v>
      </c>
      <c r="C726" s="55" t="s">
        <v>35</v>
      </c>
      <c r="D726" s="53" t="s">
        <v>2139</v>
      </c>
      <c r="E726" s="55" t="s">
        <v>1251</v>
      </c>
      <c r="F726" s="53" t="s">
        <v>2140</v>
      </c>
      <c r="G726" s="55">
        <v>11443</v>
      </c>
      <c r="H726" s="53" t="s">
        <v>1263</v>
      </c>
      <c r="I726" s="55">
        <v>306778980</v>
      </c>
      <c r="J726" s="55" t="s">
        <v>1266</v>
      </c>
      <c r="K726" s="55" t="s">
        <v>1267</v>
      </c>
      <c r="L726" s="53" t="s">
        <v>2073</v>
      </c>
      <c r="M726" s="55" t="s">
        <v>75</v>
      </c>
      <c r="N726" s="52">
        <v>500000</v>
      </c>
      <c r="O726" s="52">
        <v>6042050000</v>
      </c>
      <c r="P726" s="52">
        <v>6042050000</v>
      </c>
      <c r="Q726" s="57">
        <v>45321</v>
      </c>
      <c r="R726" s="57">
        <v>46417</v>
      </c>
      <c r="S726" s="56">
        <v>13.27</v>
      </c>
      <c r="T726" s="54">
        <v>0</v>
      </c>
      <c r="U726" s="52">
        <v>2285340234.8899999</v>
      </c>
      <c r="V726" s="52">
        <v>2285340234.8899999</v>
      </c>
      <c r="W726" s="52">
        <v>0</v>
      </c>
      <c r="X726" s="57"/>
      <c r="Y726" s="52">
        <v>0</v>
      </c>
      <c r="Z726" s="52">
        <v>0</v>
      </c>
      <c r="AA726" s="52">
        <v>1</v>
      </c>
      <c r="AB726" s="52">
        <v>0</v>
      </c>
      <c r="AC726" s="52">
        <v>13633592.17</v>
      </c>
      <c r="AD726" s="52">
        <v>13633592.17</v>
      </c>
      <c r="AE726" s="52">
        <v>0</v>
      </c>
      <c r="AF726" s="52">
        <v>0</v>
      </c>
      <c r="AG726" s="52">
        <v>0</v>
      </c>
      <c r="AH726" s="52">
        <v>0</v>
      </c>
      <c r="AI726" s="52">
        <v>0</v>
      </c>
      <c r="AJ726" s="52">
        <v>2</v>
      </c>
      <c r="AK726" s="52"/>
      <c r="AL726" s="52">
        <v>0</v>
      </c>
      <c r="AM726" s="52">
        <v>0</v>
      </c>
      <c r="AN726" s="52">
        <v>14192500000</v>
      </c>
      <c r="AO726" s="52">
        <v>1131197642428</v>
      </c>
      <c r="AP726" s="52">
        <v>512714042442</v>
      </c>
      <c r="AQ726" s="58">
        <v>0</v>
      </c>
      <c r="AR726" s="58">
        <v>0</v>
      </c>
      <c r="AS726" s="58">
        <v>0</v>
      </c>
      <c r="AT726" s="58">
        <v>0</v>
      </c>
      <c r="AU726" s="58">
        <v>1</v>
      </c>
      <c r="AV726" s="58">
        <v>150000</v>
      </c>
      <c r="AW726" s="58">
        <v>0</v>
      </c>
      <c r="AX726" s="58">
        <v>0</v>
      </c>
    </row>
    <row r="727" spans="1:50" x14ac:dyDescent="0.25">
      <c r="A727" s="52">
        <f t="shared" si="39"/>
        <v>722</v>
      </c>
      <c r="B727" s="60" t="str">
        <f t="shared" si="38"/>
        <v>000836275825</v>
      </c>
      <c r="C727" s="55" t="s">
        <v>35</v>
      </c>
      <c r="D727" s="53" t="s">
        <v>2139</v>
      </c>
      <c r="E727" s="55" t="s">
        <v>1251</v>
      </c>
      <c r="F727" s="53" t="s">
        <v>2140</v>
      </c>
      <c r="G727" s="55">
        <v>11443</v>
      </c>
      <c r="H727" s="53" t="s">
        <v>2578</v>
      </c>
      <c r="I727" s="55">
        <v>309899654</v>
      </c>
      <c r="J727" s="55" t="s">
        <v>1268</v>
      </c>
      <c r="K727" s="55" t="s">
        <v>1269</v>
      </c>
      <c r="L727" s="53" t="s">
        <v>2073</v>
      </c>
      <c r="M727" s="55" t="s">
        <v>75</v>
      </c>
      <c r="N727" s="52">
        <v>235000</v>
      </c>
      <c r="O727" s="52">
        <v>2839763500</v>
      </c>
      <c r="P727" s="52">
        <v>2839763500</v>
      </c>
      <c r="Q727" s="57">
        <v>44984</v>
      </c>
      <c r="R727" s="57">
        <v>46810</v>
      </c>
      <c r="S727" s="56">
        <v>11.44</v>
      </c>
      <c r="T727" s="54">
        <v>0</v>
      </c>
      <c r="U727" s="52">
        <v>1387984808.1199999</v>
      </c>
      <c r="V727" s="52">
        <v>1387984808.1199999</v>
      </c>
      <c r="W727" s="52">
        <v>0</v>
      </c>
      <c r="X727" s="57"/>
      <c r="Y727" s="52">
        <v>0</v>
      </c>
      <c r="Z727" s="52">
        <v>0</v>
      </c>
      <c r="AA727" s="52">
        <v>1</v>
      </c>
      <c r="AB727" s="52">
        <v>0</v>
      </c>
      <c r="AC727" s="52">
        <v>4905380.0999999996</v>
      </c>
      <c r="AD727" s="52">
        <v>4905380.0999999996</v>
      </c>
      <c r="AE727" s="52">
        <v>0</v>
      </c>
      <c r="AF727" s="52">
        <v>0</v>
      </c>
      <c r="AG727" s="52">
        <v>0</v>
      </c>
      <c r="AH727" s="52">
        <v>0</v>
      </c>
      <c r="AI727" s="52">
        <v>0</v>
      </c>
      <c r="AJ727" s="52">
        <v>2</v>
      </c>
      <c r="AK727" s="52"/>
      <c r="AL727" s="52">
        <v>0</v>
      </c>
      <c r="AM727" s="52">
        <v>0</v>
      </c>
      <c r="AN727" s="52">
        <v>7488250000</v>
      </c>
      <c r="AO727" s="52">
        <v>6063424181878</v>
      </c>
      <c r="AP727" s="52">
        <v>3300734665041</v>
      </c>
      <c r="AQ727" s="58">
        <v>4</v>
      </c>
      <c r="AR727" s="58">
        <v>194400</v>
      </c>
      <c r="AS727" s="58">
        <v>95</v>
      </c>
      <c r="AT727" s="58">
        <v>2252651.1199999996</v>
      </c>
      <c r="AU727" s="58">
        <v>0</v>
      </c>
      <c r="AV727" s="58">
        <v>0</v>
      </c>
      <c r="AW727" s="58">
        <v>16</v>
      </c>
      <c r="AX727" s="58">
        <v>954610</v>
      </c>
    </row>
    <row r="728" spans="1:50" x14ac:dyDescent="0.25">
      <c r="A728" s="52">
        <f t="shared" si="39"/>
        <v>723</v>
      </c>
      <c r="B728" s="60" t="str">
        <f t="shared" si="38"/>
        <v>0008315901288</v>
      </c>
      <c r="C728" s="55" t="s">
        <v>35</v>
      </c>
      <c r="D728" s="53" t="s">
        <v>2139</v>
      </c>
      <c r="E728" s="55" t="s">
        <v>1251</v>
      </c>
      <c r="F728" s="53" t="s">
        <v>2140</v>
      </c>
      <c r="G728" s="55">
        <v>11443</v>
      </c>
      <c r="H728" s="53" t="s">
        <v>2578</v>
      </c>
      <c r="I728" s="55">
        <v>309899654</v>
      </c>
      <c r="J728" s="55" t="s">
        <v>1270</v>
      </c>
      <c r="K728" s="55" t="s">
        <v>1271</v>
      </c>
      <c r="L728" s="53" t="s">
        <v>2073</v>
      </c>
      <c r="M728" s="55" t="s">
        <v>75</v>
      </c>
      <c r="N728" s="52">
        <v>68400</v>
      </c>
      <c r="O728" s="52">
        <v>826552440</v>
      </c>
      <c r="P728" s="52">
        <v>826552440</v>
      </c>
      <c r="Q728" s="57">
        <v>45859</v>
      </c>
      <c r="R728" s="57">
        <v>47685</v>
      </c>
      <c r="S728" s="56">
        <v>11.75</v>
      </c>
      <c r="T728" s="54">
        <v>9</v>
      </c>
      <c r="U728" s="52">
        <v>718039026</v>
      </c>
      <c r="V728" s="52">
        <v>718039026</v>
      </c>
      <c r="W728" s="52">
        <v>0</v>
      </c>
      <c r="X728" s="57"/>
      <c r="Y728" s="52">
        <v>0</v>
      </c>
      <c r="Z728" s="52">
        <v>0</v>
      </c>
      <c r="AA728" s="52">
        <v>1</v>
      </c>
      <c r="AB728" s="52">
        <v>0</v>
      </c>
      <c r="AC728" s="52">
        <v>2773709.37</v>
      </c>
      <c r="AD728" s="52">
        <v>2773709.37</v>
      </c>
      <c r="AE728" s="52">
        <v>0</v>
      </c>
      <c r="AF728" s="52">
        <v>0</v>
      </c>
      <c r="AG728" s="52">
        <v>0</v>
      </c>
      <c r="AH728" s="52">
        <v>0</v>
      </c>
      <c r="AI728" s="52">
        <v>0</v>
      </c>
      <c r="AJ728" s="52">
        <v>2</v>
      </c>
      <c r="AK728" s="52"/>
      <c r="AL728" s="52">
        <v>0</v>
      </c>
      <c r="AM728" s="52">
        <v>0</v>
      </c>
      <c r="AN728" s="52">
        <v>1139000000</v>
      </c>
      <c r="AO728" s="52">
        <v>577943369837</v>
      </c>
      <c r="AP728" s="52">
        <v>358851530047</v>
      </c>
      <c r="AQ728" s="58">
        <v>4</v>
      </c>
      <c r="AR728" s="58">
        <v>194400</v>
      </c>
      <c r="AS728" s="58">
        <v>95</v>
      </c>
      <c r="AT728" s="58">
        <v>2252651.1199999996</v>
      </c>
      <c r="AU728" s="58">
        <v>0</v>
      </c>
      <c r="AV728" s="58">
        <v>0</v>
      </c>
      <c r="AW728" s="58">
        <v>16</v>
      </c>
      <c r="AX728" s="58">
        <v>954610</v>
      </c>
    </row>
    <row r="729" spans="1:50" x14ac:dyDescent="0.25">
      <c r="A729" s="52">
        <f t="shared" si="39"/>
        <v>724</v>
      </c>
      <c r="B729" s="60" t="str">
        <f t="shared" si="38"/>
        <v>0008315344860</v>
      </c>
      <c r="C729" s="55" t="s">
        <v>35</v>
      </c>
      <c r="D729" s="53" t="s">
        <v>2139</v>
      </c>
      <c r="E729" s="55" t="s">
        <v>1251</v>
      </c>
      <c r="F729" s="53" t="s">
        <v>2140</v>
      </c>
      <c r="G729" s="55">
        <v>11443</v>
      </c>
      <c r="H729" s="53" t="s">
        <v>2578</v>
      </c>
      <c r="I729" s="55">
        <v>309899654</v>
      </c>
      <c r="J729" s="55" t="s">
        <v>1272</v>
      </c>
      <c r="K729" s="55" t="s">
        <v>1273</v>
      </c>
      <c r="L729" s="53" t="s">
        <v>2073</v>
      </c>
      <c r="M729" s="55" t="s">
        <v>75</v>
      </c>
      <c r="N729" s="52">
        <v>60000</v>
      </c>
      <c r="O729" s="52">
        <v>725046000</v>
      </c>
      <c r="P729" s="52">
        <v>725046000</v>
      </c>
      <c r="Q729" s="57">
        <v>45390</v>
      </c>
      <c r="R729" s="57">
        <v>46485</v>
      </c>
      <c r="S729" s="56">
        <v>12.75</v>
      </c>
      <c r="T729" s="54">
        <v>9</v>
      </c>
      <c r="U729" s="52">
        <v>435493597.05000001</v>
      </c>
      <c r="V729" s="52">
        <v>435493597.05000001</v>
      </c>
      <c r="W729" s="52">
        <v>0</v>
      </c>
      <c r="X729" s="57"/>
      <c r="Y729" s="52">
        <v>0</v>
      </c>
      <c r="Z729" s="52">
        <v>0</v>
      </c>
      <c r="AA729" s="52">
        <v>1</v>
      </c>
      <c r="AB729" s="52">
        <v>0</v>
      </c>
      <c r="AC729" s="52">
        <v>1825351.33</v>
      </c>
      <c r="AD729" s="52">
        <v>1825351.33</v>
      </c>
      <c r="AE729" s="52">
        <v>0</v>
      </c>
      <c r="AF729" s="52">
        <v>0</v>
      </c>
      <c r="AG729" s="52">
        <v>0</v>
      </c>
      <c r="AH729" s="52">
        <v>0</v>
      </c>
      <c r="AI729" s="52">
        <v>0</v>
      </c>
      <c r="AJ729" s="52">
        <v>2</v>
      </c>
      <c r="AK729" s="52"/>
      <c r="AL729" s="52">
        <v>0</v>
      </c>
      <c r="AM729" s="52">
        <v>0</v>
      </c>
      <c r="AN729" s="52">
        <v>991000000</v>
      </c>
      <c r="AO729" s="52">
        <v>4428294487148</v>
      </c>
      <c r="AP729" s="52">
        <v>2408845710606</v>
      </c>
      <c r="AQ729" s="58">
        <v>4</v>
      </c>
      <c r="AR729" s="58">
        <v>194400</v>
      </c>
      <c r="AS729" s="58">
        <v>95</v>
      </c>
      <c r="AT729" s="58">
        <v>2252651.1199999996</v>
      </c>
      <c r="AU729" s="58">
        <v>0</v>
      </c>
      <c r="AV729" s="58">
        <v>0</v>
      </c>
      <c r="AW729" s="58">
        <v>16</v>
      </c>
      <c r="AX729" s="58">
        <v>954610</v>
      </c>
    </row>
    <row r="730" spans="1:50" x14ac:dyDescent="0.25">
      <c r="A730" s="52">
        <f t="shared" si="39"/>
        <v>725</v>
      </c>
      <c r="B730" s="60" t="str">
        <f t="shared" si="38"/>
        <v>000836423718</v>
      </c>
      <c r="C730" s="55" t="s">
        <v>35</v>
      </c>
      <c r="D730" s="53" t="s">
        <v>2139</v>
      </c>
      <c r="E730" s="55" t="s">
        <v>1251</v>
      </c>
      <c r="F730" s="53" t="s">
        <v>2141</v>
      </c>
      <c r="G730" s="55">
        <v>11444</v>
      </c>
      <c r="H730" s="53" t="s">
        <v>1274</v>
      </c>
      <c r="I730" s="55">
        <v>200915414</v>
      </c>
      <c r="J730" s="55" t="s">
        <v>1275</v>
      </c>
      <c r="K730" s="55" t="s">
        <v>1276</v>
      </c>
      <c r="L730" s="53" t="s">
        <v>2045</v>
      </c>
      <c r="M730" s="55" t="s">
        <v>75</v>
      </c>
      <c r="N730" s="52">
        <v>2089300</v>
      </c>
      <c r="O730" s="52">
        <v>25213170968</v>
      </c>
      <c r="P730" s="52">
        <v>25213170968</v>
      </c>
      <c r="Q730" s="57">
        <v>45026</v>
      </c>
      <c r="R730" s="57">
        <v>46853</v>
      </c>
      <c r="S730" s="56">
        <v>10.25</v>
      </c>
      <c r="T730" s="54">
        <v>12</v>
      </c>
      <c r="U730" s="52">
        <v>15691069562.68</v>
      </c>
      <c r="V730" s="52">
        <v>15691069562.68</v>
      </c>
      <c r="W730" s="52">
        <v>0</v>
      </c>
      <c r="X730" s="57"/>
      <c r="Y730" s="52">
        <v>0</v>
      </c>
      <c r="Z730" s="52">
        <v>0</v>
      </c>
      <c r="AA730" s="52">
        <v>1</v>
      </c>
      <c r="AB730" s="52">
        <v>0</v>
      </c>
      <c r="AC730" s="52">
        <v>52875047.090000004</v>
      </c>
      <c r="AD730" s="52">
        <v>52875047.090000004</v>
      </c>
      <c r="AE730" s="52">
        <v>0</v>
      </c>
      <c r="AF730" s="52">
        <v>0</v>
      </c>
      <c r="AG730" s="52">
        <v>0</v>
      </c>
      <c r="AH730" s="52">
        <v>0</v>
      </c>
      <c r="AI730" s="52">
        <v>0</v>
      </c>
      <c r="AJ730" s="52">
        <v>2</v>
      </c>
      <c r="AK730" s="52"/>
      <c r="AL730" s="52">
        <v>0</v>
      </c>
      <c r="AM730" s="52">
        <v>0</v>
      </c>
      <c r="AN730" s="52">
        <v>31986000000</v>
      </c>
      <c r="AO730" s="52">
        <v>230370143970</v>
      </c>
      <c r="AP730" s="52">
        <v>230370143970</v>
      </c>
      <c r="AQ730" s="58">
        <v>138</v>
      </c>
      <c r="AR730" s="58">
        <v>4992239.5199999996</v>
      </c>
      <c r="AS730" s="58">
        <v>146</v>
      </c>
      <c r="AT730" s="58">
        <v>7590302.669999999</v>
      </c>
      <c r="AU730" s="58">
        <v>391</v>
      </c>
      <c r="AV730" s="58">
        <v>16769063.530000003</v>
      </c>
      <c r="AW730" s="58">
        <v>616</v>
      </c>
      <c r="AX730" s="58">
        <v>401250199.05000019</v>
      </c>
    </row>
    <row r="731" spans="1:50" x14ac:dyDescent="0.25">
      <c r="A731" s="52">
        <f t="shared" si="39"/>
        <v>726</v>
      </c>
      <c r="B731" s="60" t="str">
        <f t="shared" si="38"/>
        <v>0008315944036</v>
      </c>
      <c r="C731" s="55" t="s">
        <v>35</v>
      </c>
      <c r="D731" s="53" t="s">
        <v>2139</v>
      </c>
      <c r="E731" s="55" t="s">
        <v>1251</v>
      </c>
      <c r="F731" s="53" t="s">
        <v>2141</v>
      </c>
      <c r="G731" s="55">
        <v>11444</v>
      </c>
      <c r="H731" s="53" t="s">
        <v>1274</v>
      </c>
      <c r="I731" s="55">
        <v>200915414</v>
      </c>
      <c r="J731" s="55" t="s">
        <v>1277</v>
      </c>
      <c r="K731" s="55" t="s">
        <v>1278</v>
      </c>
      <c r="L731" s="53" t="s">
        <v>2045</v>
      </c>
      <c r="M731" s="55" t="s">
        <v>75</v>
      </c>
      <c r="N731" s="52">
        <v>1000000</v>
      </c>
      <c r="O731" s="52">
        <v>12067760000</v>
      </c>
      <c r="P731" s="52">
        <v>12067760000</v>
      </c>
      <c r="Q731" s="57">
        <v>45918</v>
      </c>
      <c r="R731" s="57">
        <v>46283</v>
      </c>
      <c r="S731" s="56">
        <v>11.27</v>
      </c>
      <c r="T731" s="54">
        <v>6</v>
      </c>
      <c r="U731" s="52">
        <v>12199100000</v>
      </c>
      <c r="V731" s="52">
        <v>12199100000</v>
      </c>
      <c r="W731" s="52">
        <v>0</v>
      </c>
      <c r="X731" s="57"/>
      <c r="Y731" s="52">
        <v>0</v>
      </c>
      <c r="Z731" s="52">
        <v>0</v>
      </c>
      <c r="AA731" s="52">
        <v>1</v>
      </c>
      <c r="AB731" s="52">
        <v>0</v>
      </c>
      <c r="AC731" s="52">
        <v>35927691.399999999</v>
      </c>
      <c r="AD731" s="52">
        <v>35927691.399999999</v>
      </c>
      <c r="AE731" s="52">
        <v>0</v>
      </c>
      <c r="AF731" s="52">
        <v>0</v>
      </c>
      <c r="AG731" s="52">
        <v>0</v>
      </c>
      <c r="AH731" s="52">
        <v>0</v>
      </c>
      <c r="AI731" s="52">
        <v>0</v>
      </c>
      <c r="AJ731" s="52">
        <v>2</v>
      </c>
      <c r="AK731" s="52"/>
      <c r="AL731" s="52">
        <v>0</v>
      </c>
      <c r="AM731" s="52">
        <v>0</v>
      </c>
      <c r="AN731" s="52">
        <v>16893000000</v>
      </c>
      <c r="AO731" s="52">
        <v>10315346694</v>
      </c>
      <c r="AP731" s="52">
        <v>10315346694</v>
      </c>
      <c r="AQ731" s="58">
        <v>138</v>
      </c>
      <c r="AR731" s="58">
        <v>4992239.5199999996</v>
      </c>
      <c r="AS731" s="58">
        <v>146</v>
      </c>
      <c r="AT731" s="58">
        <v>7590302.669999999</v>
      </c>
      <c r="AU731" s="58">
        <v>391</v>
      </c>
      <c r="AV731" s="58">
        <v>16769063.530000003</v>
      </c>
      <c r="AW731" s="58">
        <v>616</v>
      </c>
      <c r="AX731" s="58">
        <v>401250199.05000019</v>
      </c>
    </row>
    <row r="732" spans="1:50" x14ac:dyDescent="0.25">
      <c r="A732" s="52">
        <f t="shared" si="39"/>
        <v>727</v>
      </c>
      <c r="B732" s="60" t="str">
        <f t="shared" si="38"/>
        <v>0008315851810</v>
      </c>
      <c r="C732" s="55" t="s">
        <v>35</v>
      </c>
      <c r="D732" s="53" t="s">
        <v>2139</v>
      </c>
      <c r="E732" s="55" t="s">
        <v>1251</v>
      </c>
      <c r="F732" s="53" t="s">
        <v>2141</v>
      </c>
      <c r="G732" s="55">
        <v>11444</v>
      </c>
      <c r="H732" s="53" t="s">
        <v>2579</v>
      </c>
      <c r="I732" s="55">
        <v>302611194</v>
      </c>
      <c r="J732" s="55" t="s">
        <v>1279</v>
      </c>
      <c r="K732" s="55" t="s">
        <v>1280</v>
      </c>
      <c r="L732" s="53" t="s">
        <v>2039</v>
      </c>
      <c r="M732" s="55" t="s">
        <v>75</v>
      </c>
      <c r="N732" s="52">
        <v>800000</v>
      </c>
      <c r="O732" s="52">
        <v>9654208000</v>
      </c>
      <c r="P732" s="52">
        <v>9654208000</v>
      </c>
      <c r="Q732" s="57">
        <v>45775</v>
      </c>
      <c r="R732" s="57">
        <v>46871</v>
      </c>
      <c r="S732" s="56">
        <v>11.27</v>
      </c>
      <c r="T732" s="54">
        <v>6</v>
      </c>
      <c r="U732" s="52">
        <v>9119853194.3099995</v>
      </c>
      <c r="V732" s="52">
        <v>8911590159.1100006</v>
      </c>
      <c r="W732" s="52">
        <v>208263035.19999999</v>
      </c>
      <c r="X732" s="57">
        <v>46035</v>
      </c>
      <c r="Y732" s="52">
        <v>0</v>
      </c>
      <c r="Z732" s="52">
        <v>0</v>
      </c>
      <c r="AA732" s="52">
        <v>1</v>
      </c>
      <c r="AB732" s="52">
        <v>0</v>
      </c>
      <c r="AC732" s="52">
        <v>144267166.56999999</v>
      </c>
      <c r="AD732" s="52">
        <v>54845933.700000003</v>
      </c>
      <c r="AE732" s="52">
        <v>0</v>
      </c>
      <c r="AF732" s="52">
        <v>0</v>
      </c>
      <c r="AG732" s="52">
        <v>89421232.870000005</v>
      </c>
      <c r="AH732" s="52">
        <v>0</v>
      </c>
      <c r="AI732" s="52">
        <v>0</v>
      </c>
      <c r="AJ732" s="52">
        <v>2</v>
      </c>
      <c r="AK732" s="52"/>
      <c r="AL732" s="52">
        <v>0</v>
      </c>
      <c r="AM732" s="52">
        <v>0</v>
      </c>
      <c r="AN732" s="52">
        <v>13520000000</v>
      </c>
      <c r="AO732" s="52">
        <v>8172750761694</v>
      </c>
      <c r="AP732" s="52">
        <v>8165050761694</v>
      </c>
      <c r="AQ732" s="58">
        <v>0</v>
      </c>
      <c r="AR732" s="58">
        <v>0</v>
      </c>
      <c r="AS732" s="58">
        <v>0</v>
      </c>
      <c r="AT732" s="58">
        <v>0</v>
      </c>
      <c r="AU732" s="58">
        <v>0</v>
      </c>
      <c r="AV732" s="58">
        <v>0</v>
      </c>
      <c r="AW732" s="58">
        <v>0</v>
      </c>
      <c r="AX732" s="58">
        <v>0</v>
      </c>
    </row>
    <row r="733" spans="1:50" x14ac:dyDescent="0.25">
      <c r="A733" s="52">
        <f t="shared" si="39"/>
        <v>728</v>
      </c>
      <c r="B733" s="60" t="str">
        <f t="shared" si="38"/>
        <v>0008315420485</v>
      </c>
      <c r="C733" s="55" t="s">
        <v>35</v>
      </c>
      <c r="D733" s="53" t="s">
        <v>2139</v>
      </c>
      <c r="E733" s="55" t="s">
        <v>1251</v>
      </c>
      <c r="F733" s="53" t="s">
        <v>2141</v>
      </c>
      <c r="G733" s="55">
        <v>11444</v>
      </c>
      <c r="H733" s="53" t="s">
        <v>1281</v>
      </c>
      <c r="I733" s="55">
        <v>304156364</v>
      </c>
      <c r="J733" s="55" t="s">
        <v>1282</v>
      </c>
      <c r="K733" s="55" t="s">
        <v>1283</v>
      </c>
      <c r="L733" s="53" t="s">
        <v>2039</v>
      </c>
      <c r="M733" s="55" t="s">
        <v>75</v>
      </c>
      <c r="N733" s="52">
        <v>560000</v>
      </c>
      <c r="O733" s="52">
        <v>6757945600</v>
      </c>
      <c r="P733" s="52">
        <v>6757945600</v>
      </c>
      <c r="Q733" s="57">
        <v>45505</v>
      </c>
      <c r="R733" s="57">
        <v>47331</v>
      </c>
      <c r="S733" s="56">
        <v>13</v>
      </c>
      <c r="T733" s="54">
        <v>16</v>
      </c>
      <c r="U733" s="52">
        <v>5946632329.6400003</v>
      </c>
      <c r="V733" s="52">
        <v>5946632329.6400003</v>
      </c>
      <c r="W733" s="52">
        <v>0</v>
      </c>
      <c r="X733" s="57"/>
      <c r="Y733" s="52">
        <v>0</v>
      </c>
      <c r="Z733" s="52">
        <v>0</v>
      </c>
      <c r="AA733" s="52">
        <v>2</v>
      </c>
      <c r="AB733" s="52">
        <v>594663184.16999996</v>
      </c>
      <c r="AC733" s="52">
        <v>55067347.359999999</v>
      </c>
      <c r="AD733" s="52">
        <v>55067347.359999999</v>
      </c>
      <c r="AE733" s="52">
        <v>0</v>
      </c>
      <c r="AF733" s="52">
        <v>0</v>
      </c>
      <c r="AG733" s="52">
        <v>0</v>
      </c>
      <c r="AH733" s="52">
        <v>0</v>
      </c>
      <c r="AI733" s="52">
        <v>0</v>
      </c>
      <c r="AJ733" s="52">
        <v>2</v>
      </c>
      <c r="AK733" s="52"/>
      <c r="AL733" s="52">
        <v>0</v>
      </c>
      <c r="AM733" s="52">
        <v>0</v>
      </c>
      <c r="AN733" s="52">
        <v>38131000000</v>
      </c>
      <c r="AO733" s="52">
        <v>12219401332</v>
      </c>
      <c r="AP733" s="52">
        <v>12219401332</v>
      </c>
      <c r="AQ733" s="58">
        <v>0</v>
      </c>
      <c r="AR733" s="58">
        <v>0</v>
      </c>
      <c r="AS733" s="58">
        <v>0</v>
      </c>
      <c r="AT733" s="58">
        <v>0</v>
      </c>
      <c r="AU733" s="58">
        <v>0</v>
      </c>
      <c r="AV733" s="58">
        <v>0</v>
      </c>
      <c r="AW733" s="58">
        <v>3</v>
      </c>
      <c r="AX733" s="58">
        <v>560000</v>
      </c>
    </row>
    <row r="734" spans="1:50" x14ac:dyDescent="0.25">
      <c r="A734" s="52">
        <f t="shared" si="39"/>
        <v>729</v>
      </c>
      <c r="B734" s="60" t="str">
        <f t="shared" si="38"/>
        <v>0008315929783</v>
      </c>
      <c r="C734" s="55" t="s">
        <v>35</v>
      </c>
      <c r="D734" s="53" t="s">
        <v>2139</v>
      </c>
      <c r="E734" s="55" t="s">
        <v>1251</v>
      </c>
      <c r="F734" s="53" t="s">
        <v>2141</v>
      </c>
      <c r="G734" s="55">
        <v>11444</v>
      </c>
      <c r="H734" s="53" t="s">
        <v>2580</v>
      </c>
      <c r="I734" s="55">
        <v>308826444</v>
      </c>
      <c r="J734" s="55" t="s">
        <v>1284</v>
      </c>
      <c r="K734" s="55" t="s">
        <v>1285</v>
      </c>
      <c r="L734" s="53" t="s">
        <v>2039</v>
      </c>
      <c r="M734" s="55" t="s">
        <v>75</v>
      </c>
      <c r="N734" s="52">
        <v>400000</v>
      </c>
      <c r="O734" s="52">
        <v>4827104000</v>
      </c>
      <c r="P734" s="52">
        <v>4827104000</v>
      </c>
      <c r="Q734" s="57">
        <v>45898</v>
      </c>
      <c r="R734" s="57">
        <v>47359</v>
      </c>
      <c r="S734" s="56">
        <v>11.75</v>
      </c>
      <c r="T734" s="54">
        <v>0</v>
      </c>
      <c r="U734" s="52">
        <v>4879640000</v>
      </c>
      <c r="V734" s="52">
        <v>4879640000</v>
      </c>
      <c r="W734" s="52">
        <v>0</v>
      </c>
      <c r="X734" s="57"/>
      <c r="Y734" s="52">
        <v>0</v>
      </c>
      <c r="Z734" s="52">
        <v>0</v>
      </c>
      <c r="AA734" s="52">
        <v>2</v>
      </c>
      <c r="AB734" s="52">
        <v>487964000</v>
      </c>
      <c r="AC734" s="52">
        <v>26703585.920000002</v>
      </c>
      <c r="AD734" s="52">
        <v>26703585.920000002</v>
      </c>
      <c r="AE734" s="52">
        <v>0</v>
      </c>
      <c r="AF734" s="52">
        <v>0</v>
      </c>
      <c r="AG734" s="52">
        <v>0</v>
      </c>
      <c r="AH734" s="52">
        <v>0</v>
      </c>
      <c r="AI734" s="52">
        <v>0</v>
      </c>
      <c r="AJ734" s="52">
        <v>2</v>
      </c>
      <c r="AK734" s="52"/>
      <c r="AL734" s="52">
        <v>0</v>
      </c>
      <c r="AM734" s="52">
        <v>0</v>
      </c>
      <c r="AN734" s="52">
        <v>0</v>
      </c>
      <c r="AO734" s="52">
        <v>616166935109</v>
      </c>
      <c r="AP734" s="52">
        <v>6086119351</v>
      </c>
      <c r="AQ734" s="58">
        <v>0</v>
      </c>
      <c r="AR734" s="58">
        <v>0</v>
      </c>
      <c r="AS734" s="58">
        <v>0</v>
      </c>
      <c r="AT734" s="58">
        <v>0</v>
      </c>
      <c r="AU734" s="58">
        <v>0</v>
      </c>
      <c r="AV734" s="58">
        <v>0</v>
      </c>
      <c r="AW734" s="58">
        <v>0</v>
      </c>
      <c r="AX734" s="58">
        <v>0</v>
      </c>
    </row>
    <row r="735" spans="1:50" x14ac:dyDescent="0.25">
      <c r="A735" s="52">
        <f t="shared" si="39"/>
        <v>730</v>
      </c>
      <c r="B735" s="60" t="str">
        <f t="shared" si="38"/>
        <v>0008315320053</v>
      </c>
      <c r="C735" s="55" t="s">
        <v>35</v>
      </c>
      <c r="D735" s="53" t="s">
        <v>2139</v>
      </c>
      <c r="E735" s="55" t="s">
        <v>1251</v>
      </c>
      <c r="F735" s="53" t="s">
        <v>2141</v>
      </c>
      <c r="G735" s="55">
        <v>11444</v>
      </c>
      <c r="H735" s="53" t="s">
        <v>1286</v>
      </c>
      <c r="I735" s="55">
        <v>305578115</v>
      </c>
      <c r="J735" s="55" t="s">
        <v>1287</v>
      </c>
      <c r="K735" s="55" t="s">
        <v>1288</v>
      </c>
      <c r="L735" s="53" t="s">
        <v>2045</v>
      </c>
      <c r="M735" s="55" t="s">
        <v>75</v>
      </c>
      <c r="N735" s="52">
        <v>800000</v>
      </c>
      <c r="O735" s="52">
        <v>9654208000</v>
      </c>
      <c r="P735" s="52">
        <v>9654208000</v>
      </c>
      <c r="Q735" s="57">
        <v>45345</v>
      </c>
      <c r="R735" s="57">
        <v>46441</v>
      </c>
      <c r="S735" s="56">
        <v>12.27</v>
      </c>
      <c r="T735" s="54">
        <v>0</v>
      </c>
      <c r="U735" s="52">
        <v>4228952205.0999999</v>
      </c>
      <c r="V735" s="52">
        <v>4228952205.0999999</v>
      </c>
      <c r="W735" s="52">
        <v>0</v>
      </c>
      <c r="X735" s="57"/>
      <c r="Y735" s="52">
        <v>0</v>
      </c>
      <c r="Z735" s="52">
        <v>0</v>
      </c>
      <c r="AA735" s="52">
        <v>1</v>
      </c>
      <c r="AB735" s="52">
        <v>0</v>
      </c>
      <c r="AC735" s="52">
        <v>27331473.600000001</v>
      </c>
      <c r="AD735" s="52">
        <v>27331473.600000001</v>
      </c>
      <c r="AE735" s="52">
        <v>0</v>
      </c>
      <c r="AF735" s="52">
        <v>0</v>
      </c>
      <c r="AG735" s="52">
        <v>0</v>
      </c>
      <c r="AH735" s="52">
        <v>0</v>
      </c>
      <c r="AI735" s="52">
        <v>0</v>
      </c>
      <c r="AJ735" s="52">
        <v>2</v>
      </c>
      <c r="AK735" s="52"/>
      <c r="AL735" s="52">
        <v>0</v>
      </c>
      <c r="AM735" s="52">
        <v>0</v>
      </c>
      <c r="AN735" s="52">
        <v>17317000000</v>
      </c>
      <c r="AO735" s="52">
        <v>2137098093324</v>
      </c>
      <c r="AP735" s="52">
        <v>2137098093324</v>
      </c>
      <c r="AQ735" s="58">
        <v>26</v>
      </c>
      <c r="AR735" s="58">
        <v>676061</v>
      </c>
      <c r="AS735" s="58">
        <v>43</v>
      </c>
      <c r="AT735" s="58">
        <v>2009209.5</v>
      </c>
      <c r="AU735" s="58">
        <v>362</v>
      </c>
      <c r="AV735" s="58">
        <v>16032127.060000001</v>
      </c>
      <c r="AW735" s="58">
        <v>48</v>
      </c>
      <c r="AX735" s="58">
        <v>1918150.2</v>
      </c>
    </row>
    <row r="736" spans="1:50" x14ac:dyDescent="0.25">
      <c r="A736" s="52">
        <f t="shared" si="39"/>
        <v>731</v>
      </c>
      <c r="B736" s="60" t="str">
        <f t="shared" si="38"/>
        <v>0008315904464</v>
      </c>
      <c r="C736" s="55" t="s">
        <v>35</v>
      </c>
      <c r="D736" s="53" t="s">
        <v>2139</v>
      </c>
      <c r="E736" s="55" t="s">
        <v>1251</v>
      </c>
      <c r="F736" s="53" t="s">
        <v>2141</v>
      </c>
      <c r="G736" s="55">
        <v>11444</v>
      </c>
      <c r="H736" s="53" t="s">
        <v>2581</v>
      </c>
      <c r="I736" s="55">
        <v>308482075</v>
      </c>
      <c r="J736" s="55" t="s">
        <v>1289</v>
      </c>
      <c r="K736" s="55" t="s">
        <v>1290</v>
      </c>
      <c r="L736" s="53" t="s">
        <v>2039</v>
      </c>
      <c r="M736" s="55" t="s">
        <v>75</v>
      </c>
      <c r="N736" s="52">
        <v>300000</v>
      </c>
      <c r="O736" s="52">
        <v>3620328000</v>
      </c>
      <c r="P736" s="52">
        <v>3620328000</v>
      </c>
      <c r="Q736" s="57">
        <v>45863</v>
      </c>
      <c r="R736" s="57">
        <v>48420</v>
      </c>
      <c r="S736" s="56">
        <v>11.77</v>
      </c>
      <c r="T736" s="54">
        <v>0</v>
      </c>
      <c r="U736" s="52">
        <v>3659730000</v>
      </c>
      <c r="V736" s="52">
        <v>3659730000</v>
      </c>
      <c r="W736" s="52">
        <v>0</v>
      </c>
      <c r="X736" s="57"/>
      <c r="Y736" s="52">
        <v>0</v>
      </c>
      <c r="Z736" s="52">
        <v>0</v>
      </c>
      <c r="AA736" s="52">
        <v>1</v>
      </c>
      <c r="AB736" s="52">
        <v>0</v>
      </c>
      <c r="AC736" s="52">
        <v>13535633.4</v>
      </c>
      <c r="AD736" s="52">
        <v>13535633.4</v>
      </c>
      <c r="AE736" s="52">
        <v>0</v>
      </c>
      <c r="AF736" s="52">
        <v>0</v>
      </c>
      <c r="AG736" s="52">
        <v>0</v>
      </c>
      <c r="AH736" s="52">
        <v>0</v>
      </c>
      <c r="AI736" s="52">
        <v>0</v>
      </c>
      <c r="AJ736" s="52">
        <v>2</v>
      </c>
      <c r="AK736" s="52"/>
      <c r="AL736" s="52">
        <v>0</v>
      </c>
      <c r="AM736" s="52">
        <v>0</v>
      </c>
      <c r="AN736" s="52">
        <v>0</v>
      </c>
      <c r="AO736" s="52">
        <v>830194807348</v>
      </c>
      <c r="AP736" s="52">
        <v>830194807348</v>
      </c>
      <c r="AQ736" s="58">
        <v>0</v>
      </c>
      <c r="AR736" s="58">
        <v>0</v>
      </c>
      <c r="AS736" s="58">
        <v>2</v>
      </c>
      <c r="AT736" s="58">
        <v>11600</v>
      </c>
      <c r="AU736" s="58">
        <v>60</v>
      </c>
      <c r="AV736" s="58">
        <v>829334.32000000007</v>
      </c>
      <c r="AW736" s="58">
        <v>60</v>
      </c>
      <c r="AX736" s="58">
        <v>1357444</v>
      </c>
    </row>
    <row r="737" spans="1:50" x14ac:dyDescent="0.25">
      <c r="A737" s="52">
        <f t="shared" si="39"/>
        <v>732</v>
      </c>
      <c r="B737" s="60" t="str">
        <f t="shared" si="38"/>
        <v>0008315459927</v>
      </c>
      <c r="C737" s="55" t="s">
        <v>35</v>
      </c>
      <c r="D737" s="53" t="s">
        <v>2139</v>
      </c>
      <c r="E737" s="55" t="s">
        <v>1251</v>
      </c>
      <c r="F737" s="53" t="s">
        <v>2141</v>
      </c>
      <c r="G737" s="55">
        <v>11444</v>
      </c>
      <c r="H737" s="53" t="s">
        <v>2582</v>
      </c>
      <c r="I737" s="55">
        <v>301624044</v>
      </c>
      <c r="J737" s="55" t="s">
        <v>1291</v>
      </c>
      <c r="K737" s="55" t="s">
        <v>1292</v>
      </c>
      <c r="L737" s="53" t="s">
        <v>2039</v>
      </c>
      <c r="M737" s="55" t="s">
        <v>75</v>
      </c>
      <c r="N737" s="52">
        <v>532000</v>
      </c>
      <c r="O737" s="52">
        <v>6420048320</v>
      </c>
      <c r="P737" s="52">
        <v>6420048320</v>
      </c>
      <c r="Q737" s="57">
        <v>45568</v>
      </c>
      <c r="R737" s="57">
        <v>46115</v>
      </c>
      <c r="S737" s="56">
        <v>11.77</v>
      </c>
      <c r="T737" s="54">
        <v>6</v>
      </c>
      <c r="U737" s="52">
        <v>3347224191.4099998</v>
      </c>
      <c r="V737" s="52">
        <v>1700901970.3699999</v>
      </c>
      <c r="W737" s="52">
        <v>1646322221.04</v>
      </c>
      <c r="X737" s="57">
        <v>45982</v>
      </c>
      <c r="Y737" s="52">
        <v>0</v>
      </c>
      <c r="Z737" s="52">
        <v>0</v>
      </c>
      <c r="AA737" s="52">
        <v>2</v>
      </c>
      <c r="AB737" s="52">
        <v>334722443.54000002</v>
      </c>
      <c r="AC737" s="52">
        <v>119137508.52</v>
      </c>
      <c r="AD737" s="52">
        <v>37479538.909999996</v>
      </c>
      <c r="AE737" s="52">
        <v>0</v>
      </c>
      <c r="AF737" s="52">
        <v>0</v>
      </c>
      <c r="AG737" s="52">
        <v>81657969.609999999</v>
      </c>
      <c r="AH737" s="52">
        <v>0</v>
      </c>
      <c r="AI737" s="52">
        <v>0</v>
      </c>
      <c r="AJ737" s="52">
        <v>2</v>
      </c>
      <c r="AK737" s="52"/>
      <c r="AL737" s="52">
        <v>0</v>
      </c>
      <c r="AM737" s="52">
        <v>0</v>
      </c>
      <c r="AN737" s="52">
        <v>13721000000</v>
      </c>
      <c r="AO737" s="52">
        <v>5844184001513</v>
      </c>
      <c r="AP737" s="52">
        <v>5844184001513</v>
      </c>
      <c r="AQ737" s="58">
        <v>0</v>
      </c>
      <c r="AR737" s="58">
        <v>0</v>
      </c>
      <c r="AS737" s="58">
        <v>0</v>
      </c>
      <c r="AT737" s="58">
        <v>0</v>
      </c>
      <c r="AU737" s="58">
        <v>25</v>
      </c>
      <c r="AV737" s="58">
        <v>775091.14000000013</v>
      </c>
      <c r="AW737" s="58">
        <v>1</v>
      </c>
      <c r="AX737" s="58">
        <v>5000</v>
      </c>
    </row>
    <row r="738" spans="1:50" x14ac:dyDescent="0.25">
      <c r="A738" s="52">
        <f t="shared" si="39"/>
        <v>733</v>
      </c>
      <c r="B738" s="60" t="str">
        <f t="shared" si="38"/>
        <v>0008315889170</v>
      </c>
      <c r="C738" s="55" t="s">
        <v>35</v>
      </c>
      <c r="D738" s="53" t="s">
        <v>2139</v>
      </c>
      <c r="E738" s="55" t="s">
        <v>1251</v>
      </c>
      <c r="F738" s="53" t="s">
        <v>2141</v>
      </c>
      <c r="G738" s="55">
        <v>11444</v>
      </c>
      <c r="H738" s="53" t="s">
        <v>2582</v>
      </c>
      <c r="I738" s="55">
        <v>301624044</v>
      </c>
      <c r="J738" s="55" t="s">
        <v>1293</v>
      </c>
      <c r="K738" s="55" t="s">
        <v>1294</v>
      </c>
      <c r="L738" s="53" t="s">
        <v>2039</v>
      </c>
      <c r="M738" s="55" t="s">
        <v>75</v>
      </c>
      <c r="N738" s="52">
        <v>272000</v>
      </c>
      <c r="O738" s="52">
        <v>3282430720</v>
      </c>
      <c r="P738" s="52">
        <v>3282430720</v>
      </c>
      <c r="Q738" s="57">
        <v>45839</v>
      </c>
      <c r="R738" s="57">
        <v>46388</v>
      </c>
      <c r="S738" s="56">
        <v>11.77</v>
      </c>
      <c r="T738" s="54">
        <v>0</v>
      </c>
      <c r="U738" s="52">
        <v>3318155200</v>
      </c>
      <c r="V738" s="52">
        <v>3318155200</v>
      </c>
      <c r="W738" s="52">
        <v>0</v>
      </c>
      <c r="X738" s="57"/>
      <c r="Y738" s="52">
        <v>0</v>
      </c>
      <c r="Z738" s="52">
        <v>0</v>
      </c>
      <c r="AA738" s="52">
        <v>2</v>
      </c>
      <c r="AB738" s="52">
        <v>331815520</v>
      </c>
      <c r="AC738" s="52">
        <v>20453865</v>
      </c>
      <c r="AD738" s="52">
        <v>20453865</v>
      </c>
      <c r="AE738" s="52">
        <v>0</v>
      </c>
      <c r="AF738" s="52">
        <v>0</v>
      </c>
      <c r="AG738" s="52">
        <v>0</v>
      </c>
      <c r="AH738" s="52">
        <v>0</v>
      </c>
      <c r="AI738" s="52">
        <v>0</v>
      </c>
      <c r="AJ738" s="52">
        <v>2</v>
      </c>
      <c r="AK738" s="52"/>
      <c r="AL738" s="52">
        <v>0</v>
      </c>
      <c r="AM738" s="52">
        <v>0</v>
      </c>
      <c r="AN738" s="52">
        <v>10026000000</v>
      </c>
      <c r="AO738" s="52">
        <v>1340350038982</v>
      </c>
      <c r="AP738" s="52">
        <v>1340350038982</v>
      </c>
      <c r="AQ738" s="58">
        <v>0</v>
      </c>
      <c r="AR738" s="58">
        <v>0</v>
      </c>
      <c r="AS738" s="58">
        <v>0</v>
      </c>
      <c r="AT738" s="58">
        <v>0</v>
      </c>
      <c r="AU738" s="58">
        <v>25</v>
      </c>
      <c r="AV738" s="58">
        <v>775091.14000000013</v>
      </c>
      <c r="AW738" s="58">
        <v>1</v>
      </c>
      <c r="AX738" s="58">
        <v>5000</v>
      </c>
    </row>
    <row r="739" spans="1:50" x14ac:dyDescent="0.25">
      <c r="A739" s="52">
        <f t="shared" si="39"/>
        <v>734</v>
      </c>
      <c r="B739" s="60" t="str">
        <f t="shared" si="38"/>
        <v>0008315168302</v>
      </c>
      <c r="C739" s="55" t="s">
        <v>35</v>
      </c>
      <c r="D739" s="53" t="s">
        <v>2139</v>
      </c>
      <c r="E739" s="55" t="s">
        <v>1251</v>
      </c>
      <c r="F739" s="53" t="s">
        <v>2141</v>
      </c>
      <c r="G739" s="55">
        <v>11444</v>
      </c>
      <c r="H739" s="53" t="s">
        <v>1295</v>
      </c>
      <c r="I739" s="55">
        <v>204151801</v>
      </c>
      <c r="J739" s="55" t="s">
        <v>1296</v>
      </c>
      <c r="K739" s="55" t="s">
        <v>1297</v>
      </c>
      <c r="L739" s="53" t="s">
        <v>2035</v>
      </c>
      <c r="M739" s="55" t="s">
        <v>75</v>
      </c>
      <c r="N739" s="52">
        <v>500000</v>
      </c>
      <c r="O739" s="52">
        <v>6033880000</v>
      </c>
      <c r="P739" s="52">
        <v>6033880000</v>
      </c>
      <c r="Q739" s="57">
        <v>45275</v>
      </c>
      <c r="R739" s="57">
        <v>46371</v>
      </c>
      <c r="S739" s="56">
        <v>13.27</v>
      </c>
      <c r="T739" s="54">
        <v>12</v>
      </c>
      <c r="U739" s="52">
        <v>3011974990.73</v>
      </c>
      <c r="V739" s="52">
        <v>3011974990.73</v>
      </c>
      <c r="W739" s="52">
        <v>0</v>
      </c>
      <c r="X739" s="57"/>
      <c r="Y739" s="52">
        <v>0</v>
      </c>
      <c r="Z739" s="52">
        <v>0</v>
      </c>
      <c r="AA739" s="52">
        <v>1</v>
      </c>
      <c r="AB739" s="52">
        <v>0</v>
      </c>
      <c r="AC739" s="52">
        <v>17974397.920000002</v>
      </c>
      <c r="AD739" s="52">
        <v>17974397.920000002</v>
      </c>
      <c r="AE739" s="52">
        <v>0</v>
      </c>
      <c r="AF739" s="52">
        <v>0</v>
      </c>
      <c r="AG739" s="52">
        <v>0</v>
      </c>
      <c r="AH739" s="52">
        <v>0</v>
      </c>
      <c r="AI739" s="52">
        <v>0</v>
      </c>
      <c r="AJ739" s="52">
        <v>2</v>
      </c>
      <c r="AK739" s="52"/>
      <c r="AL739" s="52">
        <v>0</v>
      </c>
      <c r="AM739" s="52">
        <v>0</v>
      </c>
      <c r="AN739" s="52">
        <v>10885000000</v>
      </c>
      <c r="AO739" s="52">
        <v>8952350570</v>
      </c>
      <c r="AP739" s="52">
        <v>8907850570</v>
      </c>
      <c r="AQ739" s="58">
        <v>0</v>
      </c>
      <c r="AR739" s="58">
        <v>0</v>
      </c>
      <c r="AS739" s="58">
        <v>0</v>
      </c>
      <c r="AT739" s="58">
        <v>0</v>
      </c>
      <c r="AU739" s="58">
        <v>0</v>
      </c>
      <c r="AV739" s="58">
        <v>0</v>
      </c>
      <c r="AW739" s="58">
        <v>0</v>
      </c>
      <c r="AX739" s="58">
        <v>0</v>
      </c>
    </row>
    <row r="740" spans="1:50" x14ac:dyDescent="0.25">
      <c r="A740" s="52">
        <f t="shared" si="39"/>
        <v>735</v>
      </c>
      <c r="B740" s="60" t="str">
        <f t="shared" si="38"/>
        <v>0008315815725</v>
      </c>
      <c r="C740" s="55" t="s">
        <v>35</v>
      </c>
      <c r="D740" s="53" t="s">
        <v>2139</v>
      </c>
      <c r="E740" s="55" t="s">
        <v>1251</v>
      </c>
      <c r="F740" s="53" t="s">
        <v>2141</v>
      </c>
      <c r="G740" s="55">
        <v>11444</v>
      </c>
      <c r="H740" s="53" t="s">
        <v>2583</v>
      </c>
      <c r="I740" s="55">
        <v>301403518</v>
      </c>
      <c r="J740" s="55" t="s">
        <v>1298</v>
      </c>
      <c r="K740" s="55" t="s">
        <v>1299</v>
      </c>
      <c r="L740" s="53" t="s">
        <v>2039</v>
      </c>
      <c r="M740" s="55" t="s">
        <v>75</v>
      </c>
      <c r="N740" s="52">
        <v>220000</v>
      </c>
      <c r="O740" s="52">
        <v>2654907200</v>
      </c>
      <c r="P740" s="52">
        <v>2654907200</v>
      </c>
      <c r="Q740" s="57">
        <v>45742</v>
      </c>
      <c r="R740" s="57">
        <v>46838</v>
      </c>
      <c r="S740" s="56">
        <v>11.77</v>
      </c>
      <c r="T740" s="54">
        <v>6</v>
      </c>
      <c r="U740" s="52">
        <v>2370626704.8000002</v>
      </c>
      <c r="V740" s="52">
        <v>2370626704.8000002</v>
      </c>
      <c r="W740" s="52">
        <v>0</v>
      </c>
      <c r="X740" s="57"/>
      <c r="Y740" s="52">
        <v>0</v>
      </c>
      <c r="Z740" s="52">
        <v>0</v>
      </c>
      <c r="AA740" s="52">
        <v>1</v>
      </c>
      <c r="AB740" s="52">
        <v>0</v>
      </c>
      <c r="AC740" s="52">
        <v>12445521.82</v>
      </c>
      <c r="AD740" s="52">
        <v>12445521.82</v>
      </c>
      <c r="AE740" s="52">
        <v>0</v>
      </c>
      <c r="AF740" s="52">
        <v>0</v>
      </c>
      <c r="AG740" s="52">
        <v>0</v>
      </c>
      <c r="AH740" s="52">
        <v>0</v>
      </c>
      <c r="AI740" s="52">
        <v>0</v>
      </c>
      <c r="AJ740" s="52">
        <v>2</v>
      </c>
      <c r="AK740" s="52"/>
      <c r="AL740" s="52">
        <v>0</v>
      </c>
      <c r="AM740" s="52">
        <v>0</v>
      </c>
      <c r="AN740" s="52">
        <v>3861000000</v>
      </c>
      <c r="AO740" s="52">
        <v>546621111745</v>
      </c>
      <c r="AP740" s="52">
        <v>546621111745</v>
      </c>
      <c r="AQ740" s="58">
        <v>3</v>
      </c>
      <c r="AR740" s="58">
        <v>94375</v>
      </c>
      <c r="AS740" s="58">
        <v>6</v>
      </c>
      <c r="AT740" s="58">
        <v>123165</v>
      </c>
      <c r="AU740" s="58">
        <v>17</v>
      </c>
      <c r="AV740" s="58">
        <v>201185.21</v>
      </c>
      <c r="AW740" s="58">
        <v>12</v>
      </c>
      <c r="AX740" s="58">
        <v>462100</v>
      </c>
    </row>
    <row r="741" spans="1:50" x14ac:dyDescent="0.25">
      <c r="A741" s="52">
        <f t="shared" si="39"/>
        <v>736</v>
      </c>
      <c r="B741" s="60" t="str">
        <f t="shared" si="38"/>
        <v>0008315113082</v>
      </c>
      <c r="C741" s="55" t="s">
        <v>35</v>
      </c>
      <c r="D741" s="53" t="s">
        <v>2139</v>
      </c>
      <c r="E741" s="55" t="s">
        <v>1251</v>
      </c>
      <c r="F741" s="53" t="s">
        <v>2141</v>
      </c>
      <c r="G741" s="55">
        <v>11444</v>
      </c>
      <c r="H741" s="53" t="s">
        <v>1300</v>
      </c>
      <c r="I741" s="55">
        <v>307884723</v>
      </c>
      <c r="J741" s="55" t="s">
        <v>1301</v>
      </c>
      <c r="K741" s="55" t="s">
        <v>1302</v>
      </c>
      <c r="L741" s="53" t="s">
        <v>2039</v>
      </c>
      <c r="M741" s="55" t="s">
        <v>75</v>
      </c>
      <c r="N741" s="52">
        <v>500000</v>
      </c>
      <c r="O741" s="52">
        <v>6033880000</v>
      </c>
      <c r="P741" s="52">
        <v>6033880000</v>
      </c>
      <c r="Q741" s="57">
        <v>45224</v>
      </c>
      <c r="R741" s="57">
        <v>46320</v>
      </c>
      <c r="S741" s="56">
        <v>10.75</v>
      </c>
      <c r="T741" s="54">
        <v>6</v>
      </c>
      <c r="U741" s="52">
        <v>2027613752.9000001</v>
      </c>
      <c r="V741" s="52">
        <v>2027613752.9000001</v>
      </c>
      <c r="W741" s="52">
        <v>0</v>
      </c>
      <c r="X741" s="57"/>
      <c r="Y741" s="52">
        <v>0</v>
      </c>
      <c r="Z741" s="52">
        <v>0</v>
      </c>
      <c r="AA741" s="52">
        <v>2</v>
      </c>
      <c r="AB741" s="52">
        <v>202761363.09</v>
      </c>
      <c r="AC741" s="52">
        <v>10214550.41</v>
      </c>
      <c r="AD741" s="52">
        <v>10214550.41</v>
      </c>
      <c r="AE741" s="52">
        <v>0</v>
      </c>
      <c r="AF741" s="52">
        <v>0</v>
      </c>
      <c r="AG741" s="52">
        <v>0</v>
      </c>
      <c r="AH741" s="52">
        <v>0</v>
      </c>
      <c r="AI741" s="52">
        <v>0</v>
      </c>
      <c r="AJ741" s="52">
        <v>2</v>
      </c>
      <c r="AK741" s="52"/>
      <c r="AL741" s="52">
        <v>0</v>
      </c>
      <c r="AM741" s="52">
        <v>0</v>
      </c>
      <c r="AN741" s="52">
        <v>8125000000</v>
      </c>
      <c r="AO741" s="52">
        <v>3072727105313</v>
      </c>
      <c r="AP741" s="52">
        <v>3072727105313</v>
      </c>
      <c r="AQ741" s="58">
        <v>0</v>
      </c>
      <c r="AR741" s="58">
        <v>0</v>
      </c>
      <c r="AS741" s="58">
        <v>0</v>
      </c>
      <c r="AT741" s="58">
        <v>0</v>
      </c>
      <c r="AU741" s="58">
        <v>108</v>
      </c>
      <c r="AV741" s="58">
        <v>1855657.15</v>
      </c>
      <c r="AW741" s="58">
        <v>29</v>
      </c>
      <c r="AX741" s="58">
        <v>467250</v>
      </c>
    </row>
    <row r="742" spans="1:50" x14ac:dyDescent="0.25">
      <c r="A742" s="52">
        <f t="shared" si="39"/>
        <v>737</v>
      </c>
      <c r="B742" s="60" t="str">
        <f t="shared" si="38"/>
        <v>0008315362566</v>
      </c>
      <c r="C742" s="55" t="s">
        <v>35</v>
      </c>
      <c r="D742" s="53" t="s">
        <v>2139</v>
      </c>
      <c r="E742" s="55" t="s">
        <v>1251</v>
      </c>
      <c r="F742" s="53" t="s">
        <v>2141</v>
      </c>
      <c r="G742" s="55">
        <v>11444</v>
      </c>
      <c r="H742" s="53" t="s">
        <v>1303</v>
      </c>
      <c r="I742" s="55">
        <v>307600514</v>
      </c>
      <c r="J742" s="55" t="s">
        <v>1304</v>
      </c>
      <c r="K742" s="55" t="s">
        <v>1305</v>
      </c>
      <c r="L742" s="53" t="s">
        <v>2584</v>
      </c>
      <c r="M742" s="55" t="s">
        <v>75</v>
      </c>
      <c r="N742" s="52">
        <v>210000</v>
      </c>
      <c r="O742" s="52">
        <v>2534229600</v>
      </c>
      <c r="P742" s="52">
        <v>2534229600</v>
      </c>
      <c r="Q742" s="57">
        <v>45427</v>
      </c>
      <c r="R742" s="57">
        <v>47253</v>
      </c>
      <c r="S742" s="56">
        <v>12.27</v>
      </c>
      <c r="T742" s="54">
        <v>0</v>
      </c>
      <c r="U742" s="52">
        <v>1996928990.7</v>
      </c>
      <c r="V742" s="52">
        <v>1996928990.7</v>
      </c>
      <c r="W742" s="52">
        <v>0</v>
      </c>
      <c r="X742" s="57"/>
      <c r="Y742" s="52">
        <v>0</v>
      </c>
      <c r="Z742" s="52">
        <v>0</v>
      </c>
      <c r="AA742" s="52">
        <v>2</v>
      </c>
      <c r="AB742" s="52">
        <v>199692923.47</v>
      </c>
      <c r="AC742" s="52">
        <v>7713978.8899999997</v>
      </c>
      <c r="AD742" s="52">
        <v>7713978.8899999997</v>
      </c>
      <c r="AE742" s="52">
        <v>0</v>
      </c>
      <c r="AF742" s="52">
        <v>0</v>
      </c>
      <c r="AG742" s="52">
        <v>0</v>
      </c>
      <c r="AH742" s="52">
        <v>0</v>
      </c>
      <c r="AI742" s="52">
        <v>0</v>
      </c>
      <c r="AJ742" s="52">
        <v>2</v>
      </c>
      <c r="AK742" s="52"/>
      <c r="AL742" s="52">
        <v>0</v>
      </c>
      <c r="AM742" s="52">
        <v>0</v>
      </c>
      <c r="AN742" s="52">
        <v>0</v>
      </c>
      <c r="AO742" s="52">
        <v>0</v>
      </c>
      <c r="AP742" s="52">
        <v>0</v>
      </c>
      <c r="AQ742" s="58">
        <v>27</v>
      </c>
      <c r="AR742" s="58">
        <v>85741.329999999987</v>
      </c>
      <c r="AS742" s="58">
        <v>449</v>
      </c>
      <c r="AT742" s="58">
        <v>1615687.4499999993</v>
      </c>
      <c r="AU742" s="58">
        <v>3</v>
      </c>
      <c r="AV742" s="58">
        <v>41187.449999999997</v>
      </c>
      <c r="AW742" s="58">
        <v>31</v>
      </c>
      <c r="AX742" s="58">
        <v>644583.53</v>
      </c>
    </row>
    <row r="743" spans="1:50" x14ac:dyDescent="0.25">
      <c r="A743" s="52">
        <f t="shared" si="39"/>
        <v>738</v>
      </c>
      <c r="B743" s="60" t="str">
        <f t="shared" si="38"/>
        <v>0008315884219</v>
      </c>
      <c r="C743" s="55" t="s">
        <v>35</v>
      </c>
      <c r="D743" s="53" t="s">
        <v>2139</v>
      </c>
      <c r="E743" s="55" t="s">
        <v>1251</v>
      </c>
      <c r="F743" s="53" t="s">
        <v>2141</v>
      </c>
      <c r="G743" s="55">
        <v>11444</v>
      </c>
      <c r="H743" s="53" t="s">
        <v>1306</v>
      </c>
      <c r="I743" s="55">
        <v>311182425</v>
      </c>
      <c r="J743" s="55" t="s">
        <v>1307</v>
      </c>
      <c r="K743" s="55" t="s">
        <v>1308</v>
      </c>
      <c r="L743" s="53" t="s">
        <v>2039</v>
      </c>
      <c r="M743" s="55" t="s">
        <v>75</v>
      </c>
      <c r="N743" s="52">
        <v>200000</v>
      </c>
      <c r="O743" s="52">
        <v>2413552000</v>
      </c>
      <c r="P743" s="52">
        <v>2413552000</v>
      </c>
      <c r="Q743" s="57">
        <v>45831</v>
      </c>
      <c r="R743" s="57">
        <v>46379</v>
      </c>
      <c r="S743" s="56">
        <v>10.75</v>
      </c>
      <c r="T743" s="54">
        <v>3</v>
      </c>
      <c r="U743" s="52">
        <v>1822494303.78</v>
      </c>
      <c r="V743" s="52">
        <v>1822494303.78</v>
      </c>
      <c r="W743" s="52">
        <v>0</v>
      </c>
      <c r="X743" s="57"/>
      <c r="Y743" s="52">
        <v>0</v>
      </c>
      <c r="Z743" s="52">
        <v>0</v>
      </c>
      <c r="AA743" s="52">
        <v>1</v>
      </c>
      <c r="AB743" s="52">
        <v>0</v>
      </c>
      <c r="AC743" s="52">
        <v>4967961.4800000004</v>
      </c>
      <c r="AD743" s="52">
        <v>4967961.4800000004</v>
      </c>
      <c r="AE743" s="52">
        <v>0</v>
      </c>
      <c r="AF743" s="52">
        <v>0</v>
      </c>
      <c r="AG743" s="52">
        <v>0</v>
      </c>
      <c r="AH743" s="52">
        <v>0</v>
      </c>
      <c r="AI743" s="52">
        <v>0</v>
      </c>
      <c r="AJ743" s="52">
        <v>2</v>
      </c>
      <c r="AK743" s="52"/>
      <c r="AL743" s="52">
        <v>0</v>
      </c>
      <c r="AM743" s="52">
        <v>0</v>
      </c>
      <c r="AN743" s="52">
        <v>3200000000</v>
      </c>
      <c r="AO743" s="52">
        <v>31553214448</v>
      </c>
      <c r="AP743" s="52">
        <v>31553214448</v>
      </c>
      <c r="AQ743" s="58">
        <v>0</v>
      </c>
      <c r="AR743" s="58">
        <v>0</v>
      </c>
      <c r="AS743" s="58">
        <v>0</v>
      </c>
      <c r="AT743" s="58">
        <v>0</v>
      </c>
      <c r="AU743" s="58">
        <v>6</v>
      </c>
      <c r="AV743" s="58">
        <v>218567.2</v>
      </c>
      <c r="AW743" s="58">
        <v>8</v>
      </c>
      <c r="AX743" s="58">
        <v>212362.81</v>
      </c>
    </row>
    <row r="744" spans="1:50" x14ac:dyDescent="0.25">
      <c r="A744" s="52">
        <f t="shared" si="39"/>
        <v>739</v>
      </c>
      <c r="B744" s="60" t="str">
        <f t="shared" si="38"/>
        <v>0008315884218</v>
      </c>
      <c r="C744" s="55" t="s">
        <v>35</v>
      </c>
      <c r="D744" s="53" t="s">
        <v>2139</v>
      </c>
      <c r="E744" s="55" t="s">
        <v>1251</v>
      </c>
      <c r="F744" s="53" t="s">
        <v>2141</v>
      </c>
      <c r="G744" s="55">
        <v>11444</v>
      </c>
      <c r="H744" s="53" t="s">
        <v>1309</v>
      </c>
      <c r="I744" s="55">
        <v>311808387</v>
      </c>
      <c r="J744" s="55" t="s">
        <v>1310</v>
      </c>
      <c r="K744" s="55" t="s">
        <v>1311</v>
      </c>
      <c r="L744" s="53" t="s">
        <v>2039</v>
      </c>
      <c r="M744" s="55" t="s">
        <v>75</v>
      </c>
      <c r="N744" s="52">
        <v>200000</v>
      </c>
      <c r="O744" s="52">
        <v>2413552000</v>
      </c>
      <c r="P744" s="52">
        <v>2413552000</v>
      </c>
      <c r="Q744" s="57">
        <v>45831</v>
      </c>
      <c r="R744" s="57">
        <v>46379</v>
      </c>
      <c r="S744" s="56">
        <v>10.75</v>
      </c>
      <c r="T744" s="54">
        <v>3</v>
      </c>
      <c r="U744" s="52">
        <v>1822494303.78</v>
      </c>
      <c r="V744" s="52">
        <v>1822494303.78</v>
      </c>
      <c r="W744" s="52">
        <v>0</v>
      </c>
      <c r="X744" s="57"/>
      <c r="Y744" s="52">
        <v>0</v>
      </c>
      <c r="Z744" s="52">
        <v>0</v>
      </c>
      <c r="AA744" s="52">
        <v>1</v>
      </c>
      <c r="AB744" s="52">
        <v>0</v>
      </c>
      <c r="AC744" s="52">
        <v>4968815.42</v>
      </c>
      <c r="AD744" s="52">
        <v>4968815.42</v>
      </c>
      <c r="AE744" s="52">
        <v>0</v>
      </c>
      <c r="AF744" s="52">
        <v>0</v>
      </c>
      <c r="AG744" s="52">
        <v>0</v>
      </c>
      <c r="AH744" s="52">
        <v>0</v>
      </c>
      <c r="AI744" s="52">
        <v>0</v>
      </c>
      <c r="AJ744" s="52">
        <v>2</v>
      </c>
      <c r="AK744" s="52"/>
      <c r="AL744" s="52">
        <v>0</v>
      </c>
      <c r="AM744" s="52">
        <v>0</v>
      </c>
      <c r="AN744" s="52">
        <v>3200000000</v>
      </c>
      <c r="AO744" s="52">
        <v>41800828878</v>
      </c>
      <c r="AP744" s="52">
        <v>41800828878</v>
      </c>
      <c r="AQ744" s="58">
        <v>0</v>
      </c>
      <c r="AR744" s="58">
        <v>0</v>
      </c>
      <c r="AS744" s="58">
        <v>0</v>
      </c>
      <c r="AT744" s="58">
        <v>0</v>
      </c>
      <c r="AU744" s="58">
        <v>0</v>
      </c>
      <c r="AV744" s="58">
        <v>0</v>
      </c>
      <c r="AW744" s="58">
        <v>5</v>
      </c>
      <c r="AX744" s="58">
        <v>209450</v>
      </c>
    </row>
    <row r="745" spans="1:50" x14ac:dyDescent="0.25">
      <c r="A745" s="52">
        <f t="shared" si="39"/>
        <v>740</v>
      </c>
      <c r="B745" s="60" t="str">
        <f t="shared" si="38"/>
        <v>0008315819024</v>
      </c>
      <c r="C745" s="55" t="s">
        <v>35</v>
      </c>
      <c r="D745" s="53" t="s">
        <v>2139</v>
      </c>
      <c r="E745" s="55" t="s">
        <v>1251</v>
      </c>
      <c r="F745" s="53" t="s">
        <v>2141</v>
      </c>
      <c r="G745" s="55">
        <v>11444</v>
      </c>
      <c r="H745" s="53" t="s">
        <v>2582</v>
      </c>
      <c r="I745" s="55">
        <v>301624044</v>
      </c>
      <c r="J745" s="55" t="s">
        <v>1312</v>
      </c>
      <c r="K745" s="55" t="s">
        <v>1313</v>
      </c>
      <c r="L745" s="53" t="s">
        <v>2039</v>
      </c>
      <c r="M745" s="55" t="s">
        <v>75</v>
      </c>
      <c r="N745" s="52">
        <v>157000</v>
      </c>
      <c r="O745" s="52">
        <v>1894638320</v>
      </c>
      <c r="P745" s="52">
        <v>1894638320</v>
      </c>
      <c r="Q745" s="57">
        <v>45748</v>
      </c>
      <c r="R745" s="57">
        <v>46296</v>
      </c>
      <c r="S745" s="56">
        <v>11.77</v>
      </c>
      <c r="T745" s="54">
        <v>6</v>
      </c>
      <c r="U745" s="52">
        <v>1764570171.1900001</v>
      </c>
      <c r="V745" s="52">
        <v>1458119629.8599999</v>
      </c>
      <c r="W745" s="52">
        <v>306450541.32999998</v>
      </c>
      <c r="X745" s="57">
        <v>46014</v>
      </c>
      <c r="Y745" s="52">
        <v>0</v>
      </c>
      <c r="Z745" s="52">
        <v>0</v>
      </c>
      <c r="AA745" s="52">
        <v>2</v>
      </c>
      <c r="AB745" s="52">
        <v>176457053.72</v>
      </c>
      <c r="AC745" s="52">
        <v>40945303.219999999</v>
      </c>
      <c r="AD745" s="52">
        <v>9032091.6500000004</v>
      </c>
      <c r="AE745" s="52">
        <v>0</v>
      </c>
      <c r="AF745" s="52">
        <v>0</v>
      </c>
      <c r="AG745" s="52">
        <v>31913211.57</v>
      </c>
      <c r="AH745" s="52">
        <v>0</v>
      </c>
      <c r="AI745" s="52">
        <v>0</v>
      </c>
      <c r="AJ745" s="52">
        <v>2</v>
      </c>
      <c r="AK745" s="52"/>
      <c r="AL745" s="52">
        <v>0</v>
      </c>
      <c r="AM745" s="52">
        <v>0</v>
      </c>
      <c r="AN745" s="52">
        <v>9106000000</v>
      </c>
      <c r="AO745" s="52">
        <v>2945526445823</v>
      </c>
      <c r="AP745" s="52">
        <v>2945526445823</v>
      </c>
      <c r="AQ745" s="58">
        <v>0</v>
      </c>
      <c r="AR745" s="58">
        <v>0</v>
      </c>
      <c r="AS745" s="58">
        <v>0</v>
      </c>
      <c r="AT745" s="58">
        <v>0</v>
      </c>
      <c r="AU745" s="58">
        <v>25</v>
      </c>
      <c r="AV745" s="58">
        <v>775091.14000000013</v>
      </c>
      <c r="AW745" s="58">
        <v>1</v>
      </c>
      <c r="AX745" s="58">
        <v>5000</v>
      </c>
    </row>
    <row r="746" spans="1:50" x14ac:dyDescent="0.25">
      <c r="A746" s="52">
        <f t="shared" si="39"/>
        <v>741</v>
      </c>
      <c r="B746" s="60" t="str">
        <f t="shared" si="38"/>
        <v>0008315871486</v>
      </c>
      <c r="C746" s="55" t="s">
        <v>35</v>
      </c>
      <c r="D746" s="53" t="s">
        <v>2139</v>
      </c>
      <c r="E746" s="55" t="s">
        <v>1251</v>
      </c>
      <c r="F746" s="53" t="s">
        <v>2141</v>
      </c>
      <c r="G746" s="55">
        <v>11444</v>
      </c>
      <c r="H746" s="53" t="s">
        <v>1314</v>
      </c>
      <c r="I746" s="55">
        <v>305544023</v>
      </c>
      <c r="J746" s="55" t="s">
        <v>1315</v>
      </c>
      <c r="K746" s="55" t="s">
        <v>1316</v>
      </c>
      <c r="L746" s="53" t="s">
        <v>2039</v>
      </c>
      <c r="M746" s="55" t="s">
        <v>75</v>
      </c>
      <c r="N746" s="52">
        <v>200000</v>
      </c>
      <c r="O746" s="52">
        <v>2413552000</v>
      </c>
      <c r="P746" s="52">
        <v>2413552000</v>
      </c>
      <c r="Q746" s="57">
        <v>45804</v>
      </c>
      <c r="R746" s="57">
        <v>46353</v>
      </c>
      <c r="S746" s="56">
        <v>11.27</v>
      </c>
      <c r="T746" s="54">
        <v>3</v>
      </c>
      <c r="U746" s="52">
        <v>1626566998.5</v>
      </c>
      <c r="V746" s="52">
        <v>1626566998.5</v>
      </c>
      <c r="W746" s="52">
        <v>0</v>
      </c>
      <c r="X746" s="57"/>
      <c r="Y746" s="52">
        <v>0</v>
      </c>
      <c r="Z746" s="52">
        <v>0</v>
      </c>
      <c r="AA746" s="52">
        <v>1</v>
      </c>
      <c r="AB746" s="52">
        <v>0</v>
      </c>
      <c r="AC746" s="52">
        <v>8191695.6500000004</v>
      </c>
      <c r="AD746" s="52">
        <v>8191695.6500000004</v>
      </c>
      <c r="AE746" s="52">
        <v>0</v>
      </c>
      <c r="AF746" s="52">
        <v>0</v>
      </c>
      <c r="AG746" s="52">
        <v>0</v>
      </c>
      <c r="AH746" s="52">
        <v>0</v>
      </c>
      <c r="AI746" s="52">
        <v>0</v>
      </c>
      <c r="AJ746" s="52">
        <v>2</v>
      </c>
      <c r="AK746" s="52"/>
      <c r="AL746" s="52">
        <v>0</v>
      </c>
      <c r="AM746" s="52">
        <v>0</v>
      </c>
      <c r="AN746" s="52">
        <v>3510000000</v>
      </c>
      <c r="AO746" s="52">
        <v>444943581311</v>
      </c>
      <c r="AP746" s="52">
        <v>444943581311</v>
      </c>
      <c r="AQ746" s="58">
        <v>27</v>
      </c>
      <c r="AR746" s="58">
        <v>1076683.8799999999</v>
      </c>
      <c r="AS746" s="58">
        <v>23</v>
      </c>
      <c r="AT746" s="58">
        <v>243445.95</v>
      </c>
      <c r="AU746" s="58">
        <v>1</v>
      </c>
      <c r="AV746" s="58">
        <v>9400</v>
      </c>
      <c r="AW746" s="58">
        <v>0</v>
      </c>
      <c r="AX746" s="58">
        <v>0</v>
      </c>
    </row>
    <row r="747" spans="1:50" x14ac:dyDescent="0.25">
      <c r="A747" s="52">
        <f t="shared" si="39"/>
        <v>742</v>
      </c>
      <c r="B747" s="60" t="str">
        <f t="shared" si="38"/>
        <v>0008315114760</v>
      </c>
      <c r="C747" s="55" t="s">
        <v>35</v>
      </c>
      <c r="D747" s="53" t="s">
        <v>2139</v>
      </c>
      <c r="E747" s="55" t="s">
        <v>1251</v>
      </c>
      <c r="F747" s="53" t="s">
        <v>2141</v>
      </c>
      <c r="G747" s="55">
        <v>11444</v>
      </c>
      <c r="H747" s="53" t="s">
        <v>2585</v>
      </c>
      <c r="I747" s="55">
        <v>306282230</v>
      </c>
      <c r="J747" s="55" t="s">
        <v>1317</v>
      </c>
      <c r="K747" s="55" t="s">
        <v>1318</v>
      </c>
      <c r="L747" s="53" t="s">
        <v>2039</v>
      </c>
      <c r="M747" s="55" t="s">
        <v>75</v>
      </c>
      <c r="N747" s="52">
        <v>198000</v>
      </c>
      <c r="O747" s="52">
        <v>2389416480</v>
      </c>
      <c r="P747" s="52">
        <v>2389416480</v>
      </c>
      <c r="Q747" s="57">
        <v>45226</v>
      </c>
      <c r="R747" s="57">
        <v>46687</v>
      </c>
      <c r="S747" s="56">
        <v>11.75</v>
      </c>
      <c r="T747" s="54">
        <v>0</v>
      </c>
      <c r="U747" s="52">
        <v>1342990257.6400001</v>
      </c>
      <c r="V747" s="52">
        <v>1342990257.6400001</v>
      </c>
      <c r="W747" s="52">
        <v>0</v>
      </c>
      <c r="X747" s="57"/>
      <c r="Y747" s="52">
        <v>0</v>
      </c>
      <c r="Z747" s="52">
        <v>0</v>
      </c>
      <c r="AA747" s="52">
        <v>1</v>
      </c>
      <c r="AB747" s="52">
        <v>0</v>
      </c>
      <c r="AC747" s="52">
        <v>5206331.9000000004</v>
      </c>
      <c r="AD747" s="52">
        <v>5206331.9000000004</v>
      </c>
      <c r="AE747" s="52">
        <v>0</v>
      </c>
      <c r="AF747" s="52">
        <v>0</v>
      </c>
      <c r="AG747" s="52">
        <v>0</v>
      </c>
      <c r="AH747" s="52">
        <v>0</v>
      </c>
      <c r="AI747" s="52">
        <v>0</v>
      </c>
      <c r="AJ747" s="52">
        <v>2</v>
      </c>
      <c r="AK747" s="52"/>
      <c r="AL747" s="52">
        <v>0</v>
      </c>
      <c r="AM747" s="52">
        <v>0</v>
      </c>
      <c r="AN747" s="52">
        <v>0</v>
      </c>
      <c r="AO747" s="52">
        <v>500047848473</v>
      </c>
      <c r="AP747" s="52">
        <v>4683878484</v>
      </c>
      <c r="AQ747" s="58">
        <v>19</v>
      </c>
      <c r="AR747" s="58">
        <v>67530.22</v>
      </c>
      <c r="AS747" s="58">
        <v>155</v>
      </c>
      <c r="AT747" s="58">
        <v>620460.59</v>
      </c>
      <c r="AU747" s="58">
        <v>1</v>
      </c>
      <c r="AV747" s="58">
        <v>40284.04</v>
      </c>
      <c r="AW747" s="58">
        <v>5</v>
      </c>
      <c r="AX747" s="58">
        <v>415110.89</v>
      </c>
    </row>
    <row r="748" spans="1:50" x14ac:dyDescent="0.25">
      <c r="A748" s="52">
        <f t="shared" si="39"/>
        <v>743</v>
      </c>
      <c r="B748" s="60" t="str">
        <f t="shared" si="38"/>
        <v>0008315437931</v>
      </c>
      <c r="C748" s="55" t="s">
        <v>35</v>
      </c>
      <c r="D748" s="53" t="s">
        <v>2139</v>
      </c>
      <c r="E748" s="55" t="s">
        <v>1251</v>
      </c>
      <c r="F748" s="53" t="s">
        <v>2141</v>
      </c>
      <c r="G748" s="55">
        <v>11444</v>
      </c>
      <c r="H748" s="53" t="s">
        <v>2581</v>
      </c>
      <c r="I748" s="55">
        <v>308482075</v>
      </c>
      <c r="J748" s="55" t="s">
        <v>1319</v>
      </c>
      <c r="K748" s="55" t="s">
        <v>1320</v>
      </c>
      <c r="L748" s="53" t="s">
        <v>2039</v>
      </c>
      <c r="M748" s="55" t="s">
        <v>75</v>
      </c>
      <c r="N748" s="52">
        <v>160000</v>
      </c>
      <c r="O748" s="52">
        <v>1930841600</v>
      </c>
      <c r="P748" s="52">
        <v>1930841600</v>
      </c>
      <c r="Q748" s="57">
        <v>45545</v>
      </c>
      <c r="R748" s="57">
        <v>46640</v>
      </c>
      <c r="S748" s="56">
        <v>11.75</v>
      </c>
      <c r="T748" s="54">
        <v>0</v>
      </c>
      <c r="U748" s="52">
        <v>1253953540.4100001</v>
      </c>
      <c r="V748" s="52">
        <v>1253953540.4100001</v>
      </c>
      <c r="W748" s="52">
        <v>0</v>
      </c>
      <c r="X748" s="57"/>
      <c r="Y748" s="52">
        <v>0</v>
      </c>
      <c r="Z748" s="52">
        <v>0</v>
      </c>
      <c r="AA748" s="52">
        <v>1</v>
      </c>
      <c r="AB748" s="52">
        <v>0</v>
      </c>
      <c r="AC748" s="52">
        <v>6862237.7300000004</v>
      </c>
      <c r="AD748" s="52">
        <v>6862237.7300000004</v>
      </c>
      <c r="AE748" s="52">
        <v>0</v>
      </c>
      <c r="AF748" s="52">
        <v>0</v>
      </c>
      <c r="AG748" s="52">
        <v>0</v>
      </c>
      <c r="AH748" s="52">
        <v>0</v>
      </c>
      <c r="AI748" s="52">
        <v>0</v>
      </c>
      <c r="AJ748" s="52">
        <v>2</v>
      </c>
      <c r="AK748" s="52"/>
      <c r="AL748" s="52">
        <v>0</v>
      </c>
      <c r="AM748" s="52">
        <v>0</v>
      </c>
      <c r="AN748" s="52">
        <v>0</v>
      </c>
      <c r="AO748" s="52">
        <v>1583904654203</v>
      </c>
      <c r="AP748" s="52">
        <v>1583904654203</v>
      </c>
      <c r="AQ748" s="58">
        <v>0</v>
      </c>
      <c r="AR748" s="58">
        <v>0</v>
      </c>
      <c r="AS748" s="58">
        <v>2</v>
      </c>
      <c r="AT748" s="58">
        <v>11600</v>
      </c>
      <c r="AU748" s="58">
        <v>60</v>
      </c>
      <c r="AV748" s="58">
        <v>829334.32000000007</v>
      </c>
      <c r="AW748" s="58">
        <v>60</v>
      </c>
      <c r="AX748" s="58">
        <v>1357444</v>
      </c>
    </row>
    <row r="749" spans="1:50" x14ac:dyDescent="0.25">
      <c r="A749" s="52">
        <f t="shared" si="39"/>
        <v>744</v>
      </c>
      <c r="B749" s="60" t="str">
        <f t="shared" si="38"/>
        <v>0008315911058</v>
      </c>
      <c r="C749" s="55" t="s">
        <v>35</v>
      </c>
      <c r="D749" s="53" t="s">
        <v>2139</v>
      </c>
      <c r="E749" s="55" t="s">
        <v>1251</v>
      </c>
      <c r="F749" s="53" t="s">
        <v>2141</v>
      </c>
      <c r="G749" s="55">
        <v>11444</v>
      </c>
      <c r="H749" s="53" t="s">
        <v>1303</v>
      </c>
      <c r="I749" s="55">
        <v>307600514</v>
      </c>
      <c r="J749" s="55" t="s">
        <v>1321</v>
      </c>
      <c r="K749" s="55" t="s">
        <v>1322</v>
      </c>
      <c r="L749" s="53" t="s">
        <v>2584</v>
      </c>
      <c r="M749" s="55" t="s">
        <v>75</v>
      </c>
      <c r="N749" s="52">
        <v>100000</v>
      </c>
      <c r="O749" s="52">
        <v>1206776000</v>
      </c>
      <c r="P749" s="52">
        <v>1206776000</v>
      </c>
      <c r="Q749" s="57">
        <v>45874</v>
      </c>
      <c r="R749" s="57">
        <v>47335</v>
      </c>
      <c r="S749" s="56">
        <v>12.27</v>
      </c>
      <c r="T749" s="54">
        <v>0</v>
      </c>
      <c r="U749" s="52">
        <v>1219910000</v>
      </c>
      <c r="V749" s="52">
        <v>1219910000</v>
      </c>
      <c r="W749" s="52">
        <v>0</v>
      </c>
      <c r="X749" s="57"/>
      <c r="Y749" s="52">
        <v>0</v>
      </c>
      <c r="Z749" s="52">
        <v>0</v>
      </c>
      <c r="AA749" s="52">
        <v>2</v>
      </c>
      <c r="AB749" s="52">
        <v>121991000</v>
      </c>
      <c r="AC749" s="52">
        <v>7853902.5700000003</v>
      </c>
      <c r="AD749" s="52">
        <v>7853902.5700000003</v>
      </c>
      <c r="AE749" s="52">
        <v>0</v>
      </c>
      <c r="AF749" s="52">
        <v>0</v>
      </c>
      <c r="AG749" s="52">
        <v>0</v>
      </c>
      <c r="AH749" s="52">
        <v>0</v>
      </c>
      <c r="AI749" s="52">
        <v>0</v>
      </c>
      <c r="AJ749" s="52">
        <v>2</v>
      </c>
      <c r="AK749" s="52"/>
      <c r="AL749" s="52">
        <v>0</v>
      </c>
      <c r="AM749" s="52">
        <v>0</v>
      </c>
      <c r="AN749" s="52">
        <v>0</v>
      </c>
      <c r="AO749" s="52">
        <v>0</v>
      </c>
      <c r="AP749" s="52">
        <v>0</v>
      </c>
      <c r="AQ749" s="58">
        <v>27</v>
      </c>
      <c r="AR749" s="58">
        <v>85741.329999999987</v>
      </c>
      <c r="AS749" s="58">
        <v>449</v>
      </c>
      <c r="AT749" s="58">
        <v>1615687.4499999993</v>
      </c>
      <c r="AU749" s="58">
        <v>3</v>
      </c>
      <c r="AV749" s="58">
        <v>41187.449999999997</v>
      </c>
      <c r="AW749" s="58">
        <v>31</v>
      </c>
      <c r="AX749" s="58">
        <v>644583.53</v>
      </c>
    </row>
    <row r="750" spans="1:50" x14ac:dyDescent="0.25">
      <c r="A750" s="52">
        <f t="shared" si="39"/>
        <v>745</v>
      </c>
      <c r="B750" s="60" t="str">
        <f t="shared" si="38"/>
        <v>0008315943943</v>
      </c>
      <c r="C750" s="55" t="s">
        <v>35</v>
      </c>
      <c r="D750" s="53" t="s">
        <v>2139</v>
      </c>
      <c r="E750" s="55" t="s">
        <v>1251</v>
      </c>
      <c r="F750" s="53" t="s">
        <v>2141</v>
      </c>
      <c r="G750" s="55">
        <v>11444</v>
      </c>
      <c r="H750" s="53" t="s">
        <v>2586</v>
      </c>
      <c r="I750" s="55">
        <v>304240656</v>
      </c>
      <c r="J750" s="55" t="s">
        <v>1323</v>
      </c>
      <c r="K750" s="55" t="s">
        <v>1324</v>
      </c>
      <c r="L750" s="53" t="s">
        <v>2045</v>
      </c>
      <c r="M750" s="55" t="s">
        <v>75</v>
      </c>
      <c r="N750" s="52">
        <v>100000</v>
      </c>
      <c r="O750" s="52">
        <v>1206776000</v>
      </c>
      <c r="P750" s="52">
        <v>1206776000</v>
      </c>
      <c r="Q750" s="57">
        <v>45918</v>
      </c>
      <c r="R750" s="57">
        <v>47744</v>
      </c>
      <c r="S750" s="56">
        <v>12.27</v>
      </c>
      <c r="T750" s="54">
        <v>0</v>
      </c>
      <c r="U750" s="52">
        <v>1157206260.03</v>
      </c>
      <c r="V750" s="52">
        <v>1157206260.03</v>
      </c>
      <c r="W750" s="52">
        <v>0</v>
      </c>
      <c r="X750" s="57"/>
      <c r="Y750" s="52">
        <v>0</v>
      </c>
      <c r="Z750" s="52">
        <v>0</v>
      </c>
      <c r="AA750" s="52">
        <v>1</v>
      </c>
      <c r="AB750" s="52">
        <v>0</v>
      </c>
      <c r="AC750" s="52">
        <v>7443890.8200000003</v>
      </c>
      <c r="AD750" s="52">
        <v>7443890.8200000003</v>
      </c>
      <c r="AE750" s="52">
        <v>0</v>
      </c>
      <c r="AF750" s="52">
        <v>0</v>
      </c>
      <c r="AG750" s="52">
        <v>0</v>
      </c>
      <c r="AH750" s="52">
        <v>0</v>
      </c>
      <c r="AI750" s="52">
        <v>0</v>
      </c>
      <c r="AJ750" s="52">
        <v>2</v>
      </c>
      <c r="AK750" s="52"/>
      <c r="AL750" s="52">
        <v>0</v>
      </c>
      <c r="AM750" s="52">
        <v>0</v>
      </c>
      <c r="AN750" s="52">
        <v>1690000000</v>
      </c>
      <c r="AO750" s="52">
        <v>185584000</v>
      </c>
      <c r="AP750" s="52">
        <v>185584000</v>
      </c>
      <c r="AQ750" s="58">
        <v>26</v>
      </c>
      <c r="AR750" s="58">
        <v>110803.53999999998</v>
      </c>
      <c r="AS750" s="58">
        <v>10</v>
      </c>
      <c r="AT750" s="58">
        <v>27357.730000000003</v>
      </c>
      <c r="AU750" s="58">
        <v>17</v>
      </c>
      <c r="AV750" s="58">
        <v>237241.65</v>
      </c>
      <c r="AW750" s="58">
        <v>2</v>
      </c>
      <c r="AX750" s="58">
        <v>5900</v>
      </c>
    </row>
    <row r="751" spans="1:50" x14ac:dyDescent="0.25">
      <c r="A751" s="52">
        <f t="shared" si="39"/>
        <v>746</v>
      </c>
      <c r="B751" s="60" t="str">
        <f t="shared" si="38"/>
        <v>0008315494106</v>
      </c>
      <c r="C751" s="55" t="s">
        <v>35</v>
      </c>
      <c r="D751" s="53" t="s">
        <v>2139</v>
      </c>
      <c r="E751" s="55" t="s">
        <v>1251</v>
      </c>
      <c r="F751" s="53" t="s">
        <v>2141</v>
      </c>
      <c r="G751" s="55">
        <v>11444</v>
      </c>
      <c r="H751" s="53" t="s">
        <v>2585</v>
      </c>
      <c r="I751" s="55">
        <v>306282230</v>
      </c>
      <c r="J751" s="55" t="s">
        <v>1325</v>
      </c>
      <c r="K751" s="55" t="s">
        <v>1326</v>
      </c>
      <c r="L751" s="53" t="s">
        <v>2039</v>
      </c>
      <c r="M751" s="55" t="s">
        <v>75</v>
      </c>
      <c r="N751" s="52">
        <v>100000</v>
      </c>
      <c r="O751" s="52">
        <v>1206776000</v>
      </c>
      <c r="P751" s="52">
        <v>1206776000</v>
      </c>
      <c r="Q751" s="57">
        <v>45614</v>
      </c>
      <c r="R751" s="57">
        <v>47075</v>
      </c>
      <c r="S751" s="56">
        <v>11.27</v>
      </c>
      <c r="T751" s="54">
        <v>0</v>
      </c>
      <c r="U751" s="52">
        <v>1023864851.41</v>
      </c>
      <c r="V751" s="52">
        <v>1023864851.41</v>
      </c>
      <c r="W751" s="52">
        <v>0</v>
      </c>
      <c r="X751" s="57"/>
      <c r="Y751" s="52">
        <v>0</v>
      </c>
      <c r="Z751" s="52">
        <v>0</v>
      </c>
      <c r="AA751" s="52">
        <v>1</v>
      </c>
      <c r="AB751" s="52">
        <v>0</v>
      </c>
      <c r="AC751" s="52">
        <v>6030869.0700000003</v>
      </c>
      <c r="AD751" s="52">
        <v>6030869.0700000003</v>
      </c>
      <c r="AE751" s="52">
        <v>0</v>
      </c>
      <c r="AF751" s="52">
        <v>0</v>
      </c>
      <c r="AG751" s="52">
        <v>0</v>
      </c>
      <c r="AH751" s="52">
        <v>0</v>
      </c>
      <c r="AI751" s="52">
        <v>0</v>
      </c>
      <c r="AJ751" s="52">
        <v>2</v>
      </c>
      <c r="AK751" s="52"/>
      <c r="AL751" s="52">
        <v>0</v>
      </c>
      <c r="AM751" s="52">
        <v>0</v>
      </c>
      <c r="AN751" s="52">
        <v>0</v>
      </c>
      <c r="AO751" s="52">
        <v>2743683449</v>
      </c>
      <c r="AP751" s="52">
        <v>2740583449</v>
      </c>
      <c r="AQ751" s="58">
        <v>19</v>
      </c>
      <c r="AR751" s="58">
        <v>67530.22</v>
      </c>
      <c r="AS751" s="58">
        <v>155</v>
      </c>
      <c r="AT751" s="58">
        <v>620460.59</v>
      </c>
      <c r="AU751" s="58">
        <v>1</v>
      </c>
      <c r="AV751" s="58">
        <v>40284.04</v>
      </c>
      <c r="AW751" s="58">
        <v>5</v>
      </c>
      <c r="AX751" s="58">
        <v>415110.89</v>
      </c>
    </row>
    <row r="752" spans="1:50" x14ac:dyDescent="0.25">
      <c r="A752" s="52">
        <f t="shared" si="39"/>
        <v>747</v>
      </c>
      <c r="B752" s="60" t="str">
        <f t="shared" si="38"/>
        <v>0008315492913</v>
      </c>
      <c r="C752" s="55" t="s">
        <v>35</v>
      </c>
      <c r="D752" s="53" t="s">
        <v>2139</v>
      </c>
      <c r="E752" s="55" t="s">
        <v>1251</v>
      </c>
      <c r="F752" s="53" t="s">
        <v>2141</v>
      </c>
      <c r="G752" s="55">
        <v>11444</v>
      </c>
      <c r="H752" s="53" t="s">
        <v>2587</v>
      </c>
      <c r="I752" s="55">
        <v>310229579</v>
      </c>
      <c r="J752" s="55" t="s">
        <v>1327</v>
      </c>
      <c r="K752" s="55" t="s">
        <v>1328</v>
      </c>
      <c r="L752" s="53" t="s">
        <v>2039</v>
      </c>
      <c r="M752" s="55" t="s">
        <v>75</v>
      </c>
      <c r="N752" s="52">
        <v>105000</v>
      </c>
      <c r="O752" s="52">
        <v>1267114800</v>
      </c>
      <c r="P752" s="52">
        <v>1267114800</v>
      </c>
      <c r="Q752" s="57">
        <v>45609</v>
      </c>
      <c r="R752" s="57">
        <v>46704</v>
      </c>
      <c r="S752" s="56">
        <v>11.75</v>
      </c>
      <c r="T752" s="54">
        <v>0</v>
      </c>
      <c r="U752" s="52">
        <v>858811882.35000002</v>
      </c>
      <c r="V752" s="52">
        <v>858811882.35000002</v>
      </c>
      <c r="W752" s="52">
        <v>0</v>
      </c>
      <c r="X752" s="57"/>
      <c r="Y752" s="52">
        <v>0</v>
      </c>
      <c r="Z752" s="52">
        <v>0</v>
      </c>
      <c r="AA752" s="52">
        <v>1</v>
      </c>
      <c r="AB752" s="52">
        <v>0</v>
      </c>
      <c r="AC752" s="52">
        <v>4699703.28</v>
      </c>
      <c r="AD752" s="52">
        <v>4699703.28</v>
      </c>
      <c r="AE752" s="52">
        <v>0</v>
      </c>
      <c r="AF752" s="52">
        <v>0</v>
      </c>
      <c r="AG752" s="52">
        <v>0</v>
      </c>
      <c r="AH752" s="52">
        <v>0</v>
      </c>
      <c r="AI752" s="52">
        <v>0</v>
      </c>
      <c r="AJ752" s="52">
        <v>2</v>
      </c>
      <c r="AK752" s="52"/>
      <c r="AL752" s="52">
        <v>0</v>
      </c>
      <c r="AM752" s="52">
        <v>0</v>
      </c>
      <c r="AN752" s="52">
        <v>0</v>
      </c>
      <c r="AO752" s="52">
        <v>622470374847</v>
      </c>
      <c r="AP752" s="52">
        <v>622470374847</v>
      </c>
      <c r="AQ752" s="58">
        <v>15</v>
      </c>
      <c r="AR752" s="58">
        <v>74972.100000000006</v>
      </c>
      <c r="AS752" s="58">
        <v>17</v>
      </c>
      <c r="AT752" s="58">
        <v>65486.070000000014</v>
      </c>
      <c r="AU752" s="58">
        <v>32</v>
      </c>
      <c r="AV752" s="58">
        <v>183203.46000000002</v>
      </c>
      <c r="AW752" s="58">
        <v>6</v>
      </c>
      <c r="AX752" s="58">
        <v>37990.07</v>
      </c>
    </row>
    <row r="753" spans="1:50" x14ac:dyDescent="0.25">
      <c r="A753" s="52">
        <f t="shared" si="39"/>
        <v>748</v>
      </c>
      <c r="B753" s="60" t="str">
        <f t="shared" si="38"/>
        <v>0008315924847</v>
      </c>
      <c r="C753" s="55" t="s">
        <v>35</v>
      </c>
      <c r="D753" s="53" t="s">
        <v>2139</v>
      </c>
      <c r="E753" s="55" t="s">
        <v>1251</v>
      </c>
      <c r="F753" s="53" t="s">
        <v>2141</v>
      </c>
      <c r="G753" s="55">
        <v>11444</v>
      </c>
      <c r="H753" s="53" t="s">
        <v>2588</v>
      </c>
      <c r="I753" s="55">
        <v>306852637</v>
      </c>
      <c r="J753" s="55" t="s">
        <v>1329</v>
      </c>
      <c r="K753" s="55" t="s">
        <v>1330</v>
      </c>
      <c r="L753" s="53" t="s">
        <v>2039</v>
      </c>
      <c r="M753" s="55" t="s">
        <v>75</v>
      </c>
      <c r="N753" s="52">
        <v>80000</v>
      </c>
      <c r="O753" s="52">
        <v>965420800</v>
      </c>
      <c r="P753" s="52">
        <v>965420800</v>
      </c>
      <c r="Q753" s="57">
        <v>45891</v>
      </c>
      <c r="R753" s="57">
        <v>46987</v>
      </c>
      <c r="S753" s="56">
        <v>11.27</v>
      </c>
      <c r="T753" s="54">
        <v>0</v>
      </c>
      <c r="U753" s="52">
        <v>858513248.38</v>
      </c>
      <c r="V753" s="52">
        <v>858513248.38</v>
      </c>
      <c r="W753" s="52">
        <v>0</v>
      </c>
      <c r="X753" s="57"/>
      <c r="Y753" s="52">
        <v>0</v>
      </c>
      <c r="Z753" s="52">
        <v>0</v>
      </c>
      <c r="AA753" s="52">
        <v>1</v>
      </c>
      <c r="AB753" s="52">
        <v>0</v>
      </c>
      <c r="AC753" s="52">
        <v>3286925.5</v>
      </c>
      <c r="AD753" s="52">
        <v>3286925.5</v>
      </c>
      <c r="AE753" s="52">
        <v>0</v>
      </c>
      <c r="AF753" s="52">
        <v>0</v>
      </c>
      <c r="AG753" s="52">
        <v>0</v>
      </c>
      <c r="AH753" s="52">
        <v>0</v>
      </c>
      <c r="AI753" s="52">
        <v>0</v>
      </c>
      <c r="AJ753" s="52">
        <v>2</v>
      </c>
      <c r="AK753" s="52"/>
      <c r="AL753" s="52">
        <v>0</v>
      </c>
      <c r="AM753" s="52">
        <v>0</v>
      </c>
      <c r="AN753" s="52">
        <v>0</v>
      </c>
      <c r="AO753" s="52">
        <v>3934213260</v>
      </c>
      <c r="AP753" s="52">
        <v>3928213260</v>
      </c>
      <c r="AQ753" s="58">
        <v>0</v>
      </c>
      <c r="AR753" s="58">
        <v>0</v>
      </c>
      <c r="AS753" s="58">
        <v>0</v>
      </c>
      <c r="AT753" s="58">
        <v>0</v>
      </c>
      <c r="AU753" s="58">
        <v>0</v>
      </c>
      <c r="AV753" s="58">
        <v>0</v>
      </c>
      <c r="AW753" s="58">
        <v>0</v>
      </c>
      <c r="AX753" s="58">
        <v>0</v>
      </c>
    </row>
    <row r="754" spans="1:50" x14ac:dyDescent="0.25">
      <c r="A754" s="52">
        <f t="shared" si="39"/>
        <v>749</v>
      </c>
      <c r="B754" s="60" t="str">
        <f t="shared" si="38"/>
        <v>0008315409637</v>
      </c>
      <c r="C754" s="55" t="s">
        <v>35</v>
      </c>
      <c r="D754" s="53" t="s">
        <v>2139</v>
      </c>
      <c r="E754" s="55" t="s">
        <v>1251</v>
      </c>
      <c r="F754" s="53" t="s">
        <v>2141</v>
      </c>
      <c r="G754" s="55">
        <v>11444</v>
      </c>
      <c r="H754" s="53" t="s">
        <v>2587</v>
      </c>
      <c r="I754" s="55">
        <v>310229579</v>
      </c>
      <c r="J754" s="55" t="s">
        <v>1331</v>
      </c>
      <c r="K754" s="55" t="s">
        <v>1332</v>
      </c>
      <c r="L754" s="53" t="s">
        <v>2039</v>
      </c>
      <c r="M754" s="55" t="s">
        <v>75</v>
      </c>
      <c r="N754" s="52">
        <v>100000</v>
      </c>
      <c r="O754" s="52">
        <v>1206776000</v>
      </c>
      <c r="P754" s="52">
        <v>1206776000</v>
      </c>
      <c r="Q754" s="57">
        <v>45474</v>
      </c>
      <c r="R754" s="57">
        <v>46935</v>
      </c>
      <c r="S754" s="56">
        <v>13</v>
      </c>
      <c r="T754" s="54">
        <v>0</v>
      </c>
      <c r="U754" s="52">
        <v>850559679.16999996</v>
      </c>
      <c r="V754" s="52">
        <v>850559679.16999996</v>
      </c>
      <c r="W754" s="52">
        <v>0</v>
      </c>
      <c r="X754" s="57"/>
      <c r="Y754" s="52">
        <v>0</v>
      </c>
      <c r="Z754" s="52">
        <v>0</v>
      </c>
      <c r="AA754" s="52">
        <v>1</v>
      </c>
      <c r="AB754" s="52">
        <v>0</v>
      </c>
      <c r="AC754" s="52">
        <v>6058805.0099999998</v>
      </c>
      <c r="AD754" s="52">
        <v>6058805.0099999998</v>
      </c>
      <c r="AE754" s="52">
        <v>0</v>
      </c>
      <c r="AF754" s="52">
        <v>0</v>
      </c>
      <c r="AG754" s="52">
        <v>0</v>
      </c>
      <c r="AH754" s="52">
        <v>0</v>
      </c>
      <c r="AI754" s="52">
        <v>0</v>
      </c>
      <c r="AJ754" s="52">
        <v>2</v>
      </c>
      <c r="AK754" s="52"/>
      <c r="AL754" s="52">
        <v>0</v>
      </c>
      <c r="AM754" s="52">
        <v>0</v>
      </c>
      <c r="AN754" s="52">
        <v>0</v>
      </c>
      <c r="AO754" s="52">
        <v>87280635433</v>
      </c>
      <c r="AP754" s="52">
        <v>87280635433</v>
      </c>
      <c r="AQ754" s="58">
        <v>15</v>
      </c>
      <c r="AR754" s="58">
        <v>74972.100000000006</v>
      </c>
      <c r="AS754" s="58">
        <v>17</v>
      </c>
      <c r="AT754" s="58">
        <v>65486.070000000014</v>
      </c>
      <c r="AU754" s="58">
        <v>32</v>
      </c>
      <c r="AV754" s="58">
        <v>183203.46000000002</v>
      </c>
      <c r="AW754" s="58">
        <v>6</v>
      </c>
      <c r="AX754" s="58">
        <v>37990.07</v>
      </c>
    </row>
    <row r="755" spans="1:50" x14ac:dyDescent="0.25">
      <c r="A755" s="52">
        <f t="shared" si="39"/>
        <v>750</v>
      </c>
      <c r="B755" s="60" t="str">
        <f t="shared" si="38"/>
        <v>0008315911850</v>
      </c>
      <c r="C755" s="55" t="s">
        <v>35</v>
      </c>
      <c r="D755" s="53" t="s">
        <v>2139</v>
      </c>
      <c r="E755" s="55" t="s">
        <v>1251</v>
      </c>
      <c r="F755" s="53" t="s">
        <v>2141</v>
      </c>
      <c r="G755" s="55">
        <v>11444</v>
      </c>
      <c r="H755" s="53" t="s">
        <v>2588</v>
      </c>
      <c r="I755" s="55">
        <v>306852637</v>
      </c>
      <c r="J755" s="55" t="s">
        <v>1333</v>
      </c>
      <c r="K755" s="55" t="s">
        <v>1334</v>
      </c>
      <c r="L755" s="53" t="s">
        <v>2039</v>
      </c>
      <c r="M755" s="55" t="s">
        <v>75</v>
      </c>
      <c r="N755" s="52">
        <v>76000</v>
      </c>
      <c r="O755" s="52">
        <v>917149760</v>
      </c>
      <c r="P755" s="52">
        <v>917149760</v>
      </c>
      <c r="Q755" s="57">
        <v>45873</v>
      </c>
      <c r="R755" s="57">
        <v>46969</v>
      </c>
      <c r="S755" s="56">
        <v>11.27</v>
      </c>
      <c r="T755" s="54">
        <v>0</v>
      </c>
      <c r="U755" s="52">
        <v>818503616.13</v>
      </c>
      <c r="V755" s="52">
        <v>818503616.13</v>
      </c>
      <c r="W755" s="52">
        <v>0</v>
      </c>
      <c r="X755" s="57"/>
      <c r="Y755" s="52">
        <v>0</v>
      </c>
      <c r="Z755" s="52">
        <v>0</v>
      </c>
      <c r="AA755" s="52">
        <v>1</v>
      </c>
      <c r="AB755" s="52">
        <v>0</v>
      </c>
      <c r="AC755" s="52">
        <v>4821206.3099999996</v>
      </c>
      <c r="AD755" s="52">
        <v>4821206.3099999996</v>
      </c>
      <c r="AE755" s="52">
        <v>0</v>
      </c>
      <c r="AF755" s="52">
        <v>0</v>
      </c>
      <c r="AG755" s="52">
        <v>0</v>
      </c>
      <c r="AH755" s="52">
        <v>0</v>
      </c>
      <c r="AI755" s="52">
        <v>0</v>
      </c>
      <c r="AJ755" s="52">
        <v>2</v>
      </c>
      <c r="AK755" s="52"/>
      <c r="AL755" s="52">
        <v>0</v>
      </c>
      <c r="AM755" s="52">
        <v>0</v>
      </c>
      <c r="AN755" s="52">
        <v>0</v>
      </c>
      <c r="AO755" s="52">
        <v>3934213260</v>
      </c>
      <c r="AP755" s="52">
        <v>3928213260</v>
      </c>
      <c r="AQ755" s="58">
        <v>0</v>
      </c>
      <c r="AR755" s="58">
        <v>0</v>
      </c>
      <c r="AS755" s="58">
        <v>0</v>
      </c>
      <c r="AT755" s="58">
        <v>0</v>
      </c>
      <c r="AU755" s="58">
        <v>0</v>
      </c>
      <c r="AV755" s="58">
        <v>0</v>
      </c>
      <c r="AW755" s="58">
        <v>0</v>
      </c>
      <c r="AX755" s="58">
        <v>0</v>
      </c>
    </row>
    <row r="756" spans="1:50" x14ac:dyDescent="0.25">
      <c r="A756" s="52">
        <f t="shared" si="39"/>
        <v>751</v>
      </c>
      <c r="B756" s="60" t="str">
        <f t="shared" si="38"/>
        <v>0008315910691</v>
      </c>
      <c r="C756" s="55" t="s">
        <v>35</v>
      </c>
      <c r="D756" s="53" t="s">
        <v>2139</v>
      </c>
      <c r="E756" s="55" t="s">
        <v>1251</v>
      </c>
      <c r="F756" s="53" t="s">
        <v>2141</v>
      </c>
      <c r="G756" s="55">
        <v>11444</v>
      </c>
      <c r="H756" s="53" t="s">
        <v>1335</v>
      </c>
      <c r="I756" s="55">
        <v>306160010</v>
      </c>
      <c r="J756" s="55" t="s">
        <v>1336</v>
      </c>
      <c r="K756" s="55" t="s">
        <v>1337</v>
      </c>
      <c r="L756" s="53" t="s">
        <v>2039</v>
      </c>
      <c r="M756" s="55" t="s">
        <v>75</v>
      </c>
      <c r="N756" s="52">
        <v>67000</v>
      </c>
      <c r="O756" s="52">
        <v>808539920</v>
      </c>
      <c r="P756" s="52">
        <v>808539920</v>
      </c>
      <c r="Q756" s="57">
        <v>45874</v>
      </c>
      <c r="R756" s="57">
        <v>47335</v>
      </c>
      <c r="S756" s="56">
        <v>12.27</v>
      </c>
      <c r="T756" s="54">
        <v>0</v>
      </c>
      <c r="U756" s="52">
        <v>754159219.20000005</v>
      </c>
      <c r="V756" s="52">
        <v>754159219.20000005</v>
      </c>
      <c r="W756" s="52">
        <v>0</v>
      </c>
      <c r="X756" s="57"/>
      <c r="Y756" s="52">
        <v>0</v>
      </c>
      <c r="Z756" s="52">
        <v>0</v>
      </c>
      <c r="AA756" s="52">
        <v>2</v>
      </c>
      <c r="AB756" s="52">
        <v>75415934.120000005</v>
      </c>
      <c r="AC756" s="52">
        <v>2917902.73</v>
      </c>
      <c r="AD756" s="52">
        <v>2917902.73</v>
      </c>
      <c r="AE756" s="52">
        <v>0</v>
      </c>
      <c r="AF756" s="52">
        <v>0</v>
      </c>
      <c r="AG756" s="52">
        <v>0</v>
      </c>
      <c r="AH756" s="52">
        <v>0</v>
      </c>
      <c r="AI756" s="52">
        <v>0</v>
      </c>
      <c r="AJ756" s="52">
        <v>2</v>
      </c>
      <c r="AK756" s="52"/>
      <c r="AL756" s="52">
        <v>0</v>
      </c>
      <c r="AM756" s="52">
        <v>0</v>
      </c>
      <c r="AN756" s="52">
        <v>1150000000</v>
      </c>
      <c r="AO756" s="52">
        <v>127362136472</v>
      </c>
      <c r="AP756" s="52">
        <v>11273570</v>
      </c>
      <c r="AQ756" s="58">
        <v>0</v>
      </c>
      <c r="AR756" s="58">
        <v>0</v>
      </c>
      <c r="AS756" s="58">
        <v>0</v>
      </c>
      <c r="AT756" s="58">
        <v>0</v>
      </c>
      <c r="AU756" s="58">
        <v>0</v>
      </c>
      <c r="AV756" s="58">
        <v>0</v>
      </c>
      <c r="AW756" s="58">
        <v>0</v>
      </c>
      <c r="AX756" s="58">
        <v>0</v>
      </c>
    </row>
    <row r="757" spans="1:50" x14ac:dyDescent="0.25">
      <c r="A757" s="52">
        <f t="shared" si="39"/>
        <v>752</v>
      </c>
      <c r="B757" s="60" t="str">
        <f t="shared" si="38"/>
        <v>0008315388750</v>
      </c>
      <c r="C757" s="55" t="s">
        <v>35</v>
      </c>
      <c r="D757" s="53" t="s">
        <v>2139</v>
      </c>
      <c r="E757" s="55" t="s">
        <v>1251</v>
      </c>
      <c r="F757" s="53" t="s">
        <v>2141</v>
      </c>
      <c r="G757" s="55">
        <v>11444</v>
      </c>
      <c r="H757" s="53" t="s">
        <v>1338</v>
      </c>
      <c r="I757" s="55">
        <v>300043215</v>
      </c>
      <c r="J757" s="55" t="s">
        <v>1339</v>
      </c>
      <c r="K757" s="55" t="s">
        <v>1340</v>
      </c>
      <c r="L757" s="53" t="s">
        <v>2039</v>
      </c>
      <c r="M757" s="55" t="s">
        <v>75</v>
      </c>
      <c r="N757" s="52">
        <v>100000</v>
      </c>
      <c r="O757" s="52">
        <v>1206776000</v>
      </c>
      <c r="P757" s="52">
        <v>1206776000</v>
      </c>
      <c r="Q757" s="57">
        <v>45450</v>
      </c>
      <c r="R757" s="57">
        <v>46545</v>
      </c>
      <c r="S757" s="56">
        <v>12.75</v>
      </c>
      <c r="T757" s="54">
        <v>6</v>
      </c>
      <c r="U757" s="52">
        <v>743633225.75999999</v>
      </c>
      <c r="V757" s="52">
        <v>743633225.75999999</v>
      </c>
      <c r="W757" s="52">
        <v>0</v>
      </c>
      <c r="X757" s="57"/>
      <c r="Y757" s="52">
        <v>0</v>
      </c>
      <c r="Z757" s="52">
        <v>0</v>
      </c>
      <c r="AA757" s="52">
        <v>1</v>
      </c>
      <c r="AB757" s="52">
        <v>0</v>
      </c>
      <c r="AC757" s="52">
        <v>4429615.2</v>
      </c>
      <c r="AD757" s="52">
        <v>4429615.2</v>
      </c>
      <c r="AE757" s="52">
        <v>0</v>
      </c>
      <c r="AF757" s="52">
        <v>0</v>
      </c>
      <c r="AG757" s="52">
        <v>0</v>
      </c>
      <c r="AH757" s="52">
        <v>0</v>
      </c>
      <c r="AI757" s="52">
        <v>0</v>
      </c>
      <c r="AJ757" s="52">
        <v>2</v>
      </c>
      <c r="AK757" s="52"/>
      <c r="AL757" s="52">
        <v>0</v>
      </c>
      <c r="AM757" s="52">
        <v>0</v>
      </c>
      <c r="AN757" s="52">
        <v>5526000000</v>
      </c>
      <c r="AO757" s="52">
        <v>322072710892</v>
      </c>
      <c r="AP757" s="52">
        <v>2707497108</v>
      </c>
      <c r="AQ757" s="58">
        <v>0</v>
      </c>
      <c r="AR757" s="58">
        <v>0</v>
      </c>
      <c r="AS757" s="58">
        <v>0</v>
      </c>
      <c r="AT757" s="58">
        <v>0</v>
      </c>
      <c r="AU757" s="58">
        <v>0</v>
      </c>
      <c r="AV757" s="58">
        <v>0</v>
      </c>
      <c r="AW757" s="58">
        <v>0</v>
      </c>
      <c r="AX757" s="58">
        <v>0</v>
      </c>
    </row>
    <row r="758" spans="1:50" x14ac:dyDescent="0.25">
      <c r="A758" s="52">
        <f t="shared" si="39"/>
        <v>753</v>
      </c>
      <c r="B758" s="60" t="str">
        <f t="shared" si="38"/>
        <v>0008315766522</v>
      </c>
      <c r="C758" s="55" t="s">
        <v>35</v>
      </c>
      <c r="D758" s="53" t="s">
        <v>2139</v>
      </c>
      <c r="E758" s="55" t="s">
        <v>1251</v>
      </c>
      <c r="F758" s="53" t="s">
        <v>2141</v>
      </c>
      <c r="G758" s="55">
        <v>11444</v>
      </c>
      <c r="H758" s="53" t="s">
        <v>1341</v>
      </c>
      <c r="I758" s="55">
        <v>305236231</v>
      </c>
      <c r="J758" s="55" t="s">
        <v>1342</v>
      </c>
      <c r="K758" s="55" t="s">
        <v>1343</v>
      </c>
      <c r="L758" s="53" t="s">
        <v>2039</v>
      </c>
      <c r="M758" s="55" t="s">
        <v>75</v>
      </c>
      <c r="N758" s="52">
        <v>142000</v>
      </c>
      <c r="O758" s="52">
        <v>1713621920</v>
      </c>
      <c r="P758" s="52">
        <v>1713621920</v>
      </c>
      <c r="Q758" s="57">
        <v>45692</v>
      </c>
      <c r="R758" s="57">
        <v>46207</v>
      </c>
      <c r="S758" s="56">
        <v>10.75</v>
      </c>
      <c r="T758" s="54">
        <v>0</v>
      </c>
      <c r="U758" s="52">
        <v>742388429.60000002</v>
      </c>
      <c r="V758" s="52">
        <v>742388429.60000002</v>
      </c>
      <c r="W758" s="52">
        <v>0</v>
      </c>
      <c r="X758" s="57"/>
      <c r="Y758" s="52">
        <v>0</v>
      </c>
      <c r="Z758" s="52">
        <v>0</v>
      </c>
      <c r="AA758" s="52">
        <v>1</v>
      </c>
      <c r="AB758" s="52">
        <v>0</v>
      </c>
      <c r="AC758" s="52">
        <v>1311769.22</v>
      </c>
      <c r="AD758" s="52">
        <v>1311769.22</v>
      </c>
      <c r="AE758" s="52">
        <v>0</v>
      </c>
      <c r="AF758" s="52">
        <v>0</v>
      </c>
      <c r="AG758" s="52">
        <v>0</v>
      </c>
      <c r="AH758" s="52">
        <v>0</v>
      </c>
      <c r="AI758" s="52">
        <v>0</v>
      </c>
      <c r="AJ758" s="52">
        <v>2</v>
      </c>
      <c r="AK758" s="52"/>
      <c r="AL758" s="52">
        <v>0</v>
      </c>
      <c r="AM758" s="52">
        <v>0</v>
      </c>
      <c r="AN758" s="52">
        <v>4049000000</v>
      </c>
      <c r="AO758" s="52">
        <v>15674539203125</v>
      </c>
      <c r="AP758" s="52">
        <v>15674539203125</v>
      </c>
      <c r="AQ758" s="58">
        <v>0</v>
      </c>
      <c r="AR758" s="58">
        <v>0</v>
      </c>
      <c r="AS758" s="58">
        <v>0</v>
      </c>
      <c r="AT758" s="58">
        <v>0</v>
      </c>
      <c r="AU758" s="58">
        <v>832</v>
      </c>
      <c r="AV758" s="58">
        <v>19132688.400000017</v>
      </c>
      <c r="AW758" s="58">
        <v>491</v>
      </c>
      <c r="AX758" s="58">
        <v>19232439.84999999</v>
      </c>
    </row>
    <row r="759" spans="1:50" x14ac:dyDescent="0.25">
      <c r="A759" s="52">
        <f t="shared" si="39"/>
        <v>754</v>
      </c>
      <c r="B759" s="60" t="str">
        <f t="shared" si="38"/>
        <v>000835960212</v>
      </c>
      <c r="C759" s="55" t="s">
        <v>35</v>
      </c>
      <c r="D759" s="53" t="s">
        <v>2139</v>
      </c>
      <c r="E759" s="55" t="s">
        <v>1251</v>
      </c>
      <c r="F759" s="53" t="s">
        <v>2141</v>
      </c>
      <c r="G759" s="55">
        <v>11444</v>
      </c>
      <c r="H759" s="53" t="s">
        <v>1344</v>
      </c>
      <c r="I759" s="55">
        <v>309553974</v>
      </c>
      <c r="J759" s="55" t="s">
        <v>1345</v>
      </c>
      <c r="K759" s="55" t="s">
        <v>1346</v>
      </c>
      <c r="L759" s="53" t="s">
        <v>2039</v>
      </c>
      <c r="M759" s="55" t="s">
        <v>75</v>
      </c>
      <c r="N759" s="52">
        <v>182400</v>
      </c>
      <c r="O759" s="52">
        <v>2201159424</v>
      </c>
      <c r="P759" s="52">
        <v>2201159424</v>
      </c>
      <c r="Q759" s="57">
        <v>44896</v>
      </c>
      <c r="R759" s="57">
        <v>46357</v>
      </c>
      <c r="S759" s="56">
        <v>12</v>
      </c>
      <c r="T759" s="54">
        <v>0</v>
      </c>
      <c r="U759" s="52">
        <v>676905978.63</v>
      </c>
      <c r="V759" s="52">
        <v>676905978.63</v>
      </c>
      <c r="W759" s="52">
        <v>0</v>
      </c>
      <c r="X759" s="57"/>
      <c r="Y759" s="52">
        <v>0</v>
      </c>
      <c r="Z759" s="52">
        <v>0</v>
      </c>
      <c r="AA759" s="52">
        <v>2</v>
      </c>
      <c r="AB759" s="52">
        <v>67690610.060000002</v>
      </c>
      <c r="AC759" s="52">
        <v>3783306.88</v>
      </c>
      <c r="AD759" s="52">
        <v>3783306.88</v>
      </c>
      <c r="AE759" s="52">
        <v>0</v>
      </c>
      <c r="AF759" s="52">
        <v>0</v>
      </c>
      <c r="AG759" s="52">
        <v>0</v>
      </c>
      <c r="AH759" s="52">
        <v>0</v>
      </c>
      <c r="AI759" s="52">
        <v>0</v>
      </c>
      <c r="AJ759" s="52">
        <v>2</v>
      </c>
      <c r="AK759" s="52"/>
      <c r="AL759" s="52">
        <v>0</v>
      </c>
      <c r="AM759" s="52">
        <v>0</v>
      </c>
      <c r="AN759" s="52">
        <v>0</v>
      </c>
      <c r="AO759" s="52">
        <v>1323660210965</v>
      </c>
      <c r="AP759" s="52">
        <v>11108595440</v>
      </c>
      <c r="AQ759" s="58">
        <v>0</v>
      </c>
      <c r="AR759" s="58">
        <v>0</v>
      </c>
      <c r="AS759" s="58">
        <v>3</v>
      </c>
      <c r="AT759" s="58">
        <v>15054.29</v>
      </c>
      <c r="AU759" s="58">
        <v>1</v>
      </c>
      <c r="AV759" s="58">
        <v>2546.5</v>
      </c>
      <c r="AW759" s="58">
        <v>18</v>
      </c>
      <c r="AX759" s="58">
        <v>330483.56000000006</v>
      </c>
    </row>
    <row r="760" spans="1:50" x14ac:dyDescent="0.25">
      <c r="A760" s="52">
        <f t="shared" si="39"/>
        <v>755</v>
      </c>
      <c r="B760" s="60" t="str">
        <f t="shared" si="38"/>
        <v>000836192770</v>
      </c>
      <c r="C760" s="55" t="s">
        <v>35</v>
      </c>
      <c r="D760" s="53" t="s">
        <v>2139</v>
      </c>
      <c r="E760" s="55" t="s">
        <v>1251</v>
      </c>
      <c r="F760" s="53" t="s">
        <v>2141</v>
      </c>
      <c r="G760" s="55">
        <v>11444</v>
      </c>
      <c r="H760" s="53" t="s">
        <v>2585</v>
      </c>
      <c r="I760" s="55">
        <v>306282230</v>
      </c>
      <c r="J760" s="55" t="s">
        <v>1347</v>
      </c>
      <c r="K760" s="55" t="s">
        <v>1348</v>
      </c>
      <c r="L760" s="53" t="s">
        <v>2039</v>
      </c>
      <c r="M760" s="55" t="s">
        <v>75</v>
      </c>
      <c r="N760" s="52">
        <v>105000</v>
      </c>
      <c r="O760" s="52">
        <v>1267114800</v>
      </c>
      <c r="P760" s="52">
        <v>1267114800</v>
      </c>
      <c r="Q760" s="57">
        <v>44963</v>
      </c>
      <c r="R760" s="57">
        <v>46789</v>
      </c>
      <c r="S760" s="56">
        <v>10.75</v>
      </c>
      <c r="T760" s="54">
        <v>6</v>
      </c>
      <c r="U760" s="52">
        <v>676355433.25</v>
      </c>
      <c r="V760" s="52">
        <v>676355433.25</v>
      </c>
      <c r="W760" s="52">
        <v>0</v>
      </c>
      <c r="X760" s="57"/>
      <c r="Y760" s="52">
        <v>0</v>
      </c>
      <c r="Z760" s="52">
        <v>0</v>
      </c>
      <c r="AA760" s="52">
        <v>1</v>
      </c>
      <c r="AB760" s="52">
        <v>0</v>
      </c>
      <c r="AC760" s="52">
        <v>3393179.67</v>
      </c>
      <c r="AD760" s="52">
        <v>3393179.67</v>
      </c>
      <c r="AE760" s="52">
        <v>0</v>
      </c>
      <c r="AF760" s="52">
        <v>0</v>
      </c>
      <c r="AG760" s="52">
        <v>0</v>
      </c>
      <c r="AH760" s="52">
        <v>0</v>
      </c>
      <c r="AI760" s="52">
        <v>0</v>
      </c>
      <c r="AJ760" s="52">
        <v>2</v>
      </c>
      <c r="AK760" s="52"/>
      <c r="AL760" s="52">
        <v>0</v>
      </c>
      <c r="AM760" s="52">
        <v>0</v>
      </c>
      <c r="AN760" s="52">
        <v>2632000000</v>
      </c>
      <c r="AO760" s="52">
        <v>508865245128</v>
      </c>
      <c r="AP760" s="52">
        <v>4697152451</v>
      </c>
      <c r="AQ760" s="58">
        <v>19</v>
      </c>
      <c r="AR760" s="58">
        <v>67530.22</v>
      </c>
      <c r="AS760" s="58">
        <v>155</v>
      </c>
      <c r="AT760" s="58">
        <v>620460.59</v>
      </c>
      <c r="AU760" s="58">
        <v>1</v>
      </c>
      <c r="AV760" s="58">
        <v>40284.04</v>
      </c>
      <c r="AW760" s="58">
        <v>5</v>
      </c>
      <c r="AX760" s="58">
        <v>415110.89</v>
      </c>
    </row>
    <row r="761" spans="1:50" x14ac:dyDescent="0.25">
      <c r="A761" s="52">
        <f t="shared" si="39"/>
        <v>756</v>
      </c>
      <c r="B761" s="60" t="str">
        <f t="shared" si="38"/>
        <v>0008315542163</v>
      </c>
      <c r="C761" s="55" t="s">
        <v>35</v>
      </c>
      <c r="D761" s="53" t="s">
        <v>2139</v>
      </c>
      <c r="E761" s="55" t="s">
        <v>1251</v>
      </c>
      <c r="F761" s="53" t="s">
        <v>2141</v>
      </c>
      <c r="G761" s="55">
        <v>11444</v>
      </c>
      <c r="H761" s="53" t="s">
        <v>2581</v>
      </c>
      <c r="I761" s="55">
        <v>308482075</v>
      </c>
      <c r="J761" s="55" t="s">
        <v>1349</v>
      </c>
      <c r="K761" s="55" t="s">
        <v>1350</v>
      </c>
      <c r="L761" s="53" t="s">
        <v>2039</v>
      </c>
      <c r="M761" s="55" t="s">
        <v>75</v>
      </c>
      <c r="N761" s="52">
        <v>100000</v>
      </c>
      <c r="O761" s="52">
        <v>1206776000</v>
      </c>
      <c r="P761" s="52">
        <v>1206776000</v>
      </c>
      <c r="Q761" s="57">
        <v>45646</v>
      </c>
      <c r="R761" s="57">
        <v>46741</v>
      </c>
      <c r="S761" s="56">
        <v>12.27</v>
      </c>
      <c r="T761" s="54">
        <v>0</v>
      </c>
      <c r="U761" s="52">
        <v>670950500</v>
      </c>
      <c r="V761" s="52">
        <v>670950500</v>
      </c>
      <c r="W761" s="52">
        <v>0</v>
      </c>
      <c r="X761" s="57"/>
      <c r="Y761" s="52">
        <v>0</v>
      </c>
      <c r="Z761" s="52">
        <v>0</v>
      </c>
      <c r="AA761" s="52">
        <v>1</v>
      </c>
      <c r="AB761" s="52">
        <v>0</v>
      </c>
      <c r="AC761" s="52">
        <v>4319701.3099999996</v>
      </c>
      <c r="AD761" s="52">
        <v>4319701.3099999996</v>
      </c>
      <c r="AE761" s="52">
        <v>0</v>
      </c>
      <c r="AF761" s="52">
        <v>0</v>
      </c>
      <c r="AG761" s="52">
        <v>0</v>
      </c>
      <c r="AH761" s="52">
        <v>0</v>
      </c>
      <c r="AI761" s="52">
        <v>0</v>
      </c>
      <c r="AJ761" s="52">
        <v>2</v>
      </c>
      <c r="AK761" s="52"/>
      <c r="AL761" s="52">
        <v>0</v>
      </c>
      <c r="AM761" s="52">
        <v>0</v>
      </c>
      <c r="AN761" s="52">
        <v>0</v>
      </c>
      <c r="AO761" s="52">
        <v>1441115080983</v>
      </c>
      <c r="AP761" s="52">
        <v>1441115080983</v>
      </c>
      <c r="AQ761" s="58">
        <v>0</v>
      </c>
      <c r="AR761" s="58">
        <v>0</v>
      </c>
      <c r="AS761" s="58">
        <v>2</v>
      </c>
      <c r="AT761" s="58">
        <v>11600</v>
      </c>
      <c r="AU761" s="58">
        <v>60</v>
      </c>
      <c r="AV761" s="58">
        <v>829334.32000000007</v>
      </c>
      <c r="AW761" s="58">
        <v>60</v>
      </c>
      <c r="AX761" s="58">
        <v>1357444</v>
      </c>
    </row>
    <row r="762" spans="1:50" x14ac:dyDescent="0.25">
      <c r="A762" s="52">
        <f t="shared" si="39"/>
        <v>757</v>
      </c>
      <c r="B762" s="60" t="str">
        <f t="shared" si="38"/>
        <v>000837645892</v>
      </c>
      <c r="C762" s="55" t="s">
        <v>35</v>
      </c>
      <c r="D762" s="53" t="s">
        <v>2139</v>
      </c>
      <c r="E762" s="55" t="s">
        <v>1251</v>
      </c>
      <c r="F762" s="53" t="s">
        <v>2141</v>
      </c>
      <c r="G762" s="55">
        <v>11444</v>
      </c>
      <c r="H762" s="53" t="s">
        <v>2585</v>
      </c>
      <c r="I762" s="55">
        <v>306282230</v>
      </c>
      <c r="J762" s="55" t="s">
        <v>1351</v>
      </c>
      <c r="K762" s="55" t="s">
        <v>1352</v>
      </c>
      <c r="L762" s="53" t="s">
        <v>2039</v>
      </c>
      <c r="M762" s="55" t="s">
        <v>75</v>
      </c>
      <c r="N762" s="52">
        <v>129000</v>
      </c>
      <c r="O762" s="52">
        <v>1556741040</v>
      </c>
      <c r="P762" s="52">
        <v>1556741040</v>
      </c>
      <c r="Q762" s="57">
        <v>45075</v>
      </c>
      <c r="R762" s="57">
        <v>46536</v>
      </c>
      <c r="S762" s="56">
        <v>11.27</v>
      </c>
      <c r="T762" s="54">
        <v>0</v>
      </c>
      <c r="U762" s="52">
        <v>666782067.52999997</v>
      </c>
      <c r="V762" s="52">
        <v>666782067.52999997</v>
      </c>
      <c r="W762" s="52">
        <v>0</v>
      </c>
      <c r="X762" s="57"/>
      <c r="Y762" s="52">
        <v>0</v>
      </c>
      <c r="Z762" s="52">
        <v>0</v>
      </c>
      <c r="AA762" s="52">
        <v>1</v>
      </c>
      <c r="AB762" s="52">
        <v>0</v>
      </c>
      <c r="AC762" s="52">
        <v>5116912.5</v>
      </c>
      <c r="AD762" s="52">
        <v>5116912.5</v>
      </c>
      <c r="AE762" s="52">
        <v>0</v>
      </c>
      <c r="AF762" s="52">
        <v>0</v>
      </c>
      <c r="AG762" s="52">
        <v>0</v>
      </c>
      <c r="AH762" s="52">
        <v>0</v>
      </c>
      <c r="AI762" s="52">
        <v>0</v>
      </c>
      <c r="AJ762" s="52">
        <v>2</v>
      </c>
      <c r="AK762" s="52"/>
      <c r="AL762" s="52">
        <v>0</v>
      </c>
      <c r="AM762" s="52">
        <v>0</v>
      </c>
      <c r="AN762" s="52">
        <v>0</v>
      </c>
      <c r="AO762" s="52">
        <v>508865245128</v>
      </c>
      <c r="AP762" s="52">
        <v>4697152451</v>
      </c>
      <c r="AQ762" s="58">
        <v>19</v>
      </c>
      <c r="AR762" s="58">
        <v>67530.22</v>
      </c>
      <c r="AS762" s="58">
        <v>155</v>
      </c>
      <c r="AT762" s="58">
        <v>620460.59</v>
      </c>
      <c r="AU762" s="58">
        <v>1</v>
      </c>
      <c r="AV762" s="58">
        <v>40284.04</v>
      </c>
      <c r="AW762" s="58">
        <v>5</v>
      </c>
      <c r="AX762" s="58">
        <v>415110.89</v>
      </c>
    </row>
    <row r="763" spans="1:50" x14ac:dyDescent="0.25">
      <c r="A763" s="52">
        <f t="shared" si="39"/>
        <v>758</v>
      </c>
      <c r="B763" s="60" t="str">
        <f t="shared" si="38"/>
        <v>0008315356094</v>
      </c>
      <c r="C763" s="55" t="s">
        <v>35</v>
      </c>
      <c r="D763" s="53" t="s">
        <v>2139</v>
      </c>
      <c r="E763" s="55" t="s">
        <v>1251</v>
      </c>
      <c r="F763" s="53" t="s">
        <v>2141</v>
      </c>
      <c r="G763" s="55">
        <v>11444</v>
      </c>
      <c r="H763" s="53" t="s">
        <v>2583</v>
      </c>
      <c r="I763" s="55">
        <v>301403518</v>
      </c>
      <c r="J763" s="55" t="s">
        <v>1353</v>
      </c>
      <c r="K763" s="55" t="s">
        <v>1354</v>
      </c>
      <c r="L763" s="53" t="s">
        <v>2039</v>
      </c>
      <c r="M763" s="55" t="s">
        <v>75</v>
      </c>
      <c r="N763" s="52">
        <v>100000</v>
      </c>
      <c r="O763" s="52">
        <v>1206776000</v>
      </c>
      <c r="P763" s="52">
        <v>1206776000</v>
      </c>
      <c r="Q763" s="57">
        <v>45408</v>
      </c>
      <c r="R763" s="57">
        <v>46503</v>
      </c>
      <c r="S763" s="56">
        <v>13.44</v>
      </c>
      <c r="T763" s="54">
        <v>6</v>
      </c>
      <c r="U763" s="52">
        <v>664824721.94000006</v>
      </c>
      <c r="V763" s="52">
        <v>664824721.94000006</v>
      </c>
      <c r="W763" s="52">
        <v>0</v>
      </c>
      <c r="X763" s="57"/>
      <c r="Y763" s="52">
        <v>0</v>
      </c>
      <c r="Z763" s="52">
        <v>0</v>
      </c>
      <c r="AA763" s="52">
        <v>1</v>
      </c>
      <c r="AB763" s="52">
        <v>0</v>
      </c>
      <c r="AC763" s="52">
        <v>3961901.71</v>
      </c>
      <c r="AD763" s="52">
        <v>3961901.71</v>
      </c>
      <c r="AE763" s="52">
        <v>0</v>
      </c>
      <c r="AF763" s="52">
        <v>0</v>
      </c>
      <c r="AG763" s="52">
        <v>0</v>
      </c>
      <c r="AH763" s="52">
        <v>0</v>
      </c>
      <c r="AI763" s="52">
        <v>0</v>
      </c>
      <c r="AJ763" s="52">
        <v>2</v>
      </c>
      <c r="AK763" s="52"/>
      <c r="AL763" s="52">
        <v>0</v>
      </c>
      <c r="AM763" s="52">
        <v>0</v>
      </c>
      <c r="AN763" s="52">
        <v>1664000000</v>
      </c>
      <c r="AO763" s="52">
        <v>1687754669745</v>
      </c>
      <c r="AP763" s="52">
        <v>1687754669745</v>
      </c>
      <c r="AQ763" s="58">
        <v>3</v>
      </c>
      <c r="AR763" s="58">
        <v>94375</v>
      </c>
      <c r="AS763" s="58">
        <v>6</v>
      </c>
      <c r="AT763" s="58">
        <v>123165</v>
      </c>
      <c r="AU763" s="58">
        <v>17</v>
      </c>
      <c r="AV763" s="58">
        <v>201185.21</v>
      </c>
      <c r="AW763" s="58">
        <v>12</v>
      </c>
      <c r="AX763" s="58">
        <v>462100</v>
      </c>
    </row>
    <row r="764" spans="1:50" x14ac:dyDescent="0.25">
      <c r="A764" s="52">
        <f t="shared" si="39"/>
        <v>759</v>
      </c>
      <c r="B764" s="60" t="str">
        <f t="shared" si="38"/>
        <v>000839214986</v>
      </c>
      <c r="C764" s="55" t="s">
        <v>35</v>
      </c>
      <c r="D764" s="53" t="s">
        <v>2139</v>
      </c>
      <c r="E764" s="55" t="s">
        <v>1251</v>
      </c>
      <c r="F764" s="53" t="s">
        <v>2141</v>
      </c>
      <c r="G764" s="55">
        <v>11444</v>
      </c>
      <c r="H764" s="53" t="s">
        <v>1344</v>
      </c>
      <c r="I764" s="55">
        <v>309553974</v>
      </c>
      <c r="J764" s="55" t="s">
        <v>1355</v>
      </c>
      <c r="K764" s="55" t="s">
        <v>1356</v>
      </c>
      <c r="L764" s="53" t="s">
        <v>2039</v>
      </c>
      <c r="M764" s="55" t="s">
        <v>75</v>
      </c>
      <c r="N764" s="52">
        <v>275000</v>
      </c>
      <c r="O764" s="52">
        <v>3318634000</v>
      </c>
      <c r="P764" s="52">
        <v>3318634000</v>
      </c>
      <c r="Q764" s="57">
        <v>45112</v>
      </c>
      <c r="R764" s="57">
        <v>46208</v>
      </c>
      <c r="S764" s="56">
        <v>11.77</v>
      </c>
      <c r="T764" s="54">
        <v>0</v>
      </c>
      <c r="U764" s="52">
        <v>630325179.16999996</v>
      </c>
      <c r="V764" s="52">
        <v>630325179.16999996</v>
      </c>
      <c r="W764" s="52">
        <v>0</v>
      </c>
      <c r="X764" s="57"/>
      <c r="Y764" s="52">
        <v>0</v>
      </c>
      <c r="Z764" s="52">
        <v>0</v>
      </c>
      <c r="AA764" s="52">
        <v>2</v>
      </c>
      <c r="AB764" s="52">
        <v>63032505.719999999</v>
      </c>
      <c r="AC764" s="52">
        <v>2596212.46</v>
      </c>
      <c r="AD764" s="52">
        <v>2596212.46</v>
      </c>
      <c r="AE764" s="52">
        <v>0</v>
      </c>
      <c r="AF764" s="52">
        <v>0</v>
      </c>
      <c r="AG764" s="52">
        <v>0</v>
      </c>
      <c r="AH764" s="52">
        <v>0</v>
      </c>
      <c r="AI764" s="52">
        <v>0</v>
      </c>
      <c r="AJ764" s="52">
        <v>2</v>
      </c>
      <c r="AK764" s="52"/>
      <c r="AL764" s="52">
        <v>0</v>
      </c>
      <c r="AM764" s="52">
        <v>0</v>
      </c>
      <c r="AN764" s="52">
        <v>0</v>
      </c>
      <c r="AO764" s="52">
        <v>1156620211029</v>
      </c>
      <c r="AP764" s="52">
        <v>10504102110</v>
      </c>
      <c r="AQ764" s="58">
        <v>0</v>
      </c>
      <c r="AR764" s="58">
        <v>0</v>
      </c>
      <c r="AS764" s="58">
        <v>3</v>
      </c>
      <c r="AT764" s="58">
        <v>15054.29</v>
      </c>
      <c r="AU764" s="58">
        <v>1</v>
      </c>
      <c r="AV764" s="58">
        <v>2546.5</v>
      </c>
      <c r="AW764" s="58">
        <v>18</v>
      </c>
      <c r="AX764" s="58">
        <v>330483.56000000006</v>
      </c>
    </row>
    <row r="765" spans="1:50" x14ac:dyDescent="0.25">
      <c r="A765" s="52">
        <f t="shared" si="39"/>
        <v>760</v>
      </c>
      <c r="B765" s="60" t="str">
        <f t="shared" ref="B765:B828" si="40">+E765&amp;J765</f>
        <v>000835947251</v>
      </c>
      <c r="C765" s="55" t="s">
        <v>35</v>
      </c>
      <c r="D765" s="53" t="s">
        <v>2139</v>
      </c>
      <c r="E765" s="55" t="s">
        <v>1251</v>
      </c>
      <c r="F765" s="53" t="s">
        <v>2141</v>
      </c>
      <c r="G765" s="55">
        <v>11444</v>
      </c>
      <c r="H765" s="53" t="s">
        <v>1303</v>
      </c>
      <c r="I765" s="55">
        <v>307600514</v>
      </c>
      <c r="J765" s="55" t="s">
        <v>1357</v>
      </c>
      <c r="K765" s="55" t="s">
        <v>1358</v>
      </c>
      <c r="L765" s="53" t="s">
        <v>2584</v>
      </c>
      <c r="M765" s="55" t="s">
        <v>75</v>
      </c>
      <c r="N765" s="52">
        <v>210000</v>
      </c>
      <c r="O765" s="52">
        <v>2534229600</v>
      </c>
      <c r="P765" s="52">
        <v>2534229600</v>
      </c>
      <c r="Q765" s="57">
        <v>44852</v>
      </c>
      <c r="R765" s="57">
        <v>46313</v>
      </c>
      <c r="S765" s="56">
        <v>12</v>
      </c>
      <c r="T765" s="54">
        <v>0</v>
      </c>
      <c r="U765" s="52">
        <v>607496271.39999998</v>
      </c>
      <c r="V765" s="52">
        <v>607496271.39999998</v>
      </c>
      <c r="W765" s="52">
        <v>0</v>
      </c>
      <c r="X765" s="57"/>
      <c r="Y765" s="52">
        <v>0</v>
      </c>
      <c r="Z765" s="52">
        <v>0</v>
      </c>
      <c r="AA765" s="52">
        <v>2</v>
      </c>
      <c r="AB765" s="52">
        <v>60749688.140000001</v>
      </c>
      <c r="AC765" s="52">
        <v>5213895.34</v>
      </c>
      <c r="AD765" s="52">
        <v>5213895.34</v>
      </c>
      <c r="AE765" s="52">
        <v>0</v>
      </c>
      <c r="AF765" s="52">
        <v>0</v>
      </c>
      <c r="AG765" s="52">
        <v>0</v>
      </c>
      <c r="AH765" s="52">
        <v>0</v>
      </c>
      <c r="AI765" s="52">
        <v>0</v>
      </c>
      <c r="AJ765" s="52">
        <v>2</v>
      </c>
      <c r="AK765" s="52"/>
      <c r="AL765" s="52">
        <v>0</v>
      </c>
      <c r="AM765" s="52">
        <v>0</v>
      </c>
      <c r="AN765" s="52">
        <v>0</v>
      </c>
      <c r="AO765" s="52">
        <v>0</v>
      </c>
      <c r="AP765" s="52">
        <v>0</v>
      </c>
      <c r="AQ765" s="58">
        <v>27</v>
      </c>
      <c r="AR765" s="58">
        <v>85741.329999999987</v>
      </c>
      <c r="AS765" s="58">
        <v>449</v>
      </c>
      <c r="AT765" s="58">
        <v>1615687.4499999993</v>
      </c>
      <c r="AU765" s="58">
        <v>3</v>
      </c>
      <c r="AV765" s="58">
        <v>41187.449999999997</v>
      </c>
      <c r="AW765" s="58">
        <v>31</v>
      </c>
      <c r="AX765" s="58">
        <v>644583.53</v>
      </c>
    </row>
    <row r="766" spans="1:50" x14ac:dyDescent="0.25">
      <c r="A766" s="52">
        <f t="shared" si="39"/>
        <v>761</v>
      </c>
      <c r="B766" s="60" t="str">
        <f t="shared" si="40"/>
        <v>000836524473</v>
      </c>
      <c r="C766" s="55" t="s">
        <v>35</v>
      </c>
      <c r="D766" s="53" t="s">
        <v>2139</v>
      </c>
      <c r="E766" s="55" t="s">
        <v>1251</v>
      </c>
      <c r="F766" s="53" t="s">
        <v>2141</v>
      </c>
      <c r="G766" s="55">
        <v>11444</v>
      </c>
      <c r="H766" s="53" t="s">
        <v>1359</v>
      </c>
      <c r="I766" s="55">
        <v>304661339</v>
      </c>
      <c r="J766" s="55" t="s">
        <v>1360</v>
      </c>
      <c r="K766" s="55" t="s">
        <v>1361</v>
      </c>
      <c r="L766" s="53" t="s">
        <v>2039</v>
      </c>
      <c r="M766" s="55" t="s">
        <v>49</v>
      </c>
      <c r="N766" s="52">
        <v>1140000000</v>
      </c>
      <c r="O766" s="52">
        <v>1140000000</v>
      </c>
      <c r="P766" s="52">
        <v>1140000000</v>
      </c>
      <c r="Q766" s="57">
        <v>45042</v>
      </c>
      <c r="R766" s="57">
        <v>46503</v>
      </c>
      <c r="S766" s="56">
        <v>26</v>
      </c>
      <c r="T766" s="54">
        <v>12</v>
      </c>
      <c r="U766" s="52">
        <v>581615661.00999999</v>
      </c>
      <c r="V766" s="52">
        <v>581615661.00999999</v>
      </c>
      <c r="W766" s="52">
        <v>0</v>
      </c>
      <c r="X766" s="57"/>
      <c r="Y766" s="52">
        <v>0</v>
      </c>
      <c r="Z766" s="52">
        <v>0</v>
      </c>
      <c r="AA766" s="52">
        <v>1</v>
      </c>
      <c r="AB766" s="52">
        <v>0</v>
      </c>
      <c r="AC766" s="52">
        <v>4995289.5599999996</v>
      </c>
      <c r="AD766" s="52">
        <v>4995289.5599999996</v>
      </c>
      <c r="AE766" s="52">
        <v>0</v>
      </c>
      <c r="AF766" s="52">
        <v>0</v>
      </c>
      <c r="AG766" s="52">
        <v>0</v>
      </c>
      <c r="AH766" s="52">
        <v>0</v>
      </c>
      <c r="AI766" s="52">
        <v>0</v>
      </c>
      <c r="AJ766" s="52">
        <v>2</v>
      </c>
      <c r="AK766" s="52"/>
      <c r="AL766" s="52">
        <v>0</v>
      </c>
      <c r="AM766" s="52">
        <v>0</v>
      </c>
      <c r="AN766" s="52">
        <v>1425000000</v>
      </c>
      <c r="AO766" s="52">
        <v>2392982476124</v>
      </c>
      <c r="AP766" s="52">
        <v>23659824761</v>
      </c>
      <c r="AQ766" s="58">
        <v>586</v>
      </c>
      <c r="AR766" s="58">
        <v>1061502.6599999997</v>
      </c>
      <c r="AS766" s="58">
        <v>407</v>
      </c>
      <c r="AT766" s="58">
        <v>915886.88</v>
      </c>
      <c r="AU766" s="58">
        <v>37</v>
      </c>
      <c r="AV766" s="58">
        <v>193765.87</v>
      </c>
      <c r="AW766" s="58">
        <v>44</v>
      </c>
      <c r="AX766" s="58">
        <v>178573.36</v>
      </c>
    </row>
    <row r="767" spans="1:50" x14ac:dyDescent="0.25">
      <c r="A767" s="52">
        <f t="shared" si="39"/>
        <v>762</v>
      </c>
      <c r="B767" s="60" t="str">
        <f t="shared" si="40"/>
        <v>0008315211780</v>
      </c>
      <c r="C767" s="55" t="s">
        <v>35</v>
      </c>
      <c r="D767" s="53" t="s">
        <v>2139</v>
      </c>
      <c r="E767" s="55" t="s">
        <v>1251</v>
      </c>
      <c r="F767" s="53" t="s">
        <v>2141</v>
      </c>
      <c r="G767" s="55">
        <v>11444</v>
      </c>
      <c r="H767" s="53" t="s">
        <v>1338</v>
      </c>
      <c r="I767" s="55">
        <v>300043215</v>
      </c>
      <c r="J767" s="55" t="s">
        <v>1362</v>
      </c>
      <c r="K767" s="55" t="s">
        <v>1363</v>
      </c>
      <c r="L767" s="53" t="s">
        <v>2039</v>
      </c>
      <c r="M767" s="55" t="s">
        <v>75</v>
      </c>
      <c r="N767" s="52">
        <v>100000</v>
      </c>
      <c r="O767" s="52">
        <v>1206776000</v>
      </c>
      <c r="P767" s="52">
        <v>1206776000</v>
      </c>
      <c r="Q767" s="57">
        <v>45300</v>
      </c>
      <c r="R767" s="57">
        <v>46396</v>
      </c>
      <c r="S767" s="56">
        <v>13.27</v>
      </c>
      <c r="T767" s="54">
        <v>6</v>
      </c>
      <c r="U767" s="52">
        <v>542105679.64999998</v>
      </c>
      <c r="V767" s="52">
        <v>542105679.64999998</v>
      </c>
      <c r="W767" s="52">
        <v>0</v>
      </c>
      <c r="X767" s="57"/>
      <c r="Y767" s="52">
        <v>0</v>
      </c>
      <c r="Z767" s="52">
        <v>0</v>
      </c>
      <c r="AA767" s="52">
        <v>1</v>
      </c>
      <c r="AB767" s="52">
        <v>0</v>
      </c>
      <c r="AC767" s="52">
        <v>3801483.54</v>
      </c>
      <c r="AD767" s="52">
        <v>3801483.54</v>
      </c>
      <c r="AE767" s="52">
        <v>0</v>
      </c>
      <c r="AF767" s="52">
        <v>0</v>
      </c>
      <c r="AG767" s="52">
        <v>0</v>
      </c>
      <c r="AH767" s="52">
        <v>0</v>
      </c>
      <c r="AI767" s="52">
        <v>0</v>
      </c>
      <c r="AJ767" s="52">
        <v>2</v>
      </c>
      <c r="AK767" s="52"/>
      <c r="AL767" s="52">
        <v>0</v>
      </c>
      <c r="AM767" s="52">
        <v>0</v>
      </c>
      <c r="AN767" s="52">
        <v>3267000000</v>
      </c>
      <c r="AO767" s="52">
        <v>474037493692</v>
      </c>
      <c r="AP767" s="52">
        <v>4215544936</v>
      </c>
      <c r="AQ767" s="58">
        <v>0</v>
      </c>
      <c r="AR767" s="58">
        <v>0</v>
      </c>
      <c r="AS767" s="58">
        <v>0</v>
      </c>
      <c r="AT767" s="58">
        <v>0</v>
      </c>
      <c r="AU767" s="58">
        <v>0</v>
      </c>
      <c r="AV767" s="58">
        <v>0</v>
      </c>
      <c r="AW767" s="58">
        <v>0</v>
      </c>
      <c r="AX767" s="58">
        <v>0</v>
      </c>
    </row>
    <row r="768" spans="1:50" x14ac:dyDescent="0.25">
      <c r="A768" s="52">
        <f t="shared" si="39"/>
        <v>763</v>
      </c>
      <c r="B768" s="60" t="str">
        <f t="shared" si="40"/>
        <v>0008315896583</v>
      </c>
      <c r="C768" s="55" t="s">
        <v>35</v>
      </c>
      <c r="D768" s="53" t="s">
        <v>2139</v>
      </c>
      <c r="E768" s="55" t="s">
        <v>1251</v>
      </c>
      <c r="F768" s="53" t="s">
        <v>2141</v>
      </c>
      <c r="G768" s="55">
        <v>11444</v>
      </c>
      <c r="H768" s="53" t="s">
        <v>1344</v>
      </c>
      <c r="I768" s="55">
        <v>309553974</v>
      </c>
      <c r="J768" s="55" t="s">
        <v>1364</v>
      </c>
      <c r="K768" s="55" t="s">
        <v>1365</v>
      </c>
      <c r="L768" s="53" t="s">
        <v>2039</v>
      </c>
      <c r="M768" s="55" t="s">
        <v>75</v>
      </c>
      <c r="N768" s="52">
        <v>46000</v>
      </c>
      <c r="O768" s="52">
        <v>555116960</v>
      </c>
      <c r="P768" s="52">
        <v>555116960</v>
      </c>
      <c r="Q768" s="57">
        <v>45849</v>
      </c>
      <c r="R768" s="57">
        <v>46945</v>
      </c>
      <c r="S768" s="56">
        <v>10.75</v>
      </c>
      <c r="T768" s="54">
        <v>0</v>
      </c>
      <c r="U768" s="52">
        <v>511794575.88</v>
      </c>
      <c r="V768" s="52">
        <v>511794575.88</v>
      </c>
      <c r="W768" s="52">
        <v>0</v>
      </c>
      <c r="X768" s="57"/>
      <c r="Y768" s="52">
        <v>0</v>
      </c>
      <c r="Z768" s="52">
        <v>0</v>
      </c>
      <c r="AA768" s="52">
        <v>2</v>
      </c>
      <c r="AB768" s="52">
        <v>51179494.189999998</v>
      </c>
      <c r="AC768" s="52">
        <v>3014641.59</v>
      </c>
      <c r="AD768" s="52">
        <v>3014641.59</v>
      </c>
      <c r="AE768" s="52">
        <v>0</v>
      </c>
      <c r="AF768" s="52">
        <v>0</v>
      </c>
      <c r="AG768" s="52">
        <v>0</v>
      </c>
      <c r="AH768" s="52">
        <v>0</v>
      </c>
      <c r="AI768" s="52">
        <v>0</v>
      </c>
      <c r="AJ768" s="52">
        <v>2</v>
      </c>
      <c r="AK768" s="52"/>
      <c r="AL768" s="52">
        <v>0</v>
      </c>
      <c r="AM768" s="52">
        <v>0</v>
      </c>
      <c r="AN768" s="52">
        <v>0</v>
      </c>
      <c r="AO768" s="52">
        <v>1969119440</v>
      </c>
      <c r="AP768" s="52">
        <v>1904119440</v>
      </c>
      <c r="AQ768" s="58">
        <v>0</v>
      </c>
      <c r="AR768" s="58">
        <v>0</v>
      </c>
      <c r="AS768" s="58">
        <v>3</v>
      </c>
      <c r="AT768" s="58">
        <v>15054.29</v>
      </c>
      <c r="AU768" s="58">
        <v>1</v>
      </c>
      <c r="AV768" s="58">
        <v>2546.5</v>
      </c>
      <c r="AW768" s="58">
        <v>18</v>
      </c>
      <c r="AX768" s="58">
        <v>330483.56000000006</v>
      </c>
    </row>
    <row r="769" spans="1:50" x14ac:dyDescent="0.25">
      <c r="A769" s="52">
        <f t="shared" si="39"/>
        <v>764</v>
      </c>
      <c r="B769" s="60" t="str">
        <f t="shared" si="40"/>
        <v>0008315479864</v>
      </c>
      <c r="C769" s="55" t="s">
        <v>35</v>
      </c>
      <c r="D769" s="53" t="s">
        <v>2139</v>
      </c>
      <c r="E769" s="55" t="s">
        <v>1251</v>
      </c>
      <c r="F769" s="53" t="s">
        <v>2141</v>
      </c>
      <c r="G769" s="55">
        <v>11444</v>
      </c>
      <c r="H769" s="53" t="s">
        <v>1359</v>
      </c>
      <c r="I769" s="55">
        <v>304661339</v>
      </c>
      <c r="J769" s="55" t="s">
        <v>1366</v>
      </c>
      <c r="K769" s="55" t="s">
        <v>1367</v>
      </c>
      <c r="L769" s="53" t="s">
        <v>2039</v>
      </c>
      <c r="M769" s="55" t="s">
        <v>49</v>
      </c>
      <c r="N769" s="52">
        <v>600000000</v>
      </c>
      <c r="O769" s="52">
        <v>600000000</v>
      </c>
      <c r="P769" s="52">
        <v>600000000</v>
      </c>
      <c r="Q769" s="57">
        <v>45581</v>
      </c>
      <c r="R769" s="57">
        <v>46676</v>
      </c>
      <c r="S769" s="56">
        <v>26</v>
      </c>
      <c r="T769" s="54">
        <v>6</v>
      </c>
      <c r="U769" s="52">
        <v>459389940.01999998</v>
      </c>
      <c r="V769" s="52">
        <v>459389940.01999998</v>
      </c>
      <c r="W769" s="52">
        <v>0</v>
      </c>
      <c r="X769" s="57"/>
      <c r="Y769" s="52">
        <v>0</v>
      </c>
      <c r="Z769" s="52">
        <v>0</v>
      </c>
      <c r="AA769" s="52">
        <v>1</v>
      </c>
      <c r="AB769" s="52">
        <v>0</v>
      </c>
      <c r="AC769" s="52">
        <v>1975215.3</v>
      </c>
      <c r="AD769" s="52">
        <v>1975215.3</v>
      </c>
      <c r="AE769" s="52">
        <v>0</v>
      </c>
      <c r="AF769" s="52">
        <v>0</v>
      </c>
      <c r="AG769" s="52">
        <v>0</v>
      </c>
      <c r="AH769" s="52">
        <v>0</v>
      </c>
      <c r="AI769" s="52">
        <v>0</v>
      </c>
      <c r="AJ769" s="52">
        <v>2</v>
      </c>
      <c r="AK769" s="52"/>
      <c r="AL769" s="52">
        <v>0</v>
      </c>
      <c r="AM769" s="52">
        <v>0</v>
      </c>
      <c r="AN769" s="52">
        <v>750000000</v>
      </c>
      <c r="AO769" s="52">
        <v>99636887332</v>
      </c>
      <c r="AP769" s="52">
        <v>99636887332</v>
      </c>
      <c r="AQ769" s="58">
        <v>586</v>
      </c>
      <c r="AR769" s="58">
        <v>1061502.6599999997</v>
      </c>
      <c r="AS769" s="58">
        <v>407</v>
      </c>
      <c r="AT769" s="58">
        <v>915886.88</v>
      </c>
      <c r="AU769" s="58">
        <v>37</v>
      </c>
      <c r="AV769" s="58">
        <v>193765.87</v>
      </c>
      <c r="AW769" s="58">
        <v>44</v>
      </c>
      <c r="AX769" s="58">
        <v>178573.36</v>
      </c>
    </row>
    <row r="770" spans="1:50" x14ac:dyDescent="0.25">
      <c r="A770" s="52">
        <f t="shared" si="39"/>
        <v>765</v>
      </c>
      <c r="B770" s="60" t="str">
        <f t="shared" si="40"/>
        <v>0008315359620</v>
      </c>
      <c r="C770" s="55" t="s">
        <v>35</v>
      </c>
      <c r="D770" s="53" t="s">
        <v>2139</v>
      </c>
      <c r="E770" s="55" t="s">
        <v>1251</v>
      </c>
      <c r="F770" s="53" t="s">
        <v>2141</v>
      </c>
      <c r="G770" s="55">
        <v>11444</v>
      </c>
      <c r="H770" s="53" t="s">
        <v>1359</v>
      </c>
      <c r="I770" s="55">
        <v>304661339</v>
      </c>
      <c r="J770" s="55" t="s">
        <v>1368</v>
      </c>
      <c r="K770" s="55" t="s">
        <v>1369</v>
      </c>
      <c r="L770" s="53" t="s">
        <v>2039</v>
      </c>
      <c r="M770" s="55" t="s">
        <v>49</v>
      </c>
      <c r="N770" s="52">
        <v>600000000</v>
      </c>
      <c r="O770" s="52">
        <v>600000000</v>
      </c>
      <c r="P770" s="52">
        <v>600000000</v>
      </c>
      <c r="Q770" s="57">
        <v>45420</v>
      </c>
      <c r="R770" s="57">
        <v>46515</v>
      </c>
      <c r="S770" s="56">
        <v>26</v>
      </c>
      <c r="T770" s="54">
        <v>6</v>
      </c>
      <c r="U770" s="52">
        <v>367316836.17000002</v>
      </c>
      <c r="V770" s="52">
        <v>367316836.17000002</v>
      </c>
      <c r="W770" s="52">
        <v>0</v>
      </c>
      <c r="X770" s="57"/>
      <c r="Y770" s="52">
        <v>0</v>
      </c>
      <c r="Z770" s="52">
        <v>0</v>
      </c>
      <c r="AA770" s="52">
        <v>1</v>
      </c>
      <c r="AB770" s="52">
        <v>0</v>
      </c>
      <c r="AC770" s="52">
        <v>4448055.93</v>
      </c>
      <c r="AD770" s="52">
        <v>4448055.93</v>
      </c>
      <c r="AE770" s="52">
        <v>0</v>
      </c>
      <c r="AF770" s="52">
        <v>0</v>
      </c>
      <c r="AG770" s="52">
        <v>0</v>
      </c>
      <c r="AH770" s="52">
        <v>0</v>
      </c>
      <c r="AI770" s="52">
        <v>0</v>
      </c>
      <c r="AJ770" s="52">
        <v>2</v>
      </c>
      <c r="AK770" s="52"/>
      <c r="AL770" s="52">
        <v>0</v>
      </c>
      <c r="AM770" s="52">
        <v>0</v>
      </c>
      <c r="AN770" s="52">
        <v>750000000</v>
      </c>
      <c r="AO770" s="52">
        <v>1479463058447</v>
      </c>
      <c r="AP770" s="52">
        <v>14524630584</v>
      </c>
      <c r="AQ770" s="58">
        <v>586</v>
      </c>
      <c r="AR770" s="58">
        <v>1061502.6599999997</v>
      </c>
      <c r="AS770" s="58">
        <v>407</v>
      </c>
      <c r="AT770" s="58">
        <v>915886.88</v>
      </c>
      <c r="AU770" s="58">
        <v>37</v>
      </c>
      <c r="AV770" s="58">
        <v>193765.87</v>
      </c>
      <c r="AW770" s="58">
        <v>44</v>
      </c>
      <c r="AX770" s="58">
        <v>178573.36</v>
      </c>
    </row>
    <row r="771" spans="1:50" x14ac:dyDescent="0.25">
      <c r="A771" s="52">
        <f t="shared" si="39"/>
        <v>766</v>
      </c>
      <c r="B771" s="60" t="str">
        <f t="shared" si="40"/>
        <v>0008315404173</v>
      </c>
      <c r="C771" s="55" t="s">
        <v>35</v>
      </c>
      <c r="D771" s="53" t="s">
        <v>2139</v>
      </c>
      <c r="E771" s="55" t="s">
        <v>1251</v>
      </c>
      <c r="F771" s="53" t="s">
        <v>2141</v>
      </c>
      <c r="G771" s="55">
        <v>11444</v>
      </c>
      <c r="H771" s="53" t="s">
        <v>1341</v>
      </c>
      <c r="I771" s="55">
        <v>305236231</v>
      </c>
      <c r="J771" s="55" t="s">
        <v>1370</v>
      </c>
      <c r="K771" s="55" t="s">
        <v>1371</v>
      </c>
      <c r="L771" s="53" t="s">
        <v>2039</v>
      </c>
      <c r="M771" s="55" t="s">
        <v>75</v>
      </c>
      <c r="N771" s="52">
        <v>56000</v>
      </c>
      <c r="O771" s="52">
        <v>675794560</v>
      </c>
      <c r="P771" s="52">
        <v>675794560</v>
      </c>
      <c r="Q771" s="57">
        <v>45468</v>
      </c>
      <c r="R771" s="57">
        <v>46563</v>
      </c>
      <c r="S771" s="56">
        <v>13</v>
      </c>
      <c r="T771" s="54">
        <v>0</v>
      </c>
      <c r="U771" s="52">
        <v>353740108.49000001</v>
      </c>
      <c r="V771" s="52">
        <v>353740108.49000001</v>
      </c>
      <c r="W771" s="52">
        <v>0</v>
      </c>
      <c r="X771" s="57"/>
      <c r="Y771" s="52">
        <v>0</v>
      </c>
      <c r="Z771" s="52">
        <v>0</v>
      </c>
      <c r="AA771" s="52">
        <v>1</v>
      </c>
      <c r="AB771" s="52">
        <v>0</v>
      </c>
      <c r="AC771" s="52">
        <v>1644560.67</v>
      </c>
      <c r="AD771" s="52">
        <v>1644560.67</v>
      </c>
      <c r="AE771" s="52">
        <v>0</v>
      </c>
      <c r="AF771" s="52">
        <v>0</v>
      </c>
      <c r="AG771" s="52">
        <v>0</v>
      </c>
      <c r="AH771" s="52">
        <v>0</v>
      </c>
      <c r="AI771" s="52">
        <v>0</v>
      </c>
      <c r="AJ771" s="52">
        <v>2</v>
      </c>
      <c r="AK771" s="52"/>
      <c r="AL771" s="52">
        <v>0</v>
      </c>
      <c r="AM771" s="52">
        <v>0</v>
      </c>
      <c r="AN771" s="52">
        <v>1647000000</v>
      </c>
      <c r="AO771" s="52">
        <v>24791988527348</v>
      </c>
      <c r="AP771" s="52">
        <v>24791988527348</v>
      </c>
      <c r="AQ771" s="58">
        <v>0</v>
      </c>
      <c r="AR771" s="58">
        <v>0</v>
      </c>
      <c r="AS771" s="58">
        <v>0</v>
      </c>
      <c r="AT771" s="58">
        <v>0</v>
      </c>
      <c r="AU771" s="58">
        <v>832</v>
      </c>
      <c r="AV771" s="58">
        <v>19132688.400000017</v>
      </c>
      <c r="AW771" s="58">
        <v>491</v>
      </c>
      <c r="AX771" s="58">
        <v>19232439.84999999</v>
      </c>
    </row>
    <row r="772" spans="1:50" x14ac:dyDescent="0.25">
      <c r="A772" s="52">
        <f t="shared" si="39"/>
        <v>767</v>
      </c>
      <c r="B772" s="60" t="str">
        <f t="shared" si="40"/>
        <v>000835944133</v>
      </c>
      <c r="C772" s="55" t="s">
        <v>35</v>
      </c>
      <c r="D772" s="53" t="s">
        <v>2139</v>
      </c>
      <c r="E772" s="55" t="s">
        <v>1251</v>
      </c>
      <c r="F772" s="53" t="s">
        <v>2141</v>
      </c>
      <c r="G772" s="55">
        <v>11444</v>
      </c>
      <c r="H772" s="53" t="s">
        <v>2581</v>
      </c>
      <c r="I772" s="55">
        <v>308482075</v>
      </c>
      <c r="J772" s="55" t="s">
        <v>1372</v>
      </c>
      <c r="K772" s="55" t="s">
        <v>1373</v>
      </c>
      <c r="L772" s="53" t="s">
        <v>2039</v>
      </c>
      <c r="M772" s="55" t="s">
        <v>75</v>
      </c>
      <c r="N772" s="52">
        <v>120000</v>
      </c>
      <c r="O772" s="52">
        <v>1448131200</v>
      </c>
      <c r="P772" s="52">
        <v>1448131200</v>
      </c>
      <c r="Q772" s="57">
        <v>44827</v>
      </c>
      <c r="R772" s="57">
        <v>46288</v>
      </c>
      <c r="S772" s="56">
        <v>9.99</v>
      </c>
      <c r="T772" s="54">
        <v>0</v>
      </c>
      <c r="U772" s="52">
        <v>320439127.30000001</v>
      </c>
      <c r="V772" s="52">
        <v>320439127.30000001</v>
      </c>
      <c r="W772" s="52">
        <v>0</v>
      </c>
      <c r="X772" s="57"/>
      <c r="Y772" s="52">
        <v>0</v>
      </c>
      <c r="Z772" s="52">
        <v>0</v>
      </c>
      <c r="AA772" s="52">
        <v>1</v>
      </c>
      <c r="AB772" s="52">
        <v>0</v>
      </c>
      <c r="AC772" s="52">
        <v>2290868.9900000002</v>
      </c>
      <c r="AD772" s="52">
        <v>2290868.9900000002</v>
      </c>
      <c r="AE772" s="52">
        <v>0</v>
      </c>
      <c r="AF772" s="52">
        <v>0</v>
      </c>
      <c r="AG772" s="52">
        <v>0</v>
      </c>
      <c r="AH772" s="52">
        <v>0</v>
      </c>
      <c r="AI772" s="52">
        <v>0</v>
      </c>
      <c r="AJ772" s="52">
        <v>2</v>
      </c>
      <c r="AK772" s="52"/>
      <c r="AL772" s="52">
        <v>0</v>
      </c>
      <c r="AM772" s="52">
        <v>0</v>
      </c>
      <c r="AN772" s="52">
        <v>0</v>
      </c>
      <c r="AO772" s="52">
        <v>2776528261456</v>
      </c>
      <c r="AP772" s="52">
        <v>2766528261456</v>
      </c>
      <c r="AQ772" s="58">
        <v>0</v>
      </c>
      <c r="AR772" s="58">
        <v>0</v>
      </c>
      <c r="AS772" s="58">
        <v>2</v>
      </c>
      <c r="AT772" s="58">
        <v>11600</v>
      </c>
      <c r="AU772" s="58">
        <v>60</v>
      </c>
      <c r="AV772" s="58">
        <v>829334.32000000007</v>
      </c>
      <c r="AW772" s="58">
        <v>60</v>
      </c>
      <c r="AX772" s="58">
        <v>1357444</v>
      </c>
    </row>
    <row r="773" spans="1:50" x14ac:dyDescent="0.25">
      <c r="A773" s="52">
        <f t="shared" si="39"/>
        <v>768</v>
      </c>
      <c r="B773" s="60" t="str">
        <f t="shared" si="40"/>
        <v>0008315439465</v>
      </c>
      <c r="C773" s="55" t="s">
        <v>35</v>
      </c>
      <c r="D773" s="53" t="s">
        <v>2139</v>
      </c>
      <c r="E773" s="55" t="s">
        <v>1251</v>
      </c>
      <c r="F773" s="53" t="s">
        <v>2141</v>
      </c>
      <c r="G773" s="55">
        <v>11444</v>
      </c>
      <c r="H773" s="53" t="s">
        <v>1341</v>
      </c>
      <c r="I773" s="55">
        <v>305236231</v>
      </c>
      <c r="J773" s="55" t="s">
        <v>1374</v>
      </c>
      <c r="K773" s="55" t="s">
        <v>1375</v>
      </c>
      <c r="L773" s="53" t="s">
        <v>2039</v>
      </c>
      <c r="M773" s="55" t="s">
        <v>75</v>
      </c>
      <c r="N773" s="52">
        <v>167000</v>
      </c>
      <c r="O773" s="52">
        <v>2015315920</v>
      </c>
      <c r="P773" s="52">
        <v>2015315920</v>
      </c>
      <c r="Q773" s="57">
        <v>45547</v>
      </c>
      <c r="R773" s="57">
        <v>46093</v>
      </c>
      <c r="S773" s="56">
        <v>10.75</v>
      </c>
      <c r="T773" s="54">
        <v>3</v>
      </c>
      <c r="U773" s="52">
        <v>290405309.07999998</v>
      </c>
      <c r="V773" s="52">
        <v>290405309.07999998</v>
      </c>
      <c r="W773" s="52">
        <v>0</v>
      </c>
      <c r="X773" s="57"/>
      <c r="Y773" s="52">
        <v>0</v>
      </c>
      <c r="Z773" s="52">
        <v>0</v>
      </c>
      <c r="AA773" s="52">
        <v>1</v>
      </c>
      <c r="AB773" s="52">
        <v>0</v>
      </c>
      <c r="AC773" s="52">
        <v>513216.14</v>
      </c>
      <c r="AD773" s="52">
        <v>513216.14</v>
      </c>
      <c r="AE773" s="52">
        <v>0</v>
      </c>
      <c r="AF773" s="52">
        <v>0</v>
      </c>
      <c r="AG773" s="52">
        <v>0</v>
      </c>
      <c r="AH773" s="52">
        <v>0</v>
      </c>
      <c r="AI773" s="52">
        <v>0</v>
      </c>
      <c r="AJ773" s="52">
        <v>2</v>
      </c>
      <c r="AK773" s="52"/>
      <c r="AL773" s="52">
        <v>0</v>
      </c>
      <c r="AM773" s="52">
        <v>0</v>
      </c>
      <c r="AN773" s="52">
        <v>4049000000</v>
      </c>
      <c r="AO773" s="52">
        <v>21291565679227</v>
      </c>
      <c r="AP773" s="52">
        <v>21291565679227</v>
      </c>
      <c r="AQ773" s="58">
        <v>0</v>
      </c>
      <c r="AR773" s="58">
        <v>0</v>
      </c>
      <c r="AS773" s="58">
        <v>0</v>
      </c>
      <c r="AT773" s="58">
        <v>0</v>
      </c>
      <c r="AU773" s="58">
        <v>832</v>
      </c>
      <c r="AV773" s="58">
        <v>19132688.400000017</v>
      </c>
      <c r="AW773" s="58">
        <v>491</v>
      </c>
      <c r="AX773" s="58">
        <v>19232439.84999999</v>
      </c>
    </row>
    <row r="774" spans="1:50" x14ac:dyDescent="0.25">
      <c r="A774" s="52">
        <f t="shared" si="39"/>
        <v>769</v>
      </c>
      <c r="B774" s="60" t="str">
        <f t="shared" si="40"/>
        <v>0008315912825</v>
      </c>
      <c r="C774" s="55" t="s">
        <v>35</v>
      </c>
      <c r="D774" s="53" t="s">
        <v>2139</v>
      </c>
      <c r="E774" s="55" t="s">
        <v>1251</v>
      </c>
      <c r="F774" s="53" t="s">
        <v>2141</v>
      </c>
      <c r="G774" s="55">
        <v>11444</v>
      </c>
      <c r="H774" s="53" t="s">
        <v>1335</v>
      </c>
      <c r="I774" s="55">
        <v>306160010</v>
      </c>
      <c r="J774" s="55" t="s">
        <v>1376</v>
      </c>
      <c r="K774" s="55" t="s">
        <v>1377</v>
      </c>
      <c r="L774" s="53" t="s">
        <v>2039</v>
      </c>
      <c r="M774" s="55" t="s">
        <v>75</v>
      </c>
      <c r="N774" s="52">
        <v>23000</v>
      </c>
      <c r="O774" s="52">
        <v>277558480</v>
      </c>
      <c r="P774" s="52">
        <v>277558480</v>
      </c>
      <c r="Q774" s="57">
        <v>45876</v>
      </c>
      <c r="R774" s="57">
        <v>46972</v>
      </c>
      <c r="S774" s="56">
        <v>12.27</v>
      </c>
      <c r="T774" s="54">
        <v>0</v>
      </c>
      <c r="U774" s="52">
        <v>248849074.93000001</v>
      </c>
      <c r="V774" s="52">
        <v>248849074.93000001</v>
      </c>
      <c r="W774" s="52">
        <v>0</v>
      </c>
      <c r="X774" s="57"/>
      <c r="Y774" s="52">
        <v>0</v>
      </c>
      <c r="Z774" s="52">
        <v>0</v>
      </c>
      <c r="AA774" s="52">
        <v>2</v>
      </c>
      <c r="AB774" s="52">
        <v>24884944.09</v>
      </c>
      <c r="AC774" s="52">
        <v>963484.92</v>
      </c>
      <c r="AD774" s="52">
        <v>963484.92</v>
      </c>
      <c r="AE774" s="52">
        <v>0</v>
      </c>
      <c r="AF774" s="52">
        <v>0</v>
      </c>
      <c r="AG774" s="52">
        <v>0</v>
      </c>
      <c r="AH774" s="52">
        <v>0</v>
      </c>
      <c r="AI774" s="52">
        <v>0</v>
      </c>
      <c r="AJ774" s="52">
        <v>2</v>
      </c>
      <c r="AK774" s="52"/>
      <c r="AL774" s="52">
        <v>0</v>
      </c>
      <c r="AM774" s="52">
        <v>0</v>
      </c>
      <c r="AN774" s="52">
        <v>390000000</v>
      </c>
      <c r="AO774" s="52">
        <v>127362136472</v>
      </c>
      <c r="AP774" s="52">
        <v>11273570</v>
      </c>
      <c r="AQ774" s="58">
        <v>0</v>
      </c>
      <c r="AR774" s="58">
        <v>0</v>
      </c>
      <c r="AS774" s="58">
        <v>0</v>
      </c>
      <c r="AT774" s="58">
        <v>0</v>
      </c>
      <c r="AU774" s="58">
        <v>0</v>
      </c>
      <c r="AV774" s="58">
        <v>0</v>
      </c>
      <c r="AW774" s="58">
        <v>0</v>
      </c>
      <c r="AX774" s="58">
        <v>0</v>
      </c>
    </row>
    <row r="775" spans="1:50" x14ac:dyDescent="0.25">
      <c r="A775" s="52">
        <f t="shared" si="39"/>
        <v>770</v>
      </c>
      <c r="B775" s="60" t="str">
        <f t="shared" si="40"/>
        <v>0008315330254</v>
      </c>
      <c r="C775" s="55" t="s">
        <v>35</v>
      </c>
      <c r="D775" s="53" t="s">
        <v>2139</v>
      </c>
      <c r="E775" s="55" t="s">
        <v>1251</v>
      </c>
      <c r="F775" s="53" t="s">
        <v>2141</v>
      </c>
      <c r="G775" s="55">
        <v>11444</v>
      </c>
      <c r="H775" s="53" t="s">
        <v>2589</v>
      </c>
      <c r="I775" s="55">
        <v>309830639</v>
      </c>
      <c r="J775" s="55" t="s">
        <v>1378</v>
      </c>
      <c r="K775" s="55" t="s">
        <v>1379</v>
      </c>
      <c r="L775" s="53" t="s">
        <v>2049</v>
      </c>
      <c r="M775" s="55" t="s">
        <v>49</v>
      </c>
      <c r="N775" s="52">
        <v>600000000</v>
      </c>
      <c r="O775" s="52">
        <v>600000000</v>
      </c>
      <c r="P775" s="52">
        <v>600000000</v>
      </c>
      <c r="Q775" s="57">
        <v>45351</v>
      </c>
      <c r="R775" s="57">
        <v>46446</v>
      </c>
      <c r="S775" s="56">
        <v>28</v>
      </c>
      <c r="T775" s="54">
        <v>0</v>
      </c>
      <c r="U775" s="52">
        <v>239500000</v>
      </c>
      <c r="V775" s="52">
        <v>239500000</v>
      </c>
      <c r="W775" s="52">
        <v>0</v>
      </c>
      <c r="X775" s="57"/>
      <c r="Y775" s="52">
        <v>0</v>
      </c>
      <c r="Z775" s="52">
        <v>0</v>
      </c>
      <c r="AA775" s="52">
        <v>1</v>
      </c>
      <c r="AB775" s="52">
        <v>0</v>
      </c>
      <c r="AC775" s="52">
        <v>3123342.47</v>
      </c>
      <c r="AD775" s="52">
        <v>3123342.47</v>
      </c>
      <c r="AE775" s="52">
        <v>0</v>
      </c>
      <c r="AF775" s="52">
        <v>0</v>
      </c>
      <c r="AG775" s="52">
        <v>0</v>
      </c>
      <c r="AH775" s="52">
        <v>0</v>
      </c>
      <c r="AI775" s="52">
        <v>0</v>
      </c>
      <c r="AJ775" s="52">
        <v>2</v>
      </c>
      <c r="AK775" s="52"/>
      <c r="AL775" s="52">
        <v>2109965226</v>
      </c>
      <c r="AM775" s="52">
        <v>0</v>
      </c>
      <c r="AN775" s="52">
        <v>750000000</v>
      </c>
      <c r="AO775" s="52">
        <v>4565467787386</v>
      </c>
      <c r="AP775" s="52">
        <v>4565467787386</v>
      </c>
      <c r="AQ775" s="58">
        <v>0</v>
      </c>
      <c r="AR775" s="58">
        <v>0</v>
      </c>
      <c r="AS775" s="58">
        <v>0</v>
      </c>
      <c r="AT775" s="58">
        <v>0</v>
      </c>
      <c r="AU775" s="58">
        <v>2</v>
      </c>
      <c r="AV775" s="58">
        <v>89513.57</v>
      </c>
      <c r="AW775" s="58">
        <v>3</v>
      </c>
      <c r="AX775" s="58">
        <v>400000</v>
      </c>
    </row>
    <row r="776" spans="1:50" x14ac:dyDescent="0.25">
      <c r="A776" s="52">
        <f t="shared" ref="A776:A839" si="41">+A775+1</f>
        <v>771</v>
      </c>
      <c r="B776" s="60" t="str">
        <f t="shared" si="40"/>
        <v>0008315814392</v>
      </c>
      <c r="C776" s="55" t="s">
        <v>35</v>
      </c>
      <c r="D776" s="53" t="s">
        <v>2139</v>
      </c>
      <c r="E776" s="55" t="s">
        <v>1251</v>
      </c>
      <c r="F776" s="53" t="s">
        <v>2141</v>
      </c>
      <c r="G776" s="55">
        <v>11444</v>
      </c>
      <c r="H776" s="53" t="s">
        <v>720</v>
      </c>
      <c r="I776" s="55">
        <v>311040127</v>
      </c>
      <c r="J776" s="55" t="s">
        <v>1380</v>
      </c>
      <c r="K776" s="55" t="s">
        <v>1381</v>
      </c>
      <c r="L776" s="53" t="s">
        <v>2045</v>
      </c>
      <c r="M776" s="55" t="s">
        <v>49</v>
      </c>
      <c r="N776" s="52">
        <v>245000000</v>
      </c>
      <c r="O776" s="52">
        <v>245000000</v>
      </c>
      <c r="P776" s="52">
        <v>245000000</v>
      </c>
      <c r="Q776" s="57">
        <v>45740</v>
      </c>
      <c r="R776" s="57">
        <v>47566</v>
      </c>
      <c r="S776" s="56">
        <v>27</v>
      </c>
      <c r="T776" s="54">
        <v>0</v>
      </c>
      <c r="U776" s="52">
        <v>222477576</v>
      </c>
      <c r="V776" s="52">
        <v>222477576</v>
      </c>
      <c r="W776" s="52">
        <v>0</v>
      </c>
      <c r="X776" s="57"/>
      <c r="Y776" s="52">
        <v>0</v>
      </c>
      <c r="Z776" s="52">
        <v>0</v>
      </c>
      <c r="AA776" s="52">
        <v>1</v>
      </c>
      <c r="AB776" s="52">
        <v>0</v>
      </c>
      <c r="AC776" s="52">
        <v>1976830.96</v>
      </c>
      <c r="AD776" s="52">
        <v>1976830.96</v>
      </c>
      <c r="AE776" s="52">
        <v>0</v>
      </c>
      <c r="AF776" s="52">
        <v>0</v>
      </c>
      <c r="AG776" s="52">
        <v>0</v>
      </c>
      <c r="AH776" s="52">
        <v>0</v>
      </c>
      <c r="AI776" s="52">
        <v>0</v>
      </c>
      <c r="AJ776" s="52">
        <v>2</v>
      </c>
      <c r="AK776" s="52"/>
      <c r="AL776" s="52">
        <v>0</v>
      </c>
      <c r="AM776" s="52">
        <v>0</v>
      </c>
      <c r="AN776" s="52">
        <v>318500000</v>
      </c>
      <c r="AO776" s="52">
        <v>61857165032</v>
      </c>
      <c r="AP776" s="52">
        <v>0</v>
      </c>
      <c r="AQ776" s="58">
        <v>0</v>
      </c>
      <c r="AR776" s="58">
        <v>0</v>
      </c>
      <c r="AS776" s="58">
        <v>0</v>
      </c>
      <c r="AT776" s="58">
        <v>0</v>
      </c>
      <c r="AU776" s="58">
        <v>0</v>
      </c>
      <c r="AV776" s="58">
        <v>0</v>
      </c>
      <c r="AW776" s="58">
        <v>0</v>
      </c>
      <c r="AX776" s="58">
        <v>0</v>
      </c>
    </row>
    <row r="777" spans="1:50" x14ac:dyDescent="0.25">
      <c r="A777" s="52">
        <f t="shared" si="41"/>
        <v>772</v>
      </c>
      <c r="B777" s="60" t="str">
        <f t="shared" si="40"/>
        <v>0008315847137</v>
      </c>
      <c r="C777" s="55" t="s">
        <v>35</v>
      </c>
      <c r="D777" s="53" t="s">
        <v>2139</v>
      </c>
      <c r="E777" s="55" t="s">
        <v>1251</v>
      </c>
      <c r="F777" s="53" t="s">
        <v>2141</v>
      </c>
      <c r="G777" s="55">
        <v>11444</v>
      </c>
      <c r="H777" s="53" t="s">
        <v>1341</v>
      </c>
      <c r="I777" s="55">
        <v>305236231</v>
      </c>
      <c r="J777" s="55" t="s">
        <v>1382</v>
      </c>
      <c r="K777" s="55" t="s">
        <v>1383</v>
      </c>
      <c r="L777" s="53" t="s">
        <v>2039</v>
      </c>
      <c r="M777" s="55" t="s">
        <v>75</v>
      </c>
      <c r="N777" s="52">
        <v>35000</v>
      </c>
      <c r="O777" s="52">
        <v>422371600</v>
      </c>
      <c r="P777" s="52">
        <v>422371600</v>
      </c>
      <c r="Q777" s="57">
        <v>45772</v>
      </c>
      <c r="R777" s="57">
        <v>46198</v>
      </c>
      <c r="S777" s="56">
        <v>11.27</v>
      </c>
      <c r="T777" s="54">
        <v>3</v>
      </c>
      <c r="U777" s="52">
        <v>194063282.80000001</v>
      </c>
      <c r="V777" s="52">
        <v>194063282.80000001</v>
      </c>
      <c r="W777" s="52">
        <v>0</v>
      </c>
      <c r="X777" s="57"/>
      <c r="Y777" s="52">
        <v>0</v>
      </c>
      <c r="Z777" s="52">
        <v>0</v>
      </c>
      <c r="AA777" s="52">
        <v>1</v>
      </c>
      <c r="AB777" s="52">
        <v>0</v>
      </c>
      <c r="AC777" s="52">
        <v>342916.7</v>
      </c>
      <c r="AD777" s="52">
        <v>342916.7</v>
      </c>
      <c r="AE777" s="52">
        <v>0</v>
      </c>
      <c r="AF777" s="52">
        <v>0</v>
      </c>
      <c r="AG777" s="52">
        <v>0</v>
      </c>
      <c r="AH777" s="52">
        <v>0</v>
      </c>
      <c r="AI777" s="52">
        <v>0</v>
      </c>
      <c r="AJ777" s="52">
        <v>2</v>
      </c>
      <c r="AK777" s="52"/>
      <c r="AL777" s="52">
        <v>0</v>
      </c>
      <c r="AM777" s="52">
        <v>0</v>
      </c>
      <c r="AN777" s="52">
        <v>4049000000</v>
      </c>
      <c r="AO777" s="52">
        <v>11764678861535</v>
      </c>
      <c r="AP777" s="52">
        <v>11764678861535</v>
      </c>
      <c r="AQ777" s="58">
        <v>0</v>
      </c>
      <c r="AR777" s="58">
        <v>0</v>
      </c>
      <c r="AS777" s="58">
        <v>0</v>
      </c>
      <c r="AT777" s="58">
        <v>0</v>
      </c>
      <c r="AU777" s="58">
        <v>832</v>
      </c>
      <c r="AV777" s="58">
        <v>19132688.400000017</v>
      </c>
      <c r="AW777" s="58">
        <v>491</v>
      </c>
      <c r="AX777" s="58">
        <v>19232439.84999999</v>
      </c>
    </row>
    <row r="778" spans="1:50" x14ac:dyDescent="0.25">
      <c r="A778" s="52">
        <f t="shared" si="41"/>
        <v>773</v>
      </c>
      <c r="B778" s="60" t="str">
        <f t="shared" si="40"/>
        <v>0008315418355</v>
      </c>
      <c r="C778" s="55" t="s">
        <v>35</v>
      </c>
      <c r="D778" s="53" t="s">
        <v>2139</v>
      </c>
      <c r="E778" s="55" t="s">
        <v>1251</v>
      </c>
      <c r="F778" s="53" t="s">
        <v>2141</v>
      </c>
      <c r="G778" s="55">
        <v>11444</v>
      </c>
      <c r="H778" s="53" t="s">
        <v>2582</v>
      </c>
      <c r="I778" s="55">
        <v>301624044</v>
      </c>
      <c r="J778" s="55" t="s">
        <v>1384</v>
      </c>
      <c r="K778" s="55" t="s">
        <v>1385</v>
      </c>
      <c r="L778" s="53" t="s">
        <v>2039</v>
      </c>
      <c r="M778" s="55" t="s">
        <v>75</v>
      </c>
      <c r="N778" s="52">
        <v>320000</v>
      </c>
      <c r="O778" s="52">
        <v>3861683200</v>
      </c>
      <c r="P778" s="52">
        <v>3861683200</v>
      </c>
      <c r="Q778" s="57">
        <v>45499</v>
      </c>
      <c r="R778" s="57">
        <v>46048</v>
      </c>
      <c r="S778" s="56">
        <v>12.5</v>
      </c>
      <c r="T778" s="54">
        <v>6</v>
      </c>
      <c r="U778" s="52">
        <v>188061325.59999999</v>
      </c>
      <c r="V778" s="52">
        <v>0</v>
      </c>
      <c r="W778" s="52">
        <v>188061325.59999999</v>
      </c>
      <c r="X778" s="57">
        <v>46049</v>
      </c>
      <c r="Y778" s="52">
        <v>0</v>
      </c>
      <c r="Z778" s="52">
        <v>0</v>
      </c>
      <c r="AA778" s="52">
        <v>2</v>
      </c>
      <c r="AB778" s="52">
        <v>18806132.559999999</v>
      </c>
      <c r="AC778" s="52">
        <v>483206.35</v>
      </c>
      <c r="AD778" s="52">
        <v>483206.35</v>
      </c>
      <c r="AE778" s="52">
        <v>0</v>
      </c>
      <c r="AF778" s="52">
        <v>0</v>
      </c>
      <c r="AG778" s="52">
        <v>0</v>
      </c>
      <c r="AH778" s="52">
        <v>0</v>
      </c>
      <c r="AI778" s="52">
        <v>0</v>
      </c>
      <c r="AJ778" s="52">
        <v>2</v>
      </c>
      <c r="AK778" s="52"/>
      <c r="AL778" s="52">
        <v>0</v>
      </c>
      <c r="AM778" s="52">
        <v>0</v>
      </c>
      <c r="AN778" s="52">
        <v>5400000000</v>
      </c>
      <c r="AO778" s="52">
        <v>7566793629201</v>
      </c>
      <c r="AP778" s="52">
        <v>7566793629201</v>
      </c>
      <c r="AQ778" s="58">
        <v>0</v>
      </c>
      <c r="AR778" s="58">
        <v>0</v>
      </c>
      <c r="AS778" s="58">
        <v>0</v>
      </c>
      <c r="AT778" s="58">
        <v>0</v>
      </c>
      <c r="AU778" s="58">
        <v>25</v>
      </c>
      <c r="AV778" s="58">
        <v>775091.14000000013</v>
      </c>
      <c r="AW778" s="58">
        <v>1</v>
      </c>
      <c r="AX778" s="58">
        <v>5000</v>
      </c>
    </row>
    <row r="779" spans="1:50" x14ac:dyDescent="0.25">
      <c r="A779" s="52">
        <f t="shared" si="41"/>
        <v>774</v>
      </c>
      <c r="B779" s="60" t="str">
        <f t="shared" si="40"/>
        <v>0008315143929</v>
      </c>
      <c r="C779" s="55" t="s">
        <v>35</v>
      </c>
      <c r="D779" s="53" t="s">
        <v>2139</v>
      </c>
      <c r="E779" s="55" t="s">
        <v>1251</v>
      </c>
      <c r="F779" s="53" t="s">
        <v>2141</v>
      </c>
      <c r="G779" s="55">
        <v>11444</v>
      </c>
      <c r="H779" s="53" t="s">
        <v>2585</v>
      </c>
      <c r="I779" s="55">
        <v>306282230</v>
      </c>
      <c r="J779" s="55" t="s">
        <v>1386</v>
      </c>
      <c r="K779" s="55" t="s">
        <v>1387</v>
      </c>
      <c r="L779" s="53" t="s">
        <v>2039</v>
      </c>
      <c r="M779" s="55" t="s">
        <v>75</v>
      </c>
      <c r="N779" s="52">
        <v>36000</v>
      </c>
      <c r="O779" s="52">
        <v>434439360</v>
      </c>
      <c r="P779" s="52">
        <v>434439360</v>
      </c>
      <c r="Q779" s="57">
        <v>45267</v>
      </c>
      <c r="R779" s="57">
        <v>46363</v>
      </c>
      <c r="S779" s="56">
        <v>13.27</v>
      </c>
      <c r="T779" s="54">
        <v>0</v>
      </c>
      <c r="U779" s="52">
        <v>179800461.05000001</v>
      </c>
      <c r="V779" s="52">
        <v>179800461.05000001</v>
      </c>
      <c r="W779" s="52">
        <v>0</v>
      </c>
      <c r="X779" s="57"/>
      <c r="Y779" s="52">
        <v>0</v>
      </c>
      <c r="Z779" s="52">
        <v>0</v>
      </c>
      <c r="AA779" s="52">
        <v>1</v>
      </c>
      <c r="AB779" s="52">
        <v>0</v>
      </c>
      <c r="AC779" s="52">
        <v>1256141.33</v>
      </c>
      <c r="AD779" s="52">
        <v>1256141.33</v>
      </c>
      <c r="AE779" s="52">
        <v>0</v>
      </c>
      <c r="AF779" s="52">
        <v>0</v>
      </c>
      <c r="AG779" s="52">
        <v>0</v>
      </c>
      <c r="AH779" s="52">
        <v>0</v>
      </c>
      <c r="AI779" s="52">
        <v>0</v>
      </c>
      <c r="AJ779" s="52">
        <v>2</v>
      </c>
      <c r="AK779" s="52"/>
      <c r="AL779" s="52">
        <v>0</v>
      </c>
      <c r="AM779" s="52">
        <v>0</v>
      </c>
      <c r="AN779" s="52">
        <v>0</v>
      </c>
      <c r="AO779" s="52">
        <v>488074484713</v>
      </c>
      <c r="AP779" s="52">
        <v>4576744847</v>
      </c>
      <c r="AQ779" s="58">
        <v>19</v>
      </c>
      <c r="AR779" s="58">
        <v>67530.22</v>
      </c>
      <c r="AS779" s="58">
        <v>155</v>
      </c>
      <c r="AT779" s="58">
        <v>620460.59</v>
      </c>
      <c r="AU779" s="58">
        <v>1</v>
      </c>
      <c r="AV779" s="58">
        <v>40284.04</v>
      </c>
      <c r="AW779" s="58">
        <v>5</v>
      </c>
      <c r="AX779" s="58">
        <v>415110.89</v>
      </c>
    </row>
    <row r="780" spans="1:50" x14ac:dyDescent="0.25">
      <c r="A780" s="52">
        <f t="shared" si="41"/>
        <v>775</v>
      </c>
      <c r="B780" s="60" t="str">
        <f t="shared" si="40"/>
        <v>000835938086</v>
      </c>
      <c r="C780" s="55" t="s">
        <v>35</v>
      </c>
      <c r="D780" s="53" t="s">
        <v>2139</v>
      </c>
      <c r="E780" s="55" t="s">
        <v>1251</v>
      </c>
      <c r="F780" s="53" t="s">
        <v>2141</v>
      </c>
      <c r="G780" s="55">
        <v>11444</v>
      </c>
      <c r="H780" s="53" t="s">
        <v>1344</v>
      </c>
      <c r="I780" s="55">
        <v>309553974</v>
      </c>
      <c r="J780" s="55" t="s">
        <v>1388</v>
      </c>
      <c r="K780" s="55" t="s">
        <v>1389</v>
      </c>
      <c r="L780" s="53" t="s">
        <v>2039</v>
      </c>
      <c r="M780" s="55" t="s">
        <v>75</v>
      </c>
      <c r="N780" s="52">
        <v>71060</v>
      </c>
      <c r="O780" s="52">
        <v>857535025.60000002</v>
      </c>
      <c r="P780" s="52">
        <v>857535025.60000002</v>
      </c>
      <c r="Q780" s="57">
        <v>44778</v>
      </c>
      <c r="R780" s="57">
        <v>46239</v>
      </c>
      <c r="S780" s="56">
        <v>12</v>
      </c>
      <c r="T780" s="54">
        <v>0</v>
      </c>
      <c r="U780" s="52">
        <v>170809846.34</v>
      </c>
      <c r="V780" s="52">
        <v>170809846.34</v>
      </c>
      <c r="W780" s="52">
        <v>0</v>
      </c>
      <c r="X780" s="57"/>
      <c r="Y780" s="52">
        <v>0</v>
      </c>
      <c r="Z780" s="52">
        <v>0</v>
      </c>
      <c r="AA780" s="52">
        <v>2</v>
      </c>
      <c r="AB780" s="52">
        <v>17080935.84</v>
      </c>
      <c r="AC780" s="52">
        <v>954701.57</v>
      </c>
      <c r="AD780" s="52">
        <v>954701.57</v>
      </c>
      <c r="AE780" s="52">
        <v>0</v>
      </c>
      <c r="AF780" s="52">
        <v>0</v>
      </c>
      <c r="AG780" s="52">
        <v>0</v>
      </c>
      <c r="AH780" s="52">
        <v>0</v>
      </c>
      <c r="AI780" s="52">
        <v>0</v>
      </c>
      <c r="AJ780" s="52">
        <v>2</v>
      </c>
      <c r="AK780" s="52"/>
      <c r="AL780" s="52">
        <v>0</v>
      </c>
      <c r="AM780" s="52">
        <v>0</v>
      </c>
      <c r="AN780" s="52">
        <v>0</v>
      </c>
      <c r="AO780" s="52">
        <v>1323669544017</v>
      </c>
      <c r="AP780" s="52">
        <v>11108595440</v>
      </c>
      <c r="AQ780" s="58">
        <v>0</v>
      </c>
      <c r="AR780" s="58">
        <v>0</v>
      </c>
      <c r="AS780" s="58">
        <v>3</v>
      </c>
      <c r="AT780" s="58">
        <v>15054.29</v>
      </c>
      <c r="AU780" s="58">
        <v>1</v>
      </c>
      <c r="AV780" s="58">
        <v>2546.5</v>
      </c>
      <c r="AW780" s="58">
        <v>18</v>
      </c>
      <c r="AX780" s="58">
        <v>330483.56000000006</v>
      </c>
    </row>
    <row r="781" spans="1:50" x14ac:dyDescent="0.25">
      <c r="A781" s="52">
        <f t="shared" si="41"/>
        <v>776</v>
      </c>
      <c r="B781" s="60" t="str">
        <f t="shared" si="40"/>
        <v>0008315349562</v>
      </c>
      <c r="C781" s="55" t="s">
        <v>35</v>
      </c>
      <c r="D781" s="53" t="s">
        <v>2139</v>
      </c>
      <c r="E781" s="55" t="s">
        <v>1251</v>
      </c>
      <c r="F781" s="53" t="s">
        <v>2141</v>
      </c>
      <c r="G781" s="55">
        <v>11444</v>
      </c>
      <c r="H781" s="53" t="s">
        <v>1344</v>
      </c>
      <c r="I781" s="55">
        <v>309553974</v>
      </c>
      <c r="J781" s="55" t="s">
        <v>1390</v>
      </c>
      <c r="K781" s="55" t="s">
        <v>1391</v>
      </c>
      <c r="L781" s="53" t="s">
        <v>2039</v>
      </c>
      <c r="M781" s="55" t="s">
        <v>75</v>
      </c>
      <c r="N781" s="52">
        <v>25500</v>
      </c>
      <c r="O781" s="52">
        <v>307727880</v>
      </c>
      <c r="P781" s="52">
        <v>307727880</v>
      </c>
      <c r="Q781" s="57">
        <v>45398</v>
      </c>
      <c r="R781" s="57">
        <v>46493</v>
      </c>
      <c r="S781" s="56">
        <v>13.27</v>
      </c>
      <c r="T781" s="54">
        <v>0</v>
      </c>
      <c r="U781" s="52">
        <v>169471483.08000001</v>
      </c>
      <c r="V781" s="52">
        <v>169471483.08000001</v>
      </c>
      <c r="W781" s="52">
        <v>0</v>
      </c>
      <c r="X781" s="57"/>
      <c r="Y781" s="52">
        <v>0</v>
      </c>
      <c r="Z781" s="52">
        <v>0</v>
      </c>
      <c r="AA781" s="52">
        <v>2</v>
      </c>
      <c r="AB781" s="52">
        <v>16947111.710000001</v>
      </c>
      <c r="AC781" s="52">
        <v>1009963.49</v>
      </c>
      <c r="AD781" s="52">
        <v>1009963.49</v>
      </c>
      <c r="AE781" s="52">
        <v>0</v>
      </c>
      <c r="AF781" s="52">
        <v>0</v>
      </c>
      <c r="AG781" s="52">
        <v>0</v>
      </c>
      <c r="AH781" s="52">
        <v>0</v>
      </c>
      <c r="AI781" s="52">
        <v>0</v>
      </c>
      <c r="AJ781" s="52">
        <v>2</v>
      </c>
      <c r="AK781" s="52"/>
      <c r="AL781" s="52">
        <v>0</v>
      </c>
      <c r="AM781" s="52">
        <v>0</v>
      </c>
      <c r="AN781" s="52">
        <v>0</v>
      </c>
      <c r="AO781" s="52">
        <v>701515046241</v>
      </c>
      <c r="AP781" s="52">
        <v>6444050462</v>
      </c>
      <c r="AQ781" s="58">
        <v>0</v>
      </c>
      <c r="AR781" s="58">
        <v>0</v>
      </c>
      <c r="AS781" s="58">
        <v>3</v>
      </c>
      <c r="AT781" s="58">
        <v>15054.29</v>
      </c>
      <c r="AU781" s="58">
        <v>1</v>
      </c>
      <c r="AV781" s="58">
        <v>2546.5</v>
      </c>
      <c r="AW781" s="58">
        <v>18</v>
      </c>
      <c r="AX781" s="58">
        <v>330483.56000000006</v>
      </c>
    </row>
    <row r="782" spans="1:50" x14ac:dyDescent="0.25">
      <c r="A782" s="52">
        <f t="shared" si="41"/>
        <v>777</v>
      </c>
      <c r="B782" s="60" t="str">
        <f t="shared" si="40"/>
        <v>000836350193</v>
      </c>
      <c r="C782" s="55" t="s">
        <v>35</v>
      </c>
      <c r="D782" s="53" t="s">
        <v>2139</v>
      </c>
      <c r="E782" s="55" t="s">
        <v>1251</v>
      </c>
      <c r="F782" s="53" t="s">
        <v>2141</v>
      </c>
      <c r="G782" s="55">
        <v>11444</v>
      </c>
      <c r="H782" s="53" t="s">
        <v>2583</v>
      </c>
      <c r="I782" s="55">
        <v>301403518</v>
      </c>
      <c r="J782" s="55" t="s">
        <v>1392</v>
      </c>
      <c r="K782" s="55" t="s">
        <v>1393</v>
      </c>
      <c r="L782" s="53" t="s">
        <v>2039</v>
      </c>
      <c r="M782" s="55" t="s">
        <v>75</v>
      </c>
      <c r="N782" s="52">
        <v>130000</v>
      </c>
      <c r="O782" s="52">
        <v>1568808800</v>
      </c>
      <c r="P782" s="52">
        <v>1568808800</v>
      </c>
      <c r="Q782" s="57">
        <v>45014</v>
      </c>
      <c r="R782" s="57">
        <v>46110</v>
      </c>
      <c r="S782" s="56">
        <v>11.27</v>
      </c>
      <c r="T782" s="54">
        <v>3</v>
      </c>
      <c r="U782" s="52">
        <v>112271733.05</v>
      </c>
      <c r="V782" s="52">
        <v>112271733.05</v>
      </c>
      <c r="W782" s="52">
        <v>0</v>
      </c>
      <c r="X782" s="57"/>
      <c r="Y782" s="52">
        <v>0</v>
      </c>
      <c r="Z782" s="52">
        <v>0</v>
      </c>
      <c r="AA782" s="52">
        <v>1</v>
      </c>
      <c r="AB782" s="52">
        <v>0</v>
      </c>
      <c r="AC782" s="52">
        <v>412939.54</v>
      </c>
      <c r="AD782" s="52">
        <v>412939.54</v>
      </c>
      <c r="AE782" s="52">
        <v>0</v>
      </c>
      <c r="AF782" s="52">
        <v>0</v>
      </c>
      <c r="AG782" s="52">
        <v>0</v>
      </c>
      <c r="AH782" s="52">
        <v>0</v>
      </c>
      <c r="AI782" s="52">
        <v>0</v>
      </c>
      <c r="AJ782" s="52">
        <v>2</v>
      </c>
      <c r="AK782" s="52"/>
      <c r="AL782" s="52">
        <v>0</v>
      </c>
      <c r="AM782" s="52">
        <v>0</v>
      </c>
      <c r="AN782" s="52">
        <v>1943500000</v>
      </c>
      <c r="AO782" s="52">
        <v>2218552550196</v>
      </c>
      <c r="AP782" s="52">
        <v>2218552550196</v>
      </c>
      <c r="AQ782" s="58">
        <v>3</v>
      </c>
      <c r="AR782" s="58">
        <v>94375</v>
      </c>
      <c r="AS782" s="58">
        <v>6</v>
      </c>
      <c r="AT782" s="58">
        <v>123165</v>
      </c>
      <c r="AU782" s="58">
        <v>17</v>
      </c>
      <c r="AV782" s="58">
        <v>201185.21</v>
      </c>
      <c r="AW782" s="58">
        <v>12</v>
      </c>
      <c r="AX782" s="58">
        <v>462100</v>
      </c>
    </row>
    <row r="783" spans="1:50" x14ac:dyDescent="0.25">
      <c r="A783" s="52">
        <f t="shared" si="41"/>
        <v>778</v>
      </c>
      <c r="B783" s="60" t="str">
        <f t="shared" si="40"/>
        <v>0008315490497</v>
      </c>
      <c r="C783" s="55" t="s">
        <v>35</v>
      </c>
      <c r="D783" s="53" t="s">
        <v>2139</v>
      </c>
      <c r="E783" s="55" t="s">
        <v>1251</v>
      </c>
      <c r="F783" s="53" t="s">
        <v>2142</v>
      </c>
      <c r="G783" s="55">
        <v>11445</v>
      </c>
      <c r="H783" s="53" t="s">
        <v>1394</v>
      </c>
      <c r="I783" s="55">
        <v>306324952</v>
      </c>
      <c r="J783" s="55" t="s">
        <v>1395</v>
      </c>
      <c r="K783" s="55" t="s">
        <v>1396</v>
      </c>
      <c r="L783" s="53" t="s">
        <v>2049</v>
      </c>
      <c r="M783" s="55" t="s">
        <v>71</v>
      </c>
      <c r="N783" s="52">
        <v>600000</v>
      </c>
      <c r="O783" s="52">
        <v>8484600000</v>
      </c>
      <c r="P783" s="52">
        <v>600000</v>
      </c>
      <c r="Q783" s="57">
        <v>45604</v>
      </c>
      <c r="R783" s="57">
        <v>47430</v>
      </c>
      <c r="S783" s="56">
        <v>12</v>
      </c>
      <c r="T783" s="54">
        <v>12</v>
      </c>
      <c r="U783" s="52">
        <v>8458471031.7700005</v>
      </c>
      <c r="V783" s="52">
        <v>8458471031.7700005</v>
      </c>
      <c r="W783" s="52">
        <v>0</v>
      </c>
      <c r="X783" s="57"/>
      <c r="Y783" s="52">
        <v>0</v>
      </c>
      <c r="Z783" s="52">
        <v>0</v>
      </c>
      <c r="AA783" s="52">
        <v>2</v>
      </c>
      <c r="AB783" s="52">
        <v>845847074.00999999</v>
      </c>
      <c r="AC783" s="52">
        <v>27855620.609999999</v>
      </c>
      <c r="AD783" s="52">
        <v>27855620.609999999</v>
      </c>
      <c r="AE783" s="52">
        <v>0</v>
      </c>
      <c r="AF783" s="52">
        <v>0</v>
      </c>
      <c r="AG783" s="52">
        <v>0</v>
      </c>
      <c r="AH783" s="52">
        <v>0</v>
      </c>
      <c r="AI783" s="52">
        <v>0</v>
      </c>
      <c r="AJ783" s="52">
        <v>2</v>
      </c>
      <c r="AK783" s="52"/>
      <c r="AL783" s="52">
        <v>0</v>
      </c>
      <c r="AM783" s="52">
        <v>0</v>
      </c>
      <c r="AN783" s="52">
        <v>14239000000</v>
      </c>
      <c r="AO783" s="52">
        <v>2393417266219</v>
      </c>
      <c r="AP783" s="52">
        <v>2149875073448</v>
      </c>
      <c r="AQ783" s="58">
        <v>0</v>
      </c>
      <c r="AR783" s="58">
        <v>0</v>
      </c>
      <c r="AS783" s="58">
        <v>6</v>
      </c>
      <c r="AT783" s="58">
        <v>24234.98</v>
      </c>
      <c r="AU783" s="58">
        <v>13</v>
      </c>
      <c r="AV783" s="58">
        <v>259735.83999999997</v>
      </c>
      <c r="AW783" s="58">
        <v>24</v>
      </c>
      <c r="AX783" s="58">
        <v>942126.78</v>
      </c>
    </row>
    <row r="784" spans="1:50" x14ac:dyDescent="0.25">
      <c r="A784" s="52">
        <f t="shared" si="41"/>
        <v>779</v>
      </c>
      <c r="B784" s="60" t="str">
        <f t="shared" si="40"/>
        <v>0008315927774</v>
      </c>
      <c r="C784" s="55" t="s">
        <v>35</v>
      </c>
      <c r="D784" s="53" t="s">
        <v>2139</v>
      </c>
      <c r="E784" s="55" t="s">
        <v>1251</v>
      </c>
      <c r="F784" s="53" t="s">
        <v>2142</v>
      </c>
      <c r="G784" s="55">
        <v>11445</v>
      </c>
      <c r="H784" s="53" t="s">
        <v>1397</v>
      </c>
      <c r="I784" s="55">
        <v>306596496</v>
      </c>
      <c r="J784" s="55" t="s">
        <v>1398</v>
      </c>
      <c r="K784" s="55" t="s">
        <v>1399</v>
      </c>
      <c r="L784" s="53" t="s">
        <v>2590</v>
      </c>
      <c r="M784" s="55" t="s">
        <v>75</v>
      </c>
      <c r="N784" s="52">
        <v>500000</v>
      </c>
      <c r="O784" s="52">
        <v>6033880000</v>
      </c>
      <c r="P784" s="52">
        <v>500000</v>
      </c>
      <c r="Q784" s="57">
        <v>45896</v>
      </c>
      <c r="R784" s="57">
        <v>46992</v>
      </c>
      <c r="S784" s="56">
        <v>12.27</v>
      </c>
      <c r="T784" s="54">
        <v>6</v>
      </c>
      <c r="U784" s="52">
        <v>6099550000</v>
      </c>
      <c r="V784" s="52">
        <v>6099550000</v>
      </c>
      <c r="W784" s="52">
        <v>0</v>
      </c>
      <c r="X784" s="57"/>
      <c r="Y784" s="52">
        <v>0</v>
      </c>
      <c r="Z784" s="52">
        <v>0</v>
      </c>
      <c r="AA784" s="52">
        <v>1</v>
      </c>
      <c r="AB784" s="52">
        <v>0</v>
      </c>
      <c r="AC784" s="52">
        <v>11781036.84</v>
      </c>
      <c r="AD784" s="52">
        <v>11781036.84</v>
      </c>
      <c r="AE784" s="52">
        <v>0</v>
      </c>
      <c r="AF784" s="52">
        <v>0</v>
      </c>
      <c r="AG784" s="52">
        <v>0</v>
      </c>
      <c r="AH784" s="52">
        <v>0</v>
      </c>
      <c r="AI784" s="52">
        <v>0</v>
      </c>
      <c r="AJ784" s="52">
        <v>2</v>
      </c>
      <c r="AK784" s="52"/>
      <c r="AL784" s="52">
        <v>0</v>
      </c>
      <c r="AM784" s="52">
        <v>0</v>
      </c>
      <c r="AN784" s="52">
        <v>8190000000</v>
      </c>
      <c r="AO784" s="52">
        <v>75500000</v>
      </c>
      <c r="AP784" s="52">
        <v>0</v>
      </c>
      <c r="AQ784" s="58">
        <v>4</v>
      </c>
      <c r="AR784" s="58">
        <v>204636</v>
      </c>
      <c r="AS784" s="58">
        <v>0</v>
      </c>
      <c r="AT784" s="58">
        <v>0</v>
      </c>
      <c r="AU784" s="58">
        <v>0</v>
      </c>
      <c r="AV784" s="58">
        <v>0</v>
      </c>
      <c r="AW784" s="58">
        <v>1</v>
      </c>
      <c r="AX784" s="58">
        <v>65000</v>
      </c>
    </row>
    <row r="785" spans="1:50" x14ac:dyDescent="0.25">
      <c r="A785" s="52">
        <f t="shared" si="41"/>
        <v>780</v>
      </c>
      <c r="B785" s="60" t="str">
        <f t="shared" si="40"/>
        <v>0008315339697</v>
      </c>
      <c r="C785" s="55" t="s">
        <v>35</v>
      </c>
      <c r="D785" s="53" t="s">
        <v>2139</v>
      </c>
      <c r="E785" s="55" t="s">
        <v>1251</v>
      </c>
      <c r="F785" s="53" t="s">
        <v>2142</v>
      </c>
      <c r="G785" s="55">
        <v>11445</v>
      </c>
      <c r="H785" s="53" t="s">
        <v>1394</v>
      </c>
      <c r="I785" s="55">
        <v>306324952</v>
      </c>
      <c r="J785" s="55" t="s">
        <v>1400</v>
      </c>
      <c r="K785" s="55" t="s">
        <v>1401</v>
      </c>
      <c r="L785" s="53" t="s">
        <v>2049</v>
      </c>
      <c r="M785" s="55" t="s">
        <v>49</v>
      </c>
      <c r="N785" s="52">
        <v>5000000000</v>
      </c>
      <c r="O785" s="52">
        <v>5000000000</v>
      </c>
      <c r="P785" s="52">
        <v>5000000000</v>
      </c>
      <c r="Q785" s="57">
        <v>45377</v>
      </c>
      <c r="R785" s="57">
        <v>47203</v>
      </c>
      <c r="S785" s="56">
        <v>14</v>
      </c>
      <c r="T785" s="54">
        <v>12</v>
      </c>
      <c r="U785" s="52">
        <v>4178314966.4499998</v>
      </c>
      <c r="V785" s="52">
        <v>4178314966.4499998</v>
      </c>
      <c r="W785" s="52">
        <v>0</v>
      </c>
      <c r="X785" s="57"/>
      <c r="Y785" s="52">
        <v>0</v>
      </c>
      <c r="Z785" s="52">
        <v>0</v>
      </c>
      <c r="AA785" s="52">
        <v>2</v>
      </c>
      <c r="AB785" s="52">
        <v>417831496.64999998</v>
      </c>
      <c r="AC785" s="52">
        <v>9615848.1400000006</v>
      </c>
      <c r="AD785" s="52">
        <v>9615848.1400000006</v>
      </c>
      <c r="AE785" s="52">
        <v>0</v>
      </c>
      <c r="AF785" s="52">
        <v>0</v>
      </c>
      <c r="AG785" s="52">
        <v>0</v>
      </c>
      <c r="AH785" s="52">
        <v>0</v>
      </c>
      <c r="AI785" s="52">
        <v>0</v>
      </c>
      <c r="AJ785" s="52">
        <v>2</v>
      </c>
      <c r="AK785" s="52"/>
      <c r="AL785" s="52">
        <v>0</v>
      </c>
      <c r="AM785" s="52">
        <v>0</v>
      </c>
      <c r="AN785" s="52">
        <v>7059000000</v>
      </c>
      <c r="AO785" s="52">
        <v>4576627017879</v>
      </c>
      <c r="AP785" s="52">
        <v>448989713025</v>
      </c>
      <c r="AQ785" s="58">
        <v>0</v>
      </c>
      <c r="AR785" s="58">
        <v>0</v>
      </c>
      <c r="AS785" s="58">
        <v>6</v>
      </c>
      <c r="AT785" s="58">
        <v>24234.98</v>
      </c>
      <c r="AU785" s="58">
        <v>13</v>
      </c>
      <c r="AV785" s="58">
        <v>259735.83999999997</v>
      </c>
      <c r="AW785" s="58">
        <v>24</v>
      </c>
      <c r="AX785" s="58">
        <v>942126.78</v>
      </c>
    </row>
    <row r="786" spans="1:50" x14ac:dyDescent="0.25">
      <c r="A786" s="52">
        <f t="shared" si="41"/>
        <v>781</v>
      </c>
      <c r="B786" s="60" t="str">
        <f t="shared" si="40"/>
        <v>0008315863179</v>
      </c>
      <c r="C786" s="55" t="s">
        <v>35</v>
      </c>
      <c r="D786" s="53" t="s">
        <v>2139</v>
      </c>
      <c r="E786" s="55" t="s">
        <v>1251</v>
      </c>
      <c r="F786" s="53" t="s">
        <v>2142</v>
      </c>
      <c r="G786" s="55">
        <v>11445</v>
      </c>
      <c r="H786" s="53" t="s">
        <v>2591</v>
      </c>
      <c r="I786" s="55">
        <v>301113894</v>
      </c>
      <c r="J786" s="55" t="s">
        <v>1402</v>
      </c>
      <c r="K786" s="55" t="s">
        <v>1403</v>
      </c>
      <c r="L786" s="53" t="s">
        <v>2049</v>
      </c>
      <c r="M786" s="55" t="s">
        <v>75</v>
      </c>
      <c r="N786" s="52">
        <v>300000</v>
      </c>
      <c r="O786" s="52">
        <v>3620328000</v>
      </c>
      <c r="P786" s="52">
        <v>300000</v>
      </c>
      <c r="Q786" s="57">
        <v>45791</v>
      </c>
      <c r="R786" s="57">
        <v>47617</v>
      </c>
      <c r="S786" s="56">
        <v>11.27</v>
      </c>
      <c r="T786" s="54">
        <v>12</v>
      </c>
      <c r="U786" s="52">
        <v>3659730000</v>
      </c>
      <c r="V786" s="52">
        <v>3659730000</v>
      </c>
      <c r="W786" s="52">
        <v>0</v>
      </c>
      <c r="X786" s="57"/>
      <c r="Y786" s="52">
        <v>0</v>
      </c>
      <c r="Z786" s="52">
        <v>0</v>
      </c>
      <c r="AA786" s="52">
        <v>1</v>
      </c>
      <c r="AB786" s="52">
        <v>0</v>
      </c>
      <c r="AC786" s="52">
        <v>18323170.190000001</v>
      </c>
      <c r="AD786" s="52">
        <v>18323170.190000001</v>
      </c>
      <c r="AE786" s="52">
        <v>0</v>
      </c>
      <c r="AF786" s="52">
        <v>0</v>
      </c>
      <c r="AG786" s="52">
        <v>0</v>
      </c>
      <c r="AH786" s="52">
        <v>0</v>
      </c>
      <c r="AI786" s="52">
        <v>0</v>
      </c>
      <c r="AJ786" s="52">
        <v>2</v>
      </c>
      <c r="AK786" s="52"/>
      <c r="AL786" s="52">
        <v>0</v>
      </c>
      <c r="AM786" s="52">
        <v>0</v>
      </c>
      <c r="AN786" s="52">
        <v>14040000000</v>
      </c>
      <c r="AO786" s="52">
        <v>2693000000</v>
      </c>
      <c r="AP786" s="52">
        <v>2693000000</v>
      </c>
      <c r="AQ786" s="58">
        <v>0</v>
      </c>
      <c r="AR786" s="58">
        <v>0</v>
      </c>
      <c r="AS786" s="58">
        <v>0</v>
      </c>
      <c r="AT786" s="58">
        <v>0</v>
      </c>
      <c r="AU786" s="58">
        <v>1</v>
      </c>
      <c r="AV786" s="58">
        <v>12900</v>
      </c>
      <c r="AW786" s="58">
        <v>10</v>
      </c>
      <c r="AX786" s="58">
        <v>672500</v>
      </c>
    </row>
    <row r="787" spans="1:50" x14ac:dyDescent="0.25">
      <c r="A787" s="52">
        <f t="shared" si="41"/>
        <v>782</v>
      </c>
      <c r="B787" s="60" t="str">
        <f t="shared" si="40"/>
        <v>0008315419191</v>
      </c>
      <c r="C787" s="55" t="s">
        <v>35</v>
      </c>
      <c r="D787" s="53" t="s">
        <v>2139</v>
      </c>
      <c r="E787" s="55" t="s">
        <v>1251</v>
      </c>
      <c r="F787" s="53" t="s">
        <v>2142</v>
      </c>
      <c r="G787" s="55">
        <v>11445</v>
      </c>
      <c r="H787" s="53" t="s">
        <v>2591</v>
      </c>
      <c r="I787" s="55">
        <v>301113894</v>
      </c>
      <c r="J787" s="55" t="s">
        <v>1404</v>
      </c>
      <c r="K787" s="55" t="s">
        <v>1405</v>
      </c>
      <c r="L787" s="53" t="s">
        <v>2049</v>
      </c>
      <c r="M787" s="55" t="s">
        <v>75</v>
      </c>
      <c r="N787" s="52">
        <v>350000</v>
      </c>
      <c r="O787" s="52">
        <v>4223716000</v>
      </c>
      <c r="P787" s="52">
        <v>350000</v>
      </c>
      <c r="Q787" s="57">
        <v>45503</v>
      </c>
      <c r="R787" s="57">
        <v>46964</v>
      </c>
      <c r="S787" s="56">
        <v>14</v>
      </c>
      <c r="T787" s="54">
        <v>12</v>
      </c>
      <c r="U787" s="52">
        <v>3476743500</v>
      </c>
      <c r="V787" s="52">
        <v>3476743500</v>
      </c>
      <c r="W787" s="52">
        <v>0</v>
      </c>
      <c r="X787" s="57"/>
      <c r="Y787" s="52">
        <v>0</v>
      </c>
      <c r="Z787" s="52">
        <v>0</v>
      </c>
      <c r="AA787" s="52">
        <v>1</v>
      </c>
      <c r="AB787" s="52">
        <v>0</v>
      </c>
      <c r="AC787" s="52">
        <v>4000694.85</v>
      </c>
      <c r="AD787" s="52">
        <v>4000694.85</v>
      </c>
      <c r="AE787" s="52">
        <v>0</v>
      </c>
      <c r="AF787" s="52">
        <v>0</v>
      </c>
      <c r="AG787" s="52">
        <v>0</v>
      </c>
      <c r="AH787" s="52">
        <v>0</v>
      </c>
      <c r="AI787" s="52">
        <v>0</v>
      </c>
      <c r="AJ787" s="52">
        <v>2</v>
      </c>
      <c r="AK787" s="52"/>
      <c r="AL787" s="52">
        <v>0</v>
      </c>
      <c r="AM787" s="52">
        <v>0</v>
      </c>
      <c r="AN787" s="52">
        <v>10360000000</v>
      </c>
      <c r="AO787" s="52">
        <v>15595607047</v>
      </c>
      <c r="AP787" s="52">
        <v>15564057047</v>
      </c>
      <c r="AQ787" s="58">
        <v>0</v>
      </c>
      <c r="AR787" s="58">
        <v>0</v>
      </c>
      <c r="AS787" s="58">
        <v>0</v>
      </c>
      <c r="AT787" s="58">
        <v>0</v>
      </c>
      <c r="AU787" s="58">
        <v>1</v>
      </c>
      <c r="AV787" s="58">
        <v>12900</v>
      </c>
      <c r="AW787" s="58">
        <v>10</v>
      </c>
      <c r="AX787" s="58">
        <v>672500</v>
      </c>
    </row>
    <row r="788" spans="1:50" x14ac:dyDescent="0.25">
      <c r="A788" s="52">
        <f t="shared" si="41"/>
        <v>783</v>
      </c>
      <c r="B788" s="60" t="str">
        <f t="shared" si="40"/>
        <v>0008315763825</v>
      </c>
      <c r="C788" s="55" t="s">
        <v>35</v>
      </c>
      <c r="D788" s="53" t="s">
        <v>2139</v>
      </c>
      <c r="E788" s="55" t="s">
        <v>1251</v>
      </c>
      <c r="F788" s="53" t="s">
        <v>2142</v>
      </c>
      <c r="G788" s="55">
        <v>11445</v>
      </c>
      <c r="H788" s="53" t="s">
        <v>2592</v>
      </c>
      <c r="I788" s="55">
        <v>306375580</v>
      </c>
      <c r="J788" s="55" t="s">
        <v>1406</v>
      </c>
      <c r="K788" s="55" t="s">
        <v>1407</v>
      </c>
      <c r="L788" s="53" t="s">
        <v>2049</v>
      </c>
      <c r="M788" s="55" t="s">
        <v>49</v>
      </c>
      <c r="N788" s="52">
        <v>3041900000</v>
      </c>
      <c r="O788" s="52">
        <v>3041900000</v>
      </c>
      <c r="P788" s="52">
        <v>3041900000</v>
      </c>
      <c r="Q788" s="57">
        <v>45692</v>
      </c>
      <c r="R788" s="57">
        <v>46787</v>
      </c>
      <c r="S788" s="56">
        <v>26</v>
      </c>
      <c r="T788" s="54">
        <v>6</v>
      </c>
      <c r="U788" s="52">
        <v>2664018236.4699998</v>
      </c>
      <c r="V788" s="52">
        <v>2664018236.4699998</v>
      </c>
      <c r="W788" s="52">
        <v>0</v>
      </c>
      <c r="X788" s="57"/>
      <c r="Y788" s="52">
        <v>0</v>
      </c>
      <c r="Z788" s="52">
        <v>0</v>
      </c>
      <c r="AA788" s="52">
        <v>1</v>
      </c>
      <c r="AB788" s="52">
        <v>0</v>
      </c>
      <c r="AC788" s="52">
        <v>38006259.969999999</v>
      </c>
      <c r="AD788" s="52">
        <v>38006259.969999999</v>
      </c>
      <c r="AE788" s="52">
        <v>0</v>
      </c>
      <c r="AF788" s="52">
        <v>0</v>
      </c>
      <c r="AG788" s="52">
        <v>0</v>
      </c>
      <c r="AH788" s="52">
        <v>0</v>
      </c>
      <c r="AI788" s="52">
        <v>0</v>
      </c>
      <c r="AJ788" s="52">
        <v>2</v>
      </c>
      <c r="AK788" s="52"/>
      <c r="AL788" s="52">
        <v>0</v>
      </c>
      <c r="AM788" s="52">
        <v>0</v>
      </c>
      <c r="AN788" s="52">
        <v>4203000000</v>
      </c>
      <c r="AO788" s="52">
        <v>528115888559</v>
      </c>
      <c r="AP788" s="52">
        <v>437621120559</v>
      </c>
      <c r="AQ788" s="58">
        <v>0</v>
      </c>
      <c r="AR788" s="58">
        <v>0</v>
      </c>
      <c r="AS788" s="58">
        <v>0</v>
      </c>
      <c r="AT788" s="58">
        <v>0</v>
      </c>
      <c r="AU788" s="58">
        <v>0</v>
      </c>
      <c r="AV788" s="58">
        <v>0</v>
      </c>
      <c r="AW788" s="58">
        <v>0</v>
      </c>
      <c r="AX788" s="58">
        <v>0</v>
      </c>
    </row>
    <row r="789" spans="1:50" x14ac:dyDescent="0.25">
      <c r="A789" s="52">
        <f t="shared" si="41"/>
        <v>784</v>
      </c>
      <c r="B789" s="60" t="str">
        <f t="shared" si="40"/>
        <v>0008314673941</v>
      </c>
      <c r="C789" s="55" t="s">
        <v>35</v>
      </c>
      <c r="D789" s="53" t="s">
        <v>2139</v>
      </c>
      <c r="E789" s="55" t="s">
        <v>1251</v>
      </c>
      <c r="F789" s="53" t="s">
        <v>2142</v>
      </c>
      <c r="G789" s="55">
        <v>11445</v>
      </c>
      <c r="H789" s="53" t="s">
        <v>1394</v>
      </c>
      <c r="I789" s="55">
        <v>306324952</v>
      </c>
      <c r="J789" s="55" t="s">
        <v>1408</v>
      </c>
      <c r="K789" s="55" t="s">
        <v>1409</v>
      </c>
      <c r="L789" s="53" t="s">
        <v>2049</v>
      </c>
      <c r="M789" s="55" t="s">
        <v>75</v>
      </c>
      <c r="N789" s="52">
        <v>300000</v>
      </c>
      <c r="O789" s="52">
        <v>3620328000</v>
      </c>
      <c r="P789" s="52">
        <v>300000</v>
      </c>
      <c r="Q789" s="57">
        <v>45208</v>
      </c>
      <c r="R789" s="57">
        <v>47035</v>
      </c>
      <c r="S789" s="56">
        <v>13.27</v>
      </c>
      <c r="T789" s="54">
        <v>6</v>
      </c>
      <c r="U789" s="52">
        <v>2499429560.25</v>
      </c>
      <c r="V789" s="52">
        <v>2499429560.25</v>
      </c>
      <c r="W789" s="52">
        <v>0</v>
      </c>
      <c r="X789" s="57"/>
      <c r="Y789" s="52">
        <v>0</v>
      </c>
      <c r="Z789" s="52">
        <v>0</v>
      </c>
      <c r="AA789" s="52">
        <v>2</v>
      </c>
      <c r="AB789" s="52">
        <v>249942968.22</v>
      </c>
      <c r="AC789" s="52">
        <v>10491226</v>
      </c>
      <c r="AD789" s="52">
        <v>10491226</v>
      </c>
      <c r="AE789" s="52">
        <v>0</v>
      </c>
      <c r="AF789" s="52">
        <v>0</v>
      </c>
      <c r="AG789" s="52">
        <v>0</v>
      </c>
      <c r="AH789" s="52">
        <v>0</v>
      </c>
      <c r="AI789" s="52">
        <v>0</v>
      </c>
      <c r="AJ789" s="52">
        <v>2</v>
      </c>
      <c r="AK789" s="52"/>
      <c r="AL789" s="52">
        <v>0</v>
      </c>
      <c r="AM789" s="52">
        <v>0</v>
      </c>
      <c r="AN789" s="52">
        <v>5247000000</v>
      </c>
      <c r="AO789" s="52">
        <v>6313414548468</v>
      </c>
      <c r="AP789" s="52">
        <v>5955048953457</v>
      </c>
      <c r="AQ789" s="58">
        <v>0</v>
      </c>
      <c r="AR789" s="58">
        <v>0</v>
      </c>
      <c r="AS789" s="58">
        <v>6</v>
      </c>
      <c r="AT789" s="58">
        <v>24234.98</v>
      </c>
      <c r="AU789" s="58">
        <v>13</v>
      </c>
      <c r="AV789" s="58">
        <v>259735.83999999997</v>
      </c>
      <c r="AW789" s="58">
        <v>24</v>
      </c>
      <c r="AX789" s="58">
        <v>942126.78</v>
      </c>
    </row>
    <row r="790" spans="1:50" x14ac:dyDescent="0.25">
      <c r="A790" s="52">
        <f t="shared" si="41"/>
        <v>785</v>
      </c>
      <c r="B790" s="60" t="str">
        <f t="shared" si="40"/>
        <v>0008315492033</v>
      </c>
      <c r="C790" s="55" t="s">
        <v>35</v>
      </c>
      <c r="D790" s="53" t="s">
        <v>2139</v>
      </c>
      <c r="E790" s="55" t="s">
        <v>1251</v>
      </c>
      <c r="F790" s="53" t="s">
        <v>2142</v>
      </c>
      <c r="G790" s="55">
        <v>11445</v>
      </c>
      <c r="H790" s="53" t="s">
        <v>2589</v>
      </c>
      <c r="I790" s="55">
        <v>309830639</v>
      </c>
      <c r="J790" s="55" t="s">
        <v>1410</v>
      </c>
      <c r="K790" s="55" t="s">
        <v>1411</v>
      </c>
      <c r="L790" s="53" t="s">
        <v>2049</v>
      </c>
      <c r="M790" s="55" t="s">
        <v>71</v>
      </c>
      <c r="N790" s="52">
        <v>210000</v>
      </c>
      <c r="O790" s="52">
        <v>2969610000</v>
      </c>
      <c r="P790" s="52">
        <v>210000</v>
      </c>
      <c r="Q790" s="57">
        <v>45609</v>
      </c>
      <c r="R790" s="57">
        <v>46704</v>
      </c>
      <c r="S790" s="56">
        <v>12</v>
      </c>
      <c r="T790" s="54">
        <v>6</v>
      </c>
      <c r="U790" s="52">
        <v>2335118510.1599998</v>
      </c>
      <c r="V790" s="52">
        <v>2335118510.1599998</v>
      </c>
      <c r="W790" s="52">
        <v>0</v>
      </c>
      <c r="X790" s="57"/>
      <c r="Y790" s="52">
        <v>0</v>
      </c>
      <c r="Z790" s="52">
        <v>0</v>
      </c>
      <c r="AA790" s="52">
        <v>1</v>
      </c>
      <c r="AB790" s="52">
        <v>0</v>
      </c>
      <c r="AC790" s="52">
        <v>9212475.1400000006</v>
      </c>
      <c r="AD790" s="52">
        <v>9212475.1400000006</v>
      </c>
      <c r="AE790" s="52">
        <v>0</v>
      </c>
      <c r="AF790" s="52">
        <v>0</v>
      </c>
      <c r="AG790" s="52">
        <v>0</v>
      </c>
      <c r="AH790" s="52">
        <v>0</v>
      </c>
      <c r="AI790" s="52">
        <v>0</v>
      </c>
      <c r="AJ790" s="52">
        <v>2</v>
      </c>
      <c r="AK790" s="52"/>
      <c r="AL790" s="52">
        <v>0</v>
      </c>
      <c r="AM790" s="52">
        <v>0</v>
      </c>
      <c r="AN790" s="52">
        <v>3823000000</v>
      </c>
      <c r="AO790" s="52">
        <v>717228787386</v>
      </c>
      <c r="AP790" s="52">
        <v>6632000000</v>
      </c>
      <c r="AQ790" s="58">
        <v>0</v>
      </c>
      <c r="AR790" s="58">
        <v>0</v>
      </c>
      <c r="AS790" s="58">
        <v>0</v>
      </c>
      <c r="AT790" s="58">
        <v>0</v>
      </c>
      <c r="AU790" s="58">
        <v>2</v>
      </c>
      <c r="AV790" s="58">
        <v>89513.57</v>
      </c>
      <c r="AW790" s="58">
        <v>3</v>
      </c>
      <c r="AX790" s="58">
        <v>400000</v>
      </c>
    </row>
    <row r="791" spans="1:50" x14ac:dyDescent="0.25">
      <c r="A791" s="52">
        <f t="shared" si="41"/>
        <v>786</v>
      </c>
      <c r="B791" s="60" t="str">
        <f t="shared" si="40"/>
        <v>0008315906899</v>
      </c>
      <c r="C791" s="55" t="s">
        <v>35</v>
      </c>
      <c r="D791" s="53" t="s">
        <v>2139</v>
      </c>
      <c r="E791" s="55" t="s">
        <v>1251</v>
      </c>
      <c r="F791" s="53" t="s">
        <v>2142</v>
      </c>
      <c r="G791" s="55">
        <v>11445</v>
      </c>
      <c r="H791" s="53" t="s">
        <v>2593</v>
      </c>
      <c r="I791" s="55">
        <v>302220871</v>
      </c>
      <c r="J791" s="55" t="s">
        <v>1412</v>
      </c>
      <c r="K791" s="55" t="s">
        <v>1413</v>
      </c>
      <c r="L791" s="53" t="s">
        <v>2049</v>
      </c>
      <c r="M791" s="55" t="s">
        <v>75</v>
      </c>
      <c r="N791" s="52">
        <v>200000</v>
      </c>
      <c r="O791" s="52">
        <v>2413552000</v>
      </c>
      <c r="P791" s="52">
        <v>200000</v>
      </c>
      <c r="Q791" s="57">
        <v>45868</v>
      </c>
      <c r="R791" s="57">
        <v>46964</v>
      </c>
      <c r="S791" s="56">
        <v>11.27</v>
      </c>
      <c r="T791" s="54">
        <v>0</v>
      </c>
      <c r="U791" s="52">
        <v>2085872750.79</v>
      </c>
      <c r="V791" s="52">
        <v>2085872750.79</v>
      </c>
      <c r="W791" s="52">
        <v>0</v>
      </c>
      <c r="X791" s="57"/>
      <c r="Y791" s="52">
        <v>0</v>
      </c>
      <c r="Z791" s="52">
        <v>0</v>
      </c>
      <c r="AA791" s="52">
        <v>1</v>
      </c>
      <c r="AB791" s="52">
        <v>0</v>
      </c>
      <c r="AC791" s="52">
        <v>3702670.83</v>
      </c>
      <c r="AD791" s="52">
        <v>3702670.83</v>
      </c>
      <c r="AE791" s="52">
        <v>0</v>
      </c>
      <c r="AF791" s="52">
        <v>0</v>
      </c>
      <c r="AG791" s="52">
        <v>0</v>
      </c>
      <c r="AH791" s="52">
        <v>0</v>
      </c>
      <c r="AI791" s="52">
        <v>0</v>
      </c>
      <c r="AJ791" s="52">
        <v>2</v>
      </c>
      <c r="AK791" s="52"/>
      <c r="AL791" s="52">
        <v>0</v>
      </c>
      <c r="AM791" s="52">
        <v>0</v>
      </c>
      <c r="AN791" s="52">
        <v>6656000000</v>
      </c>
      <c r="AO791" s="52">
        <v>216580000</v>
      </c>
      <c r="AP791" s="52">
        <v>216580000</v>
      </c>
      <c r="AQ791" s="58">
        <v>0</v>
      </c>
      <c r="AR791" s="58">
        <v>0</v>
      </c>
      <c r="AS791" s="58">
        <v>0</v>
      </c>
      <c r="AT791" s="58">
        <v>0</v>
      </c>
      <c r="AU791" s="58">
        <v>0</v>
      </c>
      <c r="AV791" s="58">
        <v>0</v>
      </c>
      <c r="AW791" s="58">
        <v>1</v>
      </c>
      <c r="AX791" s="58">
        <v>10000</v>
      </c>
    </row>
    <row r="792" spans="1:50" x14ac:dyDescent="0.25">
      <c r="A792" s="52">
        <f t="shared" si="41"/>
        <v>787</v>
      </c>
      <c r="B792" s="60" t="str">
        <f t="shared" si="40"/>
        <v>0008315902786</v>
      </c>
      <c r="C792" s="55" t="s">
        <v>35</v>
      </c>
      <c r="D792" s="53" t="s">
        <v>2139</v>
      </c>
      <c r="E792" s="55" t="s">
        <v>1251</v>
      </c>
      <c r="F792" s="53" t="s">
        <v>2142</v>
      </c>
      <c r="G792" s="55">
        <v>11445</v>
      </c>
      <c r="H792" s="53" t="s">
        <v>2594</v>
      </c>
      <c r="I792" s="55">
        <v>311082161</v>
      </c>
      <c r="J792" s="55" t="s">
        <v>1414</v>
      </c>
      <c r="K792" s="55" t="s">
        <v>1415</v>
      </c>
      <c r="L792" s="53" t="s">
        <v>2049</v>
      </c>
      <c r="M792" s="55" t="s">
        <v>49</v>
      </c>
      <c r="N792" s="52">
        <v>2600000000</v>
      </c>
      <c r="O792" s="52">
        <v>2600000000</v>
      </c>
      <c r="P792" s="52">
        <v>2600000000</v>
      </c>
      <c r="Q792" s="57">
        <v>45861</v>
      </c>
      <c r="R792" s="57">
        <v>46226</v>
      </c>
      <c r="S792" s="56">
        <v>26</v>
      </c>
      <c r="T792" s="54">
        <v>0</v>
      </c>
      <c r="U792" s="52">
        <v>2065408756.8900001</v>
      </c>
      <c r="V792" s="52">
        <v>1789937425.29</v>
      </c>
      <c r="W792" s="52">
        <v>275471331.60000002</v>
      </c>
      <c r="X792" s="57">
        <v>46048</v>
      </c>
      <c r="Y792" s="52">
        <v>0</v>
      </c>
      <c r="Z792" s="52">
        <v>0</v>
      </c>
      <c r="AA792" s="52">
        <v>2</v>
      </c>
      <c r="AB792" s="52">
        <v>206540875.69</v>
      </c>
      <c r="AC792" s="52">
        <v>59463321.379999995</v>
      </c>
      <c r="AD792" s="52">
        <v>13829928.77</v>
      </c>
      <c r="AE792" s="52">
        <v>0</v>
      </c>
      <c r="AF792" s="52">
        <v>0</v>
      </c>
      <c r="AG792" s="52">
        <v>45633392.609999999</v>
      </c>
      <c r="AH792" s="52">
        <v>0</v>
      </c>
      <c r="AI792" s="52">
        <v>0</v>
      </c>
      <c r="AJ792" s="52">
        <v>2</v>
      </c>
      <c r="AK792" s="52"/>
      <c r="AL792" s="52">
        <v>0</v>
      </c>
      <c r="AM792" s="52">
        <v>0</v>
      </c>
      <c r="AN792" s="52">
        <v>3250000000</v>
      </c>
      <c r="AO792" s="52">
        <v>2120377000</v>
      </c>
      <c r="AP792" s="52">
        <v>828910000</v>
      </c>
      <c r="AQ792" s="58">
        <v>0</v>
      </c>
      <c r="AR792" s="58">
        <v>0</v>
      </c>
      <c r="AS792" s="58">
        <v>0</v>
      </c>
      <c r="AT792" s="58">
        <v>0</v>
      </c>
      <c r="AU792" s="58">
        <v>23</v>
      </c>
      <c r="AV792" s="58">
        <v>21482185</v>
      </c>
      <c r="AW792" s="58">
        <v>3</v>
      </c>
      <c r="AX792" s="58">
        <v>6197032</v>
      </c>
    </row>
    <row r="793" spans="1:50" x14ac:dyDescent="0.25">
      <c r="A793" s="52">
        <f t="shared" si="41"/>
        <v>788</v>
      </c>
      <c r="B793" s="60" t="str">
        <f t="shared" si="40"/>
        <v>0008315369581</v>
      </c>
      <c r="C793" s="55" t="s">
        <v>35</v>
      </c>
      <c r="D793" s="53" t="s">
        <v>2139</v>
      </c>
      <c r="E793" s="55" t="s">
        <v>1251</v>
      </c>
      <c r="F793" s="53" t="s">
        <v>2142</v>
      </c>
      <c r="G793" s="55">
        <v>11445</v>
      </c>
      <c r="H793" s="53" t="s">
        <v>2589</v>
      </c>
      <c r="I793" s="55">
        <v>309830639</v>
      </c>
      <c r="J793" s="55" t="s">
        <v>1416</v>
      </c>
      <c r="K793" s="55" t="s">
        <v>1417</v>
      </c>
      <c r="L793" s="53" t="s">
        <v>2049</v>
      </c>
      <c r="M793" s="55" t="s">
        <v>71</v>
      </c>
      <c r="N793" s="52">
        <v>190000</v>
      </c>
      <c r="O793" s="52">
        <v>2686790000</v>
      </c>
      <c r="P793" s="52">
        <v>190000</v>
      </c>
      <c r="Q793" s="57">
        <v>45440</v>
      </c>
      <c r="R793" s="57">
        <v>46901</v>
      </c>
      <c r="S793" s="56">
        <v>14</v>
      </c>
      <c r="T793" s="54">
        <v>6</v>
      </c>
      <c r="U793" s="52">
        <v>1993592280.54</v>
      </c>
      <c r="V793" s="52">
        <v>1993592280.54</v>
      </c>
      <c r="W793" s="52">
        <v>0</v>
      </c>
      <c r="X793" s="57"/>
      <c r="Y793" s="52">
        <v>0</v>
      </c>
      <c r="Z793" s="52">
        <v>0</v>
      </c>
      <c r="AA793" s="52">
        <v>1</v>
      </c>
      <c r="AB793" s="52">
        <v>0</v>
      </c>
      <c r="AC793" s="52">
        <v>4587933.09</v>
      </c>
      <c r="AD793" s="52">
        <v>4587933.09</v>
      </c>
      <c r="AE793" s="52">
        <v>0</v>
      </c>
      <c r="AF793" s="52">
        <v>0</v>
      </c>
      <c r="AG793" s="52">
        <v>0</v>
      </c>
      <c r="AH793" s="52">
        <v>0</v>
      </c>
      <c r="AI793" s="52">
        <v>0</v>
      </c>
      <c r="AJ793" s="52">
        <v>2</v>
      </c>
      <c r="AK793" s="52"/>
      <c r="AL793" s="52">
        <v>0</v>
      </c>
      <c r="AM793" s="52">
        <v>0</v>
      </c>
      <c r="AN793" s="52">
        <v>3431000000</v>
      </c>
      <c r="AO793" s="52">
        <v>4290723987386</v>
      </c>
      <c r="AP793" s="52">
        <v>42394052000</v>
      </c>
      <c r="AQ793" s="58">
        <v>0</v>
      </c>
      <c r="AR793" s="58">
        <v>0</v>
      </c>
      <c r="AS793" s="58">
        <v>0</v>
      </c>
      <c r="AT793" s="58">
        <v>0</v>
      </c>
      <c r="AU793" s="58">
        <v>2</v>
      </c>
      <c r="AV793" s="58">
        <v>89513.57</v>
      </c>
      <c r="AW793" s="58">
        <v>3</v>
      </c>
      <c r="AX793" s="58">
        <v>400000</v>
      </c>
    </row>
    <row r="794" spans="1:50" x14ac:dyDescent="0.25">
      <c r="A794" s="52">
        <f t="shared" si="41"/>
        <v>789</v>
      </c>
      <c r="B794" s="60" t="str">
        <f t="shared" si="40"/>
        <v>0008315928148</v>
      </c>
      <c r="C794" s="55" t="s">
        <v>35</v>
      </c>
      <c r="D794" s="53" t="s">
        <v>2139</v>
      </c>
      <c r="E794" s="55" t="s">
        <v>1251</v>
      </c>
      <c r="F794" s="53" t="s">
        <v>2142</v>
      </c>
      <c r="G794" s="55">
        <v>11445</v>
      </c>
      <c r="H794" s="53" t="s">
        <v>2591</v>
      </c>
      <c r="I794" s="55">
        <v>301113894</v>
      </c>
      <c r="J794" s="55" t="s">
        <v>1418</v>
      </c>
      <c r="K794" s="55" t="s">
        <v>1419</v>
      </c>
      <c r="L794" s="53" t="s">
        <v>2049</v>
      </c>
      <c r="M794" s="55" t="s">
        <v>75</v>
      </c>
      <c r="N794" s="52">
        <v>131000</v>
      </c>
      <c r="O794" s="52">
        <v>1580876560</v>
      </c>
      <c r="P794" s="52">
        <v>131000</v>
      </c>
      <c r="Q794" s="57">
        <v>45896</v>
      </c>
      <c r="R794" s="57">
        <v>47357</v>
      </c>
      <c r="S794" s="56">
        <v>10.75</v>
      </c>
      <c r="T794" s="54">
        <v>12</v>
      </c>
      <c r="U794" s="52">
        <v>1598082100</v>
      </c>
      <c r="V794" s="52">
        <v>1598082100</v>
      </c>
      <c r="W794" s="52">
        <v>0</v>
      </c>
      <c r="X794" s="57"/>
      <c r="Y794" s="52">
        <v>0</v>
      </c>
      <c r="Z794" s="52">
        <v>0</v>
      </c>
      <c r="AA794" s="52">
        <v>1</v>
      </c>
      <c r="AB794" s="52">
        <v>0</v>
      </c>
      <c r="AC794" s="52">
        <v>9413069.5399999991</v>
      </c>
      <c r="AD794" s="52">
        <v>9413069.5399999991</v>
      </c>
      <c r="AE794" s="52">
        <v>0</v>
      </c>
      <c r="AF794" s="52">
        <v>0</v>
      </c>
      <c r="AG794" s="52">
        <v>0</v>
      </c>
      <c r="AH794" s="52">
        <v>0</v>
      </c>
      <c r="AI794" s="52">
        <v>0</v>
      </c>
      <c r="AJ794" s="52">
        <v>2</v>
      </c>
      <c r="AK794" s="52"/>
      <c r="AL794" s="52">
        <v>0</v>
      </c>
      <c r="AM794" s="52">
        <v>0</v>
      </c>
      <c r="AN794" s="52">
        <v>3883000000</v>
      </c>
      <c r="AO794" s="52">
        <v>939000000</v>
      </c>
      <c r="AP794" s="52">
        <v>939000000</v>
      </c>
      <c r="AQ794" s="58">
        <v>0</v>
      </c>
      <c r="AR794" s="58">
        <v>0</v>
      </c>
      <c r="AS794" s="58">
        <v>0</v>
      </c>
      <c r="AT794" s="58">
        <v>0</v>
      </c>
      <c r="AU794" s="58">
        <v>1</v>
      </c>
      <c r="AV794" s="58">
        <v>12900</v>
      </c>
      <c r="AW794" s="58">
        <v>10</v>
      </c>
      <c r="AX794" s="58">
        <v>672500</v>
      </c>
    </row>
    <row r="795" spans="1:50" x14ac:dyDescent="0.25">
      <c r="A795" s="52">
        <f t="shared" si="41"/>
        <v>790</v>
      </c>
      <c r="B795" s="60" t="str">
        <f t="shared" si="40"/>
        <v>0008315494936</v>
      </c>
      <c r="C795" s="55" t="s">
        <v>35</v>
      </c>
      <c r="D795" s="53" t="s">
        <v>2139</v>
      </c>
      <c r="E795" s="55" t="s">
        <v>1251</v>
      </c>
      <c r="F795" s="53" t="s">
        <v>2142</v>
      </c>
      <c r="G795" s="55">
        <v>11445</v>
      </c>
      <c r="H795" s="53" t="s">
        <v>2595</v>
      </c>
      <c r="I795" s="55">
        <v>307022085</v>
      </c>
      <c r="J795" s="55" t="s">
        <v>1420</v>
      </c>
      <c r="K795" s="55" t="s">
        <v>1421</v>
      </c>
      <c r="L795" s="53" t="s">
        <v>2049</v>
      </c>
      <c r="M795" s="55" t="s">
        <v>49</v>
      </c>
      <c r="N795" s="52">
        <v>2200000000</v>
      </c>
      <c r="O795" s="52">
        <v>2200000000</v>
      </c>
      <c r="P795" s="52">
        <v>2200000000</v>
      </c>
      <c r="Q795" s="57">
        <v>45615</v>
      </c>
      <c r="R795" s="57">
        <v>46710</v>
      </c>
      <c r="S795" s="56">
        <v>24</v>
      </c>
      <c r="T795" s="54">
        <v>0</v>
      </c>
      <c r="U795" s="52">
        <v>1525995647.22</v>
      </c>
      <c r="V795" s="52">
        <v>1525995647.22</v>
      </c>
      <c r="W795" s="52">
        <v>0</v>
      </c>
      <c r="X795" s="57"/>
      <c r="Y795" s="52">
        <v>0</v>
      </c>
      <c r="Z795" s="52">
        <v>0</v>
      </c>
      <c r="AA795" s="52">
        <v>1</v>
      </c>
      <c r="AB795" s="52">
        <v>0</v>
      </c>
      <c r="AC795" s="52">
        <v>12040732.779999999</v>
      </c>
      <c r="AD795" s="52">
        <v>12040732.779999999</v>
      </c>
      <c r="AE795" s="52">
        <v>0</v>
      </c>
      <c r="AF795" s="52">
        <v>0</v>
      </c>
      <c r="AG795" s="52">
        <v>0</v>
      </c>
      <c r="AH795" s="52">
        <v>0</v>
      </c>
      <c r="AI795" s="52">
        <v>0</v>
      </c>
      <c r="AJ795" s="52">
        <v>2</v>
      </c>
      <c r="AK795" s="52"/>
      <c r="AL795" s="52">
        <v>0</v>
      </c>
      <c r="AM795" s="52">
        <v>0</v>
      </c>
      <c r="AN795" s="52">
        <v>4950000000</v>
      </c>
      <c r="AO795" s="52">
        <v>3844616401522</v>
      </c>
      <c r="AP795" s="52">
        <v>3502778078309</v>
      </c>
      <c r="AQ795" s="58">
        <v>0</v>
      </c>
      <c r="AR795" s="58">
        <v>0</v>
      </c>
      <c r="AS795" s="58">
        <v>0</v>
      </c>
      <c r="AT795" s="58">
        <v>0</v>
      </c>
      <c r="AU795" s="58">
        <v>0</v>
      </c>
      <c r="AV795" s="58">
        <v>0</v>
      </c>
      <c r="AW795" s="58">
        <v>0</v>
      </c>
      <c r="AX795" s="58">
        <v>0</v>
      </c>
    </row>
    <row r="796" spans="1:50" x14ac:dyDescent="0.25">
      <c r="A796" s="52">
        <f t="shared" si="41"/>
        <v>791</v>
      </c>
      <c r="B796" s="60" t="str">
        <f t="shared" si="40"/>
        <v>0008315949875</v>
      </c>
      <c r="C796" s="55" t="s">
        <v>35</v>
      </c>
      <c r="D796" s="53" t="s">
        <v>2139</v>
      </c>
      <c r="E796" s="55" t="s">
        <v>1251</v>
      </c>
      <c r="F796" s="53" t="s">
        <v>2142</v>
      </c>
      <c r="G796" s="55">
        <v>11445</v>
      </c>
      <c r="H796" s="53" t="s">
        <v>1422</v>
      </c>
      <c r="I796" s="55">
        <v>300046377</v>
      </c>
      <c r="J796" s="55" t="s">
        <v>1423</v>
      </c>
      <c r="K796" s="55" t="s">
        <v>1424</v>
      </c>
      <c r="L796" s="53" t="s">
        <v>2049</v>
      </c>
      <c r="M796" s="55" t="s">
        <v>75</v>
      </c>
      <c r="N796" s="52">
        <v>150000</v>
      </c>
      <c r="O796" s="52">
        <v>1810164000</v>
      </c>
      <c r="P796" s="52">
        <v>150000</v>
      </c>
      <c r="Q796" s="57">
        <v>45926</v>
      </c>
      <c r="R796" s="57">
        <v>47022</v>
      </c>
      <c r="S796" s="56">
        <v>12.27</v>
      </c>
      <c r="T796" s="54">
        <v>3</v>
      </c>
      <c r="U796" s="52">
        <v>1252063045.8800001</v>
      </c>
      <c r="V796" s="52">
        <v>1252063045.8800001</v>
      </c>
      <c r="W796" s="52">
        <v>0</v>
      </c>
      <c r="X796" s="57"/>
      <c r="Y796" s="52">
        <v>0</v>
      </c>
      <c r="Z796" s="52">
        <v>0</v>
      </c>
      <c r="AA796" s="52">
        <v>1</v>
      </c>
      <c r="AB796" s="52">
        <v>0</v>
      </c>
      <c r="AC796" s="52">
        <v>7030585.3099999996</v>
      </c>
      <c r="AD796" s="52">
        <v>7030585.3099999996</v>
      </c>
      <c r="AE796" s="52">
        <v>0</v>
      </c>
      <c r="AF796" s="52">
        <v>0</v>
      </c>
      <c r="AG796" s="52">
        <v>0</v>
      </c>
      <c r="AH796" s="52">
        <v>0</v>
      </c>
      <c r="AI796" s="52">
        <v>0</v>
      </c>
      <c r="AJ796" s="52">
        <v>2</v>
      </c>
      <c r="AK796" s="52"/>
      <c r="AL796" s="52">
        <v>0</v>
      </c>
      <c r="AM796" s="52">
        <v>0</v>
      </c>
      <c r="AN796" s="52">
        <v>2450000000</v>
      </c>
      <c r="AO796" s="52">
        <v>90880000</v>
      </c>
      <c r="AP796" s="52">
        <v>90880000</v>
      </c>
      <c r="AQ796" s="58">
        <v>0</v>
      </c>
      <c r="AR796" s="58">
        <v>0</v>
      </c>
      <c r="AS796" s="58">
        <v>0</v>
      </c>
      <c r="AT796" s="58">
        <v>0</v>
      </c>
      <c r="AU796" s="58">
        <v>0</v>
      </c>
      <c r="AV796" s="58">
        <v>0</v>
      </c>
      <c r="AW796" s="58">
        <v>0</v>
      </c>
      <c r="AX796" s="58">
        <v>0</v>
      </c>
    </row>
    <row r="797" spans="1:50" x14ac:dyDescent="0.25">
      <c r="A797" s="52">
        <f t="shared" si="41"/>
        <v>792</v>
      </c>
      <c r="B797" s="60" t="str">
        <f t="shared" si="40"/>
        <v>0008315902172</v>
      </c>
      <c r="C797" s="55" t="s">
        <v>35</v>
      </c>
      <c r="D797" s="53" t="s">
        <v>2139</v>
      </c>
      <c r="E797" s="55" t="s">
        <v>1251</v>
      </c>
      <c r="F797" s="53" t="s">
        <v>2142</v>
      </c>
      <c r="G797" s="55">
        <v>11445</v>
      </c>
      <c r="H797" s="53" t="s">
        <v>1425</v>
      </c>
      <c r="I797" s="55">
        <v>301431776</v>
      </c>
      <c r="J797" s="55" t="s">
        <v>1426</v>
      </c>
      <c r="K797" s="55" t="s">
        <v>1427</v>
      </c>
      <c r="L797" s="53" t="s">
        <v>2049</v>
      </c>
      <c r="M797" s="55" t="s">
        <v>75</v>
      </c>
      <c r="N797" s="52">
        <v>100000</v>
      </c>
      <c r="O797" s="52">
        <v>1206776000</v>
      </c>
      <c r="P797" s="52">
        <v>100000</v>
      </c>
      <c r="Q797" s="57">
        <v>45860</v>
      </c>
      <c r="R797" s="57">
        <v>46956</v>
      </c>
      <c r="S797" s="56">
        <v>11.27</v>
      </c>
      <c r="T797" s="54">
        <v>0</v>
      </c>
      <c r="U797" s="52">
        <v>1043813795.66</v>
      </c>
      <c r="V797" s="52">
        <v>1043813795.66</v>
      </c>
      <c r="W797" s="52">
        <v>0</v>
      </c>
      <c r="X797" s="57"/>
      <c r="Y797" s="52">
        <v>0</v>
      </c>
      <c r="Z797" s="52">
        <v>0</v>
      </c>
      <c r="AA797" s="52">
        <v>1</v>
      </c>
      <c r="AB797" s="52">
        <v>0</v>
      </c>
      <c r="AC797" s="52">
        <v>3689007.84</v>
      </c>
      <c r="AD797" s="52">
        <v>3689007.84</v>
      </c>
      <c r="AE797" s="52">
        <v>0</v>
      </c>
      <c r="AF797" s="52">
        <v>0</v>
      </c>
      <c r="AG797" s="52">
        <v>0</v>
      </c>
      <c r="AH797" s="52">
        <v>0</v>
      </c>
      <c r="AI797" s="52">
        <v>0</v>
      </c>
      <c r="AJ797" s="52">
        <v>2</v>
      </c>
      <c r="AK797" s="52"/>
      <c r="AL797" s="52">
        <v>0</v>
      </c>
      <c r="AM797" s="52">
        <v>0</v>
      </c>
      <c r="AN797" s="52">
        <v>1651000000</v>
      </c>
      <c r="AO797" s="52">
        <v>572000000</v>
      </c>
      <c r="AP797" s="52">
        <v>572000000</v>
      </c>
      <c r="AQ797" s="58">
        <v>1</v>
      </c>
      <c r="AR797" s="58">
        <v>307</v>
      </c>
      <c r="AS797" s="58">
        <v>0</v>
      </c>
      <c r="AT797" s="58">
        <v>0</v>
      </c>
      <c r="AU797" s="58">
        <v>2</v>
      </c>
      <c r="AV797" s="58">
        <v>87500</v>
      </c>
      <c r="AW797" s="58">
        <v>0</v>
      </c>
      <c r="AX797" s="58">
        <v>0</v>
      </c>
    </row>
    <row r="798" spans="1:50" x14ac:dyDescent="0.25">
      <c r="A798" s="52">
        <f t="shared" si="41"/>
        <v>793</v>
      </c>
      <c r="B798" s="60" t="str">
        <f t="shared" si="40"/>
        <v>000838513066</v>
      </c>
      <c r="C798" s="55" t="s">
        <v>35</v>
      </c>
      <c r="D798" s="53" t="s">
        <v>2139</v>
      </c>
      <c r="E798" s="55" t="s">
        <v>1251</v>
      </c>
      <c r="F798" s="53" t="s">
        <v>2142</v>
      </c>
      <c r="G798" s="55">
        <v>11445</v>
      </c>
      <c r="H798" s="53" t="s">
        <v>2596</v>
      </c>
      <c r="I798" s="55">
        <v>301113894</v>
      </c>
      <c r="J798" s="55" t="s">
        <v>1428</v>
      </c>
      <c r="K798" s="55" t="s">
        <v>1429</v>
      </c>
      <c r="L798" s="53" t="s">
        <v>2049</v>
      </c>
      <c r="M798" s="55" t="s">
        <v>49</v>
      </c>
      <c r="N798" s="52">
        <v>9044463257.8899994</v>
      </c>
      <c r="O798" s="52">
        <v>9044463257.8899994</v>
      </c>
      <c r="P798" s="52">
        <v>2288000000</v>
      </c>
      <c r="Q798" s="57">
        <v>45098</v>
      </c>
      <c r="R798" s="57">
        <v>46559</v>
      </c>
      <c r="S798" s="56">
        <v>27</v>
      </c>
      <c r="T798" s="54">
        <v>6</v>
      </c>
      <c r="U798" s="52">
        <v>1040000000</v>
      </c>
      <c r="V798" s="52">
        <v>1040000000</v>
      </c>
      <c r="W798" s="52">
        <v>0</v>
      </c>
      <c r="X798" s="57"/>
      <c r="Y798" s="52">
        <v>0</v>
      </c>
      <c r="Z798" s="52">
        <v>0</v>
      </c>
      <c r="AA798" s="52">
        <v>1</v>
      </c>
      <c r="AB798" s="52">
        <v>0</v>
      </c>
      <c r="AC798" s="52">
        <v>20194520.539999999</v>
      </c>
      <c r="AD798" s="52">
        <v>20194520.539999999</v>
      </c>
      <c r="AE798" s="52">
        <v>0</v>
      </c>
      <c r="AF798" s="52">
        <v>0</v>
      </c>
      <c r="AG798" s="52">
        <v>0</v>
      </c>
      <c r="AH798" s="52">
        <v>0</v>
      </c>
      <c r="AI798" s="52">
        <v>0</v>
      </c>
      <c r="AJ798" s="52">
        <v>2</v>
      </c>
      <c r="AK798" s="52"/>
      <c r="AL798" s="52">
        <v>0</v>
      </c>
      <c r="AM798" s="52">
        <v>0</v>
      </c>
      <c r="AN798" s="52">
        <v>3807100000</v>
      </c>
      <c r="AO798" s="52">
        <v>1418874900177</v>
      </c>
      <c r="AP798" s="52">
        <v>904446325789</v>
      </c>
      <c r="AQ798" s="58">
        <v>0</v>
      </c>
      <c r="AR798" s="58">
        <v>0</v>
      </c>
      <c r="AS798" s="58">
        <v>0</v>
      </c>
      <c r="AT798" s="58">
        <v>0</v>
      </c>
      <c r="AU798" s="58">
        <v>1</v>
      </c>
      <c r="AV798" s="58">
        <v>12900</v>
      </c>
      <c r="AW798" s="58">
        <v>10</v>
      </c>
      <c r="AX798" s="58">
        <v>672500</v>
      </c>
    </row>
    <row r="799" spans="1:50" x14ac:dyDescent="0.25">
      <c r="A799" s="52">
        <f t="shared" si="41"/>
        <v>794</v>
      </c>
      <c r="B799" s="60" t="str">
        <f t="shared" si="40"/>
        <v>0008315919096</v>
      </c>
      <c r="C799" s="55" t="s">
        <v>35</v>
      </c>
      <c r="D799" s="53" t="s">
        <v>2139</v>
      </c>
      <c r="E799" s="55" t="s">
        <v>1251</v>
      </c>
      <c r="F799" s="53" t="s">
        <v>2142</v>
      </c>
      <c r="G799" s="55">
        <v>11445</v>
      </c>
      <c r="H799" s="53" t="s">
        <v>1430</v>
      </c>
      <c r="I799" s="55">
        <v>310967888</v>
      </c>
      <c r="J799" s="55" t="s">
        <v>1431</v>
      </c>
      <c r="K799" s="55" t="s">
        <v>1432</v>
      </c>
      <c r="L799" s="53" t="s">
        <v>2049</v>
      </c>
      <c r="M799" s="55" t="s">
        <v>49</v>
      </c>
      <c r="N799" s="52">
        <v>990000000</v>
      </c>
      <c r="O799" s="52">
        <v>990000000</v>
      </c>
      <c r="P799" s="52">
        <v>990000000</v>
      </c>
      <c r="Q799" s="57">
        <v>45884</v>
      </c>
      <c r="R799" s="57">
        <v>46980</v>
      </c>
      <c r="S799" s="56">
        <v>26</v>
      </c>
      <c r="T799" s="54">
        <v>0</v>
      </c>
      <c r="U799" s="52">
        <v>893669200.61000001</v>
      </c>
      <c r="V799" s="52">
        <v>893669200.61000001</v>
      </c>
      <c r="W799" s="52">
        <v>0</v>
      </c>
      <c r="X799" s="57"/>
      <c r="Y799" s="52">
        <v>0</v>
      </c>
      <c r="Z799" s="52">
        <v>0</v>
      </c>
      <c r="AA799" s="52">
        <v>1</v>
      </c>
      <c r="AB799" s="52">
        <v>0</v>
      </c>
      <c r="AC799" s="52">
        <v>11460529.43</v>
      </c>
      <c r="AD799" s="52">
        <v>11460529.43</v>
      </c>
      <c r="AE799" s="52">
        <v>0</v>
      </c>
      <c r="AF799" s="52">
        <v>0</v>
      </c>
      <c r="AG799" s="52">
        <v>0</v>
      </c>
      <c r="AH799" s="52">
        <v>0</v>
      </c>
      <c r="AI799" s="52">
        <v>0</v>
      </c>
      <c r="AJ799" s="52">
        <v>2</v>
      </c>
      <c r="AK799" s="52"/>
      <c r="AL799" s="52">
        <v>0</v>
      </c>
      <c r="AM799" s="52">
        <v>0</v>
      </c>
      <c r="AN799" s="52">
        <v>1237500000</v>
      </c>
      <c r="AO799" s="52">
        <v>18648048642</v>
      </c>
      <c r="AP799" s="52">
        <v>18648048642</v>
      </c>
      <c r="AQ799" s="58">
        <v>0</v>
      </c>
      <c r="AR799" s="58">
        <v>0</v>
      </c>
      <c r="AS799" s="58">
        <v>0</v>
      </c>
      <c r="AT799" s="58">
        <v>0</v>
      </c>
      <c r="AU799" s="58">
        <v>0</v>
      </c>
      <c r="AV799" s="58">
        <v>0</v>
      </c>
      <c r="AW799" s="58">
        <v>0</v>
      </c>
      <c r="AX799" s="58">
        <v>0</v>
      </c>
    </row>
    <row r="800" spans="1:50" x14ac:dyDescent="0.25">
      <c r="A800" s="52">
        <f t="shared" si="41"/>
        <v>795</v>
      </c>
      <c r="B800" s="60" t="str">
        <f t="shared" si="40"/>
        <v>0008314673942</v>
      </c>
      <c r="C800" s="55" t="s">
        <v>35</v>
      </c>
      <c r="D800" s="53" t="s">
        <v>2139</v>
      </c>
      <c r="E800" s="55" t="s">
        <v>1251</v>
      </c>
      <c r="F800" s="53" t="s">
        <v>2142</v>
      </c>
      <c r="G800" s="55">
        <v>11445</v>
      </c>
      <c r="H800" s="53" t="s">
        <v>1394</v>
      </c>
      <c r="I800" s="55">
        <v>306324952</v>
      </c>
      <c r="J800" s="55" t="s">
        <v>1433</v>
      </c>
      <c r="K800" s="55" t="s">
        <v>1434</v>
      </c>
      <c r="L800" s="53" t="s">
        <v>2049</v>
      </c>
      <c r="M800" s="55" t="s">
        <v>75</v>
      </c>
      <c r="N800" s="52">
        <v>200000</v>
      </c>
      <c r="O800" s="52">
        <v>2413552000</v>
      </c>
      <c r="P800" s="52">
        <v>200000</v>
      </c>
      <c r="Q800" s="57">
        <v>45208</v>
      </c>
      <c r="R800" s="57">
        <v>46304</v>
      </c>
      <c r="S800" s="56">
        <v>12.75</v>
      </c>
      <c r="T800" s="54">
        <v>3</v>
      </c>
      <c r="U800" s="52">
        <v>758978473.64999998</v>
      </c>
      <c r="V800" s="52">
        <v>758978473.64999998</v>
      </c>
      <c r="W800" s="52">
        <v>0</v>
      </c>
      <c r="X800" s="57"/>
      <c r="Y800" s="52">
        <v>0</v>
      </c>
      <c r="Z800" s="52">
        <v>0</v>
      </c>
      <c r="AA800" s="52">
        <v>2</v>
      </c>
      <c r="AB800" s="52">
        <v>75897798.569999993</v>
      </c>
      <c r="AC800" s="52">
        <v>3209461.22</v>
      </c>
      <c r="AD800" s="52">
        <v>3209461.22</v>
      </c>
      <c r="AE800" s="52">
        <v>0</v>
      </c>
      <c r="AF800" s="52">
        <v>0</v>
      </c>
      <c r="AG800" s="52">
        <v>0</v>
      </c>
      <c r="AH800" s="52">
        <v>0</v>
      </c>
      <c r="AI800" s="52">
        <v>0</v>
      </c>
      <c r="AJ800" s="52">
        <v>2</v>
      </c>
      <c r="AK800" s="52"/>
      <c r="AL800" s="52">
        <v>0</v>
      </c>
      <c r="AM800" s="52">
        <v>0</v>
      </c>
      <c r="AN800" s="52">
        <v>3375000000</v>
      </c>
      <c r="AO800" s="52">
        <v>6313414548468</v>
      </c>
      <c r="AP800" s="52">
        <v>5955048953457</v>
      </c>
      <c r="AQ800" s="58">
        <v>0</v>
      </c>
      <c r="AR800" s="58">
        <v>0</v>
      </c>
      <c r="AS800" s="58">
        <v>6</v>
      </c>
      <c r="AT800" s="58">
        <v>24234.98</v>
      </c>
      <c r="AU800" s="58">
        <v>13</v>
      </c>
      <c r="AV800" s="58">
        <v>259735.83999999997</v>
      </c>
      <c r="AW800" s="58">
        <v>24</v>
      </c>
      <c r="AX800" s="58">
        <v>942126.78</v>
      </c>
    </row>
    <row r="801" spans="1:50" x14ac:dyDescent="0.25">
      <c r="A801" s="52">
        <f t="shared" si="41"/>
        <v>796</v>
      </c>
      <c r="B801" s="60" t="str">
        <f t="shared" si="40"/>
        <v>0008315892178</v>
      </c>
      <c r="C801" s="55" t="s">
        <v>35</v>
      </c>
      <c r="D801" s="53" t="s">
        <v>2139</v>
      </c>
      <c r="E801" s="55" t="s">
        <v>1251</v>
      </c>
      <c r="F801" s="53" t="s">
        <v>2142</v>
      </c>
      <c r="G801" s="55">
        <v>11445</v>
      </c>
      <c r="H801" s="53" t="s">
        <v>1435</v>
      </c>
      <c r="I801" s="55">
        <v>309922364</v>
      </c>
      <c r="J801" s="55" t="s">
        <v>1436</v>
      </c>
      <c r="K801" s="55" t="s">
        <v>1437</v>
      </c>
      <c r="L801" s="53" t="s">
        <v>2049</v>
      </c>
      <c r="M801" s="55" t="s">
        <v>49</v>
      </c>
      <c r="N801" s="52">
        <v>580000000</v>
      </c>
      <c r="O801" s="52">
        <v>580000000</v>
      </c>
      <c r="P801" s="52">
        <v>580000000</v>
      </c>
      <c r="Q801" s="57">
        <v>45845</v>
      </c>
      <c r="R801" s="57">
        <v>46941</v>
      </c>
      <c r="S801" s="56">
        <v>26</v>
      </c>
      <c r="T801" s="54">
        <v>0</v>
      </c>
      <c r="U801" s="52">
        <v>515930553.22000003</v>
      </c>
      <c r="V801" s="52">
        <v>515930553.22000003</v>
      </c>
      <c r="W801" s="52">
        <v>0</v>
      </c>
      <c r="X801" s="57"/>
      <c r="Y801" s="52">
        <v>0</v>
      </c>
      <c r="Z801" s="52">
        <v>0</v>
      </c>
      <c r="AA801" s="52">
        <v>1</v>
      </c>
      <c r="AB801" s="52">
        <v>0</v>
      </c>
      <c r="AC801" s="52">
        <v>6256053.29</v>
      </c>
      <c r="AD801" s="52">
        <v>6256053.29</v>
      </c>
      <c r="AE801" s="52">
        <v>0</v>
      </c>
      <c r="AF801" s="52">
        <v>0</v>
      </c>
      <c r="AG801" s="52">
        <v>0</v>
      </c>
      <c r="AH801" s="52">
        <v>0</v>
      </c>
      <c r="AI801" s="52">
        <v>0</v>
      </c>
      <c r="AJ801" s="52">
        <v>2</v>
      </c>
      <c r="AK801" s="52"/>
      <c r="AL801" s="52">
        <v>0</v>
      </c>
      <c r="AM801" s="52">
        <v>0</v>
      </c>
      <c r="AN801" s="52">
        <v>725000000</v>
      </c>
      <c r="AO801" s="52">
        <v>5285322306</v>
      </c>
      <c r="AP801" s="52">
        <v>5285322306</v>
      </c>
      <c r="AQ801" s="58">
        <v>0</v>
      </c>
      <c r="AR801" s="58">
        <v>0</v>
      </c>
      <c r="AS801" s="58">
        <v>0</v>
      </c>
      <c r="AT801" s="58">
        <v>0</v>
      </c>
      <c r="AU801" s="58">
        <v>0</v>
      </c>
      <c r="AV801" s="58">
        <v>0</v>
      </c>
      <c r="AW801" s="58">
        <v>0</v>
      </c>
      <c r="AX801" s="58">
        <v>0</v>
      </c>
    </row>
    <row r="802" spans="1:50" x14ac:dyDescent="0.25">
      <c r="A802" s="52">
        <f t="shared" si="41"/>
        <v>797</v>
      </c>
      <c r="B802" s="60" t="str">
        <f t="shared" si="40"/>
        <v>0008315533563</v>
      </c>
      <c r="C802" s="55" t="s">
        <v>35</v>
      </c>
      <c r="D802" s="53" t="s">
        <v>2139</v>
      </c>
      <c r="E802" s="55" t="s">
        <v>1251</v>
      </c>
      <c r="F802" s="53" t="s">
        <v>2142</v>
      </c>
      <c r="G802" s="55">
        <v>11445</v>
      </c>
      <c r="H802" s="53" t="s">
        <v>1438</v>
      </c>
      <c r="I802" s="55">
        <v>308764095</v>
      </c>
      <c r="J802" s="55" t="s">
        <v>1439</v>
      </c>
      <c r="K802" s="55" t="s">
        <v>1440</v>
      </c>
      <c r="L802" s="53" t="s">
        <v>2049</v>
      </c>
      <c r="M802" s="55" t="s">
        <v>49</v>
      </c>
      <c r="N802" s="52">
        <v>670000000</v>
      </c>
      <c r="O802" s="52">
        <v>670000000</v>
      </c>
      <c r="P802" s="52">
        <v>670000000</v>
      </c>
      <c r="Q802" s="57">
        <v>45643</v>
      </c>
      <c r="R802" s="57">
        <v>46738</v>
      </c>
      <c r="S802" s="56">
        <v>26</v>
      </c>
      <c r="T802" s="54">
        <v>0</v>
      </c>
      <c r="U802" s="52">
        <v>484047345.49000001</v>
      </c>
      <c r="V802" s="52">
        <v>484047345.49000001</v>
      </c>
      <c r="W802" s="52">
        <v>0</v>
      </c>
      <c r="X802" s="57"/>
      <c r="Y802" s="52">
        <v>0</v>
      </c>
      <c r="Z802" s="52">
        <v>0</v>
      </c>
      <c r="AA802" s="52">
        <v>2</v>
      </c>
      <c r="AB802" s="52">
        <v>48404734.549999997</v>
      </c>
      <c r="AC802" s="52">
        <v>5861614.4299999997</v>
      </c>
      <c r="AD802" s="52">
        <v>5861614.4299999997</v>
      </c>
      <c r="AE802" s="52">
        <v>0</v>
      </c>
      <c r="AF802" s="52">
        <v>0</v>
      </c>
      <c r="AG802" s="52">
        <v>0</v>
      </c>
      <c r="AH802" s="52">
        <v>0</v>
      </c>
      <c r="AI802" s="52">
        <v>0</v>
      </c>
      <c r="AJ802" s="52">
        <v>2</v>
      </c>
      <c r="AK802" s="52"/>
      <c r="AL802" s="52">
        <v>0</v>
      </c>
      <c r="AM802" s="52">
        <v>0</v>
      </c>
      <c r="AN802" s="52">
        <v>837500000</v>
      </c>
      <c r="AO802" s="52">
        <v>391249471713</v>
      </c>
      <c r="AP802" s="52">
        <v>391249471713</v>
      </c>
      <c r="AQ802" s="58">
        <v>0</v>
      </c>
      <c r="AR802" s="58">
        <v>0</v>
      </c>
      <c r="AS802" s="58">
        <v>0</v>
      </c>
      <c r="AT802" s="58">
        <v>0</v>
      </c>
      <c r="AU802" s="58">
        <v>2</v>
      </c>
      <c r="AV802" s="58">
        <v>21572</v>
      </c>
      <c r="AW802" s="58">
        <v>4</v>
      </c>
      <c r="AX802" s="58">
        <v>67436</v>
      </c>
    </row>
    <row r="803" spans="1:50" x14ac:dyDescent="0.25">
      <c r="A803" s="52">
        <f t="shared" si="41"/>
        <v>798</v>
      </c>
      <c r="B803" s="60" t="str">
        <f t="shared" si="40"/>
        <v>0008311773063</v>
      </c>
      <c r="C803" s="55" t="s">
        <v>35</v>
      </c>
      <c r="D803" s="53" t="s">
        <v>2139</v>
      </c>
      <c r="E803" s="55" t="s">
        <v>1251</v>
      </c>
      <c r="F803" s="53" t="s">
        <v>2142</v>
      </c>
      <c r="G803" s="55">
        <v>11445</v>
      </c>
      <c r="H803" s="53" t="s">
        <v>1438</v>
      </c>
      <c r="I803" s="55">
        <v>308764095</v>
      </c>
      <c r="J803" s="55" t="s">
        <v>1441</v>
      </c>
      <c r="K803" s="55" t="s">
        <v>1442</v>
      </c>
      <c r="L803" s="53" t="s">
        <v>2049</v>
      </c>
      <c r="M803" s="55" t="s">
        <v>75</v>
      </c>
      <c r="N803" s="52">
        <v>170000</v>
      </c>
      <c r="O803" s="52">
        <v>2051519200</v>
      </c>
      <c r="P803" s="52">
        <v>170000</v>
      </c>
      <c r="Q803" s="57">
        <v>45154</v>
      </c>
      <c r="R803" s="57">
        <v>46250</v>
      </c>
      <c r="S803" s="56">
        <v>10.75</v>
      </c>
      <c r="T803" s="54">
        <v>0</v>
      </c>
      <c r="U803" s="52">
        <v>468512657.04000002</v>
      </c>
      <c r="V803" s="52">
        <v>468512657.04000002</v>
      </c>
      <c r="W803" s="52">
        <v>0</v>
      </c>
      <c r="X803" s="57"/>
      <c r="Y803" s="52">
        <v>0</v>
      </c>
      <c r="Z803" s="52">
        <v>0</v>
      </c>
      <c r="AA803" s="52">
        <v>2</v>
      </c>
      <c r="AB803" s="52">
        <v>46851253.509999998</v>
      </c>
      <c r="AC803" s="52">
        <v>1669812.81</v>
      </c>
      <c r="AD803" s="52">
        <v>1669812.81</v>
      </c>
      <c r="AE803" s="52">
        <v>0</v>
      </c>
      <c r="AF803" s="52">
        <v>0</v>
      </c>
      <c r="AG803" s="52">
        <v>0</v>
      </c>
      <c r="AH803" s="52">
        <v>0</v>
      </c>
      <c r="AI803" s="52">
        <v>0</v>
      </c>
      <c r="AJ803" s="52">
        <v>2</v>
      </c>
      <c r="AK803" s="52"/>
      <c r="AL803" s="52">
        <v>0</v>
      </c>
      <c r="AM803" s="52">
        <v>0</v>
      </c>
      <c r="AN803" s="52">
        <v>2762500000</v>
      </c>
      <c r="AO803" s="52">
        <v>1343018589554</v>
      </c>
      <c r="AP803" s="52">
        <v>1343018589554</v>
      </c>
      <c r="AQ803" s="58">
        <v>0</v>
      </c>
      <c r="AR803" s="58">
        <v>0</v>
      </c>
      <c r="AS803" s="58">
        <v>0</v>
      </c>
      <c r="AT803" s="58">
        <v>0</v>
      </c>
      <c r="AU803" s="58">
        <v>2</v>
      </c>
      <c r="AV803" s="58">
        <v>21572</v>
      </c>
      <c r="AW803" s="58">
        <v>4</v>
      </c>
      <c r="AX803" s="58">
        <v>67436</v>
      </c>
    </row>
    <row r="804" spans="1:50" x14ac:dyDescent="0.25">
      <c r="A804" s="52">
        <f t="shared" si="41"/>
        <v>799</v>
      </c>
      <c r="B804" s="60" t="str">
        <f t="shared" si="40"/>
        <v>0008315454533</v>
      </c>
      <c r="C804" s="55" t="s">
        <v>35</v>
      </c>
      <c r="D804" s="53" t="s">
        <v>2139</v>
      </c>
      <c r="E804" s="55" t="s">
        <v>1251</v>
      </c>
      <c r="F804" s="53" t="s">
        <v>2142</v>
      </c>
      <c r="G804" s="55">
        <v>11445</v>
      </c>
      <c r="H804" s="53" t="s">
        <v>1435</v>
      </c>
      <c r="I804" s="55">
        <v>309922364</v>
      </c>
      <c r="J804" s="55" t="s">
        <v>1443</v>
      </c>
      <c r="K804" s="55" t="s">
        <v>1444</v>
      </c>
      <c r="L804" s="53" t="s">
        <v>2049</v>
      </c>
      <c r="M804" s="55" t="s">
        <v>49</v>
      </c>
      <c r="N804" s="52">
        <v>574500000</v>
      </c>
      <c r="O804" s="52">
        <v>574500000</v>
      </c>
      <c r="P804" s="52">
        <v>574500000</v>
      </c>
      <c r="Q804" s="57">
        <v>45565</v>
      </c>
      <c r="R804" s="57">
        <v>47026</v>
      </c>
      <c r="S804" s="56">
        <v>28</v>
      </c>
      <c r="T804" s="54">
        <v>0</v>
      </c>
      <c r="U804" s="52">
        <v>441808517.94999999</v>
      </c>
      <c r="V804" s="52">
        <v>441808517.94999999</v>
      </c>
      <c r="W804" s="52">
        <v>0</v>
      </c>
      <c r="X804" s="57"/>
      <c r="Y804" s="52">
        <v>0</v>
      </c>
      <c r="Z804" s="52">
        <v>0</v>
      </c>
      <c r="AA804" s="52">
        <v>1</v>
      </c>
      <c r="AB804" s="52">
        <v>0</v>
      </c>
      <c r="AC804" s="52">
        <v>4074708.98</v>
      </c>
      <c r="AD804" s="52">
        <v>4074708.98</v>
      </c>
      <c r="AE804" s="52">
        <v>0</v>
      </c>
      <c r="AF804" s="52">
        <v>0</v>
      </c>
      <c r="AG804" s="52">
        <v>0</v>
      </c>
      <c r="AH804" s="52">
        <v>0</v>
      </c>
      <c r="AI804" s="52">
        <v>0</v>
      </c>
      <c r="AJ804" s="52">
        <v>2</v>
      </c>
      <c r="AK804" s="52"/>
      <c r="AL804" s="52">
        <v>0</v>
      </c>
      <c r="AM804" s="52">
        <v>0</v>
      </c>
      <c r="AN804" s="52">
        <v>718125000</v>
      </c>
      <c r="AO804" s="52">
        <v>151217384384</v>
      </c>
      <c r="AP804" s="52">
        <v>151217384384</v>
      </c>
      <c r="AQ804" s="58">
        <v>0</v>
      </c>
      <c r="AR804" s="58">
        <v>0</v>
      </c>
      <c r="AS804" s="58">
        <v>0</v>
      </c>
      <c r="AT804" s="58">
        <v>0</v>
      </c>
      <c r="AU804" s="58">
        <v>0</v>
      </c>
      <c r="AV804" s="58">
        <v>0</v>
      </c>
      <c r="AW804" s="58">
        <v>0</v>
      </c>
      <c r="AX804" s="58">
        <v>0</v>
      </c>
    </row>
    <row r="805" spans="1:50" x14ac:dyDescent="0.25">
      <c r="A805" s="52">
        <f t="shared" si="41"/>
        <v>800</v>
      </c>
      <c r="B805" s="60" t="str">
        <f t="shared" si="40"/>
        <v>0008311773190</v>
      </c>
      <c r="C805" s="55" t="s">
        <v>35</v>
      </c>
      <c r="D805" s="53" t="s">
        <v>2139</v>
      </c>
      <c r="E805" s="55" t="s">
        <v>1251</v>
      </c>
      <c r="F805" s="53" t="s">
        <v>2142</v>
      </c>
      <c r="G805" s="55">
        <v>11445</v>
      </c>
      <c r="H805" s="53" t="s">
        <v>1438</v>
      </c>
      <c r="I805" s="55">
        <v>308764095</v>
      </c>
      <c r="J805" s="55" t="s">
        <v>1445</v>
      </c>
      <c r="K805" s="55" t="s">
        <v>1446</v>
      </c>
      <c r="L805" s="53" t="s">
        <v>2049</v>
      </c>
      <c r="M805" s="55" t="s">
        <v>75</v>
      </c>
      <c r="N805" s="52">
        <v>95000</v>
      </c>
      <c r="O805" s="52">
        <v>1146437200</v>
      </c>
      <c r="P805" s="52">
        <v>95000</v>
      </c>
      <c r="Q805" s="57">
        <v>45154</v>
      </c>
      <c r="R805" s="57">
        <v>46250</v>
      </c>
      <c r="S805" s="56">
        <v>10.75</v>
      </c>
      <c r="T805" s="54">
        <v>0</v>
      </c>
      <c r="U805" s="52">
        <v>261731690.5</v>
      </c>
      <c r="V805" s="52">
        <v>261731690.5</v>
      </c>
      <c r="W805" s="52">
        <v>0</v>
      </c>
      <c r="X805" s="57"/>
      <c r="Y805" s="52">
        <v>0</v>
      </c>
      <c r="Z805" s="52">
        <v>0</v>
      </c>
      <c r="AA805" s="52">
        <v>2</v>
      </c>
      <c r="AB805" s="52">
        <v>26173169.050000001</v>
      </c>
      <c r="AC805" s="52">
        <v>925057.75</v>
      </c>
      <c r="AD805" s="52">
        <v>925057.75</v>
      </c>
      <c r="AE805" s="52">
        <v>0</v>
      </c>
      <c r="AF805" s="52">
        <v>0</v>
      </c>
      <c r="AG805" s="52">
        <v>0</v>
      </c>
      <c r="AH805" s="52">
        <v>0</v>
      </c>
      <c r="AI805" s="52">
        <v>0</v>
      </c>
      <c r="AJ805" s="52">
        <v>2</v>
      </c>
      <c r="AK805" s="52"/>
      <c r="AL805" s="52">
        <v>0</v>
      </c>
      <c r="AM805" s="52">
        <v>0</v>
      </c>
      <c r="AN805" s="52">
        <v>1543750000</v>
      </c>
      <c r="AO805" s="52">
        <v>1343018589554</v>
      </c>
      <c r="AP805" s="52">
        <v>1343018589554</v>
      </c>
      <c r="AQ805" s="58">
        <v>0</v>
      </c>
      <c r="AR805" s="58">
        <v>0</v>
      </c>
      <c r="AS805" s="58">
        <v>0</v>
      </c>
      <c r="AT805" s="58">
        <v>0</v>
      </c>
      <c r="AU805" s="58">
        <v>2</v>
      </c>
      <c r="AV805" s="58">
        <v>21572</v>
      </c>
      <c r="AW805" s="58">
        <v>4</v>
      </c>
      <c r="AX805" s="58">
        <v>67436</v>
      </c>
    </row>
    <row r="806" spans="1:50" x14ac:dyDescent="0.25">
      <c r="A806" s="52">
        <f t="shared" si="41"/>
        <v>801</v>
      </c>
      <c r="B806" s="60" t="str">
        <f t="shared" si="40"/>
        <v>0008315533565</v>
      </c>
      <c r="C806" s="55" t="s">
        <v>35</v>
      </c>
      <c r="D806" s="53" t="s">
        <v>2139</v>
      </c>
      <c r="E806" s="55" t="s">
        <v>1251</v>
      </c>
      <c r="F806" s="53" t="s">
        <v>2142</v>
      </c>
      <c r="G806" s="55">
        <v>11445</v>
      </c>
      <c r="H806" s="53" t="s">
        <v>1438</v>
      </c>
      <c r="I806" s="55">
        <v>308764095</v>
      </c>
      <c r="J806" s="55" t="s">
        <v>1447</v>
      </c>
      <c r="K806" s="55" t="s">
        <v>1448</v>
      </c>
      <c r="L806" s="53" t="s">
        <v>2049</v>
      </c>
      <c r="M806" s="55" t="s">
        <v>75</v>
      </c>
      <c r="N806" s="52">
        <v>29705.200000000001</v>
      </c>
      <c r="O806" s="52">
        <v>358475224.35000002</v>
      </c>
      <c r="P806" s="52">
        <v>29705.200000000001</v>
      </c>
      <c r="Q806" s="57">
        <v>45643</v>
      </c>
      <c r="R806" s="57">
        <v>46738</v>
      </c>
      <c r="S806" s="56">
        <v>11.75</v>
      </c>
      <c r="T806" s="54">
        <v>0</v>
      </c>
      <c r="U806" s="52">
        <v>246536247.56</v>
      </c>
      <c r="V806" s="52">
        <v>246536247.56</v>
      </c>
      <c r="W806" s="52">
        <v>0</v>
      </c>
      <c r="X806" s="57"/>
      <c r="Y806" s="52">
        <v>0</v>
      </c>
      <c r="Z806" s="52">
        <v>0</v>
      </c>
      <c r="AA806" s="52">
        <v>2</v>
      </c>
      <c r="AB806" s="52">
        <v>24653649.149999999</v>
      </c>
      <c r="AC806" s="52">
        <v>1352148.24</v>
      </c>
      <c r="AD806" s="52">
        <v>1352148.24</v>
      </c>
      <c r="AE806" s="52">
        <v>0</v>
      </c>
      <c r="AF806" s="52">
        <v>0</v>
      </c>
      <c r="AG806" s="52">
        <v>0</v>
      </c>
      <c r="AH806" s="52">
        <v>0</v>
      </c>
      <c r="AI806" s="52">
        <v>0</v>
      </c>
      <c r="AJ806" s="52">
        <v>2</v>
      </c>
      <c r="AK806" s="52"/>
      <c r="AL806" s="52">
        <v>0</v>
      </c>
      <c r="AM806" s="52">
        <v>0</v>
      </c>
      <c r="AN806" s="52">
        <v>507500000</v>
      </c>
      <c r="AO806" s="52">
        <v>391249471713</v>
      </c>
      <c r="AP806" s="52">
        <v>391249471713</v>
      </c>
      <c r="AQ806" s="58">
        <v>0</v>
      </c>
      <c r="AR806" s="58">
        <v>0</v>
      </c>
      <c r="AS806" s="58">
        <v>0</v>
      </c>
      <c r="AT806" s="58">
        <v>0</v>
      </c>
      <c r="AU806" s="58">
        <v>2</v>
      </c>
      <c r="AV806" s="58">
        <v>21572</v>
      </c>
      <c r="AW806" s="58">
        <v>4</v>
      </c>
      <c r="AX806" s="58">
        <v>67436</v>
      </c>
    </row>
    <row r="807" spans="1:50" x14ac:dyDescent="0.25">
      <c r="A807" s="52">
        <f t="shared" si="41"/>
        <v>802</v>
      </c>
      <c r="B807" s="60" t="str">
        <f t="shared" si="40"/>
        <v>0008314698485</v>
      </c>
      <c r="C807" s="55" t="s">
        <v>35</v>
      </c>
      <c r="D807" s="53" t="s">
        <v>2139</v>
      </c>
      <c r="E807" s="55" t="s">
        <v>1251</v>
      </c>
      <c r="F807" s="53" t="s">
        <v>2142</v>
      </c>
      <c r="G807" s="55">
        <v>11445</v>
      </c>
      <c r="H807" s="53" t="s">
        <v>1435</v>
      </c>
      <c r="I807" s="55">
        <v>309922364</v>
      </c>
      <c r="J807" s="55" t="s">
        <v>1449</v>
      </c>
      <c r="K807" s="55" t="s">
        <v>1450</v>
      </c>
      <c r="L807" s="53" t="s">
        <v>2049</v>
      </c>
      <c r="M807" s="55" t="s">
        <v>49</v>
      </c>
      <c r="N807" s="52">
        <v>299000000</v>
      </c>
      <c r="O807" s="52">
        <v>299000000</v>
      </c>
      <c r="P807" s="52">
        <v>299000000</v>
      </c>
      <c r="Q807" s="57">
        <v>45209</v>
      </c>
      <c r="R807" s="57">
        <v>46670</v>
      </c>
      <c r="S807" s="56">
        <v>28</v>
      </c>
      <c r="T807" s="54">
        <v>0</v>
      </c>
      <c r="U807" s="52">
        <v>176099640.13999999</v>
      </c>
      <c r="V807" s="52">
        <v>176099640.13999999</v>
      </c>
      <c r="W807" s="52">
        <v>0</v>
      </c>
      <c r="X807" s="57"/>
      <c r="Y807" s="52">
        <v>0</v>
      </c>
      <c r="Z807" s="52">
        <v>0</v>
      </c>
      <c r="AA807" s="52">
        <v>1</v>
      </c>
      <c r="AB807" s="52">
        <v>0</v>
      </c>
      <c r="AC807" s="52">
        <v>1625961.79</v>
      </c>
      <c r="AD807" s="52">
        <v>1625961.79</v>
      </c>
      <c r="AE807" s="52">
        <v>0</v>
      </c>
      <c r="AF807" s="52">
        <v>0</v>
      </c>
      <c r="AG807" s="52">
        <v>0</v>
      </c>
      <c r="AH807" s="52">
        <v>0</v>
      </c>
      <c r="AI807" s="52">
        <v>0</v>
      </c>
      <c r="AJ807" s="52">
        <v>2</v>
      </c>
      <c r="AK807" s="52"/>
      <c r="AL807" s="52">
        <v>0</v>
      </c>
      <c r="AM807" s="52">
        <v>0</v>
      </c>
      <c r="AN807" s="52">
        <v>373750000</v>
      </c>
      <c r="AO807" s="52">
        <v>255681425485</v>
      </c>
      <c r="AP807" s="52">
        <v>255681425485</v>
      </c>
      <c r="AQ807" s="58">
        <v>0</v>
      </c>
      <c r="AR807" s="58">
        <v>0</v>
      </c>
      <c r="AS807" s="58">
        <v>0</v>
      </c>
      <c r="AT807" s="58">
        <v>0</v>
      </c>
      <c r="AU807" s="58">
        <v>0</v>
      </c>
      <c r="AV807" s="58">
        <v>0</v>
      </c>
      <c r="AW807" s="58">
        <v>0</v>
      </c>
      <c r="AX807" s="58">
        <v>0</v>
      </c>
    </row>
    <row r="808" spans="1:50" x14ac:dyDescent="0.25">
      <c r="A808" s="52">
        <f t="shared" si="41"/>
        <v>803</v>
      </c>
      <c r="B808" s="60" t="str">
        <f t="shared" si="40"/>
        <v>000836345304</v>
      </c>
      <c r="C808" s="55" t="s">
        <v>35</v>
      </c>
      <c r="D808" s="53" t="s">
        <v>2139</v>
      </c>
      <c r="E808" s="55" t="s">
        <v>1251</v>
      </c>
      <c r="F808" s="53" t="s">
        <v>2142</v>
      </c>
      <c r="G808" s="55">
        <v>11445</v>
      </c>
      <c r="H808" s="53" t="s">
        <v>1394</v>
      </c>
      <c r="I808" s="55">
        <v>306324952</v>
      </c>
      <c r="J808" s="55" t="s">
        <v>1451</v>
      </c>
      <c r="K808" s="55" t="s">
        <v>1452</v>
      </c>
      <c r="L808" s="53" t="s">
        <v>2049</v>
      </c>
      <c r="M808" s="55" t="s">
        <v>75</v>
      </c>
      <c r="N808" s="52">
        <v>150000</v>
      </c>
      <c r="O808" s="52">
        <v>1810164000</v>
      </c>
      <c r="P808" s="52">
        <v>150000</v>
      </c>
      <c r="Q808" s="57">
        <v>45001</v>
      </c>
      <c r="R808" s="57">
        <v>46097</v>
      </c>
      <c r="S808" s="56">
        <v>11.27</v>
      </c>
      <c r="T808" s="54">
        <v>6</v>
      </c>
      <c r="U808" s="52">
        <v>139703239.25999999</v>
      </c>
      <c r="V808" s="52">
        <v>139703239.25999999</v>
      </c>
      <c r="W808" s="52">
        <v>0</v>
      </c>
      <c r="X808" s="57"/>
      <c r="Y808" s="52">
        <v>0</v>
      </c>
      <c r="Z808" s="52">
        <v>0</v>
      </c>
      <c r="AA808" s="52">
        <v>2</v>
      </c>
      <c r="AB808" s="52">
        <v>13970287.33</v>
      </c>
      <c r="AC808" s="52">
        <v>513948.08</v>
      </c>
      <c r="AD808" s="52">
        <v>513948.08</v>
      </c>
      <c r="AE808" s="52">
        <v>0</v>
      </c>
      <c r="AF808" s="52">
        <v>0</v>
      </c>
      <c r="AG808" s="52">
        <v>0</v>
      </c>
      <c r="AH808" s="52">
        <v>0</v>
      </c>
      <c r="AI808" s="52">
        <v>0</v>
      </c>
      <c r="AJ808" s="52">
        <v>2</v>
      </c>
      <c r="AK808" s="52"/>
      <c r="AL808" s="52">
        <v>0</v>
      </c>
      <c r="AM808" s="52">
        <v>0</v>
      </c>
      <c r="AN808" s="52">
        <v>2269000000</v>
      </c>
      <c r="AO808" s="52">
        <v>8327565486589</v>
      </c>
      <c r="AP808" s="52">
        <v>8250632932403</v>
      </c>
      <c r="AQ808" s="58">
        <v>0</v>
      </c>
      <c r="AR808" s="58">
        <v>0</v>
      </c>
      <c r="AS808" s="58">
        <v>6</v>
      </c>
      <c r="AT808" s="58">
        <v>24234.98</v>
      </c>
      <c r="AU808" s="58">
        <v>13</v>
      </c>
      <c r="AV808" s="58">
        <v>259735.83999999997</v>
      </c>
      <c r="AW808" s="58">
        <v>24</v>
      </c>
      <c r="AX808" s="58">
        <v>942126.78</v>
      </c>
    </row>
    <row r="809" spans="1:50" x14ac:dyDescent="0.25">
      <c r="A809" s="52">
        <f t="shared" si="41"/>
        <v>804</v>
      </c>
      <c r="B809" s="60" t="str">
        <f t="shared" si="40"/>
        <v>000836345305</v>
      </c>
      <c r="C809" s="55" t="s">
        <v>35</v>
      </c>
      <c r="D809" s="53" t="s">
        <v>2139</v>
      </c>
      <c r="E809" s="55" t="s">
        <v>1251</v>
      </c>
      <c r="F809" s="53" t="s">
        <v>2142</v>
      </c>
      <c r="G809" s="55">
        <v>11445</v>
      </c>
      <c r="H809" s="53" t="s">
        <v>1394</v>
      </c>
      <c r="I809" s="55">
        <v>306324952</v>
      </c>
      <c r="J809" s="55" t="s">
        <v>1453</v>
      </c>
      <c r="K809" s="55" t="s">
        <v>1454</v>
      </c>
      <c r="L809" s="53" t="s">
        <v>2049</v>
      </c>
      <c r="M809" s="55" t="s">
        <v>75</v>
      </c>
      <c r="N809" s="52">
        <v>150000</v>
      </c>
      <c r="O809" s="52">
        <v>1810164000</v>
      </c>
      <c r="P809" s="52">
        <v>150000</v>
      </c>
      <c r="Q809" s="57">
        <v>45001</v>
      </c>
      <c r="R809" s="57">
        <v>46097</v>
      </c>
      <c r="S809" s="56">
        <v>10.75</v>
      </c>
      <c r="T809" s="54">
        <v>3</v>
      </c>
      <c r="U809" s="52">
        <v>129306312.31</v>
      </c>
      <c r="V809" s="52">
        <v>129306312.31</v>
      </c>
      <c r="W809" s="52">
        <v>0</v>
      </c>
      <c r="X809" s="57"/>
      <c r="Y809" s="52">
        <v>0</v>
      </c>
      <c r="Z809" s="52">
        <v>0</v>
      </c>
      <c r="AA809" s="52">
        <v>2</v>
      </c>
      <c r="AB809" s="52">
        <v>12930680.029999999</v>
      </c>
      <c r="AC809" s="52">
        <v>475642.91</v>
      </c>
      <c r="AD809" s="52">
        <v>475642.91</v>
      </c>
      <c r="AE809" s="52">
        <v>0</v>
      </c>
      <c r="AF809" s="52">
        <v>0</v>
      </c>
      <c r="AG809" s="52">
        <v>0</v>
      </c>
      <c r="AH809" s="52">
        <v>0</v>
      </c>
      <c r="AI809" s="52">
        <v>0</v>
      </c>
      <c r="AJ809" s="52">
        <v>2</v>
      </c>
      <c r="AK809" s="52"/>
      <c r="AL809" s="52">
        <v>0</v>
      </c>
      <c r="AM809" s="52">
        <v>0</v>
      </c>
      <c r="AN809" s="52">
        <v>2216000000</v>
      </c>
      <c r="AO809" s="52">
        <v>8327565486589</v>
      </c>
      <c r="AP809" s="52">
        <v>8250632932403</v>
      </c>
      <c r="AQ809" s="58">
        <v>0</v>
      </c>
      <c r="AR809" s="58">
        <v>0</v>
      </c>
      <c r="AS809" s="58">
        <v>6</v>
      </c>
      <c r="AT809" s="58">
        <v>24234.98</v>
      </c>
      <c r="AU809" s="58">
        <v>13</v>
      </c>
      <c r="AV809" s="58">
        <v>259735.83999999997</v>
      </c>
      <c r="AW809" s="58">
        <v>24</v>
      </c>
      <c r="AX809" s="58">
        <v>942126.78</v>
      </c>
    </row>
    <row r="810" spans="1:50" x14ac:dyDescent="0.25">
      <c r="A810" s="52">
        <f t="shared" si="41"/>
        <v>805</v>
      </c>
      <c r="B810" s="60" t="str">
        <f t="shared" si="40"/>
        <v>0008315944919</v>
      </c>
      <c r="C810" s="55" t="s">
        <v>35</v>
      </c>
      <c r="D810" s="53" t="s">
        <v>2139</v>
      </c>
      <c r="E810" s="55" t="s">
        <v>1251</v>
      </c>
      <c r="F810" s="53" t="s">
        <v>2143</v>
      </c>
      <c r="G810" s="55">
        <v>11446</v>
      </c>
      <c r="H810" s="53" t="s">
        <v>1455</v>
      </c>
      <c r="I810" s="55">
        <v>304829499</v>
      </c>
      <c r="J810" s="55" t="s">
        <v>1456</v>
      </c>
      <c r="K810" s="55" t="s">
        <v>1457</v>
      </c>
      <c r="L810" s="53" t="s">
        <v>2037</v>
      </c>
      <c r="M810" s="55" t="s">
        <v>49</v>
      </c>
      <c r="N810" s="52">
        <v>9426830000</v>
      </c>
      <c r="O810" s="52">
        <v>9426830000</v>
      </c>
      <c r="P810" s="52">
        <v>9426830000</v>
      </c>
      <c r="Q810" s="57">
        <v>45919</v>
      </c>
      <c r="R810" s="57">
        <v>47745</v>
      </c>
      <c r="S810" s="56">
        <v>25.99</v>
      </c>
      <c r="T810" s="54">
        <v>8</v>
      </c>
      <c r="U810" s="52">
        <v>9212017877.5599995</v>
      </c>
      <c r="V810" s="52">
        <v>9212017877.5599995</v>
      </c>
      <c r="W810" s="52">
        <v>0</v>
      </c>
      <c r="X810" s="57"/>
      <c r="Y810" s="52">
        <v>0</v>
      </c>
      <c r="Z810" s="52">
        <v>0</v>
      </c>
      <c r="AA810" s="52">
        <v>1</v>
      </c>
      <c r="AB810" s="52">
        <v>0</v>
      </c>
      <c r="AC810" s="52">
        <v>111510845.45</v>
      </c>
      <c r="AD810" s="52">
        <v>111510845.45</v>
      </c>
      <c r="AE810" s="52">
        <v>0</v>
      </c>
      <c r="AF810" s="52">
        <v>0</v>
      </c>
      <c r="AG810" s="52">
        <v>0</v>
      </c>
      <c r="AH810" s="52">
        <v>0</v>
      </c>
      <c r="AI810" s="52">
        <v>0</v>
      </c>
      <c r="AJ810" s="52">
        <v>2</v>
      </c>
      <c r="AK810" s="52"/>
      <c r="AL810" s="52">
        <v>0</v>
      </c>
      <c r="AM810" s="52">
        <v>0</v>
      </c>
      <c r="AN810" s="52">
        <v>11800000000</v>
      </c>
      <c r="AO810" s="52">
        <v>1000000</v>
      </c>
      <c r="AP810" s="52">
        <v>0</v>
      </c>
      <c r="AQ810" s="58">
        <v>0</v>
      </c>
      <c r="AR810" s="58">
        <v>0</v>
      </c>
      <c r="AS810" s="58">
        <v>0</v>
      </c>
      <c r="AT810" s="58">
        <v>0</v>
      </c>
      <c r="AU810" s="58">
        <v>0</v>
      </c>
      <c r="AV810" s="58">
        <v>0</v>
      </c>
      <c r="AW810" s="58">
        <v>0</v>
      </c>
      <c r="AX810" s="58">
        <v>0</v>
      </c>
    </row>
    <row r="811" spans="1:50" x14ac:dyDescent="0.25">
      <c r="A811" s="52">
        <f t="shared" si="41"/>
        <v>806</v>
      </c>
      <c r="B811" s="60" t="str">
        <f t="shared" si="40"/>
        <v>0008315834162</v>
      </c>
      <c r="C811" s="55" t="s">
        <v>35</v>
      </c>
      <c r="D811" s="53" t="s">
        <v>2139</v>
      </c>
      <c r="E811" s="55" t="s">
        <v>1251</v>
      </c>
      <c r="F811" s="53" t="s">
        <v>2143</v>
      </c>
      <c r="G811" s="55">
        <v>11446</v>
      </c>
      <c r="H811" s="53" t="s">
        <v>1458</v>
      </c>
      <c r="I811" s="55">
        <v>307654074</v>
      </c>
      <c r="J811" s="55" t="s">
        <v>1459</v>
      </c>
      <c r="K811" s="55" t="s">
        <v>1460</v>
      </c>
      <c r="L811" s="53" t="s">
        <v>2037</v>
      </c>
      <c r="M811" s="55" t="s">
        <v>49</v>
      </c>
      <c r="N811" s="52">
        <v>8378000000</v>
      </c>
      <c r="O811" s="52">
        <v>8378000000</v>
      </c>
      <c r="P811" s="52">
        <v>8378000000</v>
      </c>
      <c r="Q811" s="57">
        <v>45764</v>
      </c>
      <c r="R811" s="57">
        <v>46860</v>
      </c>
      <c r="S811" s="56">
        <v>26</v>
      </c>
      <c r="T811" s="54">
        <v>0</v>
      </c>
      <c r="U811" s="52">
        <v>5433268003.0699997</v>
      </c>
      <c r="V811" s="52">
        <v>5433268003.0699997</v>
      </c>
      <c r="W811" s="52">
        <v>0</v>
      </c>
      <c r="X811" s="57"/>
      <c r="Y811" s="52">
        <v>0</v>
      </c>
      <c r="Z811" s="52">
        <v>0</v>
      </c>
      <c r="AA811" s="52">
        <v>1</v>
      </c>
      <c r="AB811" s="52">
        <v>0</v>
      </c>
      <c r="AC811" s="52">
        <v>50313550.270000003</v>
      </c>
      <c r="AD811" s="52">
        <v>50313550.270000003</v>
      </c>
      <c r="AE811" s="52">
        <v>0</v>
      </c>
      <c r="AF811" s="52">
        <v>0</v>
      </c>
      <c r="AG811" s="52">
        <v>0</v>
      </c>
      <c r="AH811" s="52">
        <v>0</v>
      </c>
      <c r="AI811" s="52">
        <v>0</v>
      </c>
      <c r="AJ811" s="52">
        <v>2</v>
      </c>
      <c r="AK811" s="52"/>
      <c r="AL811" s="52">
        <v>0</v>
      </c>
      <c r="AM811" s="52">
        <v>0</v>
      </c>
      <c r="AN811" s="52">
        <v>20225000000</v>
      </c>
      <c r="AO811" s="52">
        <v>25001541100</v>
      </c>
      <c r="AP811" s="52">
        <v>24951531100</v>
      </c>
      <c r="AQ811" s="58">
        <v>0</v>
      </c>
      <c r="AR811" s="58">
        <v>0</v>
      </c>
      <c r="AS811" s="58">
        <v>0</v>
      </c>
      <c r="AT811" s="58">
        <v>0</v>
      </c>
      <c r="AU811" s="58">
        <v>0</v>
      </c>
      <c r="AV811" s="58">
        <v>0</v>
      </c>
      <c r="AW811" s="58">
        <v>0</v>
      </c>
      <c r="AX811" s="58">
        <v>0</v>
      </c>
    </row>
    <row r="812" spans="1:50" x14ac:dyDescent="0.25">
      <c r="A812" s="52">
        <f t="shared" si="41"/>
        <v>807</v>
      </c>
      <c r="B812" s="60" t="str">
        <f t="shared" si="40"/>
        <v>0008315947113</v>
      </c>
      <c r="C812" s="55" t="s">
        <v>35</v>
      </c>
      <c r="D812" s="53" t="s">
        <v>2139</v>
      </c>
      <c r="E812" s="55" t="s">
        <v>1251</v>
      </c>
      <c r="F812" s="53" t="s">
        <v>2143</v>
      </c>
      <c r="G812" s="55">
        <v>11446</v>
      </c>
      <c r="H812" s="53" t="s">
        <v>1461</v>
      </c>
      <c r="I812" s="55">
        <v>305495780</v>
      </c>
      <c r="J812" s="55" t="s">
        <v>1462</v>
      </c>
      <c r="K812" s="55" t="s">
        <v>1463</v>
      </c>
      <c r="L812" s="53" t="s">
        <v>2037</v>
      </c>
      <c r="M812" s="55" t="s">
        <v>75</v>
      </c>
      <c r="N812" s="52">
        <v>400000</v>
      </c>
      <c r="O812" s="52">
        <v>4827104000</v>
      </c>
      <c r="P812" s="52">
        <v>4827104000</v>
      </c>
      <c r="Q812" s="57">
        <v>45923</v>
      </c>
      <c r="R812" s="57">
        <v>46469</v>
      </c>
      <c r="S812" s="56">
        <v>11.75</v>
      </c>
      <c r="T812" s="54">
        <v>3</v>
      </c>
      <c r="U812" s="52">
        <v>4577937592.3800001</v>
      </c>
      <c r="V812" s="52">
        <v>4577937592.3800001</v>
      </c>
      <c r="W812" s="52">
        <v>0</v>
      </c>
      <c r="X812" s="57"/>
      <c r="Y812" s="52">
        <v>0</v>
      </c>
      <c r="Z812" s="52">
        <v>0</v>
      </c>
      <c r="AA812" s="52">
        <v>1</v>
      </c>
      <c r="AB812" s="52">
        <v>0</v>
      </c>
      <c r="AC812" s="52">
        <v>25052559.719999999</v>
      </c>
      <c r="AD812" s="52">
        <v>25052559.719999999</v>
      </c>
      <c r="AE812" s="52">
        <v>0</v>
      </c>
      <c r="AF812" s="52">
        <v>0</v>
      </c>
      <c r="AG812" s="52">
        <v>0</v>
      </c>
      <c r="AH812" s="52">
        <v>0</v>
      </c>
      <c r="AI812" s="52">
        <v>0</v>
      </c>
      <c r="AJ812" s="52">
        <v>2</v>
      </c>
      <c r="AK812" s="52"/>
      <c r="AL812" s="52">
        <v>0</v>
      </c>
      <c r="AM812" s="52">
        <v>0</v>
      </c>
      <c r="AN812" s="52">
        <v>17458000000</v>
      </c>
      <c r="AO812" s="52">
        <v>4821364000</v>
      </c>
      <c r="AP812" s="52">
        <v>4819864000</v>
      </c>
      <c r="AQ812" s="58">
        <v>0</v>
      </c>
      <c r="AR812" s="58">
        <v>0</v>
      </c>
      <c r="AS812" s="58">
        <v>0</v>
      </c>
      <c r="AT812" s="58">
        <v>0</v>
      </c>
      <c r="AU812" s="58">
        <v>22</v>
      </c>
      <c r="AV812" s="58">
        <v>61488444.439999998</v>
      </c>
      <c r="AW812" s="58">
        <v>0</v>
      </c>
      <c r="AX812" s="58">
        <v>0</v>
      </c>
    </row>
    <row r="813" spans="1:50" x14ac:dyDescent="0.25">
      <c r="A813" s="52">
        <f t="shared" si="41"/>
        <v>808</v>
      </c>
      <c r="B813" s="60" t="str">
        <f t="shared" si="40"/>
        <v>0008315836872</v>
      </c>
      <c r="C813" s="55" t="s">
        <v>35</v>
      </c>
      <c r="D813" s="53" t="s">
        <v>2139</v>
      </c>
      <c r="E813" s="55" t="s">
        <v>1251</v>
      </c>
      <c r="F813" s="53" t="s">
        <v>2143</v>
      </c>
      <c r="G813" s="55">
        <v>11446</v>
      </c>
      <c r="H813" s="53" t="s">
        <v>1464</v>
      </c>
      <c r="I813" s="55">
        <v>207135991</v>
      </c>
      <c r="J813" s="55" t="s">
        <v>1465</v>
      </c>
      <c r="K813" s="55" t="s">
        <v>1466</v>
      </c>
      <c r="L813" s="53" t="s">
        <v>2037</v>
      </c>
      <c r="M813" s="55" t="s">
        <v>49</v>
      </c>
      <c r="N813" s="52">
        <v>3692000000</v>
      </c>
      <c r="O813" s="52">
        <v>3692000000</v>
      </c>
      <c r="P813" s="52">
        <v>3602000000</v>
      </c>
      <c r="Q813" s="57">
        <v>45765</v>
      </c>
      <c r="R813" s="57">
        <v>46861</v>
      </c>
      <c r="S813" s="56">
        <v>26</v>
      </c>
      <c r="T813" s="54">
        <v>0</v>
      </c>
      <c r="U813" s="52">
        <v>3026481356.48</v>
      </c>
      <c r="V813" s="52">
        <v>3026481356.48</v>
      </c>
      <c r="W813" s="52">
        <v>0</v>
      </c>
      <c r="X813" s="57"/>
      <c r="Y813" s="52">
        <v>0</v>
      </c>
      <c r="Z813" s="52">
        <v>0</v>
      </c>
      <c r="AA813" s="52">
        <v>1</v>
      </c>
      <c r="AB813" s="52">
        <v>0</v>
      </c>
      <c r="AC813" s="52">
        <v>25901022.989999998</v>
      </c>
      <c r="AD813" s="52">
        <v>25901022.989999998</v>
      </c>
      <c r="AE813" s="52">
        <v>0</v>
      </c>
      <c r="AF813" s="52">
        <v>0</v>
      </c>
      <c r="AG813" s="52">
        <v>0</v>
      </c>
      <c r="AH813" s="52">
        <v>0</v>
      </c>
      <c r="AI813" s="52">
        <v>0</v>
      </c>
      <c r="AJ813" s="52">
        <v>2</v>
      </c>
      <c r="AK813" s="52"/>
      <c r="AL813" s="52">
        <v>0</v>
      </c>
      <c r="AM813" s="52">
        <v>0</v>
      </c>
      <c r="AN813" s="52">
        <v>4615000000</v>
      </c>
      <c r="AO813" s="52">
        <v>433850015341</v>
      </c>
      <c r="AP813" s="52">
        <v>33659389812</v>
      </c>
      <c r="AQ813" s="58">
        <v>1</v>
      </c>
      <c r="AR813" s="58">
        <v>3237.55</v>
      </c>
      <c r="AS813" s="58">
        <v>0</v>
      </c>
      <c r="AT813" s="58">
        <v>0</v>
      </c>
      <c r="AU813" s="58">
        <v>0</v>
      </c>
      <c r="AV813" s="58">
        <v>0</v>
      </c>
      <c r="AW813" s="58">
        <v>0</v>
      </c>
      <c r="AX813" s="58">
        <v>0</v>
      </c>
    </row>
    <row r="814" spans="1:50" x14ac:dyDescent="0.25">
      <c r="A814" s="52">
        <f t="shared" si="41"/>
        <v>809</v>
      </c>
      <c r="B814" s="60" t="str">
        <f t="shared" si="40"/>
        <v>0008315569078</v>
      </c>
      <c r="C814" s="55" t="s">
        <v>35</v>
      </c>
      <c r="D814" s="53" t="s">
        <v>2139</v>
      </c>
      <c r="E814" s="55" t="s">
        <v>1251</v>
      </c>
      <c r="F814" s="53" t="s">
        <v>2143</v>
      </c>
      <c r="G814" s="55">
        <v>11446</v>
      </c>
      <c r="H814" s="53" t="s">
        <v>1467</v>
      </c>
      <c r="I814" s="55">
        <v>309702266</v>
      </c>
      <c r="J814" s="55" t="s">
        <v>1468</v>
      </c>
      <c r="K814" s="55" t="s">
        <v>1469</v>
      </c>
      <c r="L814" s="53" t="s">
        <v>2037</v>
      </c>
      <c r="M814" s="55" t="s">
        <v>75</v>
      </c>
      <c r="N814" s="52">
        <v>230000</v>
      </c>
      <c r="O814" s="52">
        <v>2775584800</v>
      </c>
      <c r="P814" s="52">
        <v>2775584800</v>
      </c>
      <c r="Q814" s="57">
        <v>45663</v>
      </c>
      <c r="R814" s="57">
        <v>46758</v>
      </c>
      <c r="S814" s="56">
        <v>11.75</v>
      </c>
      <c r="T814" s="54">
        <v>6</v>
      </c>
      <c r="U814" s="52">
        <v>2313347904.5999999</v>
      </c>
      <c r="V814" s="52">
        <v>2313347904.5999999</v>
      </c>
      <c r="W814" s="52">
        <v>0</v>
      </c>
      <c r="X814" s="57"/>
      <c r="Y814" s="52">
        <v>0</v>
      </c>
      <c r="Z814" s="52">
        <v>0</v>
      </c>
      <c r="AA814" s="52">
        <v>1</v>
      </c>
      <c r="AB814" s="52">
        <v>0</v>
      </c>
      <c r="AC814" s="52">
        <v>12659738.02</v>
      </c>
      <c r="AD814" s="52">
        <v>12659738.02</v>
      </c>
      <c r="AE814" s="52">
        <v>0</v>
      </c>
      <c r="AF814" s="52">
        <v>0</v>
      </c>
      <c r="AG814" s="52">
        <v>0</v>
      </c>
      <c r="AH814" s="52">
        <v>0</v>
      </c>
      <c r="AI814" s="52">
        <v>0</v>
      </c>
      <c r="AJ814" s="52">
        <v>2</v>
      </c>
      <c r="AK814" s="52"/>
      <c r="AL814" s="52">
        <v>0</v>
      </c>
      <c r="AM814" s="52">
        <v>0</v>
      </c>
      <c r="AN814" s="52">
        <v>3905000000</v>
      </c>
      <c r="AO814" s="52">
        <v>152048067893</v>
      </c>
      <c r="AP814" s="52">
        <v>147726426556</v>
      </c>
      <c r="AQ814" s="58">
        <v>20</v>
      </c>
      <c r="AR814" s="58">
        <v>229095.23</v>
      </c>
      <c r="AS814" s="58">
        <v>124</v>
      </c>
      <c r="AT814" s="58">
        <v>3661939.9900000007</v>
      </c>
      <c r="AU814" s="58">
        <v>4</v>
      </c>
      <c r="AV814" s="58">
        <v>206400</v>
      </c>
      <c r="AW814" s="58">
        <v>70</v>
      </c>
      <c r="AX814" s="58">
        <v>6202311.5</v>
      </c>
    </row>
    <row r="815" spans="1:50" x14ac:dyDescent="0.25">
      <c r="A815" s="52">
        <f t="shared" si="41"/>
        <v>810</v>
      </c>
      <c r="B815" s="60" t="str">
        <f t="shared" si="40"/>
        <v>0008315497634</v>
      </c>
      <c r="C815" s="55" t="s">
        <v>35</v>
      </c>
      <c r="D815" s="53" t="s">
        <v>2139</v>
      </c>
      <c r="E815" s="55" t="s">
        <v>1251</v>
      </c>
      <c r="F815" s="53" t="s">
        <v>2143</v>
      </c>
      <c r="G815" s="55">
        <v>11446</v>
      </c>
      <c r="H815" s="53" t="s">
        <v>1470</v>
      </c>
      <c r="I815" s="55">
        <v>301475279</v>
      </c>
      <c r="J815" s="55" t="s">
        <v>1471</v>
      </c>
      <c r="K815" s="55" t="s">
        <v>1472</v>
      </c>
      <c r="L815" s="53" t="s">
        <v>2037</v>
      </c>
      <c r="M815" s="55" t="s">
        <v>49</v>
      </c>
      <c r="N815" s="52">
        <v>1800000000</v>
      </c>
      <c r="O815" s="52">
        <v>1800000000</v>
      </c>
      <c r="P815" s="52">
        <v>1800000000</v>
      </c>
      <c r="Q815" s="57">
        <v>45621</v>
      </c>
      <c r="R815" s="57">
        <v>46716</v>
      </c>
      <c r="S815" s="56">
        <v>26</v>
      </c>
      <c r="T815" s="54">
        <v>6</v>
      </c>
      <c r="U815" s="52">
        <v>1428150862.3299999</v>
      </c>
      <c r="V815" s="52">
        <v>1428150862.3299999</v>
      </c>
      <c r="W815" s="52">
        <v>0</v>
      </c>
      <c r="X815" s="57"/>
      <c r="Y815" s="52">
        <v>0</v>
      </c>
      <c r="Z815" s="52">
        <v>0</v>
      </c>
      <c r="AA815" s="52">
        <v>1</v>
      </c>
      <c r="AB815" s="52">
        <v>0</v>
      </c>
      <c r="AC815" s="52">
        <v>20380119.149999999</v>
      </c>
      <c r="AD815" s="52">
        <v>20380119.149999999</v>
      </c>
      <c r="AE815" s="52">
        <v>0</v>
      </c>
      <c r="AF815" s="52">
        <v>0</v>
      </c>
      <c r="AG815" s="52">
        <v>0</v>
      </c>
      <c r="AH815" s="52">
        <v>0</v>
      </c>
      <c r="AI815" s="52">
        <v>0</v>
      </c>
      <c r="AJ815" s="52">
        <v>2</v>
      </c>
      <c r="AK815" s="52"/>
      <c r="AL815" s="52">
        <v>0</v>
      </c>
      <c r="AM815" s="52">
        <v>0</v>
      </c>
      <c r="AN815" s="52">
        <v>2250000000</v>
      </c>
      <c r="AO815" s="52">
        <v>1050896000</v>
      </c>
      <c r="AP815" s="52">
        <v>972196000</v>
      </c>
      <c r="AQ815" s="58">
        <v>0</v>
      </c>
      <c r="AR815" s="58">
        <v>0</v>
      </c>
      <c r="AS815" s="58">
        <v>0</v>
      </c>
      <c r="AT815" s="58">
        <v>0</v>
      </c>
      <c r="AU815" s="58">
        <v>0</v>
      </c>
      <c r="AV815" s="58">
        <v>0</v>
      </c>
      <c r="AW815" s="58">
        <v>0</v>
      </c>
      <c r="AX815" s="58">
        <v>0</v>
      </c>
    </row>
    <row r="816" spans="1:50" x14ac:dyDescent="0.25">
      <c r="A816" s="52">
        <f t="shared" si="41"/>
        <v>811</v>
      </c>
      <c r="B816" s="60" t="str">
        <f t="shared" si="40"/>
        <v>0008315791256</v>
      </c>
      <c r="C816" s="55" t="s">
        <v>35</v>
      </c>
      <c r="D816" s="53" t="s">
        <v>2139</v>
      </c>
      <c r="E816" s="55" t="s">
        <v>1251</v>
      </c>
      <c r="F816" s="53" t="s">
        <v>2143</v>
      </c>
      <c r="G816" s="55">
        <v>11446</v>
      </c>
      <c r="H816" s="53" t="s">
        <v>1473</v>
      </c>
      <c r="I816" s="55">
        <v>310046601</v>
      </c>
      <c r="J816" s="55" t="s">
        <v>1474</v>
      </c>
      <c r="K816" s="55" t="s">
        <v>1475</v>
      </c>
      <c r="L816" s="53" t="s">
        <v>2037</v>
      </c>
      <c r="M816" s="55" t="s">
        <v>49</v>
      </c>
      <c r="N816" s="52">
        <v>1200000000</v>
      </c>
      <c r="O816" s="52">
        <v>1200000000</v>
      </c>
      <c r="P816" s="52">
        <v>1200000000</v>
      </c>
      <c r="Q816" s="57">
        <v>45706</v>
      </c>
      <c r="R816" s="57">
        <v>47167</v>
      </c>
      <c r="S816" s="56">
        <v>29</v>
      </c>
      <c r="T816" s="54">
        <v>0</v>
      </c>
      <c r="U816" s="52">
        <v>1062243560.26</v>
      </c>
      <c r="V816" s="52">
        <v>1027495233.01</v>
      </c>
      <c r="W816" s="52">
        <v>34748327.25</v>
      </c>
      <c r="X816" s="57">
        <v>46007</v>
      </c>
      <c r="Y816" s="52">
        <v>0</v>
      </c>
      <c r="Z816" s="52">
        <v>0</v>
      </c>
      <c r="AA816" s="52">
        <v>2</v>
      </c>
      <c r="AB816" s="52">
        <v>106224356.03</v>
      </c>
      <c r="AC816" s="52">
        <v>41174570.75</v>
      </c>
      <c r="AD816" s="52">
        <v>15232669.02</v>
      </c>
      <c r="AE816" s="52">
        <v>0</v>
      </c>
      <c r="AF816" s="52">
        <v>0</v>
      </c>
      <c r="AG816" s="52">
        <v>25941901.73</v>
      </c>
      <c r="AH816" s="52">
        <v>0</v>
      </c>
      <c r="AI816" s="52">
        <v>0</v>
      </c>
      <c r="AJ816" s="52">
        <v>2</v>
      </c>
      <c r="AK816" s="52"/>
      <c r="AL816" s="52">
        <v>0</v>
      </c>
      <c r="AM816" s="52">
        <v>0</v>
      </c>
      <c r="AN816" s="52">
        <v>3900000000</v>
      </c>
      <c r="AO816" s="52">
        <v>849395833</v>
      </c>
      <c r="AP816" s="52">
        <v>822395833</v>
      </c>
      <c r="AQ816" s="58">
        <v>0</v>
      </c>
      <c r="AR816" s="58">
        <v>0</v>
      </c>
      <c r="AS816" s="58">
        <v>0</v>
      </c>
      <c r="AT816" s="58">
        <v>0</v>
      </c>
      <c r="AU816" s="58">
        <v>0</v>
      </c>
      <c r="AV816" s="58">
        <v>0</v>
      </c>
      <c r="AW816" s="58">
        <v>0</v>
      </c>
      <c r="AX816" s="58">
        <v>0</v>
      </c>
    </row>
    <row r="817" spans="1:50" x14ac:dyDescent="0.25">
      <c r="A817" s="52">
        <f t="shared" si="41"/>
        <v>812</v>
      </c>
      <c r="B817" s="60" t="str">
        <f t="shared" si="40"/>
        <v>0008315918158</v>
      </c>
      <c r="C817" s="55" t="s">
        <v>35</v>
      </c>
      <c r="D817" s="53" t="s">
        <v>2139</v>
      </c>
      <c r="E817" s="55" t="s">
        <v>1251</v>
      </c>
      <c r="F817" s="53" t="s">
        <v>2143</v>
      </c>
      <c r="G817" s="55">
        <v>11446</v>
      </c>
      <c r="H817" s="53" t="s">
        <v>1476</v>
      </c>
      <c r="I817" s="55">
        <v>302996935</v>
      </c>
      <c r="J817" s="55" t="s">
        <v>1477</v>
      </c>
      <c r="K817" s="55" t="s">
        <v>1478</v>
      </c>
      <c r="L817" s="53" t="s">
        <v>2037</v>
      </c>
      <c r="M817" s="55" t="s">
        <v>49</v>
      </c>
      <c r="N817" s="52">
        <v>1000000000</v>
      </c>
      <c r="O817" s="52">
        <v>1000000000</v>
      </c>
      <c r="P817" s="52">
        <v>1000000000</v>
      </c>
      <c r="Q817" s="57">
        <v>45883</v>
      </c>
      <c r="R817" s="57">
        <v>46979</v>
      </c>
      <c r="S817" s="56">
        <v>27</v>
      </c>
      <c r="T817" s="54">
        <v>6</v>
      </c>
      <c r="U817" s="52">
        <v>976732164.67999995</v>
      </c>
      <c r="V817" s="52">
        <v>976732164.67999995</v>
      </c>
      <c r="W817" s="52">
        <v>0</v>
      </c>
      <c r="X817" s="57"/>
      <c r="Y817" s="52">
        <v>0</v>
      </c>
      <c r="Z817" s="52">
        <v>0</v>
      </c>
      <c r="AA817" s="52">
        <v>1</v>
      </c>
      <c r="AB817" s="52">
        <v>0</v>
      </c>
      <c r="AC817" s="52">
        <v>12299953.289999999</v>
      </c>
      <c r="AD817" s="52">
        <v>12299953.289999999</v>
      </c>
      <c r="AE817" s="52">
        <v>0</v>
      </c>
      <c r="AF817" s="52">
        <v>0</v>
      </c>
      <c r="AG817" s="52">
        <v>0</v>
      </c>
      <c r="AH817" s="52">
        <v>0</v>
      </c>
      <c r="AI817" s="52">
        <v>0</v>
      </c>
      <c r="AJ817" s="52">
        <v>2</v>
      </c>
      <c r="AK817" s="52"/>
      <c r="AL817" s="52">
        <v>0</v>
      </c>
      <c r="AM817" s="52">
        <v>0</v>
      </c>
      <c r="AN817" s="52">
        <v>1250000000</v>
      </c>
      <c r="AO817" s="52">
        <v>58325000</v>
      </c>
      <c r="AP817" s="52">
        <v>45325000</v>
      </c>
      <c r="AQ817" s="58">
        <v>0</v>
      </c>
      <c r="AR817" s="58">
        <v>0</v>
      </c>
      <c r="AS817" s="58">
        <v>0</v>
      </c>
      <c r="AT817" s="58">
        <v>0</v>
      </c>
      <c r="AU817" s="58">
        <v>0</v>
      </c>
      <c r="AV817" s="58">
        <v>0</v>
      </c>
      <c r="AW817" s="58">
        <v>0</v>
      </c>
      <c r="AX817" s="58">
        <v>0</v>
      </c>
    </row>
    <row r="818" spans="1:50" x14ac:dyDescent="0.25">
      <c r="A818" s="52">
        <f t="shared" si="41"/>
        <v>813</v>
      </c>
      <c r="B818" s="60" t="str">
        <f t="shared" si="40"/>
        <v>0008315482445</v>
      </c>
      <c r="C818" s="55" t="s">
        <v>35</v>
      </c>
      <c r="D818" s="53" t="s">
        <v>2139</v>
      </c>
      <c r="E818" s="55" t="s">
        <v>1251</v>
      </c>
      <c r="F818" s="53" t="s">
        <v>2143</v>
      </c>
      <c r="G818" s="55">
        <v>11446</v>
      </c>
      <c r="H818" s="53" t="s">
        <v>1479</v>
      </c>
      <c r="I818" s="55">
        <v>305856133</v>
      </c>
      <c r="J818" s="55" t="s">
        <v>1480</v>
      </c>
      <c r="K818" s="55" t="s">
        <v>1481</v>
      </c>
      <c r="L818" s="53" t="s">
        <v>2037</v>
      </c>
      <c r="M818" s="55" t="s">
        <v>49</v>
      </c>
      <c r="N818" s="52">
        <v>1265000000</v>
      </c>
      <c r="O818" s="52">
        <v>1265000000</v>
      </c>
      <c r="P818" s="52">
        <v>1265000000</v>
      </c>
      <c r="Q818" s="57">
        <v>45587</v>
      </c>
      <c r="R818" s="57">
        <v>46682</v>
      </c>
      <c r="S818" s="56">
        <v>26</v>
      </c>
      <c r="T818" s="54">
        <v>3</v>
      </c>
      <c r="U818" s="52">
        <v>904150863.25999999</v>
      </c>
      <c r="V818" s="52">
        <v>904150863.25999999</v>
      </c>
      <c r="W818" s="52">
        <v>0</v>
      </c>
      <c r="X818" s="57"/>
      <c r="Y818" s="52">
        <v>0</v>
      </c>
      <c r="Z818" s="52">
        <v>0</v>
      </c>
      <c r="AA818" s="52">
        <v>1</v>
      </c>
      <c r="AB818" s="52">
        <v>0</v>
      </c>
      <c r="AC818" s="52">
        <v>6464283.9299999997</v>
      </c>
      <c r="AD818" s="52">
        <v>6464283.9299999997</v>
      </c>
      <c r="AE818" s="52">
        <v>0</v>
      </c>
      <c r="AF818" s="52">
        <v>0</v>
      </c>
      <c r="AG818" s="52">
        <v>0</v>
      </c>
      <c r="AH818" s="52">
        <v>0</v>
      </c>
      <c r="AI818" s="52">
        <v>0</v>
      </c>
      <c r="AJ818" s="52">
        <v>2</v>
      </c>
      <c r="AK818" s="52"/>
      <c r="AL818" s="52">
        <v>0</v>
      </c>
      <c r="AM818" s="52">
        <v>0</v>
      </c>
      <c r="AN818" s="52">
        <v>1581250000</v>
      </c>
      <c r="AO818" s="52">
        <v>636040942474</v>
      </c>
      <c r="AP818" s="52">
        <v>5937912424</v>
      </c>
      <c r="AQ818" s="58">
        <v>0</v>
      </c>
      <c r="AR818" s="58">
        <v>0</v>
      </c>
      <c r="AS818" s="58">
        <v>0</v>
      </c>
      <c r="AT818" s="58">
        <v>0</v>
      </c>
      <c r="AU818" s="58">
        <v>1</v>
      </c>
      <c r="AV818" s="58">
        <v>21500</v>
      </c>
      <c r="AW818" s="58">
        <v>0</v>
      </c>
      <c r="AX818" s="58">
        <v>0</v>
      </c>
    </row>
    <row r="819" spans="1:50" x14ac:dyDescent="0.25">
      <c r="A819" s="52">
        <f t="shared" si="41"/>
        <v>814</v>
      </c>
      <c r="B819" s="60" t="str">
        <f t="shared" si="40"/>
        <v>0008315898053</v>
      </c>
      <c r="C819" s="55" t="s">
        <v>35</v>
      </c>
      <c r="D819" s="53" t="s">
        <v>2139</v>
      </c>
      <c r="E819" s="55" t="s">
        <v>1251</v>
      </c>
      <c r="F819" s="53" t="s">
        <v>2143</v>
      </c>
      <c r="G819" s="55">
        <v>11446</v>
      </c>
      <c r="H819" s="53" t="s">
        <v>2597</v>
      </c>
      <c r="I819" s="55">
        <v>307395872</v>
      </c>
      <c r="J819" s="55" t="s">
        <v>1482</v>
      </c>
      <c r="K819" s="55" t="s">
        <v>1483</v>
      </c>
      <c r="L819" s="53" t="s">
        <v>2037</v>
      </c>
      <c r="M819" s="55" t="s">
        <v>49</v>
      </c>
      <c r="N819" s="52">
        <v>1000000000</v>
      </c>
      <c r="O819" s="52">
        <v>1000000000</v>
      </c>
      <c r="P819" s="52">
        <v>1000000000</v>
      </c>
      <c r="Q819" s="57">
        <v>45853</v>
      </c>
      <c r="R819" s="57">
        <v>46949</v>
      </c>
      <c r="S819" s="56">
        <v>26</v>
      </c>
      <c r="T819" s="54">
        <v>0</v>
      </c>
      <c r="U819" s="52">
        <v>887052273.33000004</v>
      </c>
      <c r="V819" s="52">
        <v>887052273.33000004</v>
      </c>
      <c r="W819" s="52">
        <v>0</v>
      </c>
      <c r="X819" s="57"/>
      <c r="Y819" s="52">
        <v>0</v>
      </c>
      <c r="Z819" s="52">
        <v>0</v>
      </c>
      <c r="AA819" s="52">
        <v>1</v>
      </c>
      <c r="AB819" s="52">
        <v>0</v>
      </c>
      <c r="AC819" s="52">
        <v>7582474.2300000004</v>
      </c>
      <c r="AD819" s="52">
        <v>7582474.2300000004</v>
      </c>
      <c r="AE819" s="52">
        <v>0</v>
      </c>
      <c r="AF819" s="52">
        <v>0</v>
      </c>
      <c r="AG819" s="52">
        <v>0</v>
      </c>
      <c r="AH819" s="52">
        <v>0</v>
      </c>
      <c r="AI819" s="52">
        <v>0</v>
      </c>
      <c r="AJ819" s="52">
        <v>2</v>
      </c>
      <c r="AK819" s="52"/>
      <c r="AL819" s="52">
        <v>0</v>
      </c>
      <c r="AM819" s="52">
        <v>0</v>
      </c>
      <c r="AN819" s="52">
        <v>1250000000</v>
      </c>
      <c r="AO819" s="52">
        <v>4426084112</v>
      </c>
      <c r="AP819" s="52">
        <v>4001084112</v>
      </c>
      <c r="AQ819" s="58">
        <v>12</v>
      </c>
      <c r="AR819" s="58">
        <v>522870.31</v>
      </c>
      <c r="AS819" s="58">
        <v>21</v>
      </c>
      <c r="AT819" s="58">
        <v>804782</v>
      </c>
      <c r="AU819" s="58">
        <v>5</v>
      </c>
      <c r="AV819" s="58">
        <v>75190</v>
      </c>
      <c r="AW819" s="58">
        <v>10</v>
      </c>
      <c r="AX819" s="58">
        <v>200500</v>
      </c>
    </row>
    <row r="820" spans="1:50" x14ac:dyDescent="0.25">
      <c r="A820" s="52">
        <f t="shared" si="41"/>
        <v>815</v>
      </c>
      <c r="B820" s="60" t="str">
        <f t="shared" si="40"/>
        <v>0008315906178</v>
      </c>
      <c r="C820" s="55" t="s">
        <v>35</v>
      </c>
      <c r="D820" s="53" t="s">
        <v>2139</v>
      </c>
      <c r="E820" s="55" t="s">
        <v>1251</v>
      </c>
      <c r="F820" s="53" t="s">
        <v>2143</v>
      </c>
      <c r="G820" s="55">
        <v>11446</v>
      </c>
      <c r="H820" s="53" t="s">
        <v>2598</v>
      </c>
      <c r="I820" s="55">
        <v>201321876</v>
      </c>
      <c r="J820" s="55" t="s">
        <v>1484</v>
      </c>
      <c r="K820" s="55" t="s">
        <v>1485</v>
      </c>
      <c r="L820" s="53" t="s">
        <v>2037</v>
      </c>
      <c r="M820" s="55" t="s">
        <v>49</v>
      </c>
      <c r="N820" s="52">
        <v>1000000000</v>
      </c>
      <c r="O820" s="52">
        <v>1000000000</v>
      </c>
      <c r="P820" s="52">
        <v>1000000000</v>
      </c>
      <c r="Q820" s="57">
        <v>45867</v>
      </c>
      <c r="R820" s="57">
        <v>46963</v>
      </c>
      <c r="S820" s="56">
        <v>26</v>
      </c>
      <c r="T820" s="54">
        <v>0</v>
      </c>
      <c r="U820" s="52">
        <v>876106101.55999994</v>
      </c>
      <c r="V820" s="52">
        <v>876106101.55999994</v>
      </c>
      <c r="W820" s="52">
        <v>0</v>
      </c>
      <c r="X820" s="57"/>
      <c r="Y820" s="52">
        <v>0</v>
      </c>
      <c r="Z820" s="52">
        <v>0</v>
      </c>
      <c r="AA820" s="52">
        <v>1</v>
      </c>
      <c r="AB820" s="52">
        <v>0</v>
      </c>
      <c r="AC820" s="52">
        <v>7504395.2999999998</v>
      </c>
      <c r="AD820" s="52">
        <v>7504395.2999999998</v>
      </c>
      <c r="AE820" s="52">
        <v>0</v>
      </c>
      <c r="AF820" s="52">
        <v>0</v>
      </c>
      <c r="AG820" s="52">
        <v>0</v>
      </c>
      <c r="AH820" s="52">
        <v>0</v>
      </c>
      <c r="AI820" s="52">
        <v>0</v>
      </c>
      <c r="AJ820" s="52">
        <v>2</v>
      </c>
      <c r="AK820" s="52"/>
      <c r="AL820" s="52">
        <v>85058172</v>
      </c>
      <c r="AM820" s="52">
        <v>85058172</v>
      </c>
      <c r="AN820" s="52">
        <v>1700000000</v>
      </c>
      <c r="AO820" s="52">
        <v>39157503125</v>
      </c>
      <c r="AP820" s="52">
        <v>320418106</v>
      </c>
      <c r="AQ820" s="58">
        <v>0</v>
      </c>
      <c r="AR820" s="58">
        <v>0</v>
      </c>
      <c r="AS820" s="58">
        <v>0</v>
      </c>
      <c r="AT820" s="58">
        <v>0</v>
      </c>
      <c r="AU820" s="58">
        <v>0</v>
      </c>
      <c r="AV820" s="58">
        <v>0</v>
      </c>
      <c r="AW820" s="58">
        <v>0</v>
      </c>
      <c r="AX820" s="58">
        <v>0</v>
      </c>
    </row>
    <row r="821" spans="1:50" x14ac:dyDescent="0.25">
      <c r="A821" s="52">
        <f t="shared" si="41"/>
        <v>816</v>
      </c>
      <c r="B821" s="60" t="str">
        <f t="shared" si="40"/>
        <v>0008315419980</v>
      </c>
      <c r="C821" s="55" t="s">
        <v>35</v>
      </c>
      <c r="D821" s="53" t="s">
        <v>2139</v>
      </c>
      <c r="E821" s="55" t="s">
        <v>1251</v>
      </c>
      <c r="F821" s="53" t="s">
        <v>2143</v>
      </c>
      <c r="G821" s="55">
        <v>11446</v>
      </c>
      <c r="H821" s="53" t="s">
        <v>1486</v>
      </c>
      <c r="I821" s="55">
        <v>203375444</v>
      </c>
      <c r="J821" s="55" t="s">
        <v>1487</v>
      </c>
      <c r="K821" s="55" t="s">
        <v>1488</v>
      </c>
      <c r="L821" s="53" t="s">
        <v>2037</v>
      </c>
      <c r="M821" s="55" t="s">
        <v>49</v>
      </c>
      <c r="N821" s="52">
        <v>1300000000</v>
      </c>
      <c r="O821" s="52">
        <v>1300000000</v>
      </c>
      <c r="P821" s="52">
        <v>1300000000</v>
      </c>
      <c r="Q821" s="57">
        <v>45504</v>
      </c>
      <c r="R821" s="57">
        <v>46599</v>
      </c>
      <c r="S821" s="56">
        <v>28</v>
      </c>
      <c r="T821" s="54">
        <v>3</v>
      </c>
      <c r="U821" s="52">
        <v>865967085.99000001</v>
      </c>
      <c r="V821" s="52">
        <v>830964964.29999995</v>
      </c>
      <c r="W821" s="52">
        <v>35002121.689999998</v>
      </c>
      <c r="X821" s="57">
        <v>46035</v>
      </c>
      <c r="Y821" s="52">
        <v>0</v>
      </c>
      <c r="Z821" s="52">
        <v>0</v>
      </c>
      <c r="AA821" s="52">
        <v>2</v>
      </c>
      <c r="AB821" s="52">
        <v>86596708.599999994</v>
      </c>
      <c r="AC821" s="52">
        <v>35490911.740000002</v>
      </c>
      <c r="AD821" s="52">
        <v>13541154.32</v>
      </c>
      <c r="AE821" s="52">
        <v>0</v>
      </c>
      <c r="AF821" s="52">
        <v>0</v>
      </c>
      <c r="AG821" s="52">
        <v>21949757.420000002</v>
      </c>
      <c r="AH821" s="52">
        <v>0</v>
      </c>
      <c r="AI821" s="52">
        <v>0</v>
      </c>
      <c r="AJ821" s="52">
        <v>2</v>
      </c>
      <c r="AK821" s="52"/>
      <c r="AL821" s="52">
        <v>74531728115</v>
      </c>
      <c r="AM821" s="52">
        <v>10871649178</v>
      </c>
      <c r="AN821" s="52">
        <v>2925000000</v>
      </c>
      <c r="AO821" s="52">
        <v>832265000</v>
      </c>
      <c r="AP821" s="52">
        <v>43830000</v>
      </c>
      <c r="AQ821" s="58">
        <v>9</v>
      </c>
      <c r="AR821" s="58">
        <v>513379.05000000005</v>
      </c>
      <c r="AS821" s="58">
        <v>0</v>
      </c>
      <c r="AT821" s="58">
        <v>0</v>
      </c>
      <c r="AU821" s="58">
        <v>6</v>
      </c>
      <c r="AV821" s="58">
        <v>177600</v>
      </c>
      <c r="AW821" s="58">
        <v>0</v>
      </c>
      <c r="AX821" s="58">
        <v>0</v>
      </c>
    </row>
    <row r="822" spans="1:50" x14ac:dyDescent="0.25">
      <c r="A822" s="52">
        <f t="shared" si="41"/>
        <v>817</v>
      </c>
      <c r="B822" s="60" t="str">
        <f t="shared" si="40"/>
        <v>0008315419979</v>
      </c>
      <c r="C822" s="55" t="s">
        <v>35</v>
      </c>
      <c r="D822" s="53" t="s">
        <v>2139</v>
      </c>
      <c r="E822" s="55" t="s">
        <v>1251</v>
      </c>
      <c r="F822" s="53" t="s">
        <v>2143</v>
      </c>
      <c r="G822" s="55">
        <v>11446</v>
      </c>
      <c r="H822" s="53" t="s">
        <v>1486</v>
      </c>
      <c r="I822" s="55">
        <v>203375444</v>
      </c>
      <c r="J822" s="55" t="s">
        <v>1489</v>
      </c>
      <c r="K822" s="55" t="s">
        <v>1490</v>
      </c>
      <c r="L822" s="53" t="s">
        <v>2037</v>
      </c>
      <c r="M822" s="55" t="s">
        <v>49</v>
      </c>
      <c r="N822" s="52">
        <v>1200000000</v>
      </c>
      <c r="O822" s="52">
        <v>1200000000</v>
      </c>
      <c r="P822" s="52">
        <v>1200000000</v>
      </c>
      <c r="Q822" s="57">
        <v>45504</v>
      </c>
      <c r="R822" s="57">
        <v>46599</v>
      </c>
      <c r="S822" s="56">
        <v>28</v>
      </c>
      <c r="T822" s="54">
        <v>3</v>
      </c>
      <c r="U822" s="52">
        <v>798501768.35000002</v>
      </c>
      <c r="V822" s="52">
        <v>767044582.44000006</v>
      </c>
      <c r="W822" s="52">
        <v>31457185.91</v>
      </c>
      <c r="X822" s="57">
        <v>46035</v>
      </c>
      <c r="Y822" s="52">
        <v>0</v>
      </c>
      <c r="Z822" s="52">
        <v>0</v>
      </c>
      <c r="AA822" s="52">
        <v>2</v>
      </c>
      <c r="AB822" s="52">
        <v>79850176.840000004</v>
      </c>
      <c r="AC822" s="52">
        <v>30066193</v>
      </c>
      <c r="AD822" s="52">
        <v>12480235.66</v>
      </c>
      <c r="AE822" s="52">
        <v>0</v>
      </c>
      <c r="AF822" s="52">
        <v>0</v>
      </c>
      <c r="AG822" s="52">
        <v>17585957.34</v>
      </c>
      <c r="AH822" s="52">
        <v>0</v>
      </c>
      <c r="AI822" s="52">
        <v>0</v>
      </c>
      <c r="AJ822" s="52">
        <v>2</v>
      </c>
      <c r="AK822" s="52"/>
      <c r="AL822" s="52">
        <v>74531728115</v>
      </c>
      <c r="AM822" s="52">
        <v>10871649178</v>
      </c>
      <c r="AN822" s="52">
        <v>2700000000</v>
      </c>
      <c r="AO822" s="52">
        <v>832265000</v>
      </c>
      <c r="AP822" s="52">
        <v>43830000</v>
      </c>
      <c r="AQ822" s="58">
        <v>9</v>
      </c>
      <c r="AR822" s="58">
        <v>513379.05000000005</v>
      </c>
      <c r="AS822" s="58">
        <v>0</v>
      </c>
      <c r="AT822" s="58">
        <v>0</v>
      </c>
      <c r="AU822" s="58">
        <v>6</v>
      </c>
      <c r="AV822" s="58">
        <v>177600</v>
      </c>
      <c r="AW822" s="58">
        <v>0</v>
      </c>
      <c r="AX822" s="58">
        <v>0</v>
      </c>
    </row>
    <row r="823" spans="1:50" x14ac:dyDescent="0.25">
      <c r="A823" s="52">
        <f t="shared" si="41"/>
        <v>818</v>
      </c>
      <c r="B823" s="60" t="str">
        <f t="shared" si="40"/>
        <v>0008315817213</v>
      </c>
      <c r="C823" s="55" t="s">
        <v>35</v>
      </c>
      <c r="D823" s="53" t="s">
        <v>2139</v>
      </c>
      <c r="E823" s="55" t="s">
        <v>1251</v>
      </c>
      <c r="F823" s="53" t="s">
        <v>2143</v>
      </c>
      <c r="G823" s="55">
        <v>11446</v>
      </c>
      <c r="H823" s="53" t="s">
        <v>1491</v>
      </c>
      <c r="I823" s="55">
        <v>308778330</v>
      </c>
      <c r="J823" s="55" t="s">
        <v>1492</v>
      </c>
      <c r="K823" s="55" t="s">
        <v>1493</v>
      </c>
      <c r="L823" s="53" t="s">
        <v>2037</v>
      </c>
      <c r="M823" s="55" t="s">
        <v>49</v>
      </c>
      <c r="N823" s="52">
        <v>990000000</v>
      </c>
      <c r="O823" s="52">
        <v>990000000</v>
      </c>
      <c r="P823" s="52">
        <v>990000000</v>
      </c>
      <c r="Q823" s="57">
        <v>45744</v>
      </c>
      <c r="R823" s="57">
        <v>46840</v>
      </c>
      <c r="S823" s="56">
        <v>26</v>
      </c>
      <c r="T823" s="54">
        <v>0</v>
      </c>
      <c r="U823" s="52">
        <v>754400693.12</v>
      </c>
      <c r="V823" s="52">
        <v>754400693.12</v>
      </c>
      <c r="W823" s="52">
        <v>0</v>
      </c>
      <c r="X823" s="57"/>
      <c r="Y823" s="52">
        <v>0</v>
      </c>
      <c r="Z823" s="52">
        <v>0</v>
      </c>
      <c r="AA823" s="52">
        <v>1</v>
      </c>
      <c r="AB823" s="52">
        <v>0</v>
      </c>
      <c r="AC823" s="52">
        <v>9357204.0600000005</v>
      </c>
      <c r="AD823" s="52">
        <v>9357204.0600000005</v>
      </c>
      <c r="AE823" s="52">
        <v>0</v>
      </c>
      <c r="AF823" s="52">
        <v>0</v>
      </c>
      <c r="AG823" s="52">
        <v>0</v>
      </c>
      <c r="AH823" s="52">
        <v>0</v>
      </c>
      <c r="AI823" s="52">
        <v>0</v>
      </c>
      <c r="AJ823" s="52">
        <v>2</v>
      </c>
      <c r="AK823" s="52"/>
      <c r="AL823" s="52">
        <v>0</v>
      </c>
      <c r="AM823" s="52">
        <v>0</v>
      </c>
      <c r="AN823" s="52">
        <v>1237500000</v>
      </c>
      <c r="AO823" s="52">
        <v>14783173558</v>
      </c>
      <c r="AP823" s="52">
        <v>425867658</v>
      </c>
      <c r="AQ823" s="58">
        <v>0</v>
      </c>
      <c r="AR823" s="58">
        <v>0</v>
      </c>
      <c r="AS823" s="58">
        <v>0</v>
      </c>
      <c r="AT823" s="58">
        <v>0</v>
      </c>
      <c r="AU823" s="58">
        <v>0</v>
      </c>
      <c r="AV823" s="58">
        <v>0</v>
      </c>
      <c r="AW823" s="58">
        <v>0</v>
      </c>
      <c r="AX823" s="58">
        <v>0</v>
      </c>
    </row>
    <row r="824" spans="1:50" x14ac:dyDescent="0.25">
      <c r="A824" s="52">
        <f t="shared" si="41"/>
        <v>819</v>
      </c>
      <c r="B824" s="60" t="str">
        <f t="shared" si="40"/>
        <v>0008315796029</v>
      </c>
      <c r="C824" s="55" t="s">
        <v>35</v>
      </c>
      <c r="D824" s="53" t="s">
        <v>2139</v>
      </c>
      <c r="E824" s="55" t="s">
        <v>1251</v>
      </c>
      <c r="F824" s="53" t="s">
        <v>2143</v>
      </c>
      <c r="G824" s="55">
        <v>11446</v>
      </c>
      <c r="H824" s="53" t="s">
        <v>1464</v>
      </c>
      <c r="I824" s="55">
        <v>207135991</v>
      </c>
      <c r="J824" s="55" t="s">
        <v>1494</v>
      </c>
      <c r="K824" s="55" t="s">
        <v>1495</v>
      </c>
      <c r="L824" s="53" t="s">
        <v>2037</v>
      </c>
      <c r="M824" s="55" t="s">
        <v>49</v>
      </c>
      <c r="N824" s="52">
        <v>1000000000</v>
      </c>
      <c r="O824" s="52">
        <v>1000000000</v>
      </c>
      <c r="P824" s="52">
        <v>1000000000</v>
      </c>
      <c r="Q824" s="57">
        <v>45714</v>
      </c>
      <c r="R824" s="57">
        <v>46809</v>
      </c>
      <c r="S824" s="56">
        <v>26</v>
      </c>
      <c r="T824" s="54">
        <v>0</v>
      </c>
      <c r="U824" s="52">
        <v>735069809.63999999</v>
      </c>
      <c r="V824" s="52">
        <v>735069809.63999999</v>
      </c>
      <c r="W824" s="52">
        <v>0</v>
      </c>
      <c r="X824" s="57"/>
      <c r="Y824" s="52">
        <v>0</v>
      </c>
      <c r="Z824" s="52">
        <v>0</v>
      </c>
      <c r="AA824" s="52">
        <v>1</v>
      </c>
      <c r="AB824" s="52">
        <v>0</v>
      </c>
      <c r="AC824" s="52">
        <v>10738204.52</v>
      </c>
      <c r="AD824" s="52">
        <v>10738204.52</v>
      </c>
      <c r="AE824" s="52">
        <v>0</v>
      </c>
      <c r="AF824" s="52">
        <v>0</v>
      </c>
      <c r="AG824" s="52">
        <v>0</v>
      </c>
      <c r="AH824" s="52">
        <v>0</v>
      </c>
      <c r="AI824" s="52">
        <v>0</v>
      </c>
      <c r="AJ824" s="52">
        <v>2</v>
      </c>
      <c r="AK824" s="52"/>
      <c r="AL824" s="52">
        <v>0</v>
      </c>
      <c r="AM824" s="52">
        <v>0</v>
      </c>
      <c r="AN824" s="52">
        <v>3750000000</v>
      </c>
      <c r="AO824" s="52">
        <v>433850015341</v>
      </c>
      <c r="AP824" s="52">
        <v>33659389812</v>
      </c>
      <c r="AQ824" s="58">
        <v>1</v>
      </c>
      <c r="AR824" s="58">
        <v>3237.55</v>
      </c>
      <c r="AS824" s="58">
        <v>0</v>
      </c>
      <c r="AT824" s="58">
        <v>0</v>
      </c>
      <c r="AU824" s="58">
        <v>0</v>
      </c>
      <c r="AV824" s="58">
        <v>0</v>
      </c>
      <c r="AW824" s="58">
        <v>0</v>
      </c>
      <c r="AX824" s="58">
        <v>0</v>
      </c>
    </row>
    <row r="825" spans="1:50" x14ac:dyDescent="0.25">
      <c r="A825" s="52">
        <f t="shared" si="41"/>
        <v>820</v>
      </c>
      <c r="B825" s="60" t="str">
        <f t="shared" si="40"/>
        <v>0008315406013</v>
      </c>
      <c r="C825" s="55" t="s">
        <v>35</v>
      </c>
      <c r="D825" s="53" t="s">
        <v>2139</v>
      </c>
      <c r="E825" s="55" t="s">
        <v>1251</v>
      </c>
      <c r="F825" s="53" t="s">
        <v>2143</v>
      </c>
      <c r="G825" s="55">
        <v>11446</v>
      </c>
      <c r="H825" s="53" t="s">
        <v>1479</v>
      </c>
      <c r="I825" s="55">
        <v>305856133</v>
      </c>
      <c r="J825" s="55" t="s">
        <v>1496</v>
      </c>
      <c r="K825" s="55" t="s">
        <v>1497</v>
      </c>
      <c r="L825" s="53" t="s">
        <v>2037</v>
      </c>
      <c r="M825" s="55" t="s">
        <v>49</v>
      </c>
      <c r="N825" s="52">
        <v>850000000</v>
      </c>
      <c r="O825" s="52">
        <v>850000000</v>
      </c>
      <c r="P825" s="52">
        <v>850000000</v>
      </c>
      <c r="Q825" s="57">
        <v>45471</v>
      </c>
      <c r="R825" s="57">
        <v>46932</v>
      </c>
      <c r="S825" s="56">
        <v>28</v>
      </c>
      <c r="T825" s="54">
        <v>6</v>
      </c>
      <c r="U825" s="52">
        <v>667749238.62</v>
      </c>
      <c r="V825" s="52">
        <v>667749238.62</v>
      </c>
      <c r="W825" s="52">
        <v>0</v>
      </c>
      <c r="X825" s="57"/>
      <c r="Y825" s="52">
        <v>0</v>
      </c>
      <c r="Z825" s="52">
        <v>0</v>
      </c>
      <c r="AA825" s="52">
        <v>1</v>
      </c>
      <c r="AB825" s="52">
        <v>0</v>
      </c>
      <c r="AC825" s="52">
        <v>8708181.8499999996</v>
      </c>
      <c r="AD825" s="52">
        <v>8708181.8499999996</v>
      </c>
      <c r="AE825" s="52">
        <v>0</v>
      </c>
      <c r="AF825" s="52">
        <v>0</v>
      </c>
      <c r="AG825" s="52">
        <v>0</v>
      </c>
      <c r="AH825" s="52">
        <v>0</v>
      </c>
      <c r="AI825" s="52">
        <v>0</v>
      </c>
      <c r="AJ825" s="52">
        <v>2</v>
      </c>
      <c r="AK825" s="52"/>
      <c r="AL825" s="52">
        <v>0</v>
      </c>
      <c r="AM825" s="52">
        <v>0</v>
      </c>
      <c r="AN825" s="52">
        <v>1062500000</v>
      </c>
      <c r="AO825" s="52">
        <v>8218258743</v>
      </c>
      <c r="AP825" s="52">
        <v>7355364612</v>
      </c>
      <c r="AQ825" s="58">
        <v>0</v>
      </c>
      <c r="AR825" s="58">
        <v>0</v>
      </c>
      <c r="AS825" s="58">
        <v>0</v>
      </c>
      <c r="AT825" s="58">
        <v>0</v>
      </c>
      <c r="AU825" s="58">
        <v>1</v>
      </c>
      <c r="AV825" s="58">
        <v>21500</v>
      </c>
      <c r="AW825" s="58">
        <v>0</v>
      </c>
      <c r="AX825" s="58">
        <v>0</v>
      </c>
    </row>
    <row r="826" spans="1:50" x14ac:dyDescent="0.25">
      <c r="A826" s="52">
        <f t="shared" si="41"/>
        <v>821</v>
      </c>
      <c r="B826" s="60" t="str">
        <f t="shared" si="40"/>
        <v>0008315481803</v>
      </c>
      <c r="C826" s="55" t="s">
        <v>35</v>
      </c>
      <c r="D826" s="53" t="s">
        <v>2139</v>
      </c>
      <c r="E826" s="55" t="s">
        <v>1251</v>
      </c>
      <c r="F826" s="53" t="s">
        <v>2143</v>
      </c>
      <c r="G826" s="55">
        <v>11446</v>
      </c>
      <c r="H826" s="53" t="s">
        <v>1498</v>
      </c>
      <c r="I826" s="55">
        <v>310593444</v>
      </c>
      <c r="J826" s="55" t="s">
        <v>1499</v>
      </c>
      <c r="K826" s="55" t="s">
        <v>1500</v>
      </c>
      <c r="L826" s="53" t="s">
        <v>2037</v>
      </c>
      <c r="M826" s="55" t="s">
        <v>49</v>
      </c>
      <c r="N826" s="52">
        <v>810000000</v>
      </c>
      <c r="O826" s="52">
        <v>810000000</v>
      </c>
      <c r="P826" s="52">
        <v>810000000</v>
      </c>
      <c r="Q826" s="57">
        <v>45586</v>
      </c>
      <c r="R826" s="57">
        <v>46681</v>
      </c>
      <c r="S826" s="56">
        <v>26</v>
      </c>
      <c r="T826" s="54">
        <v>6</v>
      </c>
      <c r="U826" s="52">
        <v>619804893.08000004</v>
      </c>
      <c r="V826" s="52">
        <v>619804893.08000004</v>
      </c>
      <c r="W826" s="52">
        <v>0</v>
      </c>
      <c r="X826" s="57"/>
      <c r="Y826" s="52">
        <v>0</v>
      </c>
      <c r="Z826" s="52">
        <v>0</v>
      </c>
      <c r="AA826" s="52">
        <v>1</v>
      </c>
      <c r="AB826" s="52">
        <v>0</v>
      </c>
      <c r="AC826" s="52">
        <v>10154611.67</v>
      </c>
      <c r="AD826" s="52">
        <v>10154611.67</v>
      </c>
      <c r="AE826" s="52">
        <v>0</v>
      </c>
      <c r="AF826" s="52">
        <v>0</v>
      </c>
      <c r="AG826" s="52">
        <v>0</v>
      </c>
      <c r="AH826" s="52">
        <v>0</v>
      </c>
      <c r="AI826" s="52">
        <v>0</v>
      </c>
      <c r="AJ826" s="52">
        <v>2</v>
      </c>
      <c r="AK826" s="52"/>
      <c r="AL826" s="52">
        <v>0</v>
      </c>
      <c r="AM826" s="52">
        <v>0</v>
      </c>
      <c r="AN826" s="52">
        <v>1012500000</v>
      </c>
      <c r="AO826" s="52">
        <v>5359692013728</v>
      </c>
      <c r="AP826" s="52">
        <v>5147542409838</v>
      </c>
      <c r="AQ826" s="58">
        <v>1</v>
      </c>
      <c r="AR826" s="58">
        <v>6500</v>
      </c>
      <c r="AS826" s="58">
        <v>9</v>
      </c>
      <c r="AT826" s="58">
        <v>128651.48</v>
      </c>
      <c r="AU826" s="58">
        <v>5</v>
      </c>
      <c r="AV826" s="58">
        <v>30450</v>
      </c>
      <c r="AW826" s="58">
        <v>8</v>
      </c>
      <c r="AX826" s="58">
        <v>45350</v>
      </c>
    </row>
    <row r="827" spans="1:50" x14ac:dyDescent="0.25">
      <c r="A827" s="52">
        <f t="shared" si="41"/>
        <v>822</v>
      </c>
      <c r="B827" s="60" t="str">
        <f t="shared" si="40"/>
        <v>0008315896287</v>
      </c>
      <c r="C827" s="55" t="s">
        <v>35</v>
      </c>
      <c r="D827" s="53" t="s">
        <v>2139</v>
      </c>
      <c r="E827" s="55" t="s">
        <v>1251</v>
      </c>
      <c r="F827" s="53" t="s">
        <v>2143</v>
      </c>
      <c r="G827" s="55">
        <v>11446</v>
      </c>
      <c r="H827" s="53" t="s">
        <v>1501</v>
      </c>
      <c r="I827" s="55">
        <v>310286121</v>
      </c>
      <c r="J827" s="55" t="s">
        <v>1502</v>
      </c>
      <c r="K827" s="55" t="s">
        <v>1503</v>
      </c>
      <c r="L827" s="53" t="s">
        <v>2037</v>
      </c>
      <c r="M827" s="55" t="s">
        <v>49</v>
      </c>
      <c r="N827" s="52">
        <v>580125000</v>
      </c>
      <c r="O827" s="52">
        <v>580125000</v>
      </c>
      <c r="P827" s="52">
        <v>580125000</v>
      </c>
      <c r="Q827" s="57">
        <v>45849</v>
      </c>
      <c r="R827" s="57">
        <v>47675</v>
      </c>
      <c r="S827" s="56">
        <v>27</v>
      </c>
      <c r="T827" s="54">
        <v>0</v>
      </c>
      <c r="U827" s="52">
        <v>552904469.64999998</v>
      </c>
      <c r="V827" s="52">
        <v>552904469.64999998</v>
      </c>
      <c r="W827" s="52">
        <v>0</v>
      </c>
      <c r="X827" s="57"/>
      <c r="Y827" s="52">
        <v>0</v>
      </c>
      <c r="Z827" s="52">
        <v>0</v>
      </c>
      <c r="AA827" s="52">
        <v>1</v>
      </c>
      <c r="AB827" s="52">
        <v>0</v>
      </c>
      <c r="AC827" s="52">
        <v>6952963.0499999998</v>
      </c>
      <c r="AD827" s="52">
        <v>6952963.0499999998</v>
      </c>
      <c r="AE827" s="52">
        <v>0</v>
      </c>
      <c r="AF827" s="52">
        <v>0</v>
      </c>
      <c r="AG827" s="52">
        <v>0</v>
      </c>
      <c r="AH827" s="52">
        <v>0</v>
      </c>
      <c r="AI827" s="52">
        <v>0</v>
      </c>
      <c r="AJ827" s="52">
        <v>2</v>
      </c>
      <c r="AK827" s="52"/>
      <c r="AL827" s="52">
        <v>0</v>
      </c>
      <c r="AM827" s="52">
        <v>0</v>
      </c>
      <c r="AN827" s="52">
        <v>726000000</v>
      </c>
      <c r="AO827" s="52">
        <v>4844347000</v>
      </c>
      <c r="AP827" s="52">
        <v>4832277000</v>
      </c>
      <c r="AQ827" s="58">
        <v>0</v>
      </c>
      <c r="AR827" s="58">
        <v>0</v>
      </c>
      <c r="AS827" s="58">
        <v>0</v>
      </c>
      <c r="AT827" s="58">
        <v>0</v>
      </c>
      <c r="AU827" s="58">
        <v>0</v>
      </c>
      <c r="AV827" s="58">
        <v>0</v>
      </c>
      <c r="AW827" s="58">
        <v>1</v>
      </c>
      <c r="AX827" s="58">
        <v>5000</v>
      </c>
    </row>
    <row r="828" spans="1:50" x14ac:dyDescent="0.25">
      <c r="A828" s="52">
        <f t="shared" si="41"/>
        <v>823</v>
      </c>
      <c r="B828" s="60" t="str">
        <f t="shared" si="40"/>
        <v>0008315775960</v>
      </c>
      <c r="C828" s="55" t="s">
        <v>35</v>
      </c>
      <c r="D828" s="53" t="s">
        <v>2139</v>
      </c>
      <c r="E828" s="55" t="s">
        <v>1251</v>
      </c>
      <c r="F828" s="53" t="s">
        <v>2143</v>
      </c>
      <c r="G828" s="55">
        <v>11446</v>
      </c>
      <c r="H828" s="53" t="s">
        <v>1491</v>
      </c>
      <c r="I828" s="55">
        <v>308778330</v>
      </c>
      <c r="J828" s="55" t="s">
        <v>1504</v>
      </c>
      <c r="K828" s="55" t="s">
        <v>1505</v>
      </c>
      <c r="L828" s="53" t="s">
        <v>2037</v>
      </c>
      <c r="M828" s="55" t="s">
        <v>49</v>
      </c>
      <c r="N828" s="52">
        <v>685735000</v>
      </c>
      <c r="O828" s="52">
        <v>685735000</v>
      </c>
      <c r="P828" s="52">
        <v>685735000</v>
      </c>
      <c r="Q828" s="57">
        <v>45693</v>
      </c>
      <c r="R828" s="57">
        <v>46788</v>
      </c>
      <c r="S828" s="56">
        <v>26</v>
      </c>
      <c r="T828" s="54">
        <v>0</v>
      </c>
      <c r="U828" s="52">
        <v>540424119.27999997</v>
      </c>
      <c r="V828" s="52">
        <v>540424119.27999997</v>
      </c>
      <c r="W828" s="52">
        <v>0</v>
      </c>
      <c r="X828" s="57"/>
      <c r="Y828" s="52">
        <v>0</v>
      </c>
      <c r="Z828" s="52">
        <v>0</v>
      </c>
      <c r="AA828" s="52">
        <v>1</v>
      </c>
      <c r="AB828" s="52">
        <v>0</v>
      </c>
      <c r="AC828" s="52">
        <v>2309757.88</v>
      </c>
      <c r="AD828" s="52">
        <v>2309757.88</v>
      </c>
      <c r="AE828" s="52">
        <v>0</v>
      </c>
      <c r="AF828" s="52">
        <v>0</v>
      </c>
      <c r="AG828" s="52">
        <v>0</v>
      </c>
      <c r="AH828" s="52">
        <v>0</v>
      </c>
      <c r="AI828" s="52">
        <v>0</v>
      </c>
      <c r="AJ828" s="52">
        <v>2</v>
      </c>
      <c r="AK828" s="52"/>
      <c r="AL828" s="52">
        <v>0</v>
      </c>
      <c r="AM828" s="52">
        <v>0</v>
      </c>
      <c r="AN828" s="52">
        <v>867168750</v>
      </c>
      <c r="AO828" s="52">
        <v>15781037558</v>
      </c>
      <c r="AP828" s="52">
        <v>487153410</v>
      </c>
      <c r="AQ828" s="58">
        <v>0</v>
      </c>
      <c r="AR828" s="58">
        <v>0</v>
      </c>
      <c r="AS828" s="58">
        <v>0</v>
      </c>
      <c r="AT828" s="58">
        <v>0</v>
      </c>
      <c r="AU828" s="58">
        <v>0</v>
      </c>
      <c r="AV828" s="58">
        <v>0</v>
      </c>
      <c r="AW828" s="58">
        <v>0</v>
      </c>
      <c r="AX828" s="58">
        <v>0</v>
      </c>
    </row>
    <row r="829" spans="1:50" x14ac:dyDescent="0.25">
      <c r="A829" s="52">
        <f t="shared" si="41"/>
        <v>824</v>
      </c>
      <c r="B829" s="60" t="str">
        <f t="shared" ref="B829:B891" si="42">+E829&amp;J829</f>
        <v>000836141859</v>
      </c>
      <c r="C829" s="55" t="s">
        <v>35</v>
      </c>
      <c r="D829" s="53" t="s">
        <v>2139</v>
      </c>
      <c r="E829" s="55" t="s">
        <v>1251</v>
      </c>
      <c r="F829" s="53" t="s">
        <v>2143</v>
      </c>
      <c r="G829" s="55">
        <v>11446</v>
      </c>
      <c r="H829" s="53" t="s">
        <v>2599</v>
      </c>
      <c r="I829" s="55">
        <v>302796227</v>
      </c>
      <c r="J829" s="55" t="s">
        <v>1506</v>
      </c>
      <c r="K829" s="55" t="s">
        <v>1507</v>
      </c>
      <c r="L829" s="53" t="s">
        <v>2037</v>
      </c>
      <c r="M829" s="55" t="s">
        <v>49</v>
      </c>
      <c r="N829" s="52">
        <v>1400000000</v>
      </c>
      <c r="O829" s="52">
        <v>1400000000</v>
      </c>
      <c r="P829" s="52">
        <v>1379431420</v>
      </c>
      <c r="Q829" s="57">
        <v>44952</v>
      </c>
      <c r="R829" s="57">
        <v>46413</v>
      </c>
      <c r="S829" s="56">
        <v>26</v>
      </c>
      <c r="T829" s="54">
        <v>3</v>
      </c>
      <c r="U829" s="52">
        <v>516382967.93000001</v>
      </c>
      <c r="V829" s="52">
        <v>516382967.93000001</v>
      </c>
      <c r="W829" s="52">
        <v>0</v>
      </c>
      <c r="X829" s="57"/>
      <c r="Y829" s="52">
        <v>0</v>
      </c>
      <c r="Z829" s="52">
        <v>0</v>
      </c>
      <c r="AA829" s="52">
        <v>1</v>
      </c>
      <c r="AB829" s="52">
        <v>0</v>
      </c>
      <c r="AC829" s="52">
        <v>4414013.32</v>
      </c>
      <c r="AD829" s="52">
        <v>4414013.32</v>
      </c>
      <c r="AE829" s="52">
        <v>0</v>
      </c>
      <c r="AF829" s="52">
        <v>0</v>
      </c>
      <c r="AG829" s="52">
        <v>0</v>
      </c>
      <c r="AH829" s="52">
        <v>0</v>
      </c>
      <c r="AI829" s="52">
        <v>0</v>
      </c>
      <c r="AJ829" s="52">
        <v>2</v>
      </c>
      <c r="AK829" s="52"/>
      <c r="AL829" s="52">
        <v>1483225256</v>
      </c>
      <c r="AM829" s="52">
        <v>1483225256</v>
      </c>
      <c r="AN829" s="52">
        <v>1050000000</v>
      </c>
      <c r="AO829" s="52">
        <v>4800708640266</v>
      </c>
      <c r="AP829" s="52">
        <v>4650185425695</v>
      </c>
      <c r="AQ829" s="58">
        <v>16</v>
      </c>
      <c r="AR829" s="58">
        <v>69526.260000000009</v>
      </c>
      <c r="AS829" s="58">
        <v>124</v>
      </c>
      <c r="AT829" s="58">
        <v>406796.16999999993</v>
      </c>
      <c r="AU829" s="58">
        <v>8</v>
      </c>
      <c r="AV829" s="58">
        <v>136214.91</v>
      </c>
      <c r="AW829" s="58">
        <v>23</v>
      </c>
      <c r="AX829" s="58">
        <v>398415.91000000003</v>
      </c>
    </row>
    <row r="830" spans="1:50" x14ac:dyDescent="0.25">
      <c r="A830" s="52">
        <f t="shared" si="41"/>
        <v>825</v>
      </c>
      <c r="B830" s="60" t="str">
        <f t="shared" si="42"/>
        <v>0008315844272</v>
      </c>
      <c r="C830" s="55" t="s">
        <v>35</v>
      </c>
      <c r="D830" s="53" t="s">
        <v>2139</v>
      </c>
      <c r="E830" s="55" t="s">
        <v>1251</v>
      </c>
      <c r="F830" s="53" t="s">
        <v>2143</v>
      </c>
      <c r="G830" s="55">
        <v>11446</v>
      </c>
      <c r="H830" s="53" t="s">
        <v>2597</v>
      </c>
      <c r="I830" s="55">
        <v>307395872</v>
      </c>
      <c r="J830" s="55" t="s">
        <v>1508</v>
      </c>
      <c r="K830" s="55" t="s">
        <v>1509</v>
      </c>
      <c r="L830" s="53" t="s">
        <v>2037</v>
      </c>
      <c r="M830" s="55" t="s">
        <v>49</v>
      </c>
      <c r="N830" s="52">
        <v>600000000</v>
      </c>
      <c r="O830" s="52">
        <v>600000000</v>
      </c>
      <c r="P830" s="52">
        <v>600000000</v>
      </c>
      <c r="Q830" s="57">
        <v>45771</v>
      </c>
      <c r="R830" s="57">
        <v>46867</v>
      </c>
      <c r="S830" s="56">
        <v>26</v>
      </c>
      <c r="T830" s="54">
        <v>0</v>
      </c>
      <c r="U830" s="52">
        <v>486241380.69999999</v>
      </c>
      <c r="V830" s="52">
        <v>486241380.69999999</v>
      </c>
      <c r="W830" s="52">
        <v>0</v>
      </c>
      <c r="X830" s="57"/>
      <c r="Y830" s="52">
        <v>0</v>
      </c>
      <c r="Z830" s="52">
        <v>0</v>
      </c>
      <c r="AA830" s="52">
        <v>1</v>
      </c>
      <c r="AB830" s="52">
        <v>0</v>
      </c>
      <c r="AC830" s="52">
        <v>5890126.1299999999</v>
      </c>
      <c r="AD830" s="52">
        <v>5890126.1299999999</v>
      </c>
      <c r="AE830" s="52">
        <v>0</v>
      </c>
      <c r="AF830" s="52">
        <v>0</v>
      </c>
      <c r="AG830" s="52">
        <v>0</v>
      </c>
      <c r="AH830" s="52">
        <v>0</v>
      </c>
      <c r="AI830" s="52">
        <v>0</v>
      </c>
      <c r="AJ830" s="52">
        <v>2</v>
      </c>
      <c r="AK830" s="52"/>
      <c r="AL830" s="52">
        <v>0</v>
      </c>
      <c r="AM830" s="52">
        <v>0</v>
      </c>
      <c r="AN830" s="52">
        <v>750000000</v>
      </c>
      <c r="AO830" s="52">
        <v>1107966608492</v>
      </c>
      <c r="AP830" s="52">
        <v>9911166084</v>
      </c>
      <c r="AQ830" s="58">
        <v>12</v>
      </c>
      <c r="AR830" s="58">
        <v>522870.31</v>
      </c>
      <c r="AS830" s="58">
        <v>21</v>
      </c>
      <c r="AT830" s="58">
        <v>804782</v>
      </c>
      <c r="AU830" s="58">
        <v>5</v>
      </c>
      <c r="AV830" s="58">
        <v>75190</v>
      </c>
      <c r="AW830" s="58">
        <v>10</v>
      </c>
      <c r="AX830" s="58">
        <v>200500</v>
      </c>
    </row>
    <row r="831" spans="1:50" x14ac:dyDescent="0.25">
      <c r="A831" s="52">
        <f t="shared" si="41"/>
        <v>826</v>
      </c>
      <c r="B831" s="60" t="str">
        <f t="shared" si="42"/>
        <v>0008315468391</v>
      </c>
      <c r="C831" s="55" t="s">
        <v>35</v>
      </c>
      <c r="D831" s="53" t="s">
        <v>2139</v>
      </c>
      <c r="E831" s="55" t="s">
        <v>1251</v>
      </c>
      <c r="F831" s="53" t="s">
        <v>2143</v>
      </c>
      <c r="G831" s="55">
        <v>11446</v>
      </c>
      <c r="H831" s="53" t="s">
        <v>2599</v>
      </c>
      <c r="I831" s="55">
        <v>302796227</v>
      </c>
      <c r="J831" s="55" t="s">
        <v>1510</v>
      </c>
      <c r="K831" s="55" t="s">
        <v>1511</v>
      </c>
      <c r="L831" s="53" t="s">
        <v>2037</v>
      </c>
      <c r="M831" s="55" t="s">
        <v>49</v>
      </c>
      <c r="N831" s="52">
        <v>585000000</v>
      </c>
      <c r="O831" s="52">
        <v>585000000</v>
      </c>
      <c r="P831" s="52">
        <v>585000000</v>
      </c>
      <c r="Q831" s="57">
        <v>45573</v>
      </c>
      <c r="R831" s="57">
        <v>46668</v>
      </c>
      <c r="S831" s="56">
        <v>26</v>
      </c>
      <c r="T831" s="54">
        <v>0</v>
      </c>
      <c r="U831" s="52">
        <v>394681065.05000001</v>
      </c>
      <c r="V831" s="52">
        <v>394681065.05000001</v>
      </c>
      <c r="W831" s="52">
        <v>0</v>
      </c>
      <c r="X831" s="57"/>
      <c r="Y831" s="52">
        <v>0</v>
      </c>
      <c r="Z831" s="52">
        <v>0</v>
      </c>
      <c r="AA831" s="52">
        <v>1</v>
      </c>
      <c r="AB831" s="52">
        <v>0</v>
      </c>
      <c r="AC831" s="52">
        <v>6747424.2300000004</v>
      </c>
      <c r="AD831" s="52">
        <v>6747424.2300000004</v>
      </c>
      <c r="AE831" s="52">
        <v>0</v>
      </c>
      <c r="AF831" s="52">
        <v>0</v>
      </c>
      <c r="AG831" s="52">
        <v>0</v>
      </c>
      <c r="AH831" s="52">
        <v>0</v>
      </c>
      <c r="AI831" s="52">
        <v>0</v>
      </c>
      <c r="AJ831" s="52">
        <v>2</v>
      </c>
      <c r="AK831" s="52"/>
      <c r="AL831" s="52">
        <v>1483225256</v>
      </c>
      <c r="AM831" s="52">
        <v>1483225256</v>
      </c>
      <c r="AN831" s="52">
        <v>731250000</v>
      </c>
      <c r="AO831" s="52">
        <v>164680928356</v>
      </c>
      <c r="AP831" s="52">
        <v>1569352072947</v>
      </c>
      <c r="AQ831" s="58">
        <v>16</v>
      </c>
      <c r="AR831" s="58">
        <v>69526.260000000009</v>
      </c>
      <c r="AS831" s="58">
        <v>124</v>
      </c>
      <c r="AT831" s="58">
        <v>406796.16999999993</v>
      </c>
      <c r="AU831" s="58">
        <v>8</v>
      </c>
      <c r="AV831" s="58">
        <v>136214.91</v>
      </c>
      <c r="AW831" s="58">
        <v>23</v>
      </c>
      <c r="AX831" s="58">
        <v>398415.91000000003</v>
      </c>
    </row>
    <row r="832" spans="1:50" x14ac:dyDescent="0.25">
      <c r="A832" s="52">
        <f t="shared" si="41"/>
        <v>827</v>
      </c>
      <c r="B832" s="60" t="str">
        <f t="shared" si="42"/>
        <v>0008315821220</v>
      </c>
      <c r="C832" s="55" t="s">
        <v>35</v>
      </c>
      <c r="D832" s="53" t="s">
        <v>2139</v>
      </c>
      <c r="E832" s="55" t="s">
        <v>1251</v>
      </c>
      <c r="F832" s="53" t="s">
        <v>2143</v>
      </c>
      <c r="G832" s="55">
        <v>11446</v>
      </c>
      <c r="H832" s="53" t="s">
        <v>1512</v>
      </c>
      <c r="I832" s="55">
        <v>308995061</v>
      </c>
      <c r="J832" s="55" t="s">
        <v>1513</v>
      </c>
      <c r="K832" s="55" t="s">
        <v>1514</v>
      </c>
      <c r="L832" s="53" t="s">
        <v>2037</v>
      </c>
      <c r="M832" s="55" t="s">
        <v>49</v>
      </c>
      <c r="N832" s="52">
        <v>340000000</v>
      </c>
      <c r="O832" s="52">
        <v>340000000</v>
      </c>
      <c r="P832" s="52">
        <v>340000000</v>
      </c>
      <c r="Q832" s="57">
        <v>45751</v>
      </c>
      <c r="R832" s="57">
        <v>46847</v>
      </c>
      <c r="S832" s="56">
        <v>26</v>
      </c>
      <c r="T832" s="54">
        <v>0</v>
      </c>
      <c r="U832" s="52">
        <v>281293378.81999999</v>
      </c>
      <c r="V832" s="52">
        <v>281293378.81999999</v>
      </c>
      <c r="W832" s="52">
        <v>0</v>
      </c>
      <c r="X832" s="57"/>
      <c r="Y832" s="52">
        <v>0</v>
      </c>
      <c r="Z832" s="52">
        <v>0</v>
      </c>
      <c r="AA832" s="52">
        <v>1</v>
      </c>
      <c r="AB832" s="52">
        <v>0</v>
      </c>
      <c r="AC832" s="52">
        <v>3406347.21</v>
      </c>
      <c r="AD832" s="52">
        <v>3406347.21</v>
      </c>
      <c r="AE832" s="52">
        <v>0</v>
      </c>
      <c r="AF832" s="52">
        <v>0</v>
      </c>
      <c r="AG832" s="52">
        <v>0</v>
      </c>
      <c r="AH832" s="52">
        <v>0</v>
      </c>
      <c r="AI832" s="52">
        <v>0</v>
      </c>
      <c r="AJ832" s="52">
        <v>2</v>
      </c>
      <c r="AK832" s="52"/>
      <c r="AL832" s="52">
        <v>0</v>
      </c>
      <c r="AM832" s="52">
        <v>0</v>
      </c>
      <c r="AN832" s="52">
        <v>425000000</v>
      </c>
      <c r="AO832" s="52">
        <v>13125002864993</v>
      </c>
      <c r="AP832" s="52">
        <v>107797273400</v>
      </c>
      <c r="AQ832" s="58">
        <v>0</v>
      </c>
      <c r="AR832" s="58">
        <v>0</v>
      </c>
      <c r="AS832" s="58">
        <v>0</v>
      </c>
      <c r="AT832" s="58">
        <v>0</v>
      </c>
      <c r="AU832" s="58">
        <v>60</v>
      </c>
      <c r="AV832" s="58">
        <v>3978431.5899999994</v>
      </c>
      <c r="AW832" s="58">
        <v>34</v>
      </c>
      <c r="AX832" s="58">
        <v>6368172.9800000014</v>
      </c>
    </row>
    <row r="833" spans="1:50" x14ac:dyDescent="0.25">
      <c r="A833" s="52">
        <f t="shared" si="41"/>
        <v>828</v>
      </c>
      <c r="B833" s="60" t="str">
        <f t="shared" si="42"/>
        <v>0008315318004</v>
      </c>
      <c r="C833" s="55" t="s">
        <v>35</v>
      </c>
      <c r="D833" s="53" t="s">
        <v>2139</v>
      </c>
      <c r="E833" s="55" t="s">
        <v>1251</v>
      </c>
      <c r="F833" s="53" t="s">
        <v>2143</v>
      </c>
      <c r="G833" s="55">
        <v>11446</v>
      </c>
      <c r="H833" s="53" t="s">
        <v>1479</v>
      </c>
      <c r="I833" s="55">
        <v>305856133</v>
      </c>
      <c r="J833" s="55" t="s">
        <v>1515</v>
      </c>
      <c r="K833" s="55" t="s">
        <v>1516</v>
      </c>
      <c r="L833" s="53" t="s">
        <v>2037</v>
      </c>
      <c r="M833" s="55" t="s">
        <v>49</v>
      </c>
      <c r="N833" s="52">
        <v>570000000</v>
      </c>
      <c r="O833" s="52">
        <v>570000000</v>
      </c>
      <c r="P833" s="52">
        <v>570000000</v>
      </c>
      <c r="Q833" s="57">
        <v>45345</v>
      </c>
      <c r="R833" s="57">
        <v>46441</v>
      </c>
      <c r="S833" s="56">
        <v>28</v>
      </c>
      <c r="T833" s="54">
        <v>0</v>
      </c>
      <c r="U833" s="52">
        <v>252738208.13</v>
      </c>
      <c r="V833" s="52">
        <v>252738208.13</v>
      </c>
      <c r="W833" s="52">
        <v>0</v>
      </c>
      <c r="X833" s="57"/>
      <c r="Y833" s="52">
        <v>0</v>
      </c>
      <c r="Z833" s="52">
        <v>0</v>
      </c>
      <c r="AA833" s="52">
        <v>1</v>
      </c>
      <c r="AB833" s="52">
        <v>0</v>
      </c>
      <c r="AC833" s="52">
        <v>3877627.3</v>
      </c>
      <c r="AD833" s="52">
        <v>3877627.3</v>
      </c>
      <c r="AE833" s="52">
        <v>0</v>
      </c>
      <c r="AF833" s="52">
        <v>0</v>
      </c>
      <c r="AG833" s="52">
        <v>0</v>
      </c>
      <c r="AH833" s="52">
        <v>0</v>
      </c>
      <c r="AI833" s="52">
        <v>0</v>
      </c>
      <c r="AJ833" s="52">
        <v>2</v>
      </c>
      <c r="AK833" s="52"/>
      <c r="AL833" s="52">
        <v>0</v>
      </c>
      <c r="AM833" s="52">
        <v>0</v>
      </c>
      <c r="AN833" s="52">
        <v>712500000</v>
      </c>
      <c r="AO833" s="52">
        <v>10693707794</v>
      </c>
      <c r="AP833" s="52">
        <v>1001391480</v>
      </c>
      <c r="AQ833" s="58">
        <v>0</v>
      </c>
      <c r="AR833" s="58">
        <v>0</v>
      </c>
      <c r="AS833" s="58">
        <v>0</v>
      </c>
      <c r="AT833" s="58">
        <v>0</v>
      </c>
      <c r="AU833" s="58">
        <v>1</v>
      </c>
      <c r="AV833" s="58">
        <v>21500</v>
      </c>
      <c r="AW833" s="58">
        <v>0</v>
      </c>
      <c r="AX833" s="58">
        <v>0</v>
      </c>
    </row>
    <row r="834" spans="1:50" x14ac:dyDescent="0.25">
      <c r="A834" s="52">
        <f t="shared" si="41"/>
        <v>829</v>
      </c>
      <c r="B834" s="60" t="str">
        <f t="shared" si="42"/>
        <v>0008315123162</v>
      </c>
      <c r="C834" s="55" t="s">
        <v>35</v>
      </c>
      <c r="D834" s="53" t="s">
        <v>2139</v>
      </c>
      <c r="E834" s="55" t="s">
        <v>1251</v>
      </c>
      <c r="F834" s="53" t="s">
        <v>2143</v>
      </c>
      <c r="G834" s="55">
        <v>11446</v>
      </c>
      <c r="H834" s="53" t="s">
        <v>2598</v>
      </c>
      <c r="I834" s="55">
        <v>201321876</v>
      </c>
      <c r="J834" s="55" t="s">
        <v>1517</v>
      </c>
      <c r="K834" s="55" t="s">
        <v>1518</v>
      </c>
      <c r="L834" s="53" t="s">
        <v>2037</v>
      </c>
      <c r="M834" s="55" t="s">
        <v>49</v>
      </c>
      <c r="N834" s="52">
        <v>595000000</v>
      </c>
      <c r="O834" s="52">
        <v>595000000</v>
      </c>
      <c r="P834" s="52">
        <v>595000000</v>
      </c>
      <c r="Q834" s="57">
        <v>45245</v>
      </c>
      <c r="R834" s="57">
        <v>46341</v>
      </c>
      <c r="S834" s="56">
        <v>28</v>
      </c>
      <c r="T834" s="54">
        <v>0</v>
      </c>
      <c r="U834" s="52">
        <v>221837497.97999999</v>
      </c>
      <c r="V834" s="52">
        <v>221837497.97999999</v>
      </c>
      <c r="W834" s="52">
        <v>0</v>
      </c>
      <c r="X834" s="57"/>
      <c r="Y834" s="52">
        <v>0</v>
      </c>
      <c r="Z834" s="52">
        <v>0</v>
      </c>
      <c r="AA834" s="52">
        <v>1</v>
      </c>
      <c r="AB834" s="52">
        <v>0</v>
      </c>
      <c r="AC834" s="52">
        <v>2056886.13</v>
      </c>
      <c r="AD834" s="52">
        <v>2056886.13</v>
      </c>
      <c r="AE834" s="52">
        <v>0</v>
      </c>
      <c r="AF834" s="52">
        <v>0</v>
      </c>
      <c r="AG834" s="52">
        <v>0</v>
      </c>
      <c r="AH834" s="52">
        <v>0</v>
      </c>
      <c r="AI834" s="52">
        <v>0</v>
      </c>
      <c r="AJ834" s="52">
        <v>2</v>
      </c>
      <c r="AK834" s="52"/>
      <c r="AL834" s="52">
        <v>85058172</v>
      </c>
      <c r="AM834" s="52">
        <v>85058172</v>
      </c>
      <c r="AN834" s="52">
        <v>744000000</v>
      </c>
      <c r="AO834" s="52">
        <v>744983836459</v>
      </c>
      <c r="AP834" s="52">
        <v>330831807253</v>
      </c>
      <c r="AQ834" s="58">
        <v>0</v>
      </c>
      <c r="AR834" s="58">
        <v>0</v>
      </c>
      <c r="AS834" s="58">
        <v>0</v>
      </c>
      <c r="AT834" s="58">
        <v>0</v>
      </c>
      <c r="AU834" s="58">
        <v>0</v>
      </c>
      <c r="AV834" s="58">
        <v>0</v>
      </c>
      <c r="AW834" s="58">
        <v>0</v>
      </c>
      <c r="AX834" s="58">
        <v>0</v>
      </c>
    </row>
    <row r="835" spans="1:50" x14ac:dyDescent="0.25">
      <c r="A835" s="52">
        <f t="shared" si="41"/>
        <v>830</v>
      </c>
      <c r="B835" s="60" t="str">
        <f t="shared" si="42"/>
        <v>0008315355384</v>
      </c>
      <c r="C835" s="55" t="s">
        <v>35</v>
      </c>
      <c r="D835" s="53" t="s">
        <v>2139</v>
      </c>
      <c r="E835" s="55" t="s">
        <v>1251</v>
      </c>
      <c r="F835" s="53" t="s">
        <v>2143</v>
      </c>
      <c r="G835" s="55">
        <v>11446</v>
      </c>
      <c r="H835" s="53" t="s">
        <v>1501</v>
      </c>
      <c r="I835" s="55">
        <v>310286121</v>
      </c>
      <c r="J835" s="55" t="s">
        <v>1519</v>
      </c>
      <c r="K835" s="55" t="s">
        <v>1520</v>
      </c>
      <c r="L835" s="53" t="s">
        <v>2037</v>
      </c>
      <c r="M835" s="55" t="s">
        <v>49</v>
      </c>
      <c r="N835" s="52">
        <v>400000000</v>
      </c>
      <c r="O835" s="52">
        <v>400000000</v>
      </c>
      <c r="P835" s="52">
        <v>400000000</v>
      </c>
      <c r="Q835" s="57">
        <v>45407</v>
      </c>
      <c r="R835" s="57">
        <v>46502</v>
      </c>
      <c r="S835" s="56">
        <v>28</v>
      </c>
      <c r="T835" s="54">
        <v>0</v>
      </c>
      <c r="U835" s="52">
        <v>201168917.25</v>
      </c>
      <c r="V835" s="52">
        <v>201168917.25</v>
      </c>
      <c r="W835" s="52">
        <v>0</v>
      </c>
      <c r="X835" s="57"/>
      <c r="Y835" s="52">
        <v>0</v>
      </c>
      <c r="Z835" s="52">
        <v>0</v>
      </c>
      <c r="AA835" s="52">
        <v>1</v>
      </c>
      <c r="AB835" s="52">
        <v>0</v>
      </c>
      <c r="AC835" s="52">
        <v>3094996.04</v>
      </c>
      <c r="AD835" s="52">
        <v>3094996.04</v>
      </c>
      <c r="AE835" s="52">
        <v>0</v>
      </c>
      <c r="AF835" s="52">
        <v>0</v>
      </c>
      <c r="AG835" s="52">
        <v>0</v>
      </c>
      <c r="AH835" s="52">
        <v>0</v>
      </c>
      <c r="AI835" s="52">
        <v>0</v>
      </c>
      <c r="AJ835" s="52">
        <v>2</v>
      </c>
      <c r="AK835" s="52"/>
      <c r="AL835" s="52">
        <v>0</v>
      </c>
      <c r="AM835" s="52">
        <v>0</v>
      </c>
      <c r="AN835" s="52">
        <v>500000000</v>
      </c>
      <c r="AO835" s="52">
        <v>3606237957359</v>
      </c>
      <c r="AP835" s="52">
        <v>3541892936244</v>
      </c>
      <c r="AQ835" s="58">
        <v>0</v>
      </c>
      <c r="AR835" s="58">
        <v>0</v>
      </c>
      <c r="AS835" s="58">
        <v>0</v>
      </c>
      <c r="AT835" s="58">
        <v>0</v>
      </c>
      <c r="AU835" s="58">
        <v>0</v>
      </c>
      <c r="AV835" s="58">
        <v>0</v>
      </c>
      <c r="AW835" s="58">
        <v>1</v>
      </c>
      <c r="AX835" s="58">
        <v>5000</v>
      </c>
    </row>
    <row r="836" spans="1:50" x14ac:dyDescent="0.25">
      <c r="A836" s="52">
        <f t="shared" si="41"/>
        <v>831</v>
      </c>
      <c r="B836" s="60" t="str">
        <f t="shared" si="42"/>
        <v>0008315914293</v>
      </c>
      <c r="C836" s="55" t="s">
        <v>35</v>
      </c>
      <c r="D836" s="53" t="s">
        <v>2139</v>
      </c>
      <c r="E836" s="55" t="s">
        <v>1251</v>
      </c>
      <c r="F836" s="53" t="s">
        <v>2144</v>
      </c>
      <c r="G836" s="55">
        <v>11447</v>
      </c>
      <c r="H836" s="53" t="s">
        <v>2600</v>
      </c>
      <c r="I836" s="55">
        <v>305554644</v>
      </c>
      <c r="J836" s="55" t="s">
        <v>1521</v>
      </c>
      <c r="K836" s="55" t="s">
        <v>1522</v>
      </c>
      <c r="L836" s="53" t="s">
        <v>2045</v>
      </c>
      <c r="M836" s="55" t="s">
        <v>75</v>
      </c>
      <c r="N836" s="52">
        <v>2000000</v>
      </c>
      <c r="O836" s="52">
        <v>24135520000</v>
      </c>
      <c r="P836" s="52">
        <v>24135520000</v>
      </c>
      <c r="Q836" s="57">
        <v>45877</v>
      </c>
      <c r="R836" s="57">
        <v>46242</v>
      </c>
      <c r="S836" s="56">
        <v>6</v>
      </c>
      <c r="T836" s="54">
        <v>6</v>
      </c>
      <c r="U836" s="52">
        <v>24398200000</v>
      </c>
      <c r="V836" s="52">
        <v>24398200000</v>
      </c>
      <c r="W836" s="52">
        <v>0</v>
      </c>
      <c r="X836" s="57"/>
      <c r="Y836" s="52">
        <v>0</v>
      </c>
      <c r="Z836" s="52">
        <v>0</v>
      </c>
      <c r="AA836" s="52">
        <v>1</v>
      </c>
      <c r="AB836" s="52">
        <v>0</v>
      </c>
      <c r="AC836" s="52">
        <v>80213230.189999998</v>
      </c>
      <c r="AD836" s="52">
        <v>80213230.189999998</v>
      </c>
      <c r="AE836" s="52">
        <v>0</v>
      </c>
      <c r="AF836" s="52">
        <v>0</v>
      </c>
      <c r="AG836" s="52">
        <v>0</v>
      </c>
      <c r="AH836" s="52">
        <v>0</v>
      </c>
      <c r="AI836" s="52">
        <v>0</v>
      </c>
      <c r="AJ836" s="52">
        <v>2</v>
      </c>
      <c r="AK836" s="52"/>
      <c r="AL836" s="52">
        <v>0</v>
      </c>
      <c r="AM836" s="52">
        <v>0</v>
      </c>
      <c r="AN836" s="52">
        <v>49814000000</v>
      </c>
      <c r="AO836" s="52">
        <v>23640740945</v>
      </c>
      <c r="AP836" s="52">
        <v>23640740945</v>
      </c>
      <c r="AQ836" s="58">
        <v>498</v>
      </c>
      <c r="AR836" s="58">
        <v>124438620.49000001</v>
      </c>
      <c r="AS836" s="58">
        <v>100</v>
      </c>
      <c r="AT836" s="58">
        <v>24250088.219999995</v>
      </c>
      <c r="AU836" s="58">
        <v>1130</v>
      </c>
      <c r="AV836" s="58">
        <v>186008673.9000001</v>
      </c>
      <c r="AW836" s="58">
        <v>174</v>
      </c>
      <c r="AX836" s="58">
        <v>74116457.160000011</v>
      </c>
    </row>
    <row r="837" spans="1:50" x14ac:dyDescent="0.25">
      <c r="A837" s="52">
        <f t="shared" si="41"/>
        <v>832</v>
      </c>
      <c r="B837" s="60" t="str">
        <f t="shared" si="42"/>
        <v>0008315942237</v>
      </c>
      <c r="C837" s="55" t="s">
        <v>35</v>
      </c>
      <c r="D837" s="53" t="s">
        <v>2139</v>
      </c>
      <c r="E837" s="55" t="s">
        <v>1251</v>
      </c>
      <c r="F837" s="53" t="s">
        <v>2144</v>
      </c>
      <c r="G837" s="55">
        <v>11447</v>
      </c>
      <c r="H837" s="53" t="s">
        <v>2600</v>
      </c>
      <c r="I837" s="55">
        <v>305554644</v>
      </c>
      <c r="J837" s="55" t="s">
        <v>1523</v>
      </c>
      <c r="K837" s="55" t="s">
        <v>1524</v>
      </c>
      <c r="L837" s="53" t="s">
        <v>2045</v>
      </c>
      <c r="M837" s="55" t="s">
        <v>75</v>
      </c>
      <c r="N837" s="52">
        <v>1000000</v>
      </c>
      <c r="O837" s="52">
        <v>12067760000</v>
      </c>
      <c r="P837" s="52">
        <v>12067760000</v>
      </c>
      <c r="Q837" s="57">
        <v>45917</v>
      </c>
      <c r="R837" s="57">
        <v>46282</v>
      </c>
      <c r="S837" s="56">
        <v>6</v>
      </c>
      <c r="T837" s="54">
        <v>6</v>
      </c>
      <c r="U837" s="52">
        <v>12199100000</v>
      </c>
      <c r="V837" s="52">
        <v>12199100000</v>
      </c>
      <c r="W837" s="52">
        <v>0</v>
      </c>
      <c r="X837" s="57"/>
      <c r="Y837" s="52">
        <v>0</v>
      </c>
      <c r="Z837" s="52">
        <v>0</v>
      </c>
      <c r="AA837" s="52">
        <v>1</v>
      </c>
      <c r="AB837" s="52">
        <v>0</v>
      </c>
      <c r="AC837" s="52">
        <v>34090628.93</v>
      </c>
      <c r="AD837" s="52">
        <v>34090628.93</v>
      </c>
      <c r="AE837" s="52">
        <v>0</v>
      </c>
      <c r="AF837" s="52">
        <v>0</v>
      </c>
      <c r="AG837" s="52">
        <v>0</v>
      </c>
      <c r="AH837" s="52">
        <v>0</v>
      </c>
      <c r="AI837" s="52">
        <v>0</v>
      </c>
      <c r="AJ837" s="52">
        <v>2</v>
      </c>
      <c r="AK837" s="52"/>
      <c r="AL837" s="52">
        <v>0</v>
      </c>
      <c r="AM837" s="52">
        <v>0</v>
      </c>
      <c r="AN837" s="52">
        <v>49814000000</v>
      </c>
      <c r="AO837" s="52">
        <v>23520740945</v>
      </c>
      <c r="AP837" s="52">
        <v>23520740945</v>
      </c>
      <c r="AQ837" s="58">
        <v>498</v>
      </c>
      <c r="AR837" s="58">
        <v>124438620.49000001</v>
      </c>
      <c r="AS837" s="58">
        <v>100</v>
      </c>
      <c r="AT837" s="58">
        <v>24250088.219999995</v>
      </c>
      <c r="AU837" s="58">
        <v>1130</v>
      </c>
      <c r="AV837" s="58">
        <v>186008673.9000001</v>
      </c>
      <c r="AW837" s="58">
        <v>174</v>
      </c>
      <c r="AX837" s="58">
        <v>74116457.160000011</v>
      </c>
    </row>
    <row r="838" spans="1:50" x14ac:dyDescent="0.25">
      <c r="A838" s="52">
        <f t="shared" si="41"/>
        <v>833</v>
      </c>
      <c r="B838" s="60" t="str">
        <f t="shared" si="42"/>
        <v>0008315552569</v>
      </c>
      <c r="C838" s="55" t="s">
        <v>35</v>
      </c>
      <c r="D838" s="53" t="s">
        <v>2139</v>
      </c>
      <c r="E838" s="55" t="s">
        <v>1251</v>
      </c>
      <c r="F838" s="53" t="s">
        <v>2144</v>
      </c>
      <c r="G838" s="55">
        <v>11447</v>
      </c>
      <c r="H838" s="53" t="s">
        <v>1525</v>
      </c>
      <c r="I838" s="55">
        <v>202717334</v>
      </c>
      <c r="J838" s="55" t="s">
        <v>1526</v>
      </c>
      <c r="K838" s="55" t="s">
        <v>1527</v>
      </c>
      <c r="L838" s="53" t="s">
        <v>2045</v>
      </c>
      <c r="M838" s="55" t="s">
        <v>49</v>
      </c>
      <c r="N838" s="52">
        <v>9300000000</v>
      </c>
      <c r="O838" s="52">
        <v>9300000000</v>
      </c>
      <c r="P838" s="52">
        <v>9289362822</v>
      </c>
      <c r="Q838" s="57">
        <v>45652</v>
      </c>
      <c r="R838" s="57">
        <v>46199</v>
      </c>
      <c r="S838" s="56">
        <v>24</v>
      </c>
      <c r="T838" s="54">
        <v>6</v>
      </c>
      <c r="U838" s="52">
        <v>5328125000</v>
      </c>
      <c r="V838" s="52">
        <v>0</v>
      </c>
      <c r="W838" s="52">
        <v>0</v>
      </c>
      <c r="X838" s="57"/>
      <c r="Y838" s="52">
        <v>5328125000</v>
      </c>
      <c r="Z838" s="52">
        <v>0</v>
      </c>
      <c r="AA838" s="52">
        <v>2</v>
      </c>
      <c r="AB838" s="52">
        <v>532812500</v>
      </c>
      <c r="AC838" s="52">
        <v>42741780.82</v>
      </c>
      <c r="AD838" s="52">
        <v>42741780.82</v>
      </c>
      <c r="AE838" s="52">
        <v>0</v>
      </c>
      <c r="AF838" s="52">
        <v>0</v>
      </c>
      <c r="AG838" s="52">
        <v>0</v>
      </c>
      <c r="AH838" s="52">
        <v>0</v>
      </c>
      <c r="AI838" s="52">
        <v>0</v>
      </c>
      <c r="AJ838" s="52">
        <v>2</v>
      </c>
      <c r="AK838" s="52"/>
      <c r="AL838" s="52">
        <v>0</v>
      </c>
      <c r="AM838" s="52">
        <v>0</v>
      </c>
      <c r="AN838" s="52">
        <v>11625000000</v>
      </c>
      <c r="AO838" s="52">
        <v>15452258571</v>
      </c>
      <c r="AP838" s="52">
        <v>15452258571</v>
      </c>
      <c r="AQ838" s="58">
        <v>23</v>
      </c>
      <c r="AR838" s="58">
        <v>407167.67000000004</v>
      </c>
      <c r="AS838" s="58">
        <v>2</v>
      </c>
      <c r="AT838" s="58">
        <v>56272.639999999999</v>
      </c>
      <c r="AU838" s="58">
        <v>10</v>
      </c>
      <c r="AV838" s="58">
        <v>227131.43</v>
      </c>
      <c r="AW838" s="58">
        <v>1</v>
      </c>
      <c r="AX838" s="58">
        <v>39339.18</v>
      </c>
    </row>
    <row r="839" spans="1:50" x14ac:dyDescent="0.25">
      <c r="A839" s="52">
        <f t="shared" si="41"/>
        <v>834</v>
      </c>
      <c r="B839" s="60" t="str">
        <f t="shared" si="42"/>
        <v>0008315788788</v>
      </c>
      <c r="C839" s="55" t="s">
        <v>35</v>
      </c>
      <c r="D839" s="53" t="s">
        <v>2139</v>
      </c>
      <c r="E839" s="55" t="s">
        <v>1251</v>
      </c>
      <c r="F839" s="53" t="s">
        <v>2144</v>
      </c>
      <c r="G839" s="55">
        <v>11447</v>
      </c>
      <c r="H839" s="53" t="s">
        <v>2601</v>
      </c>
      <c r="I839" s="55">
        <v>205793303</v>
      </c>
      <c r="J839" s="55" t="s">
        <v>1528</v>
      </c>
      <c r="K839" s="55" t="s">
        <v>1529</v>
      </c>
      <c r="L839" s="53" t="s">
        <v>2047</v>
      </c>
      <c r="M839" s="55" t="s">
        <v>49</v>
      </c>
      <c r="N839" s="52">
        <v>2000000000</v>
      </c>
      <c r="O839" s="52">
        <v>2000000000</v>
      </c>
      <c r="P839" s="52">
        <v>2000000000</v>
      </c>
      <c r="Q839" s="57">
        <v>45701</v>
      </c>
      <c r="R839" s="57">
        <v>47162</v>
      </c>
      <c r="S839" s="56">
        <v>26</v>
      </c>
      <c r="T839" s="54">
        <v>6</v>
      </c>
      <c r="U839" s="52">
        <v>1846588782.74</v>
      </c>
      <c r="V839" s="52">
        <v>1846588782.74</v>
      </c>
      <c r="W839" s="52">
        <v>0</v>
      </c>
      <c r="X839" s="57"/>
      <c r="Y839" s="52">
        <v>0</v>
      </c>
      <c r="Z839" s="52">
        <v>0</v>
      </c>
      <c r="AA839" s="52">
        <v>1</v>
      </c>
      <c r="AB839" s="52">
        <v>0</v>
      </c>
      <c r="AC839" s="52">
        <v>15808870.119999999</v>
      </c>
      <c r="AD839" s="52">
        <v>15808870.119999999</v>
      </c>
      <c r="AE839" s="52">
        <v>0</v>
      </c>
      <c r="AF839" s="52">
        <v>0</v>
      </c>
      <c r="AG839" s="52">
        <v>0</v>
      </c>
      <c r="AH839" s="52">
        <v>0</v>
      </c>
      <c r="AI839" s="52">
        <v>0</v>
      </c>
      <c r="AJ839" s="52">
        <v>2</v>
      </c>
      <c r="AK839" s="52"/>
      <c r="AL839" s="52">
        <v>0</v>
      </c>
      <c r="AM839" s="52">
        <v>0</v>
      </c>
      <c r="AN839" s="52">
        <v>2500000000</v>
      </c>
      <c r="AO839" s="52">
        <v>8979295783</v>
      </c>
      <c r="AP839" s="52">
        <v>39302571293</v>
      </c>
      <c r="AQ839" s="58">
        <v>0</v>
      </c>
      <c r="AR839" s="58">
        <v>0</v>
      </c>
      <c r="AS839" s="58">
        <v>0</v>
      </c>
      <c r="AT839" s="58">
        <v>0</v>
      </c>
      <c r="AU839" s="58">
        <v>0</v>
      </c>
      <c r="AV839" s="58">
        <v>0</v>
      </c>
      <c r="AW839" s="58">
        <v>0</v>
      </c>
      <c r="AX839" s="58">
        <v>0</v>
      </c>
    </row>
    <row r="840" spans="1:50" x14ac:dyDescent="0.25">
      <c r="A840" s="52">
        <f t="shared" ref="A840:A903" si="43">+A839+1</f>
        <v>835</v>
      </c>
      <c r="B840" s="60" t="str">
        <f t="shared" si="42"/>
        <v>0008315619867</v>
      </c>
      <c r="C840" s="55" t="s">
        <v>35</v>
      </c>
      <c r="D840" s="53" t="s">
        <v>2139</v>
      </c>
      <c r="E840" s="55" t="s">
        <v>1251</v>
      </c>
      <c r="F840" s="53" t="s">
        <v>2144</v>
      </c>
      <c r="G840" s="55">
        <v>11447</v>
      </c>
      <c r="H840" s="53" t="s">
        <v>2602</v>
      </c>
      <c r="I840" s="55">
        <v>306835198</v>
      </c>
      <c r="J840" s="55" t="s">
        <v>1530</v>
      </c>
      <c r="K840" s="55" t="s">
        <v>1531</v>
      </c>
      <c r="L840" s="53" t="s">
        <v>2047</v>
      </c>
      <c r="M840" s="55" t="s">
        <v>75</v>
      </c>
      <c r="N840" s="52">
        <v>130000</v>
      </c>
      <c r="O840" s="52">
        <v>1568808800</v>
      </c>
      <c r="P840" s="52">
        <v>1568808800</v>
      </c>
      <c r="Q840" s="57">
        <v>45672</v>
      </c>
      <c r="R840" s="57">
        <v>47133</v>
      </c>
      <c r="S840" s="56">
        <v>11.75</v>
      </c>
      <c r="T840" s="54">
        <v>6</v>
      </c>
      <c r="U840" s="52">
        <v>1400942814.1400001</v>
      </c>
      <c r="V840" s="52">
        <v>1400942814.1400001</v>
      </c>
      <c r="W840" s="52">
        <v>0</v>
      </c>
      <c r="X840" s="57"/>
      <c r="Y840" s="52">
        <v>0</v>
      </c>
      <c r="Z840" s="52">
        <v>0</v>
      </c>
      <c r="AA840" s="52">
        <v>1</v>
      </c>
      <c r="AB840" s="52">
        <v>0</v>
      </c>
      <c r="AC840" s="52">
        <v>9019526.5800000001</v>
      </c>
      <c r="AD840" s="52">
        <v>9019526.5800000001</v>
      </c>
      <c r="AE840" s="52">
        <v>0</v>
      </c>
      <c r="AF840" s="52">
        <v>0</v>
      </c>
      <c r="AG840" s="52">
        <v>0</v>
      </c>
      <c r="AH840" s="52">
        <v>0</v>
      </c>
      <c r="AI840" s="52">
        <v>0</v>
      </c>
      <c r="AJ840" s="52">
        <v>2</v>
      </c>
      <c r="AK840" s="52"/>
      <c r="AL840" s="52">
        <v>0</v>
      </c>
      <c r="AM840" s="52">
        <v>0</v>
      </c>
      <c r="AN840" s="52">
        <v>2112500000</v>
      </c>
      <c r="AO840" s="52">
        <v>3628704000</v>
      </c>
      <c r="AP840" s="52">
        <v>107493750</v>
      </c>
      <c r="AQ840" s="58">
        <v>2</v>
      </c>
      <c r="AR840" s="58">
        <v>16464.02</v>
      </c>
      <c r="AS840" s="58">
        <v>9</v>
      </c>
      <c r="AT840" s="58">
        <v>53362.21</v>
      </c>
      <c r="AU840" s="58">
        <v>3</v>
      </c>
      <c r="AV840" s="58">
        <v>68783.87</v>
      </c>
      <c r="AW840" s="58">
        <v>10</v>
      </c>
      <c r="AX840" s="58">
        <v>165700</v>
      </c>
    </row>
    <row r="841" spans="1:50" x14ac:dyDescent="0.25">
      <c r="A841" s="52">
        <f t="shared" si="43"/>
        <v>836</v>
      </c>
      <c r="B841" s="60" t="str">
        <f t="shared" si="42"/>
        <v>0008315483663</v>
      </c>
      <c r="C841" s="55" t="s">
        <v>35</v>
      </c>
      <c r="D841" s="53" t="s">
        <v>2139</v>
      </c>
      <c r="E841" s="55" t="s">
        <v>1251</v>
      </c>
      <c r="F841" s="53" t="s">
        <v>2144</v>
      </c>
      <c r="G841" s="55">
        <v>11447</v>
      </c>
      <c r="H841" s="53" t="s">
        <v>1532</v>
      </c>
      <c r="I841" s="55">
        <v>310081734</v>
      </c>
      <c r="J841" s="55" t="s">
        <v>1533</v>
      </c>
      <c r="K841" s="55" t="s">
        <v>1534</v>
      </c>
      <c r="L841" s="53" t="s">
        <v>2047</v>
      </c>
      <c r="M841" s="55" t="s">
        <v>71</v>
      </c>
      <c r="N841" s="52">
        <v>109000</v>
      </c>
      <c r="O841" s="52">
        <v>1541369000</v>
      </c>
      <c r="P841" s="52">
        <v>1541369000</v>
      </c>
      <c r="Q841" s="57">
        <v>45588</v>
      </c>
      <c r="R841" s="57">
        <v>47049</v>
      </c>
      <c r="S841" s="56">
        <v>13</v>
      </c>
      <c r="T841" s="54">
        <v>0</v>
      </c>
      <c r="U841" s="52">
        <v>1173288483.2</v>
      </c>
      <c r="V841" s="52">
        <v>1173288483.2</v>
      </c>
      <c r="W841" s="52">
        <v>0</v>
      </c>
      <c r="X841" s="57"/>
      <c r="Y841" s="52">
        <v>0</v>
      </c>
      <c r="Z841" s="52">
        <v>0</v>
      </c>
      <c r="AA841" s="52">
        <v>1</v>
      </c>
      <c r="AB841" s="52">
        <v>0</v>
      </c>
      <c r="AC841" s="52">
        <v>7104032.8499999996</v>
      </c>
      <c r="AD841" s="52">
        <v>7104032.8499999996</v>
      </c>
      <c r="AE841" s="52">
        <v>0</v>
      </c>
      <c r="AF841" s="52">
        <v>0</v>
      </c>
      <c r="AG841" s="52">
        <v>0</v>
      </c>
      <c r="AH841" s="52">
        <v>0</v>
      </c>
      <c r="AI841" s="52">
        <v>0</v>
      </c>
      <c r="AJ841" s="52">
        <v>2</v>
      </c>
      <c r="AK841" s="52"/>
      <c r="AL841" s="52">
        <v>0</v>
      </c>
      <c r="AM841" s="52">
        <v>0</v>
      </c>
      <c r="AN841" s="52">
        <v>1842100000</v>
      </c>
      <c r="AO841" s="52">
        <v>232188430861</v>
      </c>
      <c r="AP841" s="52">
        <v>334926900</v>
      </c>
      <c r="AQ841" s="58">
        <v>0</v>
      </c>
      <c r="AR841" s="58">
        <v>0</v>
      </c>
      <c r="AS841" s="58">
        <v>0</v>
      </c>
      <c r="AT841" s="58">
        <v>0</v>
      </c>
      <c r="AU841" s="58">
        <v>4</v>
      </c>
      <c r="AV841" s="58">
        <v>138457.01999999999</v>
      </c>
      <c r="AW841" s="58">
        <v>1</v>
      </c>
      <c r="AX841" s="58">
        <v>109000</v>
      </c>
    </row>
    <row r="842" spans="1:50" x14ac:dyDescent="0.25">
      <c r="A842" s="52">
        <f t="shared" si="43"/>
        <v>837</v>
      </c>
      <c r="B842" s="60" t="str">
        <f t="shared" si="42"/>
        <v>0008315921613</v>
      </c>
      <c r="C842" s="55" t="s">
        <v>35</v>
      </c>
      <c r="D842" s="53" t="s">
        <v>2139</v>
      </c>
      <c r="E842" s="55" t="s">
        <v>1251</v>
      </c>
      <c r="F842" s="53" t="s">
        <v>2144</v>
      </c>
      <c r="G842" s="55">
        <v>11447</v>
      </c>
      <c r="H842" s="53" t="s">
        <v>1535</v>
      </c>
      <c r="I842" s="55">
        <v>204267957</v>
      </c>
      <c r="J842" s="55" t="s">
        <v>1536</v>
      </c>
      <c r="K842" s="55" t="s">
        <v>1537</v>
      </c>
      <c r="L842" s="53" t="s">
        <v>2047</v>
      </c>
      <c r="M842" s="55" t="s">
        <v>49</v>
      </c>
      <c r="N842" s="52">
        <v>1000000000</v>
      </c>
      <c r="O842" s="52">
        <v>1000000000</v>
      </c>
      <c r="P842" s="52">
        <v>1000000000</v>
      </c>
      <c r="Q842" s="57">
        <v>45888</v>
      </c>
      <c r="R842" s="57">
        <v>46984</v>
      </c>
      <c r="S842" s="56">
        <v>25</v>
      </c>
      <c r="T842" s="54">
        <v>6</v>
      </c>
      <c r="U842" s="52">
        <v>1000000000</v>
      </c>
      <c r="V842" s="52">
        <v>1000000000</v>
      </c>
      <c r="W842" s="52">
        <v>0</v>
      </c>
      <c r="X842" s="57"/>
      <c r="Y842" s="52">
        <v>0</v>
      </c>
      <c r="Z842" s="52">
        <v>0</v>
      </c>
      <c r="AA842" s="52">
        <v>1</v>
      </c>
      <c r="AB842" s="52">
        <v>0</v>
      </c>
      <c r="AC842" s="52">
        <v>17808219.18</v>
      </c>
      <c r="AD842" s="52">
        <v>17808219.18</v>
      </c>
      <c r="AE842" s="52">
        <v>0</v>
      </c>
      <c r="AF842" s="52">
        <v>0</v>
      </c>
      <c r="AG842" s="52">
        <v>0</v>
      </c>
      <c r="AH842" s="52">
        <v>0</v>
      </c>
      <c r="AI842" s="52">
        <v>0</v>
      </c>
      <c r="AJ842" s="52">
        <v>2</v>
      </c>
      <c r="AK842" s="52"/>
      <c r="AL842" s="52">
        <v>0</v>
      </c>
      <c r="AM842" s="52">
        <v>0</v>
      </c>
      <c r="AN842" s="52">
        <v>1250000000</v>
      </c>
      <c r="AO842" s="52">
        <v>6520547945</v>
      </c>
      <c r="AP842" s="52">
        <v>6520547945</v>
      </c>
      <c r="AQ842" s="58">
        <v>0</v>
      </c>
      <c r="AR842" s="58">
        <v>0</v>
      </c>
      <c r="AS842" s="58">
        <v>0</v>
      </c>
      <c r="AT842" s="58">
        <v>0</v>
      </c>
      <c r="AU842" s="58">
        <v>12</v>
      </c>
      <c r="AV842" s="58">
        <v>525000</v>
      </c>
      <c r="AW842" s="58">
        <v>0</v>
      </c>
      <c r="AX842" s="58">
        <v>0</v>
      </c>
    </row>
    <row r="843" spans="1:50" x14ac:dyDescent="0.25">
      <c r="A843" s="52">
        <f t="shared" si="43"/>
        <v>838</v>
      </c>
      <c r="B843" s="60" t="str">
        <f t="shared" si="42"/>
        <v>0008315428411</v>
      </c>
      <c r="C843" s="55" t="s">
        <v>35</v>
      </c>
      <c r="D843" s="53" t="s">
        <v>2139</v>
      </c>
      <c r="E843" s="55" t="s">
        <v>1251</v>
      </c>
      <c r="F843" s="53" t="s">
        <v>2144</v>
      </c>
      <c r="G843" s="55">
        <v>11447</v>
      </c>
      <c r="H843" s="53" t="s">
        <v>2602</v>
      </c>
      <c r="I843" s="55">
        <v>306835198</v>
      </c>
      <c r="J843" s="55" t="s">
        <v>1538</v>
      </c>
      <c r="K843" s="55" t="s">
        <v>1539</v>
      </c>
      <c r="L843" s="53" t="s">
        <v>2047</v>
      </c>
      <c r="M843" s="55" t="s">
        <v>75</v>
      </c>
      <c r="N843" s="52">
        <v>86900</v>
      </c>
      <c r="O843" s="52">
        <v>1048688344</v>
      </c>
      <c r="P843" s="52">
        <v>1048688344</v>
      </c>
      <c r="Q843" s="57">
        <v>45523</v>
      </c>
      <c r="R843" s="57">
        <v>46984</v>
      </c>
      <c r="S843" s="56">
        <v>13.27</v>
      </c>
      <c r="T843" s="54">
        <v>5</v>
      </c>
      <c r="U843" s="52">
        <v>830825805.04999995</v>
      </c>
      <c r="V843" s="52">
        <v>830825805.04999995</v>
      </c>
      <c r="W843" s="52">
        <v>0</v>
      </c>
      <c r="X843" s="57"/>
      <c r="Y843" s="52">
        <v>0</v>
      </c>
      <c r="Z843" s="52">
        <v>0</v>
      </c>
      <c r="AA843" s="52">
        <v>1</v>
      </c>
      <c r="AB843" s="52">
        <v>0</v>
      </c>
      <c r="AC843" s="52">
        <v>3490406.49</v>
      </c>
      <c r="AD843" s="52">
        <v>3490406.49</v>
      </c>
      <c r="AE843" s="52">
        <v>0</v>
      </c>
      <c r="AF843" s="52">
        <v>0</v>
      </c>
      <c r="AG843" s="52">
        <v>0</v>
      </c>
      <c r="AH843" s="52">
        <v>0</v>
      </c>
      <c r="AI843" s="52">
        <v>0</v>
      </c>
      <c r="AJ843" s="52">
        <v>2</v>
      </c>
      <c r="AK843" s="52"/>
      <c r="AL843" s="52">
        <v>0</v>
      </c>
      <c r="AM843" s="52">
        <v>0</v>
      </c>
      <c r="AN843" s="52">
        <v>1412500000</v>
      </c>
      <c r="AO843" s="52">
        <v>5913824000</v>
      </c>
      <c r="AP843" s="52">
        <v>170191125</v>
      </c>
      <c r="AQ843" s="58">
        <v>2</v>
      </c>
      <c r="AR843" s="58">
        <v>16464.02</v>
      </c>
      <c r="AS843" s="58">
        <v>9</v>
      </c>
      <c r="AT843" s="58">
        <v>53362.21</v>
      </c>
      <c r="AU843" s="58">
        <v>3</v>
      </c>
      <c r="AV843" s="58">
        <v>68783.87</v>
      </c>
      <c r="AW843" s="58">
        <v>10</v>
      </c>
      <c r="AX843" s="58">
        <v>165700</v>
      </c>
    </row>
    <row r="844" spans="1:50" x14ac:dyDescent="0.25">
      <c r="A844" s="52">
        <f t="shared" si="43"/>
        <v>839</v>
      </c>
      <c r="B844" s="60" t="str">
        <f t="shared" si="42"/>
        <v>0008315906433</v>
      </c>
      <c r="C844" s="55" t="s">
        <v>35</v>
      </c>
      <c r="D844" s="53" t="s">
        <v>2139</v>
      </c>
      <c r="E844" s="55" t="s">
        <v>1251</v>
      </c>
      <c r="F844" s="53" t="s">
        <v>2144</v>
      </c>
      <c r="G844" s="55">
        <v>11447</v>
      </c>
      <c r="H844" s="53" t="s">
        <v>1535</v>
      </c>
      <c r="I844" s="55">
        <v>204267957</v>
      </c>
      <c r="J844" s="55" t="s">
        <v>1540</v>
      </c>
      <c r="K844" s="55" t="s">
        <v>1541</v>
      </c>
      <c r="L844" s="53" t="s">
        <v>2047</v>
      </c>
      <c r="M844" s="55" t="s">
        <v>49</v>
      </c>
      <c r="N844" s="52">
        <v>800000000</v>
      </c>
      <c r="O844" s="52">
        <v>800000000</v>
      </c>
      <c r="P844" s="52">
        <v>800000000</v>
      </c>
      <c r="Q844" s="57">
        <v>45867</v>
      </c>
      <c r="R844" s="57">
        <v>46963</v>
      </c>
      <c r="S844" s="56">
        <v>25</v>
      </c>
      <c r="T844" s="54">
        <v>6</v>
      </c>
      <c r="U844" s="52">
        <v>800000000</v>
      </c>
      <c r="V844" s="52">
        <v>800000000</v>
      </c>
      <c r="W844" s="52">
        <v>0</v>
      </c>
      <c r="X844" s="57"/>
      <c r="Y844" s="52">
        <v>0</v>
      </c>
      <c r="Z844" s="52">
        <v>0</v>
      </c>
      <c r="AA844" s="52">
        <v>1</v>
      </c>
      <c r="AB844" s="52">
        <v>0</v>
      </c>
      <c r="AC844" s="52">
        <v>14246575.34</v>
      </c>
      <c r="AD844" s="52">
        <v>14246575.34</v>
      </c>
      <c r="AE844" s="52">
        <v>0</v>
      </c>
      <c r="AF844" s="52">
        <v>0</v>
      </c>
      <c r="AG844" s="52">
        <v>0</v>
      </c>
      <c r="AH844" s="52">
        <v>0</v>
      </c>
      <c r="AI844" s="52">
        <v>0</v>
      </c>
      <c r="AJ844" s="52">
        <v>2</v>
      </c>
      <c r="AK844" s="52"/>
      <c r="AL844" s="52">
        <v>0</v>
      </c>
      <c r="AM844" s="52">
        <v>0</v>
      </c>
      <c r="AN844" s="52">
        <v>1000000000</v>
      </c>
      <c r="AO844" s="52">
        <v>6520547945</v>
      </c>
      <c r="AP844" s="52">
        <v>6520547945</v>
      </c>
      <c r="AQ844" s="58">
        <v>0</v>
      </c>
      <c r="AR844" s="58">
        <v>0</v>
      </c>
      <c r="AS844" s="58">
        <v>0</v>
      </c>
      <c r="AT844" s="58">
        <v>0</v>
      </c>
      <c r="AU844" s="58">
        <v>12</v>
      </c>
      <c r="AV844" s="58">
        <v>525000</v>
      </c>
      <c r="AW844" s="58">
        <v>0</v>
      </c>
      <c r="AX844" s="58">
        <v>0</v>
      </c>
    </row>
    <row r="845" spans="1:50" x14ac:dyDescent="0.25">
      <c r="A845" s="52">
        <f t="shared" si="43"/>
        <v>840</v>
      </c>
      <c r="B845" s="60" t="str">
        <f t="shared" si="42"/>
        <v>0008315884732</v>
      </c>
      <c r="C845" s="55" t="s">
        <v>35</v>
      </c>
      <c r="D845" s="53" t="s">
        <v>2139</v>
      </c>
      <c r="E845" s="55" t="s">
        <v>1251</v>
      </c>
      <c r="F845" s="53" t="s">
        <v>2144</v>
      </c>
      <c r="G845" s="55">
        <v>11447</v>
      </c>
      <c r="H845" s="53" t="s">
        <v>1542</v>
      </c>
      <c r="I845" s="55">
        <v>311040775</v>
      </c>
      <c r="J845" s="55" t="s">
        <v>1543</v>
      </c>
      <c r="K845" s="55" t="s">
        <v>1544</v>
      </c>
      <c r="L845" s="53" t="s">
        <v>2047</v>
      </c>
      <c r="M845" s="55">
        <v>860</v>
      </c>
      <c r="N845" s="52">
        <v>720000000</v>
      </c>
      <c r="O845" s="52">
        <v>720000000</v>
      </c>
      <c r="P845" s="52">
        <v>720000000</v>
      </c>
      <c r="Q845" s="57">
        <v>45831</v>
      </c>
      <c r="R845" s="57">
        <v>47657</v>
      </c>
      <c r="S845" s="56">
        <v>28</v>
      </c>
      <c r="T845" s="54">
        <v>0</v>
      </c>
      <c r="U845" s="52">
        <v>676574327.54999995</v>
      </c>
      <c r="V845" s="52">
        <v>676574327.54999995</v>
      </c>
      <c r="W845" s="52">
        <v>0</v>
      </c>
      <c r="X845" s="57"/>
      <c r="Y845" s="52">
        <v>0</v>
      </c>
      <c r="Z845" s="52">
        <v>0</v>
      </c>
      <c r="AA845" s="52">
        <v>2</v>
      </c>
      <c r="AB845" s="52">
        <v>67657432.760000005</v>
      </c>
      <c r="AC845" s="52">
        <v>6233882</v>
      </c>
      <c r="AD845" s="52">
        <v>6233882</v>
      </c>
      <c r="AE845" s="52">
        <v>0</v>
      </c>
      <c r="AF845" s="52">
        <v>0</v>
      </c>
      <c r="AG845" s="52">
        <v>0</v>
      </c>
      <c r="AH845" s="52">
        <v>0</v>
      </c>
      <c r="AI845" s="52">
        <v>0</v>
      </c>
      <c r="AJ845" s="52">
        <v>2</v>
      </c>
      <c r="AK845" s="52"/>
      <c r="AL845" s="52">
        <v>0</v>
      </c>
      <c r="AM845" s="52">
        <v>0</v>
      </c>
      <c r="AN845" s="52">
        <v>900000000</v>
      </c>
      <c r="AO845" s="52">
        <v>1486578941</v>
      </c>
      <c r="AP845" s="52">
        <v>129697163</v>
      </c>
      <c r="AQ845" s="58">
        <v>0</v>
      </c>
      <c r="AR845" s="58">
        <v>0</v>
      </c>
      <c r="AS845" s="58">
        <v>0</v>
      </c>
      <c r="AT845" s="58">
        <v>0</v>
      </c>
      <c r="AU845" s="58">
        <v>0</v>
      </c>
      <c r="AV845" s="58">
        <v>0</v>
      </c>
      <c r="AW845" s="58">
        <v>0</v>
      </c>
      <c r="AX845" s="58">
        <v>0</v>
      </c>
    </row>
    <row r="846" spans="1:50" x14ac:dyDescent="0.25">
      <c r="A846" s="52">
        <f t="shared" si="43"/>
        <v>841</v>
      </c>
      <c r="B846" s="60" t="str">
        <f t="shared" si="42"/>
        <v>0008315409618</v>
      </c>
      <c r="C846" s="55" t="s">
        <v>35</v>
      </c>
      <c r="D846" s="53" t="s">
        <v>2139</v>
      </c>
      <c r="E846" s="55" t="s">
        <v>1251</v>
      </c>
      <c r="F846" s="53" t="s">
        <v>2144</v>
      </c>
      <c r="G846" s="55">
        <v>11447</v>
      </c>
      <c r="H846" s="53" t="s">
        <v>1542</v>
      </c>
      <c r="I846" s="55">
        <v>311040775</v>
      </c>
      <c r="J846" s="55" t="s">
        <v>1545</v>
      </c>
      <c r="K846" s="55" t="s">
        <v>1546</v>
      </c>
      <c r="L846" s="53" t="s">
        <v>2047</v>
      </c>
      <c r="M846" s="55">
        <v>860</v>
      </c>
      <c r="N846" s="52">
        <v>810000000</v>
      </c>
      <c r="O846" s="52">
        <v>810000000</v>
      </c>
      <c r="P846" s="52">
        <v>810000000</v>
      </c>
      <c r="Q846" s="57">
        <v>45481</v>
      </c>
      <c r="R846" s="57">
        <v>46942</v>
      </c>
      <c r="S846" s="56">
        <v>28</v>
      </c>
      <c r="T846" s="54">
        <v>0</v>
      </c>
      <c r="U846" s="52">
        <v>608225715.47000003</v>
      </c>
      <c r="V846" s="52">
        <v>608225715.47000003</v>
      </c>
      <c r="W846" s="52">
        <v>0</v>
      </c>
      <c r="X846" s="57"/>
      <c r="Y846" s="52">
        <v>0</v>
      </c>
      <c r="Z846" s="52">
        <v>0</v>
      </c>
      <c r="AA846" s="52">
        <v>2</v>
      </c>
      <c r="AB846" s="52">
        <v>60822571.549999997</v>
      </c>
      <c r="AC846" s="52">
        <v>9331682.2100000009</v>
      </c>
      <c r="AD846" s="52">
        <v>9331682.2100000009</v>
      </c>
      <c r="AE846" s="52">
        <v>0</v>
      </c>
      <c r="AF846" s="52">
        <v>0</v>
      </c>
      <c r="AG846" s="52">
        <v>0</v>
      </c>
      <c r="AH846" s="52">
        <v>0</v>
      </c>
      <c r="AI846" s="52">
        <v>0</v>
      </c>
      <c r="AJ846" s="52">
        <v>2</v>
      </c>
      <c r="AK846" s="52"/>
      <c r="AL846" s="52">
        <v>0</v>
      </c>
      <c r="AM846" s="52">
        <v>0</v>
      </c>
      <c r="AN846" s="52">
        <v>1012500000</v>
      </c>
      <c r="AO846" s="52">
        <v>2280350900</v>
      </c>
      <c r="AP846" s="52">
        <v>220083113</v>
      </c>
      <c r="AQ846" s="58">
        <v>0</v>
      </c>
      <c r="AR846" s="58">
        <v>0</v>
      </c>
      <c r="AS846" s="58">
        <v>0</v>
      </c>
      <c r="AT846" s="58">
        <v>0</v>
      </c>
      <c r="AU846" s="58">
        <v>0</v>
      </c>
      <c r="AV846" s="58">
        <v>0</v>
      </c>
      <c r="AW846" s="58">
        <v>0</v>
      </c>
      <c r="AX846" s="58">
        <v>0</v>
      </c>
    </row>
    <row r="847" spans="1:50" x14ac:dyDescent="0.25">
      <c r="A847" s="52">
        <f t="shared" si="43"/>
        <v>842</v>
      </c>
      <c r="B847" s="60" t="str">
        <f t="shared" si="42"/>
        <v>0008315257567</v>
      </c>
      <c r="C847" s="55" t="s">
        <v>35</v>
      </c>
      <c r="D847" s="53" t="s">
        <v>2139</v>
      </c>
      <c r="E847" s="55" t="s">
        <v>1251</v>
      </c>
      <c r="F847" s="53" t="s">
        <v>2144</v>
      </c>
      <c r="G847" s="55">
        <v>11447</v>
      </c>
      <c r="H847" s="53" t="s">
        <v>1542</v>
      </c>
      <c r="I847" s="55">
        <v>311040775</v>
      </c>
      <c r="J847" s="55" t="s">
        <v>1547</v>
      </c>
      <c r="K847" s="55" t="s">
        <v>1548</v>
      </c>
      <c r="L847" s="53" t="s">
        <v>2047</v>
      </c>
      <c r="M847" s="55">
        <v>860</v>
      </c>
      <c r="N847" s="52">
        <v>1044000000</v>
      </c>
      <c r="O847" s="52">
        <v>1044000000</v>
      </c>
      <c r="P847" s="52">
        <v>1044000000</v>
      </c>
      <c r="Q847" s="57">
        <v>45316</v>
      </c>
      <c r="R847" s="57">
        <v>46777</v>
      </c>
      <c r="S847" s="56">
        <v>28</v>
      </c>
      <c r="T847" s="54">
        <v>0</v>
      </c>
      <c r="U847" s="52">
        <v>590000000</v>
      </c>
      <c r="V847" s="52">
        <v>590000000</v>
      </c>
      <c r="W847" s="52">
        <v>0</v>
      </c>
      <c r="X847" s="57"/>
      <c r="Y847" s="52">
        <v>0</v>
      </c>
      <c r="Z847" s="52">
        <v>0</v>
      </c>
      <c r="AA847" s="52">
        <v>2</v>
      </c>
      <c r="AB847" s="52">
        <v>59000000</v>
      </c>
      <c r="AC847" s="52">
        <v>5431232.8799999999</v>
      </c>
      <c r="AD847" s="52">
        <v>5431232.8799999999</v>
      </c>
      <c r="AE847" s="52">
        <v>0</v>
      </c>
      <c r="AF847" s="52">
        <v>0</v>
      </c>
      <c r="AG847" s="52">
        <v>0</v>
      </c>
      <c r="AH847" s="52">
        <v>0</v>
      </c>
      <c r="AI847" s="52">
        <v>0</v>
      </c>
      <c r="AJ847" s="52">
        <v>2</v>
      </c>
      <c r="AK847" s="52"/>
      <c r="AL847" s="52">
        <v>0</v>
      </c>
      <c r="AM847" s="52">
        <v>0</v>
      </c>
      <c r="AN847" s="52">
        <v>1305000000</v>
      </c>
      <c r="AO847" s="52">
        <v>285405690237</v>
      </c>
      <c r="AP847" s="52">
        <v>776694663</v>
      </c>
      <c r="AQ847" s="58">
        <v>0</v>
      </c>
      <c r="AR847" s="58">
        <v>0</v>
      </c>
      <c r="AS847" s="58">
        <v>0</v>
      </c>
      <c r="AT847" s="58">
        <v>0</v>
      </c>
      <c r="AU847" s="58">
        <v>0</v>
      </c>
      <c r="AV847" s="58">
        <v>0</v>
      </c>
      <c r="AW847" s="58">
        <v>0</v>
      </c>
      <c r="AX847" s="58">
        <v>0</v>
      </c>
    </row>
    <row r="848" spans="1:50" x14ac:dyDescent="0.25">
      <c r="A848" s="52">
        <f t="shared" si="43"/>
        <v>843</v>
      </c>
      <c r="B848" s="60" t="str">
        <f t="shared" si="42"/>
        <v>0008315341526</v>
      </c>
      <c r="C848" s="55" t="s">
        <v>35</v>
      </c>
      <c r="D848" s="53" t="s">
        <v>2139</v>
      </c>
      <c r="E848" s="55" t="s">
        <v>1251</v>
      </c>
      <c r="F848" s="53" t="s">
        <v>2144</v>
      </c>
      <c r="G848" s="55">
        <v>11447</v>
      </c>
      <c r="H848" s="53" t="s">
        <v>2602</v>
      </c>
      <c r="I848" s="55">
        <v>306835198</v>
      </c>
      <c r="J848" s="55" t="s">
        <v>1549</v>
      </c>
      <c r="K848" s="55" t="s">
        <v>1550</v>
      </c>
      <c r="L848" s="53" t="s">
        <v>2047</v>
      </c>
      <c r="M848" s="55" t="s">
        <v>75</v>
      </c>
      <c r="N848" s="52">
        <v>65000</v>
      </c>
      <c r="O848" s="52">
        <v>784404400</v>
      </c>
      <c r="P848" s="52">
        <v>784404400</v>
      </c>
      <c r="Q848" s="57">
        <v>45383</v>
      </c>
      <c r="R848" s="57">
        <v>46478</v>
      </c>
      <c r="S848" s="56">
        <v>13.27</v>
      </c>
      <c r="T848" s="54">
        <v>6</v>
      </c>
      <c r="U848" s="52">
        <v>432166170.54000002</v>
      </c>
      <c r="V848" s="52">
        <v>432166170.54000002</v>
      </c>
      <c r="W848" s="52">
        <v>0</v>
      </c>
      <c r="X848" s="57"/>
      <c r="Y848" s="52">
        <v>0</v>
      </c>
      <c r="Z848" s="52">
        <v>0</v>
      </c>
      <c r="AA848" s="52">
        <v>1</v>
      </c>
      <c r="AB848" s="52">
        <v>0</v>
      </c>
      <c r="AC848" s="52">
        <v>2566324.67</v>
      </c>
      <c r="AD848" s="52">
        <v>2566324.67</v>
      </c>
      <c r="AE848" s="52">
        <v>0</v>
      </c>
      <c r="AF848" s="52">
        <v>0</v>
      </c>
      <c r="AG848" s="52">
        <v>0</v>
      </c>
      <c r="AH848" s="52">
        <v>0</v>
      </c>
      <c r="AI848" s="52">
        <v>0</v>
      </c>
      <c r="AJ848" s="52">
        <v>2</v>
      </c>
      <c r="AK848" s="52"/>
      <c r="AL848" s="52">
        <v>0</v>
      </c>
      <c r="AM848" s="52">
        <v>0</v>
      </c>
      <c r="AN848" s="52">
        <v>1056250000</v>
      </c>
      <c r="AO848" s="52">
        <v>7524204014</v>
      </c>
      <c r="AP848" s="52">
        <v>358312500</v>
      </c>
      <c r="AQ848" s="58">
        <v>2</v>
      </c>
      <c r="AR848" s="58">
        <v>16464.02</v>
      </c>
      <c r="AS848" s="58">
        <v>9</v>
      </c>
      <c r="AT848" s="58">
        <v>53362.21</v>
      </c>
      <c r="AU848" s="58">
        <v>3</v>
      </c>
      <c r="AV848" s="58">
        <v>68783.87</v>
      </c>
      <c r="AW848" s="58">
        <v>10</v>
      </c>
      <c r="AX848" s="58">
        <v>165700</v>
      </c>
    </row>
    <row r="849" spans="1:50" x14ac:dyDescent="0.25">
      <c r="A849" s="52">
        <f t="shared" si="43"/>
        <v>844</v>
      </c>
      <c r="B849" s="60" t="str">
        <f t="shared" si="42"/>
        <v>0008315876248</v>
      </c>
      <c r="C849" s="55" t="s">
        <v>35</v>
      </c>
      <c r="D849" s="53" t="s">
        <v>2139</v>
      </c>
      <c r="E849" s="55" t="s">
        <v>1251</v>
      </c>
      <c r="F849" s="53" t="s">
        <v>2144</v>
      </c>
      <c r="G849" s="55">
        <v>11447</v>
      </c>
      <c r="H849" s="53" t="s">
        <v>1542</v>
      </c>
      <c r="I849" s="55">
        <v>311040775</v>
      </c>
      <c r="J849" s="55" t="s">
        <v>1551</v>
      </c>
      <c r="K849" s="55" t="s">
        <v>1552</v>
      </c>
      <c r="L849" s="53" t="s">
        <v>2047</v>
      </c>
      <c r="M849" s="55">
        <v>860</v>
      </c>
      <c r="N849" s="52">
        <v>490000000</v>
      </c>
      <c r="O849" s="52">
        <v>490000000</v>
      </c>
      <c r="P849" s="52">
        <v>490000000</v>
      </c>
      <c r="Q849" s="57">
        <v>45813</v>
      </c>
      <c r="R849" s="57">
        <v>46909</v>
      </c>
      <c r="S849" s="56">
        <v>26</v>
      </c>
      <c r="T849" s="54">
        <v>0</v>
      </c>
      <c r="U849" s="52">
        <v>422152618.25999999</v>
      </c>
      <c r="V849" s="52">
        <v>422152618.25999999</v>
      </c>
      <c r="W849" s="52">
        <v>0</v>
      </c>
      <c r="X849" s="57"/>
      <c r="Y849" s="52">
        <v>0</v>
      </c>
      <c r="Z849" s="52">
        <v>0</v>
      </c>
      <c r="AA849" s="52">
        <v>2</v>
      </c>
      <c r="AB849" s="52">
        <v>42215261.829999998</v>
      </c>
      <c r="AC849" s="52">
        <v>7824690.6799999997</v>
      </c>
      <c r="AD849" s="52">
        <v>7824690.6799999997</v>
      </c>
      <c r="AE849" s="52">
        <v>0</v>
      </c>
      <c r="AF849" s="52">
        <v>0</v>
      </c>
      <c r="AG849" s="52">
        <v>0</v>
      </c>
      <c r="AH849" s="52">
        <v>0</v>
      </c>
      <c r="AI849" s="52">
        <v>0</v>
      </c>
      <c r="AJ849" s="52">
        <v>2</v>
      </c>
      <c r="AK849" s="52"/>
      <c r="AL849" s="52">
        <v>0</v>
      </c>
      <c r="AM849" s="52">
        <v>0</v>
      </c>
      <c r="AN849" s="52">
        <v>612500000</v>
      </c>
      <c r="AO849" s="52">
        <v>1516689500</v>
      </c>
      <c r="AP849" s="52">
        <v>123697163</v>
      </c>
      <c r="AQ849" s="58">
        <v>0</v>
      </c>
      <c r="AR849" s="58">
        <v>0</v>
      </c>
      <c r="AS849" s="58">
        <v>0</v>
      </c>
      <c r="AT849" s="58">
        <v>0</v>
      </c>
      <c r="AU849" s="58">
        <v>0</v>
      </c>
      <c r="AV849" s="58">
        <v>0</v>
      </c>
      <c r="AW849" s="58">
        <v>0</v>
      </c>
      <c r="AX849" s="58">
        <v>0</v>
      </c>
    </row>
    <row r="850" spans="1:50" x14ac:dyDescent="0.25">
      <c r="A850" s="52">
        <f t="shared" si="43"/>
        <v>845</v>
      </c>
      <c r="B850" s="60" t="str">
        <f t="shared" si="42"/>
        <v>0008315859826</v>
      </c>
      <c r="C850" s="55" t="s">
        <v>35</v>
      </c>
      <c r="D850" s="53" t="s">
        <v>2139</v>
      </c>
      <c r="E850" s="55" t="s">
        <v>1251</v>
      </c>
      <c r="F850" s="53" t="s">
        <v>2144</v>
      </c>
      <c r="G850" s="55">
        <v>11447</v>
      </c>
      <c r="H850" s="53" t="s">
        <v>2601</v>
      </c>
      <c r="I850" s="55">
        <v>205793303</v>
      </c>
      <c r="J850" s="55" t="s">
        <v>1553</v>
      </c>
      <c r="K850" s="55" t="s">
        <v>1554</v>
      </c>
      <c r="L850" s="53" t="s">
        <v>2047</v>
      </c>
      <c r="M850" s="55" t="s">
        <v>49</v>
      </c>
      <c r="N850" s="52">
        <v>264000000</v>
      </c>
      <c r="O850" s="52">
        <v>264000000</v>
      </c>
      <c r="P850" s="52">
        <v>264000000</v>
      </c>
      <c r="Q850" s="57">
        <v>45783</v>
      </c>
      <c r="R850" s="57">
        <v>47244</v>
      </c>
      <c r="S850" s="56">
        <v>27</v>
      </c>
      <c r="T850" s="54">
        <v>6</v>
      </c>
      <c r="U850" s="52">
        <v>255858723.66999999</v>
      </c>
      <c r="V850" s="52">
        <v>255858723.66999999</v>
      </c>
      <c r="W850" s="52">
        <v>0</v>
      </c>
      <c r="X850" s="57"/>
      <c r="Y850" s="52">
        <v>0</v>
      </c>
      <c r="Z850" s="52">
        <v>0</v>
      </c>
      <c r="AA850" s="52">
        <v>1</v>
      </c>
      <c r="AB850" s="52">
        <v>0</v>
      </c>
      <c r="AC850" s="52">
        <v>1895484.63</v>
      </c>
      <c r="AD850" s="52">
        <v>1895484.63</v>
      </c>
      <c r="AE850" s="52">
        <v>0</v>
      </c>
      <c r="AF850" s="52">
        <v>0</v>
      </c>
      <c r="AG850" s="52">
        <v>0</v>
      </c>
      <c r="AH850" s="52">
        <v>0</v>
      </c>
      <c r="AI850" s="52">
        <v>0</v>
      </c>
      <c r="AJ850" s="52">
        <v>2</v>
      </c>
      <c r="AK850" s="52"/>
      <c r="AL850" s="52">
        <v>0</v>
      </c>
      <c r="AM850" s="52">
        <v>0</v>
      </c>
      <c r="AN850" s="52">
        <v>330000000</v>
      </c>
      <c r="AO850" s="52">
        <v>58809496886</v>
      </c>
      <c r="AP850" s="52">
        <v>314220223</v>
      </c>
      <c r="AQ850" s="58">
        <v>0</v>
      </c>
      <c r="AR850" s="58">
        <v>0</v>
      </c>
      <c r="AS850" s="58">
        <v>0</v>
      </c>
      <c r="AT850" s="58">
        <v>0</v>
      </c>
      <c r="AU850" s="58">
        <v>0</v>
      </c>
      <c r="AV850" s="58">
        <v>0</v>
      </c>
      <c r="AW850" s="58">
        <v>0</v>
      </c>
      <c r="AX850" s="58">
        <v>0</v>
      </c>
    </row>
    <row r="851" spans="1:50" x14ac:dyDescent="0.25">
      <c r="A851" s="52">
        <f t="shared" si="43"/>
        <v>846</v>
      </c>
      <c r="B851" s="60" t="str">
        <f t="shared" si="42"/>
        <v>0008315366224</v>
      </c>
      <c r="C851" s="55" t="s">
        <v>35</v>
      </c>
      <c r="D851" s="53" t="s">
        <v>2139</v>
      </c>
      <c r="E851" s="55" t="s">
        <v>1251</v>
      </c>
      <c r="F851" s="53" t="s">
        <v>2145</v>
      </c>
      <c r="G851" s="55">
        <v>11448</v>
      </c>
      <c r="H851" s="53" t="s">
        <v>1555</v>
      </c>
      <c r="I851" s="55">
        <v>301887952</v>
      </c>
      <c r="J851" s="55" t="s">
        <v>1556</v>
      </c>
      <c r="K851" s="55" t="s">
        <v>1557</v>
      </c>
      <c r="L851" s="53" t="s">
        <v>2045</v>
      </c>
      <c r="M851" s="55" t="s">
        <v>75</v>
      </c>
      <c r="N851" s="52">
        <v>1000000</v>
      </c>
      <c r="O851" s="52">
        <v>12067760000</v>
      </c>
      <c r="P851" s="52">
        <v>12067760000</v>
      </c>
      <c r="Q851" s="57">
        <v>45435</v>
      </c>
      <c r="R851" s="57">
        <v>46530</v>
      </c>
      <c r="S851" s="56">
        <v>6</v>
      </c>
      <c r="T851" s="54">
        <v>12</v>
      </c>
      <c r="U851" s="52">
        <v>8296446881.8800001</v>
      </c>
      <c r="V851" s="52">
        <v>8296446881.8800001</v>
      </c>
      <c r="W851" s="52">
        <v>0</v>
      </c>
      <c r="X851" s="57"/>
      <c r="Y851" s="52">
        <v>0</v>
      </c>
      <c r="Z851" s="52">
        <v>0</v>
      </c>
      <c r="AA851" s="52">
        <v>1</v>
      </c>
      <c r="AB851" s="52">
        <v>0</v>
      </c>
      <c r="AC851" s="52">
        <v>8264036.3099999996</v>
      </c>
      <c r="AD851" s="52">
        <v>8264036.3099999996</v>
      </c>
      <c r="AE851" s="52">
        <v>0</v>
      </c>
      <c r="AF851" s="52">
        <v>0</v>
      </c>
      <c r="AG851" s="52">
        <v>0</v>
      </c>
      <c r="AH851" s="52">
        <v>0</v>
      </c>
      <c r="AI851" s="52">
        <v>0</v>
      </c>
      <c r="AJ851" s="52">
        <v>2</v>
      </c>
      <c r="AK851" s="52"/>
      <c r="AL851" s="52">
        <v>0</v>
      </c>
      <c r="AM851" s="52">
        <v>0</v>
      </c>
      <c r="AN851" s="52">
        <v>16900000000</v>
      </c>
      <c r="AO851" s="52">
        <v>125617342158</v>
      </c>
      <c r="AP851" s="52">
        <v>73493510591</v>
      </c>
      <c r="AQ851" s="58">
        <v>630</v>
      </c>
      <c r="AR851" s="58">
        <v>43144042.599999994</v>
      </c>
      <c r="AS851" s="58">
        <v>133</v>
      </c>
      <c r="AT851" s="58">
        <v>10494623.969999999</v>
      </c>
      <c r="AU851" s="58">
        <v>169</v>
      </c>
      <c r="AV851" s="58">
        <v>8319049.9299999988</v>
      </c>
      <c r="AW851" s="58">
        <v>28</v>
      </c>
      <c r="AX851" s="58">
        <v>2467581.2399999998</v>
      </c>
    </row>
    <row r="852" spans="1:50" x14ac:dyDescent="0.25">
      <c r="A852" s="52">
        <f t="shared" si="43"/>
        <v>847</v>
      </c>
      <c r="B852" s="60" t="str">
        <f t="shared" si="42"/>
        <v>0008315399758</v>
      </c>
      <c r="C852" s="55" t="s">
        <v>35</v>
      </c>
      <c r="D852" s="53" t="s">
        <v>2139</v>
      </c>
      <c r="E852" s="55" t="s">
        <v>1251</v>
      </c>
      <c r="F852" s="53" t="s">
        <v>2145</v>
      </c>
      <c r="G852" s="55">
        <v>11448</v>
      </c>
      <c r="H852" s="53" t="s">
        <v>1558</v>
      </c>
      <c r="I852" s="55">
        <v>302236154</v>
      </c>
      <c r="J852" s="55" t="s">
        <v>1559</v>
      </c>
      <c r="K852" s="55" t="s">
        <v>1560</v>
      </c>
      <c r="L852" s="53" t="s">
        <v>2035</v>
      </c>
      <c r="M852" s="55" t="s">
        <v>75</v>
      </c>
      <c r="N852" s="52">
        <v>300000</v>
      </c>
      <c r="O852" s="52">
        <v>3620328000</v>
      </c>
      <c r="P852" s="52">
        <v>3620328000</v>
      </c>
      <c r="Q852" s="57">
        <v>45456</v>
      </c>
      <c r="R852" s="57">
        <v>47282</v>
      </c>
      <c r="S852" s="56">
        <v>12</v>
      </c>
      <c r="T852" s="54">
        <v>12</v>
      </c>
      <c r="U852" s="52">
        <v>3230927487.3099999</v>
      </c>
      <c r="V852" s="52">
        <v>3230927487.3099999</v>
      </c>
      <c r="W852" s="52">
        <v>0</v>
      </c>
      <c r="X852" s="57"/>
      <c r="Y852" s="52">
        <v>0</v>
      </c>
      <c r="Z852" s="52">
        <v>0</v>
      </c>
      <c r="AA852" s="52">
        <v>1</v>
      </c>
      <c r="AB852" s="52">
        <v>0</v>
      </c>
      <c r="AC852" s="52">
        <v>13829265.73</v>
      </c>
      <c r="AD852" s="52">
        <v>13829265.73</v>
      </c>
      <c r="AE852" s="52">
        <v>0</v>
      </c>
      <c r="AF852" s="52">
        <v>0</v>
      </c>
      <c r="AG852" s="52">
        <v>0</v>
      </c>
      <c r="AH852" s="52">
        <v>0</v>
      </c>
      <c r="AI852" s="52">
        <v>0</v>
      </c>
      <c r="AJ852" s="52">
        <v>2</v>
      </c>
      <c r="AK852" s="52"/>
      <c r="AL852" s="52">
        <v>0</v>
      </c>
      <c r="AM852" s="52">
        <v>0</v>
      </c>
      <c r="AN852" s="52">
        <v>5100000000</v>
      </c>
      <c r="AO852" s="52">
        <v>49191517923</v>
      </c>
      <c r="AP852" s="52">
        <v>42850750976</v>
      </c>
      <c r="AQ852" s="58">
        <v>192</v>
      </c>
      <c r="AR852" s="58">
        <v>1398857.1800000002</v>
      </c>
      <c r="AS852" s="58">
        <v>57</v>
      </c>
      <c r="AT852" s="58">
        <v>545183.63000000012</v>
      </c>
      <c r="AU852" s="58">
        <v>322</v>
      </c>
      <c r="AV852" s="58">
        <v>9083253.2399999946</v>
      </c>
      <c r="AW852" s="58">
        <v>100</v>
      </c>
      <c r="AX852" s="58">
        <v>118868488.19999999</v>
      </c>
    </row>
    <row r="853" spans="1:50" x14ac:dyDescent="0.25">
      <c r="A853" s="52">
        <f t="shared" si="43"/>
        <v>848</v>
      </c>
      <c r="B853" s="60" t="str">
        <f t="shared" si="42"/>
        <v>0008315866801</v>
      </c>
      <c r="C853" s="55" t="s">
        <v>35</v>
      </c>
      <c r="D853" s="53" t="s">
        <v>2139</v>
      </c>
      <c r="E853" s="55" t="s">
        <v>1251</v>
      </c>
      <c r="F853" s="53" t="s">
        <v>2145</v>
      </c>
      <c r="G853" s="55">
        <v>11448</v>
      </c>
      <c r="H853" s="53" t="s">
        <v>2603</v>
      </c>
      <c r="I853" s="55">
        <v>304974122</v>
      </c>
      <c r="J853" s="55" t="s">
        <v>1561</v>
      </c>
      <c r="K853" s="55" t="s">
        <v>1562</v>
      </c>
      <c r="L853" s="53" t="s">
        <v>2035</v>
      </c>
      <c r="M853" s="55" t="s">
        <v>75</v>
      </c>
      <c r="N853" s="52">
        <v>372000</v>
      </c>
      <c r="O853" s="52">
        <v>4489206720</v>
      </c>
      <c r="P853" s="52">
        <v>4489206720</v>
      </c>
      <c r="Q853" s="57">
        <v>45797</v>
      </c>
      <c r="R853" s="57">
        <v>46346</v>
      </c>
      <c r="S853" s="56">
        <v>11</v>
      </c>
      <c r="T853" s="54">
        <v>6</v>
      </c>
      <c r="U853" s="52">
        <v>3171778565.0700002</v>
      </c>
      <c r="V853" s="52">
        <v>3171778565.0700002</v>
      </c>
      <c r="W853" s="52">
        <v>0</v>
      </c>
      <c r="X853" s="57"/>
      <c r="Y853" s="52">
        <v>0</v>
      </c>
      <c r="Z853" s="52">
        <v>0</v>
      </c>
      <c r="AA853" s="52">
        <v>1</v>
      </c>
      <c r="AB853" s="52">
        <v>0</v>
      </c>
      <c r="AC853" s="52">
        <v>13262373.560000001</v>
      </c>
      <c r="AD853" s="52">
        <v>13262373.560000001</v>
      </c>
      <c r="AE853" s="52">
        <v>0</v>
      </c>
      <c r="AF853" s="52">
        <v>0</v>
      </c>
      <c r="AG853" s="52">
        <v>0</v>
      </c>
      <c r="AH853" s="52">
        <v>0</v>
      </c>
      <c r="AI853" s="52">
        <v>0</v>
      </c>
      <c r="AJ853" s="52">
        <v>2</v>
      </c>
      <c r="AK853" s="52"/>
      <c r="AL853" s="52">
        <v>0</v>
      </c>
      <c r="AM853" s="52">
        <v>0</v>
      </c>
      <c r="AN853" s="52">
        <v>6300000000</v>
      </c>
      <c r="AO853" s="52">
        <v>59790488133</v>
      </c>
      <c r="AP853" s="52">
        <v>12116908498</v>
      </c>
      <c r="AQ853" s="58">
        <v>264</v>
      </c>
      <c r="AR853" s="58">
        <v>17544524.620000001</v>
      </c>
      <c r="AS853" s="58">
        <v>40</v>
      </c>
      <c r="AT853" s="58">
        <v>777659.73</v>
      </c>
      <c r="AU853" s="58">
        <v>725</v>
      </c>
      <c r="AV853" s="58">
        <v>245014540.03000003</v>
      </c>
      <c r="AW853" s="58">
        <v>74</v>
      </c>
      <c r="AX853" s="58">
        <v>73815915.910000011</v>
      </c>
    </row>
    <row r="854" spans="1:50" x14ac:dyDescent="0.25">
      <c r="A854" s="52">
        <f t="shared" si="43"/>
        <v>849</v>
      </c>
      <c r="B854" s="60" t="str">
        <f t="shared" si="42"/>
        <v>0008315484576</v>
      </c>
      <c r="C854" s="55" t="s">
        <v>35</v>
      </c>
      <c r="D854" s="53" t="s">
        <v>2139</v>
      </c>
      <c r="E854" s="55" t="s">
        <v>1251</v>
      </c>
      <c r="F854" s="53" t="s">
        <v>2145</v>
      </c>
      <c r="G854" s="55">
        <v>11448</v>
      </c>
      <c r="H854" s="53" t="s">
        <v>1558</v>
      </c>
      <c r="I854" s="55">
        <v>302236154</v>
      </c>
      <c r="J854" s="55" t="s">
        <v>1563</v>
      </c>
      <c r="K854" s="55" t="s">
        <v>1564</v>
      </c>
      <c r="L854" s="53" t="s">
        <v>2035</v>
      </c>
      <c r="M854" s="55" t="s">
        <v>75</v>
      </c>
      <c r="N854" s="52">
        <v>350000</v>
      </c>
      <c r="O854" s="52">
        <v>4223716000</v>
      </c>
      <c r="P854" s="52">
        <v>4223716000</v>
      </c>
      <c r="Q854" s="57">
        <v>45590</v>
      </c>
      <c r="R854" s="57">
        <v>46685</v>
      </c>
      <c r="S854" s="56">
        <v>13</v>
      </c>
      <c r="T854" s="54">
        <v>6</v>
      </c>
      <c r="U854" s="52">
        <v>3130314556.1199999</v>
      </c>
      <c r="V854" s="52">
        <v>3130314556.1199999</v>
      </c>
      <c r="W854" s="52">
        <v>0</v>
      </c>
      <c r="X854" s="57"/>
      <c r="Y854" s="52">
        <v>0</v>
      </c>
      <c r="Z854" s="52">
        <v>0</v>
      </c>
      <c r="AA854" s="52">
        <v>1</v>
      </c>
      <c r="AB854" s="52">
        <v>0</v>
      </c>
      <c r="AC854" s="52">
        <v>13426573.439999999</v>
      </c>
      <c r="AD854" s="52">
        <v>13426573.439999999</v>
      </c>
      <c r="AE854" s="52">
        <v>0</v>
      </c>
      <c r="AF854" s="52">
        <v>0</v>
      </c>
      <c r="AG854" s="52">
        <v>0</v>
      </c>
      <c r="AH854" s="52">
        <v>0</v>
      </c>
      <c r="AI854" s="52">
        <v>0</v>
      </c>
      <c r="AJ854" s="52">
        <v>2</v>
      </c>
      <c r="AK854" s="52"/>
      <c r="AL854" s="52">
        <v>0</v>
      </c>
      <c r="AM854" s="52">
        <v>0</v>
      </c>
      <c r="AN854" s="52">
        <v>5915000000</v>
      </c>
      <c r="AO854" s="52">
        <v>42892775131</v>
      </c>
      <c r="AP854" s="52">
        <v>41153835239</v>
      </c>
      <c r="AQ854" s="58">
        <v>192</v>
      </c>
      <c r="AR854" s="58">
        <v>1398857.1800000002</v>
      </c>
      <c r="AS854" s="58">
        <v>57</v>
      </c>
      <c r="AT854" s="58">
        <v>545183.63000000012</v>
      </c>
      <c r="AU854" s="58">
        <v>322</v>
      </c>
      <c r="AV854" s="58">
        <v>9083253.2399999946</v>
      </c>
      <c r="AW854" s="58">
        <v>100</v>
      </c>
      <c r="AX854" s="58">
        <v>118868488.19999999</v>
      </c>
    </row>
    <row r="855" spans="1:50" x14ac:dyDescent="0.25">
      <c r="A855" s="52">
        <f t="shared" si="43"/>
        <v>850</v>
      </c>
      <c r="B855" s="60" t="str">
        <f t="shared" si="42"/>
        <v>0008315854760</v>
      </c>
      <c r="C855" s="55" t="s">
        <v>35</v>
      </c>
      <c r="D855" s="53" t="s">
        <v>2139</v>
      </c>
      <c r="E855" s="55" t="s">
        <v>1251</v>
      </c>
      <c r="F855" s="53" t="s">
        <v>2145</v>
      </c>
      <c r="G855" s="55">
        <v>11448</v>
      </c>
      <c r="H855" s="53" t="s">
        <v>2604</v>
      </c>
      <c r="I855" s="55">
        <v>201666637</v>
      </c>
      <c r="J855" s="55" t="s">
        <v>1565</v>
      </c>
      <c r="K855" s="55" t="s">
        <v>1566</v>
      </c>
      <c r="L855" s="53" t="s">
        <v>2035</v>
      </c>
      <c r="M855" s="55" t="s">
        <v>75</v>
      </c>
      <c r="N855" s="52">
        <v>242000</v>
      </c>
      <c r="O855" s="52">
        <v>2920397920</v>
      </c>
      <c r="P855" s="52">
        <v>2920397920</v>
      </c>
      <c r="Q855" s="57">
        <v>45776</v>
      </c>
      <c r="R855" s="57">
        <v>47298</v>
      </c>
      <c r="S855" s="56">
        <v>10</v>
      </c>
      <c r="T855" s="54">
        <v>12</v>
      </c>
      <c r="U855" s="52">
        <v>2476258711.6999998</v>
      </c>
      <c r="V855" s="52">
        <v>2476258711.6999998</v>
      </c>
      <c r="W855" s="52">
        <v>0</v>
      </c>
      <c r="X855" s="57"/>
      <c r="Y855" s="52">
        <v>0</v>
      </c>
      <c r="Z855" s="52">
        <v>0</v>
      </c>
      <c r="AA855" s="52">
        <v>1</v>
      </c>
      <c r="AB855" s="52">
        <v>0</v>
      </c>
      <c r="AC855" s="52">
        <v>8862036.1999999993</v>
      </c>
      <c r="AD855" s="52">
        <v>8862036.1999999993</v>
      </c>
      <c r="AE855" s="52">
        <v>0</v>
      </c>
      <c r="AF855" s="52">
        <v>0</v>
      </c>
      <c r="AG855" s="52">
        <v>0</v>
      </c>
      <c r="AH855" s="52">
        <v>0</v>
      </c>
      <c r="AI855" s="52">
        <v>0</v>
      </c>
      <c r="AJ855" s="52">
        <v>2</v>
      </c>
      <c r="AK855" s="52"/>
      <c r="AL855" s="52">
        <v>0</v>
      </c>
      <c r="AM855" s="52">
        <v>0</v>
      </c>
      <c r="AN855" s="52">
        <v>11661000000</v>
      </c>
      <c r="AO855" s="52">
        <v>9550107684</v>
      </c>
      <c r="AP855" s="52">
        <v>4547150348</v>
      </c>
      <c r="AQ855" s="58">
        <v>13</v>
      </c>
      <c r="AR855" s="58">
        <v>81056.62</v>
      </c>
      <c r="AS855" s="58">
        <v>27</v>
      </c>
      <c r="AT855" s="58">
        <v>657784.82000000007</v>
      </c>
      <c r="AU855" s="58">
        <v>0</v>
      </c>
      <c r="AV855" s="58">
        <v>0</v>
      </c>
      <c r="AW855" s="58">
        <v>13</v>
      </c>
      <c r="AX855" s="58">
        <v>1424000</v>
      </c>
    </row>
    <row r="856" spans="1:50" x14ac:dyDescent="0.25">
      <c r="A856" s="52">
        <f t="shared" si="43"/>
        <v>851</v>
      </c>
      <c r="B856" s="60" t="str">
        <f t="shared" si="42"/>
        <v>0008315328775</v>
      </c>
      <c r="C856" s="55" t="s">
        <v>35</v>
      </c>
      <c r="D856" s="53" t="s">
        <v>2139</v>
      </c>
      <c r="E856" s="55" t="s">
        <v>1251</v>
      </c>
      <c r="F856" s="53" t="s">
        <v>2145</v>
      </c>
      <c r="G856" s="55">
        <v>11448</v>
      </c>
      <c r="H856" s="53" t="s">
        <v>1567</v>
      </c>
      <c r="I856" s="55">
        <v>307149970</v>
      </c>
      <c r="J856" s="55" t="s">
        <v>1568</v>
      </c>
      <c r="K856" s="55" t="s">
        <v>1569</v>
      </c>
      <c r="L856" s="53" t="s">
        <v>2035</v>
      </c>
      <c r="M856" s="55" t="s">
        <v>75</v>
      </c>
      <c r="N856" s="52">
        <v>420000</v>
      </c>
      <c r="O856" s="52">
        <v>5068459200</v>
      </c>
      <c r="P856" s="52">
        <v>5068459200</v>
      </c>
      <c r="Q856" s="57">
        <v>45348</v>
      </c>
      <c r="R856" s="57">
        <v>46444</v>
      </c>
      <c r="S856" s="56">
        <v>14</v>
      </c>
      <c r="T856" s="54">
        <v>6</v>
      </c>
      <c r="U856" s="52">
        <v>2438635345.4000001</v>
      </c>
      <c r="V856" s="52">
        <v>2438635345.4000001</v>
      </c>
      <c r="W856" s="52">
        <v>0</v>
      </c>
      <c r="X856" s="57"/>
      <c r="Y856" s="52">
        <v>0</v>
      </c>
      <c r="Z856" s="52">
        <v>0</v>
      </c>
      <c r="AA856" s="52">
        <v>2</v>
      </c>
      <c r="AB856" s="52">
        <v>243863546.74000001</v>
      </c>
      <c r="AC856" s="52">
        <v>11293072.84</v>
      </c>
      <c r="AD856" s="52">
        <v>11293072.84</v>
      </c>
      <c r="AE856" s="52">
        <v>0</v>
      </c>
      <c r="AF856" s="52">
        <v>0</v>
      </c>
      <c r="AG856" s="52">
        <v>0</v>
      </c>
      <c r="AH856" s="52">
        <v>0</v>
      </c>
      <c r="AI856" s="52">
        <v>0</v>
      </c>
      <c r="AJ856" s="52">
        <v>2</v>
      </c>
      <c r="AK856" s="52"/>
      <c r="AL856" s="52">
        <v>0</v>
      </c>
      <c r="AM856" s="52">
        <v>0</v>
      </c>
      <c r="AN856" s="52">
        <v>5500000000</v>
      </c>
      <c r="AO856" s="52">
        <v>10467874479</v>
      </c>
      <c r="AP856" s="52">
        <v>4645067690</v>
      </c>
      <c r="AQ856" s="58">
        <v>0</v>
      </c>
      <c r="AR856" s="58">
        <v>0</v>
      </c>
      <c r="AS856" s="58">
        <v>0</v>
      </c>
      <c r="AT856" s="58">
        <v>0</v>
      </c>
      <c r="AU856" s="58">
        <v>127</v>
      </c>
      <c r="AV856" s="58">
        <v>1432568.9500000002</v>
      </c>
      <c r="AW856" s="58">
        <v>34</v>
      </c>
      <c r="AX856" s="58">
        <v>24188856.02</v>
      </c>
    </row>
    <row r="857" spans="1:50" x14ac:dyDescent="0.25">
      <c r="A857" s="52">
        <f t="shared" si="43"/>
        <v>852</v>
      </c>
      <c r="B857" s="60" t="str">
        <f t="shared" si="42"/>
        <v>000836282495</v>
      </c>
      <c r="C857" s="55" t="s">
        <v>35</v>
      </c>
      <c r="D857" s="53" t="s">
        <v>2139</v>
      </c>
      <c r="E857" s="55" t="s">
        <v>1251</v>
      </c>
      <c r="F857" s="53" t="s">
        <v>2145</v>
      </c>
      <c r="G857" s="55">
        <v>11448</v>
      </c>
      <c r="H857" s="53" t="s">
        <v>2605</v>
      </c>
      <c r="I857" s="55">
        <v>305833430</v>
      </c>
      <c r="J857" s="55" t="s">
        <v>1570</v>
      </c>
      <c r="K857" s="55" t="s">
        <v>1571</v>
      </c>
      <c r="L857" s="53" t="s">
        <v>2035</v>
      </c>
      <c r="M857" s="55" t="s">
        <v>71</v>
      </c>
      <c r="N857" s="52">
        <v>300000</v>
      </c>
      <c r="O857" s="52">
        <v>4242300000</v>
      </c>
      <c r="P857" s="52">
        <v>4242300000</v>
      </c>
      <c r="Q857" s="57">
        <v>44985</v>
      </c>
      <c r="R857" s="57">
        <v>46811</v>
      </c>
      <c r="S857" s="56">
        <v>11.99</v>
      </c>
      <c r="T857" s="54">
        <v>6</v>
      </c>
      <c r="U857" s="52">
        <v>2319096040.6100001</v>
      </c>
      <c r="V857" s="52">
        <v>2319096040.6100001</v>
      </c>
      <c r="W857" s="52">
        <v>0</v>
      </c>
      <c r="X857" s="57"/>
      <c r="Y857" s="52">
        <v>0</v>
      </c>
      <c r="Z857" s="52">
        <v>0</v>
      </c>
      <c r="AA857" s="52">
        <v>2</v>
      </c>
      <c r="AB857" s="52">
        <v>232542545.13999999</v>
      </c>
      <c r="AC857" s="52">
        <v>9168719.4199999999</v>
      </c>
      <c r="AD857" s="52">
        <v>9168719.4199999999</v>
      </c>
      <c r="AE857" s="52">
        <v>0</v>
      </c>
      <c r="AF857" s="52">
        <v>0</v>
      </c>
      <c r="AG857" s="52">
        <v>0</v>
      </c>
      <c r="AH857" s="52">
        <v>0</v>
      </c>
      <c r="AI857" s="52">
        <v>0</v>
      </c>
      <c r="AJ857" s="52">
        <v>2</v>
      </c>
      <c r="AK857" s="52"/>
      <c r="AL857" s="52">
        <v>0</v>
      </c>
      <c r="AM857" s="52">
        <v>0</v>
      </c>
      <c r="AN857" s="52">
        <v>5065000000</v>
      </c>
      <c r="AO857" s="52">
        <v>7337886017</v>
      </c>
      <c r="AP857" s="52">
        <v>6894654742</v>
      </c>
      <c r="AQ857" s="58">
        <v>2</v>
      </c>
      <c r="AR857" s="58">
        <v>4975.41</v>
      </c>
      <c r="AS857" s="58">
        <v>71</v>
      </c>
      <c r="AT857" s="58">
        <v>279672.49999999994</v>
      </c>
      <c r="AU857" s="58">
        <v>2</v>
      </c>
      <c r="AV857" s="58">
        <v>73902.16</v>
      </c>
      <c r="AW857" s="58">
        <v>7</v>
      </c>
      <c r="AX857" s="58">
        <v>325935.57000000007</v>
      </c>
    </row>
    <row r="858" spans="1:50" x14ac:dyDescent="0.25">
      <c r="A858" s="52">
        <f t="shared" si="43"/>
        <v>853</v>
      </c>
      <c r="B858" s="60" t="str">
        <f t="shared" si="42"/>
        <v>0008315878749</v>
      </c>
      <c r="C858" s="55" t="s">
        <v>35</v>
      </c>
      <c r="D858" s="53" t="s">
        <v>2139</v>
      </c>
      <c r="E858" s="55" t="s">
        <v>1251</v>
      </c>
      <c r="F858" s="53" t="s">
        <v>2145</v>
      </c>
      <c r="G858" s="55">
        <v>11448</v>
      </c>
      <c r="H858" s="53" t="s">
        <v>1572</v>
      </c>
      <c r="I858" s="55">
        <v>311035163</v>
      </c>
      <c r="J858" s="55" t="s">
        <v>1573</v>
      </c>
      <c r="K858" s="55" t="s">
        <v>1574</v>
      </c>
      <c r="L858" s="53" t="s">
        <v>2035</v>
      </c>
      <c r="M858" s="55" t="s">
        <v>75</v>
      </c>
      <c r="N858" s="52">
        <v>181000</v>
      </c>
      <c r="O858" s="52">
        <v>2184264560</v>
      </c>
      <c r="P858" s="52">
        <f>+O858</f>
        <v>2184264560</v>
      </c>
      <c r="Q858" s="57">
        <v>45819</v>
      </c>
      <c r="R858" s="57">
        <v>46367</v>
      </c>
      <c r="S858" s="56">
        <v>12</v>
      </c>
      <c r="T858" s="54">
        <v>6</v>
      </c>
      <c r="U858" s="52">
        <v>2032903160.6700001</v>
      </c>
      <c r="V858" s="52">
        <v>2032903160.6700001</v>
      </c>
      <c r="W858" s="52">
        <v>0</v>
      </c>
      <c r="X858" s="57"/>
      <c r="Y858" s="52">
        <v>0</v>
      </c>
      <c r="Z858" s="52">
        <v>0</v>
      </c>
      <c r="AA858" s="52">
        <v>1</v>
      </c>
      <c r="AB858" s="52">
        <v>0</v>
      </c>
      <c r="AC858" s="52">
        <v>8077878.0499999998</v>
      </c>
      <c r="AD858" s="52">
        <v>8077878.0499999998</v>
      </c>
      <c r="AE858" s="52">
        <v>0</v>
      </c>
      <c r="AF858" s="52">
        <v>0</v>
      </c>
      <c r="AG858" s="52">
        <v>0</v>
      </c>
      <c r="AH858" s="52">
        <v>0</v>
      </c>
      <c r="AI858" s="52">
        <v>0</v>
      </c>
      <c r="AJ858" s="52">
        <v>2</v>
      </c>
      <c r="AK858" s="52"/>
      <c r="AL858" s="52">
        <v>0</v>
      </c>
      <c r="AM858" s="52">
        <v>0</v>
      </c>
      <c r="AN858" s="52">
        <v>3090000000</v>
      </c>
      <c r="AO858" s="52">
        <v>17599516667</v>
      </c>
      <c r="AP858" s="52">
        <v>13334386306</v>
      </c>
      <c r="AQ858" s="58">
        <v>0</v>
      </c>
      <c r="AR858" s="58">
        <v>0</v>
      </c>
      <c r="AS858" s="58">
        <v>0</v>
      </c>
      <c r="AT858" s="58">
        <v>0</v>
      </c>
      <c r="AU858" s="58">
        <v>5</v>
      </c>
      <c r="AV858" s="58">
        <v>106380</v>
      </c>
      <c r="AW858" s="58">
        <v>41</v>
      </c>
      <c r="AX858" s="58">
        <v>1224574</v>
      </c>
    </row>
    <row r="859" spans="1:50" x14ac:dyDescent="0.25">
      <c r="A859" s="52">
        <f t="shared" si="43"/>
        <v>854</v>
      </c>
      <c r="B859" s="60" t="str">
        <f t="shared" si="42"/>
        <v>0008315854763</v>
      </c>
      <c r="C859" s="55" t="s">
        <v>35</v>
      </c>
      <c r="D859" s="53" t="s">
        <v>2139</v>
      </c>
      <c r="E859" s="55" t="s">
        <v>1251</v>
      </c>
      <c r="F859" s="53" t="s">
        <v>2145</v>
      </c>
      <c r="G859" s="55">
        <v>11448</v>
      </c>
      <c r="H859" s="53" t="s">
        <v>2604</v>
      </c>
      <c r="I859" s="55">
        <v>201666637</v>
      </c>
      <c r="J859" s="55" t="s">
        <v>1575</v>
      </c>
      <c r="K859" s="55" t="s">
        <v>1576</v>
      </c>
      <c r="L859" s="53" t="s">
        <v>2035</v>
      </c>
      <c r="M859" s="55" t="s">
        <v>75</v>
      </c>
      <c r="N859" s="52">
        <v>150000</v>
      </c>
      <c r="O859" s="52">
        <v>1810164000</v>
      </c>
      <c r="P859" s="52">
        <v>1810164000</v>
      </c>
      <c r="Q859" s="57">
        <v>45776</v>
      </c>
      <c r="R859" s="57">
        <v>47298</v>
      </c>
      <c r="S859" s="56">
        <v>10</v>
      </c>
      <c r="T859" s="54">
        <v>12</v>
      </c>
      <c r="U859" s="52">
        <v>1829865000</v>
      </c>
      <c r="V859" s="52">
        <v>1829865000</v>
      </c>
      <c r="W859" s="52">
        <v>0</v>
      </c>
      <c r="X859" s="57"/>
      <c r="Y859" s="52">
        <v>0</v>
      </c>
      <c r="Z859" s="52">
        <v>0</v>
      </c>
      <c r="AA859" s="52">
        <v>1</v>
      </c>
      <c r="AB859" s="52">
        <v>0</v>
      </c>
      <c r="AC859" s="52">
        <v>6517247.1799999997</v>
      </c>
      <c r="AD859" s="52">
        <v>6517247.1799999997</v>
      </c>
      <c r="AE859" s="52">
        <v>0</v>
      </c>
      <c r="AF859" s="52">
        <v>0</v>
      </c>
      <c r="AG859" s="52">
        <v>0</v>
      </c>
      <c r="AH859" s="52">
        <v>0</v>
      </c>
      <c r="AI859" s="52">
        <v>0</v>
      </c>
      <c r="AJ859" s="52">
        <v>2</v>
      </c>
      <c r="AK859" s="52"/>
      <c r="AL859" s="52">
        <v>0</v>
      </c>
      <c r="AM859" s="52">
        <v>0</v>
      </c>
      <c r="AN859" s="52">
        <v>11661000000</v>
      </c>
      <c r="AO859" s="52">
        <v>9550107684</v>
      </c>
      <c r="AP859" s="52">
        <v>4547150348</v>
      </c>
      <c r="AQ859" s="58">
        <v>13</v>
      </c>
      <c r="AR859" s="58">
        <v>81056.62</v>
      </c>
      <c r="AS859" s="58">
        <v>27</v>
      </c>
      <c r="AT859" s="58">
        <v>657784.82000000007</v>
      </c>
      <c r="AU859" s="58">
        <v>0</v>
      </c>
      <c r="AV859" s="58">
        <v>0</v>
      </c>
      <c r="AW859" s="58">
        <v>13</v>
      </c>
      <c r="AX859" s="58">
        <v>1424000</v>
      </c>
    </row>
    <row r="860" spans="1:50" x14ac:dyDescent="0.25">
      <c r="A860" s="52">
        <f t="shared" si="43"/>
        <v>855</v>
      </c>
      <c r="B860" s="60" t="str">
        <f t="shared" si="42"/>
        <v>0008315260700</v>
      </c>
      <c r="C860" s="55" t="s">
        <v>35</v>
      </c>
      <c r="D860" s="53" t="s">
        <v>2139</v>
      </c>
      <c r="E860" s="55" t="s">
        <v>1251</v>
      </c>
      <c r="F860" s="53" t="s">
        <v>2145</v>
      </c>
      <c r="G860" s="55">
        <v>11448</v>
      </c>
      <c r="H860" s="53" t="s">
        <v>1558</v>
      </c>
      <c r="I860" s="55">
        <v>302236154</v>
      </c>
      <c r="J860" s="55" t="s">
        <v>1577</v>
      </c>
      <c r="K860" s="55" t="s">
        <v>1578</v>
      </c>
      <c r="L860" s="53" t="s">
        <v>2035</v>
      </c>
      <c r="M860" s="55" t="s">
        <v>75</v>
      </c>
      <c r="N860" s="52">
        <v>300000</v>
      </c>
      <c r="O860" s="52">
        <v>3620328000</v>
      </c>
      <c r="P860" s="52">
        <v>3620328000</v>
      </c>
      <c r="Q860" s="57">
        <v>45328</v>
      </c>
      <c r="R860" s="57">
        <v>46424</v>
      </c>
      <c r="S860" s="56">
        <v>12</v>
      </c>
      <c r="T860" s="54">
        <v>6</v>
      </c>
      <c r="U860" s="52">
        <v>1722263570.4000001</v>
      </c>
      <c r="V860" s="52">
        <v>1722263570.4000001</v>
      </c>
      <c r="W860" s="52">
        <v>0</v>
      </c>
      <c r="X860" s="57"/>
      <c r="Y860" s="52">
        <v>0</v>
      </c>
      <c r="Z860" s="52">
        <v>0</v>
      </c>
      <c r="AA860" s="52">
        <v>1</v>
      </c>
      <c r="AB860" s="52">
        <v>0</v>
      </c>
      <c r="AC860" s="52">
        <v>14721873.880000001</v>
      </c>
      <c r="AD860" s="52">
        <v>14721873.880000001</v>
      </c>
      <c r="AE860" s="52">
        <v>0</v>
      </c>
      <c r="AF860" s="52">
        <v>0</v>
      </c>
      <c r="AG860" s="52">
        <v>0</v>
      </c>
      <c r="AH860" s="52">
        <v>0</v>
      </c>
      <c r="AI860" s="52">
        <v>0</v>
      </c>
      <c r="AJ860" s="52">
        <v>2</v>
      </c>
      <c r="AK860" s="52"/>
      <c r="AL860" s="52">
        <v>0</v>
      </c>
      <c r="AM860" s="52">
        <v>0</v>
      </c>
      <c r="AN860" s="52">
        <v>5062500000</v>
      </c>
      <c r="AO860" s="52">
        <v>49400517983</v>
      </c>
      <c r="AP860" s="52">
        <v>44432575393</v>
      </c>
      <c r="AQ860" s="58">
        <v>192</v>
      </c>
      <c r="AR860" s="58">
        <v>1398857.1800000002</v>
      </c>
      <c r="AS860" s="58">
        <v>57</v>
      </c>
      <c r="AT860" s="58">
        <v>545183.63000000012</v>
      </c>
      <c r="AU860" s="58">
        <v>322</v>
      </c>
      <c r="AV860" s="58">
        <v>9083253.2399999946</v>
      </c>
      <c r="AW860" s="58">
        <v>100</v>
      </c>
      <c r="AX860" s="58">
        <v>118868488.19999999</v>
      </c>
    </row>
    <row r="861" spans="1:50" x14ac:dyDescent="0.25">
      <c r="A861" s="52">
        <f t="shared" si="43"/>
        <v>856</v>
      </c>
      <c r="B861" s="60" t="str">
        <f t="shared" si="42"/>
        <v>0008315866423</v>
      </c>
      <c r="C861" s="55" t="s">
        <v>35</v>
      </c>
      <c r="D861" s="53" t="s">
        <v>2139</v>
      </c>
      <c r="E861" s="55" t="s">
        <v>1251</v>
      </c>
      <c r="F861" s="53" t="s">
        <v>2145</v>
      </c>
      <c r="G861" s="55">
        <v>11448</v>
      </c>
      <c r="H861" s="53" t="s">
        <v>2606</v>
      </c>
      <c r="I861" s="55">
        <v>304942534</v>
      </c>
      <c r="J861" s="55" t="s">
        <v>1579</v>
      </c>
      <c r="K861" s="55" t="s">
        <v>1580</v>
      </c>
      <c r="L861" s="53" t="s">
        <v>2035</v>
      </c>
      <c r="M861" s="55" t="s">
        <v>49</v>
      </c>
      <c r="N861" s="52">
        <v>980000000</v>
      </c>
      <c r="O861" s="52">
        <v>980000000</v>
      </c>
      <c r="P861" s="52">
        <v>980000000</v>
      </c>
      <c r="Q861" s="57">
        <v>45796</v>
      </c>
      <c r="R861" s="57">
        <v>46892</v>
      </c>
      <c r="S861" s="56">
        <v>27</v>
      </c>
      <c r="T861" s="54">
        <v>0</v>
      </c>
      <c r="U861" s="52">
        <v>825828658.25</v>
      </c>
      <c r="V861" s="52">
        <v>825828658.25</v>
      </c>
      <c r="W861" s="52">
        <v>0</v>
      </c>
      <c r="X861" s="57"/>
      <c r="Y861" s="52">
        <v>0</v>
      </c>
      <c r="Z861" s="52">
        <v>0</v>
      </c>
      <c r="AA861" s="52">
        <v>1</v>
      </c>
      <c r="AB861" s="52">
        <v>0</v>
      </c>
      <c r="AC861" s="52">
        <v>7945535.5499999998</v>
      </c>
      <c r="AD861" s="52">
        <v>7945535.5499999998</v>
      </c>
      <c r="AE861" s="52">
        <v>0</v>
      </c>
      <c r="AF861" s="52">
        <v>0</v>
      </c>
      <c r="AG861" s="52">
        <v>0</v>
      </c>
      <c r="AH861" s="52">
        <v>0</v>
      </c>
      <c r="AI861" s="52">
        <v>0</v>
      </c>
      <c r="AJ861" s="52">
        <v>2</v>
      </c>
      <c r="AK861" s="52"/>
      <c r="AL861" s="52">
        <v>0</v>
      </c>
      <c r="AM861" s="52">
        <v>0</v>
      </c>
      <c r="AN861" s="52">
        <v>1225000000</v>
      </c>
      <c r="AO861" s="52">
        <v>870348943</v>
      </c>
      <c r="AP861" s="52">
        <v>810485563</v>
      </c>
      <c r="AQ861" s="58">
        <v>0</v>
      </c>
      <c r="AR861" s="58">
        <v>0</v>
      </c>
      <c r="AS861" s="58">
        <v>0</v>
      </c>
      <c r="AT861" s="58">
        <v>0</v>
      </c>
      <c r="AU861" s="58">
        <v>0</v>
      </c>
      <c r="AV861" s="58">
        <v>0</v>
      </c>
      <c r="AW861" s="58">
        <v>0</v>
      </c>
      <c r="AX861" s="58">
        <v>0</v>
      </c>
    </row>
    <row r="862" spans="1:50" x14ac:dyDescent="0.25">
      <c r="A862" s="52">
        <f t="shared" si="43"/>
        <v>857</v>
      </c>
      <c r="B862" s="60" t="str">
        <f t="shared" si="42"/>
        <v>000837384755</v>
      </c>
      <c r="C862" s="55" t="s">
        <v>35</v>
      </c>
      <c r="D862" s="53" t="s">
        <v>2139</v>
      </c>
      <c r="E862" s="55" t="s">
        <v>1251</v>
      </c>
      <c r="F862" s="53" t="s">
        <v>2145</v>
      </c>
      <c r="G862" s="55">
        <v>11448</v>
      </c>
      <c r="H862" s="53" t="s">
        <v>2604</v>
      </c>
      <c r="I862" s="55">
        <v>201666637</v>
      </c>
      <c r="J862" s="55" t="s">
        <v>1581</v>
      </c>
      <c r="K862" s="55" t="s">
        <v>1582</v>
      </c>
      <c r="L862" s="53" t="s">
        <v>2035</v>
      </c>
      <c r="M862" s="55" t="s">
        <v>75</v>
      </c>
      <c r="N862" s="52">
        <v>343000</v>
      </c>
      <c r="O862" s="52">
        <v>4139241680</v>
      </c>
      <c r="P862" s="52">
        <v>4139241680</v>
      </c>
      <c r="Q862" s="57">
        <v>45071</v>
      </c>
      <c r="R862" s="57">
        <v>46898</v>
      </c>
      <c r="S862" s="56">
        <v>11.99</v>
      </c>
      <c r="T862" s="54">
        <v>12</v>
      </c>
      <c r="U862" s="52">
        <v>814558305.20000005</v>
      </c>
      <c r="V862" s="52">
        <v>814558305.20000005</v>
      </c>
      <c r="W862" s="52">
        <v>0</v>
      </c>
      <c r="X862" s="57"/>
      <c r="Y862" s="52">
        <v>0</v>
      </c>
      <c r="Z862" s="52">
        <v>0</v>
      </c>
      <c r="AA862" s="52">
        <v>1</v>
      </c>
      <c r="AB862" s="52">
        <v>0</v>
      </c>
      <c r="AC862" s="52">
        <v>1616380.75</v>
      </c>
      <c r="AD862" s="52">
        <v>1616380.75</v>
      </c>
      <c r="AE862" s="52">
        <v>0</v>
      </c>
      <c r="AF862" s="52">
        <v>0</v>
      </c>
      <c r="AG862" s="52">
        <v>0</v>
      </c>
      <c r="AH862" s="52">
        <v>0</v>
      </c>
      <c r="AI862" s="52">
        <v>0</v>
      </c>
      <c r="AJ862" s="52">
        <v>2</v>
      </c>
      <c r="AK862" s="52"/>
      <c r="AL862" s="52">
        <v>0</v>
      </c>
      <c r="AM862" s="52">
        <v>0</v>
      </c>
      <c r="AN862" s="52">
        <v>5550000000</v>
      </c>
      <c r="AO862" s="52">
        <v>22639248126</v>
      </c>
      <c r="AP862" s="52">
        <v>17300379373</v>
      </c>
      <c r="AQ862" s="58">
        <v>13</v>
      </c>
      <c r="AR862" s="58">
        <v>81056.62</v>
      </c>
      <c r="AS862" s="58">
        <v>27</v>
      </c>
      <c r="AT862" s="58">
        <v>657784.82000000007</v>
      </c>
      <c r="AU862" s="58">
        <v>0</v>
      </c>
      <c r="AV862" s="58">
        <v>0</v>
      </c>
      <c r="AW862" s="58">
        <v>13</v>
      </c>
      <c r="AX862" s="58">
        <v>1424000</v>
      </c>
    </row>
    <row r="863" spans="1:50" x14ac:dyDescent="0.25">
      <c r="A863" s="52">
        <f t="shared" si="43"/>
        <v>858</v>
      </c>
      <c r="B863" s="60" t="str">
        <f t="shared" si="42"/>
        <v>0008315814995</v>
      </c>
      <c r="C863" s="55" t="s">
        <v>35</v>
      </c>
      <c r="D863" s="53" t="s">
        <v>2139</v>
      </c>
      <c r="E863" s="55" t="s">
        <v>1251</v>
      </c>
      <c r="F863" s="53" t="s">
        <v>2145</v>
      </c>
      <c r="G863" s="55">
        <v>11448</v>
      </c>
      <c r="H863" s="53" t="s">
        <v>1583</v>
      </c>
      <c r="I863" s="55">
        <v>301041312</v>
      </c>
      <c r="J863" s="55" t="s">
        <v>1584</v>
      </c>
      <c r="K863" s="55" t="s">
        <v>1585</v>
      </c>
      <c r="L863" s="53" t="s">
        <v>2607</v>
      </c>
      <c r="M863" s="55" t="s">
        <v>49</v>
      </c>
      <c r="N863" s="52">
        <v>800000000</v>
      </c>
      <c r="O863" s="52">
        <v>800000000</v>
      </c>
      <c r="P863" s="52">
        <v>800000000</v>
      </c>
      <c r="Q863" s="57">
        <v>45741</v>
      </c>
      <c r="R863" s="57">
        <v>46837</v>
      </c>
      <c r="S863" s="56">
        <v>28</v>
      </c>
      <c r="T863" s="54">
        <v>0</v>
      </c>
      <c r="U863" s="52">
        <v>637162134.03999996</v>
      </c>
      <c r="V863" s="52">
        <v>637162134.03999996</v>
      </c>
      <c r="W863" s="52">
        <v>0</v>
      </c>
      <c r="X863" s="57"/>
      <c r="Y863" s="52">
        <v>0</v>
      </c>
      <c r="Z863" s="52">
        <v>0</v>
      </c>
      <c r="AA863" s="52">
        <v>1</v>
      </c>
      <c r="AB863" s="52">
        <v>0</v>
      </c>
      <c r="AC863" s="52">
        <v>5879578.1900000004</v>
      </c>
      <c r="AD863" s="52">
        <v>5879578.1900000004</v>
      </c>
      <c r="AE863" s="52">
        <v>0</v>
      </c>
      <c r="AF863" s="52">
        <v>0</v>
      </c>
      <c r="AG863" s="52">
        <v>0</v>
      </c>
      <c r="AH863" s="52">
        <v>0</v>
      </c>
      <c r="AI863" s="52">
        <v>0</v>
      </c>
      <c r="AJ863" s="52">
        <v>2</v>
      </c>
      <c r="AK863" s="52"/>
      <c r="AL863" s="52">
        <v>0</v>
      </c>
      <c r="AM863" s="52">
        <v>0</v>
      </c>
      <c r="AN863" s="52">
        <v>1000000000</v>
      </c>
      <c r="AO863" s="52">
        <v>2010211153</v>
      </c>
      <c r="AP863" s="52">
        <v>1474742732</v>
      </c>
      <c r="AQ863" s="58">
        <v>0</v>
      </c>
      <c r="AR863" s="58">
        <v>0</v>
      </c>
      <c r="AS863" s="58">
        <v>0</v>
      </c>
      <c r="AT863" s="58">
        <v>0</v>
      </c>
      <c r="AU863" s="58">
        <v>0</v>
      </c>
      <c r="AV863" s="58">
        <v>0</v>
      </c>
      <c r="AW863" s="58">
        <v>0</v>
      </c>
      <c r="AX863" s="58">
        <v>0</v>
      </c>
    </row>
    <row r="864" spans="1:50" x14ac:dyDescent="0.25">
      <c r="A864" s="52">
        <f t="shared" si="43"/>
        <v>859</v>
      </c>
      <c r="B864" s="60" t="str">
        <f t="shared" si="42"/>
        <v>0008315807487</v>
      </c>
      <c r="C864" s="55" t="s">
        <v>35</v>
      </c>
      <c r="D864" s="53" t="s">
        <v>2139</v>
      </c>
      <c r="E864" s="55" t="s">
        <v>1251</v>
      </c>
      <c r="F864" s="53" t="s">
        <v>2145</v>
      </c>
      <c r="G864" s="55">
        <v>11448</v>
      </c>
      <c r="H864" s="53" t="s">
        <v>1586</v>
      </c>
      <c r="I864" s="55">
        <v>205863721</v>
      </c>
      <c r="J864" s="55" t="s">
        <v>1587</v>
      </c>
      <c r="K864" s="55" t="s">
        <v>1588</v>
      </c>
      <c r="L864" s="53" t="s">
        <v>2035</v>
      </c>
      <c r="M864" s="55" t="s">
        <v>71</v>
      </c>
      <c r="N864" s="52">
        <v>100000</v>
      </c>
      <c r="O864" s="52">
        <v>1414100000</v>
      </c>
      <c r="P864" s="52">
        <v>1414100000</v>
      </c>
      <c r="Q864" s="57">
        <v>45733</v>
      </c>
      <c r="R864" s="57">
        <v>47559</v>
      </c>
      <c r="S864" s="56">
        <v>10</v>
      </c>
      <c r="T864" s="54">
        <v>6</v>
      </c>
      <c r="U864" s="52">
        <v>631322113.39999998</v>
      </c>
      <c r="V864" s="52">
        <v>631322113.39999998</v>
      </c>
      <c r="W864" s="52">
        <v>0</v>
      </c>
      <c r="X864" s="57"/>
      <c r="Y864" s="52">
        <v>0</v>
      </c>
      <c r="Z864" s="52">
        <v>0</v>
      </c>
      <c r="AA864" s="52">
        <v>1</v>
      </c>
      <c r="AB864" s="52">
        <v>0</v>
      </c>
      <c r="AC864" s="52">
        <v>2090502.45</v>
      </c>
      <c r="AD864" s="52">
        <v>2090502.45</v>
      </c>
      <c r="AE864" s="52">
        <v>0</v>
      </c>
      <c r="AF864" s="52">
        <v>0</v>
      </c>
      <c r="AG864" s="52">
        <v>0</v>
      </c>
      <c r="AH864" s="52">
        <v>0</v>
      </c>
      <c r="AI864" s="52">
        <v>0</v>
      </c>
      <c r="AJ864" s="52">
        <v>2</v>
      </c>
      <c r="AK864" s="52"/>
      <c r="AL864" s="52">
        <v>0</v>
      </c>
      <c r="AM864" s="52">
        <v>0</v>
      </c>
      <c r="AN864" s="52">
        <v>1850000000</v>
      </c>
      <c r="AO864" s="52">
        <v>1877359929</v>
      </c>
      <c r="AP864" s="52">
        <v>894522989</v>
      </c>
      <c r="AQ864" s="58">
        <v>0</v>
      </c>
      <c r="AR864" s="58">
        <v>0</v>
      </c>
      <c r="AS864" s="58">
        <v>0</v>
      </c>
      <c r="AT864" s="58">
        <v>0</v>
      </c>
      <c r="AU864" s="58">
        <v>2</v>
      </c>
      <c r="AV864" s="58">
        <v>30000</v>
      </c>
      <c r="AW864" s="58">
        <v>3</v>
      </c>
      <c r="AX864" s="58">
        <v>128000</v>
      </c>
    </row>
    <row r="865" spans="1:50" x14ac:dyDescent="0.25">
      <c r="A865" s="52">
        <f t="shared" si="43"/>
        <v>860</v>
      </c>
      <c r="B865" s="60" t="str">
        <f t="shared" si="42"/>
        <v>0008315859041</v>
      </c>
      <c r="C865" s="55" t="s">
        <v>35</v>
      </c>
      <c r="D865" s="53" t="s">
        <v>2139</v>
      </c>
      <c r="E865" s="55" t="s">
        <v>1251</v>
      </c>
      <c r="F865" s="53" t="s">
        <v>2145</v>
      </c>
      <c r="G865" s="55">
        <v>11448</v>
      </c>
      <c r="H865" s="53" t="s">
        <v>1572</v>
      </c>
      <c r="I865" s="55">
        <v>311035163</v>
      </c>
      <c r="J865" s="55" t="s">
        <v>1589</v>
      </c>
      <c r="K865" s="55" t="s">
        <v>1590</v>
      </c>
      <c r="L865" s="53" t="s">
        <v>2035</v>
      </c>
      <c r="M865" s="55" t="s">
        <v>75</v>
      </c>
      <c r="N865" s="52">
        <v>46000</v>
      </c>
      <c r="O865" s="52">
        <v>555116960</v>
      </c>
      <c r="P865" s="52">
        <v>555116960</v>
      </c>
      <c r="Q865" s="57">
        <v>45782</v>
      </c>
      <c r="R865" s="57">
        <v>46878</v>
      </c>
      <c r="S865" s="56">
        <v>12</v>
      </c>
      <c r="T865" s="54">
        <v>6</v>
      </c>
      <c r="U865" s="52">
        <v>528397063.00999999</v>
      </c>
      <c r="V865" s="52">
        <v>528397063.00999999</v>
      </c>
      <c r="W865" s="52">
        <v>0</v>
      </c>
      <c r="X865" s="57"/>
      <c r="Y865" s="52">
        <v>0</v>
      </c>
      <c r="Z865" s="52">
        <v>0</v>
      </c>
      <c r="AA865" s="52">
        <v>1</v>
      </c>
      <c r="AB865" s="52">
        <v>0</v>
      </c>
      <c r="AC865" s="52">
        <v>2958525.73</v>
      </c>
      <c r="AD865" s="52">
        <v>2958525.73</v>
      </c>
      <c r="AE865" s="52">
        <v>0</v>
      </c>
      <c r="AF865" s="52">
        <v>0</v>
      </c>
      <c r="AG865" s="52">
        <v>0</v>
      </c>
      <c r="AH865" s="52">
        <v>0</v>
      </c>
      <c r="AI865" s="52">
        <v>0</v>
      </c>
      <c r="AJ865" s="52">
        <v>2</v>
      </c>
      <c r="AK865" s="52"/>
      <c r="AL865" s="52">
        <v>0</v>
      </c>
      <c r="AM865" s="52">
        <v>0</v>
      </c>
      <c r="AN865" s="52">
        <v>780000000</v>
      </c>
      <c r="AO865" s="52">
        <v>19429949518</v>
      </c>
      <c r="AP865" s="52">
        <v>15151848468</v>
      </c>
      <c r="AQ865" s="58">
        <v>0</v>
      </c>
      <c r="AR865" s="58">
        <v>0</v>
      </c>
      <c r="AS865" s="58">
        <v>0</v>
      </c>
      <c r="AT865" s="58">
        <v>0</v>
      </c>
      <c r="AU865" s="58">
        <v>5</v>
      </c>
      <c r="AV865" s="58">
        <v>106380</v>
      </c>
      <c r="AW865" s="58">
        <v>41</v>
      </c>
      <c r="AX865" s="58">
        <v>1224574</v>
      </c>
    </row>
    <row r="866" spans="1:50" x14ac:dyDescent="0.25">
      <c r="A866" s="52">
        <f t="shared" si="43"/>
        <v>861</v>
      </c>
      <c r="B866" s="60" t="str">
        <f t="shared" si="42"/>
        <v>0008315814998</v>
      </c>
      <c r="C866" s="55" t="s">
        <v>35</v>
      </c>
      <c r="D866" s="53" t="s">
        <v>2139</v>
      </c>
      <c r="E866" s="55" t="s">
        <v>1251</v>
      </c>
      <c r="F866" s="53" t="s">
        <v>2145</v>
      </c>
      <c r="G866" s="55">
        <v>11448</v>
      </c>
      <c r="H866" s="53" t="s">
        <v>1583</v>
      </c>
      <c r="I866" s="55">
        <v>301041312</v>
      </c>
      <c r="J866" s="55" t="s">
        <v>1591</v>
      </c>
      <c r="K866" s="55" t="s">
        <v>1592</v>
      </c>
      <c r="L866" s="53" t="s">
        <v>2607</v>
      </c>
      <c r="M866" s="55" t="s">
        <v>49</v>
      </c>
      <c r="N866" s="52">
        <v>500000000</v>
      </c>
      <c r="O866" s="52">
        <v>500000000</v>
      </c>
      <c r="P866" s="52">
        <v>500000000</v>
      </c>
      <c r="Q866" s="57">
        <v>45741</v>
      </c>
      <c r="R866" s="57">
        <v>46837</v>
      </c>
      <c r="S866" s="56">
        <v>28</v>
      </c>
      <c r="T866" s="54">
        <v>0</v>
      </c>
      <c r="U866" s="52">
        <v>398226330.98000002</v>
      </c>
      <c r="V866" s="52">
        <v>398226330.98000002</v>
      </c>
      <c r="W866" s="52">
        <v>0</v>
      </c>
      <c r="X866" s="57"/>
      <c r="Y866" s="52">
        <v>0</v>
      </c>
      <c r="Z866" s="52">
        <v>0</v>
      </c>
      <c r="AA866" s="52">
        <v>1</v>
      </c>
      <c r="AB866" s="52">
        <v>0</v>
      </c>
      <c r="AC866" s="52">
        <v>3674736.34</v>
      </c>
      <c r="AD866" s="52">
        <v>3674736.34</v>
      </c>
      <c r="AE866" s="52">
        <v>0</v>
      </c>
      <c r="AF866" s="52">
        <v>0</v>
      </c>
      <c r="AG866" s="52">
        <v>0</v>
      </c>
      <c r="AH866" s="52">
        <v>0</v>
      </c>
      <c r="AI866" s="52">
        <v>0</v>
      </c>
      <c r="AJ866" s="52">
        <v>2</v>
      </c>
      <c r="AK866" s="52"/>
      <c r="AL866" s="52">
        <v>0</v>
      </c>
      <c r="AM866" s="52">
        <v>0</v>
      </c>
      <c r="AN866" s="52">
        <v>625000000</v>
      </c>
      <c r="AO866" s="52">
        <v>2010211152</v>
      </c>
      <c r="AP866" s="52">
        <v>1474642733</v>
      </c>
      <c r="AQ866" s="58">
        <v>0</v>
      </c>
      <c r="AR866" s="58">
        <v>0</v>
      </c>
      <c r="AS866" s="58">
        <v>0</v>
      </c>
      <c r="AT866" s="58">
        <v>0</v>
      </c>
      <c r="AU866" s="58">
        <v>0</v>
      </c>
      <c r="AV866" s="58">
        <v>0</v>
      </c>
      <c r="AW866" s="58">
        <v>0</v>
      </c>
      <c r="AX866" s="58">
        <v>0</v>
      </c>
    </row>
    <row r="867" spans="1:50" x14ac:dyDescent="0.25">
      <c r="A867" s="52">
        <f t="shared" si="43"/>
        <v>862</v>
      </c>
      <c r="B867" s="60" t="str">
        <f t="shared" si="42"/>
        <v>0008315859042</v>
      </c>
      <c r="C867" s="55" t="s">
        <v>35</v>
      </c>
      <c r="D867" s="53" t="s">
        <v>2139</v>
      </c>
      <c r="E867" s="55" t="s">
        <v>1251</v>
      </c>
      <c r="F867" s="53" t="s">
        <v>2145</v>
      </c>
      <c r="G867" s="55">
        <v>11448</v>
      </c>
      <c r="H867" s="53" t="s">
        <v>1572</v>
      </c>
      <c r="I867" s="55">
        <v>311035163</v>
      </c>
      <c r="J867" s="55" t="s">
        <v>1593</v>
      </c>
      <c r="K867" s="55" t="s">
        <v>1594</v>
      </c>
      <c r="L867" s="53" t="s">
        <v>2035</v>
      </c>
      <c r="M867" s="55" t="s">
        <v>75</v>
      </c>
      <c r="N867" s="52">
        <v>23000</v>
      </c>
      <c r="O867" s="52">
        <v>277558480</v>
      </c>
      <c r="P867" s="52">
        <v>277558480</v>
      </c>
      <c r="Q867" s="57">
        <v>45782</v>
      </c>
      <c r="R867" s="57">
        <v>46878</v>
      </c>
      <c r="S867" s="56">
        <v>12</v>
      </c>
      <c r="T867" s="54">
        <v>6</v>
      </c>
      <c r="U867" s="52">
        <v>264198592.5</v>
      </c>
      <c r="V867" s="52">
        <v>264198592.5</v>
      </c>
      <c r="W867" s="52">
        <v>0</v>
      </c>
      <c r="X867" s="57"/>
      <c r="Y867" s="52">
        <v>0</v>
      </c>
      <c r="Z867" s="52">
        <v>0</v>
      </c>
      <c r="AA867" s="52">
        <v>1</v>
      </c>
      <c r="AB867" s="52">
        <v>0</v>
      </c>
      <c r="AC867" s="52">
        <v>1479384.86</v>
      </c>
      <c r="AD867" s="52">
        <v>1479384.86</v>
      </c>
      <c r="AE867" s="52">
        <v>0</v>
      </c>
      <c r="AF867" s="52">
        <v>0</v>
      </c>
      <c r="AG867" s="52">
        <v>0</v>
      </c>
      <c r="AH867" s="52">
        <v>0</v>
      </c>
      <c r="AI867" s="52">
        <v>0</v>
      </c>
      <c r="AJ867" s="52">
        <v>2</v>
      </c>
      <c r="AK867" s="52"/>
      <c r="AL867" s="52">
        <v>0</v>
      </c>
      <c r="AM867" s="52">
        <v>0</v>
      </c>
      <c r="AN867" s="52">
        <v>390000000</v>
      </c>
      <c r="AO867" s="52">
        <v>19429949518</v>
      </c>
      <c r="AP867" s="52">
        <v>15151848468</v>
      </c>
      <c r="AQ867" s="58">
        <v>0</v>
      </c>
      <c r="AR867" s="58">
        <v>0</v>
      </c>
      <c r="AS867" s="58">
        <v>0</v>
      </c>
      <c r="AT867" s="58">
        <v>0</v>
      </c>
      <c r="AU867" s="58">
        <v>5</v>
      </c>
      <c r="AV867" s="58">
        <v>106380</v>
      </c>
      <c r="AW867" s="58">
        <v>41</v>
      </c>
      <c r="AX867" s="58">
        <v>1224574</v>
      </c>
    </row>
    <row r="868" spans="1:50" x14ac:dyDescent="0.25">
      <c r="A868" s="52">
        <f t="shared" si="43"/>
        <v>863</v>
      </c>
      <c r="B868" s="60" t="str">
        <f t="shared" si="42"/>
        <v>0008310098657</v>
      </c>
      <c r="C868" s="55" t="s">
        <v>35</v>
      </c>
      <c r="D868" s="53" t="s">
        <v>2139</v>
      </c>
      <c r="E868" s="55" t="s">
        <v>1251</v>
      </c>
      <c r="F868" s="53" t="s">
        <v>2145</v>
      </c>
      <c r="G868" s="55">
        <v>11448</v>
      </c>
      <c r="H868" s="53" t="s">
        <v>2606</v>
      </c>
      <c r="I868" s="55">
        <v>304942534</v>
      </c>
      <c r="J868" s="55" t="s">
        <v>1595</v>
      </c>
      <c r="K868" s="55" t="s">
        <v>1596</v>
      </c>
      <c r="L868" s="53" t="s">
        <v>2035</v>
      </c>
      <c r="M868" s="55" t="s">
        <v>49</v>
      </c>
      <c r="N868" s="52">
        <v>270000000</v>
      </c>
      <c r="O868" s="52">
        <v>270000000</v>
      </c>
      <c r="P868" s="52">
        <v>270000000</v>
      </c>
      <c r="Q868" s="57">
        <v>45128</v>
      </c>
      <c r="R868" s="57">
        <v>46955</v>
      </c>
      <c r="S868" s="56">
        <v>18.5</v>
      </c>
      <c r="T868" s="54">
        <v>12</v>
      </c>
      <c r="U868" s="52">
        <v>190928596.33000001</v>
      </c>
      <c r="V868" s="52">
        <v>190928596.33000001</v>
      </c>
      <c r="W868" s="52">
        <v>0</v>
      </c>
      <c r="X868" s="57"/>
      <c r="Y868" s="52">
        <v>0</v>
      </c>
      <c r="Z868" s="52">
        <v>0</v>
      </c>
      <c r="AA868" s="52">
        <v>1</v>
      </c>
      <c r="AB868" s="52">
        <v>0</v>
      </c>
      <c r="AC868" s="52">
        <v>1163859.57</v>
      </c>
      <c r="AD868" s="52">
        <v>1163859.57</v>
      </c>
      <c r="AE868" s="52">
        <v>0</v>
      </c>
      <c r="AF868" s="52">
        <v>0</v>
      </c>
      <c r="AG868" s="52">
        <v>0</v>
      </c>
      <c r="AH868" s="52">
        <v>0</v>
      </c>
      <c r="AI868" s="52">
        <v>0</v>
      </c>
      <c r="AJ868" s="52">
        <v>2</v>
      </c>
      <c r="AK868" s="52"/>
      <c r="AL868" s="52">
        <v>0</v>
      </c>
      <c r="AM868" s="52">
        <v>0</v>
      </c>
      <c r="AN868" s="52">
        <v>337500000</v>
      </c>
      <c r="AO868" s="52">
        <v>870348943</v>
      </c>
      <c r="AP868" s="52">
        <v>810485563</v>
      </c>
      <c r="AQ868" s="58">
        <v>0</v>
      </c>
      <c r="AR868" s="58">
        <v>0</v>
      </c>
      <c r="AS868" s="58">
        <v>0</v>
      </c>
      <c r="AT868" s="58">
        <v>0</v>
      </c>
      <c r="AU868" s="58">
        <v>0</v>
      </c>
      <c r="AV868" s="58">
        <v>0</v>
      </c>
      <c r="AW868" s="58">
        <v>0</v>
      </c>
      <c r="AX868" s="58">
        <v>0</v>
      </c>
    </row>
    <row r="869" spans="1:50" x14ac:dyDescent="0.25">
      <c r="A869" s="52">
        <f t="shared" si="43"/>
        <v>864</v>
      </c>
      <c r="B869" s="60" t="str">
        <f t="shared" si="42"/>
        <v>008731594150</v>
      </c>
      <c r="C869" s="55" t="s">
        <v>32</v>
      </c>
      <c r="D869" s="53" t="s">
        <v>2125</v>
      </c>
      <c r="E869" s="55" t="s">
        <v>1597</v>
      </c>
      <c r="F869" s="53" t="s">
        <v>2126</v>
      </c>
      <c r="G869" s="55">
        <v>12008</v>
      </c>
      <c r="H869" s="53" t="s">
        <v>2608</v>
      </c>
      <c r="I869" s="55">
        <v>302740099</v>
      </c>
      <c r="J869" s="55" t="s">
        <v>1598</v>
      </c>
      <c r="K869" s="55" t="s">
        <v>1599</v>
      </c>
      <c r="L869" s="53" t="s">
        <v>2035</v>
      </c>
      <c r="M869" s="55" t="s">
        <v>71</v>
      </c>
      <c r="N869" s="52">
        <v>37410055</v>
      </c>
      <c r="O869" s="52">
        <v>529015587755</v>
      </c>
      <c r="P869" s="52">
        <v>526339272420.29999</v>
      </c>
      <c r="Q869" s="57">
        <v>44072</v>
      </c>
      <c r="R869" s="57">
        <v>47664</v>
      </c>
      <c r="S869" s="56">
        <v>0</v>
      </c>
      <c r="T869" s="54">
        <v>0</v>
      </c>
      <c r="U869" s="52">
        <v>354641344948.85999</v>
      </c>
      <c r="V869" s="52">
        <v>163711477537.42001</v>
      </c>
      <c r="W869" s="52">
        <v>109105801293.58</v>
      </c>
      <c r="X869" s="57">
        <v>46013</v>
      </c>
      <c r="Y869" s="52">
        <v>81824066117.860001</v>
      </c>
      <c r="Z869" s="52">
        <v>0</v>
      </c>
      <c r="AA869" s="52">
        <v>2</v>
      </c>
      <c r="AB869" s="52">
        <v>35464134451.129997</v>
      </c>
      <c r="AC869" s="52">
        <v>31684985148.110001</v>
      </c>
      <c r="AD869" s="52">
        <v>0</v>
      </c>
      <c r="AE869" s="52">
        <v>0</v>
      </c>
      <c r="AF869" s="52">
        <v>0</v>
      </c>
      <c r="AG869" s="52">
        <v>31684985148.110001</v>
      </c>
      <c r="AH869" s="52">
        <v>0</v>
      </c>
      <c r="AI869" s="52">
        <v>0</v>
      </c>
      <c r="AJ869" s="52">
        <v>2</v>
      </c>
      <c r="AK869" s="52"/>
      <c r="AL869" s="52">
        <v>169728475942883</v>
      </c>
      <c r="AM869" s="52">
        <v>63201330837777</v>
      </c>
      <c r="AN869" s="52">
        <v>76221322398803</v>
      </c>
      <c r="AO869" s="52">
        <v>77607185616409</v>
      </c>
      <c r="AP869" s="52">
        <v>77607185616409</v>
      </c>
      <c r="AQ869" s="58">
        <v>11</v>
      </c>
      <c r="AR869" s="58">
        <v>2250855.62</v>
      </c>
      <c r="AS869" s="58">
        <v>100</v>
      </c>
      <c r="AT869" s="58">
        <v>10117428.560000004</v>
      </c>
      <c r="AU869" s="58">
        <v>17</v>
      </c>
      <c r="AV869" s="58">
        <v>12675992.15</v>
      </c>
      <c r="AW869" s="58">
        <v>13</v>
      </c>
      <c r="AX869" s="58">
        <v>5914711.0799999991</v>
      </c>
    </row>
    <row r="870" spans="1:50" x14ac:dyDescent="0.25">
      <c r="A870" s="52">
        <f t="shared" si="43"/>
        <v>865</v>
      </c>
      <c r="B870" s="60" t="str">
        <f t="shared" si="42"/>
        <v>008731598759</v>
      </c>
      <c r="C870" s="55" t="s">
        <v>32</v>
      </c>
      <c r="D870" s="53" t="s">
        <v>2125</v>
      </c>
      <c r="E870" s="55" t="s">
        <v>1597</v>
      </c>
      <c r="F870" s="53" t="s">
        <v>2126</v>
      </c>
      <c r="G870" s="55">
        <v>12008</v>
      </c>
      <c r="H870" s="53" t="s">
        <v>2609</v>
      </c>
      <c r="I870" s="55">
        <v>308424146</v>
      </c>
      <c r="J870" s="55" t="s">
        <v>1600</v>
      </c>
      <c r="K870" s="55" t="s">
        <v>1601</v>
      </c>
      <c r="L870" s="53" t="s">
        <v>2035</v>
      </c>
      <c r="M870" s="55" t="s">
        <v>75</v>
      </c>
      <c r="N870" s="52">
        <v>8000000</v>
      </c>
      <c r="O870" s="52">
        <v>96542080000</v>
      </c>
      <c r="P870" s="52">
        <v>39454658520</v>
      </c>
      <c r="Q870" s="57">
        <v>44482</v>
      </c>
      <c r="R870" s="57">
        <v>47767</v>
      </c>
      <c r="S870" s="56">
        <v>6</v>
      </c>
      <c r="T870" s="54">
        <v>24</v>
      </c>
      <c r="U870" s="52">
        <v>40098878061.809998</v>
      </c>
      <c r="V870" s="52">
        <v>40098878061.809998</v>
      </c>
      <c r="W870" s="52">
        <v>0</v>
      </c>
      <c r="X870" s="57"/>
      <c r="Y870" s="52">
        <v>0</v>
      </c>
      <c r="Z870" s="52">
        <v>0</v>
      </c>
      <c r="AA870" s="52">
        <v>1</v>
      </c>
      <c r="AB870" s="52">
        <v>0</v>
      </c>
      <c r="AC870" s="52">
        <v>474488996.13</v>
      </c>
      <c r="AD870" s="52">
        <v>173761784.56</v>
      </c>
      <c r="AE870" s="52">
        <v>0</v>
      </c>
      <c r="AF870" s="52">
        <v>0</v>
      </c>
      <c r="AG870" s="52">
        <v>300727211.56999999</v>
      </c>
      <c r="AH870" s="52">
        <v>0</v>
      </c>
      <c r="AI870" s="52">
        <v>0</v>
      </c>
      <c r="AJ870" s="52">
        <v>2</v>
      </c>
      <c r="AK870" s="52"/>
      <c r="AL870" s="52">
        <v>618770814</v>
      </c>
      <c r="AM870" s="52">
        <v>405340376</v>
      </c>
      <c r="AN870" s="52">
        <v>55208584840</v>
      </c>
      <c r="AO870" s="52">
        <v>3904990204515</v>
      </c>
      <c r="AP870" s="52">
        <v>191923352</v>
      </c>
      <c r="AQ870" s="58">
        <v>0</v>
      </c>
      <c r="AR870" s="58">
        <v>0</v>
      </c>
      <c r="AS870" s="58">
        <v>0</v>
      </c>
      <c r="AT870" s="58">
        <v>0</v>
      </c>
      <c r="AU870" s="58">
        <v>0</v>
      </c>
      <c r="AV870" s="58">
        <v>0</v>
      </c>
      <c r="AW870" s="58">
        <v>0</v>
      </c>
      <c r="AX870" s="58">
        <v>0</v>
      </c>
    </row>
    <row r="871" spans="1:50" x14ac:dyDescent="0.25">
      <c r="A871" s="52">
        <f t="shared" si="43"/>
        <v>866</v>
      </c>
      <c r="B871" s="60" t="str">
        <f t="shared" si="42"/>
        <v>008731576226</v>
      </c>
      <c r="C871" s="55" t="s">
        <v>32</v>
      </c>
      <c r="D871" s="53" t="s">
        <v>2125</v>
      </c>
      <c r="E871" s="55" t="s">
        <v>1597</v>
      </c>
      <c r="F871" s="53" t="s">
        <v>2126</v>
      </c>
      <c r="G871" s="55">
        <v>12008</v>
      </c>
      <c r="H871" s="53" t="s">
        <v>2610</v>
      </c>
      <c r="I871" s="55">
        <v>303828517</v>
      </c>
      <c r="J871" s="55">
        <v>1576226</v>
      </c>
      <c r="K871" s="55" t="s">
        <v>1602</v>
      </c>
      <c r="L871" s="53" t="s">
        <v>2035</v>
      </c>
      <c r="M871" s="55" t="s">
        <v>75</v>
      </c>
      <c r="N871" s="52">
        <v>14635845.199999999</v>
      </c>
      <c r="O871" s="52">
        <v>176621867270.75</v>
      </c>
      <c r="P871" s="52">
        <v>14635845.199999999</v>
      </c>
      <c r="Q871" s="57">
        <v>43139</v>
      </c>
      <c r="R871" s="57">
        <v>46407</v>
      </c>
      <c r="S871" s="56">
        <v>7.18</v>
      </c>
      <c r="T871" s="54">
        <v>42</v>
      </c>
      <c r="U871" s="52">
        <v>27030829459.299999</v>
      </c>
      <c r="V871" s="52">
        <v>27030829459.299999</v>
      </c>
      <c r="W871" s="52">
        <v>0</v>
      </c>
      <c r="X871" s="57"/>
      <c r="Y871" s="52">
        <v>0</v>
      </c>
      <c r="Z871" s="52">
        <v>0</v>
      </c>
      <c r="AA871" s="52">
        <v>1</v>
      </c>
      <c r="AB871" s="52">
        <v>0</v>
      </c>
      <c r="AC871" s="52">
        <v>1133577457.27</v>
      </c>
      <c r="AD871" s="52">
        <v>63826423.149999999</v>
      </c>
      <c r="AE871" s="52">
        <v>0</v>
      </c>
      <c r="AF871" s="52">
        <v>0</v>
      </c>
      <c r="AG871" s="52">
        <v>1069751034.12</v>
      </c>
      <c r="AH871" s="52">
        <v>0</v>
      </c>
      <c r="AI871" s="52">
        <v>0</v>
      </c>
      <c r="AJ871" s="52">
        <v>2</v>
      </c>
      <c r="AK871" s="52"/>
      <c r="AL871" s="52">
        <v>0</v>
      </c>
      <c r="AM871" s="52">
        <v>0</v>
      </c>
      <c r="AN871" s="52">
        <v>116775542560</v>
      </c>
      <c r="AO871" s="52">
        <v>138457170006784</v>
      </c>
      <c r="AP871" s="52">
        <v>138457170006784</v>
      </c>
      <c r="AQ871" s="58">
        <v>0</v>
      </c>
      <c r="AR871" s="58">
        <v>0</v>
      </c>
      <c r="AS871" s="58">
        <v>202</v>
      </c>
      <c r="AT871" s="58">
        <v>35001685.640000008</v>
      </c>
      <c r="AU871" s="58">
        <v>0</v>
      </c>
      <c r="AV871" s="58">
        <v>0</v>
      </c>
      <c r="AW871" s="58">
        <v>102</v>
      </c>
      <c r="AX871" s="58">
        <v>1543002.28</v>
      </c>
    </row>
    <row r="872" spans="1:50" x14ac:dyDescent="0.25">
      <c r="A872" s="52">
        <f t="shared" si="43"/>
        <v>867</v>
      </c>
      <c r="B872" s="60" t="str">
        <f t="shared" si="42"/>
        <v>008731594151</v>
      </c>
      <c r="C872" s="55" t="s">
        <v>32</v>
      </c>
      <c r="D872" s="53" t="s">
        <v>2125</v>
      </c>
      <c r="E872" s="55" t="s">
        <v>1597</v>
      </c>
      <c r="F872" s="53" t="s">
        <v>2126</v>
      </c>
      <c r="G872" s="55">
        <v>12008</v>
      </c>
      <c r="H872" s="53" t="s">
        <v>2608</v>
      </c>
      <c r="I872" s="55">
        <v>302740099</v>
      </c>
      <c r="J872" s="55" t="s">
        <v>1603</v>
      </c>
      <c r="K872" s="55" t="s">
        <v>1604</v>
      </c>
      <c r="L872" s="53" t="s">
        <v>2035</v>
      </c>
      <c r="M872" s="55" t="s">
        <v>71</v>
      </c>
      <c r="N872" s="52">
        <v>5930190</v>
      </c>
      <c r="O872" s="52">
        <v>83858816790</v>
      </c>
      <c r="P872" s="52">
        <v>83434570997.399994</v>
      </c>
      <c r="Q872" s="57">
        <v>44072</v>
      </c>
      <c r="R872" s="57">
        <v>45905</v>
      </c>
      <c r="S872" s="56">
        <v>0</v>
      </c>
      <c r="T872" s="54">
        <v>3</v>
      </c>
      <c r="U872" s="52">
        <v>25947973318.68</v>
      </c>
      <c r="V872" s="52">
        <v>0</v>
      </c>
      <c r="W872" s="52">
        <v>25947973318.68</v>
      </c>
      <c r="X872" s="57">
        <v>46016</v>
      </c>
      <c r="Y872" s="52">
        <v>0</v>
      </c>
      <c r="Z872" s="52">
        <v>0</v>
      </c>
      <c r="AA872" s="52">
        <v>2</v>
      </c>
      <c r="AB872" s="52">
        <v>2594797331.8699999</v>
      </c>
      <c r="AC872" s="52">
        <v>2698969929.0799999</v>
      </c>
      <c r="AD872" s="52">
        <v>0</v>
      </c>
      <c r="AE872" s="52">
        <v>0</v>
      </c>
      <c r="AF872" s="52">
        <v>0</v>
      </c>
      <c r="AG872" s="52">
        <v>2698969929.0799999</v>
      </c>
      <c r="AH872" s="52">
        <v>0</v>
      </c>
      <c r="AI872" s="52">
        <v>0</v>
      </c>
      <c r="AJ872" s="52">
        <v>2</v>
      </c>
      <c r="AK872" s="52"/>
      <c r="AL872" s="52">
        <v>169728475942883</v>
      </c>
      <c r="AM872" s="52">
        <v>63201330837777</v>
      </c>
      <c r="AN872" s="52">
        <v>31722884533523</v>
      </c>
      <c r="AO872" s="52">
        <v>77607185616409</v>
      </c>
      <c r="AP872" s="52">
        <v>77607185616409</v>
      </c>
      <c r="AQ872" s="58">
        <v>11</v>
      </c>
      <c r="AR872" s="58">
        <v>2250855.62</v>
      </c>
      <c r="AS872" s="58">
        <v>100</v>
      </c>
      <c r="AT872" s="58">
        <v>10117428.560000004</v>
      </c>
      <c r="AU872" s="58">
        <v>17</v>
      </c>
      <c r="AV872" s="58">
        <v>12675992.15</v>
      </c>
      <c r="AW872" s="58">
        <v>13</v>
      </c>
      <c r="AX872" s="58">
        <v>5914711.0799999991</v>
      </c>
    </row>
    <row r="873" spans="1:50" x14ac:dyDescent="0.25">
      <c r="A873" s="52">
        <f t="shared" si="43"/>
        <v>868</v>
      </c>
      <c r="B873" s="60" t="str">
        <f t="shared" si="42"/>
        <v>008731573719</v>
      </c>
      <c r="C873" s="55" t="s">
        <v>32</v>
      </c>
      <c r="D873" s="53" t="s">
        <v>2125</v>
      </c>
      <c r="E873" s="55" t="s">
        <v>1597</v>
      </c>
      <c r="F873" s="53" t="s">
        <v>2126</v>
      </c>
      <c r="G873" s="55">
        <v>12008</v>
      </c>
      <c r="H873" s="53" t="s">
        <v>2611</v>
      </c>
      <c r="I873" s="55">
        <v>303681346</v>
      </c>
      <c r="J873" s="55" t="s">
        <v>1605</v>
      </c>
      <c r="K873" s="55" t="s">
        <v>1606</v>
      </c>
      <c r="L873" s="53" t="s">
        <v>2035</v>
      </c>
      <c r="M873" s="55" t="s">
        <v>75</v>
      </c>
      <c r="N873" s="52">
        <v>1970000</v>
      </c>
      <c r="O873" s="52">
        <v>23773487200</v>
      </c>
      <c r="P873" s="52">
        <v>23773487200</v>
      </c>
      <c r="Q873" s="57">
        <v>42921</v>
      </c>
      <c r="R873" s="57">
        <v>47943</v>
      </c>
      <c r="S873" s="56">
        <v>0</v>
      </c>
      <c r="T873" s="54">
        <v>18</v>
      </c>
      <c r="U873" s="52">
        <v>17848178835.93</v>
      </c>
      <c r="V873" s="52">
        <v>17848178835.93</v>
      </c>
      <c r="W873" s="52">
        <v>0</v>
      </c>
      <c r="X873" s="57"/>
      <c r="Y873" s="52">
        <v>0</v>
      </c>
      <c r="Z873" s="52">
        <v>0</v>
      </c>
      <c r="AA873" s="52">
        <v>1</v>
      </c>
      <c r="AB873" s="52">
        <v>0</v>
      </c>
      <c r="AC873" s="52">
        <v>1139449006.0899999</v>
      </c>
      <c r="AD873" s="52">
        <v>0</v>
      </c>
      <c r="AE873" s="52">
        <v>0</v>
      </c>
      <c r="AF873" s="52">
        <v>1139449006.0899999</v>
      </c>
      <c r="AG873" s="52">
        <v>0</v>
      </c>
      <c r="AH873" s="52">
        <v>0</v>
      </c>
      <c r="AI873" s="52">
        <v>0</v>
      </c>
      <c r="AJ873" s="52">
        <v>2</v>
      </c>
      <c r="AK873" s="52"/>
      <c r="AL873" s="52">
        <v>2100455411367</v>
      </c>
      <c r="AM873" s="52">
        <v>200239618143</v>
      </c>
      <c r="AN873" s="52">
        <v>41063307357</v>
      </c>
      <c r="AO873" s="52">
        <v>775749437727</v>
      </c>
      <c r="AP873" s="52">
        <v>50423713452255</v>
      </c>
      <c r="AQ873" s="58">
        <v>0</v>
      </c>
      <c r="AR873" s="58">
        <v>0</v>
      </c>
      <c r="AS873" s="58">
        <v>3</v>
      </c>
      <c r="AT873" s="58">
        <v>52390</v>
      </c>
      <c r="AU873" s="58">
        <v>0</v>
      </c>
      <c r="AV873" s="58">
        <v>0</v>
      </c>
      <c r="AW873" s="58">
        <v>0</v>
      </c>
      <c r="AX873" s="58">
        <v>0</v>
      </c>
    </row>
    <row r="874" spans="1:50" x14ac:dyDescent="0.25">
      <c r="A874" s="52">
        <f t="shared" si="43"/>
        <v>869</v>
      </c>
      <c r="B874" s="60" t="str">
        <f t="shared" si="42"/>
        <v>008731751967</v>
      </c>
      <c r="C874" s="55" t="s">
        <v>32</v>
      </c>
      <c r="D874" s="53" t="s">
        <v>2125</v>
      </c>
      <c r="E874" s="55" t="s">
        <v>1597</v>
      </c>
      <c r="F874" s="53" t="s">
        <v>2126</v>
      </c>
      <c r="G874" s="55">
        <v>12008</v>
      </c>
      <c r="H874" s="53" t="s">
        <v>2612</v>
      </c>
      <c r="I874" s="55">
        <v>303137744</v>
      </c>
      <c r="J874" s="55" t="s">
        <v>1607</v>
      </c>
      <c r="K874" s="55" t="s">
        <v>1608</v>
      </c>
      <c r="L874" s="53" t="s">
        <v>2045</v>
      </c>
      <c r="M874" s="55" t="s">
        <v>75</v>
      </c>
      <c r="N874" s="52">
        <v>1786832.41</v>
      </c>
      <c r="O874" s="52">
        <v>21563064684.099998</v>
      </c>
      <c r="P874" s="52">
        <v>21517746898</v>
      </c>
      <c r="Q874" s="57">
        <v>45289</v>
      </c>
      <c r="R874" s="57">
        <v>47258</v>
      </c>
      <c r="S874" s="56">
        <v>14</v>
      </c>
      <c r="T874" s="54">
        <v>6</v>
      </c>
      <c r="U874" s="52">
        <v>15839003046.75</v>
      </c>
      <c r="V874" s="52">
        <v>15839003046.75</v>
      </c>
      <c r="W874" s="52">
        <v>0</v>
      </c>
      <c r="X874" s="57"/>
      <c r="Y874" s="52">
        <v>0</v>
      </c>
      <c r="Z874" s="52">
        <v>0</v>
      </c>
      <c r="AA874" s="52">
        <v>1</v>
      </c>
      <c r="AB874" s="52">
        <v>0</v>
      </c>
      <c r="AC874" s="52">
        <v>72902797.530000001</v>
      </c>
      <c r="AD874" s="52">
        <v>72902797.530000001</v>
      </c>
      <c r="AE874" s="52">
        <v>0</v>
      </c>
      <c r="AF874" s="52">
        <v>0</v>
      </c>
      <c r="AG874" s="52">
        <v>0</v>
      </c>
      <c r="AH874" s="52">
        <v>0</v>
      </c>
      <c r="AI874" s="52">
        <v>0</v>
      </c>
      <c r="AJ874" s="52">
        <v>2</v>
      </c>
      <c r="AK874" s="52"/>
      <c r="AL874" s="52">
        <v>0</v>
      </c>
      <c r="AM874" s="52">
        <v>0</v>
      </c>
      <c r="AN874" s="52">
        <v>31280329425</v>
      </c>
      <c r="AO874" s="52">
        <v>1003690518171</v>
      </c>
      <c r="AP874" s="52">
        <v>1003690518171</v>
      </c>
      <c r="AQ874" s="58">
        <v>0</v>
      </c>
      <c r="AR874" s="58">
        <v>0</v>
      </c>
      <c r="AS874" s="58">
        <v>0</v>
      </c>
      <c r="AT874" s="58">
        <v>0</v>
      </c>
      <c r="AU874" s="58">
        <v>13</v>
      </c>
      <c r="AV874" s="58">
        <v>112200</v>
      </c>
      <c r="AW874" s="58">
        <v>6</v>
      </c>
      <c r="AX874" s="58">
        <v>43075</v>
      </c>
    </row>
    <row r="875" spans="1:50" x14ac:dyDescent="0.25">
      <c r="A875" s="52">
        <f t="shared" si="43"/>
        <v>870</v>
      </c>
      <c r="B875" s="60" t="str">
        <f t="shared" si="42"/>
        <v>008731950391</v>
      </c>
      <c r="C875" s="55" t="s">
        <v>32</v>
      </c>
      <c r="D875" s="53" t="s">
        <v>2125</v>
      </c>
      <c r="E875" s="55" t="s">
        <v>1597</v>
      </c>
      <c r="F875" s="53" t="s">
        <v>2126</v>
      </c>
      <c r="G875" s="55">
        <v>12008</v>
      </c>
      <c r="H875" s="53" t="s">
        <v>1609</v>
      </c>
      <c r="I875" s="55">
        <v>308939367</v>
      </c>
      <c r="J875" s="55">
        <v>1950391</v>
      </c>
      <c r="K875" s="55" t="s">
        <v>1610</v>
      </c>
      <c r="L875" s="53" t="s">
        <v>2035</v>
      </c>
      <c r="M875" s="55" t="s">
        <v>75</v>
      </c>
      <c r="N875" s="52">
        <v>2250000</v>
      </c>
      <c r="O875" s="52">
        <v>27152460000</v>
      </c>
      <c r="P875" s="52">
        <v>9000000000</v>
      </c>
      <c r="Q875" s="57">
        <v>45812</v>
      </c>
      <c r="R875" s="57">
        <v>48368</v>
      </c>
      <c r="S875" s="56">
        <v>6</v>
      </c>
      <c r="T875" s="54">
        <v>3</v>
      </c>
      <c r="U875" s="52">
        <v>11662339600</v>
      </c>
      <c r="V875" s="52">
        <v>11662339600</v>
      </c>
      <c r="W875" s="52">
        <v>0</v>
      </c>
      <c r="X875" s="57"/>
      <c r="Y875" s="52">
        <v>0</v>
      </c>
      <c r="Z875" s="52">
        <v>0</v>
      </c>
      <c r="AA875" s="52">
        <v>1</v>
      </c>
      <c r="AB875" s="52">
        <v>0</v>
      </c>
      <c r="AC875" s="52">
        <v>99183806.620000005</v>
      </c>
      <c r="AD875" s="52">
        <v>99183806.620000005</v>
      </c>
      <c r="AE875" s="52">
        <v>0</v>
      </c>
      <c r="AF875" s="52">
        <v>0</v>
      </c>
      <c r="AG875" s="52">
        <v>0</v>
      </c>
      <c r="AH875" s="52">
        <v>0</v>
      </c>
      <c r="AI875" s="52">
        <v>0</v>
      </c>
      <c r="AJ875" s="52">
        <v>2</v>
      </c>
      <c r="AK875" s="52"/>
      <c r="AL875" s="52">
        <v>0</v>
      </c>
      <c r="AM875" s="52">
        <v>0</v>
      </c>
      <c r="AN875" s="52">
        <v>42000000000</v>
      </c>
      <c r="AO875" s="52">
        <v>156651017276</v>
      </c>
      <c r="AP875" s="52">
        <v>156651017276</v>
      </c>
      <c r="AQ875" s="58">
        <v>0</v>
      </c>
      <c r="AR875" s="58">
        <v>0</v>
      </c>
      <c r="AS875" s="58">
        <v>0</v>
      </c>
      <c r="AT875" s="58">
        <v>0</v>
      </c>
      <c r="AU875" s="58">
        <v>11</v>
      </c>
      <c r="AV875" s="58">
        <v>33875.26</v>
      </c>
      <c r="AW875" s="58">
        <v>1</v>
      </c>
      <c r="AX875" s="58">
        <v>4125</v>
      </c>
    </row>
    <row r="876" spans="1:50" x14ac:dyDescent="0.25">
      <c r="A876" s="52">
        <f t="shared" si="43"/>
        <v>871</v>
      </c>
      <c r="B876" s="60" t="str">
        <f t="shared" si="42"/>
        <v>008731974633</v>
      </c>
      <c r="C876" s="55" t="s">
        <v>32</v>
      </c>
      <c r="D876" s="53" t="s">
        <v>2125</v>
      </c>
      <c r="E876" s="55" t="s">
        <v>1597</v>
      </c>
      <c r="F876" s="53" t="s">
        <v>2126</v>
      </c>
      <c r="G876" s="55">
        <v>12008</v>
      </c>
      <c r="H876" s="53" t="s">
        <v>2613</v>
      </c>
      <c r="I876" s="55">
        <v>305065002</v>
      </c>
      <c r="J876" s="55" t="s">
        <v>1611</v>
      </c>
      <c r="K876" s="55" t="s">
        <v>1612</v>
      </c>
      <c r="L876" s="53" t="s">
        <v>2035</v>
      </c>
      <c r="M876" s="55" t="s">
        <v>75</v>
      </c>
      <c r="N876" s="52">
        <v>1000000</v>
      </c>
      <c r="O876" s="52">
        <v>12067760000</v>
      </c>
      <c r="P876" s="52">
        <v>12067760000</v>
      </c>
      <c r="Q876" s="57">
        <v>45835</v>
      </c>
      <c r="R876" s="57">
        <v>46179</v>
      </c>
      <c r="S876" s="56">
        <v>7</v>
      </c>
      <c r="T876" s="54">
        <v>6</v>
      </c>
      <c r="U876" s="52">
        <v>10165912600.299999</v>
      </c>
      <c r="V876" s="52">
        <v>10165912600.299999</v>
      </c>
      <c r="W876" s="52">
        <v>0</v>
      </c>
      <c r="X876" s="57"/>
      <c r="Y876" s="52">
        <v>0</v>
      </c>
      <c r="Z876" s="52">
        <v>0</v>
      </c>
      <c r="AA876" s="52">
        <v>1</v>
      </c>
      <c r="AB876" s="52">
        <v>0</v>
      </c>
      <c r="AC876" s="52">
        <v>50690310.280000001</v>
      </c>
      <c r="AD876" s="52">
        <v>50690310.280000001</v>
      </c>
      <c r="AE876" s="52">
        <v>0</v>
      </c>
      <c r="AF876" s="52">
        <v>0</v>
      </c>
      <c r="AG876" s="52">
        <v>0</v>
      </c>
      <c r="AH876" s="52">
        <v>0</v>
      </c>
      <c r="AI876" s="52">
        <v>0</v>
      </c>
      <c r="AJ876" s="52">
        <v>2</v>
      </c>
      <c r="AK876" s="52"/>
      <c r="AL876" s="52">
        <v>0</v>
      </c>
      <c r="AM876" s="52">
        <v>0</v>
      </c>
      <c r="AN876" s="52">
        <v>27690000000</v>
      </c>
      <c r="AO876" s="52">
        <v>10899387174427</v>
      </c>
      <c r="AP876" s="52">
        <v>10899387174427</v>
      </c>
      <c r="AQ876" s="58">
        <v>166</v>
      </c>
      <c r="AR876" s="58">
        <v>4736467.05</v>
      </c>
      <c r="AS876" s="58">
        <v>43</v>
      </c>
      <c r="AT876" s="58">
        <v>1853536.6</v>
      </c>
      <c r="AU876" s="58">
        <v>1597</v>
      </c>
      <c r="AV876" s="58">
        <v>155976919.41000009</v>
      </c>
      <c r="AW876" s="58">
        <v>187</v>
      </c>
      <c r="AX876" s="58">
        <v>11678606.780000001</v>
      </c>
    </row>
    <row r="877" spans="1:50" x14ac:dyDescent="0.25">
      <c r="A877" s="52">
        <f t="shared" si="43"/>
        <v>872</v>
      </c>
      <c r="B877" s="60" t="str">
        <f t="shared" si="42"/>
        <v>008731990765</v>
      </c>
      <c r="C877" s="55" t="s">
        <v>32</v>
      </c>
      <c r="D877" s="53" t="s">
        <v>2125</v>
      </c>
      <c r="E877" s="55" t="s">
        <v>1597</v>
      </c>
      <c r="F877" s="53" t="s">
        <v>2126</v>
      </c>
      <c r="G877" s="55">
        <v>12008</v>
      </c>
      <c r="H877" s="53" t="s">
        <v>2614</v>
      </c>
      <c r="I877" s="55">
        <v>306893515</v>
      </c>
      <c r="J877" s="55" t="s">
        <v>1613</v>
      </c>
      <c r="K877" s="55" t="s">
        <v>1614</v>
      </c>
      <c r="L877" s="53" t="s">
        <v>2035</v>
      </c>
      <c r="M877" s="55" t="s">
        <v>75</v>
      </c>
      <c r="N877" s="52">
        <v>1090000</v>
      </c>
      <c r="O877" s="52">
        <v>13153858400</v>
      </c>
      <c r="P877" s="52">
        <v>13153858400</v>
      </c>
      <c r="Q877" s="57">
        <v>45870</v>
      </c>
      <c r="R877" s="57">
        <v>46223</v>
      </c>
      <c r="S877" s="56">
        <v>13.38</v>
      </c>
      <c r="T877" s="54">
        <v>3</v>
      </c>
      <c r="U877" s="52">
        <v>8864646802.3999996</v>
      </c>
      <c r="V877" s="52">
        <v>8864646802.3999996</v>
      </c>
      <c r="W877" s="52">
        <v>0</v>
      </c>
      <c r="X877" s="57"/>
      <c r="Y877" s="52">
        <v>0</v>
      </c>
      <c r="Z877" s="52">
        <v>0</v>
      </c>
      <c r="AA877" s="52">
        <v>1</v>
      </c>
      <c r="AB877" s="52">
        <v>0</v>
      </c>
      <c r="AC877" s="52">
        <v>39532891.420000002</v>
      </c>
      <c r="AD877" s="52">
        <v>39532891.420000002</v>
      </c>
      <c r="AE877" s="52">
        <v>0</v>
      </c>
      <c r="AF877" s="52">
        <v>0</v>
      </c>
      <c r="AG877" s="52">
        <v>0</v>
      </c>
      <c r="AH877" s="52">
        <v>0</v>
      </c>
      <c r="AI877" s="52">
        <v>0</v>
      </c>
      <c r="AJ877" s="52">
        <v>2</v>
      </c>
      <c r="AK877" s="52"/>
      <c r="AL877" s="52">
        <v>562230529633</v>
      </c>
      <c r="AM877" s="52">
        <v>562230529633</v>
      </c>
      <c r="AN877" s="52">
        <v>83137500000</v>
      </c>
      <c r="AO877" s="52">
        <v>3757344338729</v>
      </c>
      <c r="AP877" s="52">
        <v>3757344338729</v>
      </c>
      <c r="AQ877" s="58">
        <v>0</v>
      </c>
      <c r="AR877" s="58">
        <v>0</v>
      </c>
      <c r="AS877" s="58">
        <v>0</v>
      </c>
      <c r="AT877" s="58">
        <v>0</v>
      </c>
      <c r="AU877" s="58">
        <v>9</v>
      </c>
      <c r="AV877" s="58">
        <v>4165089.2</v>
      </c>
      <c r="AW877" s="58">
        <v>7</v>
      </c>
      <c r="AX877" s="58">
        <v>2166184</v>
      </c>
    </row>
    <row r="878" spans="1:50" x14ac:dyDescent="0.25">
      <c r="A878" s="52">
        <f t="shared" si="43"/>
        <v>873</v>
      </c>
      <c r="B878" s="60" t="str">
        <f t="shared" si="42"/>
        <v>008731593617</v>
      </c>
      <c r="C878" s="55" t="s">
        <v>32</v>
      </c>
      <c r="D878" s="53" t="s">
        <v>2125</v>
      </c>
      <c r="E878" s="55" t="s">
        <v>1597</v>
      </c>
      <c r="F878" s="53" t="s">
        <v>2126</v>
      </c>
      <c r="G878" s="55">
        <v>12008</v>
      </c>
      <c r="H878" s="53" t="s">
        <v>2615</v>
      </c>
      <c r="I878" s="55">
        <v>305409807</v>
      </c>
      <c r="J878" s="55" t="s">
        <v>1615</v>
      </c>
      <c r="K878" s="55" t="s">
        <v>1616</v>
      </c>
      <c r="L878" s="53" t="s">
        <v>2035</v>
      </c>
      <c r="M878" s="55" t="s">
        <v>75</v>
      </c>
      <c r="N878" s="52">
        <v>1732849</v>
      </c>
      <c r="O878" s="52">
        <v>20911605848.240002</v>
      </c>
      <c r="P878" s="52">
        <v>20911605848.240002</v>
      </c>
      <c r="Q878" s="57">
        <v>44008</v>
      </c>
      <c r="R878" s="57">
        <v>46527</v>
      </c>
      <c r="S878" s="56">
        <v>11.39</v>
      </c>
      <c r="T878" s="54">
        <v>18</v>
      </c>
      <c r="U878" s="52">
        <v>7683603622.96</v>
      </c>
      <c r="V878" s="52">
        <v>5765238544.1400003</v>
      </c>
      <c r="W878" s="52">
        <v>0</v>
      </c>
      <c r="X878" s="57"/>
      <c r="Y878" s="52">
        <v>1918365078.8199999</v>
      </c>
      <c r="Z878" s="52">
        <v>0</v>
      </c>
      <c r="AA878" s="52">
        <v>1</v>
      </c>
      <c r="AB878" s="52">
        <v>0</v>
      </c>
      <c r="AC878" s="52">
        <v>161212326.41</v>
      </c>
      <c r="AD878" s="52">
        <v>161212326.41</v>
      </c>
      <c r="AE878" s="52">
        <v>0</v>
      </c>
      <c r="AF878" s="52">
        <v>0</v>
      </c>
      <c r="AG878" s="52">
        <v>0</v>
      </c>
      <c r="AH878" s="52">
        <v>0</v>
      </c>
      <c r="AI878" s="52">
        <v>0</v>
      </c>
      <c r="AJ878" s="52">
        <v>2</v>
      </c>
      <c r="AK878" s="52"/>
      <c r="AL878" s="52">
        <v>0</v>
      </c>
      <c r="AM878" s="52">
        <v>0</v>
      </c>
      <c r="AN878" s="52">
        <v>6842654030963</v>
      </c>
      <c r="AO878" s="52">
        <v>58497133154328</v>
      </c>
      <c r="AP878" s="52">
        <v>58497133154328</v>
      </c>
      <c r="AQ878" s="58">
        <v>0</v>
      </c>
      <c r="AR878" s="58">
        <v>0</v>
      </c>
      <c r="AS878" s="58">
        <v>8</v>
      </c>
      <c r="AT878" s="58">
        <v>228828.49</v>
      </c>
      <c r="AU878" s="58">
        <v>0</v>
      </c>
      <c r="AV878" s="58">
        <v>0</v>
      </c>
      <c r="AW878" s="58">
        <v>22</v>
      </c>
      <c r="AX878" s="58">
        <v>2186379.7999999998</v>
      </c>
    </row>
    <row r="879" spans="1:50" x14ac:dyDescent="0.25">
      <c r="A879" s="52">
        <f t="shared" si="43"/>
        <v>874</v>
      </c>
      <c r="B879" s="60" t="str">
        <f t="shared" si="42"/>
        <v>008732027701</v>
      </c>
      <c r="C879" s="55" t="s">
        <v>32</v>
      </c>
      <c r="D879" s="53" t="s">
        <v>2125</v>
      </c>
      <c r="E879" s="55" t="s">
        <v>1597</v>
      </c>
      <c r="F879" s="53" t="s">
        <v>2126</v>
      </c>
      <c r="G879" s="55">
        <v>12008</v>
      </c>
      <c r="H879" s="53" t="s">
        <v>2614</v>
      </c>
      <c r="I879" s="55">
        <v>306893515</v>
      </c>
      <c r="J879" s="55">
        <v>2027701</v>
      </c>
      <c r="K879" s="55" t="s">
        <v>1617</v>
      </c>
      <c r="L879" s="53" t="s">
        <v>2035</v>
      </c>
      <c r="M879" s="55" t="s">
        <v>75</v>
      </c>
      <c r="N879" s="52">
        <v>630000</v>
      </c>
      <c r="O879" s="52">
        <v>7602688800</v>
      </c>
      <c r="P879" s="52">
        <v>7602688800</v>
      </c>
      <c r="Q879" s="57">
        <v>45929</v>
      </c>
      <c r="R879" s="57">
        <v>46293</v>
      </c>
      <c r="S879" s="56">
        <v>13.38</v>
      </c>
      <c r="T879" s="54">
        <v>3</v>
      </c>
      <c r="U879" s="52">
        <v>6831496000</v>
      </c>
      <c r="V879" s="52">
        <v>6831496000</v>
      </c>
      <c r="W879" s="52">
        <v>0</v>
      </c>
      <c r="X879" s="57"/>
      <c r="Y879" s="52">
        <v>0</v>
      </c>
      <c r="Z879" s="52">
        <v>0</v>
      </c>
      <c r="AA879" s="52">
        <v>1</v>
      </c>
      <c r="AB879" s="52">
        <v>0</v>
      </c>
      <c r="AC879" s="52">
        <v>65995301.140000001</v>
      </c>
      <c r="AD879" s="52">
        <v>65995301.140000001</v>
      </c>
      <c r="AE879" s="52">
        <v>0</v>
      </c>
      <c r="AF879" s="52">
        <v>0</v>
      </c>
      <c r="AG879" s="52">
        <v>0</v>
      </c>
      <c r="AH879" s="52">
        <v>0</v>
      </c>
      <c r="AI879" s="52">
        <v>0</v>
      </c>
      <c r="AJ879" s="52">
        <v>2</v>
      </c>
      <c r="AK879" s="52"/>
      <c r="AL879" s="52">
        <v>562230529633</v>
      </c>
      <c r="AM879" s="52">
        <v>562230529633</v>
      </c>
      <c r="AN879" s="52">
        <v>83137500000</v>
      </c>
      <c r="AO879" s="52">
        <v>1653690689929</v>
      </c>
      <c r="AP879" s="52">
        <v>1553690689929</v>
      </c>
      <c r="AQ879" s="58">
        <v>0</v>
      </c>
      <c r="AR879" s="58">
        <v>0</v>
      </c>
      <c r="AS879" s="58">
        <v>0</v>
      </c>
      <c r="AT879" s="58">
        <v>0</v>
      </c>
      <c r="AU879" s="58">
        <v>9</v>
      </c>
      <c r="AV879" s="58">
        <v>4165089.2</v>
      </c>
      <c r="AW879" s="58">
        <v>7</v>
      </c>
      <c r="AX879" s="58">
        <v>2166184</v>
      </c>
    </row>
    <row r="880" spans="1:50" x14ac:dyDescent="0.25">
      <c r="A880" s="52">
        <f t="shared" si="43"/>
        <v>875</v>
      </c>
      <c r="B880" s="60" t="str">
        <f t="shared" si="42"/>
        <v>008731593656</v>
      </c>
      <c r="C880" s="55" t="s">
        <v>32</v>
      </c>
      <c r="D880" s="53" t="s">
        <v>2125</v>
      </c>
      <c r="E880" s="55" t="s">
        <v>1597</v>
      </c>
      <c r="F880" s="53" t="s">
        <v>2126</v>
      </c>
      <c r="G880" s="55">
        <v>12008</v>
      </c>
      <c r="H880" s="53" t="s">
        <v>2616</v>
      </c>
      <c r="I880" s="55">
        <v>301647292</v>
      </c>
      <c r="J880" s="55" t="s">
        <v>1618</v>
      </c>
      <c r="K880" s="55" t="s">
        <v>1619</v>
      </c>
      <c r="L880" s="53" t="s">
        <v>2045</v>
      </c>
      <c r="M880" s="55" t="s">
        <v>71</v>
      </c>
      <c r="N880" s="52">
        <v>1704683.22</v>
      </c>
      <c r="O880" s="52">
        <v>24105925414.02</v>
      </c>
      <c r="P880" s="52">
        <v>22600680877</v>
      </c>
      <c r="Q880" s="57">
        <v>44011</v>
      </c>
      <c r="R880" s="57">
        <v>46544</v>
      </c>
      <c r="S880" s="56">
        <v>4.8</v>
      </c>
      <c r="T880" s="54">
        <v>24</v>
      </c>
      <c r="U880" s="52">
        <v>6436734051.1499996</v>
      </c>
      <c r="V880" s="52">
        <v>6436734051.1499996</v>
      </c>
      <c r="W880" s="52">
        <v>0</v>
      </c>
      <c r="X880" s="57"/>
      <c r="Y880" s="52">
        <v>0</v>
      </c>
      <c r="Z880" s="52">
        <v>0</v>
      </c>
      <c r="AA880" s="52">
        <v>1</v>
      </c>
      <c r="AB880" s="52">
        <v>0</v>
      </c>
      <c r="AC880" s="52">
        <v>546690529.03999996</v>
      </c>
      <c r="AD880" s="52">
        <v>48960025.340000004</v>
      </c>
      <c r="AE880" s="52">
        <v>497730503.69999999</v>
      </c>
      <c r="AF880" s="52">
        <v>0</v>
      </c>
      <c r="AG880" s="52">
        <v>0</v>
      </c>
      <c r="AH880" s="52">
        <v>0</v>
      </c>
      <c r="AI880" s="52">
        <v>0</v>
      </c>
      <c r="AJ880" s="52">
        <v>2</v>
      </c>
      <c r="AK880" s="52"/>
      <c r="AL880" s="52">
        <v>0</v>
      </c>
      <c r="AM880" s="52">
        <v>0</v>
      </c>
      <c r="AN880" s="52">
        <v>480609300133</v>
      </c>
      <c r="AO880" s="52">
        <v>49375597980</v>
      </c>
      <c r="AP880" s="52">
        <v>49375597980</v>
      </c>
      <c r="AQ880" s="58">
        <v>13</v>
      </c>
      <c r="AR880" s="58">
        <v>4716133.09</v>
      </c>
      <c r="AS880" s="58">
        <v>408</v>
      </c>
      <c r="AT880" s="58">
        <v>99950166.539999992</v>
      </c>
      <c r="AU880" s="58">
        <v>31</v>
      </c>
      <c r="AV880" s="58">
        <v>1442185.3200000005</v>
      </c>
      <c r="AW880" s="58">
        <v>1319</v>
      </c>
      <c r="AX880" s="58">
        <v>82221935.469999954</v>
      </c>
    </row>
    <row r="881" spans="1:50" x14ac:dyDescent="0.25">
      <c r="A881" s="52">
        <f t="shared" si="43"/>
        <v>876</v>
      </c>
      <c r="B881" s="60" t="str">
        <f t="shared" si="42"/>
        <v>008731998451</v>
      </c>
      <c r="C881" s="55" t="s">
        <v>32</v>
      </c>
      <c r="D881" s="53" t="s">
        <v>2125</v>
      </c>
      <c r="E881" s="55" t="s">
        <v>1597</v>
      </c>
      <c r="F881" s="53" t="s">
        <v>2126</v>
      </c>
      <c r="G881" s="55">
        <v>12008</v>
      </c>
      <c r="H881" s="53" t="s">
        <v>2614</v>
      </c>
      <c r="I881" s="55">
        <v>306893515</v>
      </c>
      <c r="J881" s="55">
        <v>1998451</v>
      </c>
      <c r="K881" s="55" t="s">
        <v>1620</v>
      </c>
      <c r="L881" s="53" t="s">
        <v>2035</v>
      </c>
      <c r="M881" s="55" t="s">
        <v>75</v>
      </c>
      <c r="N881" s="52">
        <v>665000</v>
      </c>
      <c r="O881" s="52">
        <v>8025060400</v>
      </c>
      <c r="P881" s="52">
        <v>8025060400</v>
      </c>
      <c r="Q881" s="57">
        <v>45881</v>
      </c>
      <c r="R881" s="57">
        <v>46245</v>
      </c>
      <c r="S881" s="56">
        <v>13.38</v>
      </c>
      <c r="T881" s="54">
        <v>3</v>
      </c>
      <c r="U881" s="52">
        <v>6309642900.1999998</v>
      </c>
      <c r="V881" s="52">
        <v>6309642900.1999998</v>
      </c>
      <c r="W881" s="52">
        <v>0</v>
      </c>
      <c r="X881" s="57"/>
      <c r="Y881" s="52">
        <v>0</v>
      </c>
      <c r="Z881" s="52">
        <v>0</v>
      </c>
      <c r="AA881" s="52">
        <v>1</v>
      </c>
      <c r="AB881" s="52">
        <v>0</v>
      </c>
      <c r="AC881" s="52">
        <v>60966832.119999997</v>
      </c>
      <c r="AD881" s="52">
        <v>60966832.119999997</v>
      </c>
      <c r="AE881" s="52">
        <v>0</v>
      </c>
      <c r="AF881" s="52">
        <v>0</v>
      </c>
      <c r="AG881" s="52">
        <v>0</v>
      </c>
      <c r="AH881" s="52">
        <v>0</v>
      </c>
      <c r="AI881" s="52">
        <v>0</v>
      </c>
      <c r="AJ881" s="52">
        <v>2</v>
      </c>
      <c r="AK881" s="52"/>
      <c r="AL881" s="52">
        <v>562230529633</v>
      </c>
      <c r="AM881" s="52">
        <v>562230529633</v>
      </c>
      <c r="AN881" s="52">
        <v>83137500000</v>
      </c>
      <c r="AO881" s="52">
        <v>2859077269929</v>
      </c>
      <c r="AP881" s="52">
        <v>2859077269929</v>
      </c>
      <c r="AQ881" s="58">
        <v>0</v>
      </c>
      <c r="AR881" s="58">
        <v>0</v>
      </c>
      <c r="AS881" s="58">
        <v>0</v>
      </c>
      <c r="AT881" s="58">
        <v>0</v>
      </c>
      <c r="AU881" s="58">
        <v>9</v>
      </c>
      <c r="AV881" s="58">
        <v>4165089.2</v>
      </c>
      <c r="AW881" s="58">
        <v>7</v>
      </c>
      <c r="AX881" s="58">
        <v>2166184</v>
      </c>
    </row>
    <row r="882" spans="1:50" x14ac:dyDescent="0.25">
      <c r="A882" s="52">
        <f t="shared" si="43"/>
        <v>877</v>
      </c>
      <c r="B882" s="60" t="str">
        <f t="shared" si="42"/>
        <v>008731588659</v>
      </c>
      <c r="C882" s="55" t="s">
        <v>32</v>
      </c>
      <c r="D882" s="53" t="s">
        <v>2125</v>
      </c>
      <c r="E882" s="55" t="s">
        <v>1597</v>
      </c>
      <c r="F882" s="53" t="s">
        <v>2126</v>
      </c>
      <c r="G882" s="55">
        <v>12008</v>
      </c>
      <c r="H882" s="53" t="s">
        <v>2617</v>
      </c>
      <c r="I882" s="55">
        <v>305794077</v>
      </c>
      <c r="J882" s="55" t="s">
        <v>1621</v>
      </c>
      <c r="K882" s="55" t="s">
        <v>1622</v>
      </c>
      <c r="L882" s="53" t="s">
        <v>2035</v>
      </c>
      <c r="M882" s="55" t="s">
        <v>75</v>
      </c>
      <c r="N882" s="52">
        <v>2533000</v>
      </c>
      <c r="O882" s="52">
        <v>30567636080</v>
      </c>
      <c r="P882" s="52">
        <v>30567636080</v>
      </c>
      <c r="Q882" s="57">
        <v>43797</v>
      </c>
      <c r="R882" s="57">
        <v>46391</v>
      </c>
      <c r="S882" s="56">
        <v>4.57</v>
      </c>
      <c r="T882" s="54">
        <v>12</v>
      </c>
      <c r="U882" s="52">
        <v>5186067851</v>
      </c>
      <c r="V882" s="52">
        <v>5186067851</v>
      </c>
      <c r="W882" s="52">
        <v>0</v>
      </c>
      <c r="X882" s="57"/>
      <c r="Y882" s="52">
        <v>0</v>
      </c>
      <c r="Z882" s="52">
        <v>0</v>
      </c>
      <c r="AA882" s="52">
        <v>1</v>
      </c>
      <c r="AB882" s="52">
        <v>0</v>
      </c>
      <c r="AC882" s="52">
        <v>20408606.34</v>
      </c>
      <c r="AD882" s="52">
        <v>20408606.34</v>
      </c>
      <c r="AE882" s="52">
        <v>0</v>
      </c>
      <c r="AF882" s="52">
        <v>0</v>
      </c>
      <c r="AG882" s="52">
        <v>0</v>
      </c>
      <c r="AH882" s="52">
        <v>0</v>
      </c>
      <c r="AI882" s="52">
        <v>0</v>
      </c>
      <c r="AJ882" s="52">
        <v>2</v>
      </c>
      <c r="AK882" s="52"/>
      <c r="AL882" s="52">
        <v>0</v>
      </c>
      <c r="AM882" s="52">
        <v>0</v>
      </c>
      <c r="AN882" s="52">
        <v>39209545100</v>
      </c>
      <c r="AO882" s="52">
        <v>13455191498827</v>
      </c>
      <c r="AP882" s="52">
        <v>13455191498827</v>
      </c>
      <c r="AQ882" s="58">
        <v>0</v>
      </c>
      <c r="AR882" s="58">
        <v>0</v>
      </c>
      <c r="AS882" s="58">
        <v>92</v>
      </c>
      <c r="AT882" s="58">
        <v>1844889.7100000009</v>
      </c>
      <c r="AU882" s="58">
        <v>0</v>
      </c>
      <c r="AV882" s="58">
        <v>0</v>
      </c>
      <c r="AW882" s="58">
        <v>15</v>
      </c>
      <c r="AX882" s="58">
        <v>1559385</v>
      </c>
    </row>
    <row r="883" spans="1:50" x14ac:dyDescent="0.25">
      <c r="A883" s="52">
        <f t="shared" si="43"/>
        <v>878</v>
      </c>
      <c r="B883" s="60" t="str">
        <f t="shared" si="42"/>
        <v>008731583046</v>
      </c>
      <c r="C883" s="55" t="s">
        <v>32</v>
      </c>
      <c r="D883" s="53" t="s">
        <v>2125</v>
      </c>
      <c r="E883" s="55" t="s">
        <v>1597</v>
      </c>
      <c r="F883" s="53" t="s">
        <v>2126</v>
      </c>
      <c r="G883" s="55">
        <v>12008</v>
      </c>
      <c r="H883" s="53" t="s">
        <v>2618</v>
      </c>
      <c r="I883" s="55">
        <v>300901627</v>
      </c>
      <c r="J883" s="55" t="s">
        <v>1623</v>
      </c>
      <c r="K883" s="55" t="s">
        <v>1624</v>
      </c>
      <c r="L883" s="53" t="s">
        <v>2035</v>
      </c>
      <c r="M883" s="55" t="s">
        <v>75</v>
      </c>
      <c r="N883" s="52">
        <v>1790000</v>
      </c>
      <c r="O883" s="52">
        <v>21601290400</v>
      </c>
      <c r="P883" s="52">
        <v>21601290400</v>
      </c>
      <c r="Q883" s="57">
        <v>43650</v>
      </c>
      <c r="R883" s="57">
        <v>46163</v>
      </c>
      <c r="S883" s="56">
        <v>10.39</v>
      </c>
      <c r="T883" s="54">
        <v>18</v>
      </c>
      <c r="U883" s="52">
        <v>4939060962.1599998</v>
      </c>
      <c r="V883" s="52">
        <v>1985126605.4300001</v>
      </c>
      <c r="W883" s="52">
        <v>0</v>
      </c>
      <c r="X883" s="57"/>
      <c r="Y883" s="52">
        <v>2953934356.73</v>
      </c>
      <c r="Z883" s="52">
        <v>0</v>
      </c>
      <c r="AA883" s="52">
        <v>1</v>
      </c>
      <c r="AB883" s="52">
        <v>0</v>
      </c>
      <c r="AC883" s="52">
        <v>136426561</v>
      </c>
      <c r="AD883" s="52">
        <v>136426561</v>
      </c>
      <c r="AE883" s="52">
        <v>0</v>
      </c>
      <c r="AF883" s="52">
        <v>0</v>
      </c>
      <c r="AG883" s="52">
        <v>0</v>
      </c>
      <c r="AH883" s="52">
        <v>0</v>
      </c>
      <c r="AI883" s="52">
        <v>0</v>
      </c>
      <c r="AJ883" s="52">
        <v>2</v>
      </c>
      <c r="AK883" s="52"/>
      <c r="AL883" s="52">
        <v>0</v>
      </c>
      <c r="AM883" s="52">
        <v>0</v>
      </c>
      <c r="AN883" s="52">
        <v>190054037944</v>
      </c>
      <c r="AO883" s="52">
        <v>1064084802699</v>
      </c>
      <c r="AP883" s="52">
        <v>1064084802699</v>
      </c>
      <c r="AQ883" s="58">
        <v>0</v>
      </c>
      <c r="AR883" s="58">
        <v>0</v>
      </c>
      <c r="AS883" s="58">
        <v>2</v>
      </c>
      <c r="AT883" s="58">
        <v>125760</v>
      </c>
      <c r="AU883" s="58">
        <v>0</v>
      </c>
      <c r="AV883" s="58">
        <v>0</v>
      </c>
      <c r="AW883" s="58">
        <v>37</v>
      </c>
      <c r="AX883" s="58">
        <v>1207244.5</v>
      </c>
    </row>
    <row r="884" spans="1:50" x14ac:dyDescent="0.25">
      <c r="A884" s="52">
        <f t="shared" si="43"/>
        <v>879</v>
      </c>
      <c r="B884" s="60" t="str">
        <f t="shared" si="42"/>
        <v>008732019755</v>
      </c>
      <c r="C884" s="55" t="s">
        <v>32</v>
      </c>
      <c r="D884" s="53" t="s">
        <v>2125</v>
      </c>
      <c r="E884" s="55" t="s">
        <v>1597</v>
      </c>
      <c r="F884" s="53" t="s">
        <v>2126</v>
      </c>
      <c r="G884" s="55">
        <v>12008</v>
      </c>
      <c r="H884" s="53" t="s">
        <v>1625</v>
      </c>
      <c r="I884" s="55">
        <v>310301079</v>
      </c>
      <c r="J884" s="55" t="s">
        <v>1626</v>
      </c>
      <c r="K884" s="55" t="s">
        <v>1627</v>
      </c>
      <c r="L884" s="53" t="s">
        <v>2035</v>
      </c>
      <c r="M884" s="55" t="s">
        <v>75</v>
      </c>
      <c r="N884" s="52">
        <v>400000</v>
      </c>
      <c r="O884" s="52">
        <v>4827104000</v>
      </c>
      <c r="P884" s="52">
        <v>4827104000</v>
      </c>
      <c r="Q884" s="57">
        <v>45915</v>
      </c>
      <c r="R884" s="57">
        <v>47010</v>
      </c>
      <c r="S884" s="56">
        <v>15.38</v>
      </c>
      <c r="T884" s="54">
        <v>6</v>
      </c>
      <c r="U884" s="52">
        <v>4879293301.5799999</v>
      </c>
      <c r="V884" s="52">
        <v>4879293301.5799999</v>
      </c>
      <c r="W884" s="52">
        <v>0</v>
      </c>
      <c r="X884" s="57"/>
      <c r="Y884" s="52">
        <v>0</v>
      </c>
      <c r="Z884" s="52">
        <v>0</v>
      </c>
      <c r="AA884" s="52">
        <v>1</v>
      </c>
      <c r="AB884" s="52">
        <v>0</v>
      </c>
      <c r="AC884" s="52">
        <v>38232589.359999999</v>
      </c>
      <c r="AD884" s="52">
        <v>38232589.359999999</v>
      </c>
      <c r="AE884" s="52">
        <v>0</v>
      </c>
      <c r="AF884" s="52">
        <v>0</v>
      </c>
      <c r="AG884" s="52">
        <v>0</v>
      </c>
      <c r="AH884" s="52">
        <v>0</v>
      </c>
      <c r="AI884" s="52">
        <v>0</v>
      </c>
      <c r="AJ884" s="52">
        <v>2</v>
      </c>
      <c r="AK884" s="52"/>
      <c r="AL884" s="52">
        <v>0</v>
      </c>
      <c r="AM884" s="52">
        <v>0</v>
      </c>
      <c r="AN884" s="52">
        <v>6500000000</v>
      </c>
      <c r="AO884" s="52">
        <v>5478900000</v>
      </c>
      <c r="AP884" s="52">
        <v>550000000</v>
      </c>
      <c r="AQ884" s="58">
        <v>0</v>
      </c>
      <c r="AR884" s="58">
        <v>0</v>
      </c>
      <c r="AS884" s="58">
        <v>0</v>
      </c>
      <c r="AT884" s="58">
        <v>0</v>
      </c>
      <c r="AU884" s="58">
        <v>0</v>
      </c>
      <c r="AV884" s="58">
        <v>0</v>
      </c>
      <c r="AW884" s="58">
        <v>0</v>
      </c>
      <c r="AX884" s="58">
        <v>0</v>
      </c>
    </row>
    <row r="885" spans="1:50" x14ac:dyDescent="0.25">
      <c r="A885" s="52">
        <f t="shared" si="43"/>
        <v>880</v>
      </c>
      <c r="B885" s="60" t="str">
        <f t="shared" si="42"/>
        <v>008731945858</v>
      </c>
      <c r="C885" s="55" t="s">
        <v>32</v>
      </c>
      <c r="D885" s="53" t="s">
        <v>2125</v>
      </c>
      <c r="E885" s="55" t="s">
        <v>1597</v>
      </c>
      <c r="F885" s="53" t="s">
        <v>2126</v>
      </c>
      <c r="G885" s="55">
        <v>12008</v>
      </c>
      <c r="H885" s="53" t="s">
        <v>2619</v>
      </c>
      <c r="I885" s="55">
        <v>300946095</v>
      </c>
      <c r="J885" s="55" t="s">
        <v>1628</v>
      </c>
      <c r="K885" s="55" t="s">
        <v>1629</v>
      </c>
      <c r="L885" s="53" t="s">
        <v>2035</v>
      </c>
      <c r="M885" s="55" t="s">
        <v>49</v>
      </c>
      <c r="N885" s="52">
        <v>4500000000</v>
      </c>
      <c r="O885" s="52">
        <v>4500000000</v>
      </c>
      <c r="P885" s="52">
        <v>4500000000</v>
      </c>
      <c r="Q885" s="57">
        <v>45716</v>
      </c>
      <c r="R885" s="57">
        <v>47538</v>
      </c>
      <c r="S885" s="56">
        <v>22</v>
      </c>
      <c r="T885" s="54">
        <v>12</v>
      </c>
      <c r="U885" s="52">
        <v>4321229000</v>
      </c>
      <c r="V885" s="52">
        <v>4321229000</v>
      </c>
      <c r="W885" s="52">
        <v>0</v>
      </c>
      <c r="X885" s="57"/>
      <c r="Y885" s="52">
        <v>0</v>
      </c>
      <c r="Z885" s="52">
        <v>0</v>
      </c>
      <c r="AA885" s="52">
        <v>1</v>
      </c>
      <c r="AB885" s="52">
        <v>0</v>
      </c>
      <c r="AC885" s="52">
        <v>52091527.670000002</v>
      </c>
      <c r="AD885" s="52">
        <v>52091527.670000002</v>
      </c>
      <c r="AE885" s="52">
        <v>0</v>
      </c>
      <c r="AF885" s="52">
        <v>0</v>
      </c>
      <c r="AG885" s="52">
        <v>0</v>
      </c>
      <c r="AH885" s="52">
        <v>0</v>
      </c>
      <c r="AI885" s="52">
        <v>0</v>
      </c>
      <c r="AJ885" s="52">
        <v>2</v>
      </c>
      <c r="AK885" s="52"/>
      <c r="AL885" s="52">
        <v>0</v>
      </c>
      <c r="AM885" s="52">
        <v>0</v>
      </c>
      <c r="AN885" s="52">
        <v>5880348000</v>
      </c>
      <c r="AO885" s="52">
        <v>1458259264059</v>
      </c>
      <c r="AP885" s="52">
        <v>1458259264059</v>
      </c>
      <c r="AQ885" s="58">
        <v>121</v>
      </c>
      <c r="AR885" s="58">
        <v>1998905</v>
      </c>
      <c r="AS885" s="58">
        <v>126</v>
      </c>
      <c r="AT885" s="58">
        <v>1913792.1900000002</v>
      </c>
      <c r="AU885" s="58">
        <v>218</v>
      </c>
      <c r="AV885" s="58">
        <v>5312785.55</v>
      </c>
      <c r="AW885" s="58">
        <v>302</v>
      </c>
      <c r="AX885" s="58">
        <v>84760204.139999986</v>
      </c>
    </row>
    <row r="886" spans="1:50" x14ac:dyDescent="0.25">
      <c r="A886" s="52">
        <f t="shared" si="43"/>
        <v>881</v>
      </c>
      <c r="B886" s="60" t="str">
        <f t="shared" si="42"/>
        <v>008731956740</v>
      </c>
      <c r="C886" s="55" t="s">
        <v>32</v>
      </c>
      <c r="D886" s="53" t="s">
        <v>2125</v>
      </c>
      <c r="E886" s="55" t="s">
        <v>1597</v>
      </c>
      <c r="F886" s="53" t="s">
        <v>2126</v>
      </c>
      <c r="G886" s="55">
        <v>12008</v>
      </c>
      <c r="H886" s="53" t="s">
        <v>2614</v>
      </c>
      <c r="I886" s="55">
        <v>306893515</v>
      </c>
      <c r="J886" s="55" t="s">
        <v>1630</v>
      </c>
      <c r="K886" s="55" t="s">
        <v>1631</v>
      </c>
      <c r="L886" s="53" t="s">
        <v>2035</v>
      </c>
      <c r="M886" s="55" t="s">
        <v>75</v>
      </c>
      <c r="N886" s="52">
        <v>24000</v>
      </c>
      <c r="O886" s="52">
        <v>289626240</v>
      </c>
      <c r="P886" s="52">
        <v>289626240</v>
      </c>
      <c r="Q886" s="57">
        <v>45929</v>
      </c>
      <c r="R886" s="57">
        <v>46293</v>
      </c>
      <c r="S886" s="56">
        <v>13.38</v>
      </c>
      <c r="T886" s="54">
        <v>3</v>
      </c>
      <c r="U886" s="52">
        <v>3989014206.75</v>
      </c>
      <c r="V886" s="52">
        <v>3989014206.75</v>
      </c>
      <c r="W886" s="52">
        <v>0</v>
      </c>
      <c r="X886" s="57"/>
      <c r="Y886" s="52">
        <v>0</v>
      </c>
      <c r="Z886" s="52">
        <v>0</v>
      </c>
      <c r="AA886" s="52">
        <v>1</v>
      </c>
      <c r="AB886" s="52">
        <v>0</v>
      </c>
      <c r="AC886" s="52">
        <v>17545721.550000001</v>
      </c>
      <c r="AD886" s="52">
        <v>17545721.550000001</v>
      </c>
      <c r="AE886" s="52">
        <v>0</v>
      </c>
      <c r="AF886" s="52">
        <v>0</v>
      </c>
      <c r="AG886" s="52">
        <v>0</v>
      </c>
      <c r="AH886" s="52">
        <v>0</v>
      </c>
      <c r="AI886" s="52">
        <v>0</v>
      </c>
      <c r="AJ886" s="52">
        <v>2</v>
      </c>
      <c r="AK886" s="52"/>
      <c r="AL886" s="52">
        <v>562230529633</v>
      </c>
      <c r="AM886" s="52">
        <v>562230529633</v>
      </c>
      <c r="AN886" s="52">
        <v>83137500000</v>
      </c>
      <c r="AO886" s="52">
        <v>36471041686358</v>
      </c>
      <c r="AP886" s="52">
        <v>36471041686358</v>
      </c>
      <c r="AQ886" s="58">
        <v>0</v>
      </c>
      <c r="AR886" s="58">
        <v>0</v>
      </c>
      <c r="AS886" s="58">
        <v>0</v>
      </c>
      <c r="AT886" s="58">
        <v>0</v>
      </c>
      <c r="AU886" s="58">
        <v>9</v>
      </c>
      <c r="AV886" s="58">
        <v>4165089.2</v>
      </c>
      <c r="AW886" s="58">
        <v>7</v>
      </c>
      <c r="AX886" s="58">
        <v>2166184</v>
      </c>
    </row>
    <row r="887" spans="1:50" x14ac:dyDescent="0.25">
      <c r="A887" s="52">
        <f t="shared" si="43"/>
        <v>882</v>
      </c>
      <c r="B887" s="60" t="str">
        <f t="shared" si="42"/>
        <v>008731964000</v>
      </c>
      <c r="C887" s="55" t="s">
        <v>32</v>
      </c>
      <c r="D887" s="53" t="s">
        <v>2125</v>
      </c>
      <c r="E887" s="55" t="s">
        <v>1597</v>
      </c>
      <c r="F887" s="53" t="s">
        <v>2126</v>
      </c>
      <c r="G887" s="55">
        <v>12008</v>
      </c>
      <c r="H887" s="53" t="s">
        <v>2614</v>
      </c>
      <c r="I887" s="55">
        <v>306893515</v>
      </c>
      <c r="J887" s="55">
        <v>1964000</v>
      </c>
      <c r="K887" s="55" t="s">
        <v>1632</v>
      </c>
      <c r="L887" s="53" t="s">
        <v>2035</v>
      </c>
      <c r="M887" s="55" t="s">
        <v>75</v>
      </c>
      <c r="N887" s="52">
        <v>735000</v>
      </c>
      <c r="O887" s="52">
        <v>8869803600</v>
      </c>
      <c r="P887" s="52">
        <v>8869803600</v>
      </c>
      <c r="Q887" s="57">
        <v>45796</v>
      </c>
      <c r="R887" s="57">
        <v>46162</v>
      </c>
      <c r="S887" s="56">
        <v>13.38</v>
      </c>
      <c r="T887" s="54">
        <v>3</v>
      </c>
      <c r="U887" s="52">
        <v>3979090726.8600001</v>
      </c>
      <c r="V887" s="52">
        <v>3979090726.8600001</v>
      </c>
      <c r="W887" s="52">
        <v>0</v>
      </c>
      <c r="X887" s="57"/>
      <c r="Y887" s="52">
        <v>0</v>
      </c>
      <c r="Z887" s="52">
        <v>0</v>
      </c>
      <c r="AA887" s="52">
        <v>1</v>
      </c>
      <c r="AB887" s="52">
        <v>0</v>
      </c>
      <c r="AC887" s="52">
        <v>17762865.530000001</v>
      </c>
      <c r="AD887" s="52">
        <v>17762865.530000001</v>
      </c>
      <c r="AE887" s="52">
        <v>0</v>
      </c>
      <c r="AF887" s="52">
        <v>0</v>
      </c>
      <c r="AG887" s="52">
        <v>0</v>
      </c>
      <c r="AH887" s="52">
        <v>0</v>
      </c>
      <c r="AI887" s="52">
        <v>0</v>
      </c>
      <c r="AJ887" s="52">
        <v>2</v>
      </c>
      <c r="AK887" s="52"/>
      <c r="AL887" s="52">
        <v>562230529633</v>
      </c>
      <c r="AM887" s="52">
        <v>562230529633</v>
      </c>
      <c r="AN887" s="52">
        <v>83137500000</v>
      </c>
      <c r="AO887" s="52">
        <v>36471041686358</v>
      </c>
      <c r="AP887" s="52">
        <v>36471041686358</v>
      </c>
      <c r="AQ887" s="58">
        <v>0</v>
      </c>
      <c r="AR887" s="58">
        <v>0</v>
      </c>
      <c r="AS887" s="58">
        <v>0</v>
      </c>
      <c r="AT887" s="58">
        <v>0</v>
      </c>
      <c r="AU887" s="58">
        <v>9</v>
      </c>
      <c r="AV887" s="58">
        <v>4165089.2</v>
      </c>
      <c r="AW887" s="58">
        <v>7</v>
      </c>
      <c r="AX887" s="58">
        <v>2166184</v>
      </c>
    </row>
    <row r="888" spans="1:50" x14ac:dyDescent="0.25">
      <c r="A888" s="52">
        <f t="shared" si="43"/>
        <v>883</v>
      </c>
      <c r="B888" s="60" t="str">
        <f t="shared" si="42"/>
        <v>008732026448</v>
      </c>
      <c r="C888" s="55" t="s">
        <v>32</v>
      </c>
      <c r="D888" s="53" t="s">
        <v>2125</v>
      </c>
      <c r="E888" s="55" t="s">
        <v>1597</v>
      </c>
      <c r="F888" s="53" t="s">
        <v>2126</v>
      </c>
      <c r="G888" s="55">
        <v>12008</v>
      </c>
      <c r="H888" s="53" t="s">
        <v>1633</v>
      </c>
      <c r="I888" s="55">
        <v>311629998</v>
      </c>
      <c r="J888" s="55" t="s">
        <v>1634</v>
      </c>
      <c r="K888" s="55" t="s">
        <v>1635</v>
      </c>
      <c r="L888" s="53" t="s">
        <v>2035</v>
      </c>
      <c r="M888" s="55" t="s">
        <v>49</v>
      </c>
      <c r="N888" s="52">
        <v>3000000000</v>
      </c>
      <c r="O888" s="52">
        <v>3000000000</v>
      </c>
      <c r="P888" s="52">
        <v>3000000000</v>
      </c>
      <c r="Q888" s="57">
        <v>45925</v>
      </c>
      <c r="R888" s="57">
        <v>47020</v>
      </c>
      <c r="S888" s="56">
        <v>29</v>
      </c>
      <c r="T888" s="54">
        <v>6</v>
      </c>
      <c r="U888" s="52">
        <v>3000000000</v>
      </c>
      <c r="V888" s="52">
        <v>3000000000</v>
      </c>
      <c r="W888" s="52">
        <v>0</v>
      </c>
      <c r="X888" s="57"/>
      <c r="Y888" s="52">
        <v>0</v>
      </c>
      <c r="Z888" s="52">
        <v>0</v>
      </c>
      <c r="AA888" s="52">
        <v>1</v>
      </c>
      <c r="AB888" s="52">
        <v>0</v>
      </c>
      <c r="AC888" s="52">
        <v>134959020.31999999</v>
      </c>
      <c r="AD888" s="52">
        <v>61972602.740000002</v>
      </c>
      <c r="AE888" s="52">
        <v>0</v>
      </c>
      <c r="AF888" s="52">
        <v>0</v>
      </c>
      <c r="AG888" s="52">
        <v>72986417.579999998</v>
      </c>
      <c r="AH888" s="52">
        <v>0</v>
      </c>
      <c r="AI888" s="52">
        <v>0</v>
      </c>
      <c r="AJ888" s="52">
        <v>2</v>
      </c>
      <c r="AK888" s="52"/>
      <c r="AL888" s="52">
        <v>7743913613</v>
      </c>
      <c r="AM888" s="52">
        <v>7743913613</v>
      </c>
      <c r="AN888" s="52">
        <v>3750000000</v>
      </c>
      <c r="AO888" s="52">
        <v>3014000000</v>
      </c>
      <c r="AP888" s="52">
        <v>3014000000</v>
      </c>
      <c r="AQ888" s="58">
        <v>0</v>
      </c>
      <c r="AR888" s="58">
        <v>0</v>
      </c>
      <c r="AS888" s="58">
        <v>0</v>
      </c>
      <c r="AT888" s="58">
        <v>0</v>
      </c>
      <c r="AU888" s="58">
        <v>0</v>
      </c>
      <c r="AV888" s="58">
        <v>0</v>
      </c>
      <c r="AW888" s="58">
        <v>1</v>
      </c>
      <c r="AX888" s="58">
        <v>17270</v>
      </c>
    </row>
    <row r="889" spans="1:50" x14ac:dyDescent="0.25">
      <c r="A889" s="52">
        <f t="shared" si="43"/>
        <v>884</v>
      </c>
      <c r="B889" s="60" t="str">
        <f t="shared" si="42"/>
        <v>008732011027</v>
      </c>
      <c r="C889" s="55" t="s">
        <v>32</v>
      </c>
      <c r="D889" s="53" t="s">
        <v>2125</v>
      </c>
      <c r="E889" s="55" t="s">
        <v>1597</v>
      </c>
      <c r="F889" s="53" t="s">
        <v>2126</v>
      </c>
      <c r="G889" s="55">
        <v>12008</v>
      </c>
      <c r="H889" s="53" t="s">
        <v>1636</v>
      </c>
      <c r="I889" s="55">
        <v>303499864</v>
      </c>
      <c r="J889" s="55" t="s">
        <v>1637</v>
      </c>
      <c r="K889" s="55" t="s">
        <v>1638</v>
      </c>
      <c r="L889" s="53" t="s">
        <v>2035</v>
      </c>
      <c r="M889" s="55" t="s">
        <v>75</v>
      </c>
      <c r="N889" s="52">
        <v>240000</v>
      </c>
      <c r="O889" s="52">
        <v>2896262400</v>
      </c>
      <c r="P889" s="52">
        <v>2896262400</v>
      </c>
      <c r="Q889" s="57">
        <v>45898</v>
      </c>
      <c r="R889" s="57">
        <v>46993</v>
      </c>
      <c r="S889" s="56">
        <v>15.38</v>
      </c>
      <c r="T889" s="54">
        <v>6</v>
      </c>
      <c r="U889" s="52">
        <v>2927758747.8600001</v>
      </c>
      <c r="V889" s="52">
        <v>2927758747.8600001</v>
      </c>
      <c r="W889" s="52">
        <v>0</v>
      </c>
      <c r="X889" s="57"/>
      <c r="Y889" s="52">
        <v>0</v>
      </c>
      <c r="Z889" s="52">
        <v>0</v>
      </c>
      <c r="AA889" s="52">
        <v>1</v>
      </c>
      <c r="AB889" s="52">
        <v>0</v>
      </c>
      <c r="AC889" s="52">
        <v>31849288.289999999</v>
      </c>
      <c r="AD889" s="52">
        <v>31849288.289999999</v>
      </c>
      <c r="AE889" s="52">
        <v>0</v>
      </c>
      <c r="AF889" s="52">
        <v>0</v>
      </c>
      <c r="AG889" s="52">
        <v>0</v>
      </c>
      <c r="AH889" s="52">
        <v>0</v>
      </c>
      <c r="AI889" s="52">
        <v>0</v>
      </c>
      <c r="AJ889" s="52">
        <v>2</v>
      </c>
      <c r="AK889" s="52"/>
      <c r="AL889" s="52">
        <v>62232487</v>
      </c>
      <c r="AM889" s="52">
        <v>0</v>
      </c>
      <c r="AN889" s="52">
        <v>4050000000</v>
      </c>
      <c r="AO889" s="52">
        <v>3218140000</v>
      </c>
      <c r="AP889" s="52">
        <v>0</v>
      </c>
      <c r="AQ889" s="58">
        <v>0</v>
      </c>
      <c r="AR889" s="58">
        <v>0</v>
      </c>
      <c r="AS889" s="58">
        <v>0</v>
      </c>
      <c r="AT889" s="58">
        <v>0</v>
      </c>
      <c r="AU889" s="58">
        <v>2</v>
      </c>
      <c r="AV889" s="58">
        <v>37600</v>
      </c>
      <c r="AW889" s="58">
        <v>0</v>
      </c>
      <c r="AX889" s="58">
        <v>0</v>
      </c>
    </row>
    <row r="890" spans="1:50" x14ac:dyDescent="0.25">
      <c r="A890" s="52">
        <f t="shared" si="43"/>
        <v>885</v>
      </c>
      <c r="B890" s="60" t="str">
        <f t="shared" si="42"/>
        <v>008731985594</v>
      </c>
      <c r="C890" s="55" t="s">
        <v>32</v>
      </c>
      <c r="D890" s="53" t="s">
        <v>2125</v>
      </c>
      <c r="E890" s="55" t="s">
        <v>1597</v>
      </c>
      <c r="F890" s="53" t="s">
        <v>2126</v>
      </c>
      <c r="G890" s="55">
        <v>12008</v>
      </c>
      <c r="H890" s="53" t="s">
        <v>1639</v>
      </c>
      <c r="I890" s="55">
        <v>305039888</v>
      </c>
      <c r="J890" s="55" t="s">
        <v>1640</v>
      </c>
      <c r="K890" s="55" t="s">
        <v>1641</v>
      </c>
      <c r="L890" s="53" t="s">
        <v>2035</v>
      </c>
      <c r="M890" s="55" t="s">
        <v>75</v>
      </c>
      <c r="N890" s="52">
        <v>205000</v>
      </c>
      <c r="O890" s="52">
        <v>2473890800</v>
      </c>
      <c r="P890" s="52">
        <v>2473890800</v>
      </c>
      <c r="Q890" s="57">
        <v>45863</v>
      </c>
      <c r="R890" s="57">
        <v>46958</v>
      </c>
      <c r="S890" s="56">
        <v>15.38</v>
      </c>
      <c r="T890" s="54">
        <v>6</v>
      </c>
      <c r="U890" s="52">
        <v>2500659595.5</v>
      </c>
      <c r="V890" s="52">
        <v>2500659595.5</v>
      </c>
      <c r="W890" s="52">
        <v>0</v>
      </c>
      <c r="X890" s="57"/>
      <c r="Y890" s="52">
        <v>0</v>
      </c>
      <c r="Z890" s="52">
        <v>0</v>
      </c>
      <c r="AA890" s="52">
        <v>1</v>
      </c>
      <c r="AB890" s="52">
        <v>0</v>
      </c>
      <c r="AC890" s="52">
        <v>89787449.849999994</v>
      </c>
      <c r="AD890" s="52">
        <v>27394176.969999999</v>
      </c>
      <c r="AE890" s="52">
        <v>0</v>
      </c>
      <c r="AF890" s="52">
        <v>0</v>
      </c>
      <c r="AG890" s="52">
        <v>62393272.880000003</v>
      </c>
      <c r="AH890" s="52">
        <v>0</v>
      </c>
      <c r="AI890" s="52">
        <v>0</v>
      </c>
      <c r="AJ890" s="52">
        <v>2</v>
      </c>
      <c r="AK890" s="52"/>
      <c r="AL890" s="52">
        <v>1528562329</v>
      </c>
      <c r="AM890" s="52">
        <v>1528562329</v>
      </c>
      <c r="AN890" s="52">
        <v>3587500000</v>
      </c>
      <c r="AO890" s="52">
        <v>4308463000</v>
      </c>
      <c r="AP890" s="52">
        <v>0</v>
      </c>
      <c r="AQ890" s="58">
        <v>0</v>
      </c>
      <c r="AR890" s="58">
        <v>0</v>
      </c>
      <c r="AS890" s="58">
        <v>0</v>
      </c>
      <c r="AT890" s="58">
        <v>0</v>
      </c>
      <c r="AU890" s="58">
        <v>0</v>
      </c>
      <c r="AV890" s="58">
        <v>0</v>
      </c>
      <c r="AW890" s="58">
        <v>0</v>
      </c>
      <c r="AX890" s="58">
        <v>0</v>
      </c>
    </row>
    <row r="891" spans="1:50" x14ac:dyDescent="0.25">
      <c r="A891" s="52">
        <f t="shared" si="43"/>
        <v>886</v>
      </c>
      <c r="B891" s="60" t="str">
        <f t="shared" si="42"/>
        <v>008731978822</v>
      </c>
      <c r="C891" s="55" t="s">
        <v>32</v>
      </c>
      <c r="D891" s="53" t="s">
        <v>2125</v>
      </c>
      <c r="E891" s="55" t="s">
        <v>1597</v>
      </c>
      <c r="F891" s="53" t="s">
        <v>2126</v>
      </c>
      <c r="G891" s="55">
        <v>12008</v>
      </c>
      <c r="H891" s="53" t="s">
        <v>1642</v>
      </c>
      <c r="I891" s="55">
        <v>311225204</v>
      </c>
      <c r="J891" s="55">
        <v>1978822</v>
      </c>
      <c r="K891" s="55" t="s">
        <v>1643</v>
      </c>
      <c r="L891" s="53" t="s">
        <v>2035</v>
      </c>
      <c r="M891" s="55" t="s">
        <v>49</v>
      </c>
      <c r="N891" s="52">
        <v>2400000000</v>
      </c>
      <c r="O891" s="52">
        <v>2400000000</v>
      </c>
      <c r="P891" s="52">
        <v>2400000000</v>
      </c>
      <c r="Q891" s="57">
        <v>45853</v>
      </c>
      <c r="R891" s="57">
        <v>46948</v>
      </c>
      <c r="S891" s="56">
        <v>29</v>
      </c>
      <c r="T891" s="54">
        <v>6</v>
      </c>
      <c r="U891" s="52">
        <v>2400000000</v>
      </c>
      <c r="V891" s="52">
        <v>2400000000</v>
      </c>
      <c r="W891" s="52">
        <v>0</v>
      </c>
      <c r="X891" s="57"/>
      <c r="Y891" s="52">
        <v>0</v>
      </c>
      <c r="Z891" s="52">
        <v>0</v>
      </c>
      <c r="AA891" s="52">
        <v>1</v>
      </c>
      <c r="AB891" s="52">
        <v>0</v>
      </c>
      <c r="AC891" s="52">
        <v>49578082.189999998</v>
      </c>
      <c r="AD891" s="52">
        <v>49578082.189999998</v>
      </c>
      <c r="AE891" s="52">
        <v>0</v>
      </c>
      <c r="AF891" s="52">
        <v>0</v>
      </c>
      <c r="AG891" s="52">
        <v>0</v>
      </c>
      <c r="AH891" s="52">
        <v>0</v>
      </c>
      <c r="AI891" s="52">
        <v>0</v>
      </c>
      <c r="AJ891" s="52">
        <v>2</v>
      </c>
      <c r="AK891" s="52"/>
      <c r="AL891" s="52">
        <v>0</v>
      </c>
      <c r="AM891" s="52">
        <v>0</v>
      </c>
      <c r="AN891" s="52">
        <v>3000000000</v>
      </c>
      <c r="AO891" s="52">
        <v>282649071153</v>
      </c>
      <c r="AP891" s="52">
        <v>282649071153</v>
      </c>
      <c r="AQ891" s="58">
        <v>0</v>
      </c>
      <c r="AR891" s="58">
        <v>0</v>
      </c>
      <c r="AS891" s="58">
        <v>0</v>
      </c>
      <c r="AT891" s="58">
        <v>0</v>
      </c>
      <c r="AU891" s="58">
        <v>0</v>
      </c>
      <c r="AV891" s="58">
        <v>0</v>
      </c>
      <c r="AW891" s="58">
        <v>0</v>
      </c>
      <c r="AX891" s="58">
        <v>0</v>
      </c>
    </row>
    <row r="892" spans="1:50" x14ac:dyDescent="0.25">
      <c r="A892" s="52">
        <f t="shared" si="43"/>
        <v>887</v>
      </c>
      <c r="B892" s="60" t="str">
        <f t="shared" ref="B892:B955" si="44">+E892&amp;J892</f>
        <v>008731977094</v>
      </c>
      <c r="C892" s="55" t="s">
        <v>32</v>
      </c>
      <c r="D892" s="53" t="s">
        <v>2125</v>
      </c>
      <c r="E892" s="55" t="s">
        <v>1597</v>
      </c>
      <c r="F892" s="53" t="s">
        <v>2126</v>
      </c>
      <c r="G892" s="55">
        <v>12008</v>
      </c>
      <c r="H892" s="53" t="s">
        <v>1644</v>
      </c>
      <c r="I892" s="55">
        <v>311629508</v>
      </c>
      <c r="J892" s="55" t="s">
        <v>1645</v>
      </c>
      <c r="K892" s="55" t="s">
        <v>1646</v>
      </c>
      <c r="L892" s="53" t="s">
        <v>2035</v>
      </c>
      <c r="M892" s="55" t="s">
        <v>49</v>
      </c>
      <c r="N892" s="52">
        <v>2990000000</v>
      </c>
      <c r="O892" s="52">
        <v>2990000000</v>
      </c>
      <c r="P892" s="52">
        <v>2990000000</v>
      </c>
      <c r="Q892" s="57">
        <v>45846</v>
      </c>
      <c r="R892" s="57">
        <v>46210</v>
      </c>
      <c r="S892" s="56">
        <v>26</v>
      </c>
      <c r="T892" s="54">
        <v>3</v>
      </c>
      <c r="U892" s="52">
        <v>2325555556</v>
      </c>
      <c r="V892" s="52">
        <v>1993333334</v>
      </c>
      <c r="W892" s="52">
        <v>332222222</v>
      </c>
      <c r="X892" s="57">
        <v>46028</v>
      </c>
      <c r="Y892" s="52">
        <v>0</v>
      </c>
      <c r="Z892" s="52">
        <v>0</v>
      </c>
      <c r="AA892" s="52">
        <v>1</v>
      </c>
      <c r="AB892" s="52">
        <v>0</v>
      </c>
      <c r="AC892" s="52">
        <v>102543932.53</v>
      </c>
      <c r="AD892" s="52">
        <v>46147031.979999997</v>
      </c>
      <c r="AE892" s="52">
        <v>0</v>
      </c>
      <c r="AF892" s="52">
        <v>0</v>
      </c>
      <c r="AG892" s="52">
        <v>56396900.549999997</v>
      </c>
      <c r="AH892" s="52">
        <v>0</v>
      </c>
      <c r="AI892" s="52">
        <v>0</v>
      </c>
      <c r="AJ892" s="52">
        <v>2</v>
      </c>
      <c r="AK892" s="52"/>
      <c r="AL892" s="52">
        <v>5770347634</v>
      </c>
      <c r="AM892" s="52">
        <v>5770347634</v>
      </c>
      <c r="AN892" s="52">
        <v>3737500000</v>
      </c>
      <c r="AO892" s="52">
        <v>4114562500</v>
      </c>
      <c r="AP892" s="52">
        <v>102600000</v>
      </c>
      <c r="AQ892" s="58">
        <v>0</v>
      </c>
      <c r="AR892" s="58">
        <v>0</v>
      </c>
      <c r="AS892" s="58">
        <v>0</v>
      </c>
      <c r="AT892" s="58">
        <v>0</v>
      </c>
      <c r="AU892" s="58">
        <v>0</v>
      </c>
      <c r="AV892" s="58">
        <v>0</v>
      </c>
      <c r="AW892" s="58">
        <v>0</v>
      </c>
      <c r="AX892" s="58">
        <v>0</v>
      </c>
    </row>
    <row r="893" spans="1:50" x14ac:dyDescent="0.25">
      <c r="A893" s="52">
        <f t="shared" si="43"/>
        <v>888</v>
      </c>
      <c r="B893" s="60" t="str">
        <f t="shared" si="44"/>
        <v>008731593901</v>
      </c>
      <c r="C893" s="55" t="s">
        <v>32</v>
      </c>
      <c r="D893" s="53" t="s">
        <v>2125</v>
      </c>
      <c r="E893" s="55" t="s">
        <v>1597</v>
      </c>
      <c r="F893" s="53" t="s">
        <v>2126</v>
      </c>
      <c r="G893" s="55">
        <v>12008</v>
      </c>
      <c r="H893" s="53" t="s">
        <v>2620</v>
      </c>
      <c r="I893" s="55">
        <v>303035894</v>
      </c>
      <c r="J893" s="55" t="s">
        <v>1647</v>
      </c>
      <c r="K893" s="55" t="s">
        <v>1648</v>
      </c>
      <c r="L893" s="53" t="s">
        <v>2035</v>
      </c>
      <c r="M893" s="55" t="s">
        <v>75</v>
      </c>
      <c r="N893" s="52">
        <v>860000</v>
      </c>
      <c r="O893" s="52">
        <v>10378273600</v>
      </c>
      <c r="P893" s="52">
        <v>10378273600</v>
      </c>
      <c r="Q893" s="57">
        <v>44034</v>
      </c>
      <c r="R893" s="57">
        <v>46346</v>
      </c>
      <c r="S893" s="56">
        <v>11.39</v>
      </c>
      <c r="T893" s="54">
        <v>24</v>
      </c>
      <c r="U893" s="52">
        <v>2098245200</v>
      </c>
      <c r="V893" s="52">
        <v>2098245200</v>
      </c>
      <c r="W893" s="52">
        <v>0</v>
      </c>
      <c r="X893" s="57"/>
      <c r="Y893" s="52">
        <v>0</v>
      </c>
      <c r="Z893" s="52">
        <v>0</v>
      </c>
      <c r="AA893" s="52">
        <v>1</v>
      </c>
      <c r="AB893" s="52">
        <v>0</v>
      </c>
      <c r="AC893" s="52">
        <v>48461900.68</v>
      </c>
      <c r="AD893" s="52">
        <v>48461900.68</v>
      </c>
      <c r="AE893" s="52">
        <v>0</v>
      </c>
      <c r="AF893" s="52">
        <v>0</v>
      </c>
      <c r="AG893" s="52">
        <v>0</v>
      </c>
      <c r="AH893" s="52">
        <v>0</v>
      </c>
      <c r="AI893" s="52">
        <v>0</v>
      </c>
      <c r="AJ893" s="52">
        <v>2</v>
      </c>
      <c r="AK893" s="52"/>
      <c r="AL893" s="52">
        <v>0</v>
      </c>
      <c r="AM893" s="52">
        <v>0</v>
      </c>
      <c r="AN893" s="52">
        <v>1256911004238</v>
      </c>
      <c r="AO893" s="52">
        <v>1316995261765</v>
      </c>
      <c r="AP893" s="52">
        <v>0</v>
      </c>
      <c r="AQ893" s="58">
        <v>0</v>
      </c>
      <c r="AR893" s="58">
        <v>0</v>
      </c>
      <c r="AS893" s="58">
        <v>0</v>
      </c>
      <c r="AT893" s="58">
        <v>0</v>
      </c>
      <c r="AU893" s="58">
        <v>0</v>
      </c>
      <c r="AV893" s="58">
        <v>0</v>
      </c>
      <c r="AW893" s="58">
        <v>4</v>
      </c>
      <c r="AX893" s="58">
        <v>860000</v>
      </c>
    </row>
    <row r="894" spans="1:50" x14ac:dyDescent="0.25">
      <c r="A894" s="52">
        <f t="shared" si="43"/>
        <v>889</v>
      </c>
      <c r="B894" s="60" t="str">
        <f t="shared" si="44"/>
        <v>008731575520</v>
      </c>
      <c r="C894" s="55" t="s">
        <v>32</v>
      </c>
      <c r="D894" s="53" t="s">
        <v>2125</v>
      </c>
      <c r="E894" s="55" t="s">
        <v>1597</v>
      </c>
      <c r="F894" s="53" t="s">
        <v>2126</v>
      </c>
      <c r="G894" s="55">
        <v>12008</v>
      </c>
      <c r="H894" s="53" t="s">
        <v>2621</v>
      </c>
      <c r="I894" s="55">
        <v>304386656</v>
      </c>
      <c r="J894" s="55" t="s">
        <v>1649</v>
      </c>
      <c r="K894" s="55" t="s">
        <v>1650</v>
      </c>
      <c r="L894" s="53" t="s">
        <v>2035</v>
      </c>
      <c r="M894" s="55" t="s">
        <v>75</v>
      </c>
      <c r="N894" s="52">
        <v>497500</v>
      </c>
      <c r="O894" s="52">
        <v>6003710600</v>
      </c>
      <c r="P894" s="52">
        <v>6003710600</v>
      </c>
      <c r="Q894" s="57">
        <v>43052</v>
      </c>
      <c r="R894" s="57">
        <v>46875</v>
      </c>
      <c r="S894" s="56">
        <v>6</v>
      </c>
      <c r="T894" s="54">
        <v>36</v>
      </c>
      <c r="U894" s="52">
        <v>1661763597.8399999</v>
      </c>
      <c r="V894" s="52">
        <v>1589512964.2</v>
      </c>
      <c r="W894" s="52">
        <v>72250633.640000001</v>
      </c>
      <c r="X894" s="57">
        <v>46034</v>
      </c>
      <c r="Y894" s="52">
        <v>0</v>
      </c>
      <c r="Z894" s="52">
        <v>0</v>
      </c>
      <c r="AA894" s="52">
        <v>1</v>
      </c>
      <c r="AB894" s="52">
        <v>0</v>
      </c>
      <c r="AC894" s="52">
        <v>24099932.010000002</v>
      </c>
      <c r="AD894" s="52">
        <v>6108577.3399999999</v>
      </c>
      <c r="AE894" s="52">
        <v>0</v>
      </c>
      <c r="AF894" s="52">
        <v>0</v>
      </c>
      <c r="AG894" s="52">
        <v>17991354.670000002</v>
      </c>
      <c r="AH894" s="52">
        <v>0</v>
      </c>
      <c r="AI894" s="52">
        <v>0</v>
      </c>
      <c r="AJ894" s="52">
        <v>2</v>
      </c>
      <c r="AK894" s="52"/>
      <c r="AL894" s="52">
        <v>54033372282</v>
      </c>
      <c r="AM894" s="52">
        <v>163154000</v>
      </c>
      <c r="AN894" s="52">
        <v>818380158893</v>
      </c>
      <c r="AO894" s="52">
        <v>10161048747231</v>
      </c>
      <c r="AP894" s="52">
        <v>10161048747231</v>
      </c>
      <c r="AQ894" s="58">
        <v>0</v>
      </c>
      <c r="AR894" s="58">
        <v>0</v>
      </c>
      <c r="AS894" s="58">
        <v>0</v>
      </c>
      <c r="AT894" s="58">
        <v>0</v>
      </c>
      <c r="AU894" s="58">
        <v>0</v>
      </c>
      <c r="AV894" s="58">
        <v>0</v>
      </c>
      <c r="AW894" s="58">
        <v>0</v>
      </c>
      <c r="AX894" s="58">
        <v>0</v>
      </c>
    </row>
    <row r="895" spans="1:50" x14ac:dyDescent="0.25">
      <c r="A895" s="52">
        <f t="shared" si="43"/>
        <v>890</v>
      </c>
      <c r="B895" s="60" t="str">
        <f t="shared" si="44"/>
        <v>008731960240</v>
      </c>
      <c r="C895" s="55" t="s">
        <v>32</v>
      </c>
      <c r="D895" s="53" t="s">
        <v>2125</v>
      </c>
      <c r="E895" s="55" t="s">
        <v>1597</v>
      </c>
      <c r="F895" s="53" t="s">
        <v>2126</v>
      </c>
      <c r="G895" s="55">
        <v>12008</v>
      </c>
      <c r="H895" s="53" t="s">
        <v>2614</v>
      </c>
      <c r="I895" s="55">
        <v>306893515</v>
      </c>
      <c r="J895" s="55" t="s">
        <v>1651</v>
      </c>
      <c r="K895" s="55" t="s">
        <v>1652</v>
      </c>
      <c r="L895" s="53" t="s">
        <v>2035</v>
      </c>
      <c r="M895" s="55" t="s">
        <v>75</v>
      </c>
      <c r="N895" s="52">
        <v>395000</v>
      </c>
      <c r="O895" s="52">
        <v>4766765200</v>
      </c>
      <c r="P895" s="52">
        <v>4766765200</v>
      </c>
      <c r="Q895" s="57">
        <v>45775</v>
      </c>
      <c r="R895" s="57">
        <v>46132</v>
      </c>
      <c r="S895" s="56">
        <v>13.38</v>
      </c>
      <c r="T895" s="54">
        <v>3</v>
      </c>
      <c r="U895" s="52">
        <v>1606133506</v>
      </c>
      <c r="V895" s="52">
        <v>1606133506</v>
      </c>
      <c r="W895" s="52">
        <v>0</v>
      </c>
      <c r="X895" s="57"/>
      <c r="Y895" s="52">
        <v>0</v>
      </c>
      <c r="Z895" s="52">
        <v>0</v>
      </c>
      <c r="AA895" s="52">
        <v>1</v>
      </c>
      <c r="AB895" s="52">
        <v>0</v>
      </c>
      <c r="AC895" s="52">
        <v>7064620.7999999998</v>
      </c>
      <c r="AD895" s="52">
        <v>7064620.7999999998</v>
      </c>
      <c r="AE895" s="52">
        <v>0</v>
      </c>
      <c r="AF895" s="52">
        <v>0</v>
      </c>
      <c r="AG895" s="52">
        <v>0</v>
      </c>
      <c r="AH895" s="52">
        <v>0</v>
      </c>
      <c r="AI895" s="52">
        <v>0</v>
      </c>
      <c r="AJ895" s="52">
        <v>2</v>
      </c>
      <c r="AK895" s="52"/>
      <c r="AL895" s="52">
        <v>562230529633</v>
      </c>
      <c r="AM895" s="52">
        <v>562230529633</v>
      </c>
      <c r="AN895" s="52">
        <v>83137500000</v>
      </c>
      <c r="AO895" s="52">
        <v>6503599838729</v>
      </c>
      <c r="AP895" s="52">
        <v>6403599838729</v>
      </c>
      <c r="AQ895" s="58">
        <v>0</v>
      </c>
      <c r="AR895" s="58">
        <v>0</v>
      </c>
      <c r="AS895" s="58">
        <v>0</v>
      </c>
      <c r="AT895" s="58">
        <v>0</v>
      </c>
      <c r="AU895" s="58">
        <v>9</v>
      </c>
      <c r="AV895" s="58">
        <v>4165089.2</v>
      </c>
      <c r="AW895" s="58">
        <v>7</v>
      </c>
      <c r="AX895" s="58">
        <v>2166184</v>
      </c>
    </row>
    <row r="896" spans="1:50" x14ac:dyDescent="0.25">
      <c r="A896" s="52">
        <f t="shared" si="43"/>
        <v>891</v>
      </c>
      <c r="B896" s="60" t="str">
        <f t="shared" si="44"/>
        <v>008731622685</v>
      </c>
      <c r="C896" s="55" t="s">
        <v>32</v>
      </c>
      <c r="D896" s="53" t="s">
        <v>2125</v>
      </c>
      <c r="E896" s="55" t="s">
        <v>1597</v>
      </c>
      <c r="F896" s="53" t="s">
        <v>2126</v>
      </c>
      <c r="G896" s="55">
        <v>12008</v>
      </c>
      <c r="H896" s="53" t="s">
        <v>2622</v>
      </c>
      <c r="I896" s="55">
        <v>300989010</v>
      </c>
      <c r="J896" s="55" t="s">
        <v>1653</v>
      </c>
      <c r="K896" s="55" t="s">
        <v>1654</v>
      </c>
      <c r="L896" s="53" t="s">
        <v>2035</v>
      </c>
      <c r="M896" s="55" t="s">
        <v>71</v>
      </c>
      <c r="N896" s="52">
        <v>269450</v>
      </c>
      <c r="O896" s="52">
        <v>3810292450</v>
      </c>
      <c r="P896" s="52">
        <v>3810292450</v>
      </c>
      <c r="Q896" s="57">
        <v>44798</v>
      </c>
      <c r="R896" s="57">
        <v>46574</v>
      </c>
      <c r="S896" s="56">
        <v>12</v>
      </c>
      <c r="T896" s="54">
        <v>11</v>
      </c>
      <c r="U896" s="52">
        <v>1473546797.2</v>
      </c>
      <c r="V896" s="52">
        <v>1473546797.2</v>
      </c>
      <c r="W896" s="52">
        <v>0</v>
      </c>
      <c r="X896" s="57"/>
      <c r="Y896" s="52">
        <v>0</v>
      </c>
      <c r="Z896" s="52">
        <v>0</v>
      </c>
      <c r="AA896" s="52">
        <v>1</v>
      </c>
      <c r="AB896" s="52">
        <v>0</v>
      </c>
      <c r="AC896" s="52">
        <v>12770836.140000001</v>
      </c>
      <c r="AD896" s="52">
        <v>12770836.140000001</v>
      </c>
      <c r="AE896" s="52">
        <v>0</v>
      </c>
      <c r="AF896" s="52">
        <v>0</v>
      </c>
      <c r="AG896" s="52">
        <v>0</v>
      </c>
      <c r="AH896" s="52">
        <v>0</v>
      </c>
      <c r="AI896" s="52">
        <v>0</v>
      </c>
      <c r="AJ896" s="52">
        <v>2</v>
      </c>
      <c r="AK896" s="52"/>
      <c r="AL896" s="52">
        <v>0</v>
      </c>
      <c r="AM896" s="52">
        <v>0</v>
      </c>
      <c r="AN896" s="52">
        <v>67275480621</v>
      </c>
      <c r="AO896" s="52">
        <v>10161048747231</v>
      </c>
      <c r="AP896" s="52">
        <v>10161048747231</v>
      </c>
      <c r="AQ896" s="58">
        <v>17</v>
      </c>
      <c r="AR896" s="58">
        <v>270893</v>
      </c>
      <c r="AS896" s="58">
        <v>112</v>
      </c>
      <c r="AT896" s="58">
        <v>2185812.1899999995</v>
      </c>
      <c r="AU896" s="58">
        <v>213</v>
      </c>
      <c r="AV896" s="58">
        <v>2871719.71</v>
      </c>
      <c r="AW896" s="58">
        <v>381</v>
      </c>
      <c r="AX896" s="58">
        <v>27408777.770000007</v>
      </c>
    </row>
    <row r="897" spans="1:50" x14ac:dyDescent="0.25">
      <c r="A897" s="52">
        <f t="shared" si="43"/>
        <v>892</v>
      </c>
      <c r="B897" s="60" t="str">
        <f t="shared" si="44"/>
        <v>008731594610</v>
      </c>
      <c r="C897" s="55" t="s">
        <v>32</v>
      </c>
      <c r="D897" s="53" t="s">
        <v>2125</v>
      </c>
      <c r="E897" s="55" t="s">
        <v>1597</v>
      </c>
      <c r="F897" s="53" t="s">
        <v>2126</v>
      </c>
      <c r="G897" s="55">
        <v>12008</v>
      </c>
      <c r="H897" s="53" t="s">
        <v>2623</v>
      </c>
      <c r="I897" s="55">
        <v>304315466</v>
      </c>
      <c r="J897" s="55" t="s">
        <v>1655</v>
      </c>
      <c r="K897" s="55" t="s">
        <v>1656</v>
      </c>
      <c r="L897" s="53" t="s">
        <v>2035</v>
      </c>
      <c r="M897" s="55" t="s">
        <v>75</v>
      </c>
      <c r="N897" s="52">
        <v>382280</v>
      </c>
      <c r="O897" s="52">
        <v>4613263292.8000002</v>
      </c>
      <c r="P897" s="52">
        <v>4613263292.8000002</v>
      </c>
      <c r="Q897" s="57">
        <v>44169</v>
      </c>
      <c r="R897" s="57">
        <v>46650</v>
      </c>
      <c r="S897" s="56">
        <v>11.39</v>
      </c>
      <c r="T897" s="54">
        <v>12</v>
      </c>
      <c r="U897" s="52">
        <v>1434914867.8199999</v>
      </c>
      <c r="V897" s="52">
        <v>1434914867.8199999</v>
      </c>
      <c r="W897" s="52">
        <v>0</v>
      </c>
      <c r="X897" s="57"/>
      <c r="Y897" s="52">
        <v>0</v>
      </c>
      <c r="Z897" s="52">
        <v>0</v>
      </c>
      <c r="AA897" s="52">
        <v>1</v>
      </c>
      <c r="AB897" s="52">
        <v>0</v>
      </c>
      <c r="AC897" s="52">
        <v>107190075.95999999</v>
      </c>
      <c r="AD897" s="52">
        <v>23604648.550000001</v>
      </c>
      <c r="AE897" s="52">
        <v>83585427.409999996</v>
      </c>
      <c r="AF897" s="52">
        <v>0</v>
      </c>
      <c r="AG897" s="52">
        <v>0</v>
      </c>
      <c r="AH897" s="52">
        <v>0</v>
      </c>
      <c r="AI897" s="52">
        <v>0</v>
      </c>
      <c r="AJ897" s="52">
        <v>2</v>
      </c>
      <c r="AK897" s="52"/>
      <c r="AL897" s="52">
        <v>0</v>
      </c>
      <c r="AM897" s="52">
        <v>0</v>
      </c>
      <c r="AN897" s="52">
        <v>668362088335</v>
      </c>
      <c r="AO897" s="52">
        <v>3098135891637</v>
      </c>
      <c r="AP897" s="52">
        <v>3098135891637</v>
      </c>
      <c r="AQ897" s="58">
        <v>1</v>
      </c>
      <c r="AR897" s="58">
        <v>274.56</v>
      </c>
      <c r="AS897" s="58">
        <v>31</v>
      </c>
      <c r="AT897" s="58">
        <v>917734.12000000023</v>
      </c>
      <c r="AU897" s="58">
        <v>4</v>
      </c>
      <c r="AV897" s="58">
        <v>120720</v>
      </c>
      <c r="AW897" s="58">
        <v>37</v>
      </c>
      <c r="AX897" s="58">
        <v>1427425.08</v>
      </c>
    </row>
    <row r="898" spans="1:50" x14ac:dyDescent="0.25">
      <c r="A898" s="52">
        <f t="shared" si="43"/>
        <v>893</v>
      </c>
      <c r="B898" s="60" t="str">
        <f t="shared" si="44"/>
        <v>008731941565</v>
      </c>
      <c r="C898" s="55" t="s">
        <v>32</v>
      </c>
      <c r="D898" s="53" t="s">
        <v>2125</v>
      </c>
      <c r="E898" s="55" t="s">
        <v>1597</v>
      </c>
      <c r="F898" s="53" t="s">
        <v>2126</v>
      </c>
      <c r="G898" s="55">
        <v>12008</v>
      </c>
      <c r="H898" s="53" t="s">
        <v>1657</v>
      </c>
      <c r="I898" s="55">
        <v>305213158</v>
      </c>
      <c r="J898" s="55" t="s">
        <v>1658</v>
      </c>
      <c r="K898" s="55" t="s">
        <v>1659</v>
      </c>
      <c r="L898" s="53" t="s">
        <v>2035</v>
      </c>
      <c r="M898" s="55" t="s">
        <v>75</v>
      </c>
      <c r="N898" s="52">
        <v>500000</v>
      </c>
      <c r="O898" s="52">
        <v>6033880000</v>
      </c>
      <c r="P898" s="52">
        <v>6033880000</v>
      </c>
      <c r="Q898" s="57">
        <v>45742</v>
      </c>
      <c r="R898" s="57">
        <v>46106</v>
      </c>
      <c r="S898" s="56">
        <v>7</v>
      </c>
      <c r="T898" s="54">
        <v>3</v>
      </c>
      <c r="U898" s="52">
        <v>1355401621.98</v>
      </c>
      <c r="V898" s="52">
        <v>1355401621.98</v>
      </c>
      <c r="W898" s="52">
        <v>0</v>
      </c>
      <c r="X898" s="57"/>
      <c r="Y898" s="52">
        <v>0</v>
      </c>
      <c r="Z898" s="52">
        <v>0</v>
      </c>
      <c r="AA898" s="52">
        <v>1</v>
      </c>
      <c r="AB898" s="52">
        <v>0</v>
      </c>
      <c r="AC898" s="52">
        <v>6758423.3899999997</v>
      </c>
      <c r="AD898" s="52">
        <v>6758423.3899999997</v>
      </c>
      <c r="AE898" s="52">
        <v>0</v>
      </c>
      <c r="AF898" s="52">
        <v>0</v>
      </c>
      <c r="AG898" s="52">
        <v>0</v>
      </c>
      <c r="AH898" s="52">
        <v>0</v>
      </c>
      <c r="AI898" s="52">
        <v>0</v>
      </c>
      <c r="AJ898" s="52">
        <v>2</v>
      </c>
      <c r="AK898" s="52"/>
      <c r="AL898" s="52">
        <v>0</v>
      </c>
      <c r="AM898" s="52">
        <v>0</v>
      </c>
      <c r="AN898" s="52">
        <v>8187500000</v>
      </c>
      <c r="AO898" s="52">
        <v>1325932130649</v>
      </c>
      <c r="AP898" s="52">
        <v>1325932130649</v>
      </c>
      <c r="AQ898" s="58">
        <v>115</v>
      </c>
      <c r="AR898" s="58">
        <v>1446594.5599999998</v>
      </c>
      <c r="AS898" s="58">
        <v>1</v>
      </c>
      <c r="AT898" s="58">
        <v>9570</v>
      </c>
      <c r="AU898" s="58">
        <v>70</v>
      </c>
      <c r="AV898" s="58">
        <v>2629085.04</v>
      </c>
      <c r="AW898" s="58">
        <v>15</v>
      </c>
      <c r="AX898" s="58">
        <v>606640</v>
      </c>
    </row>
    <row r="899" spans="1:50" x14ac:dyDescent="0.25">
      <c r="A899" s="52">
        <f t="shared" si="43"/>
        <v>894</v>
      </c>
      <c r="B899" s="60" t="str">
        <f t="shared" si="44"/>
        <v>008731708298</v>
      </c>
      <c r="C899" s="55" t="s">
        <v>32</v>
      </c>
      <c r="D899" s="53" t="s">
        <v>2125</v>
      </c>
      <c r="E899" s="55" t="s">
        <v>1597</v>
      </c>
      <c r="F899" s="53" t="s">
        <v>2126</v>
      </c>
      <c r="G899" s="55">
        <v>12008</v>
      </c>
      <c r="H899" s="53" t="s">
        <v>2622</v>
      </c>
      <c r="I899" s="55">
        <v>300989010</v>
      </c>
      <c r="J899" s="55" t="s">
        <v>1660</v>
      </c>
      <c r="K899" s="55" t="s">
        <v>1661</v>
      </c>
      <c r="L899" s="53" t="s">
        <v>2035</v>
      </c>
      <c r="M899" s="55" t="s">
        <v>75</v>
      </c>
      <c r="N899" s="52">
        <v>112200</v>
      </c>
      <c r="O899" s="52">
        <v>1354002672</v>
      </c>
      <c r="P899" s="52">
        <v>1354002672</v>
      </c>
      <c r="Q899" s="57">
        <v>45156</v>
      </c>
      <c r="R899" s="57">
        <v>46966</v>
      </c>
      <c r="S899" s="56">
        <v>14</v>
      </c>
      <c r="T899" s="54">
        <v>12</v>
      </c>
      <c r="U899" s="52">
        <v>883977283.75</v>
      </c>
      <c r="V899" s="52">
        <v>883977283.75</v>
      </c>
      <c r="W899" s="52">
        <v>0</v>
      </c>
      <c r="X899" s="57"/>
      <c r="Y899" s="52">
        <v>0</v>
      </c>
      <c r="Z899" s="52">
        <v>0</v>
      </c>
      <c r="AA899" s="52">
        <v>1</v>
      </c>
      <c r="AB899" s="52">
        <v>0</v>
      </c>
      <c r="AC899" s="52">
        <v>8937914.5999999996</v>
      </c>
      <c r="AD899" s="52">
        <v>8937914.5999999996</v>
      </c>
      <c r="AE899" s="52">
        <v>0</v>
      </c>
      <c r="AF899" s="52">
        <v>0</v>
      </c>
      <c r="AG899" s="52">
        <v>0</v>
      </c>
      <c r="AH899" s="52">
        <v>0</v>
      </c>
      <c r="AI899" s="52">
        <v>0</v>
      </c>
      <c r="AJ899" s="52">
        <v>2</v>
      </c>
      <c r="AK899" s="52"/>
      <c r="AL899" s="52">
        <v>0</v>
      </c>
      <c r="AM899" s="52">
        <v>0</v>
      </c>
      <c r="AN899" s="52">
        <v>169087009783</v>
      </c>
      <c r="AO899" s="52">
        <v>10161048747231</v>
      </c>
      <c r="AP899" s="52">
        <v>10161048747231</v>
      </c>
      <c r="AQ899" s="58">
        <v>17</v>
      </c>
      <c r="AR899" s="58">
        <v>270893</v>
      </c>
      <c r="AS899" s="58">
        <v>112</v>
      </c>
      <c r="AT899" s="58">
        <v>2185812.1899999995</v>
      </c>
      <c r="AU899" s="58">
        <v>213</v>
      </c>
      <c r="AV899" s="58">
        <v>2871719.71</v>
      </c>
      <c r="AW899" s="58">
        <v>381</v>
      </c>
      <c r="AX899" s="58">
        <v>27408777.770000007</v>
      </c>
    </row>
    <row r="900" spans="1:50" x14ac:dyDescent="0.25">
      <c r="A900" s="52">
        <f t="shared" si="43"/>
        <v>895</v>
      </c>
      <c r="B900" s="60" t="str">
        <f t="shared" si="44"/>
        <v>008731908581</v>
      </c>
      <c r="C900" s="55" t="s">
        <v>32</v>
      </c>
      <c r="D900" s="53" t="s">
        <v>2125</v>
      </c>
      <c r="E900" s="55" t="s">
        <v>1597</v>
      </c>
      <c r="F900" s="53" t="s">
        <v>2126</v>
      </c>
      <c r="G900" s="55">
        <v>12008</v>
      </c>
      <c r="H900" s="53" t="s">
        <v>2624</v>
      </c>
      <c r="I900" s="55">
        <v>304938442</v>
      </c>
      <c r="J900" s="55" t="s">
        <v>1662</v>
      </c>
      <c r="K900" s="55" t="s">
        <v>1663</v>
      </c>
      <c r="L900" s="53" t="s">
        <v>2035</v>
      </c>
      <c r="M900" s="55" t="s">
        <v>49</v>
      </c>
      <c r="N900" s="52">
        <v>1275000000</v>
      </c>
      <c r="O900" s="52">
        <v>1275000000</v>
      </c>
      <c r="P900" s="52">
        <v>1275000000</v>
      </c>
      <c r="Q900" s="57">
        <v>45567</v>
      </c>
      <c r="R900" s="57">
        <v>46654</v>
      </c>
      <c r="S900" s="56">
        <v>14</v>
      </c>
      <c r="T900" s="54">
        <v>6</v>
      </c>
      <c r="U900" s="52">
        <v>850000000</v>
      </c>
      <c r="V900" s="52">
        <v>850000000</v>
      </c>
      <c r="W900" s="52">
        <v>0</v>
      </c>
      <c r="X900" s="57"/>
      <c r="Y900" s="52">
        <v>0</v>
      </c>
      <c r="Z900" s="52">
        <v>0</v>
      </c>
      <c r="AA900" s="52">
        <v>1</v>
      </c>
      <c r="AB900" s="52">
        <v>0</v>
      </c>
      <c r="AC900" s="52">
        <v>8476712.3200000003</v>
      </c>
      <c r="AD900" s="52">
        <v>8476712.3200000003</v>
      </c>
      <c r="AE900" s="52">
        <v>0</v>
      </c>
      <c r="AF900" s="52">
        <v>0</v>
      </c>
      <c r="AG900" s="52">
        <v>0</v>
      </c>
      <c r="AH900" s="52">
        <v>0</v>
      </c>
      <c r="AI900" s="52">
        <v>0</v>
      </c>
      <c r="AJ900" s="52">
        <v>2</v>
      </c>
      <c r="AK900" s="52"/>
      <c r="AL900" s="52">
        <v>2179885717</v>
      </c>
      <c r="AM900" s="52">
        <v>2179885717</v>
      </c>
      <c r="AN900" s="52">
        <v>1643750000</v>
      </c>
      <c r="AO900" s="52">
        <v>121484704913</v>
      </c>
      <c r="AP900" s="52">
        <v>121484704913</v>
      </c>
      <c r="AQ900" s="58">
        <v>0</v>
      </c>
      <c r="AR900" s="58">
        <v>0</v>
      </c>
      <c r="AS900" s="58">
        <v>0</v>
      </c>
      <c r="AT900" s="58">
        <v>0</v>
      </c>
      <c r="AU900" s="58">
        <v>0</v>
      </c>
      <c r="AV900" s="58">
        <v>0</v>
      </c>
      <c r="AW900" s="58">
        <v>0</v>
      </c>
      <c r="AX900" s="58">
        <v>0</v>
      </c>
    </row>
    <row r="901" spans="1:50" x14ac:dyDescent="0.25">
      <c r="A901" s="52">
        <f t="shared" si="43"/>
        <v>896</v>
      </c>
      <c r="B901" s="60" t="str">
        <f t="shared" si="44"/>
        <v>008731953657</v>
      </c>
      <c r="C901" s="55" t="s">
        <v>32</v>
      </c>
      <c r="D901" s="53" t="s">
        <v>2125</v>
      </c>
      <c r="E901" s="55" t="s">
        <v>1597</v>
      </c>
      <c r="F901" s="53" t="s">
        <v>2126</v>
      </c>
      <c r="G901" s="55">
        <v>12008</v>
      </c>
      <c r="H901" s="53" t="s">
        <v>2619</v>
      </c>
      <c r="I901" s="55">
        <v>300946095</v>
      </c>
      <c r="J901" s="55" t="s">
        <v>1664</v>
      </c>
      <c r="K901" s="55" t="s">
        <v>1665</v>
      </c>
      <c r="L901" s="53" t="s">
        <v>2035</v>
      </c>
      <c r="M901" s="55" t="s">
        <v>75</v>
      </c>
      <c r="N901" s="52">
        <v>200000</v>
      </c>
      <c r="O901" s="52">
        <v>2413552000</v>
      </c>
      <c r="P901" s="52">
        <v>2413552000</v>
      </c>
      <c r="Q901" s="57">
        <v>45755</v>
      </c>
      <c r="R901" s="57">
        <v>46118</v>
      </c>
      <c r="S901" s="56">
        <v>7</v>
      </c>
      <c r="T901" s="54">
        <v>3</v>
      </c>
      <c r="U901" s="52">
        <v>813216404.20000005</v>
      </c>
      <c r="V901" s="52">
        <v>813216404.20000005</v>
      </c>
      <c r="W901" s="52">
        <v>0</v>
      </c>
      <c r="X901" s="57"/>
      <c r="Y901" s="52">
        <v>0</v>
      </c>
      <c r="Z901" s="52">
        <v>0</v>
      </c>
      <c r="AA901" s="52">
        <v>1</v>
      </c>
      <c r="AB901" s="52">
        <v>0</v>
      </c>
      <c r="AC901" s="52">
        <v>3898954.35</v>
      </c>
      <c r="AD901" s="52">
        <v>3898954.35</v>
      </c>
      <c r="AE901" s="52">
        <v>0</v>
      </c>
      <c r="AF901" s="52">
        <v>0</v>
      </c>
      <c r="AG901" s="52">
        <v>0</v>
      </c>
      <c r="AH901" s="52">
        <v>0</v>
      </c>
      <c r="AI901" s="52">
        <v>0</v>
      </c>
      <c r="AJ901" s="52">
        <v>2</v>
      </c>
      <c r="AK901" s="52"/>
      <c r="AL901" s="52">
        <v>0</v>
      </c>
      <c r="AM901" s="52">
        <v>0</v>
      </c>
      <c r="AN901" s="52">
        <v>3356250000</v>
      </c>
      <c r="AO901" s="52">
        <v>1458259264059</v>
      </c>
      <c r="AP901" s="52">
        <v>1458259264059</v>
      </c>
      <c r="AQ901" s="58">
        <v>121</v>
      </c>
      <c r="AR901" s="58">
        <v>1998905</v>
      </c>
      <c r="AS901" s="58">
        <v>126</v>
      </c>
      <c r="AT901" s="58">
        <v>1913792.1900000002</v>
      </c>
      <c r="AU901" s="58">
        <v>218</v>
      </c>
      <c r="AV901" s="58">
        <v>5312785.55</v>
      </c>
      <c r="AW901" s="58">
        <v>302</v>
      </c>
      <c r="AX901" s="58">
        <v>84760204.139999986</v>
      </c>
    </row>
    <row r="902" spans="1:50" x14ac:dyDescent="0.25">
      <c r="A902" s="52">
        <f t="shared" si="43"/>
        <v>897</v>
      </c>
      <c r="B902" s="60" t="str">
        <f t="shared" si="44"/>
        <v>008731622688</v>
      </c>
      <c r="C902" s="55" t="s">
        <v>32</v>
      </c>
      <c r="D902" s="53" t="s">
        <v>2125</v>
      </c>
      <c r="E902" s="55" t="s">
        <v>1597</v>
      </c>
      <c r="F902" s="53" t="s">
        <v>2126</v>
      </c>
      <c r="G902" s="55">
        <v>12008</v>
      </c>
      <c r="H902" s="53" t="s">
        <v>2619</v>
      </c>
      <c r="I902" s="55">
        <v>300946095</v>
      </c>
      <c r="J902" s="55" t="s">
        <v>1666</v>
      </c>
      <c r="K902" s="55" t="s">
        <v>1667</v>
      </c>
      <c r="L902" s="53" t="s">
        <v>2035</v>
      </c>
      <c r="M902" s="55" t="s">
        <v>75</v>
      </c>
      <c r="N902" s="52">
        <v>124100</v>
      </c>
      <c r="O902" s="52">
        <v>1497609016</v>
      </c>
      <c r="P902" s="52">
        <v>1497609016</v>
      </c>
      <c r="Q902" s="57">
        <v>44792</v>
      </c>
      <c r="R902" s="57">
        <v>46574</v>
      </c>
      <c r="S902" s="56">
        <v>12</v>
      </c>
      <c r="T902" s="54">
        <v>18</v>
      </c>
      <c r="U902" s="52">
        <v>567502132</v>
      </c>
      <c r="V902" s="52">
        <v>567502132</v>
      </c>
      <c r="W902" s="52">
        <v>0</v>
      </c>
      <c r="X902" s="57"/>
      <c r="Y902" s="52">
        <v>0</v>
      </c>
      <c r="Z902" s="52">
        <v>0</v>
      </c>
      <c r="AA902" s="52">
        <v>1</v>
      </c>
      <c r="AB902" s="52">
        <v>0</v>
      </c>
      <c r="AC902" s="52">
        <v>4918433.1399999997</v>
      </c>
      <c r="AD902" s="52">
        <v>4918433.1399999997</v>
      </c>
      <c r="AE902" s="52">
        <v>0</v>
      </c>
      <c r="AF902" s="52">
        <v>0</v>
      </c>
      <c r="AG902" s="52">
        <v>0</v>
      </c>
      <c r="AH902" s="52">
        <v>0</v>
      </c>
      <c r="AI902" s="52">
        <v>0</v>
      </c>
      <c r="AJ902" s="52">
        <v>2</v>
      </c>
      <c r="AK902" s="52"/>
      <c r="AL902" s="52">
        <v>0</v>
      </c>
      <c r="AM902" s="52">
        <v>0</v>
      </c>
      <c r="AN902" s="52">
        <v>2055420000</v>
      </c>
      <c r="AO902" s="52">
        <v>1458259264059</v>
      </c>
      <c r="AP902" s="52">
        <v>1458259264059</v>
      </c>
      <c r="AQ902" s="58">
        <v>121</v>
      </c>
      <c r="AR902" s="58">
        <v>1998905</v>
      </c>
      <c r="AS902" s="58">
        <v>126</v>
      </c>
      <c r="AT902" s="58">
        <v>1913792.1900000002</v>
      </c>
      <c r="AU902" s="58">
        <v>218</v>
      </c>
      <c r="AV902" s="58">
        <v>5312785.55</v>
      </c>
      <c r="AW902" s="58">
        <v>302</v>
      </c>
      <c r="AX902" s="58">
        <v>84760204.139999986</v>
      </c>
    </row>
    <row r="903" spans="1:50" x14ac:dyDescent="0.25">
      <c r="A903" s="52">
        <f t="shared" si="43"/>
        <v>898</v>
      </c>
      <c r="B903" s="60" t="str">
        <f t="shared" si="44"/>
        <v>008732027758</v>
      </c>
      <c r="C903" s="55" t="s">
        <v>32</v>
      </c>
      <c r="D903" s="53" t="s">
        <v>2125</v>
      </c>
      <c r="E903" s="55" t="s">
        <v>1597</v>
      </c>
      <c r="F903" s="53" t="s">
        <v>2126</v>
      </c>
      <c r="G903" s="55">
        <v>12008</v>
      </c>
      <c r="H903" s="53" t="s">
        <v>2614</v>
      </c>
      <c r="I903" s="55">
        <v>306893515</v>
      </c>
      <c r="J903" s="55" t="s">
        <v>1668</v>
      </c>
      <c r="K903" s="55" t="s">
        <v>1669</v>
      </c>
      <c r="L903" s="53" t="s">
        <v>2035</v>
      </c>
      <c r="M903" s="55" t="s">
        <v>75</v>
      </c>
      <c r="N903" s="52">
        <v>24000</v>
      </c>
      <c r="O903" s="52">
        <v>289626240</v>
      </c>
      <c r="P903" s="52">
        <v>289626240</v>
      </c>
      <c r="Q903" s="57">
        <v>45929</v>
      </c>
      <c r="R903" s="57">
        <v>46293</v>
      </c>
      <c r="S903" s="56">
        <v>13.38</v>
      </c>
      <c r="T903" s="54">
        <v>3</v>
      </c>
      <c r="U903" s="52">
        <v>260243400.30000001</v>
      </c>
      <c r="V903" s="52">
        <v>260243400.30000001</v>
      </c>
      <c r="W903" s="52">
        <v>0</v>
      </c>
      <c r="X903" s="57"/>
      <c r="Y903" s="52">
        <v>0</v>
      </c>
      <c r="Z903" s="52">
        <v>0</v>
      </c>
      <c r="AA903" s="52">
        <v>1</v>
      </c>
      <c r="AB903" s="52">
        <v>0</v>
      </c>
      <c r="AC903" s="52">
        <v>2513990.5299999998</v>
      </c>
      <c r="AD903" s="52">
        <v>2513990.5299999998</v>
      </c>
      <c r="AE903" s="52">
        <v>0</v>
      </c>
      <c r="AF903" s="52">
        <v>0</v>
      </c>
      <c r="AG903" s="52">
        <v>0</v>
      </c>
      <c r="AH903" s="52">
        <v>0</v>
      </c>
      <c r="AI903" s="52">
        <v>0</v>
      </c>
      <c r="AJ903" s="52">
        <v>2</v>
      </c>
      <c r="AK903" s="52"/>
      <c r="AL903" s="52">
        <v>562230529633</v>
      </c>
      <c r="AM903" s="52">
        <v>562230529633</v>
      </c>
      <c r="AN903" s="52">
        <v>83137500000</v>
      </c>
      <c r="AO903" s="52">
        <v>1652515189929</v>
      </c>
      <c r="AP903" s="52">
        <v>1552515189929</v>
      </c>
      <c r="AQ903" s="58">
        <v>0</v>
      </c>
      <c r="AR903" s="58">
        <v>0</v>
      </c>
      <c r="AS903" s="58">
        <v>0</v>
      </c>
      <c r="AT903" s="58">
        <v>0</v>
      </c>
      <c r="AU903" s="58">
        <v>9</v>
      </c>
      <c r="AV903" s="58">
        <v>4165089.2</v>
      </c>
      <c r="AW903" s="58">
        <v>7</v>
      </c>
      <c r="AX903" s="58">
        <v>2166184</v>
      </c>
    </row>
    <row r="904" spans="1:50" x14ac:dyDescent="0.25">
      <c r="A904" s="52">
        <f t="shared" ref="A904:A967" si="45">+A903+1</f>
        <v>899</v>
      </c>
      <c r="B904" s="60" t="str">
        <f t="shared" si="44"/>
        <v>008732027777</v>
      </c>
      <c r="C904" s="55" t="s">
        <v>32</v>
      </c>
      <c r="D904" s="53" t="s">
        <v>2125</v>
      </c>
      <c r="E904" s="55" t="s">
        <v>1597</v>
      </c>
      <c r="F904" s="53" t="s">
        <v>2126</v>
      </c>
      <c r="G904" s="55">
        <v>12008</v>
      </c>
      <c r="H904" s="53" t="s">
        <v>2614</v>
      </c>
      <c r="I904" s="55">
        <v>306893515</v>
      </c>
      <c r="J904" s="55" t="s">
        <v>1670</v>
      </c>
      <c r="K904" s="55" t="s">
        <v>1671</v>
      </c>
      <c r="L904" s="53" t="s">
        <v>2035</v>
      </c>
      <c r="M904" s="55" t="s">
        <v>75</v>
      </c>
      <c r="N904" s="52">
        <v>24000</v>
      </c>
      <c r="O904" s="52">
        <v>289626240</v>
      </c>
      <c r="P904" s="52">
        <v>289626240</v>
      </c>
      <c r="Q904" s="57">
        <v>45929</v>
      </c>
      <c r="R904" s="57">
        <v>46293</v>
      </c>
      <c r="S904" s="56">
        <v>13.38</v>
      </c>
      <c r="T904" s="54">
        <v>3</v>
      </c>
      <c r="U904" s="52">
        <v>260243400.30000001</v>
      </c>
      <c r="V904" s="52">
        <v>260243400.30000001</v>
      </c>
      <c r="W904" s="52">
        <v>0</v>
      </c>
      <c r="X904" s="57"/>
      <c r="Y904" s="52">
        <v>0</v>
      </c>
      <c r="Z904" s="52">
        <v>0</v>
      </c>
      <c r="AA904" s="52">
        <v>1</v>
      </c>
      <c r="AB904" s="52">
        <v>0</v>
      </c>
      <c r="AC904" s="52">
        <v>2513990.5299999998</v>
      </c>
      <c r="AD904" s="52">
        <v>2513990.5299999998</v>
      </c>
      <c r="AE904" s="52">
        <v>0</v>
      </c>
      <c r="AF904" s="52">
        <v>0</v>
      </c>
      <c r="AG904" s="52">
        <v>0</v>
      </c>
      <c r="AH904" s="52">
        <v>0</v>
      </c>
      <c r="AI904" s="52">
        <v>0</v>
      </c>
      <c r="AJ904" s="52">
        <v>2</v>
      </c>
      <c r="AK904" s="52"/>
      <c r="AL904" s="52">
        <v>562230529633</v>
      </c>
      <c r="AM904" s="52">
        <v>562230529633</v>
      </c>
      <c r="AN904" s="52">
        <v>83137500000</v>
      </c>
      <c r="AO904" s="52">
        <v>1652515189929</v>
      </c>
      <c r="AP904" s="52">
        <v>1552515189929</v>
      </c>
      <c r="AQ904" s="58">
        <v>0</v>
      </c>
      <c r="AR904" s="58">
        <v>0</v>
      </c>
      <c r="AS904" s="58">
        <v>0</v>
      </c>
      <c r="AT904" s="58">
        <v>0</v>
      </c>
      <c r="AU904" s="58">
        <v>9</v>
      </c>
      <c r="AV904" s="58">
        <v>4165089.2</v>
      </c>
      <c r="AW904" s="58">
        <v>7</v>
      </c>
      <c r="AX904" s="58">
        <v>2166184</v>
      </c>
    </row>
    <row r="905" spans="1:50" x14ac:dyDescent="0.25">
      <c r="A905" s="52">
        <f t="shared" si="45"/>
        <v>900</v>
      </c>
      <c r="B905" s="60" t="str">
        <f t="shared" si="44"/>
        <v>008732027849</v>
      </c>
      <c r="C905" s="55" t="s">
        <v>32</v>
      </c>
      <c r="D905" s="53" t="s">
        <v>2125</v>
      </c>
      <c r="E905" s="55" t="s">
        <v>1597</v>
      </c>
      <c r="F905" s="53" t="s">
        <v>2126</v>
      </c>
      <c r="G905" s="55">
        <v>12008</v>
      </c>
      <c r="H905" s="53" t="s">
        <v>2614</v>
      </c>
      <c r="I905" s="55">
        <v>306893515</v>
      </c>
      <c r="J905" s="55" t="s">
        <v>1672</v>
      </c>
      <c r="K905" s="55" t="s">
        <v>1673</v>
      </c>
      <c r="L905" s="53" t="s">
        <v>2035</v>
      </c>
      <c r="M905" s="55" t="s">
        <v>75</v>
      </c>
      <c r="N905" s="52">
        <v>24000</v>
      </c>
      <c r="O905" s="52">
        <v>289626240</v>
      </c>
      <c r="P905" s="52">
        <v>289626240</v>
      </c>
      <c r="Q905" s="57">
        <v>45929</v>
      </c>
      <c r="R905" s="57">
        <v>46293</v>
      </c>
      <c r="S905" s="56">
        <v>13.38</v>
      </c>
      <c r="T905" s="54">
        <v>3</v>
      </c>
      <c r="U905" s="52">
        <v>260243400.30000001</v>
      </c>
      <c r="V905" s="52">
        <v>260243400.30000001</v>
      </c>
      <c r="W905" s="52">
        <v>0</v>
      </c>
      <c r="X905" s="57"/>
      <c r="Y905" s="52">
        <v>0</v>
      </c>
      <c r="Z905" s="52">
        <v>0</v>
      </c>
      <c r="AA905" s="52">
        <v>1</v>
      </c>
      <c r="AB905" s="52">
        <v>0</v>
      </c>
      <c r="AC905" s="52">
        <v>2513990.5299999998</v>
      </c>
      <c r="AD905" s="52">
        <v>2513990.5299999998</v>
      </c>
      <c r="AE905" s="52">
        <v>0</v>
      </c>
      <c r="AF905" s="52">
        <v>0</v>
      </c>
      <c r="AG905" s="52">
        <v>0</v>
      </c>
      <c r="AH905" s="52">
        <v>0</v>
      </c>
      <c r="AI905" s="52">
        <v>0</v>
      </c>
      <c r="AJ905" s="52">
        <v>2</v>
      </c>
      <c r="AK905" s="52"/>
      <c r="AL905" s="52">
        <v>562230529633</v>
      </c>
      <c r="AM905" s="52">
        <v>562230529633</v>
      </c>
      <c r="AN905" s="52">
        <v>83137500000</v>
      </c>
      <c r="AO905" s="52">
        <v>1652515189929</v>
      </c>
      <c r="AP905" s="52">
        <v>1552515189929</v>
      </c>
      <c r="AQ905" s="58">
        <v>0</v>
      </c>
      <c r="AR905" s="58">
        <v>0</v>
      </c>
      <c r="AS905" s="58">
        <v>0</v>
      </c>
      <c r="AT905" s="58">
        <v>0</v>
      </c>
      <c r="AU905" s="58">
        <v>9</v>
      </c>
      <c r="AV905" s="58">
        <v>4165089.2</v>
      </c>
      <c r="AW905" s="58">
        <v>7</v>
      </c>
      <c r="AX905" s="58">
        <v>2166184</v>
      </c>
    </row>
    <row r="906" spans="1:50" x14ac:dyDescent="0.25">
      <c r="A906" s="52">
        <f t="shared" si="45"/>
        <v>901</v>
      </c>
      <c r="B906" s="60" t="str">
        <f t="shared" si="44"/>
        <v>008732027887</v>
      </c>
      <c r="C906" s="55" t="s">
        <v>32</v>
      </c>
      <c r="D906" s="53" t="s">
        <v>2125</v>
      </c>
      <c r="E906" s="55" t="s">
        <v>1597</v>
      </c>
      <c r="F906" s="53" t="s">
        <v>2126</v>
      </c>
      <c r="G906" s="55">
        <v>12008</v>
      </c>
      <c r="H906" s="53" t="s">
        <v>2614</v>
      </c>
      <c r="I906" s="55">
        <v>306893515</v>
      </c>
      <c r="J906" s="55">
        <v>2027887</v>
      </c>
      <c r="K906" s="55" t="s">
        <v>1674</v>
      </c>
      <c r="L906" s="53" t="s">
        <v>2035</v>
      </c>
      <c r="M906" s="55" t="s">
        <v>75</v>
      </c>
      <c r="N906" s="52">
        <v>24000</v>
      </c>
      <c r="O906" s="52">
        <v>289626240</v>
      </c>
      <c r="P906" s="52">
        <v>289626240</v>
      </c>
      <c r="Q906" s="57">
        <v>45929</v>
      </c>
      <c r="R906" s="57">
        <v>46293</v>
      </c>
      <c r="S906" s="56">
        <v>13.38</v>
      </c>
      <c r="T906" s="54">
        <v>3</v>
      </c>
      <c r="U906" s="52">
        <v>260243400.30000001</v>
      </c>
      <c r="V906" s="52">
        <v>260243400.30000001</v>
      </c>
      <c r="W906" s="52">
        <v>0</v>
      </c>
      <c r="X906" s="57"/>
      <c r="Y906" s="52">
        <v>0</v>
      </c>
      <c r="Z906" s="52">
        <v>0</v>
      </c>
      <c r="AA906" s="52">
        <v>1</v>
      </c>
      <c r="AB906" s="52">
        <v>0</v>
      </c>
      <c r="AC906" s="52">
        <v>2513990.5299999998</v>
      </c>
      <c r="AD906" s="52">
        <v>2513990.5299999998</v>
      </c>
      <c r="AE906" s="52">
        <v>0</v>
      </c>
      <c r="AF906" s="52">
        <v>0</v>
      </c>
      <c r="AG906" s="52">
        <v>0</v>
      </c>
      <c r="AH906" s="52">
        <v>0</v>
      </c>
      <c r="AI906" s="52">
        <v>0</v>
      </c>
      <c r="AJ906" s="52">
        <v>2</v>
      </c>
      <c r="AK906" s="52"/>
      <c r="AL906" s="52">
        <v>562230529633</v>
      </c>
      <c r="AM906" s="52">
        <v>562230529633</v>
      </c>
      <c r="AN906" s="52">
        <v>83137500000</v>
      </c>
      <c r="AO906" s="52">
        <v>1652515189929</v>
      </c>
      <c r="AP906" s="52">
        <v>1552515189929</v>
      </c>
      <c r="AQ906" s="58">
        <v>0</v>
      </c>
      <c r="AR906" s="58">
        <v>0</v>
      </c>
      <c r="AS906" s="58">
        <v>0</v>
      </c>
      <c r="AT906" s="58">
        <v>0</v>
      </c>
      <c r="AU906" s="58">
        <v>9</v>
      </c>
      <c r="AV906" s="58">
        <v>4165089.2</v>
      </c>
      <c r="AW906" s="58">
        <v>7</v>
      </c>
      <c r="AX906" s="58">
        <v>2166184</v>
      </c>
    </row>
    <row r="907" spans="1:50" x14ac:dyDescent="0.25">
      <c r="A907" s="52">
        <f t="shared" si="45"/>
        <v>902</v>
      </c>
      <c r="B907" s="60" t="str">
        <f t="shared" si="44"/>
        <v>008731940300</v>
      </c>
      <c r="C907" s="55" t="s">
        <v>32</v>
      </c>
      <c r="D907" s="53" t="s">
        <v>2125</v>
      </c>
      <c r="E907" s="55" t="s">
        <v>1597</v>
      </c>
      <c r="F907" s="53" t="s">
        <v>2126</v>
      </c>
      <c r="G907" s="55">
        <v>12008</v>
      </c>
      <c r="H907" s="53" t="s">
        <v>1642</v>
      </c>
      <c r="I907" s="55">
        <v>311225204</v>
      </c>
      <c r="J907" s="55">
        <v>1940300</v>
      </c>
      <c r="K907" s="55" t="s">
        <v>1675</v>
      </c>
      <c r="L907" s="53" t="s">
        <v>2035</v>
      </c>
      <c r="M907" s="55" t="s">
        <v>49</v>
      </c>
      <c r="N907" s="52">
        <v>262000000</v>
      </c>
      <c r="O907" s="52">
        <v>262000000</v>
      </c>
      <c r="P907" s="52">
        <v>262000000</v>
      </c>
      <c r="Q907" s="57">
        <v>45701</v>
      </c>
      <c r="R907" s="57">
        <v>47152</v>
      </c>
      <c r="S907" s="56">
        <v>28</v>
      </c>
      <c r="T907" s="54">
        <v>6</v>
      </c>
      <c r="U907" s="52">
        <v>230809525</v>
      </c>
      <c r="V907" s="52">
        <v>230809525</v>
      </c>
      <c r="W907" s="52">
        <v>0</v>
      </c>
      <c r="X907" s="57"/>
      <c r="Y907" s="52">
        <v>0</v>
      </c>
      <c r="Z907" s="52">
        <v>0</v>
      </c>
      <c r="AA907" s="52">
        <v>1</v>
      </c>
      <c r="AB907" s="52">
        <v>0</v>
      </c>
      <c r="AC907" s="52">
        <v>3541187.23</v>
      </c>
      <c r="AD907" s="52">
        <v>3541187.23</v>
      </c>
      <c r="AE907" s="52">
        <v>0</v>
      </c>
      <c r="AF907" s="52">
        <v>0</v>
      </c>
      <c r="AG907" s="52">
        <v>0</v>
      </c>
      <c r="AH907" s="52">
        <v>0</v>
      </c>
      <c r="AI907" s="52">
        <v>0</v>
      </c>
      <c r="AJ907" s="52">
        <v>2</v>
      </c>
      <c r="AK907" s="52"/>
      <c r="AL907" s="52">
        <v>0</v>
      </c>
      <c r="AM907" s="52">
        <v>0</v>
      </c>
      <c r="AN907" s="52">
        <v>327500000</v>
      </c>
      <c r="AO907" s="52">
        <v>1101042409302</v>
      </c>
      <c r="AP907" s="52">
        <v>1101042409302</v>
      </c>
      <c r="AQ907" s="58">
        <v>0</v>
      </c>
      <c r="AR907" s="58">
        <v>0</v>
      </c>
      <c r="AS907" s="58">
        <v>0</v>
      </c>
      <c r="AT907" s="58">
        <v>0</v>
      </c>
      <c r="AU907" s="58">
        <v>0</v>
      </c>
      <c r="AV907" s="58">
        <v>0</v>
      </c>
      <c r="AW907" s="58">
        <v>0</v>
      </c>
      <c r="AX907" s="58">
        <v>0</v>
      </c>
    </row>
    <row r="908" spans="1:50" x14ac:dyDescent="0.25">
      <c r="A908" s="52">
        <f t="shared" si="45"/>
        <v>903</v>
      </c>
      <c r="B908" s="60" t="str">
        <f t="shared" si="44"/>
        <v>0108163797</v>
      </c>
      <c r="C908" s="55" t="s">
        <v>36</v>
      </c>
      <c r="D908" s="53" t="s">
        <v>2146</v>
      </c>
      <c r="E908" s="55" t="s">
        <v>10</v>
      </c>
      <c r="F908" s="53" t="s">
        <v>2147</v>
      </c>
      <c r="G908" s="55" t="s">
        <v>10</v>
      </c>
      <c r="H908" s="53" t="s">
        <v>2625</v>
      </c>
      <c r="I908" s="55">
        <v>312372719</v>
      </c>
      <c r="J908" s="55" t="s">
        <v>1676</v>
      </c>
      <c r="K908" s="55" t="s">
        <v>1677</v>
      </c>
      <c r="L908" s="53" t="s">
        <v>2079</v>
      </c>
      <c r="M908" s="55" t="s">
        <v>49</v>
      </c>
      <c r="N908" s="52">
        <v>44996000000</v>
      </c>
      <c r="O908" s="52">
        <v>44996000000</v>
      </c>
      <c r="P908" s="52">
        <v>44996000000</v>
      </c>
      <c r="Q908" s="57">
        <v>45894</v>
      </c>
      <c r="R908" s="57">
        <v>46989</v>
      </c>
      <c r="S908" s="56">
        <v>22</v>
      </c>
      <c r="T908" s="54">
        <v>11</v>
      </c>
      <c r="U908" s="52">
        <v>44996000000</v>
      </c>
      <c r="V908" s="52">
        <v>44996000000</v>
      </c>
      <c r="W908" s="52">
        <v>0</v>
      </c>
      <c r="X908" s="57"/>
      <c r="Y908" s="52">
        <v>0</v>
      </c>
      <c r="Z908" s="52">
        <v>0</v>
      </c>
      <c r="AA908" s="52">
        <v>1</v>
      </c>
      <c r="AB908" s="52">
        <v>0</v>
      </c>
      <c r="AC908" s="52">
        <v>2061186630.1300001</v>
      </c>
      <c r="AD908" s="52">
        <v>2061186630.1300001</v>
      </c>
      <c r="AE908" s="52">
        <v>0</v>
      </c>
      <c r="AF908" s="52">
        <v>0</v>
      </c>
      <c r="AG908" s="52">
        <v>0</v>
      </c>
      <c r="AH908" s="52">
        <v>0</v>
      </c>
      <c r="AI908" s="52">
        <v>0</v>
      </c>
      <c r="AJ908" s="52">
        <v>2</v>
      </c>
      <c r="AK908" s="52"/>
      <c r="AL908" s="52">
        <v>0</v>
      </c>
      <c r="AM908" s="52">
        <v>0</v>
      </c>
      <c r="AN908" s="52">
        <v>56245000000</v>
      </c>
      <c r="AO908" s="52">
        <v>0</v>
      </c>
      <c r="AP908" s="52">
        <v>0</v>
      </c>
      <c r="AQ908" s="58">
        <v>0</v>
      </c>
      <c r="AR908" s="58">
        <v>0</v>
      </c>
      <c r="AS908" s="58">
        <v>0</v>
      </c>
      <c r="AT908" s="58">
        <v>0</v>
      </c>
      <c r="AU908" s="58">
        <v>0</v>
      </c>
      <c r="AV908" s="58">
        <v>0</v>
      </c>
      <c r="AW908" s="58">
        <v>0</v>
      </c>
      <c r="AX908" s="58">
        <v>0</v>
      </c>
    </row>
    <row r="909" spans="1:50" x14ac:dyDescent="0.25">
      <c r="A909" s="52">
        <f t="shared" si="45"/>
        <v>904</v>
      </c>
      <c r="B909" s="60" t="str">
        <f t="shared" si="44"/>
        <v>0108162631</v>
      </c>
      <c r="C909" s="55" t="s">
        <v>36</v>
      </c>
      <c r="D909" s="53" t="s">
        <v>2146</v>
      </c>
      <c r="E909" s="55" t="s">
        <v>10</v>
      </c>
      <c r="F909" s="53" t="s">
        <v>2147</v>
      </c>
      <c r="G909" s="55" t="s">
        <v>10</v>
      </c>
      <c r="H909" s="53" t="s">
        <v>2626</v>
      </c>
      <c r="I909" s="55">
        <v>311992074</v>
      </c>
      <c r="J909" s="55" t="s">
        <v>1678</v>
      </c>
      <c r="K909" s="55" t="s">
        <v>1679</v>
      </c>
      <c r="L909" s="53" t="s">
        <v>2079</v>
      </c>
      <c r="M909" s="55" t="s">
        <v>49</v>
      </c>
      <c r="N909" s="52">
        <v>42120000000</v>
      </c>
      <c r="O909" s="52">
        <v>42120000000</v>
      </c>
      <c r="P909" s="52">
        <v>42120000000</v>
      </c>
      <c r="Q909" s="57">
        <v>45736</v>
      </c>
      <c r="R909" s="57">
        <v>46829</v>
      </c>
      <c r="S909" s="56">
        <v>22</v>
      </c>
      <c r="T909" s="54">
        <v>11</v>
      </c>
      <c r="U909" s="52">
        <v>42120000000</v>
      </c>
      <c r="V909" s="52">
        <v>42120000000</v>
      </c>
      <c r="W909" s="52">
        <v>0</v>
      </c>
      <c r="X909" s="57"/>
      <c r="Y909" s="52">
        <v>0</v>
      </c>
      <c r="Z909" s="52">
        <v>0</v>
      </c>
      <c r="AA909" s="52">
        <v>1</v>
      </c>
      <c r="AB909" s="52">
        <v>0</v>
      </c>
      <c r="AC909" s="52">
        <v>2767226301.3699999</v>
      </c>
      <c r="AD909" s="52">
        <v>2767226301.3699999</v>
      </c>
      <c r="AE909" s="52">
        <v>0</v>
      </c>
      <c r="AF909" s="52">
        <v>0</v>
      </c>
      <c r="AG909" s="52">
        <v>0</v>
      </c>
      <c r="AH909" s="52">
        <v>0</v>
      </c>
      <c r="AI909" s="52">
        <v>0</v>
      </c>
      <c r="AJ909" s="52">
        <v>2</v>
      </c>
      <c r="AK909" s="52"/>
      <c r="AL909" s="52">
        <v>31372556333</v>
      </c>
      <c r="AM909" s="52">
        <v>0</v>
      </c>
      <c r="AN909" s="52">
        <v>52650000000</v>
      </c>
      <c r="AO909" s="52">
        <v>0</v>
      </c>
      <c r="AP909" s="52">
        <v>0</v>
      </c>
      <c r="AQ909" s="58">
        <v>0</v>
      </c>
      <c r="AR909" s="58">
        <v>0</v>
      </c>
      <c r="AS909" s="58">
        <v>0</v>
      </c>
      <c r="AT909" s="58">
        <v>0</v>
      </c>
      <c r="AU909" s="58">
        <v>0</v>
      </c>
      <c r="AV909" s="58">
        <v>0</v>
      </c>
      <c r="AW909" s="58">
        <v>0</v>
      </c>
      <c r="AX909" s="58">
        <v>0</v>
      </c>
    </row>
    <row r="910" spans="1:50" x14ac:dyDescent="0.25">
      <c r="A910" s="52">
        <f t="shared" si="45"/>
        <v>905</v>
      </c>
      <c r="B910" s="60" t="str">
        <f t="shared" si="44"/>
        <v>0108161894</v>
      </c>
      <c r="C910" s="55" t="s">
        <v>36</v>
      </c>
      <c r="D910" s="53" t="s">
        <v>2146</v>
      </c>
      <c r="E910" s="55" t="s">
        <v>10</v>
      </c>
      <c r="F910" s="53" t="s">
        <v>2147</v>
      </c>
      <c r="G910" s="55" t="s">
        <v>10</v>
      </c>
      <c r="H910" s="53" t="s">
        <v>2627</v>
      </c>
      <c r="I910" s="55">
        <v>311721054</v>
      </c>
      <c r="J910" s="55" t="s">
        <v>1680</v>
      </c>
      <c r="K910" s="55" t="s">
        <v>1681</v>
      </c>
      <c r="L910" s="53" t="s">
        <v>2079</v>
      </c>
      <c r="M910" s="55" t="s">
        <v>49</v>
      </c>
      <c r="N910" s="52">
        <v>44995500000</v>
      </c>
      <c r="O910" s="52">
        <v>44995500000</v>
      </c>
      <c r="P910" s="52">
        <v>44995500000</v>
      </c>
      <c r="Q910" s="57">
        <v>45607</v>
      </c>
      <c r="R910" s="57">
        <v>46701</v>
      </c>
      <c r="S910" s="56">
        <v>22</v>
      </c>
      <c r="T910" s="54">
        <v>11</v>
      </c>
      <c r="U910" s="52">
        <v>39996000000</v>
      </c>
      <c r="V910" s="52">
        <v>39996000000</v>
      </c>
      <c r="W910" s="52">
        <v>0</v>
      </c>
      <c r="X910" s="57"/>
      <c r="Y910" s="52">
        <v>0</v>
      </c>
      <c r="Z910" s="52">
        <v>0</v>
      </c>
      <c r="AA910" s="52">
        <v>1</v>
      </c>
      <c r="AB910" s="52">
        <v>0</v>
      </c>
      <c r="AC910" s="52">
        <v>2727124520.5500002</v>
      </c>
      <c r="AD910" s="52">
        <v>2727124520.5500002</v>
      </c>
      <c r="AE910" s="52">
        <v>0</v>
      </c>
      <c r="AF910" s="52">
        <v>0</v>
      </c>
      <c r="AG910" s="52">
        <v>0</v>
      </c>
      <c r="AH910" s="52">
        <v>0</v>
      </c>
      <c r="AI910" s="52">
        <v>0</v>
      </c>
      <c r="AJ910" s="52">
        <v>2</v>
      </c>
      <c r="AK910" s="52"/>
      <c r="AL910" s="52">
        <v>0</v>
      </c>
      <c r="AM910" s="52">
        <v>0</v>
      </c>
      <c r="AN910" s="52">
        <v>56244375000</v>
      </c>
      <c r="AO910" s="52">
        <v>0</v>
      </c>
      <c r="AP910" s="52">
        <v>0</v>
      </c>
      <c r="AQ910" s="58">
        <v>0</v>
      </c>
      <c r="AR910" s="58">
        <v>0</v>
      </c>
      <c r="AS910" s="58">
        <v>0</v>
      </c>
      <c r="AT910" s="58">
        <v>0</v>
      </c>
      <c r="AU910" s="58">
        <v>0</v>
      </c>
      <c r="AV910" s="58">
        <v>0</v>
      </c>
      <c r="AW910" s="58">
        <v>0</v>
      </c>
      <c r="AX910" s="58">
        <v>0</v>
      </c>
    </row>
    <row r="911" spans="1:50" x14ac:dyDescent="0.25">
      <c r="A911" s="52">
        <f t="shared" si="45"/>
        <v>906</v>
      </c>
      <c r="B911" s="60" t="str">
        <f t="shared" si="44"/>
        <v>0108163551</v>
      </c>
      <c r="C911" s="55" t="s">
        <v>36</v>
      </c>
      <c r="D911" s="53" t="s">
        <v>2146</v>
      </c>
      <c r="E911" s="55" t="s">
        <v>10</v>
      </c>
      <c r="F911" s="53" t="s">
        <v>2147</v>
      </c>
      <c r="G911" s="55" t="s">
        <v>10</v>
      </c>
      <c r="H911" s="53" t="s">
        <v>2628</v>
      </c>
      <c r="I911" s="55">
        <v>312310074</v>
      </c>
      <c r="J911" s="55" t="s">
        <v>1682</v>
      </c>
      <c r="K911" s="55" t="s">
        <v>1683</v>
      </c>
      <c r="L911" s="53" t="s">
        <v>2079</v>
      </c>
      <c r="M911" s="55" t="s">
        <v>49</v>
      </c>
      <c r="N911" s="52">
        <v>39200000000</v>
      </c>
      <c r="O911" s="52">
        <v>39200000000</v>
      </c>
      <c r="P911" s="52">
        <v>39200000000</v>
      </c>
      <c r="Q911" s="57">
        <v>45867</v>
      </c>
      <c r="R911" s="57">
        <v>46962</v>
      </c>
      <c r="S911" s="56">
        <v>22</v>
      </c>
      <c r="T911" s="54">
        <v>11</v>
      </c>
      <c r="U911" s="52">
        <v>39200000000</v>
      </c>
      <c r="V911" s="52">
        <v>39200000000</v>
      </c>
      <c r="W911" s="52">
        <v>0</v>
      </c>
      <c r="X911" s="57"/>
      <c r="Y911" s="52">
        <v>0</v>
      </c>
      <c r="Z911" s="52">
        <v>0</v>
      </c>
      <c r="AA911" s="52">
        <v>1</v>
      </c>
      <c r="AB911" s="52">
        <v>0</v>
      </c>
      <c r="AC911" s="52">
        <v>2575386301.3699999</v>
      </c>
      <c r="AD911" s="52">
        <v>2575386301.3699999</v>
      </c>
      <c r="AE911" s="52">
        <v>0</v>
      </c>
      <c r="AF911" s="52">
        <v>0</v>
      </c>
      <c r="AG911" s="52">
        <v>0</v>
      </c>
      <c r="AH911" s="52">
        <v>0</v>
      </c>
      <c r="AI911" s="52">
        <v>0</v>
      </c>
      <c r="AJ911" s="52">
        <v>2</v>
      </c>
      <c r="AK911" s="52"/>
      <c r="AL911" s="52">
        <v>31372556333</v>
      </c>
      <c r="AM911" s="52">
        <v>0</v>
      </c>
      <c r="AN911" s="52">
        <v>49000000000</v>
      </c>
      <c r="AO911" s="52">
        <v>0</v>
      </c>
      <c r="AP911" s="52">
        <v>0</v>
      </c>
      <c r="AQ911" s="58">
        <v>0</v>
      </c>
      <c r="AR911" s="58">
        <v>0</v>
      </c>
      <c r="AS911" s="58">
        <v>0</v>
      </c>
      <c r="AT911" s="58">
        <v>0</v>
      </c>
      <c r="AU911" s="58">
        <v>0</v>
      </c>
      <c r="AV911" s="58">
        <v>0</v>
      </c>
      <c r="AW911" s="58">
        <v>0</v>
      </c>
      <c r="AX911" s="58">
        <v>0</v>
      </c>
    </row>
    <row r="912" spans="1:50" x14ac:dyDescent="0.25">
      <c r="A912" s="52">
        <f t="shared" si="45"/>
        <v>907</v>
      </c>
      <c r="B912" s="60" t="str">
        <f t="shared" si="44"/>
        <v>0108162080</v>
      </c>
      <c r="C912" s="55" t="s">
        <v>36</v>
      </c>
      <c r="D912" s="53" t="s">
        <v>2146</v>
      </c>
      <c r="E912" s="55" t="s">
        <v>10</v>
      </c>
      <c r="F912" s="53" t="s">
        <v>2147</v>
      </c>
      <c r="G912" s="55" t="s">
        <v>10</v>
      </c>
      <c r="H912" s="53" t="s">
        <v>2629</v>
      </c>
      <c r="I912" s="55">
        <v>311772649</v>
      </c>
      <c r="J912" s="55" t="s">
        <v>1684</v>
      </c>
      <c r="K912" s="55" t="s">
        <v>1685</v>
      </c>
      <c r="L912" s="53" t="s">
        <v>2079</v>
      </c>
      <c r="M912" s="55" t="s">
        <v>49</v>
      </c>
      <c r="N912" s="52">
        <v>39757500000</v>
      </c>
      <c r="O912" s="52">
        <v>39757500000</v>
      </c>
      <c r="P912" s="52">
        <v>39757500000</v>
      </c>
      <c r="Q912" s="57">
        <v>45639</v>
      </c>
      <c r="R912" s="57">
        <v>46731</v>
      </c>
      <c r="S912" s="56">
        <v>22</v>
      </c>
      <c r="T912" s="54">
        <v>11</v>
      </c>
      <c r="U912" s="52">
        <v>35340000000</v>
      </c>
      <c r="V912" s="52">
        <v>35340000000</v>
      </c>
      <c r="W912" s="52">
        <v>0</v>
      </c>
      <c r="X912" s="57"/>
      <c r="Y912" s="52">
        <v>0</v>
      </c>
      <c r="Z912" s="52">
        <v>0</v>
      </c>
      <c r="AA912" s="52">
        <v>1</v>
      </c>
      <c r="AB912" s="52">
        <v>0</v>
      </c>
      <c r="AC912" s="52">
        <v>1693415342.47</v>
      </c>
      <c r="AD912" s="52">
        <v>1693415342.47</v>
      </c>
      <c r="AE912" s="52">
        <v>0</v>
      </c>
      <c r="AF912" s="52">
        <v>0</v>
      </c>
      <c r="AG912" s="52">
        <v>0</v>
      </c>
      <c r="AH912" s="52">
        <v>0</v>
      </c>
      <c r="AI912" s="52">
        <v>0</v>
      </c>
      <c r="AJ912" s="52">
        <v>2</v>
      </c>
      <c r="AK912" s="52"/>
      <c r="AL912" s="52">
        <v>574954644</v>
      </c>
      <c r="AM912" s="52">
        <v>0</v>
      </c>
      <c r="AN912" s="52">
        <v>49696875000</v>
      </c>
      <c r="AO912" s="52">
        <v>0</v>
      </c>
      <c r="AP912" s="52">
        <v>0</v>
      </c>
      <c r="AQ912" s="58">
        <v>0</v>
      </c>
      <c r="AR912" s="58">
        <v>0</v>
      </c>
      <c r="AS912" s="58">
        <v>0</v>
      </c>
      <c r="AT912" s="58">
        <v>0</v>
      </c>
      <c r="AU912" s="58">
        <v>0</v>
      </c>
      <c r="AV912" s="58">
        <v>0</v>
      </c>
      <c r="AW912" s="58">
        <v>0</v>
      </c>
      <c r="AX912" s="58">
        <v>0</v>
      </c>
    </row>
    <row r="913" spans="1:50" x14ac:dyDescent="0.25">
      <c r="A913" s="52">
        <f t="shared" si="45"/>
        <v>908</v>
      </c>
      <c r="B913" s="60" t="str">
        <f t="shared" si="44"/>
        <v>0108159280</v>
      </c>
      <c r="C913" s="55" t="s">
        <v>36</v>
      </c>
      <c r="D913" s="53" t="s">
        <v>2146</v>
      </c>
      <c r="E913" s="55" t="s">
        <v>10</v>
      </c>
      <c r="F913" s="53" t="s">
        <v>2147</v>
      </c>
      <c r="G913" s="55" t="s">
        <v>10</v>
      </c>
      <c r="H913" s="53" t="s">
        <v>2630</v>
      </c>
      <c r="I913" s="55">
        <v>311427782</v>
      </c>
      <c r="J913" s="55" t="s">
        <v>1686</v>
      </c>
      <c r="K913" s="55" t="s">
        <v>1687</v>
      </c>
      <c r="L913" s="53" t="s">
        <v>2079</v>
      </c>
      <c r="M913" s="55" t="s">
        <v>49</v>
      </c>
      <c r="N913" s="52">
        <v>39900000000</v>
      </c>
      <c r="O913" s="52">
        <v>39900000000</v>
      </c>
      <c r="P913" s="52">
        <v>39900000000</v>
      </c>
      <c r="Q913" s="57">
        <v>45471</v>
      </c>
      <c r="R913" s="57">
        <v>46563</v>
      </c>
      <c r="S913" s="56">
        <v>22</v>
      </c>
      <c r="T913" s="54">
        <v>11</v>
      </c>
      <c r="U913" s="52">
        <v>26600000000.009998</v>
      </c>
      <c r="V913" s="52">
        <v>26600000000.009998</v>
      </c>
      <c r="W913" s="52">
        <v>0</v>
      </c>
      <c r="X913" s="57"/>
      <c r="Y913" s="52">
        <v>0</v>
      </c>
      <c r="Z913" s="52">
        <v>0</v>
      </c>
      <c r="AA913" s="52">
        <v>1</v>
      </c>
      <c r="AB913" s="52">
        <v>0</v>
      </c>
      <c r="AC913" s="52">
        <v>272558904.11000001</v>
      </c>
      <c r="AD913" s="52">
        <v>272558904.11000001</v>
      </c>
      <c r="AE913" s="52">
        <v>0</v>
      </c>
      <c r="AF913" s="52">
        <v>0</v>
      </c>
      <c r="AG913" s="52">
        <v>0</v>
      </c>
      <c r="AH913" s="52">
        <v>0</v>
      </c>
      <c r="AI913" s="52">
        <v>0</v>
      </c>
      <c r="AJ913" s="52">
        <v>2</v>
      </c>
      <c r="AK913" s="52"/>
      <c r="AL913" s="52">
        <v>0</v>
      </c>
      <c r="AM913" s="52">
        <v>0</v>
      </c>
      <c r="AN913" s="52">
        <v>49875000000</v>
      </c>
      <c r="AO913" s="52">
        <v>0</v>
      </c>
      <c r="AP913" s="52">
        <v>0</v>
      </c>
      <c r="AQ913" s="58">
        <v>0</v>
      </c>
      <c r="AR913" s="58">
        <v>0</v>
      </c>
      <c r="AS913" s="58">
        <v>0</v>
      </c>
      <c r="AT913" s="58">
        <v>0</v>
      </c>
      <c r="AU913" s="58">
        <v>0</v>
      </c>
      <c r="AV913" s="58">
        <v>0</v>
      </c>
      <c r="AW913" s="58">
        <v>0</v>
      </c>
      <c r="AX913" s="58">
        <v>0</v>
      </c>
    </row>
    <row r="914" spans="1:50" x14ac:dyDescent="0.25">
      <c r="A914" s="52">
        <f t="shared" si="45"/>
        <v>909</v>
      </c>
      <c r="B914" s="60" t="str">
        <f t="shared" si="44"/>
        <v>0108150396</v>
      </c>
      <c r="C914" s="55" t="s">
        <v>36</v>
      </c>
      <c r="D914" s="53" t="s">
        <v>2146</v>
      </c>
      <c r="E914" s="55" t="s">
        <v>10</v>
      </c>
      <c r="F914" s="53" t="s">
        <v>2147</v>
      </c>
      <c r="G914" s="55" t="s">
        <v>10</v>
      </c>
      <c r="H914" s="53" t="s">
        <v>2631</v>
      </c>
      <c r="I914" s="55">
        <v>310689839</v>
      </c>
      <c r="J914" s="55" t="s">
        <v>1688</v>
      </c>
      <c r="K914" s="55" t="s">
        <v>1689</v>
      </c>
      <c r="L914" s="53" t="s">
        <v>2079</v>
      </c>
      <c r="M914" s="55" t="s">
        <v>49</v>
      </c>
      <c r="N914" s="52">
        <v>39360000000</v>
      </c>
      <c r="O914" s="52">
        <v>39360000000</v>
      </c>
      <c r="P914" s="52">
        <v>39360000000</v>
      </c>
      <c r="Q914" s="57">
        <v>45148</v>
      </c>
      <c r="R914" s="57">
        <v>46241</v>
      </c>
      <c r="S914" s="56">
        <v>21</v>
      </c>
      <c r="T914" s="54">
        <v>11</v>
      </c>
      <c r="U914" s="52">
        <v>13120000000.02</v>
      </c>
      <c r="V914" s="52">
        <v>13120000000.02</v>
      </c>
      <c r="W914" s="52">
        <v>0</v>
      </c>
      <c r="X914" s="57"/>
      <c r="Y914" s="52">
        <v>0</v>
      </c>
      <c r="Z914" s="52">
        <v>0</v>
      </c>
      <c r="AA914" s="52">
        <v>1</v>
      </c>
      <c r="AB914" s="52">
        <v>0</v>
      </c>
      <c r="AC914" s="52">
        <v>626524931.50999999</v>
      </c>
      <c r="AD914" s="52">
        <v>626524931.50999999</v>
      </c>
      <c r="AE914" s="52">
        <v>0</v>
      </c>
      <c r="AF914" s="52">
        <v>0</v>
      </c>
      <c r="AG914" s="52">
        <v>0</v>
      </c>
      <c r="AH914" s="52">
        <v>0</v>
      </c>
      <c r="AI914" s="52">
        <v>0</v>
      </c>
      <c r="AJ914" s="52">
        <v>2</v>
      </c>
      <c r="AK914" s="52"/>
      <c r="AL914" s="52">
        <v>0</v>
      </c>
      <c r="AM914" s="52">
        <v>0</v>
      </c>
      <c r="AN914" s="52">
        <v>49200000000</v>
      </c>
      <c r="AO914" s="52">
        <v>0</v>
      </c>
      <c r="AP914" s="52">
        <v>0</v>
      </c>
      <c r="AQ914" s="58">
        <v>0</v>
      </c>
      <c r="AR914" s="58">
        <v>0</v>
      </c>
      <c r="AS914" s="58">
        <v>0</v>
      </c>
      <c r="AT914" s="58">
        <v>0</v>
      </c>
      <c r="AU914" s="58">
        <v>0</v>
      </c>
      <c r="AV914" s="58">
        <v>0</v>
      </c>
      <c r="AW914" s="58">
        <v>0</v>
      </c>
      <c r="AX914" s="58">
        <v>0</v>
      </c>
    </row>
    <row r="915" spans="1:50" x14ac:dyDescent="0.25">
      <c r="A915" s="52">
        <f t="shared" si="45"/>
        <v>910</v>
      </c>
      <c r="B915" s="60" t="str">
        <f t="shared" si="44"/>
        <v>0108137333</v>
      </c>
      <c r="C915" s="55" t="s">
        <v>36</v>
      </c>
      <c r="D915" s="53" t="s">
        <v>2146</v>
      </c>
      <c r="E915" s="55" t="s">
        <v>10</v>
      </c>
      <c r="F915" s="53" t="s">
        <v>2147</v>
      </c>
      <c r="G915" s="55" t="s">
        <v>10</v>
      </c>
      <c r="H915" s="53" t="s">
        <v>1690</v>
      </c>
      <c r="I915" s="55">
        <v>304224224</v>
      </c>
      <c r="J915" s="55" t="s">
        <v>1691</v>
      </c>
      <c r="K915" s="55" t="s">
        <v>1692</v>
      </c>
      <c r="L915" s="53" t="s">
        <v>2035</v>
      </c>
      <c r="M915" s="55" t="s">
        <v>75</v>
      </c>
      <c r="N915" s="52">
        <v>1122804.81</v>
      </c>
      <c r="O915" s="52">
        <v>13549738973.9256</v>
      </c>
      <c r="P915" s="52">
        <v>13549738973.9256</v>
      </c>
      <c r="Q915" s="57">
        <v>44438</v>
      </c>
      <c r="R915" s="57">
        <v>48472</v>
      </c>
      <c r="S915" s="56">
        <v>7.78</v>
      </c>
      <c r="T915" s="54">
        <v>3</v>
      </c>
      <c r="U915" s="52">
        <v>8968817845.0839996</v>
      </c>
      <c r="V915" s="52">
        <v>8968817845.0839996</v>
      </c>
      <c r="W915" s="52">
        <v>0</v>
      </c>
      <c r="X915" s="57"/>
      <c r="Y915" s="52">
        <v>0</v>
      </c>
      <c r="Z915" s="52">
        <v>0</v>
      </c>
      <c r="AA915" s="52">
        <v>1</v>
      </c>
      <c r="AB915" s="52">
        <v>0</v>
      </c>
      <c r="AC915" s="52">
        <v>145698486.958</v>
      </c>
      <c r="AD915" s="52">
        <v>145698486.958</v>
      </c>
      <c r="AE915" s="52">
        <v>0</v>
      </c>
      <c r="AF915" s="52">
        <v>0</v>
      </c>
      <c r="AG915" s="52">
        <v>0</v>
      </c>
      <c r="AH915" s="52">
        <v>0</v>
      </c>
      <c r="AI915" s="52">
        <v>0</v>
      </c>
      <c r="AJ915" s="52">
        <v>2</v>
      </c>
      <c r="AK915" s="52"/>
      <c r="AL915" s="52">
        <v>0</v>
      </c>
      <c r="AM915" s="52">
        <v>0</v>
      </c>
      <c r="AN915" s="52">
        <v>16937173717407</v>
      </c>
      <c r="AO915" s="52">
        <v>0</v>
      </c>
      <c r="AP915" s="52">
        <v>0</v>
      </c>
      <c r="AQ915" s="58">
        <v>0</v>
      </c>
      <c r="AR915" s="58">
        <v>0</v>
      </c>
      <c r="AS915" s="58">
        <v>65</v>
      </c>
      <c r="AT915" s="58">
        <v>1497599.2399999995</v>
      </c>
      <c r="AU915" s="58">
        <v>0</v>
      </c>
      <c r="AV915" s="58">
        <v>0</v>
      </c>
      <c r="AW915" s="58">
        <v>24</v>
      </c>
      <c r="AX915" s="58">
        <v>2108371.7200000002</v>
      </c>
    </row>
    <row r="916" spans="1:50" x14ac:dyDescent="0.25">
      <c r="A916" s="52">
        <f t="shared" si="45"/>
        <v>911</v>
      </c>
      <c r="B916" s="60" t="str">
        <f t="shared" si="44"/>
        <v>0108159268</v>
      </c>
      <c r="C916" s="55" t="s">
        <v>36</v>
      </c>
      <c r="D916" s="53" t="s">
        <v>2146</v>
      </c>
      <c r="E916" s="55" t="s">
        <v>10</v>
      </c>
      <c r="F916" s="53" t="s">
        <v>2147</v>
      </c>
      <c r="G916" s="55" t="s">
        <v>10</v>
      </c>
      <c r="H916" s="53" t="s">
        <v>2632</v>
      </c>
      <c r="I916" s="55">
        <v>200468069</v>
      </c>
      <c r="J916" s="55" t="s">
        <v>1693</v>
      </c>
      <c r="K916" s="55" t="s">
        <v>1694</v>
      </c>
      <c r="L916" s="53" t="s">
        <v>2079</v>
      </c>
      <c r="M916" s="55" t="s">
        <v>49</v>
      </c>
      <c r="N916" s="52">
        <v>24500000000</v>
      </c>
      <c r="O916" s="52">
        <v>24500000000</v>
      </c>
      <c r="P916" s="52">
        <v>24500000000</v>
      </c>
      <c r="Q916" s="57">
        <v>45470</v>
      </c>
      <c r="R916" s="57">
        <v>46563</v>
      </c>
      <c r="S916" s="56">
        <v>20</v>
      </c>
      <c r="T916" s="54">
        <v>6</v>
      </c>
      <c r="U916" s="52">
        <v>8000000000</v>
      </c>
      <c r="V916" s="52">
        <v>8000000000</v>
      </c>
      <c r="W916" s="52">
        <v>0</v>
      </c>
      <c r="X916" s="57"/>
      <c r="Y916" s="52">
        <v>0</v>
      </c>
      <c r="Z916" s="52">
        <v>0</v>
      </c>
      <c r="AA916" s="52">
        <v>1</v>
      </c>
      <c r="AB916" s="52">
        <v>0</v>
      </c>
      <c r="AC916" s="52">
        <v>74520547.950000003</v>
      </c>
      <c r="AD916" s="52">
        <v>74520547.950000003</v>
      </c>
      <c r="AE916" s="52">
        <v>0</v>
      </c>
      <c r="AF916" s="52">
        <v>0</v>
      </c>
      <c r="AG916" s="52">
        <v>0</v>
      </c>
      <c r="AH916" s="52">
        <v>0</v>
      </c>
      <c r="AI916" s="52">
        <v>0</v>
      </c>
      <c r="AJ916" s="52">
        <v>2</v>
      </c>
      <c r="AK916" s="52"/>
      <c r="AL916" s="52">
        <v>0</v>
      </c>
      <c r="AM916" s="52">
        <v>0</v>
      </c>
      <c r="AN916" s="52">
        <v>30625000000</v>
      </c>
      <c r="AO916" s="52">
        <v>66102831050066</v>
      </c>
      <c r="AP916" s="52">
        <v>660489269481</v>
      </c>
      <c r="AQ916" s="58">
        <v>9</v>
      </c>
      <c r="AR916" s="58">
        <v>230087</v>
      </c>
      <c r="AS916" s="58">
        <v>0</v>
      </c>
      <c r="AT916" s="58">
        <v>0</v>
      </c>
      <c r="AU916" s="58">
        <v>91</v>
      </c>
      <c r="AV916" s="58">
        <v>10061846.879999999</v>
      </c>
      <c r="AW916" s="58">
        <v>53</v>
      </c>
      <c r="AX916" s="58">
        <v>7213114.0500000007</v>
      </c>
    </row>
    <row r="917" spans="1:50" x14ac:dyDescent="0.25">
      <c r="A917" s="52">
        <f t="shared" si="45"/>
        <v>912</v>
      </c>
      <c r="B917" s="60" t="str">
        <f t="shared" si="44"/>
        <v>0108163157</v>
      </c>
      <c r="C917" s="55" t="s">
        <v>36</v>
      </c>
      <c r="D917" s="53" t="s">
        <v>2146</v>
      </c>
      <c r="E917" s="55" t="s">
        <v>10</v>
      </c>
      <c r="F917" s="53" t="s">
        <v>2147</v>
      </c>
      <c r="G917" s="55" t="s">
        <v>10</v>
      </c>
      <c r="H917" s="53" t="s">
        <v>1695</v>
      </c>
      <c r="I917" s="55">
        <v>303418124</v>
      </c>
      <c r="J917" s="55" t="s">
        <v>1696</v>
      </c>
      <c r="K917" s="55" t="s">
        <v>1697</v>
      </c>
      <c r="L917" s="53" t="s">
        <v>2045</v>
      </c>
      <c r="M917" s="55" t="s">
        <v>49</v>
      </c>
      <c r="N917" s="52">
        <v>10200000000</v>
      </c>
      <c r="O917" s="52">
        <v>10200000000</v>
      </c>
      <c r="P917" s="52">
        <v>10200000000</v>
      </c>
      <c r="Q917" s="57">
        <v>45811</v>
      </c>
      <c r="R917" s="57">
        <v>46175</v>
      </c>
      <c r="S917" s="56">
        <v>24</v>
      </c>
      <c r="T917" s="54">
        <v>3</v>
      </c>
      <c r="U917" s="52">
        <v>5666666666.6800003</v>
      </c>
      <c r="V917" s="52">
        <v>5666666666.6800003</v>
      </c>
      <c r="W917" s="52">
        <v>0</v>
      </c>
      <c r="X917" s="57"/>
      <c r="Y917" s="52">
        <v>0</v>
      </c>
      <c r="Z917" s="52">
        <v>0</v>
      </c>
      <c r="AA917" s="52">
        <v>1</v>
      </c>
      <c r="AB917" s="52">
        <v>0</v>
      </c>
      <c r="AC917" s="52">
        <v>63342465.75</v>
      </c>
      <c r="AD917" s="52">
        <v>63342465.75</v>
      </c>
      <c r="AE917" s="52">
        <v>0</v>
      </c>
      <c r="AF917" s="52">
        <v>0</v>
      </c>
      <c r="AG917" s="52">
        <v>0</v>
      </c>
      <c r="AH917" s="52">
        <v>0</v>
      </c>
      <c r="AI917" s="52">
        <v>0</v>
      </c>
      <c r="AJ917" s="52">
        <v>2</v>
      </c>
      <c r="AK917" s="52"/>
      <c r="AL917" s="52">
        <v>0</v>
      </c>
      <c r="AM917" s="52">
        <v>0</v>
      </c>
      <c r="AN917" s="52">
        <v>10000000000</v>
      </c>
      <c r="AO917" s="52">
        <v>345412035000</v>
      </c>
      <c r="AP917" s="52">
        <v>344556871000</v>
      </c>
      <c r="AQ917" s="58">
        <v>0</v>
      </c>
      <c r="AR917" s="58">
        <v>0</v>
      </c>
      <c r="AS917" s="58">
        <v>0</v>
      </c>
      <c r="AT917" s="58">
        <v>0</v>
      </c>
      <c r="AU917" s="58">
        <v>83</v>
      </c>
      <c r="AV917" s="58">
        <v>16270329.51</v>
      </c>
      <c r="AW917" s="58">
        <v>4</v>
      </c>
      <c r="AX917" s="58">
        <v>10870000</v>
      </c>
    </row>
    <row r="918" spans="1:50" x14ac:dyDescent="0.25">
      <c r="A918" s="52">
        <f t="shared" si="45"/>
        <v>913</v>
      </c>
      <c r="B918" s="60" t="str">
        <f t="shared" si="44"/>
        <v>0108162792</v>
      </c>
      <c r="C918" s="55" t="s">
        <v>36</v>
      </c>
      <c r="D918" s="53" t="s">
        <v>2146</v>
      </c>
      <c r="E918" s="55" t="s">
        <v>10</v>
      </c>
      <c r="F918" s="53" t="s">
        <v>2147</v>
      </c>
      <c r="G918" s="55" t="s">
        <v>10</v>
      </c>
      <c r="H918" s="53" t="s">
        <v>2633</v>
      </c>
      <c r="I918" s="55">
        <v>302174787</v>
      </c>
      <c r="J918" s="55" t="s">
        <v>1698</v>
      </c>
      <c r="K918" s="55" t="s">
        <v>1699</v>
      </c>
      <c r="L918" s="53" t="s">
        <v>2079</v>
      </c>
      <c r="M918" s="55" t="s">
        <v>75</v>
      </c>
      <c r="N918" s="52">
        <v>323000</v>
      </c>
      <c r="O918" s="52">
        <v>3897886480</v>
      </c>
      <c r="P918" s="52">
        <v>3895428450</v>
      </c>
      <c r="Q918" s="57">
        <v>45761</v>
      </c>
      <c r="R918" s="57">
        <v>46856</v>
      </c>
      <c r="S918" s="56">
        <v>14</v>
      </c>
      <c r="T918" s="54">
        <v>6</v>
      </c>
      <c r="U918" s="52">
        <v>3601163462.8010001</v>
      </c>
      <c r="V918" s="52">
        <v>3601163462.8010001</v>
      </c>
      <c r="W918" s="52">
        <v>0</v>
      </c>
      <c r="X918" s="57"/>
      <c r="Y918" s="52">
        <v>0</v>
      </c>
      <c r="Z918" s="52">
        <v>0</v>
      </c>
      <c r="AA918" s="52">
        <v>1</v>
      </c>
      <c r="AB918" s="52">
        <v>0</v>
      </c>
      <c r="AC918" s="52">
        <v>22407306.879999999</v>
      </c>
      <c r="AD918" s="52">
        <v>22407306.879999999</v>
      </c>
      <c r="AE918" s="52">
        <v>0</v>
      </c>
      <c r="AF918" s="52">
        <v>0</v>
      </c>
      <c r="AG918" s="52">
        <v>0</v>
      </c>
      <c r="AH918" s="52">
        <v>0</v>
      </c>
      <c r="AI918" s="52">
        <v>0</v>
      </c>
      <c r="AJ918" s="52">
        <v>2</v>
      </c>
      <c r="AK918" s="52"/>
      <c r="AL918" s="52">
        <v>0</v>
      </c>
      <c r="AM918" s="52">
        <v>0</v>
      </c>
      <c r="AN918" s="52">
        <v>7537593750</v>
      </c>
      <c r="AO918" s="52">
        <v>0</v>
      </c>
      <c r="AP918" s="52">
        <v>0</v>
      </c>
      <c r="AQ918" s="58">
        <v>0</v>
      </c>
      <c r="AR918" s="58">
        <v>0</v>
      </c>
      <c r="AS918" s="58">
        <v>0</v>
      </c>
      <c r="AT918" s="58">
        <v>0</v>
      </c>
      <c r="AU918" s="58">
        <v>40</v>
      </c>
      <c r="AV918" s="58">
        <v>939875</v>
      </c>
      <c r="AW918" s="58">
        <v>3</v>
      </c>
      <c r="AX918" s="58">
        <v>606000</v>
      </c>
    </row>
    <row r="919" spans="1:50" x14ac:dyDescent="0.25">
      <c r="A919" s="52">
        <f t="shared" si="45"/>
        <v>914</v>
      </c>
      <c r="B919" s="60" t="str">
        <f t="shared" si="44"/>
        <v>0108162383</v>
      </c>
      <c r="C919" s="55" t="s">
        <v>36</v>
      </c>
      <c r="D919" s="53" t="s">
        <v>2146</v>
      </c>
      <c r="E919" s="55" t="s">
        <v>10</v>
      </c>
      <c r="F919" s="53" t="s">
        <v>2147</v>
      </c>
      <c r="G919" s="55" t="s">
        <v>10</v>
      </c>
      <c r="H919" s="53" t="s">
        <v>2634</v>
      </c>
      <c r="I919" s="55">
        <v>310760403</v>
      </c>
      <c r="J919" s="55" t="s">
        <v>1700</v>
      </c>
      <c r="K919" s="55" t="s">
        <v>1701</v>
      </c>
      <c r="L919" s="53" t="s">
        <v>2079</v>
      </c>
      <c r="M919" s="55" t="s">
        <v>49</v>
      </c>
      <c r="N919" s="52">
        <v>4021680000</v>
      </c>
      <c r="O919" s="52">
        <v>4021680000</v>
      </c>
      <c r="P919" s="52">
        <v>4021680000</v>
      </c>
      <c r="Q919" s="57">
        <v>45701</v>
      </c>
      <c r="R919" s="57">
        <v>47161</v>
      </c>
      <c r="S919" s="56">
        <v>25</v>
      </c>
      <c r="T919" s="54">
        <v>0</v>
      </c>
      <c r="U919" s="52">
        <v>3420358442.7399998</v>
      </c>
      <c r="V919" s="52">
        <v>3420358442.7399998</v>
      </c>
      <c r="W919" s="52">
        <v>0</v>
      </c>
      <c r="X919" s="57"/>
      <c r="Y919" s="52">
        <v>0</v>
      </c>
      <c r="Z919" s="52">
        <v>0</v>
      </c>
      <c r="AA919" s="52">
        <v>1</v>
      </c>
      <c r="AB919" s="52">
        <v>0</v>
      </c>
      <c r="AC919" s="52">
        <v>39826091.460000001</v>
      </c>
      <c r="AD919" s="52">
        <v>39826091.460000001</v>
      </c>
      <c r="AE919" s="52">
        <v>0</v>
      </c>
      <c r="AF919" s="52">
        <v>0</v>
      </c>
      <c r="AG919" s="52">
        <v>0</v>
      </c>
      <c r="AH919" s="52">
        <v>0</v>
      </c>
      <c r="AI919" s="52">
        <v>0</v>
      </c>
      <c r="AJ919" s="52">
        <v>2</v>
      </c>
      <c r="AK919" s="52"/>
      <c r="AL919" s="52">
        <v>219203991064</v>
      </c>
      <c r="AM919" s="52">
        <v>0</v>
      </c>
      <c r="AN919" s="52">
        <v>502710000000</v>
      </c>
      <c r="AO919" s="52">
        <v>0</v>
      </c>
      <c r="AP919" s="52">
        <v>0</v>
      </c>
      <c r="AQ919" s="58">
        <v>0</v>
      </c>
      <c r="AR919" s="58">
        <v>0</v>
      </c>
      <c r="AS919" s="58">
        <v>0</v>
      </c>
      <c r="AT919" s="58">
        <v>0</v>
      </c>
      <c r="AU919" s="58">
        <v>0</v>
      </c>
      <c r="AV919" s="58">
        <v>0</v>
      </c>
      <c r="AW919" s="58">
        <v>0</v>
      </c>
      <c r="AX919" s="58">
        <v>0</v>
      </c>
    </row>
    <row r="920" spans="1:50" x14ac:dyDescent="0.25">
      <c r="A920" s="52">
        <f t="shared" si="45"/>
        <v>915</v>
      </c>
      <c r="B920" s="60" t="str">
        <f t="shared" si="44"/>
        <v>0108163026</v>
      </c>
      <c r="C920" s="55" t="s">
        <v>36</v>
      </c>
      <c r="D920" s="53" t="s">
        <v>2146</v>
      </c>
      <c r="E920" s="55" t="s">
        <v>10</v>
      </c>
      <c r="F920" s="53" t="s">
        <v>2147</v>
      </c>
      <c r="G920" s="55" t="s">
        <v>10</v>
      </c>
      <c r="H920" s="53" t="s">
        <v>2634</v>
      </c>
      <c r="I920" s="55">
        <v>310760403</v>
      </c>
      <c r="J920" s="55" t="s">
        <v>1702</v>
      </c>
      <c r="K920" s="55" t="s">
        <v>1703</v>
      </c>
      <c r="L920" s="53" t="s">
        <v>2079</v>
      </c>
      <c r="M920" s="55" t="s">
        <v>49</v>
      </c>
      <c r="N920" s="52">
        <v>3607500000</v>
      </c>
      <c r="O920" s="52">
        <v>3607500000</v>
      </c>
      <c r="P920" s="52">
        <v>3607500000</v>
      </c>
      <c r="Q920" s="57">
        <v>45799</v>
      </c>
      <c r="R920" s="57">
        <v>47259</v>
      </c>
      <c r="S920" s="56">
        <v>25</v>
      </c>
      <c r="T920" s="54">
        <v>0</v>
      </c>
      <c r="U920" s="52">
        <v>3217150287.52</v>
      </c>
      <c r="V920" s="52">
        <v>3217150287.52</v>
      </c>
      <c r="W920" s="52">
        <v>0</v>
      </c>
      <c r="X920" s="57"/>
      <c r="Y920" s="52">
        <v>0</v>
      </c>
      <c r="Z920" s="52">
        <v>0</v>
      </c>
      <c r="AA920" s="52">
        <v>1</v>
      </c>
      <c r="AB920" s="52">
        <v>0</v>
      </c>
      <c r="AC920" s="52">
        <v>35746114.310000002</v>
      </c>
      <c r="AD920" s="52">
        <v>35746114.310000002</v>
      </c>
      <c r="AE920" s="52">
        <v>0</v>
      </c>
      <c r="AF920" s="52">
        <v>0</v>
      </c>
      <c r="AG920" s="52">
        <v>0</v>
      </c>
      <c r="AH920" s="52">
        <v>0</v>
      </c>
      <c r="AI920" s="52">
        <v>0</v>
      </c>
      <c r="AJ920" s="52">
        <v>2</v>
      </c>
      <c r="AK920" s="52"/>
      <c r="AL920" s="52">
        <v>0</v>
      </c>
      <c r="AM920" s="52">
        <v>0</v>
      </c>
      <c r="AN920" s="52">
        <v>450937500000</v>
      </c>
      <c r="AO920" s="52">
        <v>0</v>
      </c>
      <c r="AP920" s="52">
        <v>0</v>
      </c>
      <c r="AQ920" s="58">
        <v>0</v>
      </c>
      <c r="AR920" s="58">
        <v>0</v>
      </c>
      <c r="AS920" s="58">
        <v>0</v>
      </c>
      <c r="AT920" s="58">
        <v>0</v>
      </c>
      <c r="AU920" s="58">
        <v>0</v>
      </c>
      <c r="AV920" s="58">
        <v>0</v>
      </c>
      <c r="AW920" s="58">
        <v>0</v>
      </c>
      <c r="AX920" s="58">
        <v>0</v>
      </c>
    </row>
    <row r="921" spans="1:50" x14ac:dyDescent="0.25">
      <c r="A921" s="52">
        <f t="shared" si="45"/>
        <v>916</v>
      </c>
      <c r="B921" s="60" t="str">
        <f t="shared" si="44"/>
        <v>0108162892</v>
      </c>
      <c r="C921" s="55" t="s">
        <v>36</v>
      </c>
      <c r="D921" s="53" t="s">
        <v>2146</v>
      </c>
      <c r="E921" s="55" t="s">
        <v>10</v>
      </c>
      <c r="F921" s="53" t="s">
        <v>2147</v>
      </c>
      <c r="G921" s="55" t="s">
        <v>10</v>
      </c>
      <c r="H921" s="53" t="s">
        <v>2635</v>
      </c>
      <c r="I921" s="55">
        <v>309123060</v>
      </c>
      <c r="J921" s="55" t="s">
        <v>1704</v>
      </c>
      <c r="K921" s="55" t="s">
        <v>1705</v>
      </c>
      <c r="L921" s="53" t="s">
        <v>2079</v>
      </c>
      <c r="M921" s="55" t="s">
        <v>75</v>
      </c>
      <c r="N921" s="52">
        <v>310280</v>
      </c>
      <c r="O921" s="52">
        <v>3744384572.8000002</v>
      </c>
      <c r="P921" s="52">
        <f>+O921</f>
        <v>3744384572.8000002</v>
      </c>
      <c r="Q921" s="57">
        <v>45772</v>
      </c>
      <c r="R921" s="57">
        <v>46867</v>
      </c>
      <c r="S921" s="56">
        <v>14</v>
      </c>
      <c r="T921" s="54">
        <v>1</v>
      </c>
      <c r="U921" s="52">
        <v>3167498632.829</v>
      </c>
      <c r="V921" s="52">
        <v>3075078373.2199998</v>
      </c>
      <c r="W921" s="52">
        <v>92420259.608999997</v>
      </c>
      <c r="X921" s="57">
        <v>46037</v>
      </c>
      <c r="Y921" s="52">
        <v>0</v>
      </c>
      <c r="Z921" s="52">
        <v>0</v>
      </c>
      <c r="AA921" s="52">
        <v>1</v>
      </c>
      <c r="AB921" s="52">
        <v>924081.82499999995</v>
      </c>
      <c r="AC921" s="52">
        <v>56835606.899999999</v>
      </c>
      <c r="AD921" s="52">
        <v>19133800.386</v>
      </c>
      <c r="AE921" s="52">
        <v>0</v>
      </c>
      <c r="AF921" s="52">
        <v>0</v>
      </c>
      <c r="AG921" s="52">
        <v>37701806.513999999</v>
      </c>
      <c r="AH921" s="52">
        <v>0</v>
      </c>
      <c r="AI921" s="52">
        <v>0</v>
      </c>
      <c r="AJ921" s="52">
        <v>2</v>
      </c>
      <c r="AK921" s="52"/>
      <c r="AL921" s="52">
        <v>0</v>
      </c>
      <c r="AM921" s="52">
        <v>0</v>
      </c>
      <c r="AN921" s="52">
        <v>637965</v>
      </c>
      <c r="AO921" s="52">
        <v>0</v>
      </c>
      <c r="AP921" s="52">
        <v>0</v>
      </c>
      <c r="AQ921" s="58">
        <v>0</v>
      </c>
      <c r="AR921" s="58">
        <v>0</v>
      </c>
      <c r="AS921" s="58">
        <v>0</v>
      </c>
      <c r="AT921" s="58">
        <v>0</v>
      </c>
      <c r="AU921" s="58">
        <v>1</v>
      </c>
      <c r="AV921" s="58">
        <v>201000</v>
      </c>
      <c r="AW921" s="58">
        <v>0</v>
      </c>
      <c r="AX921" s="58">
        <v>0</v>
      </c>
    </row>
    <row r="922" spans="1:50" x14ac:dyDescent="0.25">
      <c r="A922" s="52">
        <f t="shared" si="45"/>
        <v>917</v>
      </c>
      <c r="B922" s="60" t="str">
        <f t="shared" si="44"/>
        <v>0108163322</v>
      </c>
      <c r="C922" s="55" t="s">
        <v>36</v>
      </c>
      <c r="D922" s="53" t="s">
        <v>2146</v>
      </c>
      <c r="E922" s="55" t="s">
        <v>10</v>
      </c>
      <c r="F922" s="53" t="s">
        <v>2147</v>
      </c>
      <c r="G922" s="55" t="s">
        <v>10</v>
      </c>
      <c r="H922" s="53" t="s">
        <v>1706</v>
      </c>
      <c r="I922" s="55">
        <v>308666859</v>
      </c>
      <c r="J922" s="55" t="s">
        <v>1707</v>
      </c>
      <c r="K922" s="55" t="s">
        <v>1708</v>
      </c>
      <c r="L922" s="53" t="s">
        <v>2079</v>
      </c>
      <c r="M922" s="55" t="s">
        <v>49</v>
      </c>
      <c r="N922" s="52">
        <v>3485400000</v>
      </c>
      <c r="O922" s="52">
        <v>3485400000</v>
      </c>
      <c r="P922" s="52">
        <v>3485400000</v>
      </c>
      <c r="Q922" s="57">
        <v>45834</v>
      </c>
      <c r="R922" s="57">
        <v>47294</v>
      </c>
      <c r="S922" s="56">
        <v>25</v>
      </c>
      <c r="T922" s="54">
        <v>0</v>
      </c>
      <c r="U922" s="52">
        <v>3159576605.8699999</v>
      </c>
      <c r="V922" s="52">
        <v>3159576605.8699999</v>
      </c>
      <c r="W922" s="52">
        <v>0</v>
      </c>
      <c r="X922" s="57"/>
      <c r="Y922" s="52">
        <v>0</v>
      </c>
      <c r="Z922" s="52">
        <v>0</v>
      </c>
      <c r="AA922" s="52">
        <v>1</v>
      </c>
      <c r="AB922" s="52">
        <v>0</v>
      </c>
      <c r="AC922" s="52">
        <v>24135654.620000001</v>
      </c>
      <c r="AD922" s="52">
        <v>24135654.620000001</v>
      </c>
      <c r="AE922" s="52">
        <v>0</v>
      </c>
      <c r="AF922" s="52">
        <v>0</v>
      </c>
      <c r="AG922" s="52">
        <v>0</v>
      </c>
      <c r="AH922" s="52">
        <v>0</v>
      </c>
      <c r="AI922" s="52">
        <v>0</v>
      </c>
      <c r="AJ922" s="52">
        <v>2</v>
      </c>
      <c r="AK922" s="52"/>
      <c r="AL922" s="52">
        <v>0</v>
      </c>
      <c r="AM922" s="52">
        <v>0</v>
      </c>
      <c r="AN922" s="52">
        <v>435675000000</v>
      </c>
      <c r="AO922" s="52">
        <v>0</v>
      </c>
      <c r="AP922" s="52">
        <v>0</v>
      </c>
      <c r="AQ922" s="58">
        <v>0</v>
      </c>
      <c r="AR922" s="58">
        <v>0</v>
      </c>
      <c r="AS922" s="58">
        <v>0</v>
      </c>
      <c r="AT922" s="58">
        <v>0</v>
      </c>
      <c r="AU922" s="58">
        <v>0</v>
      </c>
      <c r="AV922" s="58">
        <v>0</v>
      </c>
      <c r="AW922" s="58">
        <v>0</v>
      </c>
      <c r="AX922" s="58">
        <v>0</v>
      </c>
    </row>
    <row r="923" spans="1:50" x14ac:dyDescent="0.25">
      <c r="A923" s="52">
        <f t="shared" si="45"/>
        <v>918</v>
      </c>
      <c r="B923" s="60" t="str">
        <f t="shared" si="44"/>
        <v>0108162969</v>
      </c>
      <c r="C923" s="55" t="s">
        <v>36</v>
      </c>
      <c r="D923" s="53" t="s">
        <v>2146</v>
      </c>
      <c r="E923" s="55" t="s">
        <v>10</v>
      </c>
      <c r="F923" s="53" t="s">
        <v>2147</v>
      </c>
      <c r="G923" s="55" t="s">
        <v>10</v>
      </c>
      <c r="H923" s="53" t="s">
        <v>1709</v>
      </c>
      <c r="I923" s="55">
        <v>308990955</v>
      </c>
      <c r="J923" s="55" t="s">
        <v>1710</v>
      </c>
      <c r="K923" s="55" t="s">
        <v>1711</v>
      </c>
      <c r="L923" s="53" t="s">
        <v>2045</v>
      </c>
      <c r="M923" s="55" t="s">
        <v>75</v>
      </c>
      <c r="N923" s="52">
        <v>313800</v>
      </c>
      <c r="O923" s="52">
        <v>3786863088</v>
      </c>
      <c r="P923" s="52"/>
      <c r="Q923" s="57">
        <v>45784</v>
      </c>
      <c r="R923" s="57">
        <v>46513</v>
      </c>
      <c r="S923" s="56">
        <v>14</v>
      </c>
      <c r="T923" s="54">
        <v>0</v>
      </c>
      <c r="U923" s="52">
        <v>2681525037.9850001</v>
      </c>
      <c r="V923" s="52">
        <v>2681525037.9850001</v>
      </c>
      <c r="W923" s="52">
        <v>0</v>
      </c>
      <c r="X923" s="57"/>
      <c r="Y923" s="52">
        <v>0</v>
      </c>
      <c r="Z923" s="52">
        <v>0</v>
      </c>
      <c r="AA923" s="52">
        <v>1</v>
      </c>
      <c r="AB923" s="52">
        <v>0</v>
      </c>
      <c r="AC923" s="52">
        <v>16685075.043</v>
      </c>
      <c r="AD923" s="52">
        <v>16685075.043</v>
      </c>
      <c r="AE923" s="52">
        <v>0</v>
      </c>
      <c r="AF923" s="52">
        <v>0</v>
      </c>
      <c r="AG923" s="52">
        <v>0</v>
      </c>
      <c r="AH923" s="52">
        <v>0</v>
      </c>
      <c r="AI923" s="52">
        <v>0</v>
      </c>
      <c r="AJ923" s="52">
        <v>2</v>
      </c>
      <c r="AK923" s="52"/>
      <c r="AL923" s="52">
        <v>0</v>
      </c>
      <c r="AM923" s="52">
        <v>0</v>
      </c>
      <c r="AN923" s="52">
        <v>39225</v>
      </c>
      <c r="AO923" s="52">
        <v>0</v>
      </c>
      <c r="AP923" s="52">
        <v>0</v>
      </c>
      <c r="AQ923" s="58">
        <v>0</v>
      </c>
      <c r="AR923" s="58">
        <v>0</v>
      </c>
      <c r="AS923" s="58">
        <v>0</v>
      </c>
      <c r="AT923" s="58">
        <v>0</v>
      </c>
      <c r="AU923" s="58">
        <v>0</v>
      </c>
      <c r="AV923" s="58">
        <v>0</v>
      </c>
      <c r="AW923" s="58">
        <v>0</v>
      </c>
      <c r="AX923" s="58">
        <v>0</v>
      </c>
    </row>
    <row r="924" spans="1:50" x14ac:dyDescent="0.25">
      <c r="A924" s="52">
        <f t="shared" si="45"/>
        <v>919</v>
      </c>
      <c r="B924" s="60" t="str">
        <f t="shared" si="44"/>
        <v>0108163267</v>
      </c>
      <c r="C924" s="55" t="s">
        <v>36</v>
      </c>
      <c r="D924" s="53" t="s">
        <v>2146</v>
      </c>
      <c r="E924" s="55" t="s">
        <v>10</v>
      </c>
      <c r="F924" s="53" t="s">
        <v>2147</v>
      </c>
      <c r="G924" s="55" t="s">
        <v>10</v>
      </c>
      <c r="H924" s="53" t="s">
        <v>1712</v>
      </c>
      <c r="I924" s="55">
        <v>307788232</v>
      </c>
      <c r="J924" s="55" t="s">
        <v>1713</v>
      </c>
      <c r="K924" s="55" t="s">
        <v>1714</v>
      </c>
      <c r="L924" s="53" t="s">
        <v>2079</v>
      </c>
      <c r="M924" s="55" t="s">
        <v>75</v>
      </c>
      <c r="N924" s="52">
        <v>232000</v>
      </c>
      <c r="O924" s="52">
        <v>2799720320</v>
      </c>
      <c r="P924" s="52">
        <v>2799720320</v>
      </c>
      <c r="Q924" s="57">
        <v>45826</v>
      </c>
      <c r="R924" s="57">
        <v>46190</v>
      </c>
      <c r="S924" s="56">
        <v>14</v>
      </c>
      <c r="T924" s="54">
        <v>6</v>
      </c>
      <c r="U924" s="52">
        <v>2358492626.0029998</v>
      </c>
      <c r="V924" s="52">
        <v>2358492626.0029998</v>
      </c>
      <c r="W924" s="52">
        <v>0</v>
      </c>
      <c r="X924" s="57"/>
      <c r="Y924" s="52">
        <v>0</v>
      </c>
      <c r="Z924" s="52">
        <v>0</v>
      </c>
      <c r="AA924" s="52">
        <v>1</v>
      </c>
      <c r="AB924" s="52">
        <v>0</v>
      </c>
      <c r="AC924" s="52">
        <v>15592279.664999999</v>
      </c>
      <c r="AD924" s="52">
        <v>15592279.664999999</v>
      </c>
      <c r="AE924" s="52">
        <v>0</v>
      </c>
      <c r="AF924" s="52">
        <v>0</v>
      </c>
      <c r="AG924" s="52">
        <v>0</v>
      </c>
      <c r="AH924" s="52">
        <v>0</v>
      </c>
      <c r="AI924" s="52">
        <v>0</v>
      </c>
      <c r="AJ924" s="52">
        <v>2</v>
      </c>
      <c r="AK924" s="52"/>
      <c r="AL924" s="52">
        <v>0</v>
      </c>
      <c r="AM924" s="52">
        <v>0</v>
      </c>
      <c r="AN924" s="52">
        <v>3499650400</v>
      </c>
      <c r="AO924" s="52">
        <v>0</v>
      </c>
      <c r="AP924" s="52">
        <v>0</v>
      </c>
      <c r="AQ924" s="58">
        <v>0</v>
      </c>
      <c r="AR924" s="58">
        <v>0</v>
      </c>
      <c r="AS924" s="58">
        <v>2</v>
      </c>
      <c r="AT924" s="58">
        <v>83885.87</v>
      </c>
      <c r="AU924" s="58">
        <v>197</v>
      </c>
      <c r="AV924" s="58">
        <v>471055903.83999997</v>
      </c>
      <c r="AW924" s="58">
        <v>75</v>
      </c>
      <c r="AX924" s="58">
        <v>376928166.06</v>
      </c>
    </row>
    <row r="925" spans="1:50" x14ac:dyDescent="0.25">
      <c r="A925" s="52">
        <f t="shared" si="45"/>
        <v>920</v>
      </c>
      <c r="B925" s="60" t="str">
        <f t="shared" si="44"/>
        <v>0108162874</v>
      </c>
      <c r="C925" s="55" t="s">
        <v>36</v>
      </c>
      <c r="D925" s="53" t="s">
        <v>2146</v>
      </c>
      <c r="E925" s="55" t="s">
        <v>10</v>
      </c>
      <c r="F925" s="53" t="s">
        <v>2147</v>
      </c>
      <c r="G925" s="55" t="s">
        <v>10</v>
      </c>
      <c r="H925" s="53" t="s">
        <v>2635</v>
      </c>
      <c r="I925" s="55">
        <v>309123060</v>
      </c>
      <c r="J925" s="55" t="s">
        <v>1715</v>
      </c>
      <c r="K925" s="55" t="s">
        <v>1716</v>
      </c>
      <c r="L925" s="53" t="s">
        <v>2079</v>
      </c>
      <c r="M925" s="55" t="s">
        <v>75</v>
      </c>
      <c r="N925" s="52">
        <v>229720</v>
      </c>
      <c r="O925" s="52">
        <v>2772205827.1999998</v>
      </c>
      <c r="P925" s="52">
        <f>+O925</f>
        <v>2772205827.1999998</v>
      </c>
      <c r="Q925" s="57">
        <v>45771</v>
      </c>
      <c r="R925" s="57">
        <v>46864</v>
      </c>
      <c r="S925" s="56">
        <v>14</v>
      </c>
      <c r="T925" s="54">
        <v>1</v>
      </c>
      <c r="U925" s="52">
        <v>2339232808.914</v>
      </c>
      <c r="V925" s="52">
        <v>2276676190.0869999</v>
      </c>
      <c r="W925" s="52">
        <v>62556618.827</v>
      </c>
      <c r="X925" s="57">
        <v>46037</v>
      </c>
      <c r="Y925" s="52">
        <v>0</v>
      </c>
      <c r="Z925" s="52">
        <v>0</v>
      </c>
      <c r="AA925" s="52">
        <v>1</v>
      </c>
      <c r="AB925" s="52">
        <v>625569.848</v>
      </c>
      <c r="AC925" s="52">
        <v>39685258.182999998</v>
      </c>
      <c r="AD925" s="52">
        <v>14165960.892999999</v>
      </c>
      <c r="AE925" s="52">
        <v>0</v>
      </c>
      <c r="AF925" s="52">
        <v>0</v>
      </c>
      <c r="AG925" s="52">
        <v>25519297.289999999</v>
      </c>
      <c r="AH925" s="52">
        <v>0</v>
      </c>
      <c r="AI925" s="52">
        <v>0</v>
      </c>
      <c r="AJ925" s="52">
        <v>2</v>
      </c>
      <c r="AK925" s="52"/>
      <c r="AL925" s="52">
        <v>0</v>
      </c>
      <c r="AM925" s="52">
        <v>0</v>
      </c>
      <c r="AN925" s="52">
        <v>637965</v>
      </c>
      <c r="AO925" s="52">
        <v>0</v>
      </c>
      <c r="AP925" s="52">
        <v>0</v>
      </c>
      <c r="AQ925" s="58">
        <v>0</v>
      </c>
      <c r="AR925" s="58">
        <v>0</v>
      </c>
      <c r="AS925" s="58">
        <v>0</v>
      </c>
      <c r="AT925" s="58">
        <v>0</v>
      </c>
      <c r="AU925" s="58">
        <v>1</v>
      </c>
      <c r="AV925" s="58">
        <v>201000</v>
      </c>
      <c r="AW925" s="58">
        <v>0</v>
      </c>
      <c r="AX925" s="58">
        <v>0</v>
      </c>
    </row>
    <row r="926" spans="1:50" x14ac:dyDescent="0.25">
      <c r="A926" s="52">
        <f t="shared" si="45"/>
        <v>921</v>
      </c>
      <c r="B926" s="60" t="str">
        <f t="shared" si="44"/>
        <v>0108164037</v>
      </c>
      <c r="C926" s="55" t="s">
        <v>36</v>
      </c>
      <c r="D926" s="53" t="s">
        <v>2146</v>
      </c>
      <c r="E926" s="55" t="s">
        <v>10</v>
      </c>
      <c r="F926" s="53" t="s">
        <v>2147</v>
      </c>
      <c r="G926" s="55" t="s">
        <v>10</v>
      </c>
      <c r="H926" s="53" t="s">
        <v>2636</v>
      </c>
      <c r="I926" s="55">
        <v>300373897</v>
      </c>
      <c r="J926" s="55" t="s">
        <v>1717</v>
      </c>
      <c r="K926" s="55" t="s">
        <v>1718</v>
      </c>
      <c r="L926" s="53" t="s">
        <v>2079</v>
      </c>
      <c r="M926" s="55" t="s">
        <v>75</v>
      </c>
      <c r="N926" s="52">
        <v>191000</v>
      </c>
      <c r="O926" s="52">
        <v>2304942160</v>
      </c>
      <c r="P926" s="52">
        <f>+O926</f>
        <v>2304942160</v>
      </c>
      <c r="Q926" s="57">
        <v>45915</v>
      </c>
      <c r="R926" s="57">
        <v>47010</v>
      </c>
      <c r="S926" s="56">
        <v>15</v>
      </c>
      <c r="T926" s="54">
        <v>3</v>
      </c>
      <c r="U926" s="52">
        <v>2273109783.2020001</v>
      </c>
      <c r="V926" s="52">
        <v>2273109783.2020001</v>
      </c>
      <c r="W926" s="52">
        <v>0</v>
      </c>
      <c r="X926" s="57"/>
      <c r="Y926" s="52">
        <v>0</v>
      </c>
      <c r="Z926" s="52">
        <v>0</v>
      </c>
      <c r="AA926" s="52">
        <v>1</v>
      </c>
      <c r="AB926" s="52">
        <v>0</v>
      </c>
      <c r="AC926" s="52">
        <v>15880666.389</v>
      </c>
      <c r="AD926" s="52">
        <v>15880666.389</v>
      </c>
      <c r="AE926" s="52">
        <v>0</v>
      </c>
      <c r="AF926" s="52">
        <v>0</v>
      </c>
      <c r="AG926" s="52">
        <v>0</v>
      </c>
      <c r="AH926" s="52">
        <v>0</v>
      </c>
      <c r="AI926" s="52">
        <v>0</v>
      </c>
      <c r="AJ926" s="52">
        <v>2</v>
      </c>
      <c r="AK926" s="52"/>
      <c r="AL926" s="52">
        <v>105540075</v>
      </c>
      <c r="AM926" s="52">
        <v>0</v>
      </c>
      <c r="AN926" s="52">
        <v>500000</v>
      </c>
      <c r="AO926" s="52">
        <v>0</v>
      </c>
      <c r="AP926" s="52">
        <v>0</v>
      </c>
      <c r="AQ926" s="58">
        <v>0</v>
      </c>
      <c r="AR926" s="58">
        <v>0</v>
      </c>
      <c r="AS926" s="58">
        <v>0</v>
      </c>
      <c r="AT926" s="58">
        <v>0</v>
      </c>
      <c r="AU926" s="58">
        <v>0</v>
      </c>
      <c r="AV926" s="58">
        <v>0</v>
      </c>
      <c r="AW926" s="58">
        <v>0</v>
      </c>
      <c r="AX926" s="58">
        <v>0</v>
      </c>
    </row>
    <row r="927" spans="1:50" x14ac:dyDescent="0.25">
      <c r="A927" s="52">
        <f t="shared" si="45"/>
        <v>922</v>
      </c>
      <c r="B927" s="60" t="str">
        <f t="shared" si="44"/>
        <v>0108162011</v>
      </c>
      <c r="C927" s="55" t="s">
        <v>36</v>
      </c>
      <c r="D927" s="53" t="s">
        <v>2146</v>
      </c>
      <c r="E927" s="55" t="s">
        <v>10</v>
      </c>
      <c r="F927" s="53" t="s">
        <v>2147</v>
      </c>
      <c r="G927" s="55" t="s">
        <v>10</v>
      </c>
      <c r="H927" s="53" t="s">
        <v>2637</v>
      </c>
      <c r="I927" s="55">
        <v>300889468</v>
      </c>
      <c r="J927" s="55" t="s">
        <v>1719</v>
      </c>
      <c r="K927" s="55" t="s">
        <v>1720</v>
      </c>
      <c r="L927" s="53" t="s">
        <v>2079</v>
      </c>
      <c r="M927" s="55" t="s">
        <v>49</v>
      </c>
      <c r="N927" s="52">
        <v>2500000000</v>
      </c>
      <c r="O927" s="52">
        <v>2500000000</v>
      </c>
      <c r="P927" s="52">
        <v>2500000000</v>
      </c>
      <c r="Q927" s="57">
        <v>45629</v>
      </c>
      <c r="R927" s="57">
        <v>47452</v>
      </c>
      <c r="S927" s="56">
        <v>27</v>
      </c>
      <c r="T927" s="54">
        <v>6</v>
      </c>
      <c r="U927" s="52">
        <v>2129629629.5999999</v>
      </c>
      <c r="V927" s="52">
        <v>2129629629.5999999</v>
      </c>
      <c r="W927" s="52">
        <v>0</v>
      </c>
      <c r="X927" s="57"/>
      <c r="Y927" s="52">
        <v>0</v>
      </c>
      <c r="Z927" s="52">
        <v>0</v>
      </c>
      <c r="AA927" s="52">
        <v>1</v>
      </c>
      <c r="AB927" s="52">
        <v>0</v>
      </c>
      <c r="AC927" s="52">
        <v>31506849.32</v>
      </c>
      <c r="AD927" s="52">
        <v>31506849.32</v>
      </c>
      <c r="AE927" s="52">
        <v>0</v>
      </c>
      <c r="AF927" s="52">
        <v>0</v>
      </c>
      <c r="AG927" s="52">
        <v>0</v>
      </c>
      <c r="AH927" s="52">
        <v>0</v>
      </c>
      <c r="AI927" s="52">
        <v>0</v>
      </c>
      <c r="AJ927" s="52">
        <v>2</v>
      </c>
      <c r="AK927" s="52"/>
      <c r="AL927" s="52">
        <v>0</v>
      </c>
      <c r="AM927" s="52">
        <v>0</v>
      </c>
      <c r="AN927" s="52">
        <v>3125000000</v>
      </c>
      <c r="AO927" s="52">
        <v>0</v>
      </c>
      <c r="AP927" s="52">
        <v>0</v>
      </c>
      <c r="AQ927" s="58">
        <v>0</v>
      </c>
      <c r="AR927" s="58">
        <v>0</v>
      </c>
      <c r="AS927" s="58">
        <v>0</v>
      </c>
      <c r="AT927" s="58">
        <v>0</v>
      </c>
      <c r="AU927" s="58">
        <v>7</v>
      </c>
      <c r="AV927" s="58">
        <v>218296</v>
      </c>
      <c r="AW927" s="58">
        <v>5</v>
      </c>
      <c r="AX927" s="58">
        <v>2949381</v>
      </c>
    </row>
    <row r="928" spans="1:50" x14ac:dyDescent="0.25">
      <c r="A928" s="52">
        <f t="shared" si="45"/>
        <v>923</v>
      </c>
      <c r="B928" s="60" t="str">
        <f t="shared" si="44"/>
        <v>0108163119</v>
      </c>
      <c r="C928" s="55" t="s">
        <v>36</v>
      </c>
      <c r="D928" s="53" t="s">
        <v>2146</v>
      </c>
      <c r="E928" s="55" t="s">
        <v>10</v>
      </c>
      <c r="F928" s="53" t="s">
        <v>2147</v>
      </c>
      <c r="G928" s="55" t="s">
        <v>10</v>
      </c>
      <c r="H928" s="53" t="s">
        <v>2637</v>
      </c>
      <c r="I928" s="55">
        <v>300889468</v>
      </c>
      <c r="J928" s="55" t="s">
        <v>1721</v>
      </c>
      <c r="K928" s="55" t="s">
        <v>1722</v>
      </c>
      <c r="L928" s="53" t="s">
        <v>2079</v>
      </c>
      <c r="M928" s="55" t="s">
        <v>49</v>
      </c>
      <c r="N928" s="52">
        <v>2500000000</v>
      </c>
      <c r="O928" s="52">
        <v>2500000000</v>
      </c>
      <c r="P928" s="52">
        <v>2500000000</v>
      </c>
      <c r="Q928" s="57">
        <v>45805</v>
      </c>
      <c r="R928" s="57">
        <v>47630</v>
      </c>
      <c r="S928" s="56">
        <v>26</v>
      </c>
      <c r="T928" s="54">
        <v>6</v>
      </c>
      <c r="U928" s="52">
        <v>2064462090.4000001</v>
      </c>
      <c r="V928" s="52">
        <v>2064462090.4000001</v>
      </c>
      <c r="W928" s="52">
        <v>0</v>
      </c>
      <c r="X928" s="57"/>
      <c r="Y928" s="52">
        <v>0</v>
      </c>
      <c r="Z928" s="52">
        <v>0</v>
      </c>
      <c r="AA928" s="52">
        <v>1</v>
      </c>
      <c r="AB928" s="52">
        <v>0</v>
      </c>
      <c r="AC928" s="52">
        <v>24999787.5</v>
      </c>
      <c r="AD928" s="52">
        <v>24999787.5</v>
      </c>
      <c r="AE928" s="52">
        <v>0</v>
      </c>
      <c r="AF928" s="52">
        <v>0</v>
      </c>
      <c r="AG928" s="52">
        <v>0</v>
      </c>
      <c r="AH928" s="52">
        <v>0</v>
      </c>
      <c r="AI928" s="52">
        <v>0</v>
      </c>
      <c r="AJ928" s="52">
        <v>2</v>
      </c>
      <c r="AK928" s="52"/>
      <c r="AL928" s="52">
        <v>0</v>
      </c>
      <c r="AM928" s="52">
        <v>0</v>
      </c>
      <c r="AN928" s="52">
        <v>11250000000</v>
      </c>
      <c r="AO928" s="52">
        <v>0</v>
      </c>
      <c r="AP928" s="52">
        <v>0</v>
      </c>
      <c r="AQ928" s="58">
        <v>0</v>
      </c>
      <c r="AR928" s="58">
        <v>0</v>
      </c>
      <c r="AS928" s="58">
        <v>0</v>
      </c>
      <c r="AT928" s="58">
        <v>0</v>
      </c>
      <c r="AU928" s="58">
        <v>7</v>
      </c>
      <c r="AV928" s="58">
        <v>218296</v>
      </c>
      <c r="AW928" s="58">
        <v>5</v>
      </c>
      <c r="AX928" s="58">
        <v>2949381</v>
      </c>
    </row>
    <row r="929" spans="1:50" x14ac:dyDescent="0.25">
      <c r="A929" s="52">
        <f t="shared" si="45"/>
        <v>924</v>
      </c>
      <c r="B929" s="60" t="str">
        <f t="shared" si="44"/>
        <v>0108155645</v>
      </c>
      <c r="C929" s="55" t="s">
        <v>36</v>
      </c>
      <c r="D929" s="53" t="s">
        <v>2146</v>
      </c>
      <c r="E929" s="55" t="s">
        <v>10</v>
      </c>
      <c r="F929" s="53" t="s">
        <v>2147</v>
      </c>
      <c r="G929" s="55" t="s">
        <v>10</v>
      </c>
      <c r="H929" s="53" t="s">
        <v>2638</v>
      </c>
      <c r="I929" s="55">
        <v>303189158</v>
      </c>
      <c r="J929" s="55">
        <v>55645</v>
      </c>
      <c r="K929" s="55" t="s">
        <v>1723</v>
      </c>
      <c r="L929" s="53" t="s">
        <v>2079</v>
      </c>
      <c r="M929" s="55" t="s">
        <v>49</v>
      </c>
      <c r="N929" s="52">
        <v>2550000000</v>
      </c>
      <c r="O929" s="52">
        <v>2550000000</v>
      </c>
      <c r="P929" s="52">
        <v>2550000000</v>
      </c>
      <c r="Q929" s="57">
        <v>45294</v>
      </c>
      <c r="R929" s="57">
        <v>46752</v>
      </c>
      <c r="S929" s="56">
        <v>28</v>
      </c>
      <c r="T929" s="54">
        <v>0</v>
      </c>
      <c r="U929" s="52">
        <v>1762329213.1800001</v>
      </c>
      <c r="V929" s="52">
        <v>1751340154.04</v>
      </c>
      <c r="W929" s="52">
        <v>10989059.140000001</v>
      </c>
      <c r="X929" s="57">
        <v>46037</v>
      </c>
      <c r="Y929" s="52">
        <v>0</v>
      </c>
      <c r="Z929" s="52">
        <v>0</v>
      </c>
      <c r="AA929" s="52">
        <v>1</v>
      </c>
      <c r="AB929" s="52">
        <v>109890.6</v>
      </c>
      <c r="AC929" s="52">
        <v>22872271.75</v>
      </c>
      <c r="AD929" s="52">
        <v>22839394.890000001</v>
      </c>
      <c r="AE929" s="52">
        <v>0</v>
      </c>
      <c r="AF929" s="52">
        <v>0</v>
      </c>
      <c r="AG929" s="52">
        <v>32876.86</v>
      </c>
      <c r="AH929" s="52">
        <v>0</v>
      </c>
      <c r="AI929" s="52">
        <v>0</v>
      </c>
      <c r="AJ929" s="52">
        <v>2</v>
      </c>
      <c r="AK929" s="52"/>
      <c r="AL929" s="52">
        <v>5982152</v>
      </c>
      <c r="AM929" s="52">
        <v>0</v>
      </c>
      <c r="AN929" s="52">
        <v>3750000000</v>
      </c>
      <c r="AO929" s="52">
        <v>0</v>
      </c>
      <c r="AP929" s="52">
        <v>0</v>
      </c>
      <c r="AQ929" s="58">
        <v>0</v>
      </c>
      <c r="AR929" s="58">
        <v>0</v>
      </c>
      <c r="AS929" s="58">
        <v>0</v>
      </c>
      <c r="AT929" s="58">
        <v>0</v>
      </c>
      <c r="AU929" s="58">
        <v>0</v>
      </c>
      <c r="AV929" s="58">
        <v>0</v>
      </c>
      <c r="AW929" s="58">
        <v>0</v>
      </c>
      <c r="AX929" s="58">
        <v>0</v>
      </c>
    </row>
    <row r="930" spans="1:50" x14ac:dyDescent="0.25">
      <c r="A930" s="52">
        <f t="shared" si="45"/>
        <v>925</v>
      </c>
      <c r="B930" s="60" t="str">
        <f t="shared" si="44"/>
        <v>0108160406</v>
      </c>
      <c r="C930" s="55" t="s">
        <v>36</v>
      </c>
      <c r="D930" s="53" t="s">
        <v>2146</v>
      </c>
      <c r="E930" s="55" t="s">
        <v>10</v>
      </c>
      <c r="F930" s="53" t="s">
        <v>2147</v>
      </c>
      <c r="G930" s="55" t="s">
        <v>10</v>
      </c>
      <c r="H930" s="53" t="s">
        <v>2637</v>
      </c>
      <c r="I930" s="55">
        <v>300889468</v>
      </c>
      <c r="J930" s="55">
        <v>60406</v>
      </c>
      <c r="K930" s="55" t="s">
        <v>1724</v>
      </c>
      <c r="L930" s="53" t="s">
        <v>2079</v>
      </c>
      <c r="M930" s="55" t="s">
        <v>49</v>
      </c>
      <c r="N930" s="52">
        <v>3000000000</v>
      </c>
      <c r="O930" s="52">
        <v>3000000000</v>
      </c>
      <c r="P930" s="52">
        <v>3000000000</v>
      </c>
      <c r="Q930" s="57">
        <v>45527</v>
      </c>
      <c r="R930" s="57">
        <v>46619</v>
      </c>
      <c r="S930" s="56">
        <v>27</v>
      </c>
      <c r="T930" s="54">
        <v>3</v>
      </c>
      <c r="U930" s="52">
        <v>1727272727.26</v>
      </c>
      <c r="V930" s="52">
        <v>1727272727.26</v>
      </c>
      <c r="W930" s="52">
        <v>0</v>
      </c>
      <c r="X930" s="57"/>
      <c r="Y930" s="52">
        <v>0</v>
      </c>
      <c r="Z930" s="52">
        <v>0</v>
      </c>
      <c r="AA930" s="52">
        <v>1</v>
      </c>
      <c r="AB930" s="52">
        <v>0</v>
      </c>
      <c r="AC930" s="52">
        <v>21721046.07</v>
      </c>
      <c r="AD930" s="52">
        <v>21721046.07</v>
      </c>
      <c r="AE930" s="52">
        <v>0</v>
      </c>
      <c r="AF930" s="52">
        <v>0</v>
      </c>
      <c r="AG930" s="52">
        <v>0</v>
      </c>
      <c r="AH930" s="52">
        <v>0</v>
      </c>
      <c r="AI930" s="52">
        <v>0</v>
      </c>
      <c r="AJ930" s="52">
        <v>2</v>
      </c>
      <c r="AK930" s="52"/>
      <c r="AL930" s="52">
        <v>0</v>
      </c>
      <c r="AM930" s="52">
        <v>0</v>
      </c>
      <c r="AN930" s="52">
        <v>3750000000</v>
      </c>
      <c r="AO930" s="52">
        <v>0</v>
      </c>
      <c r="AP930" s="52">
        <v>0</v>
      </c>
      <c r="AQ930" s="58">
        <v>0</v>
      </c>
      <c r="AR930" s="58">
        <v>0</v>
      </c>
      <c r="AS930" s="58">
        <v>0</v>
      </c>
      <c r="AT930" s="58">
        <v>0</v>
      </c>
      <c r="AU930" s="58">
        <v>7</v>
      </c>
      <c r="AV930" s="58">
        <v>218296</v>
      </c>
      <c r="AW930" s="58">
        <v>5</v>
      </c>
      <c r="AX930" s="58">
        <v>2949381</v>
      </c>
    </row>
    <row r="931" spans="1:50" x14ac:dyDescent="0.25">
      <c r="A931" s="52">
        <f t="shared" si="45"/>
        <v>926</v>
      </c>
      <c r="B931" s="60" t="str">
        <f t="shared" si="44"/>
        <v>0108162867</v>
      </c>
      <c r="C931" s="55" t="s">
        <v>36</v>
      </c>
      <c r="D931" s="53" t="s">
        <v>2146</v>
      </c>
      <c r="E931" s="55" t="s">
        <v>10</v>
      </c>
      <c r="F931" s="53" t="s">
        <v>2147</v>
      </c>
      <c r="G931" s="55" t="s">
        <v>10</v>
      </c>
      <c r="H931" s="53" t="s">
        <v>1725</v>
      </c>
      <c r="I931" s="55">
        <v>303900586</v>
      </c>
      <c r="J931" s="55" t="s">
        <v>1726</v>
      </c>
      <c r="K931" s="55" t="s">
        <v>1727</v>
      </c>
      <c r="L931" s="53" t="s">
        <v>2079</v>
      </c>
      <c r="M931" s="55" t="s">
        <v>75</v>
      </c>
      <c r="N931" s="52">
        <v>200000</v>
      </c>
      <c r="O931" s="52">
        <v>2413552000</v>
      </c>
      <c r="P931" s="52">
        <v>2402204000</v>
      </c>
      <c r="Q931" s="57">
        <v>45770</v>
      </c>
      <c r="R931" s="57">
        <v>47595</v>
      </c>
      <c r="S931" s="56">
        <v>14</v>
      </c>
      <c r="T931" s="54">
        <v>0</v>
      </c>
      <c r="U931" s="52">
        <v>1708478587.3959999</v>
      </c>
      <c r="V931" s="52">
        <v>1708478587.3959999</v>
      </c>
      <c r="W931" s="52">
        <v>0</v>
      </c>
      <c r="X931" s="57"/>
      <c r="Y931" s="52">
        <v>0</v>
      </c>
      <c r="Z931" s="52">
        <v>0</v>
      </c>
      <c r="AA931" s="52">
        <v>1</v>
      </c>
      <c r="AB931" s="52">
        <v>0</v>
      </c>
      <c r="AC931" s="52">
        <v>11328450.232999999</v>
      </c>
      <c r="AD931" s="52">
        <v>11328450.232999999</v>
      </c>
      <c r="AE931" s="52">
        <v>0</v>
      </c>
      <c r="AF931" s="52">
        <v>0</v>
      </c>
      <c r="AG931" s="52">
        <v>0</v>
      </c>
      <c r="AH931" s="52">
        <v>0</v>
      </c>
      <c r="AI931" s="52">
        <v>0</v>
      </c>
      <c r="AJ931" s="52">
        <v>2</v>
      </c>
      <c r="AK931" s="52"/>
      <c r="AL931" s="52">
        <v>0</v>
      </c>
      <c r="AM931" s="52">
        <v>0</v>
      </c>
      <c r="AN931" s="52">
        <v>3002755000</v>
      </c>
      <c r="AO931" s="52">
        <v>0</v>
      </c>
      <c r="AP931" s="52">
        <v>0</v>
      </c>
      <c r="AQ931" s="58">
        <v>0</v>
      </c>
      <c r="AR931" s="58">
        <v>0</v>
      </c>
      <c r="AS931" s="58">
        <v>0</v>
      </c>
      <c r="AT931" s="58">
        <v>0</v>
      </c>
      <c r="AU931" s="58">
        <v>0</v>
      </c>
      <c r="AV931" s="58">
        <v>0</v>
      </c>
      <c r="AW931" s="58">
        <v>2</v>
      </c>
      <c r="AX931" s="58">
        <v>229000</v>
      </c>
    </row>
    <row r="932" spans="1:50" x14ac:dyDescent="0.25">
      <c r="A932" s="52">
        <f t="shared" si="45"/>
        <v>927</v>
      </c>
      <c r="B932" s="60" t="str">
        <f t="shared" si="44"/>
        <v>0108162694</v>
      </c>
      <c r="C932" s="55" t="s">
        <v>36</v>
      </c>
      <c r="D932" s="53" t="s">
        <v>2146</v>
      </c>
      <c r="E932" s="55" t="s">
        <v>10</v>
      </c>
      <c r="F932" s="53" t="s">
        <v>2147</v>
      </c>
      <c r="G932" s="55" t="s">
        <v>10</v>
      </c>
      <c r="H932" s="53" t="s">
        <v>2633</v>
      </c>
      <c r="I932" s="55">
        <v>302174787</v>
      </c>
      <c r="J932" s="55" t="s">
        <v>1728</v>
      </c>
      <c r="K932" s="55" t="s">
        <v>1729</v>
      </c>
      <c r="L932" s="53" t="s">
        <v>2079</v>
      </c>
      <c r="M932" s="55" t="s">
        <v>75</v>
      </c>
      <c r="N932" s="52">
        <v>183000</v>
      </c>
      <c r="O932" s="52">
        <v>2208400080</v>
      </c>
      <c r="P932" s="52">
        <v>2207007450</v>
      </c>
      <c r="Q932" s="57">
        <v>45744</v>
      </c>
      <c r="R932" s="57">
        <v>46563</v>
      </c>
      <c r="S932" s="56">
        <v>14</v>
      </c>
      <c r="T932" s="54">
        <v>0</v>
      </c>
      <c r="U932" s="52">
        <v>1437536088.4319999</v>
      </c>
      <c r="V932" s="52">
        <v>1437536088.4319999</v>
      </c>
      <c r="W932" s="52">
        <v>0</v>
      </c>
      <c r="X932" s="57"/>
      <c r="Y932" s="52">
        <v>0</v>
      </c>
      <c r="Z932" s="52">
        <v>0</v>
      </c>
      <c r="AA932" s="52">
        <v>1</v>
      </c>
      <c r="AB932" s="52">
        <v>0</v>
      </c>
      <c r="AC932" s="52">
        <v>9503708.8550000004</v>
      </c>
      <c r="AD932" s="52">
        <v>9503708.8550000004</v>
      </c>
      <c r="AE932" s="52">
        <v>0</v>
      </c>
      <c r="AF932" s="52">
        <v>0</v>
      </c>
      <c r="AG932" s="52">
        <v>0</v>
      </c>
      <c r="AH932" s="52">
        <v>0</v>
      </c>
      <c r="AI932" s="52">
        <v>0</v>
      </c>
      <c r="AJ932" s="52">
        <v>2</v>
      </c>
      <c r="AK932" s="52"/>
      <c r="AL932" s="52">
        <v>0</v>
      </c>
      <c r="AM932" s="52">
        <v>0</v>
      </c>
      <c r="AN932" s="52">
        <v>2758759312</v>
      </c>
      <c r="AO932" s="52">
        <v>0</v>
      </c>
      <c r="AP932" s="52">
        <v>0</v>
      </c>
      <c r="AQ932" s="58">
        <v>0</v>
      </c>
      <c r="AR932" s="58">
        <v>0</v>
      </c>
      <c r="AS932" s="58">
        <v>0</v>
      </c>
      <c r="AT932" s="58">
        <v>0</v>
      </c>
      <c r="AU932" s="58">
        <v>40</v>
      </c>
      <c r="AV932" s="58">
        <v>939875</v>
      </c>
      <c r="AW932" s="58">
        <v>3</v>
      </c>
      <c r="AX932" s="58">
        <v>606000</v>
      </c>
    </row>
    <row r="933" spans="1:50" x14ac:dyDescent="0.25">
      <c r="A933" s="52">
        <f t="shared" si="45"/>
        <v>928</v>
      </c>
      <c r="B933" s="60" t="str">
        <f t="shared" si="44"/>
        <v>0108162868</v>
      </c>
      <c r="C933" s="55" t="s">
        <v>36</v>
      </c>
      <c r="D933" s="53" t="s">
        <v>2146</v>
      </c>
      <c r="E933" s="55" t="s">
        <v>10</v>
      </c>
      <c r="F933" s="53" t="s">
        <v>2147</v>
      </c>
      <c r="G933" s="55" t="s">
        <v>10</v>
      </c>
      <c r="H933" s="53" t="s">
        <v>2639</v>
      </c>
      <c r="I933" s="55">
        <v>311936545</v>
      </c>
      <c r="J933" s="55" t="s">
        <v>1730</v>
      </c>
      <c r="K933" s="55" t="s">
        <v>1731</v>
      </c>
      <c r="L933" s="53" t="s">
        <v>2079</v>
      </c>
      <c r="M933" s="55" t="s">
        <v>49</v>
      </c>
      <c r="N933" s="52">
        <v>1380000000</v>
      </c>
      <c r="O933" s="52">
        <v>1380000000</v>
      </c>
      <c r="P933" s="52">
        <v>1380000000</v>
      </c>
      <c r="Q933" s="57">
        <v>45770</v>
      </c>
      <c r="R933" s="57">
        <v>46864</v>
      </c>
      <c r="S933" s="56">
        <v>26</v>
      </c>
      <c r="T933" s="54">
        <v>0</v>
      </c>
      <c r="U933" s="52">
        <v>1293351027.3599999</v>
      </c>
      <c r="V933" s="52">
        <v>1239975063.75</v>
      </c>
      <c r="W933" s="52">
        <v>53375963.609999999</v>
      </c>
      <c r="X933" s="57">
        <v>45945</v>
      </c>
      <c r="Y933" s="52">
        <v>0</v>
      </c>
      <c r="Z933" s="52">
        <v>0</v>
      </c>
      <c r="AA933" s="52">
        <v>3</v>
      </c>
      <c r="AB933" s="52">
        <v>323337756.83999997</v>
      </c>
      <c r="AC933" s="52">
        <v>268501527.69999999</v>
      </c>
      <c r="AD933" s="52">
        <v>96276420.019999996</v>
      </c>
      <c r="AE933" s="52">
        <v>0</v>
      </c>
      <c r="AF933" s="52">
        <v>0</v>
      </c>
      <c r="AG933" s="52">
        <v>172225107.68000001</v>
      </c>
      <c r="AH933" s="52">
        <v>0</v>
      </c>
      <c r="AI933" s="52">
        <v>0</v>
      </c>
      <c r="AJ933" s="52">
        <v>2</v>
      </c>
      <c r="AK933" s="52"/>
      <c r="AL933" s="52">
        <v>0</v>
      </c>
      <c r="AM933" s="52">
        <v>0</v>
      </c>
      <c r="AN933" s="52">
        <v>1875</v>
      </c>
      <c r="AO933" s="52">
        <v>0</v>
      </c>
      <c r="AP933" s="52">
        <v>0</v>
      </c>
      <c r="AQ933" s="58">
        <v>0</v>
      </c>
      <c r="AR933" s="58">
        <v>0</v>
      </c>
      <c r="AS933" s="58">
        <v>0</v>
      </c>
      <c r="AT933" s="58">
        <v>0</v>
      </c>
      <c r="AU933" s="58">
        <v>0</v>
      </c>
      <c r="AV933" s="58">
        <v>0</v>
      </c>
      <c r="AW933" s="58">
        <v>0</v>
      </c>
      <c r="AX933" s="58">
        <v>0</v>
      </c>
    </row>
    <row r="934" spans="1:50" x14ac:dyDescent="0.25">
      <c r="A934" s="52">
        <f t="shared" si="45"/>
        <v>929</v>
      </c>
      <c r="B934" s="60" t="str">
        <f t="shared" si="44"/>
        <v>0108162645</v>
      </c>
      <c r="C934" s="55" t="s">
        <v>36</v>
      </c>
      <c r="D934" s="53" t="s">
        <v>2146</v>
      </c>
      <c r="E934" s="55" t="s">
        <v>10</v>
      </c>
      <c r="F934" s="53" t="s">
        <v>2147</v>
      </c>
      <c r="G934" s="55" t="s">
        <v>10</v>
      </c>
      <c r="H934" s="53" t="s">
        <v>1695</v>
      </c>
      <c r="I934" s="55">
        <v>303418124</v>
      </c>
      <c r="J934" s="55" t="s">
        <v>1732</v>
      </c>
      <c r="K934" s="55" t="s">
        <v>1733</v>
      </c>
      <c r="L934" s="53" t="s">
        <v>2045</v>
      </c>
      <c r="M934" s="55" t="s">
        <v>49</v>
      </c>
      <c r="N934" s="52">
        <v>7600000000</v>
      </c>
      <c r="O934" s="52">
        <v>7600000000</v>
      </c>
      <c r="P934" s="52">
        <v>7600000000</v>
      </c>
      <c r="Q934" s="57">
        <v>45736</v>
      </c>
      <c r="R934" s="57">
        <v>46100</v>
      </c>
      <c r="S934" s="56">
        <v>26</v>
      </c>
      <c r="T934" s="54">
        <v>3</v>
      </c>
      <c r="U934" s="52">
        <v>1288888888.9200001</v>
      </c>
      <c r="V934" s="52">
        <v>1288888888.9200001</v>
      </c>
      <c r="W934" s="52">
        <v>0</v>
      </c>
      <c r="X934" s="57"/>
      <c r="Y934" s="52">
        <v>0</v>
      </c>
      <c r="Z934" s="52">
        <v>0</v>
      </c>
      <c r="AA934" s="52">
        <v>1</v>
      </c>
      <c r="AB934" s="52">
        <v>0</v>
      </c>
      <c r="AC934" s="52">
        <v>18742161.34</v>
      </c>
      <c r="AD934" s="52">
        <v>18742161.34</v>
      </c>
      <c r="AE934" s="52">
        <v>0</v>
      </c>
      <c r="AF934" s="52">
        <v>0</v>
      </c>
      <c r="AG934" s="52">
        <v>0</v>
      </c>
      <c r="AH934" s="52">
        <v>0</v>
      </c>
      <c r="AI934" s="52">
        <v>0</v>
      </c>
      <c r="AJ934" s="52">
        <v>2</v>
      </c>
      <c r="AK934" s="52"/>
      <c r="AL934" s="52">
        <v>0</v>
      </c>
      <c r="AM934" s="52">
        <v>0</v>
      </c>
      <c r="AN934" s="52">
        <v>10000000000</v>
      </c>
      <c r="AO934" s="52">
        <v>345412035000</v>
      </c>
      <c r="AP934" s="52">
        <v>344556871000</v>
      </c>
      <c r="AQ934" s="58">
        <v>0</v>
      </c>
      <c r="AR934" s="58">
        <v>0</v>
      </c>
      <c r="AS934" s="58">
        <v>0</v>
      </c>
      <c r="AT934" s="58">
        <v>0</v>
      </c>
      <c r="AU934" s="58">
        <v>83</v>
      </c>
      <c r="AV934" s="58">
        <v>16270329.51</v>
      </c>
      <c r="AW934" s="58">
        <v>4</v>
      </c>
      <c r="AX934" s="58">
        <v>10870000</v>
      </c>
    </row>
    <row r="935" spans="1:50" x14ac:dyDescent="0.25">
      <c r="A935" s="52">
        <f t="shared" si="45"/>
        <v>930</v>
      </c>
      <c r="B935" s="60" t="str">
        <f t="shared" si="44"/>
        <v>0108163159</v>
      </c>
      <c r="C935" s="55" t="s">
        <v>36</v>
      </c>
      <c r="D935" s="53" t="s">
        <v>2146</v>
      </c>
      <c r="E935" s="55" t="s">
        <v>10</v>
      </c>
      <c r="F935" s="53" t="s">
        <v>2147</v>
      </c>
      <c r="G935" s="55" t="s">
        <v>10</v>
      </c>
      <c r="H935" s="53" t="s">
        <v>2636</v>
      </c>
      <c r="I935" s="55">
        <v>300373897</v>
      </c>
      <c r="J935" s="55" t="s">
        <v>1734</v>
      </c>
      <c r="K935" s="55" t="s">
        <v>1735</v>
      </c>
      <c r="L935" s="53" t="s">
        <v>2079</v>
      </c>
      <c r="M935" s="55" t="s">
        <v>75</v>
      </c>
      <c r="N935" s="52">
        <v>100000</v>
      </c>
      <c r="O935" s="52">
        <v>1206776000</v>
      </c>
      <c r="P935" s="52">
        <f>+O935</f>
        <v>1206776000</v>
      </c>
      <c r="Q935" s="57">
        <v>45811</v>
      </c>
      <c r="R935" s="57">
        <v>46906</v>
      </c>
      <c r="S935" s="56">
        <v>14</v>
      </c>
      <c r="T935" s="54">
        <v>6</v>
      </c>
      <c r="U935" s="52">
        <v>1186185954.023</v>
      </c>
      <c r="V935" s="52">
        <v>1186185954.023</v>
      </c>
      <c r="W935" s="52">
        <v>0</v>
      </c>
      <c r="X935" s="57"/>
      <c r="Y935" s="52">
        <v>0</v>
      </c>
      <c r="Z935" s="52">
        <v>0</v>
      </c>
      <c r="AA935" s="52">
        <v>1</v>
      </c>
      <c r="AB935" s="52">
        <v>0</v>
      </c>
      <c r="AC935" s="52">
        <v>7842069.4440000001</v>
      </c>
      <c r="AD935" s="52">
        <v>7842069.4440000001</v>
      </c>
      <c r="AE935" s="52">
        <v>0</v>
      </c>
      <c r="AF935" s="52">
        <v>0</v>
      </c>
      <c r="AG935" s="52">
        <v>0</v>
      </c>
      <c r="AH935" s="52">
        <v>0</v>
      </c>
      <c r="AI935" s="52">
        <v>0</v>
      </c>
      <c r="AJ935" s="52">
        <v>2</v>
      </c>
      <c r="AK935" s="52"/>
      <c r="AL935" s="52">
        <v>105540075</v>
      </c>
      <c r="AM935" s="52">
        <v>0</v>
      </c>
      <c r="AN935" s="52">
        <v>500000</v>
      </c>
      <c r="AO935" s="52">
        <v>0</v>
      </c>
      <c r="AP935" s="52">
        <v>0</v>
      </c>
      <c r="AQ935" s="58">
        <v>0</v>
      </c>
      <c r="AR935" s="58">
        <v>0</v>
      </c>
      <c r="AS935" s="58">
        <v>0</v>
      </c>
      <c r="AT935" s="58">
        <v>0</v>
      </c>
      <c r="AU935" s="58">
        <v>0</v>
      </c>
      <c r="AV935" s="58">
        <v>0</v>
      </c>
      <c r="AW935" s="58">
        <v>0</v>
      </c>
      <c r="AX935" s="58">
        <v>0</v>
      </c>
    </row>
    <row r="936" spans="1:50" x14ac:dyDescent="0.25">
      <c r="A936" s="52">
        <f t="shared" si="45"/>
        <v>931</v>
      </c>
      <c r="B936" s="60" t="str">
        <f t="shared" si="44"/>
        <v>0108163449</v>
      </c>
      <c r="C936" s="55" t="s">
        <v>36</v>
      </c>
      <c r="D936" s="53" t="s">
        <v>2146</v>
      </c>
      <c r="E936" s="55" t="s">
        <v>10</v>
      </c>
      <c r="F936" s="53" t="s">
        <v>2147</v>
      </c>
      <c r="G936" s="55" t="s">
        <v>10</v>
      </c>
      <c r="H936" s="53" t="s">
        <v>1712</v>
      </c>
      <c r="I936" s="55">
        <v>307788232</v>
      </c>
      <c r="J936" s="55" t="s">
        <v>1736</v>
      </c>
      <c r="K936" s="55" t="s">
        <v>1737</v>
      </c>
      <c r="L936" s="53" t="s">
        <v>2079</v>
      </c>
      <c r="M936" s="55" t="s">
        <v>75</v>
      </c>
      <c r="N936" s="52">
        <v>86000</v>
      </c>
      <c r="O936" s="52">
        <v>1037827360</v>
      </c>
      <c r="P936" s="52">
        <v>1037827360</v>
      </c>
      <c r="Q936" s="57">
        <v>45852</v>
      </c>
      <c r="R936" s="57">
        <v>46216</v>
      </c>
      <c r="S936" s="56">
        <v>14</v>
      </c>
      <c r="T936" s="54">
        <v>6</v>
      </c>
      <c r="U936" s="52">
        <v>1049122600</v>
      </c>
      <c r="V936" s="52">
        <v>1049122600</v>
      </c>
      <c r="W936" s="52">
        <v>0</v>
      </c>
      <c r="X936" s="57"/>
      <c r="Y936" s="52">
        <v>0</v>
      </c>
      <c r="Z936" s="52">
        <v>0</v>
      </c>
      <c r="AA936" s="52">
        <v>1</v>
      </c>
      <c r="AB936" s="52">
        <v>0</v>
      </c>
      <c r="AC936" s="52">
        <v>6935920.2960000001</v>
      </c>
      <c r="AD936" s="52">
        <v>6935920.2960000001</v>
      </c>
      <c r="AE936" s="52">
        <v>0</v>
      </c>
      <c r="AF936" s="52">
        <v>0</v>
      </c>
      <c r="AG936" s="52">
        <v>0</v>
      </c>
      <c r="AH936" s="52">
        <v>0</v>
      </c>
      <c r="AI936" s="52">
        <v>0</v>
      </c>
      <c r="AJ936" s="52">
        <v>2</v>
      </c>
      <c r="AK936" s="52"/>
      <c r="AL936" s="52">
        <v>0</v>
      </c>
      <c r="AM936" s="52">
        <v>0</v>
      </c>
      <c r="AN936" s="52">
        <v>1297284200</v>
      </c>
      <c r="AO936" s="52">
        <v>0</v>
      </c>
      <c r="AP936" s="52">
        <v>0</v>
      </c>
      <c r="AQ936" s="58">
        <v>0</v>
      </c>
      <c r="AR936" s="58">
        <v>0</v>
      </c>
      <c r="AS936" s="58">
        <v>2</v>
      </c>
      <c r="AT936" s="58">
        <v>83885.87</v>
      </c>
      <c r="AU936" s="58">
        <v>197</v>
      </c>
      <c r="AV936" s="58">
        <v>471055903.83999997</v>
      </c>
      <c r="AW936" s="58">
        <v>75</v>
      </c>
      <c r="AX936" s="58">
        <v>376928166.06</v>
      </c>
    </row>
    <row r="937" spans="1:50" x14ac:dyDescent="0.25">
      <c r="A937" s="52">
        <f t="shared" si="45"/>
        <v>932</v>
      </c>
      <c r="B937" s="60" t="str">
        <f t="shared" si="44"/>
        <v>0108164086</v>
      </c>
      <c r="C937" s="55" t="s">
        <v>36</v>
      </c>
      <c r="D937" s="53" t="s">
        <v>2146</v>
      </c>
      <c r="E937" s="55" t="s">
        <v>10</v>
      </c>
      <c r="F937" s="53" t="s">
        <v>2147</v>
      </c>
      <c r="G937" s="55" t="s">
        <v>10</v>
      </c>
      <c r="H937" s="53" t="s">
        <v>1712</v>
      </c>
      <c r="I937" s="55">
        <v>307788232</v>
      </c>
      <c r="J937" s="55" t="s">
        <v>1738</v>
      </c>
      <c r="K937" s="55" t="s">
        <v>1739</v>
      </c>
      <c r="L937" s="53" t="s">
        <v>2079</v>
      </c>
      <c r="M937" s="55" t="s">
        <v>75</v>
      </c>
      <c r="N937" s="52">
        <v>85000</v>
      </c>
      <c r="O937" s="52">
        <v>1025759600</v>
      </c>
      <c r="P937" s="52">
        <v>1025759600</v>
      </c>
      <c r="Q937" s="57">
        <v>45919</v>
      </c>
      <c r="R937" s="57">
        <v>46283</v>
      </c>
      <c r="S937" s="56">
        <v>14</v>
      </c>
      <c r="T937" s="54">
        <v>6</v>
      </c>
      <c r="U937" s="52">
        <v>1036923500</v>
      </c>
      <c r="V937" s="52">
        <v>1036923500</v>
      </c>
      <c r="W937" s="52">
        <v>0</v>
      </c>
      <c r="X937" s="57"/>
      <c r="Y937" s="52">
        <v>0</v>
      </c>
      <c r="Z937" s="52">
        <v>0</v>
      </c>
      <c r="AA937" s="52">
        <v>1</v>
      </c>
      <c r="AB937" s="52">
        <v>0</v>
      </c>
      <c r="AC937" s="52">
        <v>6855162.2539999997</v>
      </c>
      <c r="AD937" s="52">
        <v>6855162.2539999997</v>
      </c>
      <c r="AE937" s="52">
        <v>0</v>
      </c>
      <c r="AF937" s="52">
        <v>0</v>
      </c>
      <c r="AG937" s="52">
        <v>0</v>
      </c>
      <c r="AH937" s="52">
        <v>0</v>
      </c>
      <c r="AI937" s="52">
        <v>0</v>
      </c>
      <c r="AJ937" s="52">
        <v>2</v>
      </c>
      <c r="AK937" s="52"/>
      <c r="AL937" s="52">
        <v>0</v>
      </c>
      <c r="AM937" s="52">
        <v>0</v>
      </c>
      <c r="AN937" s="52">
        <v>1282199500</v>
      </c>
      <c r="AO937" s="52">
        <v>0</v>
      </c>
      <c r="AP937" s="52">
        <v>0</v>
      </c>
      <c r="AQ937" s="58">
        <v>0</v>
      </c>
      <c r="AR937" s="58">
        <v>0</v>
      </c>
      <c r="AS937" s="58">
        <v>2</v>
      </c>
      <c r="AT937" s="58">
        <v>83885.87</v>
      </c>
      <c r="AU937" s="58">
        <v>197</v>
      </c>
      <c r="AV937" s="58">
        <v>471055903.83999997</v>
      </c>
      <c r="AW937" s="58">
        <v>75</v>
      </c>
      <c r="AX937" s="58">
        <v>376928166.06</v>
      </c>
    </row>
    <row r="938" spans="1:50" x14ac:dyDescent="0.25">
      <c r="A938" s="52">
        <f t="shared" si="45"/>
        <v>933</v>
      </c>
      <c r="B938" s="60" t="str">
        <f t="shared" si="44"/>
        <v>0108162261</v>
      </c>
      <c r="C938" s="55" t="s">
        <v>36</v>
      </c>
      <c r="D938" s="53" t="s">
        <v>2146</v>
      </c>
      <c r="E938" s="55" t="s">
        <v>10</v>
      </c>
      <c r="F938" s="53" t="s">
        <v>2147</v>
      </c>
      <c r="G938" s="55" t="s">
        <v>10</v>
      </c>
      <c r="H938" s="53" t="s">
        <v>2640</v>
      </c>
      <c r="I938" s="55">
        <v>301527118</v>
      </c>
      <c r="J938" s="55" t="s">
        <v>1740</v>
      </c>
      <c r="K938" s="55" t="s">
        <v>1741</v>
      </c>
      <c r="L938" s="53" t="s">
        <v>2079</v>
      </c>
      <c r="M938" s="55" t="s">
        <v>49</v>
      </c>
      <c r="N938" s="52">
        <v>1411550000</v>
      </c>
      <c r="O938" s="52">
        <v>1411550000</v>
      </c>
      <c r="P938" s="52">
        <v>1411550000</v>
      </c>
      <c r="Q938" s="57">
        <v>45679</v>
      </c>
      <c r="R938" s="57">
        <v>47504</v>
      </c>
      <c r="S938" s="56">
        <v>28</v>
      </c>
      <c r="T938" s="54">
        <v>0</v>
      </c>
      <c r="U938" s="52">
        <v>1036481485.3099999</v>
      </c>
      <c r="V938" s="52">
        <v>1036481485.3099999</v>
      </c>
      <c r="W938" s="52">
        <v>0</v>
      </c>
      <c r="X938" s="57"/>
      <c r="Y938" s="52">
        <v>0</v>
      </c>
      <c r="Z938" s="52">
        <v>0</v>
      </c>
      <c r="AA938" s="52">
        <v>1</v>
      </c>
      <c r="AB938" s="52">
        <v>0</v>
      </c>
      <c r="AC938" s="52">
        <v>13714772.24</v>
      </c>
      <c r="AD938" s="52">
        <v>13714772.24</v>
      </c>
      <c r="AE938" s="52">
        <v>0</v>
      </c>
      <c r="AF938" s="52">
        <v>0</v>
      </c>
      <c r="AG938" s="52">
        <v>0</v>
      </c>
      <c r="AH938" s="52">
        <v>0</v>
      </c>
      <c r="AI938" s="52">
        <v>0</v>
      </c>
      <c r="AJ938" s="52">
        <v>2</v>
      </c>
      <c r="AK938" s="52"/>
      <c r="AL938" s="52">
        <v>723358336</v>
      </c>
      <c r="AM938" s="52">
        <v>0</v>
      </c>
      <c r="AN938" s="52">
        <v>2000000000</v>
      </c>
      <c r="AO938" s="52">
        <v>0</v>
      </c>
      <c r="AP938" s="52">
        <v>0</v>
      </c>
      <c r="AQ938" s="58">
        <v>0</v>
      </c>
      <c r="AR938" s="58">
        <v>0</v>
      </c>
      <c r="AS938" s="58">
        <v>0</v>
      </c>
      <c r="AT938" s="58">
        <v>0</v>
      </c>
      <c r="AU938" s="58">
        <v>0</v>
      </c>
      <c r="AV938" s="58">
        <v>0</v>
      </c>
      <c r="AW938" s="58">
        <v>0</v>
      </c>
      <c r="AX938" s="58">
        <v>0</v>
      </c>
    </row>
    <row r="939" spans="1:50" x14ac:dyDescent="0.25">
      <c r="A939" s="52">
        <f t="shared" si="45"/>
        <v>934</v>
      </c>
      <c r="B939" s="60" t="str">
        <f t="shared" si="44"/>
        <v>0108163870</v>
      </c>
      <c r="C939" s="55" t="s">
        <v>36</v>
      </c>
      <c r="D939" s="53" t="s">
        <v>2146</v>
      </c>
      <c r="E939" s="55" t="s">
        <v>10</v>
      </c>
      <c r="F939" s="53" t="s">
        <v>2147</v>
      </c>
      <c r="G939" s="55" t="s">
        <v>10</v>
      </c>
      <c r="H939" s="53" t="s">
        <v>1712</v>
      </c>
      <c r="I939" s="55">
        <v>307788232</v>
      </c>
      <c r="J939" s="55" t="s">
        <v>1742</v>
      </c>
      <c r="K939" s="55" t="s">
        <v>1743</v>
      </c>
      <c r="L939" s="53" t="s">
        <v>2079</v>
      </c>
      <c r="M939" s="55" t="s">
        <v>75</v>
      </c>
      <c r="N939" s="52">
        <v>76000</v>
      </c>
      <c r="O939" s="52">
        <v>917149760</v>
      </c>
      <c r="P939" s="52">
        <v>917149760</v>
      </c>
      <c r="Q939" s="57">
        <v>45897</v>
      </c>
      <c r="R939" s="57">
        <v>46261</v>
      </c>
      <c r="S939" s="56">
        <v>14</v>
      </c>
      <c r="T939" s="54">
        <v>6</v>
      </c>
      <c r="U939" s="52">
        <v>927131600</v>
      </c>
      <c r="V939" s="52">
        <v>927131600</v>
      </c>
      <c r="W939" s="52">
        <v>0</v>
      </c>
      <c r="X939" s="57"/>
      <c r="Y939" s="52">
        <v>0</v>
      </c>
      <c r="Z939" s="52">
        <v>0</v>
      </c>
      <c r="AA939" s="52">
        <v>1</v>
      </c>
      <c r="AB939" s="52">
        <v>0</v>
      </c>
      <c r="AC939" s="52">
        <v>6129315.8039999995</v>
      </c>
      <c r="AD939" s="52">
        <v>6129315.8039999995</v>
      </c>
      <c r="AE939" s="52">
        <v>0</v>
      </c>
      <c r="AF939" s="52">
        <v>0</v>
      </c>
      <c r="AG939" s="52">
        <v>0</v>
      </c>
      <c r="AH939" s="52">
        <v>0</v>
      </c>
      <c r="AI939" s="52">
        <v>0</v>
      </c>
      <c r="AJ939" s="52">
        <v>2</v>
      </c>
      <c r="AK939" s="52"/>
      <c r="AL939" s="52">
        <v>0</v>
      </c>
      <c r="AM939" s="52">
        <v>0</v>
      </c>
      <c r="AN939" s="52">
        <v>1146437200</v>
      </c>
      <c r="AO939" s="52">
        <v>0</v>
      </c>
      <c r="AP939" s="52">
        <v>0</v>
      </c>
      <c r="AQ939" s="58">
        <v>0</v>
      </c>
      <c r="AR939" s="58">
        <v>0</v>
      </c>
      <c r="AS939" s="58">
        <v>2</v>
      </c>
      <c r="AT939" s="58">
        <v>83885.87</v>
      </c>
      <c r="AU939" s="58">
        <v>197</v>
      </c>
      <c r="AV939" s="58">
        <v>471055903.83999997</v>
      </c>
      <c r="AW939" s="58">
        <v>75</v>
      </c>
      <c r="AX939" s="58">
        <v>376928166.06</v>
      </c>
    </row>
    <row r="940" spans="1:50" x14ac:dyDescent="0.25">
      <c r="A940" s="52">
        <f t="shared" si="45"/>
        <v>935</v>
      </c>
      <c r="B940" s="60" t="str">
        <f t="shared" si="44"/>
        <v>0108163125</v>
      </c>
      <c r="C940" s="55" t="s">
        <v>36</v>
      </c>
      <c r="D940" s="53" t="s">
        <v>2146</v>
      </c>
      <c r="E940" s="55" t="s">
        <v>10</v>
      </c>
      <c r="F940" s="53" t="s">
        <v>2147</v>
      </c>
      <c r="G940" s="55" t="s">
        <v>10</v>
      </c>
      <c r="H940" s="53" t="s">
        <v>2641</v>
      </c>
      <c r="I940" s="55">
        <v>305875498</v>
      </c>
      <c r="J940" s="55" t="s">
        <v>1744</v>
      </c>
      <c r="K940" s="55" t="s">
        <v>1745</v>
      </c>
      <c r="L940" s="53" t="s">
        <v>2079</v>
      </c>
      <c r="M940" s="55" t="s">
        <v>75</v>
      </c>
      <c r="N940" s="52">
        <v>105000</v>
      </c>
      <c r="O940" s="52">
        <v>1267114800</v>
      </c>
      <c r="P940" s="52">
        <v>1267114800</v>
      </c>
      <c r="Q940" s="57">
        <v>45806</v>
      </c>
      <c r="R940" s="57">
        <v>46170</v>
      </c>
      <c r="S940" s="56">
        <v>14</v>
      </c>
      <c r="T940" s="54">
        <v>6</v>
      </c>
      <c r="U940" s="52">
        <v>853937000</v>
      </c>
      <c r="V940" s="52">
        <v>853937000</v>
      </c>
      <c r="W940" s="52">
        <v>0</v>
      </c>
      <c r="X940" s="57"/>
      <c r="Y940" s="52">
        <v>0</v>
      </c>
      <c r="Z940" s="52">
        <v>0</v>
      </c>
      <c r="AA940" s="52">
        <v>1</v>
      </c>
      <c r="AB940" s="52">
        <v>0</v>
      </c>
      <c r="AC940" s="52">
        <v>5645499.4979999997</v>
      </c>
      <c r="AD940" s="52">
        <v>5645499.4979999997</v>
      </c>
      <c r="AE940" s="52">
        <v>0</v>
      </c>
      <c r="AF940" s="52">
        <v>0</v>
      </c>
      <c r="AG940" s="52">
        <v>0</v>
      </c>
      <c r="AH940" s="52">
        <v>0</v>
      </c>
      <c r="AI940" s="52">
        <v>0</v>
      </c>
      <c r="AJ940" s="52">
        <v>2</v>
      </c>
      <c r="AK940" s="52"/>
      <c r="AL940" s="52">
        <v>22167</v>
      </c>
      <c r="AM940" s="52">
        <v>0</v>
      </c>
      <c r="AN940" s="52">
        <v>3000000000</v>
      </c>
      <c r="AO940" s="52">
        <v>0</v>
      </c>
      <c r="AP940" s="52">
        <v>0</v>
      </c>
      <c r="AQ940" s="58">
        <v>0</v>
      </c>
      <c r="AR940" s="58">
        <v>0</v>
      </c>
      <c r="AS940" s="58">
        <v>4</v>
      </c>
      <c r="AT940" s="58">
        <v>81019.959999999992</v>
      </c>
      <c r="AU940" s="58">
        <v>134</v>
      </c>
      <c r="AV940" s="58">
        <v>26235526.48</v>
      </c>
      <c r="AW940" s="58">
        <v>30</v>
      </c>
      <c r="AX940" s="58">
        <v>43801147.549999997</v>
      </c>
    </row>
    <row r="941" spans="1:50" x14ac:dyDescent="0.25">
      <c r="A941" s="52">
        <f t="shared" si="45"/>
        <v>936</v>
      </c>
      <c r="B941" s="60" t="str">
        <f t="shared" si="44"/>
        <v>0108163852</v>
      </c>
      <c r="C941" s="55" t="s">
        <v>36</v>
      </c>
      <c r="D941" s="53" t="s">
        <v>2146</v>
      </c>
      <c r="E941" s="55" t="s">
        <v>10</v>
      </c>
      <c r="F941" s="53" t="s">
        <v>2147</v>
      </c>
      <c r="G941" s="55" t="s">
        <v>10</v>
      </c>
      <c r="H941" s="53" t="s">
        <v>2639</v>
      </c>
      <c r="I941" s="55">
        <v>311936545</v>
      </c>
      <c r="J941" s="55" t="s">
        <v>1746</v>
      </c>
      <c r="K941" s="55" t="s">
        <v>1747</v>
      </c>
      <c r="L941" s="53" t="s">
        <v>2079</v>
      </c>
      <c r="M941" s="55" t="s">
        <v>75</v>
      </c>
      <c r="N941" s="52">
        <v>70000</v>
      </c>
      <c r="O941" s="52">
        <v>844743200</v>
      </c>
      <c r="P941" s="52">
        <f>+O941</f>
        <v>844743200</v>
      </c>
      <c r="Q941" s="57">
        <v>45895</v>
      </c>
      <c r="R941" s="57">
        <v>46990</v>
      </c>
      <c r="S941" s="56">
        <v>14</v>
      </c>
      <c r="T941" s="54">
        <v>0</v>
      </c>
      <c r="U941" s="52">
        <v>853937000</v>
      </c>
      <c r="V941" s="52">
        <v>853937000</v>
      </c>
      <c r="W941" s="52">
        <v>0</v>
      </c>
      <c r="X941" s="57"/>
      <c r="Y941" s="52">
        <v>0</v>
      </c>
      <c r="Z941" s="52">
        <v>0</v>
      </c>
      <c r="AA941" s="52">
        <v>3</v>
      </c>
      <c r="AB941" s="52">
        <v>213484250</v>
      </c>
      <c r="AC941" s="52">
        <v>52078445.864</v>
      </c>
      <c r="AD941" s="52">
        <v>52078445.864</v>
      </c>
      <c r="AE941" s="52">
        <v>0</v>
      </c>
      <c r="AF941" s="52">
        <v>0</v>
      </c>
      <c r="AG941" s="52">
        <v>0</v>
      </c>
      <c r="AH941" s="52">
        <v>0</v>
      </c>
      <c r="AI941" s="52">
        <v>0</v>
      </c>
      <c r="AJ941" s="52">
        <v>2</v>
      </c>
      <c r="AK941" s="52"/>
      <c r="AL941" s="52">
        <v>2274218491</v>
      </c>
      <c r="AM941" s="52">
        <v>0</v>
      </c>
      <c r="AN941" s="52">
        <v>2875</v>
      </c>
      <c r="AO941" s="52">
        <v>0</v>
      </c>
      <c r="AP941" s="52">
        <v>0</v>
      </c>
      <c r="AQ941" s="58">
        <v>0</v>
      </c>
      <c r="AR941" s="58">
        <v>0</v>
      </c>
      <c r="AS941" s="58">
        <v>0</v>
      </c>
      <c r="AT941" s="58">
        <v>0</v>
      </c>
      <c r="AU941" s="58">
        <v>0</v>
      </c>
      <c r="AV941" s="58">
        <v>0</v>
      </c>
      <c r="AW941" s="58">
        <v>0</v>
      </c>
      <c r="AX941" s="58">
        <v>0</v>
      </c>
    </row>
    <row r="942" spans="1:50" x14ac:dyDescent="0.25">
      <c r="A942" s="52">
        <f t="shared" si="45"/>
        <v>937</v>
      </c>
      <c r="B942" s="60" t="str">
        <f t="shared" si="44"/>
        <v>0108163648</v>
      </c>
      <c r="C942" s="55" t="s">
        <v>36</v>
      </c>
      <c r="D942" s="53" t="s">
        <v>2146</v>
      </c>
      <c r="E942" s="55" t="s">
        <v>10</v>
      </c>
      <c r="F942" s="53" t="s">
        <v>2147</v>
      </c>
      <c r="G942" s="55" t="s">
        <v>10</v>
      </c>
      <c r="H942" s="53" t="s">
        <v>2636</v>
      </c>
      <c r="I942" s="55">
        <v>300373897</v>
      </c>
      <c r="J942" s="55" t="s">
        <v>1748</v>
      </c>
      <c r="K942" s="55" t="s">
        <v>1749</v>
      </c>
      <c r="L942" s="53" t="s">
        <v>2079</v>
      </c>
      <c r="M942" s="55" t="s">
        <v>75</v>
      </c>
      <c r="N942" s="52">
        <v>65000</v>
      </c>
      <c r="O942" s="52">
        <v>784404400</v>
      </c>
      <c r="P942" s="52">
        <f>+O942</f>
        <v>784404400</v>
      </c>
      <c r="Q942" s="57">
        <v>45877</v>
      </c>
      <c r="R942" s="57">
        <v>46972</v>
      </c>
      <c r="S942" s="56">
        <v>15</v>
      </c>
      <c r="T942" s="54">
        <v>3</v>
      </c>
      <c r="U942" s="52">
        <v>772572052.77499998</v>
      </c>
      <c r="V942" s="52">
        <v>752964439.34500003</v>
      </c>
      <c r="W942" s="52">
        <v>19607613.43</v>
      </c>
      <c r="X942" s="57">
        <v>46037</v>
      </c>
      <c r="Y942" s="52">
        <v>0</v>
      </c>
      <c r="Z942" s="52">
        <v>0</v>
      </c>
      <c r="AA942" s="52">
        <v>1</v>
      </c>
      <c r="AB942" s="52">
        <v>196039.53700000001</v>
      </c>
      <c r="AC942" s="52">
        <v>9587638.6630000006</v>
      </c>
      <c r="AD942" s="52">
        <v>5260373.9110000003</v>
      </c>
      <c r="AE942" s="52">
        <v>0</v>
      </c>
      <c r="AF942" s="52">
        <v>0</v>
      </c>
      <c r="AG942" s="52">
        <v>4327264.7520000003</v>
      </c>
      <c r="AH942" s="52">
        <v>0</v>
      </c>
      <c r="AI942" s="52">
        <v>0</v>
      </c>
      <c r="AJ942" s="52">
        <v>2</v>
      </c>
      <c r="AK942" s="52"/>
      <c r="AL942" s="52">
        <v>105540075</v>
      </c>
      <c r="AM942" s="52">
        <v>0</v>
      </c>
      <c r="AN942" s="52">
        <v>500000</v>
      </c>
      <c r="AO942" s="52">
        <v>0</v>
      </c>
      <c r="AP942" s="52">
        <v>0</v>
      </c>
      <c r="AQ942" s="58">
        <v>0</v>
      </c>
      <c r="AR942" s="58">
        <v>0</v>
      </c>
      <c r="AS942" s="58">
        <v>0</v>
      </c>
      <c r="AT942" s="58">
        <v>0</v>
      </c>
      <c r="AU942" s="58">
        <v>0</v>
      </c>
      <c r="AV942" s="58">
        <v>0</v>
      </c>
      <c r="AW942" s="58">
        <v>0</v>
      </c>
      <c r="AX942" s="58">
        <v>0</v>
      </c>
    </row>
    <row r="943" spans="1:50" x14ac:dyDescent="0.25">
      <c r="A943" s="52">
        <f t="shared" si="45"/>
        <v>938</v>
      </c>
      <c r="B943" s="60" t="str">
        <f t="shared" si="44"/>
        <v>0108163579</v>
      </c>
      <c r="C943" s="55" t="s">
        <v>36</v>
      </c>
      <c r="D943" s="53" t="s">
        <v>2146</v>
      </c>
      <c r="E943" s="55" t="s">
        <v>10</v>
      </c>
      <c r="F943" s="53" t="s">
        <v>2147</v>
      </c>
      <c r="G943" s="55" t="s">
        <v>10</v>
      </c>
      <c r="H943" s="53" t="s">
        <v>1750</v>
      </c>
      <c r="I943" s="55">
        <v>305647875</v>
      </c>
      <c r="J943" s="55" t="s">
        <v>1751</v>
      </c>
      <c r="K943" s="55" t="s">
        <v>1752</v>
      </c>
      <c r="L943" s="53" t="s">
        <v>2079</v>
      </c>
      <c r="M943" s="55" t="s">
        <v>49</v>
      </c>
      <c r="N943" s="52">
        <v>1270000000</v>
      </c>
      <c r="O943" s="52">
        <v>1270000000</v>
      </c>
      <c r="P943" s="52">
        <v>1270000000</v>
      </c>
      <c r="Q943" s="57">
        <v>45870</v>
      </c>
      <c r="R943" s="57">
        <v>46234</v>
      </c>
      <c r="S943" s="56">
        <v>26</v>
      </c>
      <c r="T943" s="54">
        <v>6</v>
      </c>
      <c r="U943" s="52">
        <v>715000000</v>
      </c>
      <c r="V943" s="52">
        <v>715000000</v>
      </c>
      <c r="W943" s="52">
        <v>0</v>
      </c>
      <c r="X943" s="57"/>
      <c r="Y943" s="52">
        <v>0</v>
      </c>
      <c r="Z943" s="52">
        <v>0</v>
      </c>
      <c r="AA943" s="52">
        <v>1</v>
      </c>
      <c r="AB943" s="52">
        <v>0</v>
      </c>
      <c r="AC943" s="52">
        <v>8658356.1600000001</v>
      </c>
      <c r="AD943" s="52">
        <v>8658356.1600000001</v>
      </c>
      <c r="AE943" s="52">
        <v>0</v>
      </c>
      <c r="AF943" s="52">
        <v>0</v>
      </c>
      <c r="AG943" s="52">
        <v>0</v>
      </c>
      <c r="AH943" s="52">
        <v>0</v>
      </c>
      <c r="AI943" s="52">
        <v>0</v>
      </c>
      <c r="AJ943" s="52">
        <v>2</v>
      </c>
      <c r="AK943" s="52"/>
      <c r="AL943" s="52">
        <v>0</v>
      </c>
      <c r="AM943" s="52">
        <v>0</v>
      </c>
      <c r="AN943" s="52">
        <v>3750000000</v>
      </c>
      <c r="AO943" s="52">
        <v>4112000000</v>
      </c>
      <c r="AP943" s="52">
        <v>4110000000</v>
      </c>
      <c r="AQ943" s="58">
        <v>0</v>
      </c>
      <c r="AR943" s="58">
        <v>0</v>
      </c>
      <c r="AS943" s="58">
        <v>0</v>
      </c>
      <c r="AT943" s="58">
        <v>0</v>
      </c>
      <c r="AU943" s="58">
        <v>65</v>
      </c>
      <c r="AV943" s="58">
        <v>46963521.069999993</v>
      </c>
      <c r="AW943" s="58">
        <v>15</v>
      </c>
      <c r="AX943" s="58">
        <v>60529042.390000001</v>
      </c>
    </row>
    <row r="944" spans="1:50" x14ac:dyDescent="0.25">
      <c r="A944" s="52">
        <f t="shared" si="45"/>
        <v>939</v>
      </c>
      <c r="B944" s="60" t="str">
        <f t="shared" si="44"/>
        <v>0108164079</v>
      </c>
      <c r="C944" s="55" t="s">
        <v>36</v>
      </c>
      <c r="D944" s="53" t="s">
        <v>2146</v>
      </c>
      <c r="E944" s="55" t="s">
        <v>10</v>
      </c>
      <c r="F944" s="53" t="s">
        <v>2147</v>
      </c>
      <c r="G944" s="55" t="s">
        <v>10</v>
      </c>
      <c r="H944" s="53" t="s">
        <v>2642</v>
      </c>
      <c r="I944" s="55">
        <v>311970061</v>
      </c>
      <c r="J944" s="55" t="s">
        <v>1753</v>
      </c>
      <c r="K944" s="55" t="s">
        <v>1754</v>
      </c>
      <c r="L944" s="53" t="s">
        <v>2045</v>
      </c>
      <c r="M944" s="55" t="s">
        <v>75</v>
      </c>
      <c r="N944" s="52">
        <v>60000</v>
      </c>
      <c r="O944" s="52">
        <v>724065600</v>
      </c>
      <c r="P944" s="52">
        <f>+O944</f>
        <v>724065600</v>
      </c>
      <c r="Q944" s="57">
        <v>45922</v>
      </c>
      <c r="R944" s="57">
        <v>47017</v>
      </c>
      <c r="S944" s="56">
        <v>15</v>
      </c>
      <c r="T944" s="54">
        <v>3</v>
      </c>
      <c r="U944" s="52">
        <v>714713063.37600005</v>
      </c>
      <c r="V944" s="52">
        <v>714713063.37600005</v>
      </c>
      <c r="W944" s="52">
        <v>0</v>
      </c>
      <c r="X944" s="57"/>
      <c r="Y944" s="52">
        <v>0</v>
      </c>
      <c r="Z944" s="52">
        <v>0</v>
      </c>
      <c r="AA944" s="52">
        <v>1</v>
      </c>
      <c r="AB944" s="52">
        <v>0</v>
      </c>
      <c r="AC944" s="52">
        <v>4993213.6210000003</v>
      </c>
      <c r="AD944" s="52">
        <v>4993213.6210000003</v>
      </c>
      <c r="AE944" s="52">
        <v>0</v>
      </c>
      <c r="AF944" s="52">
        <v>0</v>
      </c>
      <c r="AG944" s="52">
        <v>0</v>
      </c>
      <c r="AH944" s="52">
        <v>0</v>
      </c>
      <c r="AI944" s="52">
        <v>0</v>
      </c>
      <c r="AJ944" s="52">
        <v>2</v>
      </c>
      <c r="AK944" s="52"/>
      <c r="AL944" s="52">
        <v>0</v>
      </c>
      <c r="AM944" s="52">
        <v>0</v>
      </c>
      <c r="AN944" s="52">
        <v>22844375</v>
      </c>
      <c r="AO944" s="52">
        <v>0</v>
      </c>
      <c r="AP944" s="52">
        <v>0</v>
      </c>
      <c r="AQ944" s="58">
        <v>0</v>
      </c>
      <c r="AR944" s="58">
        <v>0</v>
      </c>
      <c r="AS944" s="58">
        <v>0</v>
      </c>
      <c r="AT944" s="58">
        <v>0</v>
      </c>
      <c r="AU944" s="58">
        <v>0</v>
      </c>
      <c r="AV944" s="58">
        <v>0</v>
      </c>
      <c r="AW944" s="58">
        <v>0</v>
      </c>
      <c r="AX944" s="58">
        <v>0</v>
      </c>
    </row>
    <row r="945" spans="1:50" x14ac:dyDescent="0.25">
      <c r="A945" s="52">
        <f t="shared" si="45"/>
        <v>940</v>
      </c>
      <c r="B945" s="60" t="str">
        <f t="shared" si="44"/>
        <v>0108162484</v>
      </c>
      <c r="C945" s="55" t="s">
        <v>36</v>
      </c>
      <c r="D945" s="53" t="s">
        <v>2146</v>
      </c>
      <c r="E945" s="55" t="s">
        <v>10</v>
      </c>
      <c r="F945" s="53" t="s">
        <v>2147</v>
      </c>
      <c r="G945" s="55" t="s">
        <v>10</v>
      </c>
      <c r="H945" s="53" t="s">
        <v>1755</v>
      </c>
      <c r="I945" s="55">
        <v>304708790</v>
      </c>
      <c r="J945" s="55" t="s">
        <v>1756</v>
      </c>
      <c r="K945" s="55" t="s">
        <v>1757</v>
      </c>
      <c r="L945" s="53" t="s">
        <v>2079</v>
      </c>
      <c r="M945" s="55" t="s">
        <v>49</v>
      </c>
      <c r="N945" s="52">
        <v>1400000000</v>
      </c>
      <c r="O945" s="52">
        <v>1400000000</v>
      </c>
      <c r="P945" s="52">
        <v>1400000000</v>
      </c>
      <c r="Q945" s="57">
        <v>45713</v>
      </c>
      <c r="R945" s="57">
        <v>46258</v>
      </c>
      <c r="S945" s="56">
        <v>26</v>
      </c>
      <c r="T945" s="54">
        <v>0</v>
      </c>
      <c r="U945" s="52">
        <v>712742720.23000002</v>
      </c>
      <c r="V945" s="52">
        <v>712742720.23000002</v>
      </c>
      <c r="W945" s="52">
        <v>0</v>
      </c>
      <c r="X945" s="57"/>
      <c r="Y945" s="52">
        <v>0</v>
      </c>
      <c r="Z945" s="52">
        <v>0</v>
      </c>
      <c r="AA945" s="52">
        <v>1</v>
      </c>
      <c r="AB945" s="52">
        <v>0</v>
      </c>
      <c r="AC945" s="52">
        <v>8631053.4700000007</v>
      </c>
      <c r="AD945" s="52">
        <v>8631053.4700000007</v>
      </c>
      <c r="AE945" s="52">
        <v>0</v>
      </c>
      <c r="AF945" s="52">
        <v>0</v>
      </c>
      <c r="AG945" s="52">
        <v>0</v>
      </c>
      <c r="AH945" s="52">
        <v>0</v>
      </c>
      <c r="AI945" s="52">
        <v>0</v>
      </c>
      <c r="AJ945" s="52">
        <v>2</v>
      </c>
      <c r="AK945" s="52"/>
      <c r="AL945" s="52">
        <v>17771720203</v>
      </c>
      <c r="AM945" s="52">
        <v>0</v>
      </c>
      <c r="AN945" s="52">
        <v>2886000000</v>
      </c>
      <c r="AO945" s="52">
        <v>0</v>
      </c>
      <c r="AP945" s="52">
        <v>0</v>
      </c>
      <c r="AQ945" s="58">
        <v>0</v>
      </c>
      <c r="AR945" s="58">
        <v>0</v>
      </c>
      <c r="AS945" s="58">
        <v>0</v>
      </c>
      <c r="AT945" s="58">
        <v>0</v>
      </c>
      <c r="AU945" s="58">
        <v>0</v>
      </c>
      <c r="AV945" s="58">
        <v>0</v>
      </c>
      <c r="AW945" s="58">
        <v>0</v>
      </c>
      <c r="AX945" s="58">
        <v>0</v>
      </c>
    </row>
    <row r="946" spans="1:50" x14ac:dyDescent="0.25">
      <c r="A946" s="52">
        <f t="shared" si="45"/>
        <v>941</v>
      </c>
      <c r="B946" s="60" t="str">
        <f t="shared" si="44"/>
        <v>0108163059</v>
      </c>
      <c r="C946" s="55" t="s">
        <v>36</v>
      </c>
      <c r="D946" s="53" t="s">
        <v>2146</v>
      </c>
      <c r="E946" s="55" t="s">
        <v>10</v>
      </c>
      <c r="F946" s="53" t="s">
        <v>2147</v>
      </c>
      <c r="G946" s="55" t="s">
        <v>10</v>
      </c>
      <c r="H946" s="53" t="s">
        <v>1712</v>
      </c>
      <c r="I946" s="55">
        <v>307788232</v>
      </c>
      <c r="J946" s="55" t="s">
        <v>1758</v>
      </c>
      <c r="K946" s="55" t="s">
        <v>1759</v>
      </c>
      <c r="L946" s="53" t="s">
        <v>2079</v>
      </c>
      <c r="M946" s="55" t="s">
        <v>75</v>
      </c>
      <c r="N946" s="52">
        <v>87000</v>
      </c>
      <c r="O946" s="52">
        <v>1049895120</v>
      </c>
      <c r="P946" s="52">
        <v>1049895120</v>
      </c>
      <c r="Q946" s="57">
        <v>45796</v>
      </c>
      <c r="R946" s="57">
        <v>46160</v>
      </c>
      <c r="S946" s="56">
        <v>14</v>
      </c>
      <c r="T946" s="54">
        <v>6</v>
      </c>
      <c r="U946" s="52">
        <v>707547800</v>
      </c>
      <c r="V946" s="52">
        <v>707547800</v>
      </c>
      <c r="W946" s="52">
        <v>0</v>
      </c>
      <c r="X946" s="57"/>
      <c r="Y946" s="52">
        <v>0</v>
      </c>
      <c r="Z946" s="52">
        <v>0</v>
      </c>
      <c r="AA946" s="52">
        <v>1</v>
      </c>
      <c r="AB946" s="52">
        <v>0</v>
      </c>
      <c r="AC946" s="52">
        <v>4677622.9040000001</v>
      </c>
      <c r="AD946" s="52">
        <v>4677622.9040000001</v>
      </c>
      <c r="AE946" s="52">
        <v>0</v>
      </c>
      <c r="AF946" s="52">
        <v>0</v>
      </c>
      <c r="AG946" s="52">
        <v>0</v>
      </c>
      <c r="AH946" s="52">
        <v>0</v>
      </c>
      <c r="AI946" s="52">
        <v>0</v>
      </c>
      <c r="AJ946" s="52">
        <v>2</v>
      </c>
      <c r="AK946" s="52"/>
      <c r="AL946" s="52">
        <v>0</v>
      </c>
      <c r="AM946" s="52">
        <v>0</v>
      </c>
      <c r="AN946" s="52">
        <v>1312368900</v>
      </c>
      <c r="AO946" s="52">
        <v>0</v>
      </c>
      <c r="AP946" s="52">
        <v>0</v>
      </c>
      <c r="AQ946" s="58">
        <v>0</v>
      </c>
      <c r="AR946" s="58">
        <v>0</v>
      </c>
      <c r="AS946" s="58">
        <v>2</v>
      </c>
      <c r="AT946" s="58">
        <v>83885.87</v>
      </c>
      <c r="AU946" s="58">
        <v>197</v>
      </c>
      <c r="AV946" s="58">
        <v>471055903.83999997</v>
      </c>
      <c r="AW946" s="58">
        <v>75</v>
      </c>
      <c r="AX946" s="58">
        <v>376928166.06</v>
      </c>
    </row>
    <row r="947" spans="1:50" x14ac:dyDescent="0.25">
      <c r="A947" s="52">
        <f t="shared" si="45"/>
        <v>942</v>
      </c>
      <c r="B947" s="60" t="str">
        <f t="shared" si="44"/>
        <v>0108163771</v>
      </c>
      <c r="C947" s="55" t="s">
        <v>36</v>
      </c>
      <c r="D947" s="53" t="s">
        <v>2146</v>
      </c>
      <c r="E947" s="55" t="s">
        <v>10</v>
      </c>
      <c r="F947" s="53" t="s">
        <v>2147</v>
      </c>
      <c r="G947" s="55" t="s">
        <v>10</v>
      </c>
      <c r="H947" s="53" t="s">
        <v>2642</v>
      </c>
      <c r="I947" s="55">
        <v>311970061</v>
      </c>
      <c r="J947" s="55" t="s">
        <v>1760</v>
      </c>
      <c r="K947" s="55" t="s">
        <v>1761</v>
      </c>
      <c r="L947" s="53" t="s">
        <v>2045</v>
      </c>
      <c r="M947" s="55" t="s">
        <v>75</v>
      </c>
      <c r="N947" s="52">
        <v>60000</v>
      </c>
      <c r="O947" s="52">
        <v>724065600</v>
      </c>
      <c r="P947" s="52">
        <f>+O947</f>
        <v>724065600</v>
      </c>
      <c r="Q947" s="57">
        <v>45889</v>
      </c>
      <c r="R947" s="57">
        <v>46983</v>
      </c>
      <c r="S947" s="56">
        <v>15</v>
      </c>
      <c r="T947" s="54">
        <v>3</v>
      </c>
      <c r="U947" s="52">
        <v>696346586.38</v>
      </c>
      <c r="V947" s="52">
        <v>696346586.38</v>
      </c>
      <c r="W947" s="52">
        <v>0</v>
      </c>
      <c r="X947" s="57"/>
      <c r="Y947" s="52">
        <v>0</v>
      </c>
      <c r="Z947" s="52">
        <v>0</v>
      </c>
      <c r="AA947" s="52">
        <v>1</v>
      </c>
      <c r="AB947" s="52">
        <v>0</v>
      </c>
      <c r="AC947" s="52">
        <v>4864879.0889999997</v>
      </c>
      <c r="AD947" s="52">
        <v>4864879.0889999997</v>
      </c>
      <c r="AE947" s="52">
        <v>0</v>
      </c>
      <c r="AF947" s="52">
        <v>0</v>
      </c>
      <c r="AG947" s="52">
        <v>0</v>
      </c>
      <c r="AH947" s="52">
        <v>0</v>
      </c>
      <c r="AI947" s="52">
        <v>0</v>
      </c>
      <c r="AJ947" s="52">
        <v>2</v>
      </c>
      <c r="AK947" s="52"/>
      <c r="AL947" s="52">
        <v>0</v>
      </c>
      <c r="AM947" s="52">
        <v>0</v>
      </c>
      <c r="AN947" s="52">
        <v>22844375</v>
      </c>
      <c r="AO947" s="52">
        <v>0</v>
      </c>
      <c r="AP947" s="52">
        <v>0</v>
      </c>
      <c r="AQ947" s="58">
        <v>0</v>
      </c>
      <c r="AR947" s="58">
        <v>0</v>
      </c>
      <c r="AS947" s="58">
        <v>0</v>
      </c>
      <c r="AT947" s="58">
        <v>0</v>
      </c>
      <c r="AU947" s="58">
        <v>0</v>
      </c>
      <c r="AV947" s="58">
        <v>0</v>
      </c>
      <c r="AW947" s="58">
        <v>0</v>
      </c>
      <c r="AX947" s="58">
        <v>0</v>
      </c>
    </row>
    <row r="948" spans="1:50" x14ac:dyDescent="0.25">
      <c r="A948" s="52">
        <f t="shared" si="45"/>
        <v>943</v>
      </c>
      <c r="B948" s="60" t="str">
        <f t="shared" si="44"/>
        <v>0108163514</v>
      </c>
      <c r="C948" s="55" t="s">
        <v>36</v>
      </c>
      <c r="D948" s="53" t="s">
        <v>2146</v>
      </c>
      <c r="E948" s="55" t="s">
        <v>10</v>
      </c>
      <c r="F948" s="53" t="s">
        <v>2147</v>
      </c>
      <c r="G948" s="55" t="s">
        <v>10</v>
      </c>
      <c r="H948" s="53" t="s">
        <v>1712</v>
      </c>
      <c r="I948" s="55">
        <v>307788232</v>
      </c>
      <c r="J948" s="55" t="s">
        <v>1762</v>
      </c>
      <c r="K948" s="55" t="s">
        <v>1763</v>
      </c>
      <c r="L948" s="53" t="s">
        <v>2079</v>
      </c>
      <c r="M948" s="55" t="s">
        <v>75</v>
      </c>
      <c r="N948" s="52">
        <v>54500</v>
      </c>
      <c r="O948" s="52">
        <v>657692920</v>
      </c>
      <c r="P948" s="52">
        <v>657692920</v>
      </c>
      <c r="Q948" s="57">
        <v>45862</v>
      </c>
      <c r="R948" s="57">
        <v>46226</v>
      </c>
      <c r="S948" s="56">
        <v>14</v>
      </c>
      <c r="T948" s="54">
        <v>6</v>
      </c>
      <c r="U948" s="52">
        <v>664850950</v>
      </c>
      <c r="V948" s="52">
        <v>664850950</v>
      </c>
      <c r="W948" s="52">
        <v>0</v>
      </c>
      <c r="X948" s="57"/>
      <c r="Y948" s="52">
        <v>0</v>
      </c>
      <c r="Z948" s="52">
        <v>0</v>
      </c>
      <c r="AA948" s="52">
        <v>1</v>
      </c>
      <c r="AB948" s="52">
        <v>0</v>
      </c>
      <c r="AC948" s="52">
        <v>4395335.7300000004</v>
      </c>
      <c r="AD948" s="52">
        <v>4395335.7300000004</v>
      </c>
      <c r="AE948" s="52">
        <v>0</v>
      </c>
      <c r="AF948" s="52">
        <v>0</v>
      </c>
      <c r="AG948" s="52">
        <v>0</v>
      </c>
      <c r="AH948" s="52">
        <v>0</v>
      </c>
      <c r="AI948" s="52">
        <v>0</v>
      </c>
      <c r="AJ948" s="52">
        <v>2</v>
      </c>
      <c r="AK948" s="52"/>
      <c r="AL948" s="52">
        <v>0</v>
      </c>
      <c r="AM948" s="52">
        <v>0</v>
      </c>
      <c r="AN948" s="52">
        <v>822116150</v>
      </c>
      <c r="AO948" s="52">
        <v>0</v>
      </c>
      <c r="AP948" s="52">
        <v>0</v>
      </c>
      <c r="AQ948" s="58">
        <v>0</v>
      </c>
      <c r="AR948" s="58">
        <v>0</v>
      </c>
      <c r="AS948" s="58">
        <v>2</v>
      </c>
      <c r="AT948" s="58">
        <v>83885.87</v>
      </c>
      <c r="AU948" s="58">
        <v>197</v>
      </c>
      <c r="AV948" s="58">
        <v>471055903.83999997</v>
      </c>
      <c r="AW948" s="58">
        <v>75</v>
      </c>
      <c r="AX948" s="58">
        <v>376928166.06</v>
      </c>
    </row>
    <row r="949" spans="1:50" x14ac:dyDescent="0.25">
      <c r="A949" s="52">
        <f t="shared" si="45"/>
        <v>944</v>
      </c>
      <c r="B949" s="60" t="str">
        <f t="shared" si="44"/>
        <v>0108163460</v>
      </c>
      <c r="C949" s="55" t="s">
        <v>36</v>
      </c>
      <c r="D949" s="53" t="s">
        <v>2146</v>
      </c>
      <c r="E949" s="55" t="s">
        <v>10</v>
      </c>
      <c r="F949" s="53" t="s">
        <v>2147</v>
      </c>
      <c r="G949" s="55" t="s">
        <v>10</v>
      </c>
      <c r="H949" s="53" t="s">
        <v>1764</v>
      </c>
      <c r="I949" s="55">
        <v>307420532</v>
      </c>
      <c r="J949" s="55" t="s">
        <v>1765</v>
      </c>
      <c r="K949" s="55" t="s">
        <v>1766</v>
      </c>
      <c r="L949" s="53" t="s">
        <v>2079</v>
      </c>
      <c r="M949" s="55" t="s">
        <v>75</v>
      </c>
      <c r="N949" s="52">
        <v>60000</v>
      </c>
      <c r="O949" s="52">
        <v>724065600</v>
      </c>
      <c r="P949" s="52">
        <f>+O949</f>
        <v>724065600</v>
      </c>
      <c r="Q949" s="57">
        <v>45861</v>
      </c>
      <c r="R949" s="57">
        <v>46955</v>
      </c>
      <c r="S949" s="56">
        <v>14</v>
      </c>
      <c r="T949" s="54">
        <v>0</v>
      </c>
      <c r="U949" s="52">
        <v>632233118.41100001</v>
      </c>
      <c r="V949" s="52">
        <v>632233118.41100001</v>
      </c>
      <c r="W949" s="52">
        <v>0</v>
      </c>
      <c r="X949" s="57"/>
      <c r="Y949" s="52">
        <v>0</v>
      </c>
      <c r="Z949" s="52">
        <v>0</v>
      </c>
      <c r="AA949" s="52">
        <v>2</v>
      </c>
      <c r="AB949" s="52">
        <v>63223421.633000001</v>
      </c>
      <c r="AC949" s="52">
        <v>4179777.6329999999</v>
      </c>
      <c r="AD949" s="52">
        <v>4179777.6329999999</v>
      </c>
      <c r="AE949" s="52">
        <v>0</v>
      </c>
      <c r="AF949" s="52">
        <v>0</v>
      </c>
      <c r="AG949" s="52">
        <v>0</v>
      </c>
      <c r="AH949" s="52">
        <v>0</v>
      </c>
      <c r="AI949" s="52">
        <v>0</v>
      </c>
      <c r="AJ949" s="52">
        <v>2</v>
      </c>
      <c r="AK949" s="52"/>
      <c r="AL949" s="52">
        <v>0</v>
      </c>
      <c r="AM949" s="52">
        <v>0</v>
      </c>
      <c r="AN949" s="52">
        <v>75</v>
      </c>
      <c r="AO949" s="52">
        <v>0</v>
      </c>
      <c r="AP949" s="52">
        <v>0</v>
      </c>
      <c r="AQ949" s="58">
        <v>0</v>
      </c>
      <c r="AR949" s="58">
        <v>0</v>
      </c>
      <c r="AS949" s="58">
        <v>0</v>
      </c>
      <c r="AT949" s="58">
        <v>0</v>
      </c>
      <c r="AU949" s="58">
        <v>2</v>
      </c>
      <c r="AV949" s="58">
        <v>62626.8</v>
      </c>
      <c r="AW949" s="58">
        <v>0</v>
      </c>
      <c r="AX949" s="58">
        <v>0</v>
      </c>
    </row>
    <row r="950" spans="1:50" x14ac:dyDescent="0.25">
      <c r="A950" s="52">
        <f t="shared" si="45"/>
        <v>945</v>
      </c>
      <c r="B950" s="60" t="str">
        <f t="shared" si="44"/>
        <v>0108163879</v>
      </c>
      <c r="C950" s="55" t="s">
        <v>36</v>
      </c>
      <c r="D950" s="53" t="s">
        <v>2146</v>
      </c>
      <c r="E950" s="55" t="s">
        <v>10</v>
      </c>
      <c r="F950" s="53" t="s">
        <v>2147</v>
      </c>
      <c r="G950" s="55" t="s">
        <v>10</v>
      </c>
      <c r="H950" s="53" t="s">
        <v>2639</v>
      </c>
      <c r="I950" s="55">
        <v>311936545</v>
      </c>
      <c r="J950" s="55" t="s">
        <v>1767</v>
      </c>
      <c r="K950" s="55" t="s">
        <v>1768</v>
      </c>
      <c r="L950" s="53" t="s">
        <v>2079</v>
      </c>
      <c r="M950" s="55" t="s">
        <v>75</v>
      </c>
      <c r="N950" s="52">
        <v>48000</v>
      </c>
      <c r="O950" s="52">
        <v>579252480</v>
      </c>
      <c r="P950" s="52">
        <f>+O950</f>
        <v>579252480</v>
      </c>
      <c r="Q950" s="57">
        <v>45897</v>
      </c>
      <c r="R950" s="57">
        <v>46990</v>
      </c>
      <c r="S950" s="56">
        <v>14</v>
      </c>
      <c r="T950" s="54">
        <v>0</v>
      </c>
      <c r="U950" s="52">
        <v>585556800</v>
      </c>
      <c r="V950" s="52">
        <v>585556800</v>
      </c>
      <c r="W950" s="52">
        <v>0</v>
      </c>
      <c r="X950" s="57"/>
      <c r="Y950" s="52">
        <v>0</v>
      </c>
      <c r="Z950" s="52">
        <v>0</v>
      </c>
      <c r="AA950" s="52">
        <v>3</v>
      </c>
      <c r="AB950" s="52">
        <v>146389200</v>
      </c>
      <c r="AC950" s="52">
        <v>35037157.101000004</v>
      </c>
      <c r="AD950" s="52">
        <v>35037157.101000004</v>
      </c>
      <c r="AE950" s="52">
        <v>0</v>
      </c>
      <c r="AF950" s="52">
        <v>0</v>
      </c>
      <c r="AG950" s="52">
        <v>0</v>
      </c>
      <c r="AH950" s="52">
        <v>0</v>
      </c>
      <c r="AI950" s="52">
        <v>0</v>
      </c>
      <c r="AJ950" s="52">
        <v>2</v>
      </c>
      <c r="AK950" s="52"/>
      <c r="AL950" s="52">
        <v>328129552707</v>
      </c>
      <c r="AM950" s="52">
        <v>0</v>
      </c>
      <c r="AN950" s="52">
        <v>2875</v>
      </c>
      <c r="AO950" s="52">
        <v>0</v>
      </c>
      <c r="AP950" s="52">
        <v>0</v>
      </c>
      <c r="AQ950" s="58">
        <v>0</v>
      </c>
      <c r="AR950" s="58">
        <v>0</v>
      </c>
      <c r="AS950" s="58">
        <v>0</v>
      </c>
      <c r="AT950" s="58">
        <v>0</v>
      </c>
      <c r="AU950" s="58">
        <v>0</v>
      </c>
      <c r="AV950" s="58">
        <v>0</v>
      </c>
      <c r="AW950" s="58">
        <v>0</v>
      </c>
      <c r="AX950" s="58">
        <v>0</v>
      </c>
    </row>
    <row r="951" spans="1:50" x14ac:dyDescent="0.25">
      <c r="A951" s="52">
        <f t="shared" si="45"/>
        <v>946</v>
      </c>
      <c r="B951" s="60" t="str">
        <f t="shared" si="44"/>
        <v>0108164156</v>
      </c>
      <c r="C951" s="55" t="s">
        <v>36</v>
      </c>
      <c r="D951" s="53" t="s">
        <v>2146</v>
      </c>
      <c r="E951" s="55" t="s">
        <v>10</v>
      </c>
      <c r="F951" s="53" t="s">
        <v>2147</v>
      </c>
      <c r="G951" s="55" t="s">
        <v>10</v>
      </c>
      <c r="H951" s="53" t="s">
        <v>2633</v>
      </c>
      <c r="I951" s="55">
        <v>302174787</v>
      </c>
      <c r="J951" s="55" t="s">
        <v>1769</v>
      </c>
      <c r="K951" s="55" t="s">
        <v>1770</v>
      </c>
      <c r="L951" s="53" t="s">
        <v>2079</v>
      </c>
      <c r="M951" s="55" t="s">
        <v>75</v>
      </c>
      <c r="N951" s="52">
        <v>48000</v>
      </c>
      <c r="O951" s="52">
        <v>579252480</v>
      </c>
      <c r="P951" s="52">
        <v>578887200</v>
      </c>
      <c r="Q951" s="57">
        <v>45929</v>
      </c>
      <c r="R951" s="57">
        <v>47024</v>
      </c>
      <c r="S951" s="56">
        <v>14</v>
      </c>
      <c r="T951" s="54">
        <v>6</v>
      </c>
      <c r="U951" s="52">
        <v>585556556.01800001</v>
      </c>
      <c r="V951" s="52">
        <v>585556556.01800001</v>
      </c>
      <c r="W951" s="52">
        <v>0</v>
      </c>
      <c r="X951" s="57"/>
      <c r="Y951" s="52">
        <v>0</v>
      </c>
      <c r="Z951" s="52">
        <v>0</v>
      </c>
      <c r="AA951" s="52">
        <v>1</v>
      </c>
      <c r="AB951" s="52">
        <v>0</v>
      </c>
      <c r="AC951" s="52">
        <v>2504841.2030000002</v>
      </c>
      <c r="AD951" s="52">
        <v>2504841.2030000002</v>
      </c>
      <c r="AE951" s="52">
        <v>0</v>
      </c>
      <c r="AF951" s="52">
        <v>0</v>
      </c>
      <c r="AG951" s="52">
        <v>0</v>
      </c>
      <c r="AH951" s="52">
        <v>0</v>
      </c>
      <c r="AI951" s="52">
        <v>0</v>
      </c>
      <c r="AJ951" s="52">
        <v>2</v>
      </c>
      <c r="AK951" s="52"/>
      <c r="AL951" s="52">
        <v>0</v>
      </c>
      <c r="AM951" s="52">
        <v>0</v>
      </c>
      <c r="AN951" s="52">
        <v>7537593750</v>
      </c>
      <c r="AO951" s="52">
        <v>0</v>
      </c>
      <c r="AP951" s="52">
        <v>0</v>
      </c>
      <c r="AQ951" s="58">
        <v>0</v>
      </c>
      <c r="AR951" s="58">
        <v>0</v>
      </c>
      <c r="AS951" s="58">
        <v>0</v>
      </c>
      <c r="AT951" s="58">
        <v>0</v>
      </c>
      <c r="AU951" s="58">
        <v>40</v>
      </c>
      <c r="AV951" s="58">
        <v>939875</v>
      </c>
      <c r="AW951" s="58">
        <v>3</v>
      </c>
      <c r="AX951" s="58">
        <v>606000</v>
      </c>
    </row>
    <row r="952" spans="1:50" x14ac:dyDescent="0.25">
      <c r="A952" s="52">
        <f t="shared" si="45"/>
        <v>947</v>
      </c>
      <c r="B952" s="60" t="str">
        <f t="shared" si="44"/>
        <v>0108162893</v>
      </c>
      <c r="C952" s="55" t="s">
        <v>36</v>
      </c>
      <c r="D952" s="53" t="s">
        <v>2146</v>
      </c>
      <c r="E952" s="55" t="s">
        <v>10</v>
      </c>
      <c r="F952" s="53" t="s">
        <v>2147</v>
      </c>
      <c r="G952" s="55" t="s">
        <v>10</v>
      </c>
      <c r="H952" s="53" t="s">
        <v>1764</v>
      </c>
      <c r="I952" s="55">
        <v>307420532</v>
      </c>
      <c r="J952" s="55" t="s">
        <v>1771</v>
      </c>
      <c r="K952" s="55" t="s">
        <v>1772</v>
      </c>
      <c r="L952" s="53" t="s">
        <v>2079</v>
      </c>
      <c r="M952" s="55" t="s">
        <v>75</v>
      </c>
      <c r="N952" s="52">
        <v>54000</v>
      </c>
      <c r="O952" s="52">
        <v>651659040</v>
      </c>
      <c r="P952" s="52">
        <f>+O952</f>
        <v>651659040</v>
      </c>
      <c r="Q952" s="57">
        <v>45772</v>
      </c>
      <c r="R952" s="57">
        <v>46867</v>
      </c>
      <c r="S952" s="56">
        <v>14</v>
      </c>
      <c r="T952" s="54">
        <v>0</v>
      </c>
      <c r="U952" s="52">
        <v>520714191.824</v>
      </c>
      <c r="V952" s="52">
        <v>520714191.824</v>
      </c>
      <c r="W952" s="52">
        <v>0</v>
      </c>
      <c r="X952" s="57"/>
      <c r="Y952" s="52">
        <v>0</v>
      </c>
      <c r="Z952" s="52">
        <v>0</v>
      </c>
      <c r="AA952" s="52">
        <v>2</v>
      </c>
      <c r="AB952" s="52">
        <v>52071492.376999997</v>
      </c>
      <c r="AC952" s="52">
        <v>3240080.96</v>
      </c>
      <c r="AD952" s="52">
        <v>3240080.96</v>
      </c>
      <c r="AE952" s="52">
        <v>0</v>
      </c>
      <c r="AF952" s="52">
        <v>0</v>
      </c>
      <c r="AG952" s="52">
        <v>0</v>
      </c>
      <c r="AH952" s="52">
        <v>0</v>
      </c>
      <c r="AI952" s="52">
        <v>0</v>
      </c>
      <c r="AJ952" s="52">
        <v>2</v>
      </c>
      <c r="AK952" s="52"/>
      <c r="AL952" s="52">
        <v>0</v>
      </c>
      <c r="AM952" s="52">
        <v>0</v>
      </c>
      <c r="AN952" s="52">
        <v>675</v>
      </c>
      <c r="AO952" s="52">
        <v>0</v>
      </c>
      <c r="AP952" s="52">
        <v>0</v>
      </c>
      <c r="AQ952" s="58">
        <v>0</v>
      </c>
      <c r="AR952" s="58">
        <v>0</v>
      </c>
      <c r="AS952" s="58">
        <v>0</v>
      </c>
      <c r="AT952" s="58">
        <v>0</v>
      </c>
      <c r="AU952" s="58">
        <v>2</v>
      </c>
      <c r="AV952" s="58">
        <v>62626.8</v>
      </c>
      <c r="AW952" s="58">
        <v>0</v>
      </c>
      <c r="AX952" s="58">
        <v>0</v>
      </c>
    </row>
    <row r="953" spans="1:50" x14ac:dyDescent="0.25">
      <c r="A953" s="52">
        <f t="shared" si="45"/>
        <v>948</v>
      </c>
      <c r="B953" s="60" t="str">
        <f t="shared" si="44"/>
        <v>0108163865</v>
      </c>
      <c r="C953" s="55" t="s">
        <v>36</v>
      </c>
      <c r="D953" s="53" t="s">
        <v>2146</v>
      </c>
      <c r="E953" s="55" t="s">
        <v>10</v>
      </c>
      <c r="F953" s="53" t="s">
        <v>2147</v>
      </c>
      <c r="G953" s="55" t="s">
        <v>10</v>
      </c>
      <c r="H953" s="53" t="s">
        <v>1750</v>
      </c>
      <c r="I953" s="55">
        <v>305647875</v>
      </c>
      <c r="J953" s="55" t="s">
        <v>1773</v>
      </c>
      <c r="K953" s="55" t="s">
        <v>1774</v>
      </c>
      <c r="L953" s="53" t="s">
        <v>2079</v>
      </c>
      <c r="M953" s="55" t="s">
        <v>49</v>
      </c>
      <c r="N953" s="52">
        <v>488000000</v>
      </c>
      <c r="O953" s="52">
        <v>488000000</v>
      </c>
      <c r="P953" s="52">
        <v>488000000</v>
      </c>
      <c r="Q953" s="57">
        <v>45896</v>
      </c>
      <c r="R953" s="57">
        <v>46260</v>
      </c>
      <c r="S953" s="56">
        <v>26</v>
      </c>
      <c r="T953" s="54">
        <v>6</v>
      </c>
      <c r="U953" s="52">
        <v>488000000</v>
      </c>
      <c r="V953" s="52">
        <v>488000000</v>
      </c>
      <c r="W953" s="52">
        <v>0</v>
      </c>
      <c r="X953" s="57"/>
      <c r="Y953" s="52">
        <v>0</v>
      </c>
      <c r="Z953" s="52">
        <v>0</v>
      </c>
      <c r="AA953" s="52">
        <v>1</v>
      </c>
      <c r="AB953" s="52">
        <v>0</v>
      </c>
      <c r="AC953" s="52">
        <v>5909479.4500000002</v>
      </c>
      <c r="AD953" s="52">
        <v>5909479.4500000002</v>
      </c>
      <c r="AE953" s="52">
        <v>0</v>
      </c>
      <c r="AF953" s="52">
        <v>0</v>
      </c>
      <c r="AG953" s="52">
        <v>0</v>
      </c>
      <c r="AH953" s="52">
        <v>0</v>
      </c>
      <c r="AI953" s="52">
        <v>0</v>
      </c>
      <c r="AJ953" s="52">
        <v>2</v>
      </c>
      <c r="AK953" s="52"/>
      <c r="AL953" s="52">
        <v>0</v>
      </c>
      <c r="AM953" s="52">
        <v>0</v>
      </c>
      <c r="AN953" s="52">
        <v>3750000000</v>
      </c>
      <c r="AO953" s="52">
        <v>4112000000</v>
      </c>
      <c r="AP953" s="52">
        <v>4110000000</v>
      </c>
      <c r="AQ953" s="58">
        <v>0</v>
      </c>
      <c r="AR953" s="58">
        <v>0</v>
      </c>
      <c r="AS953" s="58">
        <v>0</v>
      </c>
      <c r="AT953" s="58">
        <v>0</v>
      </c>
      <c r="AU953" s="58">
        <v>65</v>
      </c>
      <c r="AV953" s="58">
        <v>46963521.069999993</v>
      </c>
      <c r="AW953" s="58">
        <v>15</v>
      </c>
      <c r="AX953" s="58">
        <v>60529042.390000001</v>
      </c>
    </row>
    <row r="954" spans="1:50" x14ac:dyDescent="0.25">
      <c r="A954" s="52">
        <f t="shared" si="45"/>
        <v>949</v>
      </c>
      <c r="B954" s="60" t="str">
        <f t="shared" si="44"/>
        <v>0108161377</v>
      </c>
      <c r="C954" s="55" t="s">
        <v>36</v>
      </c>
      <c r="D954" s="53" t="s">
        <v>2146</v>
      </c>
      <c r="E954" s="55" t="s">
        <v>10</v>
      </c>
      <c r="F954" s="53" t="s">
        <v>2147</v>
      </c>
      <c r="G954" s="55" t="s">
        <v>10</v>
      </c>
      <c r="H954" s="53" t="s">
        <v>2643</v>
      </c>
      <c r="I954" s="55">
        <v>306484288</v>
      </c>
      <c r="J954" s="55" t="s">
        <v>1775</v>
      </c>
      <c r="K954" s="55" t="s">
        <v>1776</v>
      </c>
      <c r="L954" s="53" t="s">
        <v>2045</v>
      </c>
      <c r="M954" s="55" t="s">
        <v>49</v>
      </c>
      <c r="N954" s="52">
        <v>714798000</v>
      </c>
      <c r="O954" s="52">
        <v>714798000</v>
      </c>
      <c r="P954" s="52">
        <v>714798000</v>
      </c>
      <c r="Q954" s="57">
        <v>45562</v>
      </c>
      <c r="R954" s="57">
        <v>46927</v>
      </c>
      <c r="S954" s="56">
        <v>26</v>
      </c>
      <c r="T954" s="54">
        <v>0</v>
      </c>
      <c r="U954" s="52">
        <v>476532000</v>
      </c>
      <c r="V954" s="52">
        <v>476532000</v>
      </c>
      <c r="W954" s="52">
        <v>0</v>
      </c>
      <c r="X954" s="57"/>
      <c r="Y954" s="52">
        <v>0</v>
      </c>
      <c r="Z954" s="52">
        <v>0</v>
      </c>
      <c r="AA954" s="52">
        <v>2</v>
      </c>
      <c r="AB954" s="52">
        <v>47653200</v>
      </c>
      <c r="AC954" s="52">
        <v>5770606.6900000004</v>
      </c>
      <c r="AD954" s="52">
        <v>5770606.6900000004</v>
      </c>
      <c r="AE954" s="52">
        <v>0</v>
      </c>
      <c r="AF954" s="52">
        <v>0</v>
      </c>
      <c r="AG954" s="52">
        <v>0</v>
      </c>
      <c r="AH954" s="52">
        <v>0</v>
      </c>
      <c r="AI954" s="52">
        <v>0</v>
      </c>
      <c r="AJ954" s="52">
        <v>2</v>
      </c>
      <c r="AK954" s="52"/>
      <c r="AL954" s="52">
        <v>0</v>
      </c>
      <c r="AM954" s="52">
        <v>0</v>
      </c>
      <c r="AN954" s="52">
        <v>2729099250</v>
      </c>
      <c r="AO954" s="52">
        <v>0</v>
      </c>
      <c r="AP954" s="52">
        <v>0</v>
      </c>
      <c r="AQ954" s="58">
        <v>1</v>
      </c>
      <c r="AR954" s="58">
        <v>69192.05</v>
      </c>
      <c r="AS954" s="58">
        <v>1</v>
      </c>
      <c r="AT954" s="58">
        <v>32560</v>
      </c>
      <c r="AU954" s="58">
        <v>0</v>
      </c>
      <c r="AV954" s="58">
        <v>0</v>
      </c>
      <c r="AW954" s="58">
        <v>0</v>
      </c>
      <c r="AX954" s="58">
        <v>0</v>
      </c>
    </row>
    <row r="955" spans="1:50" x14ac:dyDescent="0.25">
      <c r="A955" s="52">
        <f t="shared" si="45"/>
        <v>950</v>
      </c>
      <c r="B955" s="60" t="str">
        <f t="shared" si="44"/>
        <v>0108162104</v>
      </c>
      <c r="C955" s="55" t="s">
        <v>36</v>
      </c>
      <c r="D955" s="53" t="s">
        <v>2146</v>
      </c>
      <c r="E955" s="55" t="s">
        <v>10</v>
      </c>
      <c r="F955" s="53" t="s">
        <v>2147</v>
      </c>
      <c r="G955" s="55" t="s">
        <v>10</v>
      </c>
      <c r="H955" s="53" t="s">
        <v>2635</v>
      </c>
      <c r="I955" s="55">
        <v>309123060</v>
      </c>
      <c r="J955" s="55" t="s">
        <v>1777</v>
      </c>
      <c r="K955" s="55" t="s">
        <v>1778</v>
      </c>
      <c r="L955" s="53" t="s">
        <v>2079</v>
      </c>
      <c r="M955" s="55" t="s">
        <v>49</v>
      </c>
      <c r="N955" s="52">
        <v>1000000000</v>
      </c>
      <c r="O955" s="52">
        <v>1000000000</v>
      </c>
      <c r="P955" s="52">
        <v>1000000000</v>
      </c>
      <c r="Q955" s="57">
        <v>45643</v>
      </c>
      <c r="R955" s="57">
        <v>46189</v>
      </c>
      <c r="S955" s="56">
        <v>28</v>
      </c>
      <c r="T955" s="54">
        <v>3</v>
      </c>
      <c r="U955" s="52">
        <v>471670179.96000004</v>
      </c>
      <c r="V955" s="52">
        <v>418301424.74000001</v>
      </c>
      <c r="W955" s="52">
        <v>53368755.219999999</v>
      </c>
      <c r="X955" s="57">
        <v>46037</v>
      </c>
      <c r="Y955" s="52">
        <v>0</v>
      </c>
      <c r="Z955" s="52">
        <v>0</v>
      </c>
      <c r="AA955" s="52">
        <v>1</v>
      </c>
      <c r="AB955" s="52">
        <v>533687.56000000006</v>
      </c>
      <c r="AC955" s="52">
        <v>7224037.2599999998</v>
      </c>
      <c r="AD955" s="52">
        <v>5455108.9900000002</v>
      </c>
      <c r="AE955" s="52">
        <v>0</v>
      </c>
      <c r="AF955" s="52">
        <v>0</v>
      </c>
      <c r="AG955" s="52">
        <v>1768928.27</v>
      </c>
      <c r="AH955" s="52">
        <v>0</v>
      </c>
      <c r="AI955" s="52">
        <v>0</v>
      </c>
      <c r="AJ955" s="52">
        <v>2</v>
      </c>
      <c r="AK955" s="52"/>
      <c r="AL955" s="52">
        <v>0</v>
      </c>
      <c r="AM955" s="52">
        <v>0</v>
      </c>
      <c r="AN955" s="52">
        <v>150000000000</v>
      </c>
      <c r="AO955" s="52">
        <v>0</v>
      </c>
      <c r="AP955" s="52">
        <v>0</v>
      </c>
      <c r="AQ955" s="58">
        <v>0</v>
      </c>
      <c r="AR955" s="58">
        <v>0</v>
      </c>
      <c r="AS955" s="58">
        <v>0</v>
      </c>
      <c r="AT955" s="58">
        <v>0</v>
      </c>
      <c r="AU955" s="58">
        <v>1</v>
      </c>
      <c r="AV955" s="58">
        <v>201000</v>
      </c>
      <c r="AW955" s="58">
        <v>0</v>
      </c>
      <c r="AX955" s="58">
        <v>0</v>
      </c>
    </row>
    <row r="956" spans="1:50" x14ac:dyDescent="0.25">
      <c r="A956" s="52">
        <f t="shared" si="45"/>
        <v>951</v>
      </c>
      <c r="B956" s="60" t="str">
        <f t="shared" ref="B956:B1019" si="46">+E956&amp;J956</f>
        <v>0108162804</v>
      </c>
      <c r="C956" s="55" t="s">
        <v>36</v>
      </c>
      <c r="D956" s="53" t="s">
        <v>2146</v>
      </c>
      <c r="E956" s="55" t="s">
        <v>10</v>
      </c>
      <c r="F956" s="53" t="s">
        <v>2147</v>
      </c>
      <c r="G956" s="55" t="s">
        <v>10</v>
      </c>
      <c r="H956" s="53" t="s">
        <v>1779</v>
      </c>
      <c r="I956" s="55">
        <v>305248224</v>
      </c>
      <c r="J956" s="55" t="s">
        <v>1780</v>
      </c>
      <c r="K956" s="55" t="s">
        <v>1781</v>
      </c>
      <c r="L956" s="53" t="s">
        <v>2079</v>
      </c>
      <c r="M956" s="55" t="s">
        <v>75</v>
      </c>
      <c r="N956" s="52">
        <v>70000</v>
      </c>
      <c r="O956" s="52">
        <v>844743200</v>
      </c>
      <c r="P956" s="52">
        <f>+O956</f>
        <v>844743200</v>
      </c>
      <c r="Q956" s="57">
        <v>45763</v>
      </c>
      <c r="R956" s="57">
        <v>46127</v>
      </c>
      <c r="S956" s="56">
        <v>14</v>
      </c>
      <c r="T956" s="54">
        <v>6</v>
      </c>
      <c r="U956" s="52">
        <v>434507299.81800002</v>
      </c>
      <c r="V956" s="52">
        <v>434507299.81800002</v>
      </c>
      <c r="W956" s="52">
        <v>0</v>
      </c>
      <c r="X956" s="57"/>
      <c r="Y956" s="52">
        <v>0</v>
      </c>
      <c r="Z956" s="52">
        <v>0</v>
      </c>
      <c r="AA956" s="52">
        <v>1</v>
      </c>
      <c r="AB956" s="52">
        <v>0</v>
      </c>
      <c r="AC956" s="52">
        <v>2703564.5419999999</v>
      </c>
      <c r="AD956" s="52">
        <v>2703564.5419999999</v>
      </c>
      <c r="AE956" s="52">
        <v>0</v>
      </c>
      <c r="AF956" s="52">
        <v>0</v>
      </c>
      <c r="AG956" s="52">
        <v>0</v>
      </c>
      <c r="AH956" s="52">
        <v>0</v>
      </c>
      <c r="AI956" s="52">
        <v>0</v>
      </c>
      <c r="AJ956" s="52">
        <v>2</v>
      </c>
      <c r="AK956" s="52"/>
      <c r="AL956" s="52">
        <v>66762</v>
      </c>
      <c r="AM956" s="52">
        <v>0</v>
      </c>
      <c r="AN956" s="52">
        <v>2722790250</v>
      </c>
      <c r="AO956" s="52">
        <v>0</v>
      </c>
      <c r="AP956" s="52">
        <v>0</v>
      </c>
      <c r="AQ956" s="58">
        <v>1</v>
      </c>
      <c r="AR956" s="58">
        <v>22859.08</v>
      </c>
      <c r="AS956" s="58">
        <v>0</v>
      </c>
      <c r="AT956" s="58">
        <v>0</v>
      </c>
      <c r="AU956" s="58">
        <v>32</v>
      </c>
      <c r="AV956" s="58">
        <v>1370388.1400000001</v>
      </c>
      <c r="AW956" s="58">
        <v>12</v>
      </c>
      <c r="AX956" s="58">
        <v>622350.37</v>
      </c>
    </row>
    <row r="957" spans="1:50" x14ac:dyDescent="0.25">
      <c r="A957" s="52">
        <f t="shared" si="45"/>
        <v>952</v>
      </c>
      <c r="B957" s="60" t="str">
        <f t="shared" si="46"/>
        <v>0108162820</v>
      </c>
      <c r="C957" s="55" t="s">
        <v>36</v>
      </c>
      <c r="D957" s="53" t="s">
        <v>2146</v>
      </c>
      <c r="E957" s="55" t="s">
        <v>10</v>
      </c>
      <c r="F957" s="53" t="s">
        <v>2147</v>
      </c>
      <c r="G957" s="55" t="s">
        <v>10</v>
      </c>
      <c r="H957" s="53" t="s">
        <v>1712</v>
      </c>
      <c r="I957" s="55">
        <v>307788232</v>
      </c>
      <c r="J957" s="55" t="s">
        <v>1782</v>
      </c>
      <c r="K957" s="55" t="s">
        <v>1783</v>
      </c>
      <c r="L957" s="53" t="s">
        <v>2079</v>
      </c>
      <c r="M957" s="55" t="s">
        <v>75</v>
      </c>
      <c r="N957" s="52">
        <v>70000</v>
      </c>
      <c r="O957" s="52">
        <v>844743200</v>
      </c>
      <c r="P957" s="52">
        <v>844743200</v>
      </c>
      <c r="Q957" s="57">
        <v>45764</v>
      </c>
      <c r="R957" s="57">
        <v>46128</v>
      </c>
      <c r="S957" s="56">
        <v>14</v>
      </c>
      <c r="T957" s="54">
        <v>6</v>
      </c>
      <c r="U957" s="52">
        <v>426968378.009</v>
      </c>
      <c r="V957" s="52">
        <v>426968378.009</v>
      </c>
      <c r="W957" s="52">
        <v>0</v>
      </c>
      <c r="X957" s="57"/>
      <c r="Y957" s="52">
        <v>0</v>
      </c>
      <c r="Z957" s="52">
        <v>0</v>
      </c>
      <c r="AA957" s="52">
        <v>1</v>
      </c>
      <c r="AB957" s="52">
        <v>0</v>
      </c>
      <c r="AC957" s="52">
        <v>2822749.7489999998</v>
      </c>
      <c r="AD957" s="52">
        <v>2822749.7489999998</v>
      </c>
      <c r="AE957" s="52">
        <v>0</v>
      </c>
      <c r="AF957" s="52">
        <v>0</v>
      </c>
      <c r="AG957" s="52">
        <v>0</v>
      </c>
      <c r="AH957" s="52">
        <v>0</v>
      </c>
      <c r="AI957" s="52">
        <v>0</v>
      </c>
      <c r="AJ957" s="52">
        <v>2</v>
      </c>
      <c r="AK957" s="52"/>
      <c r="AL957" s="52">
        <v>0</v>
      </c>
      <c r="AM957" s="52">
        <v>0</v>
      </c>
      <c r="AN957" s="52">
        <v>1055929000</v>
      </c>
      <c r="AO957" s="52">
        <v>0</v>
      </c>
      <c r="AP957" s="52">
        <v>0</v>
      </c>
      <c r="AQ957" s="58">
        <v>0</v>
      </c>
      <c r="AR957" s="58">
        <v>0</v>
      </c>
      <c r="AS957" s="58">
        <v>2</v>
      </c>
      <c r="AT957" s="58">
        <v>83885.87</v>
      </c>
      <c r="AU957" s="58">
        <v>197</v>
      </c>
      <c r="AV957" s="58">
        <v>471055903.83999997</v>
      </c>
      <c r="AW957" s="58">
        <v>75</v>
      </c>
      <c r="AX957" s="58">
        <v>376928166.06</v>
      </c>
    </row>
    <row r="958" spans="1:50" x14ac:dyDescent="0.25">
      <c r="A958" s="52">
        <f t="shared" si="45"/>
        <v>953</v>
      </c>
      <c r="B958" s="60" t="str">
        <f t="shared" si="46"/>
        <v>0108163548</v>
      </c>
      <c r="C958" s="55" t="s">
        <v>36</v>
      </c>
      <c r="D958" s="53" t="s">
        <v>2146</v>
      </c>
      <c r="E958" s="55" t="s">
        <v>10</v>
      </c>
      <c r="F958" s="53" t="s">
        <v>2147</v>
      </c>
      <c r="G958" s="55" t="s">
        <v>10</v>
      </c>
      <c r="H958" s="53" t="s">
        <v>2636</v>
      </c>
      <c r="I958" s="55">
        <v>300373897</v>
      </c>
      <c r="J958" s="55" t="s">
        <v>1784</v>
      </c>
      <c r="K958" s="55" t="s">
        <v>1785</v>
      </c>
      <c r="L958" s="53" t="s">
        <v>2079</v>
      </c>
      <c r="M958" s="55" t="s">
        <v>75</v>
      </c>
      <c r="N958" s="52">
        <v>135000</v>
      </c>
      <c r="O958" s="52">
        <v>1629147600</v>
      </c>
      <c r="P958" s="52">
        <f>+O958</f>
        <v>1629147600</v>
      </c>
      <c r="Q958" s="57">
        <v>45867</v>
      </c>
      <c r="R958" s="57">
        <v>46962</v>
      </c>
      <c r="S958" s="56">
        <v>15</v>
      </c>
      <c r="T958" s="54">
        <v>0</v>
      </c>
      <c r="U958" s="52">
        <v>426958374.74699998</v>
      </c>
      <c r="V958" s="52">
        <v>426958374.74699998</v>
      </c>
      <c r="W958" s="52">
        <v>0</v>
      </c>
      <c r="X958" s="57"/>
      <c r="Y958" s="52">
        <v>0</v>
      </c>
      <c r="Z958" s="52">
        <v>0</v>
      </c>
      <c r="AA958" s="52">
        <v>1</v>
      </c>
      <c r="AB958" s="52">
        <v>0</v>
      </c>
      <c r="AC958" s="52">
        <v>2105564.66</v>
      </c>
      <c r="AD958" s="52">
        <v>2105564.66</v>
      </c>
      <c r="AE958" s="52">
        <v>0</v>
      </c>
      <c r="AF958" s="52">
        <v>0</v>
      </c>
      <c r="AG958" s="52">
        <v>0</v>
      </c>
      <c r="AH958" s="52">
        <v>0</v>
      </c>
      <c r="AI958" s="52">
        <v>0</v>
      </c>
      <c r="AJ958" s="52">
        <v>2</v>
      </c>
      <c r="AK958" s="52"/>
      <c r="AL958" s="52">
        <v>105540075</v>
      </c>
      <c r="AM958" s="52">
        <v>0</v>
      </c>
      <c r="AN958" s="52">
        <v>500000</v>
      </c>
      <c r="AO958" s="52">
        <v>0</v>
      </c>
      <c r="AP958" s="52">
        <v>0</v>
      </c>
      <c r="AQ958" s="58">
        <v>0</v>
      </c>
      <c r="AR958" s="58">
        <v>0</v>
      </c>
      <c r="AS958" s="58">
        <v>0</v>
      </c>
      <c r="AT958" s="58">
        <v>0</v>
      </c>
      <c r="AU958" s="58">
        <v>0</v>
      </c>
      <c r="AV958" s="58">
        <v>0</v>
      </c>
      <c r="AW958" s="58">
        <v>0</v>
      </c>
      <c r="AX958" s="58">
        <v>0</v>
      </c>
    </row>
    <row r="959" spans="1:50" x14ac:dyDescent="0.25">
      <c r="A959" s="52">
        <f t="shared" si="45"/>
        <v>954</v>
      </c>
      <c r="B959" s="60" t="str">
        <f t="shared" si="46"/>
        <v>0108163871</v>
      </c>
      <c r="C959" s="55" t="s">
        <v>36</v>
      </c>
      <c r="D959" s="53" t="s">
        <v>2146</v>
      </c>
      <c r="E959" s="55" t="s">
        <v>10</v>
      </c>
      <c r="F959" s="53" t="s">
        <v>2147</v>
      </c>
      <c r="G959" s="55" t="s">
        <v>10</v>
      </c>
      <c r="H959" s="53" t="s">
        <v>1712</v>
      </c>
      <c r="I959" s="55">
        <v>307788232</v>
      </c>
      <c r="J959" s="55" t="s">
        <v>1786</v>
      </c>
      <c r="K959" s="55" t="s">
        <v>1787</v>
      </c>
      <c r="L959" s="53" t="s">
        <v>2079</v>
      </c>
      <c r="M959" s="55" t="s">
        <v>75</v>
      </c>
      <c r="N959" s="52">
        <v>32000</v>
      </c>
      <c r="O959" s="52">
        <v>386168320</v>
      </c>
      <c r="P959" s="52">
        <v>386168320</v>
      </c>
      <c r="Q959" s="57">
        <v>45897</v>
      </c>
      <c r="R959" s="57">
        <v>46261</v>
      </c>
      <c r="S959" s="56">
        <v>14</v>
      </c>
      <c r="T959" s="54">
        <v>6</v>
      </c>
      <c r="U959" s="52">
        <v>390371200</v>
      </c>
      <c r="V959" s="52">
        <v>390371200</v>
      </c>
      <c r="W959" s="52">
        <v>0</v>
      </c>
      <c r="X959" s="57"/>
      <c r="Y959" s="52">
        <v>0</v>
      </c>
      <c r="Z959" s="52">
        <v>0</v>
      </c>
      <c r="AA959" s="52">
        <v>1</v>
      </c>
      <c r="AB959" s="52">
        <v>0</v>
      </c>
      <c r="AC959" s="52">
        <v>2580841.5959999999</v>
      </c>
      <c r="AD959" s="52">
        <v>2580841.5959999999</v>
      </c>
      <c r="AE959" s="52">
        <v>0</v>
      </c>
      <c r="AF959" s="52">
        <v>0</v>
      </c>
      <c r="AG959" s="52">
        <v>0</v>
      </c>
      <c r="AH959" s="52">
        <v>0</v>
      </c>
      <c r="AI959" s="52">
        <v>0</v>
      </c>
      <c r="AJ959" s="52">
        <v>2</v>
      </c>
      <c r="AK959" s="52"/>
      <c r="AL959" s="52">
        <v>0</v>
      </c>
      <c r="AM959" s="52">
        <v>0</v>
      </c>
      <c r="AN959" s="52">
        <v>482710400</v>
      </c>
      <c r="AO959" s="52">
        <v>0</v>
      </c>
      <c r="AP959" s="52">
        <v>0</v>
      </c>
      <c r="AQ959" s="58">
        <v>0</v>
      </c>
      <c r="AR959" s="58">
        <v>0</v>
      </c>
      <c r="AS959" s="58">
        <v>2</v>
      </c>
      <c r="AT959" s="58">
        <v>83885.87</v>
      </c>
      <c r="AU959" s="58">
        <v>197</v>
      </c>
      <c r="AV959" s="58">
        <v>471055903.83999997</v>
      </c>
      <c r="AW959" s="58">
        <v>75</v>
      </c>
      <c r="AX959" s="58">
        <v>376928166.06</v>
      </c>
    </row>
    <row r="960" spans="1:50" x14ac:dyDescent="0.25">
      <c r="A960" s="52">
        <f t="shared" si="45"/>
        <v>955</v>
      </c>
      <c r="B960" s="60" t="str">
        <f t="shared" si="46"/>
        <v>0108162438</v>
      </c>
      <c r="C960" s="55" t="s">
        <v>36</v>
      </c>
      <c r="D960" s="53" t="s">
        <v>2146</v>
      </c>
      <c r="E960" s="55" t="s">
        <v>10</v>
      </c>
      <c r="F960" s="53" t="s">
        <v>2147</v>
      </c>
      <c r="G960" s="55" t="s">
        <v>10</v>
      </c>
      <c r="H960" s="53" t="s">
        <v>2635</v>
      </c>
      <c r="I960" s="55">
        <v>309123060</v>
      </c>
      <c r="J960" s="55" t="s">
        <v>1788</v>
      </c>
      <c r="K960" s="55" t="s">
        <v>1789</v>
      </c>
      <c r="L960" s="53" t="s">
        <v>2079</v>
      </c>
      <c r="M960" s="55" t="s">
        <v>49</v>
      </c>
      <c r="N960" s="52">
        <v>700000000</v>
      </c>
      <c r="O960" s="52">
        <v>700000000</v>
      </c>
      <c r="P960" s="52">
        <v>700000000</v>
      </c>
      <c r="Q960" s="57">
        <v>45707</v>
      </c>
      <c r="R960" s="57">
        <v>46252</v>
      </c>
      <c r="S960" s="56">
        <v>28</v>
      </c>
      <c r="T960" s="54">
        <v>3</v>
      </c>
      <c r="U960" s="52">
        <v>388547921.02999997</v>
      </c>
      <c r="V960" s="52">
        <v>383154386.56999999</v>
      </c>
      <c r="W960" s="52">
        <v>5393534.46</v>
      </c>
      <c r="X960" s="57">
        <v>46037</v>
      </c>
      <c r="Y960" s="52">
        <v>0</v>
      </c>
      <c r="Z960" s="52">
        <v>0</v>
      </c>
      <c r="AA960" s="52">
        <v>1</v>
      </c>
      <c r="AB960" s="52">
        <v>53935.35</v>
      </c>
      <c r="AC960" s="52">
        <v>15179978.51</v>
      </c>
      <c r="AD960" s="52">
        <v>4996753.0999999996</v>
      </c>
      <c r="AE960" s="52">
        <v>0</v>
      </c>
      <c r="AF960" s="52">
        <v>0</v>
      </c>
      <c r="AG960" s="52">
        <v>10183225.41</v>
      </c>
      <c r="AH960" s="52">
        <v>0</v>
      </c>
      <c r="AI960" s="52">
        <v>0</v>
      </c>
      <c r="AJ960" s="52">
        <v>2</v>
      </c>
      <c r="AK960" s="52"/>
      <c r="AL960" s="52">
        <v>0</v>
      </c>
      <c r="AM960" s="52">
        <v>0</v>
      </c>
      <c r="AN960" s="52">
        <v>250000000000</v>
      </c>
      <c r="AO960" s="52">
        <v>0</v>
      </c>
      <c r="AP960" s="52">
        <v>0</v>
      </c>
      <c r="AQ960" s="58">
        <v>0</v>
      </c>
      <c r="AR960" s="58">
        <v>0</v>
      </c>
      <c r="AS960" s="58">
        <v>0</v>
      </c>
      <c r="AT960" s="58">
        <v>0</v>
      </c>
      <c r="AU960" s="58">
        <v>1</v>
      </c>
      <c r="AV960" s="58">
        <v>201000</v>
      </c>
      <c r="AW960" s="58">
        <v>0</v>
      </c>
      <c r="AX960" s="58">
        <v>0</v>
      </c>
    </row>
    <row r="961" spans="1:50" x14ac:dyDescent="0.25">
      <c r="A961" s="52">
        <f t="shared" si="45"/>
        <v>956</v>
      </c>
      <c r="B961" s="60" t="str">
        <f t="shared" si="46"/>
        <v>0108162931</v>
      </c>
      <c r="C961" s="55" t="s">
        <v>36</v>
      </c>
      <c r="D961" s="53" t="s">
        <v>2146</v>
      </c>
      <c r="E961" s="55" t="s">
        <v>10</v>
      </c>
      <c r="F961" s="53" t="s">
        <v>2147</v>
      </c>
      <c r="G961" s="55" t="s">
        <v>10</v>
      </c>
      <c r="H961" s="53" t="s">
        <v>1755</v>
      </c>
      <c r="I961" s="55">
        <v>304708790</v>
      </c>
      <c r="J961" s="55" t="s">
        <v>1790</v>
      </c>
      <c r="K961" s="55" t="s">
        <v>1791</v>
      </c>
      <c r="L961" s="53" t="s">
        <v>2079</v>
      </c>
      <c r="M961" s="55" t="s">
        <v>49</v>
      </c>
      <c r="N961" s="52">
        <v>600000000</v>
      </c>
      <c r="O961" s="52">
        <v>600000000</v>
      </c>
      <c r="P961" s="52">
        <v>600000000</v>
      </c>
      <c r="Q961" s="57">
        <v>45776</v>
      </c>
      <c r="R961" s="57">
        <v>46323</v>
      </c>
      <c r="S961" s="56">
        <v>28</v>
      </c>
      <c r="T961" s="54">
        <v>0</v>
      </c>
      <c r="U961" s="52">
        <v>373223188.82999998</v>
      </c>
      <c r="V961" s="52">
        <v>373223188.82999998</v>
      </c>
      <c r="W961" s="52">
        <v>0</v>
      </c>
      <c r="X961" s="57"/>
      <c r="Y961" s="52">
        <v>0</v>
      </c>
      <c r="Z961" s="52">
        <v>0</v>
      </c>
      <c r="AA961" s="52">
        <v>1</v>
      </c>
      <c r="AB961" s="52">
        <v>0</v>
      </c>
      <c r="AC961" s="52">
        <v>4867258.1100000003</v>
      </c>
      <c r="AD961" s="52">
        <v>4867258.1100000003</v>
      </c>
      <c r="AE961" s="52">
        <v>0</v>
      </c>
      <c r="AF961" s="52">
        <v>0</v>
      </c>
      <c r="AG961" s="52">
        <v>0</v>
      </c>
      <c r="AH961" s="52">
        <v>0</v>
      </c>
      <c r="AI961" s="52">
        <v>0</v>
      </c>
      <c r="AJ961" s="52">
        <v>2</v>
      </c>
      <c r="AK961" s="52"/>
      <c r="AL961" s="52">
        <v>17771720203</v>
      </c>
      <c r="AM961" s="52">
        <v>0</v>
      </c>
      <c r="AN961" s="52">
        <v>2886000000</v>
      </c>
      <c r="AO961" s="52">
        <v>0</v>
      </c>
      <c r="AP961" s="52">
        <v>0</v>
      </c>
      <c r="AQ961" s="58">
        <v>0</v>
      </c>
      <c r="AR961" s="58">
        <v>0</v>
      </c>
      <c r="AS961" s="58">
        <v>0</v>
      </c>
      <c r="AT961" s="58">
        <v>0</v>
      </c>
      <c r="AU961" s="58">
        <v>0</v>
      </c>
      <c r="AV961" s="58">
        <v>0</v>
      </c>
      <c r="AW961" s="58">
        <v>0</v>
      </c>
      <c r="AX961" s="58">
        <v>0</v>
      </c>
    </row>
    <row r="962" spans="1:50" x14ac:dyDescent="0.25">
      <c r="A962" s="52">
        <f t="shared" si="45"/>
        <v>957</v>
      </c>
      <c r="B962" s="60" t="str">
        <f t="shared" si="46"/>
        <v>0108163515</v>
      </c>
      <c r="C962" s="55" t="s">
        <v>36</v>
      </c>
      <c r="D962" s="53" t="s">
        <v>2146</v>
      </c>
      <c r="E962" s="55" t="s">
        <v>10</v>
      </c>
      <c r="F962" s="53" t="s">
        <v>2147</v>
      </c>
      <c r="G962" s="55" t="s">
        <v>10</v>
      </c>
      <c r="H962" s="53" t="s">
        <v>1712</v>
      </c>
      <c r="I962" s="55">
        <v>307788232</v>
      </c>
      <c r="J962" s="55" t="s">
        <v>1792</v>
      </c>
      <c r="K962" s="55" t="s">
        <v>1793</v>
      </c>
      <c r="L962" s="53" t="s">
        <v>2079</v>
      </c>
      <c r="M962" s="55" t="s">
        <v>75</v>
      </c>
      <c r="N962" s="52">
        <v>28500</v>
      </c>
      <c r="O962" s="52">
        <v>343931160</v>
      </c>
      <c r="P962" s="52">
        <v>343931160</v>
      </c>
      <c r="Q962" s="57">
        <v>45862</v>
      </c>
      <c r="R962" s="57">
        <v>46226</v>
      </c>
      <c r="S962" s="56">
        <v>14</v>
      </c>
      <c r="T962" s="54">
        <v>6</v>
      </c>
      <c r="U962" s="52">
        <v>347674350</v>
      </c>
      <c r="V962" s="52">
        <v>347674350</v>
      </c>
      <c r="W962" s="52">
        <v>0</v>
      </c>
      <c r="X962" s="57"/>
      <c r="Y962" s="52">
        <v>0</v>
      </c>
      <c r="Z962" s="52">
        <v>0</v>
      </c>
      <c r="AA962" s="52">
        <v>1</v>
      </c>
      <c r="AB962" s="52">
        <v>0</v>
      </c>
      <c r="AC962" s="52">
        <v>2298554.4219999998</v>
      </c>
      <c r="AD962" s="52">
        <v>2298554.4219999998</v>
      </c>
      <c r="AE962" s="52">
        <v>0</v>
      </c>
      <c r="AF962" s="52">
        <v>0</v>
      </c>
      <c r="AG962" s="52">
        <v>0</v>
      </c>
      <c r="AH962" s="52">
        <v>0</v>
      </c>
      <c r="AI962" s="52">
        <v>0</v>
      </c>
      <c r="AJ962" s="52">
        <v>2</v>
      </c>
      <c r="AK962" s="52"/>
      <c r="AL962" s="52">
        <v>0</v>
      </c>
      <c r="AM962" s="52">
        <v>0</v>
      </c>
      <c r="AN962" s="52">
        <v>429913950</v>
      </c>
      <c r="AO962" s="52">
        <v>0</v>
      </c>
      <c r="AP962" s="52">
        <v>0</v>
      </c>
      <c r="AQ962" s="58">
        <v>0</v>
      </c>
      <c r="AR962" s="58">
        <v>0</v>
      </c>
      <c r="AS962" s="58">
        <v>2</v>
      </c>
      <c r="AT962" s="58">
        <v>83885.87</v>
      </c>
      <c r="AU962" s="58">
        <v>197</v>
      </c>
      <c r="AV962" s="58">
        <v>471055903.83999997</v>
      </c>
      <c r="AW962" s="58">
        <v>75</v>
      </c>
      <c r="AX962" s="58">
        <v>376928166.06</v>
      </c>
    </row>
    <row r="963" spans="1:50" x14ac:dyDescent="0.25">
      <c r="A963" s="52">
        <f t="shared" si="45"/>
        <v>958</v>
      </c>
      <c r="B963" s="60" t="str">
        <f t="shared" si="46"/>
        <v>0108162537</v>
      </c>
      <c r="C963" s="55" t="s">
        <v>36</v>
      </c>
      <c r="D963" s="53" t="s">
        <v>2146</v>
      </c>
      <c r="E963" s="55" t="s">
        <v>10</v>
      </c>
      <c r="F963" s="53" t="s">
        <v>2147</v>
      </c>
      <c r="G963" s="55" t="s">
        <v>10</v>
      </c>
      <c r="H963" s="53" t="s">
        <v>1779</v>
      </c>
      <c r="I963" s="55">
        <v>305248224</v>
      </c>
      <c r="J963" s="55" t="s">
        <v>1794</v>
      </c>
      <c r="K963" s="55" t="s">
        <v>1795</v>
      </c>
      <c r="L963" s="53" t="s">
        <v>2079</v>
      </c>
      <c r="M963" s="55" t="s">
        <v>75</v>
      </c>
      <c r="N963" s="52">
        <v>80000</v>
      </c>
      <c r="O963" s="52">
        <v>965420800</v>
      </c>
      <c r="P963" s="52">
        <f>+O963</f>
        <v>965420800</v>
      </c>
      <c r="Q963" s="57">
        <v>45720</v>
      </c>
      <c r="R963" s="57">
        <v>46084</v>
      </c>
      <c r="S963" s="56">
        <v>14</v>
      </c>
      <c r="T963" s="54">
        <v>6</v>
      </c>
      <c r="U963" s="52">
        <v>333262577.24199998</v>
      </c>
      <c r="V963" s="52">
        <v>333262577.24199998</v>
      </c>
      <c r="W963" s="52">
        <v>0</v>
      </c>
      <c r="X963" s="57"/>
      <c r="Y963" s="52">
        <v>0</v>
      </c>
      <c r="Z963" s="52">
        <v>0</v>
      </c>
      <c r="AA963" s="52">
        <v>1</v>
      </c>
      <c r="AB963" s="52">
        <v>0</v>
      </c>
      <c r="AC963" s="52">
        <v>2462388.335</v>
      </c>
      <c r="AD963" s="52">
        <v>2462388.335</v>
      </c>
      <c r="AE963" s="52">
        <v>0</v>
      </c>
      <c r="AF963" s="52">
        <v>0</v>
      </c>
      <c r="AG963" s="52">
        <v>0</v>
      </c>
      <c r="AH963" s="52">
        <v>0</v>
      </c>
      <c r="AI963" s="52">
        <v>0</v>
      </c>
      <c r="AJ963" s="52">
        <v>2</v>
      </c>
      <c r="AK963" s="52"/>
      <c r="AL963" s="52">
        <v>66762</v>
      </c>
      <c r="AM963" s="52">
        <v>0</v>
      </c>
      <c r="AN963" s="52">
        <v>2722790250</v>
      </c>
      <c r="AO963" s="52">
        <v>0</v>
      </c>
      <c r="AP963" s="52">
        <v>0</v>
      </c>
      <c r="AQ963" s="58">
        <v>1</v>
      </c>
      <c r="AR963" s="58">
        <v>22859.08</v>
      </c>
      <c r="AS963" s="58">
        <v>0</v>
      </c>
      <c r="AT963" s="58">
        <v>0</v>
      </c>
      <c r="AU963" s="58">
        <v>32</v>
      </c>
      <c r="AV963" s="58">
        <v>1370388.1400000001</v>
      </c>
      <c r="AW963" s="58">
        <v>12</v>
      </c>
      <c r="AX963" s="58">
        <v>622350.37</v>
      </c>
    </row>
    <row r="964" spans="1:50" x14ac:dyDescent="0.25">
      <c r="A964" s="52">
        <f t="shared" si="45"/>
        <v>959</v>
      </c>
      <c r="B964" s="60" t="str">
        <f t="shared" si="46"/>
        <v>0108160924</v>
      </c>
      <c r="C964" s="55" t="s">
        <v>36</v>
      </c>
      <c r="D964" s="53" t="s">
        <v>2146</v>
      </c>
      <c r="E964" s="55" t="s">
        <v>10</v>
      </c>
      <c r="F964" s="53" t="s">
        <v>2147</v>
      </c>
      <c r="G964" s="55" t="s">
        <v>10</v>
      </c>
      <c r="H964" s="53" t="s">
        <v>1796</v>
      </c>
      <c r="I964" s="55">
        <v>305747933</v>
      </c>
      <c r="J964" s="55">
        <v>60924</v>
      </c>
      <c r="K964" s="55" t="s">
        <v>1797</v>
      </c>
      <c r="L964" s="53" t="s">
        <v>2079</v>
      </c>
      <c r="M964" s="55" t="s">
        <v>49</v>
      </c>
      <c r="N964" s="52">
        <v>510000000</v>
      </c>
      <c r="O964" s="52">
        <v>510000000</v>
      </c>
      <c r="P964" s="52">
        <v>510000000</v>
      </c>
      <c r="Q964" s="57">
        <v>45539</v>
      </c>
      <c r="R964" s="57">
        <v>46633</v>
      </c>
      <c r="S964" s="56">
        <v>26</v>
      </c>
      <c r="T964" s="54">
        <v>0</v>
      </c>
      <c r="U964" s="52">
        <v>325258440.25999999</v>
      </c>
      <c r="V964" s="52">
        <v>325258440.25999999</v>
      </c>
      <c r="W964" s="52">
        <v>0</v>
      </c>
      <c r="X964" s="57"/>
      <c r="Y964" s="52">
        <v>0</v>
      </c>
      <c r="Z964" s="52">
        <v>0</v>
      </c>
      <c r="AA964" s="52">
        <v>1</v>
      </c>
      <c r="AB964" s="52">
        <v>0</v>
      </c>
      <c r="AC964" s="52">
        <v>7182421.2300000004</v>
      </c>
      <c r="AD964" s="52">
        <v>7182421.2300000004</v>
      </c>
      <c r="AE964" s="52">
        <v>0</v>
      </c>
      <c r="AF964" s="52">
        <v>0</v>
      </c>
      <c r="AG964" s="52">
        <v>0</v>
      </c>
      <c r="AH964" s="52">
        <v>0</v>
      </c>
      <c r="AI964" s="52">
        <v>0</v>
      </c>
      <c r="AJ964" s="52">
        <v>2</v>
      </c>
      <c r="AK964" s="52"/>
      <c r="AL964" s="52">
        <v>772482358373</v>
      </c>
      <c r="AM964" s="52">
        <v>0</v>
      </c>
      <c r="AN964" s="52">
        <v>65800764376</v>
      </c>
      <c r="AO964" s="52">
        <v>0</v>
      </c>
      <c r="AP964" s="52">
        <v>0</v>
      </c>
      <c r="AQ964" s="58">
        <v>0</v>
      </c>
      <c r="AR964" s="58">
        <v>0</v>
      </c>
      <c r="AS964" s="58">
        <v>0</v>
      </c>
      <c r="AT964" s="58">
        <v>0</v>
      </c>
      <c r="AU964" s="58">
        <v>0</v>
      </c>
      <c r="AV964" s="58">
        <v>0</v>
      </c>
      <c r="AW964" s="58">
        <v>0</v>
      </c>
      <c r="AX964" s="58">
        <v>0</v>
      </c>
    </row>
    <row r="965" spans="1:50" x14ac:dyDescent="0.25">
      <c r="A965" s="52">
        <f t="shared" si="45"/>
        <v>960</v>
      </c>
      <c r="B965" s="60" t="str">
        <f t="shared" si="46"/>
        <v>0108164088</v>
      </c>
      <c r="C965" s="55" t="s">
        <v>36</v>
      </c>
      <c r="D965" s="53" t="s">
        <v>2146</v>
      </c>
      <c r="E965" s="55" t="s">
        <v>10</v>
      </c>
      <c r="F965" s="53" t="s">
        <v>2147</v>
      </c>
      <c r="G965" s="55" t="s">
        <v>10</v>
      </c>
      <c r="H965" s="53" t="s">
        <v>1712</v>
      </c>
      <c r="I965" s="55">
        <v>307788232</v>
      </c>
      <c r="J965" s="55" t="s">
        <v>1798</v>
      </c>
      <c r="K965" s="55" t="s">
        <v>1799</v>
      </c>
      <c r="L965" s="53" t="s">
        <v>2079</v>
      </c>
      <c r="M965" s="55" t="s">
        <v>75</v>
      </c>
      <c r="N965" s="52">
        <v>26500</v>
      </c>
      <c r="O965" s="52">
        <v>319795640</v>
      </c>
      <c r="P965" s="52">
        <v>319795640</v>
      </c>
      <c r="Q965" s="57">
        <v>45919</v>
      </c>
      <c r="R965" s="57">
        <v>46283</v>
      </c>
      <c r="S965" s="56">
        <v>14</v>
      </c>
      <c r="T965" s="54">
        <v>6</v>
      </c>
      <c r="U965" s="52">
        <v>323276150</v>
      </c>
      <c r="V965" s="52">
        <v>323276150</v>
      </c>
      <c r="W965" s="52">
        <v>0</v>
      </c>
      <c r="X965" s="57"/>
      <c r="Y965" s="52">
        <v>0</v>
      </c>
      <c r="Z965" s="52">
        <v>0</v>
      </c>
      <c r="AA965" s="52">
        <v>1</v>
      </c>
      <c r="AB965" s="52">
        <v>0</v>
      </c>
      <c r="AC965" s="52">
        <v>2137160.3289999999</v>
      </c>
      <c r="AD965" s="52">
        <v>2137160.3289999999</v>
      </c>
      <c r="AE965" s="52">
        <v>0</v>
      </c>
      <c r="AF965" s="52">
        <v>0</v>
      </c>
      <c r="AG965" s="52">
        <v>0</v>
      </c>
      <c r="AH965" s="52">
        <v>0</v>
      </c>
      <c r="AI965" s="52">
        <v>0</v>
      </c>
      <c r="AJ965" s="52">
        <v>2</v>
      </c>
      <c r="AK965" s="52"/>
      <c r="AL965" s="52">
        <v>0</v>
      </c>
      <c r="AM965" s="52">
        <v>0</v>
      </c>
      <c r="AN965" s="52">
        <v>399744550</v>
      </c>
      <c r="AO965" s="52">
        <v>0</v>
      </c>
      <c r="AP965" s="52">
        <v>0</v>
      </c>
      <c r="AQ965" s="58">
        <v>0</v>
      </c>
      <c r="AR965" s="58">
        <v>0</v>
      </c>
      <c r="AS965" s="58">
        <v>2</v>
      </c>
      <c r="AT965" s="58">
        <v>83885.87</v>
      </c>
      <c r="AU965" s="58">
        <v>197</v>
      </c>
      <c r="AV965" s="58">
        <v>471055903.83999997</v>
      </c>
      <c r="AW965" s="58">
        <v>75</v>
      </c>
      <c r="AX965" s="58">
        <v>376928166.06</v>
      </c>
    </row>
    <row r="966" spans="1:50" x14ac:dyDescent="0.25">
      <c r="A966" s="52">
        <f t="shared" si="45"/>
        <v>961</v>
      </c>
      <c r="B966" s="60" t="str">
        <f t="shared" si="46"/>
        <v>0108160926</v>
      </c>
      <c r="C966" s="55" t="s">
        <v>36</v>
      </c>
      <c r="D966" s="53" t="s">
        <v>2146</v>
      </c>
      <c r="E966" s="55" t="s">
        <v>10</v>
      </c>
      <c r="F966" s="53" t="s">
        <v>2147</v>
      </c>
      <c r="G966" s="55" t="s">
        <v>10</v>
      </c>
      <c r="H966" s="53" t="s">
        <v>1796</v>
      </c>
      <c r="I966" s="55">
        <v>305747933</v>
      </c>
      <c r="J966" s="55">
        <v>60926</v>
      </c>
      <c r="K966" s="55" t="s">
        <v>1800</v>
      </c>
      <c r="L966" s="53" t="s">
        <v>2079</v>
      </c>
      <c r="M966" s="55" t="s">
        <v>49</v>
      </c>
      <c r="N966" s="52">
        <v>490000000</v>
      </c>
      <c r="O966" s="52">
        <v>490000000</v>
      </c>
      <c r="P966" s="52">
        <v>490000000</v>
      </c>
      <c r="Q966" s="57">
        <v>45539</v>
      </c>
      <c r="R966" s="57">
        <v>46633</v>
      </c>
      <c r="S966" s="56">
        <v>26</v>
      </c>
      <c r="T966" s="54">
        <v>0</v>
      </c>
      <c r="U966" s="52">
        <v>323072077.94999999</v>
      </c>
      <c r="V966" s="52">
        <v>323072077.94999999</v>
      </c>
      <c r="W966" s="52">
        <v>0</v>
      </c>
      <c r="X966" s="57"/>
      <c r="Y966" s="52">
        <v>0</v>
      </c>
      <c r="Z966" s="52">
        <v>0</v>
      </c>
      <c r="AA966" s="52">
        <v>1</v>
      </c>
      <c r="AB966" s="52">
        <v>0</v>
      </c>
      <c r="AC966" s="52">
        <v>7134140.5999999996</v>
      </c>
      <c r="AD966" s="52">
        <v>7134140.5999999996</v>
      </c>
      <c r="AE966" s="52">
        <v>0</v>
      </c>
      <c r="AF966" s="52">
        <v>0</v>
      </c>
      <c r="AG966" s="52">
        <v>0</v>
      </c>
      <c r="AH966" s="52">
        <v>0</v>
      </c>
      <c r="AI966" s="52">
        <v>0</v>
      </c>
      <c r="AJ966" s="52">
        <v>2</v>
      </c>
      <c r="AK966" s="52"/>
      <c r="AL966" s="52">
        <v>772482358373</v>
      </c>
      <c r="AM966" s="52">
        <v>0</v>
      </c>
      <c r="AN966" s="52">
        <v>65800764376</v>
      </c>
      <c r="AO966" s="52">
        <v>0</v>
      </c>
      <c r="AP966" s="52">
        <v>0</v>
      </c>
      <c r="AQ966" s="58">
        <v>0</v>
      </c>
      <c r="AR966" s="58">
        <v>0</v>
      </c>
      <c r="AS966" s="58">
        <v>0</v>
      </c>
      <c r="AT966" s="58">
        <v>0</v>
      </c>
      <c r="AU966" s="58">
        <v>0</v>
      </c>
      <c r="AV966" s="58">
        <v>0</v>
      </c>
      <c r="AW966" s="58">
        <v>0</v>
      </c>
      <c r="AX966" s="58">
        <v>0</v>
      </c>
    </row>
    <row r="967" spans="1:50" x14ac:dyDescent="0.25">
      <c r="A967" s="52">
        <f t="shared" si="45"/>
        <v>962</v>
      </c>
      <c r="B967" s="60" t="str">
        <f t="shared" si="46"/>
        <v>0108155547</v>
      </c>
      <c r="C967" s="55" t="s">
        <v>36</v>
      </c>
      <c r="D967" s="53" t="s">
        <v>2146</v>
      </c>
      <c r="E967" s="55" t="s">
        <v>10</v>
      </c>
      <c r="F967" s="53" t="s">
        <v>2147</v>
      </c>
      <c r="G967" s="55" t="s">
        <v>10</v>
      </c>
      <c r="H967" s="53" t="s">
        <v>2638</v>
      </c>
      <c r="I967" s="55">
        <v>303189158</v>
      </c>
      <c r="J967" s="55">
        <v>55547</v>
      </c>
      <c r="K967" s="55" t="s">
        <v>1801</v>
      </c>
      <c r="L967" s="53" t="s">
        <v>2079</v>
      </c>
      <c r="M967" s="55" t="s">
        <v>49</v>
      </c>
      <c r="N967" s="52">
        <v>450000000</v>
      </c>
      <c r="O967" s="52">
        <v>450000000</v>
      </c>
      <c r="P967" s="52">
        <v>450000000</v>
      </c>
      <c r="Q967" s="57">
        <v>45287</v>
      </c>
      <c r="R967" s="57">
        <v>46745</v>
      </c>
      <c r="S967" s="56">
        <v>28</v>
      </c>
      <c r="T967" s="54">
        <v>6</v>
      </c>
      <c r="U967" s="52">
        <v>303544111.48000002</v>
      </c>
      <c r="V967" s="52">
        <v>303544111.48000002</v>
      </c>
      <c r="W967" s="52">
        <v>0</v>
      </c>
      <c r="X967" s="57"/>
      <c r="Y967" s="52">
        <v>0</v>
      </c>
      <c r="Z967" s="52">
        <v>0</v>
      </c>
      <c r="AA967" s="52">
        <v>1</v>
      </c>
      <c r="AB967" s="52">
        <v>0</v>
      </c>
      <c r="AC967" s="52">
        <v>3958548.7199999997</v>
      </c>
      <c r="AD967" s="52">
        <v>3958548.7199999997</v>
      </c>
      <c r="AE967" s="52">
        <v>0</v>
      </c>
      <c r="AF967" s="52">
        <v>0</v>
      </c>
      <c r="AG967" s="52">
        <v>0</v>
      </c>
      <c r="AH967" s="52">
        <v>0</v>
      </c>
      <c r="AI967" s="52">
        <v>0</v>
      </c>
      <c r="AJ967" s="52">
        <v>2</v>
      </c>
      <c r="AK967" s="52"/>
      <c r="AL967" s="52">
        <v>5982152</v>
      </c>
      <c r="AM967" s="52">
        <v>0</v>
      </c>
      <c r="AN967" s="52">
        <v>3750000000</v>
      </c>
      <c r="AO967" s="52">
        <v>0</v>
      </c>
      <c r="AP967" s="52">
        <v>0</v>
      </c>
      <c r="AQ967" s="58">
        <v>0</v>
      </c>
      <c r="AR967" s="58">
        <v>0</v>
      </c>
      <c r="AS967" s="58">
        <v>0</v>
      </c>
      <c r="AT967" s="58">
        <v>0</v>
      </c>
      <c r="AU967" s="58">
        <v>0</v>
      </c>
      <c r="AV967" s="58">
        <v>0</v>
      </c>
      <c r="AW967" s="58">
        <v>0</v>
      </c>
      <c r="AX967" s="58">
        <v>0</v>
      </c>
    </row>
    <row r="968" spans="1:50" x14ac:dyDescent="0.25">
      <c r="A968" s="52">
        <f t="shared" ref="A968:A1031" si="47">+A967+1</f>
        <v>963</v>
      </c>
      <c r="B968" s="60" t="str">
        <f t="shared" si="46"/>
        <v>0108163271</v>
      </c>
      <c r="C968" s="55" t="s">
        <v>36</v>
      </c>
      <c r="D968" s="53" t="s">
        <v>2146</v>
      </c>
      <c r="E968" s="55" t="s">
        <v>10</v>
      </c>
      <c r="F968" s="53" t="s">
        <v>2147</v>
      </c>
      <c r="G968" s="55" t="s">
        <v>10</v>
      </c>
      <c r="H968" s="53" t="s">
        <v>1712</v>
      </c>
      <c r="I968" s="55">
        <v>307788232</v>
      </c>
      <c r="J968" s="55" t="s">
        <v>1802</v>
      </c>
      <c r="K968" s="55" t="s">
        <v>1803</v>
      </c>
      <c r="L968" s="53" t="s">
        <v>2079</v>
      </c>
      <c r="M968" s="55" t="s">
        <v>75</v>
      </c>
      <c r="N968" s="52">
        <v>29000</v>
      </c>
      <c r="O968" s="52">
        <v>349965040</v>
      </c>
      <c r="P968" s="52">
        <v>349965040</v>
      </c>
      <c r="Q968" s="57">
        <v>45826</v>
      </c>
      <c r="R968" s="57">
        <v>46190</v>
      </c>
      <c r="S968" s="56">
        <v>14</v>
      </c>
      <c r="T968" s="54">
        <v>6</v>
      </c>
      <c r="U968" s="52">
        <v>294811623.99699998</v>
      </c>
      <c r="V968" s="52">
        <v>294811623.99699998</v>
      </c>
      <c r="W968" s="52">
        <v>0</v>
      </c>
      <c r="X968" s="57"/>
      <c r="Y968" s="52">
        <v>0</v>
      </c>
      <c r="Z968" s="52">
        <v>0</v>
      </c>
      <c r="AA968" s="52">
        <v>1</v>
      </c>
      <c r="AB968" s="52">
        <v>0</v>
      </c>
      <c r="AC968" s="52">
        <v>1949050.2069999999</v>
      </c>
      <c r="AD968" s="52">
        <v>1949050.2069999999</v>
      </c>
      <c r="AE968" s="52">
        <v>0</v>
      </c>
      <c r="AF968" s="52">
        <v>0</v>
      </c>
      <c r="AG968" s="52">
        <v>0</v>
      </c>
      <c r="AH968" s="52">
        <v>0</v>
      </c>
      <c r="AI968" s="52">
        <v>0</v>
      </c>
      <c r="AJ968" s="52">
        <v>2</v>
      </c>
      <c r="AK968" s="52"/>
      <c r="AL968" s="52">
        <v>0</v>
      </c>
      <c r="AM968" s="52">
        <v>0</v>
      </c>
      <c r="AN968" s="52">
        <v>437456300</v>
      </c>
      <c r="AO968" s="52">
        <v>0</v>
      </c>
      <c r="AP968" s="52">
        <v>0</v>
      </c>
      <c r="AQ968" s="58">
        <v>0</v>
      </c>
      <c r="AR968" s="58">
        <v>0</v>
      </c>
      <c r="AS968" s="58">
        <v>2</v>
      </c>
      <c r="AT968" s="58">
        <v>83885.87</v>
      </c>
      <c r="AU968" s="58">
        <v>197</v>
      </c>
      <c r="AV968" s="58">
        <v>471055903.83999997</v>
      </c>
      <c r="AW968" s="58">
        <v>75</v>
      </c>
      <c r="AX968" s="58">
        <v>376928166.06</v>
      </c>
    </row>
    <row r="969" spans="1:50" x14ac:dyDescent="0.25">
      <c r="A969" s="52">
        <f t="shared" si="47"/>
        <v>964</v>
      </c>
      <c r="B969" s="60" t="str">
        <f t="shared" si="46"/>
        <v>0108163684</v>
      </c>
      <c r="C969" s="55" t="s">
        <v>36</v>
      </c>
      <c r="D969" s="53" t="s">
        <v>2146</v>
      </c>
      <c r="E969" s="55" t="s">
        <v>10</v>
      </c>
      <c r="F969" s="53" t="s">
        <v>2147</v>
      </c>
      <c r="G969" s="55" t="s">
        <v>10</v>
      </c>
      <c r="H969" s="53" t="s">
        <v>2641</v>
      </c>
      <c r="I969" s="55">
        <v>305875498</v>
      </c>
      <c r="J969" s="55" t="s">
        <v>1804</v>
      </c>
      <c r="K969" s="55" t="s">
        <v>1805</v>
      </c>
      <c r="L969" s="53" t="s">
        <v>2079</v>
      </c>
      <c r="M969" s="55" t="s">
        <v>75</v>
      </c>
      <c r="N969" s="52">
        <v>22000</v>
      </c>
      <c r="O969" s="52">
        <v>265490720</v>
      </c>
      <c r="P969" s="52">
        <v>265490720</v>
      </c>
      <c r="Q969" s="57">
        <v>45881</v>
      </c>
      <c r="R969" s="57">
        <v>46245</v>
      </c>
      <c r="S969" s="56">
        <v>14</v>
      </c>
      <c r="T969" s="54">
        <v>6</v>
      </c>
      <c r="U969" s="52">
        <v>268380200</v>
      </c>
      <c r="V969" s="52">
        <v>268380200</v>
      </c>
      <c r="W969" s="52">
        <v>0</v>
      </c>
      <c r="X969" s="57"/>
      <c r="Y969" s="52">
        <v>0</v>
      </c>
      <c r="Z969" s="52">
        <v>0</v>
      </c>
      <c r="AA969" s="52">
        <v>1</v>
      </c>
      <c r="AB969" s="52">
        <v>0</v>
      </c>
      <c r="AC969" s="52">
        <v>1774237.1040000001</v>
      </c>
      <c r="AD969" s="52">
        <v>1774237.1040000001</v>
      </c>
      <c r="AE969" s="52">
        <v>0</v>
      </c>
      <c r="AF969" s="52">
        <v>0</v>
      </c>
      <c r="AG969" s="52">
        <v>0</v>
      </c>
      <c r="AH969" s="52">
        <v>0</v>
      </c>
      <c r="AI969" s="52">
        <v>0</v>
      </c>
      <c r="AJ969" s="52">
        <v>2</v>
      </c>
      <c r="AK969" s="52"/>
      <c r="AL969" s="52">
        <v>22167</v>
      </c>
      <c r="AM969" s="52">
        <v>0</v>
      </c>
      <c r="AN969" s="52">
        <v>3000000000</v>
      </c>
      <c r="AO969" s="52">
        <v>0</v>
      </c>
      <c r="AP969" s="52">
        <v>0</v>
      </c>
      <c r="AQ969" s="58">
        <v>0</v>
      </c>
      <c r="AR969" s="58">
        <v>0</v>
      </c>
      <c r="AS969" s="58">
        <v>4</v>
      </c>
      <c r="AT969" s="58">
        <v>81019.959999999992</v>
      </c>
      <c r="AU969" s="58">
        <v>134</v>
      </c>
      <c r="AV969" s="58">
        <v>26235526.48</v>
      </c>
      <c r="AW969" s="58">
        <v>30</v>
      </c>
      <c r="AX969" s="58">
        <v>43801147.549999997</v>
      </c>
    </row>
    <row r="970" spans="1:50" x14ac:dyDescent="0.25">
      <c r="A970" s="52">
        <f t="shared" si="47"/>
        <v>965</v>
      </c>
      <c r="B970" s="60" t="str">
        <f t="shared" si="46"/>
        <v>0108163719</v>
      </c>
      <c r="C970" s="55" t="s">
        <v>36</v>
      </c>
      <c r="D970" s="53" t="s">
        <v>2146</v>
      </c>
      <c r="E970" s="55" t="s">
        <v>10</v>
      </c>
      <c r="F970" s="53" t="s">
        <v>2147</v>
      </c>
      <c r="G970" s="55" t="s">
        <v>10</v>
      </c>
      <c r="H970" s="53" t="s">
        <v>2637</v>
      </c>
      <c r="I970" s="55">
        <v>300889468</v>
      </c>
      <c r="J970" s="55" t="s">
        <v>1806</v>
      </c>
      <c r="K970" s="55" t="s">
        <v>1807</v>
      </c>
      <c r="L970" s="53" t="s">
        <v>2079</v>
      </c>
      <c r="M970" s="55" t="s">
        <v>49</v>
      </c>
      <c r="N970" s="52">
        <v>300000000</v>
      </c>
      <c r="O970" s="52">
        <v>300000000</v>
      </c>
      <c r="P970" s="52">
        <v>300000000</v>
      </c>
      <c r="Q970" s="57">
        <v>45882</v>
      </c>
      <c r="R970" s="57">
        <v>46976</v>
      </c>
      <c r="S970" s="56">
        <v>28</v>
      </c>
      <c r="T970" s="54">
        <v>0</v>
      </c>
      <c r="U970" s="52">
        <v>258333333.34999999</v>
      </c>
      <c r="V970" s="52">
        <v>258333333.34999999</v>
      </c>
      <c r="W970" s="52">
        <v>0</v>
      </c>
      <c r="X970" s="57"/>
      <c r="Y970" s="52">
        <v>0</v>
      </c>
      <c r="Z970" s="52">
        <v>0</v>
      </c>
      <c r="AA970" s="52">
        <v>1</v>
      </c>
      <c r="AB970" s="52">
        <v>0</v>
      </c>
      <c r="AC970" s="52">
        <v>3368949.77</v>
      </c>
      <c r="AD970" s="52">
        <v>3368949.77</v>
      </c>
      <c r="AE970" s="52">
        <v>0</v>
      </c>
      <c r="AF970" s="52">
        <v>0</v>
      </c>
      <c r="AG970" s="52">
        <v>0</v>
      </c>
      <c r="AH970" s="52">
        <v>0</v>
      </c>
      <c r="AI970" s="52">
        <v>0</v>
      </c>
      <c r="AJ970" s="52">
        <v>2</v>
      </c>
      <c r="AK970" s="52"/>
      <c r="AL970" s="52">
        <v>0</v>
      </c>
      <c r="AM970" s="52">
        <v>0</v>
      </c>
      <c r="AN970" s="52">
        <v>11250000000</v>
      </c>
      <c r="AO970" s="52">
        <v>0</v>
      </c>
      <c r="AP970" s="52">
        <v>0</v>
      </c>
      <c r="AQ970" s="58">
        <v>0</v>
      </c>
      <c r="AR970" s="58">
        <v>0</v>
      </c>
      <c r="AS970" s="58">
        <v>0</v>
      </c>
      <c r="AT970" s="58">
        <v>0</v>
      </c>
      <c r="AU970" s="58">
        <v>7</v>
      </c>
      <c r="AV970" s="58">
        <v>218296</v>
      </c>
      <c r="AW970" s="58">
        <v>5</v>
      </c>
      <c r="AX970" s="58">
        <v>2949381</v>
      </c>
    </row>
    <row r="971" spans="1:50" x14ac:dyDescent="0.25">
      <c r="A971" s="52">
        <f t="shared" si="47"/>
        <v>966</v>
      </c>
      <c r="B971" s="60" t="str">
        <f t="shared" si="46"/>
        <v>0108163272</v>
      </c>
      <c r="C971" s="55" t="s">
        <v>36</v>
      </c>
      <c r="D971" s="53" t="s">
        <v>2146</v>
      </c>
      <c r="E971" s="55" t="s">
        <v>10</v>
      </c>
      <c r="F971" s="53" t="s">
        <v>2147</v>
      </c>
      <c r="G971" s="55" t="s">
        <v>10</v>
      </c>
      <c r="H971" s="53" t="s">
        <v>1712</v>
      </c>
      <c r="I971" s="55">
        <v>307788232</v>
      </c>
      <c r="J971" s="55" t="s">
        <v>1808</v>
      </c>
      <c r="K971" s="55" t="s">
        <v>1809</v>
      </c>
      <c r="L971" s="53" t="s">
        <v>2079</v>
      </c>
      <c r="M971" s="55" t="s">
        <v>75</v>
      </c>
      <c r="N971" s="52">
        <v>25000</v>
      </c>
      <c r="O971" s="52">
        <v>301694000</v>
      </c>
      <c r="P971" s="52">
        <v>301694000</v>
      </c>
      <c r="Q971" s="57">
        <v>45826</v>
      </c>
      <c r="R971" s="57">
        <v>46190</v>
      </c>
      <c r="S971" s="56">
        <v>14</v>
      </c>
      <c r="T971" s="54">
        <v>6</v>
      </c>
      <c r="U971" s="52">
        <v>254147876.00299999</v>
      </c>
      <c r="V971" s="52">
        <v>254147876.00299999</v>
      </c>
      <c r="W971" s="52">
        <v>0</v>
      </c>
      <c r="X971" s="57"/>
      <c r="Y971" s="52">
        <v>0</v>
      </c>
      <c r="Z971" s="52">
        <v>0</v>
      </c>
      <c r="AA971" s="52">
        <v>1</v>
      </c>
      <c r="AB971" s="52">
        <v>0</v>
      </c>
      <c r="AC971" s="52">
        <v>1680182.0430000001</v>
      </c>
      <c r="AD971" s="52">
        <v>1680182.0430000001</v>
      </c>
      <c r="AE971" s="52">
        <v>0</v>
      </c>
      <c r="AF971" s="52">
        <v>0</v>
      </c>
      <c r="AG971" s="52">
        <v>0</v>
      </c>
      <c r="AH971" s="52">
        <v>0</v>
      </c>
      <c r="AI971" s="52">
        <v>0</v>
      </c>
      <c r="AJ971" s="52">
        <v>2</v>
      </c>
      <c r="AK971" s="52"/>
      <c r="AL971" s="52">
        <v>0</v>
      </c>
      <c r="AM971" s="52">
        <v>0</v>
      </c>
      <c r="AN971" s="52">
        <v>377117500</v>
      </c>
      <c r="AO971" s="52">
        <v>0</v>
      </c>
      <c r="AP971" s="52">
        <v>0</v>
      </c>
      <c r="AQ971" s="58">
        <v>0</v>
      </c>
      <c r="AR971" s="58">
        <v>0</v>
      </c>
      <c r="AS971" s="58">
        <v>2</v>
      </c>
      <c r="AT971" s="58">
        <v>83885.87</v>
      </c>
      <c r="AU971" s="58">
        <v>197</v>
      </c>
      <c r="AV971" s="58">
        <v>471055903.83999997</v>
      </c>
      <c r="AW971" s="58">
        <v>75</v>
      </c>
      <c r="AX971" s="58">
        <v>376928166.06</v>
      </c>
    </row>
    <row r="972" spans="1:50" x14ac:dyDescent="0.25">
      <c r="A972" s="52">
        <f t="shared" si="47"/>
        <v>967</v>
      </c>
      <c r="B972" s="60" t="str">
        <f t="shared" si="46"/>
        <v>0108161439</v>
      </c>
      <c r="C972" s="55" t="s">
        <v>36</v>
      </c>
      <c r="D972" s="53" t="s">
        <v>2146</v>
      </c>
      <c r="E972" s="55" t="s">
        <v>10</v>
      </c>
      <c r="F972" s="53" t="s">
        <v>2147</v>
      </c>
      <c r="G972" s="55" t="s">
        <v>10</v>
      </c>
      <c r="H972" s="53" t="s">
        <v>2643</v>
      </c>
      <c r="I972" s="55">
        <v>306484288</v>
      </c>
      <c r="J972" s="55" t="s">
        <v>1810</v>
      </c>
      <c r="K972" s="55" t="s">
        <v>1811</v>
      </c>
      <c r="L972" s="53" t="s">
        <v>2045</v>
      </c>
      <c r="M972" s="55" t="s">
        <v>49</v>
      </c>
      <c r="N972" s="52">
        <v>381000000</v>
      </c>
      <c r="O972" s="52">
        <v>381000000</v>
      </c>
      <c r="P972" s="52">
        <v>381000000</v>
      </c>
      <c r="Q972" s="57">
        <v>45567</v>
      </c>
      <c r="R972" s="57">
        <v>46905</v>
      </c>
      <c r="S972" s="56">
        <v>26</v>
      </c>
      <c r="T972" s="54">
        <v>0</v>
      </c>
      <c r="U972" s="52">
        <v>251113636.34999999</v>
      </c>
      <c r="V972" s="52">
        <v>251113636.34999999</v>
      </c>
      <c r="W972" s="52">
        <v>0</v>
      </c>
      <c r="X972" s="57"/>
      <c r="Y972" s="52">
        <v>0</v>
      </c>
      <c r="Z972" s="52">
        <v>0</v>
      </c>
      <c r="AA972" s="52">
        <v>2</v>
      </c>
      <c r="AB972" s="52">
        <v>25111363.640000001</v>
      </c>
      <c r="AC972" s="52">
        <v>3040882.94</v>
      </c>
      <c r="AD972" s="52">
        <v>3040882.94</v>
      </c>
      <c r="AE972" s="52">
        <v>0</v>
      </c>
      <c r="AF972" s="52">
        <v>0</v>
      </c>
      <c r="AG972" s="52">
        <v>0</v>
      </c>
      <c r="AH972" s="52">
        <v>0</v>
      </c>
      <c r="AI972" s="52">
        <v>0</v>
      </c>
      <c r="AJ972" s="52">
        <v>2</v>
      </c>
      <c r="AK972" s="52"/>
      <c r="AL972" s="52">
        <v>0</v>
      </c>
      <c r="AM972" s="52">
        <v>0</v>
      </c>
      <c r="AN972" s="52">
        <v>2729099250</v>
      </c>
      <c r="AO972" s="52">
        <v>0</v>
      </c>
      <c r="AP972" s="52">
        <v>0</v>
      </c>
      <c r="AQ972" s="58">
        <v>1</v>
      </c>
      <c r="AR972" s="58">
        <v>69192.05</v>
      </c>
      <c r="AS972" s="58">
        <v>1</v>
      </c>
      <c r="AT972" s="58">
        <v>32560</v>
      </c>
      <c r="AU972" s="58">
        <v>0</v>
      </c>
      <c r="AV972" s="58">
        <v>0</v>
      </c>
      <c r="AW972" s="58">
        <v>0</v>
      </c>
      <c r="AX972" s="58">
        <v>0</v>
      </c>
    </row>
    <row r="973" spans="1:50" x14ac:dyDescent="0.25">
      <c r="A973" s="52">
        <f t="shared" si="47"/>
        <v>968</v>
      </c>
      <c r="B973" s="60" t="str">
        <f t="shared" si="46"/>
        <v>0108147800</v>
      </c>
      <c r="C973" s="55" t="s">
        <v>36</v>
      </c>
      <c r="D973" s="53" t="s">
        <v>2146</v>
      </c>
      <c r="E973" s="55" t="s">
        <v>10</v>
      </c>
      <c r="F973" s="53" t="s">
        <v>2147</v>
      </c>
      <c r="G973" s="55" t="s">
        <v>10</v>
      </c>
      <c r="H973" s="53" t="s">
        <v>1796</v>
      </c>
      <c r="I973" s="55">
        <v>305747933</v>
      </c>
      <c r="J973" s="55">
        <v>47800</v>
      </c>
      <c r="K973" s="55" t="s">
        <v>1812</v>
      </c>
      <c r="L973" s="53" t="s">
        <v>2079</v>
      </c>
      <c r="M973" s="55" t="s">
        <v>75</v>
      </c>
      <c r="N973" s="52">
        <v>140000</v>
      </c>
      <c r="O973" s="52">
        <v>1689486400</v>
      </c>
      <c r="P973" s="52">
        <f>+O973</f>
        <v>1689486400</v>
      </c>
      <c r="Q973" s="57">
        <v>45044</v>
      </c>
      <c r="R973" s="57">
        <v>46139</v>
      </c>
      <c r="S973" s="56">
        <v>14</v>
      </c>
      <c r="T973" s="54">
        <v>0</v>
      </c>
      <c r="U973" s="52">
        <v>244601958.26199999</v>
      </c>
      <c r="V973" s="52">
        <v>244601958.26199999</v>
      </c>
      <c r="W973" s="52">
        <v>0</v>
      </c>
      <c r="X973" s="57"/>
      <c r="Y973" s="52">
        <v>0</v>
      </c>
      <c r="Z973" s="52">
        <v>0</v>
      </c>
      <c r="AA973" s="52">
        <v>1</v>
      </c>
      <c r="AB973" s="52">
        <v>0</v>
      </c>
      <c r="AC973" s="52">
        <v>2908387.4309999999</v>
      </c>
      <c r="AD973" s="52">
        <v>2908387.4309999999</v>
      </c>
      <c r="AE973" s="52">
        <v>0</v>
      </c>
      <c r="AF973" s="52">
        <v>0</v>
      </c>
      <c r="AG973" s="52">
        <v>0</v>
      </c>
      <c r="AH973" s="52">
        <v>0</v>
      </c>
      <c r="AI973" s="52">
        <v>0</v>
      </c>
      <c r="AJ973" s="52">
        <v>2</v>
      </c>
      <c r="AK973" s="52"/>
      <c r="AL973" s="52">
        <v>772482358373</v>
      </c>
      <c r="AM973" s="52">
        <v>0</v>
      </c>
      <c r="AN973" s="52">
        <v>65800764376</v>
      </c>
      <c r="AO973" s="52">
        <v>0</v>
      </c>
      <c r="AP973" s="52">
        <v>0</v>
      </c>
      <c r="AQ973" s="58">
        <v>0</v>
      </c>
      <c r="AR973" s="58">
        <v>0</v>
      </c>
      <c r="AS973" s="58">
        <v>0</v>
      </c>
      <c r="AT973" s="58">
        <v>0</v>
      </c>
      <c r="AU973" s="58">
        <v>0</v>
      </c>
      <c r="AV973" s="58">
        <v>0</v>
      </c>
      <c r="AW973" s="58">
        <v>0</v>
      </c>
      <c r="AX973" s="58">
        <v>0</v>
      </c>
    </row>
    <row r="974" spans="1:50" x14ac:dyDescent="0.25">
      <c r="A974" s="52">
        <f t="shared" si="47"/>
        <v>969</v>
      </c>
      <c r="B974" s="60" t="str">
        <f t="shared" si="46"/>
        <v>0108157226</v>
      </c>
      <c r="C974" s="55" t="s">
        <v>36</v>
      </c>
      <c r="D974" s="53" t="s">
        <v>2146</v>
      </c>
      <c r="E974" s="55" t="s">
        <v>10</v>
      </c>
      <c r="F974" s="53" t="s">
        <v>2147</v>
      </c>
      <c r="G974" s="55" t="s">
        <v>10</v>
      </c>
      <c r="H974" s="53" t="s">
        <v>1764</v>
      </c>
      <c r="I974" s="55">
        <v>307420532</v>
      </c>
      <c r="J974" s="55" t="s">
        <v>1813</v>
      </c>
      <c r="K974" s="55" t="s">
        <v>1814</v>
      </c>
      <c r="L974" s="53" t="s">
        <v>2079</v>
      </c>
      <c r="M974" s="55" t="s">
        <v>75</v>
      </c>
      <c r="N974" s="52">
        <v>27000</v>
      </c>
      <c r="O974" s="52">
        <v>325829520</v>
      </c>
      <c r="P974" s="52">
        <f>+O974</f>
        <v>325829520</v>
      </c>
      <c r="Q974" s="57">
        <v>45385</v>
      </c>
      <c r="R974" s="57">
        <v>47205</v>
      </c>
      <c r="S974" s="56">
        <v>15</v>
      </c>
      <c r="T974" s="54">
        <v>0</v>
      </c>
      <c r="U974" s="52">
        <v>242983381.67399999</v>
      </c>
      <c r="V974" s="52">
        <v>242983381.67399999</v>
      </c>
      <c r="W974" s="52">
        <v>0</v>
      </c>
      <c r="X974" s="57"/>
      <c r="Y974" s="52">
        <v>0</v>
      </c>
      <c r="Z974" s="52">
        <v>0</v>
      </c>
      <c r="AA974" s="52">
        <v>2</v>
      </c>
      <c r="AB974" s="52">
        <v>24298411.362</v>
      </c>
      <c r="AC974" s="52">
        <v>1697626.7560000001</v>
      </c>
      <c r="AD974" s="52">
        <v>1697626.7560000001</v>
      </c>
      <c r="AE974" s="52">
        <v>0</v>
      </c>
      <c r="AF974" s="52">
        <v>0</v>
      </c>
      <c r="AG974" s="52">
        <v>0</v>
      </c>
      <c r="AH974" s="52">
        <v>0</v>
      </c>
      <c r="AI974" s="52">
        <v>0</v>
      </c>
      <c r="AJ974" s="52">
        <v>2</v>
      </c>
      <c r="AK974" s="52"/>
      <c r="AL974" s="52">
        <v>0</v>
      </c>
      <c r="AM974" s="52">
        <v>0</v>
      </c>
      <c r="AN974" s="52">
        <v>3375</v>
      </c>
      <c r="AO974" s="52">
        <v>0</v>
      </c>
      <c r="AP974" s="52">
        <v>0</v>
      </c>
      <c r="AQ974" s="58">
        <v>0</v>
      </c>
      <c r="AR974" s="58">
        <v>0</v>
      </c>
      <c r="AS974" s="58">
        <v>0</v>
      </c>
      <c r="AT974" s="58">
        <v>0</v>
      </c>
      <c r="AU974" s="58">
        <v>2</v>
      </c>
      <c r="AV974" s="58">
        <v>62626.8</v>
      </c>
      <c r="AW974" s="58">
        <v>0</v>
      </c>
      <c r="AX974" s="58">
        <v>0</v>
      </c>
    </row>
    <row r="975" spans="1:50" x14ac:dyDescent="0.25">
      <c r="A975" s="52">
        <f t="shared" si="47"/>
        <v>970</v>
      </c>
      <c r="B975" s="60" t="str">
        <f t="shared" si="46"/>
        <v>0108157135</v>
      </c>
      <c r="C975" s="55" t="s">
        <v>36</v>
      </c>
      <c r="D975" s="53" t="s">
        <v>2146</v>
      </c>
      <c r="E975" s="55" t="s">
        <v>10</v>
      </c>
      <c r="F975" s="53" t="s">
        <v>2147</v>
      </c>
      <c r="G975" s="55" t="s">
        <v>10</v>
      </c>
      <c r="H975" s="53" t="s">
        <v>1815</v>
      </c>
      <c r="I975" s="55">
        <v>305063678</v>
      </c>
      <c r="J975" s="55">
        <v>57135</v>
      </c>
      <c r="K975" s="55" t="s">
        <v>1816</v>
      </c>
      <c r="L975" s="53" t="s">
        <v>2035</v>
      </c>
      <c r="M975" s="55" t="s">
        <v>49</v>
      </c>
      <c r="N975" s="52">
        <v>700000000</v>
      </c>
      <c r="O975" s="52">
        <v>700000000</v>
      </c>
      <c r="P975" s="52">
        <v>700000000</v>
      </c>
      <c r="Q975" s="57">
        <v>45390</v>
      </c>
      <c r="R975" s="57">
        <v>46210</v>
      </c>
      <c r="S975" s="56">
        <v>26</v>
      </c>
      <c r="T975" s="54">
        <v>6</v>
      </c>
      <c r="U975" s="52">
        <v>236161650.71000001</v>
      </c>
      <c r="V975" s="52">
        <v>236161650.71000001</v>
      </c>
      <c r="W975" s="52">
        <v>0</v>
      </c>
      <c r="X975" s="57"/>
      <c r="Y975" s="52">
        <v>0</v>
      </c>
      <c r="Z975" s="52">
        <v>0</v>
      </c>
      <c r="AA975" s="52">
        <v>1</v>
      </c>
      <c r="AB975" s="52">
        <v>0</v>
      </c>
      <c r="AC975" s="52">
        <v>2899540.27</v>
      </c>
      <c r="AD975" s="52">
        <v>2899540.27</v>
      </c>
      <c r="AE975" s="52">
        <v>0</v>
      </c>
      <c r="AF975" s="52">
        <v>0</v>
      </c>
      <c r="AG975" s="52">
        <v>0</v>
      </c>
      <c r="AH975" s="52">
        <v>0</v>
      </c>
      <c r="AI975" s="52">
        <v>0</v>
      </c>
      <c r="AJ975" s="52">
        <v>2</v>
      </c>
      <c r="AK975" s="52"/>
      <c r="AL975" s="52">
        <v>0</v>
      </c>
      <c r="AM975" s="52">
        <v>0</v>
      </c>
      <c r="AN975" s="52">
        <v>6250000000</v>
      </c>
      <c r="AO975" s="52">
        <v>0</v>
      </c>
      <c r="AP975" s="52">
        <v>0</v>
      </c>
      <c r="AQ975" s="58">
        <v>0</v>
      </c>
      <c r="AR975" s="58">
        <v>0</v>
      </c>
      <c r="AS975" s="58">
        <v>0</v>
      </c>
      <c r="AT975" s="58">
        <v>0</v>
      </c>
      <c r="AU975" s="58">
        <v>7</v>
      </c>
      <c r="AV975" s="58">
        <v>165158.56</v>
      </c>
      <c r="AW975" s="58">
        <v>5</v>
      </c>
      <c r="AX975" s="58">
        <v>102200</v>
      </c>
    </row>
    <row r="976" spans="1:50" x14ac:dyDescent="0.25">
      <c r="A976" s="52">
        <f t="shared" si="47"/>
        <v>971</v>
      </c>
      <c r="B976" s="60" t="str">
        <f t="shared" si="46"/>
        <v>0108163061</v>
      </c>
      <c r="C976" s="55" t="s">
        <v>36</v>
      </c>
      <c r="D976" s="53" t="s">
        <v>2146</v>
      </c>
      <c r="E976" s="55" t="s">
        <v>10</v>
      </c>
      <c r="F976" s="53" t="s">
        <v>2147</v>
      </c>
      <c r="G976" s="55" t="s">
        <v>10</v>
      </c>
      <c r="H976" s="53" t="s">
        <v>1712</v>
      </c>
      <c r="I976" s="55">
        <v>307788232</v>
      </c>
      <c r="J976" s="55" t="s">
        <v>1817</v>
      </c>
      <c r="K976" s="55" t="s">
        <v>1818</v>
      </c>
      <c r="L976" s="53" t="s">
        <v>2079</v>
      </c>
      <c r="M976" s="55" t="s">
        <v>75</v>
      </c>
      <c r="N976" s="52">
        <v>29000</v>
      </c>
      <c r="O976" s="52">
        <v>349965040</v>
      </c>
      <c r="P976" s="52">
        <v>349965040</v>
      </c>
      <c r="Q976" s="57">
        <v>45796</v>
      </c>
      <c r="R976" s="57">
        <v>46160</v>
      </c>
      <c r="S976" s="56">
        <v>14</v>
      </c>
      <c r="T976" s="54">
        <v>6</v>
      </c>
      <c r="U976" s="52">
        <v>235849347.99399999</v>
      </c>
      <c r="V976" s="52">
        <v>235849347.99399999</v>
      </c>
      <c r="W976" s="52">
        <v>0</v>
      </c>
      <c r="X976" s="57"/>
      <c r="Y976" s="52">
        <v>0</v>
      </c>
      <c r="Z976" s="52">
        <v>0</v>
      </c>
      <c r="AA976" s="52">
        <v>1</v>
      </c>
      <c r="AB976" s="52">
        <v>0</v>
      </c>
      <c r="AC976" s="52">
        <v>1559166.9709999999</v>
      </c>
      <c r="AD976" s="52">
        <v>1559166.9709999999</v>
      </c>
      <c r="AE976" s="52">
        <v>0</v>
      </c>
      <c r="AF976" s="52">
        <v>0</v>
      </c>
      <c r="AG976" s="52">
        <v>0</v>
      </c>
      <c r="AH976" s="52">
        <v>0</v>
      </c>
      <c r="AI976" s="52">
        <v>0</v>
      </c>
      <c r="AJ976" s="52">
        <v>2</v>
      </c>
      <c r="AK976" s="52"/>
      <c r="AL976" s="52">
        <v>0</v>
      </c>
      <c r="AM976" s="52">
        <v>0</v>
      </c>
      <c r="AN976" s="52">
        <v>437456300</v>
      </c>
      <c r="AO976" s="52">
        <v>0</v>
      </c>
      <c r="AP976" s="52">
        <v>0</v>
      </c>
      <c r="AQ976" s="58">
        <v>0</v>
      </c>
      <c r="AR976" s="58">
        <v>0</v>
      </c>
      <c r="AS976" s="58">
        <v>2</v>
      </c>
      <c r="AT976" s="58">
        <v>83885.87</v>
      </c>
      <c r="AU976" s="58">
        <v>197</v>
      </c>
      <c r="AV976" s="58">
        <v>471055903.83999997</v>
      </c>
      <c r="AW976" s="58">
        <v>75</v>
      </c>
      <c r="AX976" s="58">
        <v>376928166.06</v>
      </c>
    </row>
    <row r="977" spans="1:50" x14ac:dyDescent="0.25">
      <c r="A977" s="52">
        <f t="shared" si="47"/>
        <v>972</v>
      </c>
      <c r="B977" s="60" t="str">
        <f t="shared" si="46"/>
        <v>0108162646</v>
      </c>
      <c r="C977" s="55" t="s">
        <v>36</v>
      </c>
      <c r="D977" s="53" t="s">
        <v>2146</v>
      </c>
      <c r="E977" s="55" t="s">
        <v>10</v>
      </c>
      <c r="F977" s="53" t="s">
        <v>2147</v>
      </c>
      <c r="G977" s="55" t="s">
        <v>10</v>
      </c>
      <c r="H977" s="53" t="s">
        <v>1712</v>
      </c>
      <c r="I977" s="55">
        <v>307788232</v>
      </c>
      <c r="J977" s="55" t="s">
        <v>1819</v>
      </c>
      <c r="K977" s="55" t="s">
        <v>1820</v>
      </c>
      <c r="L977" s="53" t="s">
        <v>2079</v>
      </c>
      <c r="M977" s="55" t="s">
        <v>75</v>
      </c>
      <c r="N977" s="52">
        <v>58000</v>
      </c>
      <c r="O977" s="52">
        <v>699930080</v>
      </c>
      <c r="P977" s="52">
        <v>699930080</v>
      </c>
      <c r="Q977" s="57">
        <v>45736</v>
      </c>
      <c r="R977" s="57">
        <v>46100</v>
      </c>
      <c r="S977" s="56">
        <v>14</v>
      </c>
      <c r="T977" s="54">
        <v>6</v>
      </c>
      <c r="U977" s="52">
        <v>235849104.01199999</v>
      </c>
      <c r="V977" s="52">
        <v>235849104.01199999</v>
      </c>
      <c r="W977" s="52">
        <v>0</v>
      </c>
      <c r="X977" s="57"/>
      <c r="Y977" s="52">
        <v>0</v>
      </c>
      <c r="Z977" s="52">
        <v>0</v>
      </c>
      <c r="AA977" s="52">
        <v>1</v>
      </c>
      <c r="AB977" s="52">
        <v>0</v>
      </c>
      <c r="AC977" s="52">
        <v>1559166.9709999999</v>
      </c>
      <c r="AD977" s="52">
        <v>1559166.9709999999</v>
      </c>
      <c r="AE977" s="52">
        <v>0</v>
      </c>
      <c r="AF977" s="52">
        <v>0</v>
      </c>
      <c r="AG977" s="52">
        <v>0</v>
      </c>
      <c r="AH977" s="52">
        <v>0</v>
      </c>
      <c r="AI977" s="52">
        <v>0</v>
      </c>
      <c r="AJ977" s="52">
        <v>2</v>
      </c>
      <c r="AK977" s="52"/>
      <c r="AL977" s="52">
        <v>0</v>
      </c>
      <c r="AM977" s="52">
        <v>0</v>
      </c>
      <c r="AN977" s="52">
        <v>874912600</v>
      </c>
      <c r="AO977" s="52">
        <v>0</v>
      </c>
      <c r="AP977" s="52">
        <v>0</v>
      </c>
      <c r="AQ977" s="58">
        <v>0</v>
      </c>
      <c r="AR977" s="58">
        <v>0</v>
      </c>
      <c r="AS977" s="58">
        <v>2</v>
      </c>
      <c r="AT977" s="58">
        <v>83885.87</v>
      </c>
      <c r="AU977" s="58">
        <v>197</v>
      </c>
      <c r="AV977" s="58">
        <v>471055903.83999997</v>
      </c>
      <c r="AW977" s="58">
        <v>75</v>
      </c>
      <c r="AX977" s="58">
        <v>376928166.06</v>
      </c>
    </row>
    <row r="978" spans="1:50" x14ac:dyDescent="0.25">
      <c r="A978" s="52">
        <f t="shared" si="47"/>
        <v>973</v>
      </c>
      <c r="B978" s="60" t="str">
        <f t="shared" si="46"/>
        <v>0108163060</v>
      </c>
      <c r="C978" s="55" t="s">
        <v>36</v>
      </c>
      <c r="D978" s="53" t="s">
        <v>2146</v>
      </c>
      <c r="E978" s="55" t="s">
        <v>10</v>
      </c>
      <c r="F978" s="53" t="s">
        <v>2147</v>
      </c>
      <c r="G978" s="55" t="s">
        <v>10</v>
      </c>
      <c r="H978" s="53" t="s">
        <v>1712</v>
      </c>
      <c r="I978" s="55">
        <v>307788232</v>
      </c>
      <c r="J978" s="55" t="s">
        <v>1821</v>
      </c>
      <c r="K978" s="55" t="s">
        <v>1822</v>
      </c>
      <c r="L978" s="53" t="s">
        <v>2079</v>
      </c>
      <c r="M978" s="55" t="s">
        <v>75</v>
      </c>
      <c r="N978" s="52">
        <v>25000</v>
      </c>
      <c r="O978" s="52">
        <v>301694000</v>
      </c>
      <c r="P978" s="52">
        <v>301694000</v>
      </c>
      <c r="Q978" s="57">
        <v>45796</v>
      </c>
      <c r="R978" s="57">
        <v>46160</v>
      </c>
      <c r="S978" s="56">
        <v>14</v>
      </c>
      <c r="T978" s="54">
        <v>6</v>
      </c>
      <c r="U978" s="52">
        <v>203318252.00600001</v>
      </c>
      <c r="V978" s="52">
        <v>203318252.00600001</v>
      </c>
      <c r="W978" s="52">
        <v>0</v>
      </c>
      <c r="X978" s="57"/>
      <c r="Y978" s="52">
        <v>0</v>
      </c>
      <c r="Z978" s="52">
        <v>0</v>
      </c>
      <c r="AA978" s="52">
        <v>1</v>
      </c>
      <c r="AB978" s="52">
        <v>0</v>
      </c>
      <c r="AC978" s="52">
        <v>1344218.8289999999</v>
      </c>
      <c r="AD978" s="52">
        <v>1344218.8289999999</v>
      </c>
      <c r="AE978" s="52">
        <v>0</v>
      </c>
      <c r="AF978" s="52">
        <v>0</v>
      </c>
      <c r="AG978" s="52">
        <v>0</v>
      </c>
      <c r="AH978" s="52">
        <v>0</v>
      </c>
      <c r="AI978" s="52">
        <v>0</v>
      </c>
      <c r="AJ978" s="52">
        <v>2</v>
      </c>
      <c r="AK978" s="52"/>
      <c r="AL978" s="52">
        <v>0</v>
      </c>
      <c r="AM978" s="52">
        <v>0</v>
      </c>
      <c r="AN978" s="52">
        <v>377117500</v>
      </c>
      <c r="AO978" s="52">
        <v>0</v>
      </c>
      <c r="AP978" s="52">
        <v>0</v>
      </c>
      <c r="AQ978" s="58">
        <v>0</v>
      </c>
      <c r="AR978" s="58">
        <v>0</v>
      </c>
      <c r="AS978" s="58">
        <v>2</v>
      </c>
      <c r="AT978" s="58">
        <v>83885.87</v>
      </c>
      <c r="AU978" s="58">
        <v>197</v>
      </c>
      <c r="AV978" s="58">
        <v>471055903.83999997</v>
      </c>
      <c r="AW978" s="58">
        <v>75</v>
      </c>
      <c r="AX978" s="58">
        <v>376928166.06</v>
      </c>
    </row>
    <row r="979" spans="1:50" x14ac:dyDescent="0.25">
      <c r="A979" s="52">
        <f t="shared" si="47"/>
        <v>974</v>
      </c>
      <c r="B979" s="60" t="str">
        <f t="shared" si="46"/>
        <v>0108163286</v>
      </c>
      <c r="C979" s="55" t="s">
        <v>36</v>
      </c>
      <c r="D979" s="53" t="s">
        <v>2146</v>
      </c>
      <c r="E979" s="55" t="s">
        <v>10</v>
      </c>
      <c r="F979" s="53" t="s">
        <v>2147</v>
      </c>
      <c r="G979" s="55" t="s">
        <v>10</v>
      </c>
      <c r="H979" s="53" t="s">
        <v>2641</v>
      </c>
      <c r="I979" s="55">
        <v>305875498</v>
      </c>
      <c r="J979" s="55" t="s">
        <v>1823</v>
      </c>
      <c r="K979" s="55" t="s">
        <v>1824</v>
      </c>
      <c r="L979" s="53" t="s">
        <v>2079</v>
      </c>
      <c r="M979" s="55" t="s">
        <v>75</v>
      </c>
      <c r="N979" s="52">
        <v>19000</v>
      </c>
      <c r="O979" s="52">
        <v>229287440</v>
      </c>
      <c r="P979" s="52">
        <v>229287440</v>
      </c>
      <c r="Q979" s="57">
        <v>45828</v>
      </c>
      <c r="R979" s="57">
        <v>46192</v>
      </c>
      <c r="S979" s="56">
        <v>14</v>
      </c>
      <c r="T979" s="54">
        <v>6</v>
      </c>
      <c r="U979" s="52">
        <v>193152376.00299999</v>
      </c>
      <c r="V979" s="52">
        <v>193152376.00299999</v>
      </c>
      <c r="W979" s="52">
        <v>0</v>
      </c>
      <c r="X979" s="57"/>
      <c r="Y979" s="52">
        <v>0</v>
      </c>
      <c r="Z979" s="52">
        <v>0</v>
      </c>
      <c r="AA979" s="52">
        <v>1</v>
      </c>
      <c r="AB979" s="52">
        <v>0</v>
      </c>
      <c r="AC979" s="52">
        <v>1276879.797</v>
      </c>
      <c r="AD979" s="52">
        <v>1276879.797</v>
      </c>
      <c r="AE979" s="52">
        <v>0</v>
      </c>
      <c r="AF979" s="52">
        <v>0</v>
      </c>
      <c r="AG979" s="52">
        <v>0</v>
      </c>
      <c r="AH979" s="52">
        <v>0</v>
      </c>
      <c r="AI979" s="52">
        <v>0</v>
      </c>
      <c r="AJ979" s="52">
        <v>2</v>
      </c>
      <c r="AK979" s="52"/>
      <c r="AL979" s="52">
        <v>22167</v>
      </c>
      <c r="AM979" s="52">
        <v>0</v>
      </c>
      <c r="AN979" s="52">
        <v>3000000000</v>
      </c>
      <c r="AO979" s="52">
        <v>0</v>
      </c>
      <c r="AP979" s="52">
        <v>0</v>
      </c>
      <c r="AQ979" s="58">
        <v>0</v>
      </c>
      <c r="AR979" s="58">
        <v>0</v>
      </c>
      <c r="AS979" s="58">
        <v>4</v>
      </c>
      <c r="AT979" s="58">
        <v>81019.959999999992</v>
      </c>
      <c r="AU979" s="58">
        <v>134</v>
      </c>
      <c r="AV979" s="58">
        <v>26235526.48</v>
      </c>
      <c r="AW979" s="58">
        <v>30</v>
      </c>
      <c r="AX979" s="58">
        <v>43801147.549999997</v>
      </c>
    </row>
    <row r="980" spans="1:50" x14ac:dyDescent="0.25">
      <c r="A980" s="52">
        <f t="shared" si="47"/>
        <v>975</v>
      </c>
      <c r="B980" s="60" t="str">
        <f t="shared" si="46"/>
        <v>0108162700</v>
      </c>
      <c r="C980" s="55" t="s">
        <v>36</v>
      </c>
      <c r="D980" s="53" t="s">
        <v>2146</v>
      </c>
      <c r="E980" s="55" t="s">
        <v>10</v>
      </c>
      <c r="F980" s="53" t="s">
        <v>2147</v>
      </c>
      <c r="G980" s="55" t="s">
        <v>10</v>
      </c>
      <c r="H980" s="53" t="s">
        <v>1755</v>
      </c>
      <c r="I980" s="55">
        <v>304708790</v>
      </c>
      <c r="J980" s="55" t="s">
        <v>1825</v>
      </c>
      <c r="K980" s="55" t="s">
        <v>1826</v>
      </c>
      <c r="L980" s="53" t="s">
        <v>2079</v>
      </c>
      <c r="M980" s="55" t="s">
        <v>49</v>
      </c>
      <c r="N980" s="52">
        <v>330000000</v>
      </c>
      <c r="O980" s="52">
        <v>330000000</v>
      </c>
      <c r="P980" s="52">
        <v>330000000</v>
      </c>
      <c r="Q980" s="57">
        <v>45743</v>
      </c>
      <c r="R980" s="57">
        <v>46290</v>
      </c>
      <c r="S980" s="56">
        <v>28</v>
      </c>
      <c r="T980" s="54">
        <v>0</v>
      </c>
      <c r="U980" s="52">
        <v>188159768.21000001</v>
      </c>
      <c r="V980" s="52">
        <v>188159768.21000001</v>
      </c>
      <c r="W980" s="52">
        <v>0</v>
      </c>
      <c r="X980" s="57"/>
      <c r="Y980" s="52">
        <v>0</v>
      </c>
      <c r="Z980" s="52">
        <v>0</v>
      </c>
      <c r="AA980" s="52">
        <v>1</v>
      </c>
      <c r="AB980" s="52">
        <v>0</v>
      </c>
      <c r="AC980" s="52">
        <v>2453839.44</v>
      </c>
      <c r="AD980" s="52">
        <v>2453839.44</v>
      </c>
      <c r="AE980" s="52">
        <v>0</v>
      </c>
      <c r="AF980" s="52">
        <v>0</v>
      </c>
      <c r="AG980" s="52">
        <v>0</v>
      </c>
      <c r="AH980" s="52">
        <v>0</v>
      </c>
      <c r="AI980" s="52">
        <v>0</v>
      </c>
      <c r="AJ980" s="52">
        <v>2</v>
      </c>
      <c r="AK980" s="52"/>
      <c r="AL980" s="52">
        <v>17771720203</v>
      </c>
      <c r="AM980" s="52">
        <v>0</v>
      </c>
      <c r="AN980" s="52">
        <v>2886000000</v>
      </c>
      <c r="AO980" s="52">
        <v>0</v>
      </c>
      <c r="AP980" s="52">
        <v>0</v>
      </c>
      <c r="AQ980" s="58">
        <v>0</v>
      </c>
      <c r="AR980" s="58">
        <v>0</v>
      </c>
      <c r="AS980" s="58">
        <v>0</v>
      </c>
      <c r="AT980" s="58">
        <v>0</v>
      </c>
      <c r="AU980" s="58">
        <v>0</v>
      </c>
      <c r="AV980" s="58">
        <v>0</v>
      </c>
      <c r="AW980" s="58">
        <v>0</v>
      </c>
      <c r="AX980" s="58">
        <v>0</v>
      </c>
    </row>
    <row r="981" spans="1:50" x14ac:dyDescent="0.25">
      <c r="A981" s="52">
        <f t="shared" si="47"/>
        <v>976</v>
      </c>
      <c r="B981" s="60" t="str">
        <f t="shared" si="46"/>
        <v>0108162504</v>
      </c>
      <c r="C981" s="55" t="s">
        <v>36</v>
      </c>
      <c r="D981" s="53" t="s">
        <v>2146</v>
      </c>
      <c r="E981" s="55" t="s">
        <v>10</v>
      </c>
      <c r="F981" s="53" t="s">
        <v>2147</v>
      </c>
      <c r="G981" s="55" t="s">
        <v>10</v>
      </c>
      <c r="H981" s="53" t="s">
        <v>2641</v>
      </c>
      <c r="I981" s="55">
        <v>305875498</v>
      </c>
      <c r="J981" s="55" t="s">
        <v>1827</v>
      </c>
      <c r="K981" s="55" t="s">
        <v>1828</v>
      </c>
      <c r="L981" s="53" t="s">
        <v>2079</v>
      </c>
      <c r="M981" s="55" t="s">
        <v>75</v>
      </c>
      <c r="N981" s="52">
        <v>90000</v>
      </c>
      <c r="O981" s="52">
        <v>1086098400</v>
      </c>
      <c r="P981" s="52">
        <v>1086098400</v>
      </c>
      <c r="Q981" s="57">
        <v>45715</v>
      </c>
      <c r="R981" s="57">
        <v>46079</v>
      </c>
      <c r="S981" s="56">
        <v>11</v>
      </c>
      <c r="T981" s="54">
        <v>6</v>
      </c>
      <c r="U981" s="52">
        <v>182986500</v>
      </c>
      <c r="V981" s="52">
        <v>182986500</v>
      </c>
      <c r="W981" s="52">
        <v>0</v>
      </c>
      <c r="X981" s="57"/>
      <c r="Y981" s="52">
        <v>0</v>
      </c>
      <c r="Z981" s="52">
        <v>0</v>
      </c>
      <c r="AA981" s="52">
        <v>1</v>
      </c>
      <c r="AB981" s="52">
        <v>0</v>
      </c>
      <c r="AC981" s="52">
        <v>937500.83499999996</v>
      </c>
      <c r="AD981" s="52">
        <v>937500.83499999996</v>
      </c>
      <c r="AE981" s="52">
        <v>0</v>
      </c>
      <c r="AF981" s="52">
        <v>0</v>
      </c>
      <c r="AG981" s="52">
        <v>0</v>
      </c>
      <c r="AH981" s="52">
        <v>0</v>
      </c>
      <c r="AI981" s="52">
        <v>0</v>
      </c>
      <c r="AJ981" s="52">
        <v>2</v>
      </c>
      <c r="AK981" s="52"/>
      <c r="AL981" s="52">
        <v>22167</v>
      </c>
      <c r="AM981" s="52">
        <v>0</v>
      </c>
      <c r="AN981" s="52">
        <v>3000000000</v>
      </c>
      <c r="AO981" s="52">
        <v>0</v>
      </c>
      <c r="AP981" s="52">
        <v>0</v>
      </c>
      <c r="AQ981" s="58">
        <v>0</v>
      </c>
      <c r="AR981" s="58">
        <v>0</v>
      </c>
      <c r="AS981" s="58">
        <v>4</v>
      </c>
      <c r="AT981" s="58">
        <v>81019.959999999992</v>
      </c>
      <c r="AU981" s="58">
        <v>134</v>
      </c>
      <c r="AV981" s="58">
        <v>26235526.48</v>
      </c>
      <c r="AW981" s="58">
        <v>30</v>
      </c>
      <c r="AX981" s="58">
        <v>43801147.549999997</v>
      </c>
    </row>
    <row r="982" spans="1:50" x14ac:dyDescent="0.25">
      <c r="A982" s="52">
        <f t="shared" si="47"/>
        <v>977</v>
      </c>
      <c r="B982" s="60" t="str">
        <f t="shared" si="46"/>
        <v>0108162712</v>
      </c>
      <c r="C982" s="55" t="s">
        <v>36</v>
      </c>
      <c r="D982" s="53" t="s">
        <v>2146</v>
      </c>
      <c r="E982" s="55" t="s">
        <v>10</v>
      </c>
      <c r="F982" s="53" t="s">
        <v>2147</v>
      </c>
      <c r="G982" s="55" t="s">
        <v>10</v>
      </c>
      <c r="H982" s="53" t="s">
        <v>1750</v>
      </c>
      <c r="I982" s="55">
        <v>305647875</v>
      </c>
      <c r="J982" s="55" t="s">
        <v>1829</v>
      </c>
      <c r="K982" s="55" t="s">
        <v>1830</v>
      </c>
      <c r="L982" s="53" t="s">
        <v>2079</v>
      </c>
      <c r="M982" s="55" t="s">
        <v>49</v>
      </c>
      <c r="N982" s="52">
        <v>470000000</v>
      </c>
      <c r="O982" s="52">
        <v>470000000</v>
      </c>
      <c r="P982" s="52">
        <v>470000000</v>
      </c>
      <c r="Q982" s="57">
        <v>45744</v>
      </c>
      <c r="R982" s="57">
        <v>46108</v>
      </c>
      <c r="S982" s="56">
        <v>26</v>
      </c>
      <c r="T982" s="54">
        <v>6</v>
      </c>
      <c r="U982" s="52">
        <v>156666666.68000001</v>
      </c>
      <c r="V982" s="52">
        <v>156666666.68000001</v>
      </c>
      <c r="W982" s="52">
        <v>0</v>
      </c>
      <c r="X982" s="57"/>
      <c r="Y982" s="52">
        <v>0</v>
      </c>
      <c r="Z982" s="52">
        <v>0</v>
      </c>
      <c r="AA982" s="52">
        <v>1</v>
      </c>
      <c r="AB982" s="52">
        <v>0</v>
      </c>
      <c r="AC982" s="52">
        <v>1897168.9500000002</v>
      </c>
      <c r="AD982" s="52">
        <v>1897168.9500000002</v>
      </c>
      <c r="AE982" s="52">
        <v>0</v>
      </c>
      <c r="AF982" s="52">
        <v>0</v>
      </c>
      <c r="AG982" s="52">
        <v>0</v>
      </c>
      <c r="AH982" s="52">
        <v>0</v>
      </c>
      <c r="AI982" s="52">
        <v>0</v>
      </c>
      <c r="AJ982" s="52">
        <v>2</v>
      </c>
      <c r="AK982" s="52"/>
      <c r="AL982" s="52">
        <v>0</v>
      </c>
      <c r="AM982" s="52">
        <v>0</v>
      </c>
      <c r="AN982" s="52">
        <v>3750000000</v>
      </c>
      <c r="AO982" s="52">
        <v>4112000000</v>
      </c>
      <c r="AP982" s="52">
        <v>4110000000</v>
      </c>
      <c r="AQ982" s="58">
        <v>0</v>
      </c>
      <c r="AR982" s="58">
        <v>0</v>
      </c>
      <c r="AS982" s="58">
        <v>0</v>
      </c>
      <c r="AT982" s="58">
        <v>0</v>
      </c>
      <c r="AU982" s="58">
        <v>65</v>
      </c>
      <c r="AV982" s="58">
        <v>46963521.069999993</v>
      </c>
      <c r="AW982" s="58">
        <v>15</v>
      </c>
      <c r="AX982" s="58">
        <v>60529042.390000001</v>
      </c>
    </row>
    <row r="983" spans="1:50" x14ac:dyDescent="0.25">
      <c r="A983" s="52">
        <f t="shared" si="47"/>
        <v>978</v>
      </c>
      <c r="B983" s="60" t="str">
        <f t="shared" si="46"/>
        <v>0108162819</v>
      </c>
      <c r="C983" s="55" t="s">
        <v>36</v>
      </c>
      <c r="D983" s="53" t="s">
        <v>2146</v>
      </c>
      <c r="E983" s="55" t="s">
        <v>10</v>
      </c>
      <c r="F983" s="53" t="s">
        <v>2147</v>
      </c>
      <c r="G983" s="55" t="s">
        <v>10</v>
      </c>
      <c r="H983" s="53" t="s">
        <v>1712</v>
      </c>
      <c r="I983" s="55">
        <v>307788232</v>
      </c>
      <c r="J983" s="55" t="s">
        <v>1831</v>
      </c>
      <c r="K983" s="55" t="s">
        <v>1832</v>
      </c>
      <c r="L983" s="53" t="s">
        <v>2079</v>
      </c>
      <c r="M983" s="55" t="s">
        <v>75</v>
      </c>
      <c r="N983" s="52">
        <v>25000</v>
      </c>
      <c r="O983" s="52">
        <v>301694000</v>
      </c>
      <c r="P983" s="52">
        <v>301694000</v>
      </c>
      <c r="Q983" s="57">
        <v>45764</v>
      </c>
      <c r="R983" s="57">
        <v>46128</v>
      </c>
      <c r="S983" s="56">
        <v>14</v>
      </c>
      <c r="T983" s="54">
        <v>6</v>
      </c>
      <c r="U983" s="52">
        <v>152488628.009</v>
      </c>
      <c r="V983" s="52">
        <v>152488628.009</v>
      </c>
      <c r="W983" s="52">
        <v>0</v>
      </c>
      <c r="X983" s="57"/>
      <c r="Y983" s="52">
        <v>0</v>
      </c>
      <c r="Z983" s="52">
        <v>0</v>
      </c>
      <c r="AA983" s="52">
        <v>1</v>
      </c>
      <c r="AB983" s="52">
        <v>0</v>
      </c>
      <c r="AC983" s="52">
        <v>1008133.624</v>
      </c>
      <c r="AD983" s="52">
        <v>1008133.624</v>
      </c>
      <c r="AE983" s="52">
        <v>0</v>
      </c>
      <c r="AF983" s="52">
        <v>0</v>
      </c>
      <c r="AG983" s="52">
        <v>0</v>
      </c>
      <c r="AH983" s="52">
        <v>0</v>
      </c>
      <c r="AI983" s="52">
        <v>0</v>
      </c>
      <c r="AJ983" s="52">
        <v>2</v>
      </c>
      <c r="AK983" s="52"/>
      <c r="AL983" s="52">
        <v>0</v>
      </c>
      <c r="AM983" s="52">
        <v>0</v>
      </c>
      <c r="AN983" s="52">
        <v>377117500</v>
      </c>
      <c r="AO983" s="52">
        <v>0</v>
      </c>
      <c r="AP983" s="52">
        <v>0</v>
      </c>
      <c r="AQ983" s="58">
        <v>0</v>
      </c>
      <c r="AR983" s="58">
        <v>0</v>
      </c>
      <c r="AS983" s="58">
        <v>2</v>
      </c>
      <c r="AT983" s="58">
        <v>83885.87</v>
      </c>
      <c r="AU983" s="58">
        <v>197</v>
      </c>
      <c r="AV983" s="58">
        <v>471055903.83999997</v>
      </c>
      <c r="AW983" s="58">
        <v>75</v>
      </c>
      <c r="AX983" s="58">
        <v>376928166.06</v>
      </c>
    </row>
    <row r="984" spans="1:50" x14ac:dyDescent="0.25">
      <c r="A984" s="52">
        <f t="shared" si="47"/>
        <v>979</v>
      </c>
      <c r="B984" s="60" t="str">
        <f t="shared" si="46"/>
        <v>0108149928</v>
      </c>
      <c r="C984" s="55" t="s">
        <v>36</v>
      </c>
      <c r="D984" s="53" t="s">
        <v>2146</v>
      </c>
      <c r="E984" s="55" t="s">
        <v>10</v>
      </c>
      <c r="F984" s="53" t="s">
        <v>2147</v>
      </c>
      <c r="G984" s="55" t="s">
        <v>10</v>
      </c>
      <c r="H984" s="53" t="s">
        <v>1815</v>
      </c>
      <c r="I984" s="55">
        <v>305063678</v>
      </c>
      <c r="J984" s="55">
        <v>49928</v>
      </c>
      <c r="K984" s="55" t="s">
        <v>1833</v>
      </c>
      <c r="L984" s="53" t="s">
        <v>2035</v>
      </c>
      <c r="M984" s="55" t="s">
        <v>49</v>
      </c>
      <c r="N984" s="52">
        <v>455000000</v>
      </c>
      <c r="O984" s="52">
        <v>455000000</v>
      </c>
      <c r="P984" s="52">
        <v>455000000</v>
      </c>
      <c r="Q984" s="57">
        <v>45126</v>
      </c>
      <c r="R984" s="57">
        <v>46220</v>
      </c>
      <c r="S984" s="56">
        <v>26</v>
      </c>
      <c r="T984" s="54">
        <v>6</v>
      </c>
      <c r="U984" s="52">
        <v>133978769.77</v>
      </c>
      <c r="V984" s="52">
        <v>133978769.77</v>
      </c>
      <c r="W984" s="52">
        <v>0</v>
      </c>
      <c r="X984" s="57"/>
      <c r="Y984" s="52">
        <v>0</v>
      </c>
      <c r="Z984" s="52">
        <v>0</v>
      </c>
      <c r="AA984" s="52">
        <v>1</v>
      </c>
      <c r="AB984" s="52">
        <v>0</v>
      </c>
      <c r="AC984" s="52">
        <v>1644961.57</v>
      </c>
      <c r="AD984" s="52">
        <v>1644961.57</v>
      </c>
      <c r="AE984" s="52">
        <v>0</v>
      </c>
      <c r="AF984" s="52">
        <v>0</v>
      </c>
      <c r="AG984" s="52">
        <v>0</v>
      </c>
      <c r="AH984" s="52">
        <v>0</v>
      </c>
      <c r="AI984" s="52">
        <v>0</v>
      </c>
      <c r="AJ984" s="52">
        <v>2</v>
      </c>
      <c r="AK984" s="52"/>
      <c r="AL984" s="52">
        <v>0</v>
      </c>
      <c r="AM984" s="52">
        <v>0</v>
      </c>
      <c r="AN984" s="52">
        <v>6250000000</v>
      </c>
      <c r="AO984" s="52">
        <v>0</v>
      </c>
      <c r="AP984" s="52">
        <v>0</v>
      </c>
      <c r="AQ984" s="58">
        <v>0</v>
      </c>
      <c r="AR984" s="58">
        <v>0</v>
      </c>
      <c r="AS984" s="58">
        <v>0</v>
      </c>
      <c r="AT984" s="58">
        <v>0</v>
      </c>
      <c r="AU984" s="58">
        <v>7</v>
      </c>
      <c r="AV984" s="58">
        <v>165158.56</v>
      </c>
      <c r="AW984" s="58">
        <v>5</v>
      </c>
      <c r="AX984" s="58">
        <v>102200</v>
      </c>
    </row>
    <row r="985" spans="1:50" x14ac:dyDescent="0.25">
      <c r="A985" s="52">
        <f t="shared" si="47"/>
        <v>980</v>
      </c>
      <c r="B985" s="60" t="str">
        <f t="shared" si="46"/>
        <v>0108149924</v>
      </c>
      <c r="C985" s="55" t="s">
        <v>36</v>
      </c>
      <c r="D985" s="53" t="s">
        <v>2146</v>
      </c>
      <c r="E985" s="55" t="s">
        <v>10</v>
      </c>
      <c r="F985" s="53" t="s">
        <v>2147</v>
      </c>
      <c r="G985" s="55" t="s">
        <v>10</v>
      </c>
      <c r="H985" s="53" t="s">
        <v>1815</v>
      </c>
      <c r="I985" s="55">
        <v>305063678</v>
      </c>
      <c r="J985" s="55">
        <v>49924</v>
      </c>
      <c r="K985" s="55" t="s">
        <v>1834</v>
      </c>
      <c r="L985" s="53" t="s">
        <v>2035</v>
      </c>
      <c r="M985" s="55" t="s">
        <v>49</v>
      </c>
      <c r="N985" s="52">
        <v>450000000</v>
      </c>
      <c r="O985" s="52">
        <v>450000000</v>
      </c>
      <c r="P985" s="52">
        <v>450000000</v>
      </c>
      <c r="Q985" s="57">
        <v>45126</v>
      </c>
      <c r="R985" s="57">
        <v>46220</v>
      </c>
      <c r="S985" s="56">
        <v>26</v>
      </c>
      <c r="T985" s="54">
        <v>6</v>
      </c>
      <c r="U985" s="52">
        <v>132506475.84999999</v>
      </c>
      <c r="V985" s="52">
        <v>132506475.84999999</v>
      </c>
      <c r="W985" s="52">
        <v>0</v>
      </c>
      <c r="X985" s="57"/>
      <c r="Y985" s="52">
        <v>0</v>
      </c>
      <c r="Z985" s="52">
        <v>0</v>
      </c>
      <c r="AA985" s="52">
        <v>1</v>
      </c>
      <c r="AB985" s="52">
        <v>0</v>
      </c>
      <c r="AC985" s="52">
        <v>1626885.06</v>
      </c>
      <c r="AD985" s="52">
        <v>1626885.06</v>
      </c>
      <c r="AE985" s="52">
        <v>0</v>
      </c>
      <c r="AF985" s="52">
        <v>0</v>
      </c>
      <c r="AG985" s="52">
        <v>0</v>
      </c>
      <c r="AH985" s="52">
        <v>0</v>
      </c>
      <c r="AI985" s="52">
        <v>0</v>
      </c>
      <c r="AJ985" s="52">
        <v>2</v>
      </c>
      <c r="AK985" s="52"/>
      <c r="AL985" s="52">
        <v>0</v>
      </c>
      <c r="AM985" s="52">
        <v>0</v>
      </c>
      <c r="AN985" s="52">
        <v>6250000000</v>
      </c>
      <c r="AO985" s="52">
        <v>0</v>
      </c>
      <c r="AP985" s="52">
        <v>0</v>
      </c>
      <c r="AQ985" s="58">
        <v>0</v>
      </c>
      <c r="AR985" s="58">
        <v>0</v>
      </c>
      <c r="AS985" s="58">
        <v>0</v>
      </c>
      <c r="AT985" s="58">
        <v>0</v>
      </c>
      <c r="AU985" s="58">
        <v>7</v>
      </c>
      <c r="AV985" s="58">
        <v>165158.56</v>
      </c>
      <c r="AW985" s="58">
        <v>5</v>
      </c>
      <c r="AX985" s="58">
        <v>102200</v>
      </c>
    </row>
    <row r="986" spans="1:50" x14ac:dyDescent="0.25">
      <c r="A986" s="52">
        <f t="shared" si="47"/>
        <v>981</v>
      </c>
      <c r="B986" s="60" t="str">
        <f t="shared" si="46"/>
        <v>0108163834</v>
      </c>
      <c r="C986" s="55" t="s">
        <v>36</v>
      </c>
      <c r="D986" s="53" t="s">
        <v>2146</v>
      </c>
      <c r="E986" s="55" t="s">
        <v>10</v>
      </c>
      <c r="F986" s="53" t="s">
        <v>2147</v>
      </c>
      <c r="G986" s="55" t="s">
        <v>10</v>
      </c>
      <c r="H986" s="53" t="s">
        <v>2638</v>
      </c>
      <c r="I986" s="55">
        <v>303189158</v>
      </c>
      <c r="J986" s="55" t="s">
        <v>1835</v>
      </c>
      <c r="K986" s="55" t="s">
        <v>1836</v>
      </c>
      <c r="L986" s="53" t="s">
        <v>2079</v>
      </c>
      <c r="M986" s="55" t="s">
        <v>49</v>
      </c>
      <c r="N986" s="52">
        <v>350000000</v>
      </c>
      <c r="O986" s="52">
        <v>350000000</v>
      </c>
      <c r="P986" s="52">
        <v>350000000</v>
      </c>
      <c r="Q986" s="57">
        <v>45894</v>
      </c>
      <c r="R986" s="57">
        <v>46989</v>
      </c>
      <c r="S986" s="56">
        <v>28</v>
      </c>
      <c r="T986" s="54">
        <v>0</v>
      </c>
      <c r="U986" s="52">
        <v>131438232.38</v>
      </c>
      <c r="V986" s="52">
        <v>131438232.38</v>
      </c>
      <c r="W986" s="52">
        <v>0</v>
      </c>
      <c r="X986" s="57"/>
      <c r="Y986" s="52">
        <v>0</v>
      </c>
      <c r="Z986" s="52">
        <v>0</v>
      </c>
      <c r="AA986" s="52">
        <v>1</v>
      </c>
      <c r="AB986" s="52">
        <v>0</v>
      </c>
      <c r="AC986" s="52">
        <v>1714154.26</v>
      </c>
      <c r="AD986" s="52">
        <v>1714154.26</v>
      </c>
      <c r="AE986" s="52">
        <v>0</v>
      </c>
      <c r="AF986" s="52">
        <v>0</v>
      </c>
      <c r="AG986" s="52">
        <v>0</v>
      </c>
      <c r="AH986" s="52">
        <v>0</v>
      </c>
      <c r="AI986" s="52">
        <v>0</v>
      </c>
      <c r="AJ986" s="52">
        <v>2</v>
      </c>
      <c r="AK986" s="52"/>
      <c r="AL986" s="52">
        <v>5982152</v>
      </c>
      <c r="AM986" s="52">
        <v>0</v>
      </c>
      <c r="AN986" s="52">
        <v>3750000000</v>
      </c>
      <c r="AO986" s="52">
        <v>0</v>
      </c>
      <c r="AP986" s="52">
        <v>0</v>
      </c>
      <c r="AQ986" s="58">
        <v>0</v>
      </c>
      <c r="AR986" s="58">
        <v>0</v>
      </c>
      <c r="AS986" s="58">
        <v>0</v>
      </c>
      <c r="AT986" s="58">
        <v>0</v>
      </c>
      <c r="AU986" s="58">
        <v>0</v>
      </c>
      <c r="AV986" s="58">
        <v>0</v>
      </c>
      <c r="AW986" s="58">
        <v>0</v>
      </c>
      <c r="AX986" s="58">
        <v>0</v>
      </c>
    </row>
    <row r="987" spans="1:50" x14ac:dyDescent="0.25">
      <c r="A987" s="52">
        <f t="shared" si="47"/>
        <v>982</v>
      </c>
      <c r="B987" s="60" t="str">
        <f t="shared" si="46"/>
        <v>0108149927</v>
      </c>
      <c r="C987" s="55" t="s">
        <v>36</v>
      </c>
      <c r="D987" s="53" t="s">
        <v>2146</v>
      </c>
      <c r="E987" s="55" t="s">
        <v>10</v>
      </c>
      <c r="F987" s="53" t="s">
        <v>2147</v>
      </c>
      <c r="G987" s="55" t="s">
        <v>10</v>
      </c>
      <c r="H987" s="53" t="s">
        <v>1815</v>
      </c>
      <c r="I987" s="55">
        <v>305063678</v>
      </c>
      <c r="J987" s="55">
        <v>49927</v>
      </c>
      <c r="K987" s="55" t="s">
        <v>1837</v>
      </c>
      <c r="L987" s="53" t="s">
        <v>2035</v>
      </c>
      <c r="M987" s="55" t="s">
        <v>49</v>
      </c>
      <c r="N987" s="52">
        <v>445000000</v>
      </c>
      <c r="O987" s="52">
        <v>445000000</v>
      </c>
      <c r="P987" s="52">
        <v>445000000</v>
      </c>
      <c r="Q987" s="57">
        <v>45126</v>
      </c>
      <c r="R987" s="57">
        <v>46220</v>
      </c>
      <c r="S987" s="56">
        <v>26</v>
      </c>
      <c r="T987" s="54">
        <v>6</v>
      </c>
      <c r="U987" s="52">
        <v>131034181.61</v>
      </c>
      <c r="V987" s="52">
        <v>131034181.61</v>
      </c>
      <c r="W987" s="52">
        <v>0</v>
      </c>
      <c r="X987" s="57"/>
      <c r="Y987" s="52">
        <v>0</v>
      </c>
      <c r="Z987" s="52">
        <v>0</v>
      </c>
      <c r="AA987" s="52">
        <v>1</v>
      </c>
      <c r="AB987" s="52">
        <v>0</v>
      </c>
      <c r="AC987" s="52">
        <v>1608808.56</v>
      </c>
      <c r="AD987" s="52">
        <v>1608808.56</v>
      </c>
      <c r="AE987" s="52">
        <v>0</v>
      </c>
      <c r="AF987" s="52">
        <v>0</v>
      </c>
      <c r="AG987" s="52">
        <v>0</v>
      </c>
      <c r="AH987" s="52">
        <v>0</v>
      </c>
      <c r="AI987" s="52">
        <v>0</v>
      </c>
      <c r="AJ987" s="52">
        <v>2</v>
      </c>
      <c r="AK987" s="52"/>
      <c r="AL987" s="52">
        <v>0</v>
      </c>
      <c r="AM987" s="52">
        <v>0</v>
      </c>
      <c r="AN987" s="52">
        <v>6250000000</v>
      </c>
      <c r="AO987" s="52">
        <v>0</v>
      </c>
      <c r="AP987" s="52">
        <v>0</v>
      </c>
      <c r="AQ987" s="58">
        <v>0</v>
      </c>
      <c r="AR987" s="58">
        <v>0</v>
      </c>
      <c r="AS987" s="58">
        <v>0</v>
      </c>
      <c r="AT987" s="58">
        <v>0</v>
      </c>
      <c r="AU987" s="58">
        <v>7</v>
      </c>
      <c r="AV987" s="58">
        <v>165158.56</v>
      </c>
      <c r="AW987" s="58">
        <v>5</v>
      </c>
      <c r="AX987" s="58">
        <v>102200</v>
      </c>
    </row>
    <row r="988" spans="1:50" x14ac:dyDescent="0.25">
      <c r="A988" s="52">
        <f t="shared" si="47"/>
        <v>983</v>
      </c>
      <c r="B988" s="60" t="str">
        <f t="shared" si="46"/>
        <v>0108149925</v>
      </c>
      <c r="C988" s="55" t="s">
        <v>36</v>
      </c>
      <c r="D988" s="53" t="s">
        <v>2146</v>
      </c>
      <c r="E988" s="55" t="s">
        <v>10</v>
      </c>
      <c r="F988" s="53" t="s">
        <v>2147</v>
      </c>
      <c r="G988" s="55" t="s">
        <v>10</v>
      </c>
      <c r="H988" s="53" t="s">
        <v>1815</v>
      </c>
      <c r="I988" s="55">
        <v>305063678</v>
      </c>
      <c r="J988" s="55">
        <v>49925</v>
      </c>
      <c r="K988" s="55" t="s">
        <v>1838</v>
      </c>
      <c r="L988" s="53" t="s">
        <v>2035</v>
      </c>
      <c r="M988" s="55" t="s">
        <v>49</v>
      </c>
      <c r="N988" s="52">
        <v>440000000</v>
      </c>
      <c r="O988" s="52">
        <v>440000000</v>
      </c>
      <c r="P988" s="52">
        <v>440000000</v>
      </c>
      <c r="Q988" s="57">
        <v>45126</v>
      </c>
      <c r="R988" s="57">
        <v>46220</v>
      </c>
      <c r="S988" s="56">
        <v>26</v>
      </c>
      <c r="T988" s="54">
        <v>6</v>
      </c>
      <c r="U988" s="52">
        <v>129561887.37</v>
      </c>
      <c r="V988" s="52">
        <v>129561887.37</v>
      </c>
      <c r="W988" s="52">
        <v>0</v>
      </c>
      <c r="X988" s="57"/>
      <c r="Y988" s="52">
        <v>0</v>
      </c>
      <c r="Z988" s="52">
        <v>0</v>
      </c>
      <c r="AA988" s="52">
        <v>1</v>
      </c>
      <c r="AB988" s="52">
        <v>0</v>
      </c>
      <c r="AC988" s="52">
        <v>1590732.06</v>
      </c>
      <c r="AD988" s="52">
        <v>1590732.06</v>
      </c>
      <c r="AE988" s="52">
        <v>0</v>
      </c>
      <c r="AF988" s="52">
        <v>0</v>
      </c>
      <c r="AG988" s="52">
        <v>0</v>
      </c>
      <c r="AH988" s="52">
        <v>0</v>
      </c>
      <c r="AI988" s="52">
        <v>0</v>
      </c>
      <c r="AJ988" s="52">
        <v>2</v>
      </c>
      <c r="AK988" s="52"/>
      <c r="AL988" s="52">
        <v>0</v>
      </c>
      <c r="AM988" s="52">
        <v>0</v>
      </c>
      <c r="AN988" s="52">
        <v>6250000000</v>
      </c>
      <c r="AO988" s="52">
        <v>0</v>
      </c>
      <c r="AP988" s="52">
        <v>0</v>
      </c>
      <c r="AQ988" s="58">
        <v>0</v>
      </c>
      <c r="AR988" s="58">
        <v>0</v>
      </c>
      <c r="AS988" s="58">
        <v>0</v>
      </c>
      <c r="AT988" s="58">
        <v>0</v>
      </c>
      <c r="AU988" s="58">
        <v>7</v>
      </c>
      <c r="AV988" s="58">
        <v>165158.56</v>
      </c>
      <c r="AW988" s="58">
        <v>5</v>
      </c>
      <c r="AX988" s="58">
        <v>102200</v>
      </c>
    </row>
    <row r="989" spans="1:50" x14ac:dyDescent="0.25">
      <c r="A989" s="52">
        <f t="shared" si="47"/>
        <v>984</v>
      </c>
      <c r="B989" s="60" t="str">
        <f t="shared" si="46"/>
        <v>0108162541</v>
      </c>
      <c r="C989" s="55" t="s">
        <v>36</v>
      </c>
      <c r="D989" s="53" t="s">
        <v>2146</v>
      </c>
      <c r="E989" s="55" t="s">
        <v>10</v>
      </c>
      <c r="F989" s="53" t="s">
        <v>2147</v>
      </c>
      <c r="G989" s="55" t="s">
        <v>10</v>
      </c>
      <c r="H989" s="53" t="s">
        <v>1779</v>
      </c>
      <c r="I989" s="55">
        <v>305248224</v>
      </c>
      <c r="J989" s="55" t="s">
        <v>1839</v>
      </c>
      <c r="K989" s="55" t="s">
        <v>1840</v>
      </c>
      <c r="L989" s="53" t="s">
        <v>2079</v>
      </c>
      <c r="M989" s="55" t="s">
        <v>75</v>
      </c>
      <c r="N989" s="52">
        <v>30000</v>
      </c>
      <c r="O989" s="52">
        <v>362032800</v>
      </c>
      <c r="P989" s="52">
        <f>+O989</f>
        <v>362032800</v>
      </c>
      <c r="Q989" s="57">
        <v>45722</v>
      </c>
      <c r="R989" s="57">
        <v>46085</v>
      </c>
      <c r="S989" s="56">
        <v>14</v>
      </c>
      <c r="T989" s="54">
        <v>6</v>
      </c>
      <c r="U989" s="52">
        <v>124973435.96799999</v>
      </c>
      <c r="V989" s="52">
        <v>124973435.96799999</v>
      </c>
      <c r="W989" s="52">
        <v>0</v>
      </c>
      <c r="X989" s="57"/>
      <c r="Y989" s="52">
        <v>0</v>
      </c>
      <c r="Z989" s="52">
        <v>0</v>
      </c>
      <c r="AA989" s="52">
        <v>1</v>
      </c>
      <c r="AB989" s="52">
        <v>0</v>
      </c>
      <c r="AC989" s="52">
        <v>923471.87</v>
      </c>
      <c r="AD989" s="52">
        <v>923471.87</v>
      </c>
      <c r="AE989" s="52">
        <v>0</v>
      </c>
      <c r="AF989" s="52">
        <v>0</v>
      </c>
      <c r="AG989" s="52">
        <v>0</v>
      </c>
      <c r="AH989" s="52">
        <v>0</v>
      </c>
      <c r="AI989" s="52">
        <v>0</v>
      </c>
      <c r="AJ989" s="52">
        <v>2</v>
      </c>
      <c r="AK989" s="52"/>
      <c r="AL989" s="52">
        <v>66762</v>
      </c>
      <c r="AM989" s="52">
        <v>0</v>
      </c>
      <c r="AN989" s="52">
        <v>2722790250</v>
      </c>
      <c r="AO989" s="52">
        <v>0</v>
      </c>
      <c r="AP989" s="52">
        <v>0</v>
      </c>
      <c r="AQ989" s="58">
        <v>1</v>
      </c>
      <c r="AR989" s="58">
        <v>22859.08</v>
      </c>
      <c r="AS989" s="58">
        <v>0</v>
      </c>
      <c r="AT989" s="58">
        <v>0</v>
      </c>
      <c r="AU989" s="58">
        <v>32</v>
      </c>
      <c r="AV989" s="58">
        <v>1370388.1400000001</v>
      </c>
      <c r="AW989" s="58">
        <v>12</v>
      </c>
      <c r="AX989" s="58">
        <v>622350.37</v>
      </c>
    </row>
    <row r="990" spans="1:50" x14ac:dyDescent="0.25">
      <c r="A990" s="52">
        <f t="shared" si="47"/>
        <v>985</v>
      </c>
      <c r="B990" s="60" t="str">
        <f t="shared" si="46"/>
        <v>0108162508</v>
      </c>
      <c r="C990" s="55" t="s">
        <v>36</v>
      </c>
      <c r="D990" s="53" t="s">
        <v>2146</v>
      </c>
      <c r="E990" s="55" t="s">
        <v>10</v>
      </c>
      <c r="F990" s="53" t="s">
        <v>2147</v>
      </c>
      <c r="G990" s="55" t="s">
        <v>10</v>
      </c>
      <c r="H990" s="53" t="s">
        <v>1712</v>
      </c>
      <c r="I990" s="55">
        <v>307788232</v>
      </c>
      <c r="J990" s="55" t="s">
        <v>1841</v>
      </c>
      <c r="K990" s="55" t="s">
        <v>1842</v>
      </c>
      <c r="L990" s="53" t="s">
        <v>2079</v>
      </c>
      <c r="M990" s="55" t="s">
        <v>75</v>
      </c>
      <c r="N990" s="52">
        <v>58000</v>
      </c>
      <c r="O990" s="52">
        <v>699930080</v>
      </c>
      <c r="P990" s="52">
        <v>699930080</v>
      </c>
      <c r="Q990" s="57">
        <v>45715</v>
      </c>
      <c r="R990" s="57">
        <v>46079</v>
      </c>
      <c r="S990" s="56">
        <v>14</v>
      </c>
      <c r="T990" s="54">
        <v>6</v>
      </c>
      <c r="U990" s="52">
        <v>117924430.015</v>
      </c>
      <c r="V990" s="52">
        <v>117924430.015</v>
      </c>
      <c r="W990" s="52">
        <v>0</v>
      </c>
      <c r="X990" s="57"/>
      <c r="Y990" s="52">
        <v>0</v>
      </c>
      <c r="Z990" s="52">
        <v>0</v>
      </c>
      <c r="AA990" s="52">
        <v>1</v>
      </c>
      <c r="AB990" s="52">
        <v>0</v>
      </c>
      <c r="AC990" s="52">
        <v>779644.48100000003</v>
      </c>
      <c r="AD990" s="52">
        <v>779644.48100000003</v>
      </c>
      <c r="AE990" s="52">
        <v>0</v>
      </c>
      <c r="AF990" s="52">
        <v>0</v>
      </c>
      <c r="AG990" s="52">
        <v>0</v>
      </c>
      <c r="AH990" s="52">
        <v>0</v>
      </c>
      <c r="AI990" s="52">
        <v>0</v>
      </c>
      <c r="AJ990" s="52">
        <v>2</v>
      </c>
      <c r="AK990" s="52"/>
      <c r="AL990" s="52">
        <v>0</v>
      </c>
      <c r="AM990" s="52">
        <v>0</v>
      </c>
      <c r="AN990" s="52">
        <v>874912600</v>
      </c>
      <c r="AO990" s="52">
        <v>0</v>
      </c>
      <c r="AP990" s="52">
        <v>0</v>
      </c>
      <c r="AQ990" s="58">
        <v>0</v>
      </c>
      <c r="AR990" s="58">
        <v>0</v>
      </c>
      <c r="AS990" s="58">
        <v>2</v>
      </c>
      <c r="AT990" s="58">
        <v>83885.87</v>
      </c>
      <c r="AU990" s="58">
        <v>197</v>
      </c>
      <c r="AV990" s="58">
        <v>471055903.83999997</v>
      </c>
      <c r="AW990" s="58">
        <v>75</v>
      </c>
      <c r="AX990" s="58">
        <v>376928166.06</v>
      </c>
    </row>
    <row r="991" spans="1:50" x14ac:dyDescent="0.25">
      <c r="A991" s="52">
        <f t="shared" si="47"/>
        <v>986</v>
      </c>
      <c r="B991" s="60" t="str">
        <f t="shared" si="46"/>
        <v>0108162506</v>
      </c>
      <c r="C991" s="55" t="s">
        <v>36</v>
      </c>
      <c r="D991" s="53" t="s">
        <v>2146</v>
      </c>
      <c r="E991" s="55" t="s">
        <v>10</v>
      </c>
      <c r="F991" s="53" t="s">
        <v>2147</v>
      </c>
      <c r="G991" s="55" t="s">
        <v>10</v>
      </c>
      <c r="H991" s="53" t="s">
        <v>2641</v>
      </c>
      <c r="I991" s="55">
        <v>305875498</v>
      </c>
      <c r="J991" s="55" t="s">
        <v>1843</v>
      </c>
      <c r="K991" s="55" t="s">
        <v>1844</v>
      </c>
      <c r="L991" s="53" t="s">
        <v>2079</v>
      </c>
      <c r="M991" s="55" t="s">
        <v>75</v>
      </c>
      <c r="N991" s="52">
        <v>54000</v>
      </c>
      <c r="O991" s="52">
        <v>651659040</v>
      </c>
      <c r="P991" s="52">
        <v>651659040</v>
      </c>
      <c r="Q991" s="57">
        <v>45715</v>
      </c>
      <c r="R991" s="57">
        <v>46079</v>
      </c>
      <c r="S991" s="56">
        <v>14</v>
      </c>
      <c r="T991" s="54">
        <v>6</v>
      </c>
      <c r="U991" s="52">
        <v>109791900</v>
      </c>
      <c r="V991" s="52">
        <v>109791900</v>
      </c>
      <c r="W991" s="52">
        <v>0</v>
      </c>
      <c r="X991" s="57"/>
      <c r="Y991" s="52">
        <v>0</v>
      </c>
      <c r="Z991" s="52">
        <v>0</v>
      </c>
      <c r="AA991" s="52">
        <v>1</v>
      </c>
      <c r="AB991" s="52">
        <v>0</v>
      </c>
      <c r="AC991" s="52">
        <v>725846.45000000007</v>
      </c>
      <c r="AD991" s="52">
        <v>725846.45000000007</v>
      </c>
      <c r="AE991" s="52">
        <v>0</v>
      </c>
      <c r="AF991" s="52">
        <v>0</v>
      </c>
      <c r="AG991" s="52">
        <v>0</v>
      </c>
      <c r="AH991" s="52">
        <v>0</v>
      </c>
      <c r="AI991" s="52">
        <v>0</v>
      </c>
      <c r="AJ991" s="52">
        <v>2</v>
      </c>
      <c r="AK991" s="52"/>
      <c r="AL991" s="52">
        <v>22167</v>
      </c>
      <c r="AM991" s="52">
        <v>0</v>
      </c>
      <c r="AN991" s="52">
        <v>3000000000</v>
      </c>
      <c r="AO991" s="52">
        <v>0</v>
      </c>
      <c r="AP991" s="52">
        <v>0</v>
      </c>
      <c r="AQ991" s="58">
        <v>0</v>
      </c>
      <c r="AR991" s="58">
        <v>0</v>
      </c>
      <c r="AS991" s="58">
        <v>4</v>
      </c>
      <c r="AT991" s="58">
        <v>81019.959999999992</v>
      </c>
      <c r="AU991" s="58">
        <v>134</v>
      </c>
      <c r="AV991" s="58">
        <v>26235526.48</v>
      </c>
      <c r="AW991" s="58">
        <v>30</v>
      </c>
      <c r="AX991" s="58">
        <v>43801147.549999997</v>
      </c>
    </row>
    <row r="992" spans="1:50" x14ac:dyDescent="0.25">
      <c r="A992" s="52">
        <f t="shared" si="47"/>
        <v>987</v>
      </c>
      <c r="B992" s="60" t="str">
        <f t="shared" si="46"/>
        <v>0108162367</v>
      </c>
      <c r="C992" s="55" t="s">
        <v>36</v>
      </c>
      <c r="D992" s="53" t="s">
        <v>2146</v>
      </c>
      <c r="E992" s="55" t="s">
        <v>10</v>
      </c>
      <c r="F992" s="53" t="s">
        <v>2147</v>
      </c>
      <c r="G992" s="55" t="s">
        <v>10</v>
      </c>
      <c r="H992" s="53" t="s">
        <v>2641</v>
      </c>
      <c r="I992" s="55">
        <v>305875498</v>
      </c>
      <c r="J992" s="55" t="s">
        <v>1845</v>
      </c>
      <c r="K992" s="55" t="s">
        <v>1846</v>
      </c>
      <c r="L992" s="53" t="s">
        <v>2079</v>
      </c>
      <c r="M992" s="55" t="s">
        <v>75</v>
      </c>
      <c r="N992" s="52">
        <v>50000</v>
      </c>
      <c r="O992" s="52">
        <v>603388000</v>
      </c>
      <c r="P992" s="52">
        <v>603388000</v>
      </c>
      <c r="Q992" s="57">
        <v>45692</v>
      </c>
      <c r="R992" s="57">
        <v>46056</v>
      </c>
      <c r="S992" s="56">
        <v>11</v>
      </c>
      <c r="T992" s="54">
        <v>6</v>
      </c>
      <c r="U992" s="52">
        <v>101659369.985</v>
      </c>
      <c r="V992" s="52">
        <v>101659369.985</v>
      </c>
      <c r="W992" s="52">
        <v>0</v>
      </c>
      <c r="X992" s="57"/>
      <c r="Y992" s="52">
        <v>0</v>
      </c>
      <c r="Z992" s="52">
        <v>0</v>
      </c>
      <c r="AA992" s="52">
        <v>1</v>
      </c>
      <c r="AB992" s="52">
        <v>0</v>
      </c>
      <c r="AC992" s="52">
        <v>520901.57</v>
      </c>
      <c r="AD992" s="52">
        <v>520901.57</v>
      </c>
      <c r="AE992" s="52">
        <v>0</v>
      </c>
      <c r="AF992" s="52">
        <v>0</v>
      </c>
      <c r="AG992" s="52">
        <v>0</v>
      </c>
      <c r="AH992" s="52">
        <v>0</v>
      </c>
      <c r="AI992" s="52">
        <v>0</v>
      </c>
      <c r="AJ992" s="52">
        <v>2</v>
      </c>
      <c r="AK992" s="52"/>
      <c r="AL992" s="52">
        <v>22167</v>
      </c>
      <c r="AM992" s="52">
        <v>0</v>
      </c>
      <c r="AN992" s="52">
        <v>3000000000</v>
      </c>
      <c r="AO992" s="52">
        <v>0</v>
      </c>
      <c r="AP992" s="52">
        <v>0</v>
      </c>
      <c r="AQ992" s="58">
        <v>0</v>
      </c>
      <c r="AR992" s="58">
        <v>0</v>
      </c>
      <c r="AS992" s="58">
        <v>4</v>
      </c>
      <c r="AT992" s="58">
        <v>81019.959999999992</v>
      </c>
      <c r="AU992" s="58">
        <v>134</v>
      </c>
      <c r="AV992" s="58">
        <v>26235526.48</v>
      </c>
      <c r="AW992" s="58">
        <v>30</v>
      </c>
      <c r="AX992" s="58">
        <v>43801147.549999997</v>
      </c>
    </row>
    <row r="993" spans="1:50" x14ac:dyDescent="0.25">
      <c r="A993" s="52">
        <f t="shared" si="47"/>
        <v>988</v>
      </c>
      <c r="B993" s="60" t="str">
        <f t="shared" si="46"/>
        <v>0108162647</v>
      </c>
      <c r="C993" s="55" t="s">
        <v>36</v>
      </c>
      <c r="D993" s="53" t="s">
        <v>2146</v>
      </c>
      <c r="E993" s="55" t="s">
        <v>10</v>
      </c>
      <c r="F993" s="53" t="s">
        <v>2147</v>
      </c>
      <c r="G993" s="55" t="s">
        <v>10</v>
      </c>
      <c r="H993" s="53" t="s">
        <v>1712</v>
      </c>
      <c r="I993" s="55">
        <v>307788232</v>
      </c>
      <c r="J993" s="55" t="s">
        <v>1847</v>
      </c>
      <c r="K993" s="55" t="s">
        <v>1848</v>
      </c>
      <c r="L993" s="53" t="s">
        <v>2079</v>
      </c>
      <c r="M993" s="55" t="s">
        <v>75</v>
      </c>
      <c r="N993" s="52">
        <v>25000</v>
      </c>
      <c r="O993" s="52">
        <v>301694000</v>
      </c>
      <c r="P993" s="52">
        <v>301694000</v>
      </c>
      <c r="Q993" s="57">
        <v>45736</v>
      </c>
      <c r="R993" s="57">
        <v>46100</v>
      </c>
      <c r="S993" s="56">
        <v>14</v>
      </c>
      <c r="T993" s="54">
        <v>6</v>
      </c>
      <c r="U993" s="52">
        <v>101659004.01199999</v>
      </c>
      <c r="V993" s="52">
        <v>101659004.01199999</v>
      </c>
      <c r="W993" s="52">
        <v>0</v>
      </c>
      <c r="X993" s="57"/>
      <c r="Y993" s="52">
        <v>0</v>
      </c>
      <c r="Z993" s="52">
        <v>0</v>
      </c>
      <c r="AA993" s="52">
        <v>1</v>
      </c>
      <c r="AB993" s="52">
        <v>0</v>
      </c>
      <c r="AC993" s="52">
        <v>672048.41899999999</v>
      </c>
      <c r="AD993" s="52">
        <v>672048.41899999999</v>
      </c>
      <c r="AE993" s="52">
        <v>0</v>
      </c>
      <c r="AF993" s="52">
        <v>0</v>
      </c>
      <c r="AG993" s="52">
        <v>0</v>
      </c>
      <c r="AH993" s="52">
        <v>0</v>
      </c>
      <c r="AI993" s="52">
        <v>0</v>
      </c>
      <c r="AJ993" s="52">
        <v>2</v>
      </c>
      <c r="AK993" s="52"/>
      <c r="AL993" s="52">
        <v>0</v>
      </c>
      <c r="AM993" s="52">
        <v>0</v>
      </c>
      <c r="AN993" s="52">
        <v>377117500</v>
      </c>
      <c r="AO993" s="52">
        <v>0</v>
      </c>
      <c r="AP993" s="52">
        <v>0</v>
      </c>
      <c r="AQ993" s="58">
        <v>0</v>
      </c>
      <c r="AR993" s="58">
        <v>0</v>
      </c>
      <c r="AS993" s="58">
        <v>2</v>
      </c>
      <c r="AT993" s="58">
        <v>83885.87</v>
      </c>
      <c r="AU993" s="58">
        <v>197</v>
      </c>
      <c r="AV993" s="58">
        <v>471055903.83999997</v>
      </c>
      <c r="AW993" s="58">
        <v>75</v>
      </c>
      <c r="AX993" s="58">
        <v>376928166.06</v>
      </c>
    </row>
    <row r="994" spans="1:50" x14ac:dyDescent="0.25">
      <c r="A994" s="52">
        <f t="shared" si="47"/>
        <v>989</v>
      </c>
      <c r="B994" s="60" t="str">
        <f t="shared" si="46"/>
        <v>0108162507</v>
      </c>
      <c r="C994" s="55" t="s">
        <v>36</v>
      </c>
      <c r="D994" s="53" t="s">
        <v>2146</v>
      </c>
      <c r="E994" s="55" t="s">
        <v>10</v>
      </c>
      <c r="F994" s="53" t="s">
        <v>2147</v>
      </c>
      <c r="G994" s="55" t="s">
        <v>10</v>
      </c>
      <c r="H994" s="53" t="s">
        <v>1712</v>
      </c>
      <c r="I994" s="55">
        <v>307788232</v>
      </c>
      <c r="J994" s="55" t="s">
        <v>1849</v>
      </c>
      <c r="K994" s="55" t="s">
        <v>1850</v>
      </c>
      <c r="L994" s="53" t="s">
        <v>2079</v>
      </c>
      <c r="M994" s="55" t="s">
        <v>75</v>
      </c>
      <c r="N994" s="52">
        <v>25000</v>
      </c>
      <c r="O994" s="52">
        <v>301694000</v>
      </c>
      <c r="P994" s="52">
        <v>301694000</v>
      </c>
      <c r="Q994" s="57">
        <v>45715</v>
      </c>
      <c r="R994" s="57">
        <v>46079</v>
      </c>
      <c r="S994" s="56">
        <v>14</v>
      </c>
      <c r="T994" s="54">
        <v>6</v>
      </c>
      <c r="U994" s="52">
        <v>50829380.015000001</v>
      </c>
      <c r="V994" s="52">
        <v>50829380.015000001</v>
      </c>
      <c r="W994" s="52">
        <v>0</v>
      </c>
      <c r="X994" s="57"/>
      <c r="Y994" s="52">
        <v>0</v>
      </c>
      <c r="Z994" s="52">
        <v>0</v>
      </c>
      <c r="AA994" s="52">
        <v>1</v>
      </c>
      <c r="AB994" s="52">
        <v>0</v>
      </c>
      <c r="AC994" s="52">
        <v>336085.20500000002</v>
      </c>
      <c r="AD994" s="52">
        <v>336085.20500000002</v>
      </c>
      <c r="AE994" s="52">
        <v>0</v>
      </c>
      <c r="AF994" s="52">
        <v>0</v>
      </c>
      <c r="AG994" s="52">
        <v>0</v>
      </c>
      <c r="AH994" s="52">
        <v>0</v>
      </c>
      <c r="AI994" s="52">
        <v>0</v>
      </c>
      <c r="AJ994" s="52">
        <v>2</v>
      </c>
      <c r="AK994" s="52"/>
      <c r="AL994" s="52">
        <v>0</v>
      </c>
      <c r="AM994" s="52">
        <v>0</v>
      </c>
      <c r="AN994" s="52">
        <v>377117500</v>
      </c>
      <c r="AO994" s="52">
        <v>0</v>
      </c>
      <c r="AP994" s="52">
        <v>0</v>
      </c>
      <c r="AQ994" s="58">
        <v>0</v>
      </c>
      <c r="AR994" s="58">
        <v>0</v>
      </c>
      <c r="AS994" s="58">
        <v>2</v>
      </c>
      <c r="AT994" s="58">
        <v>83885.87</v>
      </c>
      <c r="AU994" s="58">
        <v>197</v>
      </c>
      <c r="AV994" s="58">
        <v>471055903.83999997</v>
      </c>
      <c r="AW994" s="58">
        <v>75</v>
      </c>
      <c r="AX994" s="58">
        <v>376928166.06</v>
      </c>
    </row>
    <row r="995" spans="1:50" x14ac:dyDescent="0.25">
      <c r="A995" s="52">
        <f t="shared" si="47"/>
        <v>990</v>
      </c>
      <c r="B995" s="60" t="str">
        <f t="shared" si="46"/>
        <v>00973408794</v>
      </c>
      <c r="C995" s="55" t="s">
        <v>38</v>
      </c>
      <c r="D995" s="53" t="s">
        <v>2158</v>
      </c>
      <c r="E995" s="55" t="s">
        <v>1851</v>
      </c>
      <c r="F995" s="53" t="s">
        <v>2159</v>
      </c>
      <c r="G995" s="55">
        <v>11853</v>
      </c>
      <c r="H995" s="53" t="s">
        <v>1852</v>
      </c>
      <c r="I995" s="55">
        <v>311843266</v>
      </c>
      <c r="J995" s="55" t="s">
        <v>1853</v>
      </c>
      <c r="K995" s="55" t="s">
        <v>1854</v>
      </c>
      <c r="L995" s="53" t="s">
        <v>2107</v>
      </c>
      <c r="M995" s="55" t="s">
        <v>75</v>
      </c>
      <c r="N995" s="52">
        <v>600000</v>
      </c>
      <c r="O995" s="52">
        <v>7240656000</v>
      </c>
      <c r="P995" s="52">
        <f>+O995</f>
        <v>7240656000</v>
      </c>
      <c r="Q995" s="57">
        <v>45910</v>
      </c>
      <c r="R995" s="57">
        <v>47000</v>
      </c>
      <c r="S995" s="56">
        <v>12</v>
      </c>
      <c r="T995" s="54">
        <v>6</v>
      </c>
      <c r="U995" s="52">
        <v>7319460000</v>
      </c>
      <c r="V995" s="52">
        <v>7319460000</v>
      </c>
      <c r="W995" s="52">
        <v>0</v>
      </c>
      <c r="X995" s="57"/>
      <c r="Y995" s="52">
        <v>0</v>
      </c>
      <c r="Z995" s="52">
        <v>0</v>
      </c>
      <c r="AA995" s="52">
        <v>1</v>
      </c>
      <c r="AB995" s="52">
        <v>0</v>
      </c>
      <c r="AC995" s="52">
        <v>62566378.109999999</v>
      </c>
      <c r="AD995" s="52">
        <v>62566378.109999999</v>
      </c>
      <c r="AE995" s="52">
        <v>0</v>
      </c>
      <c r="AF995" s="52">
        <v>0</v>
      </c>
      <c r="AG995" s="52">
        <v>0</v>
      </c>
      <c r="AH995" s="52">
        <v>0</v>
      </c>
      <c r="AI995" s="52">
        <v>0</v>
      </c>
      <c r="AJ995" s="52">
        <v>2</v>
      </c>
      <c r="AK995" s="52"/>
      <c r="AL995" s="52">
        <v>0</v>
      </c>
      <c r="AM995" s="52">
        <v>0</v>
      </c>
      <c r="AN995" s="52">
        <v>9515298000</v>
      </c>
      <c r="AO995" s="52">
        <v>84482872904</v>
      </c>
      <c r="AP995" s="52">
        <v>84482872904</v>
      </c>
      <c r="AQ995" s="58">
        <v>0</v>
      </c>
      <c r="AR995" s="58">
        <v>0</v>
      </c>
      <c r="AS995" s="58">
        <v>0</v>
      </c>
      <c r="AT995" s="58">
        <v>0</v>
      </c>
      <c r="AU995" s="58">
        <v>0</v>
      </c>
      <c r="AV995" s="58">
        <v>0</v>
      </c>
      <c r="AW995" s="58">
        <v>0</v>
      </c>
      <c r="AX995" s="58">
        <v>0</v>
      </c>
    </row>
    <row r="996" spans="1:50" x14ac:dyDescent="0.25">
      <c r="A996" s="52">
        <f t="shared" si="47"/>
        <v>991</v>
      </c>
      <c r="B996" s="60" t="str">
        <f t="shared" si="46"/>
        <v>00973383771</v>
      </c>
      <c r="C996" s="55" t="s">
        <v>38</v>
      </c>
      <c r="D996" s="53" t="s">
        <v>2158</v>
      </c>
      <c r="E996" s="55" t="s">
        <v>1851</v>
      </c>
      <c r="F996" s="53" t="s">
        <v>2159</v>
      </c>
      <c r="G996" s="55">
        <v>11853</v>
      </c>
      <c r="H996" s="53" t="s">
        <v>2644</v>
      </c>
      <c r="I996" s="55">
        <v>306333894</v>
      </c>
      <c r="J996" s="55" t="s">
        <v>1855</v>
      </c>
      <c r="K996" s="55" t="s">
        <v>1856</v>
      </c>
      <c r="L996" s="53" t="s">
        <v>2107</v>
      </c>
      <c r="M996" s="55" t="s">
        <v>49</v>
      </c>
      <c r="N996" s="52">
        <v>5000000000</v>
      </c>
      <c r="O996" s="52">
        <v>5000000000</v>
      </c>
      <c r="P996" s="52">
        <v>5000000000</v>
      </c>
      <c r="Q996" s="57">
        <v>45404</v>
      </c>
      <c r="R996" s="57">
        <v>47226</v>
      </c>
      <c r="S996" s="56">
        <v>29</v>
      </c>
      <c r="T996" s="54">
        <v>24</v>
      </c>
      <c r="U996" s="52">
        <v>5000000000</v>
      </c>
      <c r="V996" s="52">
        <v>5000000000</v>
      </c>
      <c r="W996" s="52">
        <v>0</v>
      </c>
      <c r="X996" s="57"/>
      <c r="Y996" s="52">
        <v>0</v>
      </c>
      <c r="Z996" s="52">
        <v>0</v>
      </c>
      <c r="AA996" s="52">
        <v>1</v>
      </c>
      <c r="AB996" s="52">
        <v>0</v>
      </c>
      <c r="AC996" s="52">
        <v>107260273.97</v>
      </c>
      <c r="AD996" s="52">
        <v>107260273.97</v>
      </c>
      <c r="AE996" s="52">
        <v>0</v>
      </c>
      <c r="AF996" s="52">
        <v>0</v>
      </c>
      <c r="AG996" s="52">
        <v>0</v>
      </c>
      <c r="AH996" s="52">
        <v>0</v>
      </c>
      <c r="AI996" s="52">
        <v>0</v>
      </c>
      <c r="AJ996" s="52">
        <v>2</v>
      </c>
      <c r="AK996" s="52"/>
      <c r="AL996" s="52">
        <v>0</v>
      </c>
      <c r="AM996" s="52">
        <v>0</v>
      </c>
      <c r="AN996" s="52">
        <v>6250000000</v>
      </c>
      <c r="AO996" s="52">
        <v>458498358764</v>
      </c>
      <c r="AP996" s="52">
        <v>458498358764</v>
      </c>
      <c r="AQ996" s="58">
        <v>0</v>
      </c>
      <c r="AR996" s="58">
        <v>0</v>
      </c>
      <c r="AS996" s="58">
        <v>0</v>
      </c>
      <c r="AT996" s="58">
        <v>0</v>
      </c>
      <c r="AU996" s="58">
        <v>0</v>
      </c>
      <c r="AV996" s="58">
        <v>0</v>
      </c>
      <c r="AW996" s="58">
        <v>0</v>
      </c>
      <c r="AX996" s="58">
        <v>0</v>
      </c>
    </row>
    <row r="997" spans="1:50" x14ac:dyDescent="0.25">
      <c r="A997" s="52">
        <f t="shared" si="47"/>
        <v>992</v>
      </c>
      <c r="B997" s="60" t="str">
        <f t="shared" si="46"/>
        <v>00973408435</v>
      </c>
      <c r="C997" s="55" t="s">
        <v>38</v>
      </c>
      <c r="D997" s="53" t="s">
        <v>2158</v>
      </c>
      <c r="E997" s="55" t="s">
        <v>1851</v>
      </c>
      <c r="F997" s="53" t="s">
        <v>2159</v>
      </c>
      <c r="G997" s="55">
        <v>11853</v>
      </c>
      <c r="H997" s="53" t="s">
        <v>1857</v>
      </c>
      <c r="I997" s="55">
        <v>309831043</v>
      </c>
      <c r="J997" s="55" t="s">
        <v>1858</v>
      </c>
      <c r="K997" s="55" t="s">
        <v>1859</v>
      </c>
      <c r="L997" s="53" t="s">
        <v>2107</v>
      </c>
      <c r="M997" s="55" t="s">
        <v>49</v>
      </c>
      <c r="N997" s="52">
        <v>4000000000</v>
      </c>
      <c r="O997" s="52">
        <v>4000000000</v>
      </c>
      <c r="P997" s="52">
        <v>2000000000</v>
      </c>
      <c r="Q997" s="57">
        <v>45904</v>
      </c>
      <c r="R997" s="57">
        <v>46268</v>
      </c>
      <c r="S997" s="56">
        <v>30</v>
      </c>
      <c r="T997" s="54">
        <v>6</v>
      </c>
      <c r="U997" s="52">
        <v>4000000000</v>
      </c>
      <c r="V997" s="52">
        <v>4000000000</v>
      </c>
      <c r="W997" s="52">
        <v>0</v>
      </c>
      <c r="X997" s="57"/>
      <c r="Y997" s="52">
        <v>0</v>
      </c>
      <c r="Z997" s="52">
        <v>0</v>
      </c>
      <c r="AA997" s="52">
        <v>1</v>
      </c>
      <c r="AB997" s="52">
        <v>0</v>
      </c>
      <c r="AC997" s="52">
        <v>88767123.290000007</v>
      </c>
      <c r="AD997" s="52">
        <v>88767123.290000007</v>
      </c>
      <c r="AE997" s="52">
        <v>0</v>
      </c>
      <c r="AF997" s="52">
        <v>0</v>
      </c>
      <c r="AG997" s="52">
        <v>0</v>
      </c>
      <c r="AH997" s="52">
        <v>0</v>
      </c>
      <c r="AI997" s="52">
        <v>0</v>
      </c>
      <c r="AJ997" s="52">
        <v>2</v>
      </c>
      <c r="AK997" s="52"/>
      <c r="AL997" s="52">
        <v>0</v>
      </c>
      <c r="AM997" s="52">
        <v>0</v>
      </c>
      <c r="AN997" s="52">
        <v>5000000000</v>
      </c>
      <c r="AO997" s="52">
        <v>1171071919505</v>
      </c>
      <c r="AP997" s="52">
        <v>1171071919505</v>
      </c>
      <c r="AQ997" s="58">
        <v>0</v>
      </c>
      <c r="AR997" s="58">
        <v>0</v>
      </c>
      <c r="AS997" s="58">
        <v>0</v>
      </c>
      <c r="AT997" s="58">
        <v>0</v>
      </c>
      <c r="AU997" s="58">
        <v>0</v>
      </c>
      <c r="AV997" s="58">
        <v>0</v>
      </c>
      <c r="AW997" s="58">
        <v>2</v>
      </c>
      <c r="AX997" s="58">
        <v>20415000</v>
      </c>
    </row>
    <row r="998" spans="1:50" x14ac:dyDescent="0.25">
      <c r="A998" s="52">
        <f t="shared" si="47"/>
        <v>993</v>
      </c>
      <c r="B998" s="60" t="str">
        <f t="shared" si="46"/>
        <v>00973398209</v>
      </c>
      <c r="C998" s="55" t="s">
        <v>38</v>
      </c>
      <c r="D998" s="53" t="s">
        <v>2158</v>
      </c>
      <c r="E998" s="55" t="s">
        <v>1851</v>
      </c>
      <c r="F998" s="53" t="s">
        <v>2159</v>
      </c>
      <c r="G998" s="55">
        <v>11853</v>
      </c>
      <c r="H998" s="53" t="s">
        <v>1860</v>
      </c>
      <c r="I998" s="55">
        <v>207141653</v>
      </c>
      <c r="J998" s="55" t="s">
        <v>1861</v>
      </c>
      <c r="K998" s="55" t="s">
        <v>1862</v>
      </c>
      <c r="L998" s="53" t="s">
        <v>2107</v>
      </c>
      <c r="M998" s="55" t="s">
        <v>75</v>
      </c>
      <c r="N998" s="52">
        <v>300000</v>
      </c>
      <c r="O998" s="52">
        <v>3620328000</v>
      </c>
      <c r="P998" s="52">
        <v>3620328000</v>
      </c>
      <c r="Q998" s="57">
        <v>45720</v>
      </c>
      <c r="R998" s="57">
        <v>46814</v>
      </c>
      <c r="S998" s="56">
        <v>13</v>
      </c>
      <c r="T998" s="54">
        <v>6</v>
      </c>
      <c r="U998" s="52">
        <v>3171766000</v>
      </c>
      <c r="V998" s="52">
        <v>3171766000</v>
      </c>
      <c r="W998" s="52">
        <v>0</v>
      </c>
      <c r="X998" s="57"/>
      <c r="Y998" s="52">
        <v>0</v>
      </c>
      <c r="Z998" s="52">
        <v>0</v>
      </c>
      <c r="AA998" s="52">
        <v>1</v>
      </c>
      <c r="AB998" s="52">
        <v>0</v>
      </c>
      <c r="AC998" s="52">
        <v>30544472.550000001</v>
      </c>
      <c r="AD998" s="52">
        <v>30544472.550000001</v>
      </c>
      <c r="AE998" s="52">
        <v>0</v>
      </c>
      <c r="AF998" s="52">
        <v>0</v>
      </c>
      <c r="AG998" s="52">
        <v>0</v>
      </c>
      <c r="AH998" s="52">
        <v>0</v>
      </c>
      <c r="AI998" s="52">
        <v>0</v>
      </c>
      <c r="AJ998" s="52">
        <v>2</v>
      </c>
      <c r="AK998" s="52"/>
      <c r="AL998" s="52">
        <v>0</v>
      </c>
      <c r="AM998" s="52">
        <v>0</v>
      </c>
      <c r="AN998" s="52">
        <v>4757649000</v>
      </c>
      <c r="AO998" s="52">
        <v>47557903015</v>
      </c>
      <c r="AP998" s="52">
        <v>47557903015</v>
      </c>
      <c r="AQ998" s="58">
        <v>0</v>
      </c>
      <c r="AR998" s="58">
        <v>0</v>
      </c>
      <c r="AS998" s="58">
        <v>0</v>
      </c>
      <c r="AT998" s="58">
        <v>0</v>
      </c>
      <c r="AU998" s="58">
        <v>17</v>
      </c>
      <c r="AV998" s="58">
        <v>360400</v>
      </c>
      <c r="AW998" s="58">
        <v>9</v>
      </c>
      <c r="AX998" s="58">
        <v>47618783.980000004</v>
      </c>
    </row>
    <row r="999" spans="1:50" x14ac:dyDescent="0.25">
      <c r="A999" s="52">
        <f t="shared" si="47"/>
        <v>994</v>
      </c>
      <c r="B999" s="60" t="str">
        <f t="shared" si="46"/>
        <v>00973402206</v>
      </c>
      <c r="C999" s="55" t="s">
        <v>38</v>
      </c>
      <c r="D999" s="53" t="s">
        <v>2158</v>
      </c>
      <c r="E999" s="55" t="s">
        <v>1851</v>
      </c>
      <c r="F999" s="53" t="s">
        <v>2159</v>
      </c>
      <c r="G999" s="55">
        <v>11853</v>
      </c>
      <c r="H999" s="53" t="s">
        <v>1857</v>
      </c>
      <c r="I999" s="55">
        <v>309831043</v>
      </c>
      <c r="J999" s="55" t="s">
        <v>1863</v>
      </c>
      <c r="K999" s="55" t="s">
        <v>1864</v>
      </c>
      <c r="L999" s="53" t="s">
        <v>2107</v>
      </c>
      <c r="M999" s="55" t="s">
        <v>49</v>
      </c>
      <c r="N999" s="52">
        <v>4000000000</v>
      </c>
      <c r="O999" s="52">
        <v>4000000000</v>
      </c>
      <c r="P999" s="52">
        <v>4000000000</v>
      </c>
      <c r="Q999" s="57">
        <v>45792</v>
      </c>
      <c r="R999" s="57">
        <v>46156</v>
      </c>
      <c r="S999" s="56">
        <v>30</v>
      </c>
      <c r="T999" s="54">
        <v>6</v>
      </c>
      <c r="U999" s="52">
        <v>2666666666</v>
      </c>
      <c r="V999" s="52">
        <v>2666666666</v>
      </c>
      <c r="W999" s="52">
        <v>0</v>
      </c>
      <c r="X999" s="57"/>
      <c r="Y999" s="52">
        <v>0</v>
      </c>
      <c r="Z999" s="52">
        <v>0</v>
      </c>
      <c r="AA999" s="52">
        <v>1</v>
      </c>
      <c r="AB999" s="52">
        <v>0</v>
      </c>
      <c r="AC999" s="52">
        <v>49315068.479999997</v>
      </c>
      <c r="AD999" s="52">
        <v>49315068.479999997</v>
      </c>
      <c r="AE999" s="52">
        <v>0</v>
      </c>
      <c r="AF999" s="52">
        <v>0</v>
      </c>
      <c r="AG999" s="52">
        <v>0</v>
      </c>
      <c r="AH999" s="52">
        <v>0</v>
      </c>
      <c r="AI999" s="52">
        <v>0</v>
      </c>
      <c r="AJ999" s="52">
        <v>2</v>
      </c>
      <c r="AK999" s="52"/>
      <c r="AL999" s="52">
        <v>0</v>
      </c>
      <c r="AM999" s="52">
        <v>0</v>
      </c>
      <c r="AN999" s="52">
        <v>5000000000</v>
      </c>
      <c r="AO999" s="52">
        <v>3936691601246</v>
      </c>
      <c r="AP999" s="52">
        <v>3936691601246</v>
      </c>
      <c r="AQ999" s="58">
        <v>0</v>
      </c>
      <c r="AR999" s="58">
        <v>0</v>
      </c>
      <c r="AS999" s="58">
        <v>0</v>
      </c>
      <c r="AT999" s="58">
        <v>0</v>
      </c>
      <c r="AU999" s="58">
        <v>0</v>
      </c>
      <c r="AV999" s="58">
        <v>0</v>
      </c>
      <c r="AW999" s="58">
        <v>2</v>
      </c>
      <c r="AX999" s="58">
        <v>20415000</v>
      </c>
    </row>
    <row r="1000" spans="1:50" x14ac:dyDescent="0.25">
      <c r="A1000" s="52">
        <f t="shared" si="47"/>
        <v>995</v>
      </c>
      <c r="B1000" s="60" t="str">
        <f t="shared" si="46"/>
        <v>00973408559</v>
      </c>
      <c r="C1000" s="55" t="s">
        <v>38</v>
      </c>
      <c r="D1000" s="53" t="s">
        <v>2158</v>
      </c>
      <c r="E1000" s="55" t="s">
        <v>1851</v>
      </c>
      <c r="F1000" s="53" t="s">
        <v>2159</v>
      </c>
      <c r="G1000" s="55">
        <v>11853</v>
      </c>
      <c r="H1000" s="53" t="s">
        <v>1865</v>
      </c>
      <c r="I1000" s="55">
        <v>312142125</v>
      </c>
      <c r="J1000" s="55" t="s">
        <v>1866</v>
      </c>
      <c r="K1000" s="55" t="s">
        <v>1867</v>
      </c>
      <c r="L1000" s="53" t="s">
        <v>2107</v>
      </c>
      <c r="M1000" s="55" t="s">
        <v>49</v>
      </c>
      <c r="N1000" s="52">
        <v>2500000000</v>
      </c>
      <c r="O1000" s="52">
        <v>2500000000</v>
      </c>
      <c r="P1000" s="52">
        <v>2500000000</v>
      </c>
      <c r="Q1000" s="57">
        <v>45905</v>
      </c>
      <c r="R1000" s="57">
        <v>46634</v>
      </c>
      <c r="S1000" s="56">
        <v>28</v>
      </c>
      <c r="T1000" s="54">
        <v>0</v>
      </c>
      <c r="U1000" s="52">
        <v>2173753608.2600002</v>
      </c>
      <c r="V1000" s="52">
        <v>2173753608.2600002</v>
      </c>
      <c r="W1000" s="52">
        <v>0</v>
      </c>
      <c r="X1000" s="57"/>
      <c r="Y1000" s="52">
        <v>0</v>
      </c>
      <c r="Z1000" s="52">
        <v>0</v>
      </c>
      <c r="AA1000" s="52">
        <v>1</v>
      </c>
      <c r="AB1000" s="52">
        <v>0</v>
      </c>
      <c r="AC1000" s="52">
        <v>45023499.390000001</v>
      </c>
      <c r="AD1000" s="52">
        <v>45023499.390000001</v>
      </c>
      <c r="AE1000" s="52">
        <v>0</v>
      </c>
      <c r="AF1000" s="52">
        <v>0</v>
      </c>
      <c r="AG1000" s="52">
        <v>0</v>
      </c>
      <c r="AH1000" s="52">
        <v>0</v>
      </c>
      <c r="AI1000" s="52">
        <v>0</v>
      </c>
      <c r="AJ1000" s="52">
        <v>2</v>
      </c>
      <c r="AK1000" s="52"/>
      <c r="AL1000" s="52">
        <v>0</v>
      </c>
      <c r="AM1000" s="52">
        <v>0</v>
      </c>
      <c r="AN1000" s="52">
        <v>3125000000</v>
      </c>
      <c r="AO1000" s="52">
        <v>913614695</v>
      </c>
      <c r="AP1000" s="52">
        <v>276392695</v>
      </c>
      <c r="AQ1000" s="58">
        <v>0</v>
      </c>
      <c r="AR1000" s="58">
        <v>0</v>
      </c>
      <c r="AS1000" s="58">
        <v>0</v>
      </c>
      <c r="AT1000" s="58">
        <v>0</v>
      </c>
      <c r="AU1000" s="58">
        <v>0</v>
      </c>
      <c r="AV1000" s="58">
        <v>0</v>
      </c>
      <c r="AW1000" s="58">
        <v>0</v>
      </c>
      <c r="AX1000" s="58">
        <v>0</v>
      </c>
    </row>
    <row r="1001" spans="1:50" x14ac:dyDescent="0.25">
      <c r="A1001" s="52">
        <f t="shared" si="47"/>
        <v>996</v>
      </c>
      <c r="B1001" s="60" t="str">
        <f t="shared" si="46"/>
        <v>00973407294</v>
      </c>
      <c r="C1001" s="55" t="s">
        <v>38</v>
      </c>
      <c r="D1001" s="53" t="s">
        <v>2158</v>
      </c>
      <c r="E1001" s="55" t="s">
        <v>1851</v>
      </c>
      <c r="F1001" s="53" t="s">
        <v>2159</v>
      </c>
      <c r="G1001" s="55">
        <v>11853</v>
      </c>
      <c r="H1001" s="53" t="s">
        <v>2645</v>
      </c>
      <c r="I1001" s="55">
        <v>307931466</v>
      </c>
      <c r="J1001" s="55" t="s">
        <v>1868</v>
      </c>
      <c r="K1001" s="55" t="s">
        <v>1869</v>
      </c>
      <c r="L1001" s="53" t="s">
        <v>2107</v>
      </c>
      <c r="M1001" s="55" t="s">
        <v>49</v>
      </c>
      <c r="N1001" s="52">
        <v>2000000000</v>
      </c>
      <c r="O1001" s="52">
        <v>2000000000</v>
      </c>
      <c r="P1001" s="52">
        <f>+O1001</f>
        <v>2000000000</v>
      </c>
      <c r="Q1001" s="57">
        <v>45884</v>
      </c>
      <c r="R1001" s="57">
        <v>47706</v>
      </c>
      <c r="S1001" s="56">
        <v>28</v>
      </c>
      <c r="T1001" s="54">
        <v>0</v>
      </c>
      <c r="U1001" s="52">
        <v>2000000000</v>
      </c>
      <c r="V1001" s="52">
        <v>2000000000</v>
      </c>
      <c r="W1001" s="52">
        <v>0</v>
      </c>
      <c r="X1001" s="57"/>
      <c r="Y1001" s="52">
        <v>0</v>
      </c>
      <c r="Z1001" s="52">
        <v>0</v>
      </c>
      <c r="AA1001" s="52">
        <v>1</v>
      </c>
      <c r="AB1001" s="52">
        <v>0</v>
      </c>
      <c r="AC1001" s="52">
        <v>42958760.270000003</v>
      </c>
      <c r="AD1001" s="52">
        <v>42958760.270000003</v>
      </c>
      <c r="AE1001" s="52">
        <v>0</v>
      </c>
      <c r="AF1001" s="52">
        <v>0</v>
      </c>
      <c r="AG1001" s="52">
        <v>0</v>
      </c>
      <c r="AH1001" s="52">
        <v>0</v>
      </c>
      <c r="AI1001" s="52">
        <v>0</v>
      </c>
      <c r="AJ1001" s="52">
        <v>2</v>
      </c>
      <c r="AK1001" s="52"/>
      <c r="AL1001" s="52">
        <v>0</v>
      </c>
      <c r="AM1001" s="52">
        <v>0</v>
      </c>
      <c r="AN1001" s="52">
        <v>2500000000</v>
      </c>
      <c r="AO1001" s="52">
        <v>19255811677</v>
      </c>
      <c r="AP1001" s="52">
        <v>19255811677</v>
      </c>
      <c r="AQ1001" s="58">
        <v>0</v>
      </c>
      <c r="AR1001" s="58">
        <v>0</v>
      </c>
      <c r="AS1001" s="58">
        <v>0</v>
      </c>
      <c r="AT1001" s="58">
        <v>0</v>
      </c>
      <c r="AU1001" s="58">
        <v>0</v>
      </c>
      <c r="AV1001" s="58">
        <v>0</v>
      </c>
      <c r="AW1001" s="58">
        <v>0</v>
      </c>
      <c r="AX1001" s="58">
        <v>0</v>
      </c>
    </row>
    <row r="1002" spans="1:50" x14ac:dyDescent="0.25">
      <c r="A1002" s="52">
        <f t="shared" si="47"/>
        <v>997</v>
      </c>
      <c r="B1002" s="60" t="str">
        <f t="shared" si="46"/>
        <v>00973408011</v>
      </c>
      <c r="C1002" s="55" t="s">
        <v>38</v>
      </c>
      <c r="D1002" s="53" t="s">
        <v>2158</v>
      </c>
      <c r="E1002" s="55" t="s">
        <v>1851</v>
      </c>
      <c r="F1002" s="53" t="s">
        <v>2159</v>
      </c>
      <c r="G1002" s="55">
        <v>11853</v>
      </c>
      <c r="H1002" s="53" t="s">
        <v>1870</v>
      </c>
      <c r="I1002" s="55">
        <v>302121021</v>
      </c>
      <c r="J1002" s="55" t="s">
        <v>1871</v>
      </c>
      <c r="K1002" s="55" t="s">
        <v>1872</v>
      </c>
      <c r="L1002" s="53" t="s">
        <v>2107</v>
      </c>
      <c r="M1002" s="55" t="s">
        <v>49</v>
      </c>
      <c r="N1002" s="52">
        <v>2000000000</v>
      </c>
      <c r="O1002" s="52">
        <v>2000000000</v>
      </c>
      <c r="P1002" s="52">
        <v>1608589083.5999999</v>
      </c>
      <c r="Q1002" s="57">
        <v>45895</v>
      </c>
      <c r="R1002" s="57">
        <v>46259</v>
      </c>
      <c r="S1002" s="56">
        <v>30</v>
      </c>
      <c r="T1002" s="54">
        <v>6</v>
      </c>
      <c r="U1002" s="52">
        <v>1872000000</v>
      </c>
      <c r="V1002" s="52">
        <v>1872000000</v>
      </c>
      <c r="W1002" s="52">
        <v>0</v>
      </c>
      <c r="X1002" s="57"/>
      <c r="Y1002" s="52">
        <v>0</v>
      </c>
      <c r="Z1002" s="52">
        <v>0</v>
      </c>
      <c r="AA1002" s="52">
        <v>1</v>
      </c>
      <c r="AB1002" s="52">
        <v>0</v>
      </c>
      <c r="AC1002" s="52">
        <v>42145353.369999997</v>
      </c>
      <c r="AD1002" s="52">
        <v>42145353.369999997</v>
      </c>
      <c r="AE1002" s="52">
        <v>0</v>
      </c>
      <c r="AF1002" s="52">
        <v>0</v>
      </c>
      <c r="AG1002" s="52">
        <v>0</v>
      </c>
      <c r="AH1002" s="52">
        <v>0</v>
      </c>
      <c r="AI1002" s="52">
        <v>0</v>
      </c>
      <c r="AJ1002" s="52">
        <v>2</v>
      </c>
      <c r="AK1002" s="52"/>
      <c r="AL1002" s="52">
        <v>0</v>
      </c>
      <c r="AM1002" s="52">
        <v>0</v>
      </c>
      <c r="AN1002" s="52">
        <v>2500000000</v>
      </c>
      <c r="AO1002" s="52">
        <v>68163186475</v>
      </c>
      <c r="AP1002" s="52">
        <v>68163186475</v>
      </c>
      <c r="AQ1002" s="58">
        <v>47</v>
      </c>
      <c r="AR1002" s="58">
        <v>658857.55999999994</v>
      </c>
      <c r="AS1002" s="58">
        <v>21</v>
      </c>
      <c r="AT1002" s="58">
        <v>248322.7</v>
      </c>
      <c r="AU1002" s="58">
        <v>434</v>
      </c>
      <c r="AV1002" s="58">
        <v>4456467.71</v>
      </c>
      <c r="AW1002" s="58">
        <v>98</v>
      </c>
      <c r="AX1002" s="58">
        <v>1012671.9999999999</v>
      </c>
    </row>
    <row r="1003" spans="1:50" x14ac:dyDescent="0.25">
      <c r="A1003" s="52">
        <f t="shared" si="47"/>
        <v>998</v>
      </c>
      <c r="B1003" s="60" t="str">
        <f t="shared" si="46"/>
        <v>00973409149</v>
      </c>
      <c r="C1003" s="55" t="s">
        <v>38</v>
      </c>
      <c r="D1003" s="53" t="s">
        <v>2158</v>
      </c>
      <c r="E1003" s="55" t="s">
        <v>1851</v>
      </c>
      <c r="F1003" s="53" t="s">
        <v>2159</v>
      </c>
      <c r="G1003" s="55">
        <v>11853</v>
      </c>
      <c r="H1003" s="53" t="s">
        <v>2646</v>
      </c>
      <c r="I1003" s="55">
        <v>309432025</v>
      </c>
      <c r="J1003" s="55" t="s">
        <v>1873</v>
      </c>
      <c r="K1003" s="55" t="s">
        <v>1874</v>
      </c>
      <c r="L1003" s="53" t="s">
        <v>2107</v>
      </c>
      <c r="M1003" s="55" t="s">
        <v>49</v>
      </c>
      <c r="N1003" s="52">
        <v>2000000000</v>
      </c>
      <c r="O1003" s="52">
        <v>2000000000</v>
      </c>
      <c r="P1003" s="52">
        <f>+O1003</f>
        <v>2000000000</v>
      </c>
      <c r="Q1003" s="57">
        <v>45915</v>
      </c>
      <c r="R1003" s="57">
        <v>47010</v>
      </c>
      <c r="S1003" s="56">
        <v>28</v>
      </c>
      <c r="T1003" s="54">
        <v>0</v>
      </c>
      <c r="U1003" s="52">
        <v>1777777776</v>
      </c>
      <c r="V1003" s="52">
        <v>1777777776</v>
      </c>
      <c r="W1003" s="52">
        <v>0</v>
      </c>
      <c r="X1003" s="57"/>
      <c r="Y1003" s="52">
        <v>0</v>
      </c>
      <c r="Z1003" s="52">
        <v>0</v>
      </c>
      <c r="AA1003" s="52">
        <v>1</v>
      </c>
      <c r="AB1003" s="52">
        <v>0</v>
      </c>
      <c r="AC1003" s="52">
        <v>36821917.770000003</v>
      </c>
      <c r="AD1003" s="52">
        <v>36821917.770000003</v>
      </c>
      <c r="AE1003" s="52">
        <v>0</v>
      </c>
      <c r="AF1003" s="52">
        <v>0</v>
      </c>
      <c r="AG1003" s="52">
        <v>0</v>
      </c>
      <c r="AH1003" s="52">
        <v>0</v>
      </c>
      <c r="AI1003" s="52">
        <v>0</v>
      </c>
      <c r="AJ1003" s="52">
        <v>2</v>
      </c>
      <c r="AK1003" s="52"/>
      <c r="AL1003" s="52">
        <v>0</v>
      </c>
      <c r="AM1003" s="52">
        <v>0</v>
      </c>
      <c r="AN1003" s="52">
        <v>2500000000</v>
      </c>
      <c r="AO1003" s="52">
        <v>136682608494</v>
      </c>
      <c r="AP1003" s="52">
        <v>136682608494</v>
      </c>
      <c r="AQ1003" s="58">
        <v>1</v>
      </c>
      <c r="AR1003" s="58">
        <v>3100</v>
      </c>
      <c r="AS1003" s="58">
        <v>0</v>
      </c>
      <c r="AT1003" s="58">
        <v>0</v>
      </c>
      <c r="AU1003" s="58">
        <v>17</v>
      </c>
      <c r="AV1003" s="58">
        <v>401341.92000000004</v>
      </c>
      <c r="AW1003" s="58">
        <v>1</v>
      </c>
      <c r="AX1003" s="58">
        <v>55784</v>
      </c>
    </row>
    <row r="1004" spans="1:50" x14ac:dyDescent="0.25">
      <c r="A1004" s="52">
        <f t="shared" si="47"/>
        <v>999</v>
      </c>
      <c r="B1004" s="60" t="str">
        <f t="shared" si="46"/>
        <v>00973404574</v>
      </c>
      <c r="C1004" s="55" t="s">
        <v>38</v>
      </c>
      <c r="D1004" s="53" t="s">
        <v>2158</v>
      </c>
      <c r="E1004" s="55" t="s">
        <v>1851</v>
      </c>
      <c r="F1004" s="53" t="s">
        <v>2159</v>
      </c>
      <c r="G1004" s="55">
        <v>11853</v>
      </c>
      <c r="H1004" s="53" t="s">
        <v>1870</v>
      </c>
      <c r="I1004" s="55">
        <v>302121021</v>
      </c>
      <c r="J1004" s="55" t="s">
        <v>1875</v>
      </c>
      <c r="K1004" s="55" t="s">
        <v>1876</v>
      </c>
      <c r="L1004" s="53" t="s">
        <v>2107</v>
      </c>
      <c r="M1004" s="55" t="s">
        <v>49</v>
      </c>
      <c r="N1004" s="52">
        <v>2000000000</v>
      </c>
      <c r="O1004" s="52">
        <v>2000000000</v>
      </c>
      <c r="P1004" s="52">
        <v>1989949649.73</v>
      </c>
      <c r="Q1004" s="57">
        <v>45845</v>
      </c>
      <c r="R1004" s="57">
        <v>46209</v>
      </c>
      <c r="S1004" s="56">
        <v>28</v>
      </c>
      <c r="T1004" s="54">
        <v>6</v>
      </c>
      <c r="U1004" s="52">
        <v>1643000000</v>
      </c>
      <c r="V1004" s="52">
        <v>1643000000</v>
      </c>
      <c r="W1004" s="52">
        <v>0</v>
      </c>
      <c r="X1004" s="57"/>
      <c r="Y1004" s="52">
        <v>0</v>
      </c>
      <c r="Z1004" s="52">
        <v>0</v>
      </c>
      <c r="AA1004" s="52">
        <v>1</v>
      </c>
      <c r="AB1004" s="52">
        <v>0</v>
      </c>
      <c r="AC1004" s="52">
        <v>34782904.100000001</v>
      </c>
      <c r="AD1004" s="52">
        <v>34782904.100000001</v>
      </c>
      <c r="AE1004" s="52">
        <v>0</v>
      </c>
      <c r="AF1004" s="52">
        <v>0</v>
      </c>
      <c r="AG1004" s="52">
        <v>0</v>
      </c>
      <c r="AH1004" s="52">
        <v>0</v>
      </c>
      <c r="AI1004" s="52">
        <v>0</v>
      </c>
      <c r="AJ1004" s="52">
        <v>2</v>
      </c>
      <c r="AK1004" s="52"/>
      <c r="AL1004" s="52">
        <v>0</v>
      </c>
      <c r="AM1004" s="52">
        <v>0</v>
      </c>
      <c r="AN1004" s="52">
        <v>2500000000</v>
      </c>
      <c r="AO1004" s="52">
        <v>981468337635</v>
      </c>
      <c r="AP1004" s="52">
        <v>981468337635</v>
      </c>
      <c r="AQ1004" s="58">
        <v>47</v>
      </c>
      <c r="AR1004" s="58">
        <v>658857.55999999994</v>
      </c>
      <c r="AS1004" s="58">
        <v>21</v>
      </c>
      <c r="AT1004" s="58">
        <v>248322.7</v>
      </c>
      <c r="AU1004" s="58">
        <v>434</v>
      </c>
      <c r="AV1004" s="58">
        <v>4456467.71</v>
      </c>
      <c r="AW1004" s="58">
        <v>98</v>
      </c>
      <c r="AX1004" s="58">
        <v>1012671.9999999999</v>
      </c>
    </row>
    <row r="1005" spans="1:50" x14ac:dyDescent="0.25">
      <c r="A1005" s="52">
        <f t="shared" si="47"/>
        <v>1000</v>
      </c>
      <c r="B1005" s="60" t="str">
        <f t="shared" si="46"/>
        <v>00973398098</v>
      </c>
      <c r="C1005" s="55" t="s">
        <v>38</v>
      </c>
      <c r="D1005" s="53" t="s">
        <v>2158</v>
      </c>
      <c r="E1005" s="55" t="s">
        <v>1851</v>
      </c>
      <c r="F1005" s="53" t="s">
        <v>2159</v>
      </c>
      <c r="G1005" s="55">
        <v>11853</v>
      </c>
      <c r="H1005" s="53" t="s">
        <v>1877</v>
      </c>
      <c r="I1005" s="55">
        <v>303917604</v>
      </c>
      <c r="J1005" s="55" t="s">
        <v>1878</v>
      </c>
      <c r="K1005" s="55" t="s">
        <v>1879</v>
      </c>
      <c r="L1005" s="53" t="s">
        <v>2107</v>
      </c>
      <c r="M1005" s="55" t="s">
        <v>49</v>
      </c>
      <c r="N1005" s="52">
        <v>2028000000</v>
      </c>
      <c r="O1005" s="52">
        <v>2028000000</v>
      </c>
      <c r="P1005" s="52">
        <v>2028000000</v>
      </c>
      <c r="Q1005" s="57">
        <v>45716</v>
      </c>
      <c r="R1005" s="57">
        <v>46809</v>
      </c>
      <c r="S1005" s="56">
        <v>30</v>
      </c>
      <c r="T1005" s="54">
        <v>0</v>
      </c>
      <c r="U1005" s="52">
        <v>1586187686.4400001</v>
      </c>
      <c r="V1005" s="52">
        <v>1586187686.4400001</v>
      </c>
      <c r="W1005" s="52">
        <v>0</v>
      </c>
      <c r="X1005" s="57"/>
      <c r="Y1005" s="52">
        <v>0</v>
      </c>
      <c r="Z1005" s="52">
        <v>0</v>
      </c>
      <c r="AA1005" s="52">
        <v>1</v>
      </c>
      <c r="AB1005" s="52">
        <v>0</v>
      </c>
      <c r="AC1005" s="52">
        <v>35200329.479999997</v>
      </c>
      <c r="AD1005" s="52">
        <v>35200329.479999997</v>
      </c>
      <c r="AE1005" s="52">
        <v>0</v>
      </c>
      <c r="AF1005" s="52">
        <v>0</v>
      </c>
      <c r="AG1005" s="52">
        <v>0</v>
      </c>
      <c r="AH1005" s="52">
        <v>0</v>
      </c>
      <c r="AI1005" s="52">
        <v>0</v>
      </c>
      <c r="AJ1005" s="52">
        <v>2</v>
      </c>
      <c r="AK1005" s="52"/>
      <c r="AL1005" s="52">
        <v>0</v>
      </c>
      <c r="AM1005" s="52">
        <v>0</v>
      </c>
      <c r="AN1005" s="52">
        <v>2535000000</v>
      </c>
      <c r="AO1005" s="52">
        <v>2003724693041</v>
      </c>
      <c r="AP1005" s="52">
        <v>2003724693041</v>
      </c>
      <c r="AQ1005" s="58">
        <v>0</v>
      </c>
      <c r="AR1005" s="58">
        <v>0</v>
      </c>
      <c r="AS1005" s="58">
        <v>0</v>
      </c>
      <c r="AT1005" s="58">
        <v>0</v>
      </c>
      <c r="AU1005" s="58">
        <v>11</v>
      </c>
      <c r="AV1005" s="58">
        <v>257000</v>
      </c>
      <c r="AW1005" s="58">
        <v>0</v>
      </c>
      <c r="AX1005" s="58">
        <v>0</v>
      </c>
    </row>
    <row r="1006" spans="1:50" x14ac:dyDescent="0.25">
      <c r="A1006" s="52">
        <f t="shared" si="47"/>
        <v>1001</v>
      </c>
      <c r="B1006" s="60" t="str">
        <f t="shared" si="46"/>
        <v>00973406810</v>
      </c>
      <c r="C1006" s="55" t="s">
        <v>38</v>
      </c>
      <c r="D1006" s="53" t="s">
        <v>2158</v>
      </c>
      <c r="E1006" s="55" t="s">
        <v>1851</v>
      </c>
      <c r="F1006" s="53" t="s">
        <v>2159</v>
      </c>
      <c r="G1006" s="55">
        <v>11853</v>
      </c>
      <c r="H1006" s="53" t="s">
        <v>1880</v>
      </c>
      <c r="I1006" s="55">
        <v>303504889</v>
      </c>
      <c r="J1006" s="55" t="s">
        <v>1881</v>
      </c>
      <c r="K1006" s="55" t="s">
        <v>1882</v>
      </c>
      <c r="L1006" s="53" t="s">
        <v>2107</v>
      </c>
      <c r="M1006" s="55" t="s">
        <v>49</v>
      </c>
      <c r="N1006" s="52">
        <v>1500000000</v>
      </c>
      <c r="O1006" s="52">
        <v>1500000000</v>
      </c>
      <c r="P1006" s="52">
        <f>+O1006</f>
        <v>1500000000</v>
      </c>
      <c r="Q1006" s="57">
        <v>45880</v>
      </c>
      <c r="R1006" s="57">
        <v>46975</v>
      </c>
      <c r="S1006" s="56">
        <v>30</v>
      </c>
      <c r="T1006" s="54">
        <v>0</v>
      </c>
      <c r="U1006" s="52">
        <v>1362403169.26</v>
      </c>
      <c r="V1006" s="52">
        <v>1362403169.26</v>
      </c>
      <c r="W1006" s="52">
        <v>0</v>
      </c>
      <c r="X1006" s="57"/>
      <c r="Y1006" s="52">
        <v>0</v>
      </c>
      <c r="Z1006" s="52">
        <v>0</v>
      </c>
      <c r="AA1006" s="52">
        <v>1</v>
      </c>
      <c r="AB1006" s="52">
        <v>0</v>
      </c>
      <c r="AC1006" s="52">
        <v>30756170.469999999</v>
      </c>
      <c r="AD1006" s="52">
        <v>30756170.469999999</v>
      </c>
      <c r="AE1006" s="52">
        <v>0</v>
      </c>
      <c r="AF1006" s="52">
        <v>0</v>
      </c>
      <c r="AG1006" s="52">
        <v>0</v>
      </c>
      <c r="AH1006" s="52">
        <v>0</v>
      </c>
      <c r="AI1006" s="52">
        <v>0</v>
      </c>
      <c r="AJ1006" s="52">
        <v>2</v>
      </c>
      <c r="AK1006" s="52"/>
      <c r="AL1006" s="52">
        <v>0</v>
      </c>
      <c r="AM1006" s="52">
        <v>0</v>
      </c>
      <c r="AN1006" s="52">
        <v>1875000000</v>
      </c>
      <c r="AO1006" s="52">
        <v>176625000</v>
      </c>
      <c r="AP1006" s="52">
        <v>176625000</v>
      </c>
      <c r="AQ1006" s="58">
        <v>0</v>
      </c>
      <c r="AR1006" s="58">
        <v>0</v>
      </c>
      <c r="AS1006" s="58">
        <v>0</v>
      </c>
      <c r="AT1006" s="58">
        <v>0</v>
      </c>
      <c r="AU1006" s="58">
        <v>0</v>
      </c>
      <c r="AV1006" s="58">
        <v>0</v>
      </c>
      <c r="AW1006" s="58">
        <v>0</v>
      </c>
      <c r="AX1006" s="58">
        <v>0</v>
      </c>
    </row>
    <row r="1007" spans="1:50" x14ac:dyDescent="0.25">
      <c r="A1007" s="52">
        <f t="shared" si="47"/>
        <v>1002</v>
      </c>
      <c r="B1007" s="60" t="str">
        <f t="shared" si="46"/>
        <v>00973398443</v>
      </c>
      <c r="C1007" s="55" t="s">
        <v>38</v>
      </c>
      <c r="D1007" s="53" t="s">
        <v>2158</v>
      </c>
      <c r="E1007" s="55" t="s">
        <v>1851</v>
      </c>
      <c r="F1007" s="53" t="s">
        <v>2159</v>
      </c>
      <c r="G1007" s="55">
        <v>11853</v>
      </c>
      <c r="H1007" s="53" t="s">
        <v>1857</v>
      </c>
      <c r="I1007" s="55">
        <v>309831043</v>
      </c>
      <c r="J1007" s="55" t="s">
        <v>1883</v>
      </c>
      <c r="K1007" s="55" t="s">
        <v>1884</v>
      </c>
      <c r="L1007" s="53" t="s">
        <v>2107</v>
      </c>
      <c r="M1007" s="55" t="s">
        <v>49</v>
      </c>
      <c r="N1007" s="52">
        <v>4000000000</v>
      </c>
      <c r="O1007" s="52">
        <v>4000000000</v>
      </c>
      <c r="P1007" s="52">
        <v>3000000000</v>
      </c>
      <c r="Q1007" s="57">
        <v>45723</v>
      </c>
      <c r="R1007" s="57">
        <v>46087</v>
      </c>
      <c r="S1007" s="56">
        <v>29</v>
      </c>
      <c r="T1007" s="54">
        <v>6</v>
      </c>
      <c r="U1007" s="52">
        <v>1333333332</v>
      </c>
      <c r="V1007" s="52">
        <v>1333333332</v>
      </c>
      <c r="W1007" s="52">
        <v>0</v>
      </c>
      <c r="X1007" s="57"/>
      <c r="Y1007" s="52">
        <v>0</v>
      </c>
      <c r="Z1007" s="52">
        <v>0</v>
      </c>
      <c r="AA1007" s="52">
        <v>1</v>
      </c>
      <c r="AB1007" s="52">
        <v>0</v>
      </c>
      <c r="AC1007" s="52">
        <v>28602739.699999999</v>
      </c>
      <c r="AD1007" s="52">
        <v>28602739.699999999</v>
      </c>
      <c r="AE1007" s="52">
        <v>0</v>
      </c>
      <c r="AF1007" s="52">
        <v>0</v>
      </c>
      <c r="AG1007" s="52">
        <v>0</v>
      </c>
      <c r="AH1007" s="52">
        <v>0</v>
      </c>
      <c r="AI1007" s="52">
        <v>0</v>
      </c>
      <c r="AJ1007" s="52">
        <v>2</v>
      </c>
      <c r="AK1007" s="52"/>
      <c r="AL1007" s="52">
        <v>0</v>
      </c>
      <c r="AM1007" s="52">
        <v>0</v>
      </c>
      <c r="AN1007" s="52">
        <v>5000000000</v>
      </c>
      <c r="AO1007" s="52">
        <v>5328566697059</v>
      </c>
      <c r="AP1007" s="52">
        <v>5328566697059</v>
      </c>
      <c r="AQ1007" s="58">
        <v>0</v>
      </c>
      <c r="AR1007" s="58">
        <v>0</v>
      </c>
      <c r="AS1007" s="58">
        <v>0</v>
      </c>
      <c r="AT1007" s="58">
        <v>0</v>
      </c>
      <c r="AU1007" s="58">
        <v>0</v>
      </c>
      <c r="AV1007" s="58">
        <v>0</v>
      </c>
      <c r="AW1007" s="58">
        <v>2</v>
      </c>
      <c r="AX1007" s="58">
        <v>20415000</v>
      </c>
    </row>
    <row r="1008" spans="1:50" x14ac:dyDescent="0.25">
      <c r="A1008" s="52">
        <f t="shared" si="47"/>
        <v>1003</v>
      </c>
      <c r="B1008" s="60" t="str">
        <f t="shared" si="46"/>
        <v>00973403854</v>
      </c>
      <c r="C1008" s="55" t="s">
        <v>38</v>
      </c>
      <c r="D1008" s="53" t="s">
        <v>2158</v>
      </c>
      <c r="E1008" s="55" t="s">
        <v>1851</v>
      </c>
      <c r="F1008" s="53" t="s">
        <v>2159</v>
      </c>
      <c r="G1008" s="55">
        <v>11853</v>
      </c>
      <c r="H1008" s="53" t="s">
        <v>1885</v>
      </c>
      <c r="I1008" s="55">
        <v>305961558</v>
      </c>
      <c r="J1008" s="55" t="s">
        <v>1886</v>
      </c>
      <c r="K1008" s="55" t="s">
        <v>1887</v>
      </c>
      <c r="L1008" s="53" t="s">
        <v>2045</v>
      </c>
      <c r="M1008" s="55" t="s">
        <v>49</v>
      </c>
      <c r="N1008" s="52">
        <v>1500000000</v>
      </c>
      <c r="O1008" s="52">
        <v>1500000000</v>
      </c>
      <c r="P1008" s="52">
        <v>1500000000</v>
      </c>
      <c r="Q1008" s="57">
        <v>45827</v>
      </c>
      <c r="R1008" s="57">
        <v>46190</v>
      </c>
      <c r="S1008" s="56">
        <v>30</v>
      </c>
      <c r="T1008" s="54">
        <v>6</v>
      </c>
      <c r="U1008" s="52">
        <v>1250000000</v>
      </c>
      <c r="V1008" s="52">
        <v>1250000000</v>
      </c>
      <c r="W1008" s="52">
        <v>0</v>
      </c>
      <c r="X1008" s="57"/>
      <c r="Y1008" s="52">
        <v>0</v>
      </c>
      <c r="Z1008" s="52">
        <v>0</v>
      </c>
      <c r="AA1008" s="52">
        <v>1</v>
      </c>
      <c r="AB1008" s="52">
        <v>0</v>
      </c>
      <c r="AC1008" s="52">
        <v>19608420.16</v>
      </c>
      <c r="AD1008" s="52">
        <v>19608420.16</v>
      </c>
      <c r="AE1008" s="52">
        <v>0</v>
      </c>
      <c r="AF1008" s="52">
        <v>0</v>
      </c>
      <c r="AG1008" s="52">
        <v>0</v>
      </c>
      <c r="AH1008" s="52">
        <v>0</v>
      </c>
      <c r="AI1008" s="52">
        <v>0</v>
      </c>
      <c r="AJ1008" s="52">
        <v>2</v>
      </c>
      <c r="AK1008" s="52"/>
      <c r="AL1008" s="52">
        <v>0</v>
      </c>
      <c r="AM1008" s="52">
        <v>0</v>
      </c>
      <c r="AN1008" s="52">
        <v>1875000000</v>
      </c>
      <c r="AO1008" s="52">
        <v>1395575100</v>
      </c>
      <c r="AP1008" s="52">
        <v>1395575100</v>
      </c>
      <c r="AQ1008" s="58">
        <v>0</v>
      </c>
      <c r="AR1008" s="58">
        <v>0</v>
      </c>
      <c r="AS1008" s="58">
        <v>0</v>
      </c>
      <c r="AT1008" s="58">
        <v>0</v>
      </c>
      <c r="AU1008" s="58">
        <v>0</v>
      </c>
      <c r="AV1008" s="58">
        <v>0</v>
      </c>
      <c r="AW1008" s="58">
        <v>0</v>
      </c>
      <c r="AX1008" s="58">
        <v>0</v>
      </c>
    </row>
    <row r="1009" spans="1:50" x14ac:dyDescent="0.25">
      <c r="A1009" s="52">
        <f t="shared" si="47"/>
        <v>1004</v>
      </c>
      <c r="B1009" s="60" t="str">
        <f t="shared" si="46"/>
        <v>00973398824</v>
      </c>
      <c r="C1009" s="55" t="s">
        <v>38</v>
      </c>
      <c r="D1009" s="53" t="s">
        <v>2158</v>
      </c>
      <c r="E1009" s="55" t="s">
        <v>1851</v>
      </c>
      <c r="F1009" s="53" t="s">
        <v>2159</v>
      </c>
      <c r="G1009" s="55">
        <v>11853</v>
      </c>
      <c r="H1009" s="53" t="s">
        <v>1888</v>
      </c>
      <c r="I1009" s="55">
        <v>305169781</v>
      </c>
      <c r="J1009" s="55" t="s">
        <v>1889</v>
      </c>
      <c r="K1009" s="55" t="s">
        <v>1890</v>
      </c>
      <c r="L1009" s="53" t="s">
        <v>2107</v>
      </c>
      <c r="M1009" s="55" t="s">
        <v>75</v>
      </c>
      <c r="N1009" s="52">
        <v>150000</v>
      </c>
      <c r="O1009" s="52">
        <v>1810164000</v>
      </c>
      <c r="P1009" s="52">
        <v>1810164000</v>
      </c>
      <c r="Q1009" s="57">
        <v>45730</v>
      </c>
      <c r="R1009" s="57">
        <v>46277</v>
      </c>
      <c r="S1009" s="56">
        <v>13</v>
      </c>
      <c r="T1009" s="54">
        <v>6</v>
      </c>
      <c r="U1009" s="52">
        <v>1067421128.01</v>
      </c>
      <c r="V1009" s="52">
        <v>1067421128.01</v>
      </c>
      <c r="W1009" s="52">
        <v>0</v>
      </c>
      <c r="X1009" s="57"/>
      <c r="Y1009" s="52">
        <v>0</v>
      </c>
      <c r="Z1009" s="52">
        <v>0</v>
      </c>
      <c r="AA1009" s="52">
        <v>1</v>
      </c>
      <c r="AB1009" s="52">
        <v>0</v>
      </c>
      <c r="AC1009" s="52">
        <v>10407418.18</v>
      </c>
      <c r="AD1009" s="52">
        <v>10407418.18</v>
      </c>
      <c r="AE1009" s="52">
        <v>0</v>
      </c>
      <c r="AF1009" s="52">
        <v>0</v>
      </c>
      <c r="AG1009" s="52">
        <v>0</v>
      </c>
      <c r="AH1009" s="52">
        <v>0</v>
      </c>
      <c r="AI1009" s="52">
        <v>0</v>
      </c>
      <c r="AJ1009" s="52">
        <v>2</v>
      </c>
      <c r="AK1009" s="52"/>
      <c r="AL1009" s="52">
        <v>0</v>
      </c>
      <c r="AM1009" s="52">
        <v>0</v>
      </c>
      <c r="AN1009" s="52">
        <v>2378824500</v>
      </c>
      <c r="AO1009" s="52">
        <v>399036302447</v>
      </c>
      <c r="AP1009" s="52">
        <v>399036302447</v>
      </c>
      <c r="AQ1009" s="58">
        <v>0</v>
      </c>
      <c r="AR1009" s="58">
        <v>0</v>
      </c>
      <c r="AS1009" s="58">
        <v>0</v>
      </c>
      <c r="AT1009" s="58">
        <v>0</v>
      </c>
      <c r="AU1009" s="58">
        <v>389</v>
      </c>
      <c r="AV1009" s="58">
        <v>102800856.34</v>
      </c>
      <c r="AW1009" s="58">
        <v>12</v>
      </c>
      <c r="AX1009" s="58">
        <v>3462012.1199999996</v>
      </c>
    </row>
    <row r="1010" spans="1:50" x14ac:dyDescent="0.25">
      <c r="A1010" s="52">
        <f t="shared" si="47"/>
        <v>1005</v>
      </c>
      <c r="B1010" s="60" t="str">
        <f t="shared" si="46"/>
        <v>00973388633</v>
      </c>
      <c r="C1010" s="55" t="s">
        <v>38</v>
      </c>
      <c r="D1010" s="53" t="s">
        <v>2158</v>
      </c>
      <c r="E1010" s="55" t="s">
        <v>1851</v>
      </c>
      <c r="F1010" s="53" t="s">
        <v>2159</v>
      </c>
      <c r="G1010" s="55">
        <v>11853</v>
      </c>
      <c r="H1010" s="53" t="s">
        <v>2646</v>
      </c>
      <c r="I1010" s="55">
        <v>309432025</v>
      </c>
      <c r="J1010" s="55" t="s">
        <v>1891</v>
      </c>
      <c r="K1010" s="55" t="s">
        <v>1892</v>
      </c>
      <c r="L1010" s="53" t="s">
        <v>2107</v>
      </c>
      <c r="M1010" s="55" t="s">
        <v>49</v>
      </c>
      <c r="N1010" s="52">
        <v>1900000000</v>
      </c>
      <c r="O1010" s="52">
        <v>1900000000</v>
      </c>
      <c r="P1010" s="52">
        <v>1900000000</v>
      </c>
      <c r="Q1010" s="57">
        <v>45519</v>
      </c>
      <c r="R1010" s="57">
        <v>46613</v>
      </c>
      <c r="S1010" s="56">
        <v>30</v>
      </c>
      <c r="T1010" s="54">
        <v>0</v>
      </c>
      <c r="U1010" s="52">
        <v>1002777774</v>
      </c>
      <c r="V1010" s="52">
        <v>1002777774</v>
      </c>
      <c r="W1010" s="52">
        <v>0</v>
      </c>
      <c r="X1010" s="57"/>
      <c r="Y1010" s="52">
        <v>0</v>
      </c>
      <c r="Z1010" s="52">
        <v>0</v>
      </c>
      <c r="AA1010" s="52">
        <v>1</v>
      </c>
      <c r="AB1010" s="52">
        <v>0</v>
      </c>
      <c r="AC1010" s="52">
        <v>14011415.470000001</v>
      </c>
      <c r="AD1010" s="52">
        <v>14011415.470000001</v>
      </c>
      <c r="AE1010" s="52">
        <v>0</v>
      </c>
      <c r="AF1010" s="52">
        <v>0</v>
      </c>
      <c r="AG1010" s="52">
        <v>0</v>
      </c>
      <c r="AH1010" s="52">
        <v>0</v>
      </c>
      <c r="AI1010" s="52">
        <v>0</v>
      </c>
      <c r="AJ1010" s="52">
        <v>2</v>
      </c>
      <c r="AK1010" s="52"/>
      <c r="AL1010" s="52">
        <v>0</v>
      </c>
      <c r="AM1010" s="52">
        <v>0</v>
      </c>
      <c r="AN1010" s="52">
        <v>2375000000</v>
      </c>
      <c r="AO1010" s="52">
        <v>145624722908</v>
      </c>
      <c r="AP1010" s="52">
        <v>10223420457</v>
      </c>
      <c r="AQ1010" s="58">
        <v>1</v>
      </c>
      <c r="AR1010" s="58">
        <v>3100</v>
      </c>
      <c r="AS1010" s="58">
        <v>0</v>
      </c>
      <c r="AT1010" s="58">
        <v>0</v>
      </c>
      <c r="AU1010" s="58">
        <v>17</v>
      </c>
      <c r="AV1010" s="58">
        <v>401341.92000000004</v>
      </c>
      <c r="AW1010" s="58">
        <v>1</v>
      </c>
      <c r="AX1010" s="58">
        <v>55784</v>
      </c>
    </row>
    <row r="1011" spans="1:50" x14ac:dyDescent="0.25">
      <c r="A1011" s="52">
        <f t="shared" si="47"/>
        <v>1006</v>
      </c>
      <c r="B1011" s="60" t="str">
        <f t="shared" si="46"/>
        <v>00973375777</v>
      </c>
      <c r="C1011" s="55" t="s">
        <v>38</v>
      </c>
      <c r="D1011" s="53" t="s">
        <v>2158</v>
      </c>
      <c r="E1011" s="55" t="s">
        <v>1851</v>
      </c>
      <c r="F1011" s="53" t="s">
        <v>2159</v>
      </c>
      <c r="G1011" s="55">
        <v>11853</v>
      </c>
      <c r="H1011" s="53" t="s">
        <v>2647</v>
      </c>
      <c r="I1011" s="55">
        <v>308613385</v>
      </c>
      <c r="J1011" s="55" t="s">
        <v>1893</v>
      </c>
      <c r="K1011" s="55" t="s">
        <v>1894</v>
      </c>
      <c r="L1011" s="53" t="s">
        <v>2107</v>
      </c>
      <c r="M1011" s="55" t="s">
        <v>49</v>
      </c>
      <c r="N1011" s="52">
        <v>3506000000</v>
      </c>
      <c r="O1011" s="52">
        <v>3506000000</v>
      </c>
      <c r="P1011" s="52">
        <v>3506000000</v>
      </c>
      <c r="Q1011" s="57">
        <v>45224</v>
      </c>
      <c r="R1011" s="57">
        <v>46318</v>
      </c>
      <c r="S1011" s="56">
        <v>28</v>
      </c>
      <c r="T1011" s="54">
        <v>0</v>
      </c>
      <c r="U1011" s="52">
        <v>876499997</v>
      </c>
      <c r="V1011" s="52">
        <v>876499997</v>
      </c>
      <c r="W1011" s="52">
        <v>0</v>
      </c>
      <c r="X1011" s="57"/>
      <c r="Y1011" s="52">
        <v>0</v>
      </c>
      <c r="Z1011" s="52">
        <v>0</v>
      </c>
      <c r="AA1011" s="52">
        <v>1</v>
      </c>
      <c r="AB1011" s="52">
        <v>0</v>
      </c>
      <c r="AC1011" s="52">
        <v>18154356.100000001</v>
      </c>
      <c r="AD1011" s="52">
        <v>18154356.100000001</v>
      </c>
      <c r="AE1011" s="52">
        <v>0</v>
      </c>
      <c r="AF1011" s="52">
        <v>0</v>
      </c>
      <c r="AG1011" s="52">
        <v>0</v>
      </c>
      <c r="AH1011" s="52">
        <v>0</v>
      </c>
      <c r="AI1011" s="52">
        <v>0</v>
      </c>
      <c r="AJ1011" s="52">
        <v>2</v>
      </c>
      <c r="AK1011" s="52"/>
      <c r="AL1011" s="52">
        <v>0</v>
      </c>
      <c r="AM1011" s="52">
        <v>0</v>
      </c>
      <c r="AN1011" s="52">
        <v>4382500000</v>
      </c>
      <c r="AO1011" s="52">
        <v>241459757662</v>
      </c>
      <c r="AP1011" s="52">
        <v>241459757662</v>
      </c>
      <c r="AQ1011" s="58">
        <v>0</v>
      </c>
      <c r="AR1011" s="58">
        <v>0</v>
      </c>
      <c r="AS1011" s="58">
        <v>0</v>
      </c>
      <c r="AT1011" s="58">
        <v>0</v>
      </c>
      <c r="AU1011" s="58">
        <v>0</v>
      </c>
      <c r="AV1011" s="58">
        <v>0</v>
      </c>
      <c r="AW1011" s="58">
        <v>0</v>
      </c>
      <c r="AX1011" s="58">
        <v>0</v>
      </c>
    </row>
    <row r="1012" spans="1:50" x14ac:dyDescent="0.25">
      <c r="A1012" s="52">
        <f t="shared" si="47"/>
        <v>1007</v>
      </c>
      <c r="B1012" s="60" t="str">
        <f t="shared" si="46"/>
        <v>00973408206</v>
      </c>
      <c r="C1012" s="55" t="s">
        <v>38</v>
      </c>
      <c r="D1012" s="53" t="s">
        <v>2158</v>
      </c>
      <c r="E1012" s="55" t="s">
        <v>1851</v>
      </c>
      <c r="F1012" s="53" t="s">
        <v>2159</v>
      </c>
      <c r="G1012" s="55">
        <v>11853</v>
      </c>
      <c r="H1012" s="53" t="s">
        <v>2648</v>
      </c>
      <c r="I1012" s="55">
        <v>306021214</v>
      </c>
      <c r="J1012" s="55" t="s">
        <v>1895</v>
      </c>
      <c r="K1012" s="55" t="s">
        <v>1896</v>
      </c>
      <c r="L1012" s="53" t="s">
        <v>2107</v>
      </c>
      <c r="M1012" s="55" t="s">
        <v>75</v>
      </c>
      <c r="N1012" s="52">
        <v>100000</v>
      </c>
      <c r="O1012" s="52">
        <v>1206776000</v>
      </c>
      <c r="P1012" s="52">
        <v>7168926</v>
      </c>
      <c r="Q1012" s="57">
        <v>45902</v>
      </c>
      <c r="R1012" s="57">
        <v>46266</v>
      </c>
      <c r="S1012" s="56">
        <v>13</v>
      </c>
      <c r="T1012" s="54">
        <v>0</v>
      </c>
      <c r="U1012" s="52">
        <v>748915680.04999995</v>
      </c>
      <c r="V1012" s="52">
        <v>748915680.04999995</v>
      </c>
      <c r="W1012" s="52">
        <v>0</v>
      </c>
      <c r="X1012" s="57"/>
      <c r="Y1012" s="52">
        <v>0</v>
      </c>
      <c r="Z1012" s="52">
        <v>0</v>
      </c>
      <c r="AA1012" s="52">
        <v>1</v>
      </c>
      <c r="AB1012" s="52">
        <v>0</v>
      </c>
      <c r="AC1012" s="52">
        <v>4535503.3899999997</v>
      </c>
      <c r="AD1012" s="52">
        <v>4535503.3899999997</v>
      </c>
      <c r="AE1012" s="52">
        <v>0</v>
      </c>
      <c r="AF1012" s="52">
        <v>0</v>
      </c>
      <c r="AG1012" s="52">
        <v>0</v>
      </c>
      <c r="AH1012" s="52">
        <v>0</v>
      </c>
      <c r="AI1012" s="52">
        <v>0</v>
      </c>
      <c r="AJ1012" s="52">
        <v>2</v>
      </c>
      <c r="AK1012" s="52"/>
      <c r="AL1012" s="52">
        <v>0</v>
      </c>
      <c r="AM1012" s="52">
        <v>0</v>
      </c>
      <c r="AN1012" s="52">
        <v>158588300000</v>
      </c>
      <c r="AO1012" s="52">
        <v>35867171665.900002</v>
      </c>
      <c r="AP1012" s="52">
        <v>35867171665.900002</v>
      </c>
      <c r="AQ1012" s="58">
        <v>24</v>
      </c>
      <c r="AR1012" s="58">
        <v>1964274.73</v>
      </c>
      <c r="AS1012" s="58">
        <v>8</v>
      </c>
      <c r="AT1012" s="58">
        <v>480067.27</v>
      </c>
      <c r="AU1012" s="58">
        <v>41</v>
      </c>
      <c r="AV1012" s="58">
        <v>3230700.0200000005</v>
      </c>
      <c r="AW1012" s="58">
        <v>61</v>
      </c>
      <c r="AX1012" s="58">
        <v>5385914.0899999999</v>
      </c>
    </row>
    <row r="1013" spans="1:50" x14ac:dyDescent="0.25">
      <c r="A1013" s="52">
        <f t="shared" si="47"/>
        <v>1008</v>
      </c>
      <c r="B1013" s="60" t="str">
        <f t="shared" si="46"/>
        <v>00973402697</v>
      </c>
      <c r="C1013" s="55" t="s">
        <v>38</v>
      </c>
      <c r="D1013" s="53" t="s">
        <v>2158</v>
      </c>
      <c r="E1013" s="55" t="s">
        <v>1851</v>
      </c>
      <c r="F1013" s="53" t="s">
        <v>2159</v>
      </c>
      <c r="G1013" s="55">
        <v>11853</v>
      </c>
      <c r="H1013" s="53" t="s">
        <v>1870</v>
      </c>
      <c r="I1013" s="55">
        <v>302121021</v>
      </c>
      <c r="J1013" s="55" t="s">
        <v>1897</v>
      </c>
      <c r="K1013" s="55" t="s">
        <v>1898</v>
      </c>
      <c r="L1013" s="53" t="s">
        <v>2107</v>
      </c>
      <c r="M1013" s="55" t="s">
        <v>49</v>
      </c>
      <c r="N1013" s="52">
        <v>2500000000</v>
      </c>
      <c r="O1013" s="52">
        <v>2500000000</v>
      </c>
      <c r="P1013" s="52">
        <v>2485018994.8699999</v>
      </c>
      <c r="Q1013" s="57">
        <v>45799</v>
      </c>
      <c r="R1013" s="57">
        <v>46163</v>
      </c>
      <c r="S1013" s="56">
        <v>30</v>
      </c>
      <c r="T1013" s="54">
        <v>6</v>
      </c>
      <c r="U1013" s="52">
        <v>523000000</v>
      </c>
      <c r="V1013" s="52">
        <v>523000000</v>
      </c>
      <c r="W1013" s="52">
        <v>0</v>
      </c>
      <c r="X1013" s="57"/>
      <c r="Y1013" s="52">
        <v>0</v>
      </c>
      <c r="Z1013" s="52">
        <v>0</v>
      </c>
      <c r="AA1013" s="52">
        <v>1</v>
      </c>
      <c r="AB1013" s="52">
        <v>0</v>
      </c>
      <c r="AC1013" s="52">
        <v>18353424.66</v>
      </c>
      <c r="AD1013" s="52">
        <v>18353424.66</v>
      </c>
      <c r="AE1013" s="52">
        <v>0</v>
      </c>
      <c r="AF1013" s="52">
        <v>0</v>
      </c>
      <c r="AG1013" s="52">
        <v>0</v>
      </c>
      <c r="AH1013" s="52">
        <v>0</v>
      </c>
      <c r="AI1013" s="52">
        <v>0</v>
      </c>
      <c r="AJ1013" s="52">
        <v>2</v>
      </c>
      <c r="AK1013" s="52"/>
      <c r="AL1013" s="52">
        <v>0</v>
      </c>
      <c r="AM1013" s="52">
        <v>0</v>
      </c>
      <c r="AN1013" s="52">
        <v>3125000000</v>
      </c>
      <c r="AO1013" s="52">
        <v>1418972750742</v>
      </c>
      <c r="AP1013" s="52">
        <v>1418972750742</v>
      </c>
      <c r="AQ1013" s="58">
        <v>47</v>
      </c>
      <c r="AR1013" s="58">
        <v>658857.55999999994</v>
      </c>
      <c r="AS1013" s="58">
        <v>21</v>
      </c>
      <c r="AT1013" s="58">
        <v>248322.7</v>
      </c>
      <c r="AU1013" s="58">
        <v>434</v>
      </c>
      <c r="AV1013" s="58">
        <v>4456467.71</v>
      </c>
      <c r="AW1013" s="58">
        <v>98</v>
      </c>
      <c r="AX1013" s="58">
        <v>1012671.9999999999</v>
      </c>
    </row>
    <row r="1014" spans="1:50" x14ac:dyDescent="0.25">
      <c r="A1014" s="52">
        <f t="shared" si="47"/>
        <v>1009</v>
      </c>
      <c r="B1014" s="60" t="str">
        <f t="shared" si="46"/>
        <v>00973403264</v>
      </c>
      <c r="C1014" s="55" t="s">
        <v>38</v>
      </c>
      <c r="D1014" s="53" t="s">
        <v>2158</v>
      </c>
      <c r="E1014" s="55" t="s">
        <v>1851</v>
      </c>
      <c r="F1014" s="53" t="s">
        <v>2159</v>
      </c>
      <c r="G1014" s="55">
        <v>11853</v>
      </c>
      <c r="H1014" s="53" t="s">
        <v>1877</v>
      </c>
      <c r="I1014" s="55">
        <v>303917604</v>
      </c>
      <c r="J1014" s="55" t="s">
        <v>1899</v>
      </c>
      <c r="K1014" s="55" t="s">
        <v>1900</v>
      </c>
      <c r="L1014" s="53" t="s">
        <v>2107</v>
      </c>
      <c r="M1014" s="55" t="s">
        <v>49</v>
      </c>
      <c r="N1014" s="52">
        <v>820000000</v>
      </c>
      <c r="O1014" s="52">
        <v>820000000</v>
      </c>
      <c r="P1014" s="52">
        <v>820000000</v>
      </c>
      <c r="Q1014" s="57">
        <v>45813</v>
      </c>
      <c r="R1014" s="57">
        <v>46908</v>
      </c>
      <c r="S1014" s="56">
        <v>30</v>
      </c>
      <c r="T1014" s="54">
        <v>0</v>
      </c>
      <c r="U1014" s="52">
        <v>352708697.95999998</v>
      </c>
      <c r="V1014" s="52">
        <v>352708697.95999998</v>
      </c>
      <c r="W1014" s="52">
        <v>0</v>
      </c>
      <c r="X1014" s="57"/>
      <c r="Y1014" s="52">
        <v>0</v>
      </c>
      <c r="Z1014" s="52">
        <v>0</v>
      </c>
      <c r="AA1014" s="52">
        <v>1</v>
      </c>
      <c r="AB1014" s="52">
        <v>0</v>
      </c>
      <c r="AC1014" s="52">
        <v>10490247.82</v>
      </c>
      <c r="AD1014" s="52">
        <v>10490247.82</v>
      </c>
      <c r="AE1014" s="52">
        <v>0</v>
      </c>
      <c r="AF1014" s="52">
        <v>0</v>
      </c>
      <c r="AG1014" s="52">
        <v>0</v>
      </c>
      <c r="AH1014" s="52">
        <v>0</v>
      </c>
      <c r="AI1014" s="52">
        <v>0</v>
      </c>
      <c r="AJ1014" s="52">
        <v>2</v>
      </c>
      <c r="AK1014" s="52"/>
      <c r="AL1014" s="52">
        <v>0</v>
      </c>
      <c r="AM1014" s="52">
        <v>0</v>
      </c>
      <c r="AN1014" s="52">
        <v>1025000000</v>
      </c>
      <c r="AO1014" s="52">
        <v>14270660679</v>
      </c>
      <c r="AP1014" s="52">
        <v>14270660679</v>
      </c>
      <c r="AQ1014" s="58">
        <v>0</v>
      </c>
      <c r="AR1014" s="58">
        <v>0</v>
      </c>
      <c r="AS1014" s="58">
        <v>0</v>
      </c>
      <c r="AT1014" s="58">
        <v>0</v>
      </c>
      <c r="AU1014" s="58">
        <v>11</v>
      </c>
      <c r="AV1014" s="58">
        <v>257000</v>
      </c>
      <c r="AW1014" s="58">
        <v>0</v>
      </c>
      <c r="AX1014" s="58">
        <v>0</v>
      </c>
    </row>
    <row r="1015" spans="1:50" x14ac:dyDescent="0.25">
      <c r="A1015" s="52">
        <f t="shared" si="47"/>
        <v>1010</v>
      </c>
      <c r="B1015" s="60" t="str">
        <f t="shared" si="46"/>
        <v>00973387797</v>
      </c>
      <c r="C1015" s="55" t="s">
        <v>38</v>
      </c>
      <c r="D1015" s="53" t="s">
        <v>2158</v>
      </c>
      <c r="E1015" s="55" t="s">
        <v>1851</v>
      </c>
      <c r="F1015" s="53" t="s">
        <v>2159</v>
      </c>
      <c r="G1015" s="55">
        <v>11853</v>
      </c>
      <c r="H1015" s="53" t="s">
        <v>1870</v>
      </c>
      <c r="I1015" s="55">
        <v>302121021</v>
      </c>
      <c r="J1015" s="55" t="s">
        <v>1901</v>
      </c>
      <c r="K1015" s="55" t="s">
        <v>1902</v>
      </c>
      <c r="L1015" s="53" t="s">
        <v>2107</v>
      </c>
      <c r="M1015" s="55" t="s">
        <v>49</v>
      </c>
      <c r="N1015" s="52">
        <v>458000000</v>
      </c>
      <c r="O1015" s="52">
        <v>458000000</v>
      </c>
      <c r="P1015" s="52">
        <v>458000000</v>
      </c>
      <c r="Q1015" s="57">
        <v>45497</v>
      </c>
      <c r="R1015" s="57">
        <v>46590</v>
      </c>
      <c r="S1015" s="56">
        <v>30</v>
      </c>
      <c r="T1015" s="54">
        <v>0</v>
      </c>
      <c r="U1015" s="52">
        <v>229000004</v>
      </c>
      <c r="V1015" s="52">
        <v>229000004</v>
      </c>
      <c r="W1015" s="52">
        <v>0</v>
      </c>
      <c r="X1015" s="57"/>
      <c r="Y1015" s="52">
        <v>0</v>
      </c>
      <c r="Z1015" s="52">
        <v>0</v>
      </c>
      <c r="AA1015" s="52">
        <v>1</v>
      </c>
      <c r="AB1015" s="52">
        <v>0</v>
      </c>
      <c r="AC1015" s="52">
        <v>5081917.9000000004</v>
      </c>
      <c r="AD1015" s="52">
        <v>5081917.9000000004</v>
      </c>
      <c r="AE1015" s="52">
        <v>0</v>
      </c>
      <c r="AF1015" s="52">
        <v>0</v>
      </c>
      <c r="AG1015" s="52">
        <v>0</v>
      </c>
      <c r="AH1015" s="52">
        <v>0</v>
      </c>
      <c r="AI1015" s="52">
        <v>0</v>
      </c>
      <c r="AJ1015" s="52">
        <v>2</v>
      </c>
      <c r="AK1015" s="52"/>
      <c r="AL1015" s="52">
        <v>0</v>
      </c>
      <c r="AM1015" s="52">
        <v>0</v>
      </c>
      <c r="AN1015" s="52">
        <v>572500000</v>
      </c>
      <c r="AO1015" s="52">
        <v>4435085350296</v>
      </c>
      <c r="AP1015" s="52">
        <v>4435085350296</v>
      </c>
      <c r="AQ1015" s="58">
        <v>47</v>
      </c>
      <c r="AR1015" s="58">
        <v>658857.55999999994</v>
      </c>
      <c r="AS1015" s="58">
        <v>21</v>
      </c>
      <c r="AT1015" s="58">
        <v>248322.7</v>
      </c>
      <c r="AU1015" s="58">
        <v>434</v>
      </c>
      <c r="AV1015" s="58">
        <v>4456467.71</v>
      </c>
      <c r="AW1015" s="58">
        <v>98</v>
      </c>
      <c r="AX1015" s="58">
        <v>1012671.9999999999</v>
      </c>
    </row>
    <row r="1016" spans="1:50" x14ac:dyDescent="0.25">
      <c r="A1016" s="52">
        <f t="shared" si="47"/>
        <v>1011</v>
      </c>
      <c r="B1016" s="60" t="str">
        <f t="shared" si="46"/>
        <v>00973406272</v>
      </c>
      <c r="C1016" s="55" t="s">
        <v>38</v>
      </c>
      <c r="D1016" s="53" t="s">
        <v>2158</v>
      </c>
      <c r="E1016" s="55" t="s">
        <v>1851</v>
      </c>
      <c r="F1016" s="53" t="s">
        <v>2159</v>
      </c>
      <c r="G1016" s="55">
        <v>11853</v>
      </c>
      <c r="H1016" s="53" t="s">
        <v>1860</v>
      </c>
      <c r="I1016" s="55">
        <v>207141653</v>
      </c>
      <c r="J1016" s="55" t="s">
        <v>1903</v>
      </c>
      <c r="K1016" s="55" t="s">
        <v>1904</v>
      </c>
      <c r="L1016" s="53" t="s">
        <v>2107</v>
      </c>
      <c r="M1016" s="55" t="s">
        <v>49</v>
      </c>
      <c r="N1016" s="52">
        <v>225767000</v>
      </c>
      <c r="O1016" s="52">
        <v>225767000</v>
      </c>
      <c r="P1016" s="52">
        <v>225767000</v>
      </c>
      <c r="Q1016" s="57">
        <v>45874</v>
      </c>
      <c r="R1016" s="57">
        <v>46876</v>
      </c>
      <c r="S1016" s="56">
        <v>30</v>
      </c>
      <c r="T1016" s="54">
        <v>4</v>
      </c>
      <c r="U1016" s="52">
        <v>191559880</v>
      </c>
      <c r="V1016" s="52">
        <v>191559880</v>
      </c>
      <c r="W1016" s="52">
        <v>0</v>
      </c>
      <c r="X1016" s="57"/>
      <c r="Y1016" s="52">
        <v>0</v>
      </c>
      <c r="Z1016" s="52">
        <v>0</v>
      </c>
      <c r="AA1016" s="52">
        <v>1</v>
      </c>
      <c r="AB1016" s="52">
        <v>0</v>
      </c>
      <c r="AC1016" s="52">
        <v>4251054.87</v>
      </c>
      <c r="AD1016" s="52">
        <v>4251054.87</v>
      </c>
      <c r="AE1016" s="52">
        <v>0</v>
      </c>
      <c r="AF1016" s="52">
        <v>0</v>
      </c>
      <c r="AG1016" s="52">
        <v>0</v>
      </c>
      <c r="AH1016" s="52">
        <v>0</v>
      </c>
      <c r="AI1016" s="52">
        <v>0</v>
      </c>
      <c r="AJ1016" s="52">
        <v>2</v>
      </c>
      <c r="AK1016" s="52"/>
      <c r="AL1016" s="52">
        <v>0</v>
      </c>
      <c r="AM1016" s="52">
        <v>0</v>
      </c>
      <c r="AN1016" s="52">
        <v>282208750</v>
      </c>
      <c r="AO1016" s="52">
        <v>292980432642</v>
      </c>
      <c r="AP1016" s="52">
        <v>292980432642</v>
      </c>
      <c r="AQ1016" s="58">
        <v>0</v>
      </c>
      <c r="AR1016" s="58">
        <v>0</v>
      </c>
      <c r="AS1016" s="58">
        <v>0</v>
      </c>
      <c r="AT1016" s="58">
        <v>0</v>
      </c>
      <c r="AU1016" s="58">
        <v>17</v>
      </c>
      <c r="AV1016" s="58">
        <v>360400</v>
      </c>
      <c r="AW1016" s="58">
        <v>9</v>
      </c>
      <c r="AX1016" s="58">
        <v>47618783.980000004</v>
      </c>
    </row>
    <row r="1017" spans="1:50" x14ac:dyDescent="0.25">
      <c r="A1017" s="52">
        <f t="shared" si="47"/>
        <v>1012</v>
      </c>
      <c r="B1017" s="60" t="str">
        <f t="shared" si="46"/>
        <v>0105644517</v>
      </c>
      <c r="C1017" s="55" t="s">
        <v>39</v>
      </c>
      <c r="D1017" s="53" t="s">
        <v>2160</v>
      </c>
      <c r="E1017" s="55" t="str">
        <f t="shared" ref="E1017:E1059" si="48">+G1017</f>
        <v>01056</v>
      </c>
      <c r="F1017" s="53" t="s">
        <v>2161</v>
      </c>
      <c r="G1017" s="55" t="s">
        <v>19</v>
      </c>
      <c r="H1017" s="53" t="s">
        <v>1905</v>
      </c>
      <c r="I1017" s="55">
        <v>204651661</v>
      </c>
      <c r="J1017" s="55" t="s">
        <v>1906</v>
      </c>
      <c r="K1017" s="55" t="s">
        <v>1907</v>
      </c>
      <c r="L1017" s="53" t="s">
        <v>2045</v>
      </c>
      <c r="M1017" s="55" t="s">
        <v>75</v>
      </c>
      <c r="N1017" s="52">
        <v>8000000</v>
      </c>
      <c r="O1017" s="52">
        <v>96542080000</v>
      </c>
      <c r="P1017" s="52">
        <v>8000000</v>
      </c>
      <c r="Q1017" s="57">
        <v>45422</v>
      </c>
      <c r="R1017" s="57">
        <v>47973</v>
      </c>
      <c r="S1017" s="56">
        <v>11</v>
      </c>
      <c r="T1017" s="54">
        <v>36</v>
      </c>
      <c r="U1017" s="52">
        <v>97592800000.009995</v>
      </c>
      <c r="V1017" s="52">
        <v>97592800000.009995</v>
      </c>
      <c r="W1017" s="52">
        <v>0</v>
      </c>
      <c r="X1017" s="57"/>
      <c r="Y1017" s="52">
        <v>0</v>
      </c>
      <c r="Z1017" s="52">
        <v>0</v>
      </c>
      <c r="AA1017" s="52">
        <v>1</v>
      </c>
      <c r="AB1017" s="52">
        <v>0</v>
      </c>
      <c r="AC1017" s="52">
        <v>2624161942.0009999</v>
      </c>
      <c r="AD1017" s="52">
        <v>2624161942.0009999</v>
      </c>
      <c r="AE1017" s="52">
        <v>0</v>
      </c>
      <c r="AF1017" s="52">
        <v>0</v>
      </c>
      <c r="AG1017" s="52">
        <v>0</v>
      </c>
      <c r="AH1017" s="52">
        <v>0</v>
      </c>
      <c r="AI1017" s="52">
        <v>0</v>
      </c>
      <c r="AJ1017" s="52">
        <v>2</v>
      </c>
      <c r="AK1017" s="52"/>
      <c r="AL1017" s="52">
        <v>0</v>
      </c>
      <c r="AM1017" s="52">
        <v>0</v>
      </c>
      <c r="AN1017" s="52">
        <v>10000000</v>
      </c>
      <c r="AO1017" s="52">
        <v>69833305838975</v>
      </c>
      <c r="AP1017" s="52">
        <v>0</v>
      </c>
      <c r="AQ1017" s="58">
        <v>6108</v>
      </c>
      <c r="AR1017" s="58">
        <v>553469645.24999726</v>
      </c>
      <c r="AS1017" s="58">
        <v>952</v>
      </c>
      <c r="AT1017" s="58">
        <v>100830996.6700002</v>
      </c>
      <c r="AU1017" s="58">
        <v>1044</v>
      </c>
      <c r="AV1017" s="58">
        <v>76641265.120000049</v>
      </c>
      <c r="AW1017" s="58">
        <v>155</v>
      </c>
      <c r="AX1017" s="58">
        <v>41087227.519999996</v>
      </c>
    </row>
    <row r="1018" spans="1:50" x14ac:dyDescent="0.25">
      <c r="A1018" s="52">
        <f t="shared" si="47"/>
        <v>1013</v>
      </c>
      <c r="B1018" s="60" t="str">
        <f t="shared" si="46"/>
        <v>0105644659</v>
      </c>
      <c r="C1018" s="55" t="s">
        <v>39</v>
      </c>
      <c r="D1018" s="53" t="s">
        <v>2160</v>
      </c>
      <c r="E1018" s="55" t="str">
        <f t="shared" si="48"/>
        <v>01056</v>
      </c>
      <c r="F1018" s="53" t="s">
        <v>2161</v>
      </c>
      <c r="G1018" s="55" t="s">
        <v>19</v>
      </c>
      <c r="H1018" s="53" t="s">
        <v>1905</v>
      </c>
      <c r="I1018" s="55">
        <v>204651661</v>
      </c>
      <c r="J1018" s="55" t="s">
        <v>1908</v>
      </c>
      <c r="K1018" s="55" t="s">
        <v>1909</v>
      </c>
      <c r="L1018" s="53" t="s">
        <v>2045</v>
      </c>
      <c r="M1018" s="55" t="s">
        <v>75</v>
      </c>
      <c r="N1018" s="52">
        <v>7700000</v>
      </c>
      <c r="O1018" s="52">
        <v>92921752000</v>
      </c>
      <c r="P1018" s="52">
        <v>7700000</v>
      </c>
      <c r="Q1018" s="57">
        <v>45554</v>
      </c>
      <c r="R1018" s="57">
        <v>48106</v>
      </c>
      <c r="S1018" s="56">
        <v>11</v>
      </c>
      <c r="T1018" s="54">
        <v>36</v>
      </c>
      <c r="U1018" s="52">
        <v>93469504200.009995</v>
      </c>
      <c r="V1018" s="52">
        <v>93469504200.009995</v>
      </c>
      <c r="W1018" s="52">
        <v>0</v>
      </c>
      <c r="X1018" s="57"/>
      <c r="Y1018" s="52">
        <v>0</v>
      </c>
      <c r="Z1018" s="52">
        <v>0</v>
      </c>
      <c r="AA1018" s="52">
        <v>1</v>
      </c>
      <c r="AB1018" s="52">
        <v>0</v>
      </c>
      <c r="AC1018" s="52">
        <v>1370886061.5999999</v>
      </c>
      <c r="AD1018" s="52">
        <v>1370886061.5999999</v>
      </c>
      <c r="AE1018" s="52">
        <v>0</v>
      </c>
      <c r="AF1018" s="52">
        <v>0</v>
      </c>
      <c r="AG1018" s="52">
        <v>0</v>
      </c>
      <c r="AH1018" s="52">
        <v>0</v>
      </c>
      <c r="AI1018" s="52">
        <v>0</v>
      </c>
      <c r="AJ1018" s="52">
        <v>2</v>
      </c>
      <c r="AK1018" s="52"/>
      <c r="AL1018" s="52">
        <v>0</v>
      </c>
      <c r="AM1018" s="52">
        <v>0</v>
      </c>
      <c r="AN1018" s="52">
        <v>9625000</v>
      </c>
      <c r="AO1018" s="52">
        <v>63119428851844</v>
      </c>
      <c r="AP1018" s="52">
        <v>0</v>
      </c>
      <c r="AQ1018" s="58">
        <v>6108</v>
      </c>
      <c r="AR1018" s="58">
        <v>553469645.24999726</v>
      </c>
      <c r="AS1018" s="58">
        <v>952</v>
      </c>
      <c r="AT1018" s="58">
        <v>100830996.6700002</v>
      </c>
      <c r="AU1018" s="58">
        <v>1044</v>
      </c>
      <c r="AV1018" s="58">
        <v>76641265.120000049</v>
      </c>
      <c r="AW1018" s="58">
        <v>155</v>
      </c>
      <c r="AX1018" s="58">
        <v>41087227.519999996</v>
      </c>
    </row>
    <row r="1019" spans="1:50" x14ac:dyDescent="0.25">
      <c r="A1019" s="52">
        <f t="shared" si="47"/>
        <v>1014</v>
      </c>
      <c r="B1019" s="60" t="str">
        <f t="shared" si="46"/>
        <v>0105644231</v>
      </c>
      <c r="C1019" s="55" t="s">
        <v>39</v>
      </c>
      <c r="D1019" s="53" t="s">
        <v>2160</v>
      </c>
      <c r="E1019" s="55" t="str">
        <f t="shared" si="48"/>
        <v>01056</v>
      </c>
      <c r="F1019" s="53" t="s">
        <v>2161</v>
      </c>
      <c r="G1019" s="55" t="s">
        <v>19</v>
      </c>
      <c r="H1019" s="53" t="s">
        <v>2649</v>
      </c>
      <c r="I1019" s="55">
        <v>303452614</v>
      </c>
      <c r="J1019" s="55" t="s">
        <v>1910</v>
      </c>
      <c r="K1019" s="55" t="s">
        <v>1911</v>
      </c>
      <c r="L1019" s="53" t="s">
        <v>2054</v>
      </c>
      <c r="M1019" s="55" t="s">
        <v>49</v>
      </c>
      <c r="N1019" s="52">
        <v>10000000000</v>
      </c>
      <c r="O1019" s="52">
        <v>10000000000</v>
      </c>
      <c r="P1019" s="52">
        <v>10000000000</v>
      </c>
      <c r="Q1019" s="57">
        <v>45286</v>
      </c>
      <c r="R1019" s="57">
        <v>47827</v>
      </c>
      <c r="S1019" s="56">
        <v>14</v>
      </c>
      <c r="T1019" s="54">
        <v>3</v>
      </c>
      <c r="U1019" s="52">
        <v>9833333333.3400002</v>
      </c>
      <c r="V1019" s="52">
        <v>9833333333.3400002</v>
      </c>
      <c r="W1019" s="52">
        <v>0</v>
      </c>
      <c r="X1019" s="57"/>
      <c r="Y1019" s="52">
        <v>0</v>
      </c>
      <c r="Z1019" s="52">
        <v>0</v>
      </c>
      <c r="AA1019" s="52">
        <v>1</v>
      </c>
      <c r="AB1019" s="52">
        <v>0</v>
      </c>
      <c r="AC1019" s="52">
        <v>235470319.63</v>
      </c>
      <c r="AD1019" s="52">
        <v>75433789.959999993</v>
      </c>
      <c r="AE1019" s="52">
        <v>0</v>
      </c>
      <c r="AF1019" s="52">
        <v>0</v>
      </c>
      <c r="AG1019" s="52">
        <v>160036529.66999999</v>
      </c>
      <c r="AH1019" s="52">
        <v>0</v>
      </c>
      <c r="AI1019" s="52">
        <v>0</v>
      </c>
      <c r="AJ1019" s="52">
        <v>2</v>
      </c>
      <c r="AK1019" s="52"/>
      <c r="AL1019" s="52">
        <v>42458570629</v>
      </c>
      <c r="AM1019" s="52">
        <v>11506849315</v>
      </c>
      <c r="AN1019" s="52">
        <v>12500000000</v>
      </c>
      <c r="AO1019" s="52">
        <v>1256255265</v>
      </c>
      <c r="AP1019" s="52">
        <v>0</v>
      </c>
      <c r="AQ1019" s="58">
        <v>0</v>
      </c>
      <c r="AR1019" s="58">
        <v>0</v>
      </c>
      <c r="AS1019" s="58">
        <v>0</v>
      </c>
      <c r="AT1019" s="58">
        <v>0</v>
      </c>
      <c r="AU1019" s="58">
        <v>0</v>
      </c>
      <c r="AV1019" s="58">
        <v>0</v>
      </c>
      <c r="AW1019" s="58">
        <v>0</v>
      </c>
      <c r="AX1019" s="58">
        <v>0</v>
      </c>
    </row>
    <row r="1020" spans="1:50" x14ac:dyDescent="0.25">
      <c r="A1020" s="52">
        <f t="shared" si="47"/>
        <v>1015</v>
      </c>
      <c r="B1020" s="60" t="str">
        <f t="shared" ref="B1020:B1059" si="49">+E1020&amp;J1020</f>
        <v>0105644992</v>
      </c>
      <c r="C1020" s="55" t="s">
        <v>39</v>
      </c>
      <c r="D1020" s="53" t="s">
        <v>2160</v>
      </c>
      <c r="E1020" s="55" t="str">
        <f t="shared" si="48"/>
        <v>01056</v>
      </c>
      <c r="F1020" s="53" t="s">
        <v>2161</v>
      </c>
      <c r="G1020" s="55" t="s">
        <v>19</v>
      </c>
      <c r="H1020" s="53" t="s">
        <v>1912</v>
      </c>
      <c r="I1020" s="55">
        <v>309436272</v>
      </c>
      <c r="J1020" s="55" t="s">
        <v>1913</v>
      </c>
      <c r="K1020" s="55" t="s">
        <v>1914</v>
      </c>
      <c r="L1020" s="53" t="s">
        <v>2054</v>
      </c>
      <c r="M1020" s="55" t="s">
        <v>49</v>
      </c>
      <c r="N1020" s="52">
        <v>3000000000</v>
      </c>
      <c r="O1020" s="52">
        <v>3000000000</v>
      </c>
      <c r="P1020" s="52">
        <v>3000000000</v>
      </c>
      <c r="Q1020" s="57">
        <v>45785</v>
      </c>
      <c r="R1020" s="57">
        <v>46879</v>
      </c>
      <c r="S1020" s="56">
        <v>23.99</v>
      </c>
      <c r="T1020" s="54">
        <v>0</v>
      </c>
      <c r="U1020" s="52">
        <v>2416666666.6900001</v>
      </c>
      <c r="V1020" s="52">
        <v>2333333333.3600001</v>
      </c>
      <c r="W1020" s="52">
        <v>83333333.329999998</v>
      </c>
      <c r="X1020" s="57">
        <v>46034</v>
      </c>
      <c r="Y1020" s="52">
        <v>0</v>
      </c>
      <c r="Z1020" s="52">
        <v>0</v>
      </c>
      <c r="AA1020" s="52">
        <v>1</v>
      </c>
      <c r="AB1020" s="52">
        <v>0</v>
      </c>
      <c r="AC1020" s="52">
        <v>72296797.870000005</v>
      </c>
      <c r="AD1020" s="52">
        <v>30672146.120000001</v>
      </c>
      <c r="AE1020" s="52">
        <v>0</v>
      </c>
      <c r="AF1020" s="52">
        <v>0</v>
      </c>
      <c r="AG1020" s="52">
        <v>41624651.75</v>
      </c>
      <c r="AH1020" s="52">
        <v>0</v>
      </c>
      <c r="AI1020" s="52">
        <v>0</v>
      </c>
      <c r="AJ1020" s="52">
        <v>2</v>
      </c>
      <c r="AK1020" s="52"/>
      <c r="AL1020" s="52">
        <v>13730101505</v>
      </c>
      <c r="AM1020" s="52">
        <v>13729841505</v>
      </c>
      <c r="AN1020" s="52">
        <v>3750000000</v>
      </c>
      <c r="AO1020" s="52">
        <v>1500256987</v>
      </c>
      <c r="AP1020" s="52">
        <v>0</v>
      </c>
      <c r="AQ1020" s="58">
        <v>0</v>
      </c>
      <c r="AR1020" s="58">
        <v>0</v>
      </c>
      <c r="AS1020" s="58">
        <v>0</v>
      </c>
      <c r="AT1020" s="58">
        <v>0</v>
      </c>
      <c r="AU1020" s="58">
        <v>0</v>
      </c>
      <c r="AV1020" s="58">
        <v>0</v>
      </c>
      <c r="AW1020" s="58">
        <v>0</v>
      </c>
      <c r="AX1020" s="58">
        <v>0</v>
      </c>
    </row>
    <row r="1021" spans="1:50" x14ac:dyDescent="0.25">
      <c r="A1021" s="52">
        <f t="shared" si="47"/>
        <v>1016</v>
      </c>
      <c r="B1021" s="60" t="str">
        <f t="shared" si="49"/>
        <v>0105644607</v>
      </c>
      <c r="C1021" s="55" t="s">
        <v>39</v>
      </c>
      <c r="D1021" s="53" t="s">
        <v>2160</v>
      </c>
      <c r="E1021" s="55" t="str">
        <f t="shared" si="48"/>
        <v>01056</v>
      </c>
      <c r="F1021" s="53" t="s">
        <v>2161</v>
      </c>
      <c r="G1021" s="55" t="s">
        <v>19</v>
      </c>
      <c r="H1021" s="53" t="s">
        <v>1915</v>
      </c>
      <c r="I1021" s="55">
        <v>310377214</v>
      </c>
      <c r="J1021" s="55" t="s">
        <v>1916</v>
      </c>
      <c r="K1021" s="55" t="s">
        <v>1917</v>
      </c>
      <c r="L1021" s="53" t="s">
        <v>2054</v>
      </c>
      <c r="M1021" s="55" t="s">
        <v>49</v>
      </c>
      <c r="N1021" s="52">
        <v>3000000000</v>
      </c>
      <c r="O1021" s="52">
        <v>3000000000</v>
      </c>
      <c r="P1021" s="52">
        <v>3000000000</v>
      </c>
      <c r="Q1021" s="57">
        <v>45503</v>
      </c>
      <c r="R1021" s="57">
        <v>46578</v>
      </c>
      <c r="S1021" s="56">
        <v>27.99</v>
      </c>
      <c r="T1021" s="54">
        <v>0</v>
      </c>
      <c r="U1021" s="52">
        <v>1823776304.3800001</v>
      </c>
      <c r="V1021" s="52">
        <v>1745844557.46</v>
      </c>
      <c r="W1021" s="52">
        <v>77931746.920000002</v>
      </c>
      <c r="X1021" s="57">
        <v>46034</v>
      </c>
      <c r="Y1021" s="52">
        <v>0</v>
      </c>
      <c r="Z1021" s="52">
        <v>0</v>
      </c>
      <c r="AA1021" s="52">
        <v>1</v>
      </c>
      <c r="AB1021" s="52">
        <v>0</v>
      </c>
      <c r="AC1021" s="52">
        <v>74721384.390000001</v>
      </c>
      <c r="AD1021" s="52">
        <v>26775994.059999999</v>
      </c>
      <c r="AE1021" s="52">
        <v>0</v>
      </c>
      <c r="AF1021" s="52">
        <v>0</v>
      </c>
      <c r="AG1021" s="52">
        <v>47945390.329999998</v>
      </c>
      <c r="AH1021" s="52">
        <v>0</v>
      </c>
      <c r="AI1021" s="52">
        <v>0</v>
      </c>
      <c r="AJ1021" s="52">
        <v>2</v>
      </c>
      <c r="AK1021" s="52"/>
      <c r="AL1021" s="52">
        <v>12526215564</v>
      </c>
      <c r="AM1021" s="52">
        <v>12495975447</v>
      </c>
      <c r="AN1021" s="52">
        <v>3750000000</v>
      </c>
      <c r="AO1021" s="52">
        <v>202565478</v>
      </c>
      <c r="AP1021" s="52">
        <v>0</v>
      </c>
      <c r="AQ1021" s="58">
        <v>0</v>
      </c>
      <c r="AR1021" s="58">
        <v>0</v>
      </c>
      <c r="AS1021" s="58">
        <v>0</v>
      </c>
      <c r="AT1021" s="58">
        <v>0</v>
      </c>
      <c r="AU1021" s="58">
        <v>88</v>
      </c>
      <c r="AV1021" s="58">
        <v>4312222.1900000004</v>
      </c>
      <c r="AW1021" s="58">
        <v>1</v>
      </c>
      <c r="AX1021" s="58">
        <v>26951</v>
      </c>
    </row>
    <row r="1022" spans="1:50" x14ac:dyDescent="0.25">
      <c r="A1022" s="52">
        <f t="shared" si="47"/>
        <v>1017</v>
      </c>
      <c r="B1022" s="60" t="str">
        <f t="shared" si="49"/>
        <v>0105644901</v>
      </c>
      <c r="C1022" s="55" t="s">
        <v>39</v>
      </c>
      <c r="D1022" s="53" t="s">
        <v>2160</v>
      </c>
      <c r="E1022" s="55" t="str">
        <f t="shared" si="48"/>
        <v>01056</v>
      </c>
      <c r="F1022" s="53" t="s">
        <v>2161</v>
      </c>
      <c r="G1022" s="55" t="s">
        <v>19</v>
      </c>
      <c r="H1022" s="53" t="s">
        <v>1918</v>
      </c>
      <c r="I1022" s="55">
        <v>302700377</v>
      </c>
      <c r="J1022" s="55" t="s">
        <v>1919</v>
      </c>
      <c r="K1022" s="55" t="s">
        <v>1920</v>
      </c>
      <c r="L1022" s="53" t="s">
        <v>2054</v>
      </c>
      <c r="M1022" s="55" t="s">
        <v>49</v>
      </c>
      <c r="N1022" s="52">
        <v>1800000000</v>
      </c>
      <c r="O1022" s="52">
        <v>1800000000</v>
      </c>
      <c r="P1022" s="52">
        <v>1800000000</v>
      </c>
      <c r="Q1022" s="57">
        <v>45740</v>
      </c>
      <c r="R1022" s="57">
        <v>46822</v>
      </c>
      <c r="S1022" s="56">
        <v>0</v>
      </c>
      <c r="T1022" s="54">
        <v>0</v>
      </c>
      <c r="U1022" s="52">
        <v>1800000000</v>
      </c>
      <c r="V1022" s="52">
        <v>1300000000</v>
      </c>
      <c r="W1022" s="52">
        <v>500000000</v>
      </c>
      <c r="X1022" s="57">
        <v>45757</v>
      </c>
      <c r="Y1022" s="52">
        <v>0</v>
      </c>
      <c r="Z1022" s="52">
        <v>0</v>
      </c>
      <c r="AA1022" s="52">
        <v>3</v>
      </c>
      <c r="AB1022" s="52">
        <v>450000000</v>
      </c>
      <c r="AC1022" s="52">
        <v>280604185.67000002</v>
      </c>
      <c r="AD1022" s="52">
        <v>0</v>
      </c>
      <c r="AE1022" s="52">
        <v>0</v>
      </c>
      <c r="AF1022" s="52">
        <v>0</v>
      </c>
      <c r="AG1022" s="52">
        <v>280604185.67000002</v>
      </c>
      <c r="AH1022" s="52">
        <v>0</v>
      </c>
      <c r="AI1022" s="52">
        <v>0</v>
      </c>
      <c r="AJ1022" s="52">
        <v>2</v>
      </c>
      <c r="AK1022" s="52"/>
      <c r="AL1022" s="52">
        <v>65393124368</v>
      </c>
      <c r="AM1022" s="52">
        <v>62679207608</v>
      </c>
      <c r="AN1022" s="52">
        <v>2250000000</v>
      </c>
      <c r="AO1022" s="52">
        <v>0</v>
      </c>
      <c r="AP1022" s="52">
        <v>0</v>
      </c>
      <c r="AQ1022" s="58">
        <v>0</v>
      </c>
      <c r="AR1022" s="58">
        <v>0</v>
      </c>
      <c r="AS1022" s="58">
        <v>0</v>
      </c>
      <c r="AT1022" s="58">
        <v>0</v>
      </c>
      <c r="AU1022" s="58">
        <v>0</v>
      </c>
      <c r="AV1022" s="58">
        <v>0</v>
      </c>
      <c r="AW1022" s="58">
        <v>0</v>
      </c>
      <c r="AX1022" s="58">
        <v>0</v>
      </c>
    </row>
    <row r="1023" spans="1:50" x14ac:dyDescent="0.25">
      <c r="A1023" s="52">
        <f t="shared" si="47"/>
        <v>1018</v>
      </c>
      <c r="B1023" s="60" t="str">
        <f t="shared" si="49"/>
        <v>0105644548</v>
      </c>
      <c r="C1023" s="55" t="s">
        <v>39</v>
      </c>
      <c r="D1023" s="53" t="s">
        <v>2160</v>
      </c>
      <c r="E1023" s="55" t="str">
        <f t="shared" si="48"/>
        <v>01056</v>
      </c>
      <c r="F1023" s="53" t="s">
        <v>2161</v>
      </c>
      <c r="G1023" s="55" t="s">
        <v>19</v>
      </c>
      <c r="H1023" s="53" t="s">
        <v>1921</v>
      </c>
      <c r="I1023" s="55">
        <v>308966896</v>
      </c>
      <c r="J1023" s="55" t="s">
        <v>1922</v>
      </c>
      <c r="K1023" s="55" t="s">
        <v>1923</v>
      </c>
      <c r="L1023" s="53" t="s">
        <v>2054</v>
      </c>
      <c r="M1023" s="55" t="s">
        <v>49</v>
      </c>
      <c r="N1023" s="52">
        <v>1978677120</v>
      </c>
      <c r="O1023" s="52">
        <v>1978677120</v>
      </c>
      <c r="P1023" s="52">
        <v>1978677120</v>
      </c>
      <c r="Q1023" s="57">
        <v>45448</v>
      </c>
      <c r="R1023" s="57">
        <v>46542</v>
      </c>
      <c r="S1023" s="56">
        <v>0</v>
      </c>
      <c r="T1023" s="54">
        <v>0</v>
      </c>
      <c r="U1023" s="52">
        <v>1680574898.7</v>
      </c>
      <c r="V1023" s="52">
        <v>1019318516.48</v>
      </c>
      <c r="W1023" s="52">
        <v>661256382.22000003</v>
      </c>
      <c r="X1023" s="57">
        <v>45600</v>
      </c>
      <c r="Y1023" s="52">
        <v>0</v>
      </c>
      <c r="Z1023" s="52">
        <v>0</v>
      </c>
      <c r="AA1023" s="52">
        <v>3</v>
      </c>
      <c r="AB1023" s="52">
        <v>420143724.68000001</v>
      </c>
      <c r="AC1023" s="52">
        <v>158742441.19999999</v>
      </c>
      <c r="AD1023" s="52">
        <v>0</v>
      </c>
      <c r="AE1023" s="52">
        <v>0</v>
      </c>
      <c r="AF1023" s="52">
        <v>0</v>
      </c>
      <c r="AG1023" s="52">
        <v>158742441.19999999</v>
      </c>
      <c r="AH1023" s="52">
        <v>0</v>
      </c>
      <c r="AI1023" s="52">
        <v>0</v>
      </c>
      <c r="AJ1023" s="52">
        <v>2</v>
      </c>
      <c r="AK1023" s="52"/>
      <c r="AL1023" s="52">
        <v>298054393962</v>
      </c>
      <c r="AM1023" s="52">
        <v>87749615143</v>
      </c>
      <c r="AN1023" s="52">
        <v>2473346400</v>
      </c>
      <c r="AO1023" s="52">
        <v>2502025369</v>
      </c>
      <c r="AP1023" s="52">
        <v>0</v>
      </c>
      <c r="AQ1023" s="58">
        <v>0</v>
      </c>
      <c r="AR1023" s="58">
        <v>0</v>
      </c>
      <c r="AS1023" s="58">
        <v>0</v>
      </c>
      <c r="AT1023" s="58">
        <v>0</v>
      </c>
      <c r="AU1023" s="58">
        <v>0</v>
      </c>
      <c r="AV1023" s="58">
        <v>0</v>
      </c>
      <c r="AW1023" s="58">
        <v>3</v>
      </c>
      <c r="AX1023" s="58">
        <v>150000</v>
      </c>
    </row>
    <row r="1024" spans="1:50" x14ac:dyDescent="0.25">
      <c r="A1024" s="52">
        <f t="shared" si="47"/>
        <v>1019</v>
      </c>
      <c r="B1024" s="60" t="str">
        <f t="shared" si="49"/>
        <v>0105644951</v>
      </c>
      <c r="C1024" s="55" t="s">
        <v>39</v>
      </c>
      <c r="D1024" s="53" t="s">
        <v>2160</v>
      </c>
      <c r="E1024" s="55" t="str">
        <f t="shared" si="48"/>
        <v>01056</v>
      </c>
      <c r="F1024" s="53" t="s">
        <v>2161</v>
      </c>
      <c r="G1024" s="55" t="s">
        <v>19</v>
      </c>
      <c r="H1024" s="53" t="s">
        <v>2650</v>
      </c>
      <c r="I1024" s="55">
        <v>302965585</v>
      </c>
      <c r="J1024" s="55" t="s">
        <v>1924</v>
      </c>
      <c r="K1024" s="55" t="s">
        <v>1925</v>
      </c>
      <c r="L1024" s="53" t="s">
        <v>2054</v>
      </c>
      <c r="M1024" s="55" t="s">
        <v>49</v>
      </c>
      <c r="N1024" s="52">
        <v>1800000000</v>
      </c>
      <c r="O1024" s="52">
        <v>1800000000</v>
      </c>
      <c r="P1024" s="52">
        <v>1800000000</v>
      </c>
      <c r="Q1024" s="57">
        <v>45763</v>
      </c>
      <c r="R1024" s="57">
        <v>46853</v>
      </c>
      <c r="S1024" s="56">
        <v>23.99</v>
      </c>
      <c r="T1024" s="54">
        <v>0</v>
      </c>
      <c r="U1024" s="52">
        <v>1315689077.3099999</v>
      </c>
      <c r="V1024" s="52">
        <v>1315689077.3099999</v>
      </c>
      <c r="W1024" s="52">
        <v>0</v>
      </c>
      <c r="X1024" s="57"/>
      <c r="Y1024" s="52">
        <v>0</v>
      </c>
      <c r="Z1024" s="52">
        <v>0</v>
      </c>
      <c r="AA1024" s="52">
        <v>1</v>
      </c>
      <c r="AB1024" s="52">
        <v>0</v>
      </c>
      <c r="AC1024" s="52">
        <v>15952073.83</v>
      </c>
      <c r="AD1024" s="52">
        <v>15952073.83</v>
      </c>
      <c r="AE1024" s="52">
        <v>0</v>
      </c>
      <c r="AF1024" s="52">
        <v>0</v>
      </c>
      <c r="AG1024" s="52">
        <v>0</v>
      </c>
      <c r="AH1024" s="52">
        <v>0</v>
      </c>
      <c r="AI1024" s="52">
        <v>0</v>
      </c>
      <c r="AJ1024" s="52">
        <v>2</v>
      </c>
      <c r="AK1024" s="52"/>
      <c r="AL1024" s="52">
        <v>0</v>
      </c>
      <c r="AM1024" s="52">
        <v>0</v>
      </c>
      <c r="AN1024" s="52">
        <v>2250000000</v>
      </c>
      <c r="AO1024" s="52">
        <v>152000254</v>
      </c>
      <c r="AP1024" s="52">
        <v>0</v>
      </c>
      <c r="AQ1024" s="58">
        <v>0</v>
      </c>
      <c r="AR1024" s="58">
        <v>0</v>
      </c>
      <c r="AS1024" s="58">
        <v>0</v>
      </c>
      <c r="AT1024" s="58">
        <v>0</v>
      </c>
      <c r="AU1024" s="58">
        <v>0</v>
      </c>
      <c r="AV1024" s="58">
        <v>0</v>
      </c>
      <c r="AW1024" s="58">
        <v>0</v>
      </c>
      <c r="AX1024" s="58">
        <v>0</v>
      </c>
    </row>
    <row r="1025" spans="1:50" x14ac:dyDescent="0.25">
      <c r="A1025" s="52">
        <f t="shared" si="47"/>
        <v>1020</v>
      </c>
      <c r="B1025" s="60" t="str">
        <f t="shared" si="49"/>
        <v>0105644734</v>
      </c>
      <c r="C1025" s="55" t="s">
        <v>39</v>
      </c>
      <c r="D1025" s="53" t="s">
        <v>2160</v>
      </c>
      <c r="E1025" s="55" t="str">
        <f t="shared" si="48"/>
        <v>01056</v>
      </c>
      <c r="F1025" s="53" t="s">
        <v>2161</v>
      </c>
      <c r="G1025" s="55" t="s">
        <v>19</v>
      </c>
      <c r="H1025" s="53" t="s">
        <v>1926</v>
      </c>
      <c r="I1025" s="55">
        <v>200572233</v>
      </c>
      <c r="J1025" s="55" t="s">
        <v>1927</v>
      </c>
      <c r="K1025" s="55" t="s">
        <v>1928</v>
      </c>
      <c r="L1025" s="53" t="s">
        <v>2054</v>
      </c>
      <c r="M1025" s="55" t="s">
        <v>49</v>
      </c>
      <c r="N1025" s="52">
        <v>1900000000</v>
      </c>
      <c r="O1025" s="52">
        <v>1900000000</v>
      </c>
      <c r="P1025" s="52">
        <v>1900000000</v>
      </c>
      <c r="Q1025" s="57">
        <v>45632</v>
      </c>
      <c r="R1025" s="57">
        <v>46723</v>
      </c>
      <c r="S1025" s="56">
        <v>27.99</v>
      </c>
      <c r="T1025" s="54">
        <v>0</v>
      </c>
      <c r="U1025" s="52">
        <v>1213888888.99</v>
      </c>
      <c r="V1025" s="52">
        <v>1213888888.99</v>
      </c>
      <c r="W1025" s="52">
        <v>0</v>
      </c>
      <c r="X1025" s="57"/>
      <c r="Y1025" s="52">
        <v>0</v>
      </c>
      <c r="Z1025" s="52">
        <v>0</v>
      </c>
      <c r="AA1025" s="52">
        <v>1</v>
      </c>
      <c r="AB1025" s="52">
        <v>0</v>
      </c>
      <c r="AC1025" s="52">
        <v>18617397.260000002</v>
      </c>
      <c r="AD1025" s="52">
        <v>18617397.260000002</v>
      </c>
      <c r="AE1025" s="52">
        <v>0</v>
      </c>
      <c r="AF1025" s="52">
        <v>0</v>
      </c>
      <c r="AG1025" s="52">
        <v>0</v>
      </c>
      <c r="AH1025" s="52">
        <v>0</v>
      </c>
      <c r="AI1025" s="52">
        <v>0</v>
      </c>
      <c r="AJ1025" s="52">
        <v>2</v>
      </c>
      <c r="AK1025" s="52"/>
      <c r="AL1025" s="52">
        <v>0</v>
      </c>
      <c r="AM1025" s="52">
        <v>0</v>
      </c>
      <c r="AN1025" s="52">
        <v>2375000000</v>
      </c>
      <c r="AO1025" s="52">
        <v>137115872035</v>
      </c>
      <c r="AP1025" s="52">
        <v>0</v>
      </c>
      <c r="AQ1025" s="58">
        <v>0</v>
      </c>
      <c r="AR1025" s="58">
        <v>0</v>
      </c>
      <c r="AS1025" s="58">
        <v>0</v>
      </c>
      <c r="AT1025" s="58">
        <v>0</v>
      </c>
      <c r="AU1025" s="58">
        <v>2</v>
      </c>
      <c r="AV1025" s="58">
        <v>15050</v>
      </c>
      <c r="AW1025" s="58">
        <v>0</v>
      </c>
      <c r="AX1025" s="58">
        <v>0</v>
      </c>
    </row>
    <row r="1026" spans="1:50" x14ac:dyDescent="0.25">
      <c r="A1026" s="52">
        <f t="shared" si="47"/>
        <v>1021</v>
      </c>
      <c r="B1026" s="60" t="str">
        <f t="shared" si="49"/>
        <v>0105645258</v>
      </c>
      <c r="C1026" s="55" t="s">
        <v>39</v>
      </c>
      <c r="D1026" s="53" t="s">
        <v>2160</v>
      </c>
      <c r="E1026" s="55" t="str">
        <f t="shared" si="48"/>
        <v>01056</v>
      </c>
      <c r="F1026" s="53" t="s">
        <v>2161</v>
      </c>
      <c r="G1026" s="55" t="s">
        <v>19</v>
      </c>
      <c r="H1026" s="53" t="s">
        <v>1929</v>
      </c>
      <c r="I1026" s="55">
        <v>305466895</v>
      </c>
      <c r="J1026" s="55" t="s">
        <v>1930</v>
      </c>
      <c r="K1026" s="55" t="s">
        <v>1931</v>
      </c>
      <c r="L1026" s="53" t="s">
        <v>2054</v>
      </c>
      <c r="M1026" s="55" t="s">
        <v>49</v>
      </c>
      <c r="N1026" s="52">
        <v>1370000000</v>
      </c>
      <c r="O1026" s="52">
        <v>1370000000</v>
      </c>
      <c r="P1026" s="52">
        <v>1370000000</v>
      </c>
      <c r="Q1026" s="57">
        <v>45882</v>
      </c>
      <c r="R1026" s="57">
        <v>46968</v>
      </c>
      <c r="S1026" s="56">
        <v>23.99</v>
      </c>
      <c r="T1026" s="54">
        <v>0</v>
      </c>
      <c r="U1026" s="52">
        <v>1179722222.25</v>
      </c>
      <c r="V1026" s="52">
        <v>1179722222.25</v>
      </c>
      <c r="W1026" s="52">
        <v>0</v>
      </c>
      <c r="X1026" s="57"/>
      <c r="Y1026" s="52">
        <v>0</v>
      </c>
      <c r="Z1026" s="52">
        <v>0</v>
      </c>
      <c r="AA1026" s="52">
        <v>1</v>
      </c>
      <c r="AB1026" s="52">
        <v>0</v>
      </c>
      <c r="AC1026" s="52">
        <v>15507691.02</v>
      </c>
      <c r="AD1026" s="52">
        <v>15507691.02</v>
      </c>
      <c r="AE1026" s="52">
        <v>0</v>
      </c>
      <c r="AF1026" s="52">
        <v>0</v>
      </c>
      <c r="AG1026" s="52">
        <v>0</v>
      </c>
      <c r="AH1026" s="52">
        <v>0</v>
      </c>
      <c r="AI1026" s="52">
        <v>0</v>
      </c>
      <c r="AJ1026" s="52">
        <v>2</v>
      </c>
      <c r="AK1026" s="52"/>
      <c r="AL1026" s="52">
        <v>0</v>
      </c>
      <c r="AM1026" s="52">
        <v>0</v>
      </c>
      <c r="AN1026" s="52">
        <v>1712500000</v>
      </c>
      <c r="AO1026" s="52">
        <v>3250256472</v>
      </c>
      <c r="AP1026" s="52">
        <v>0</v>
      </c>
      <c r="AQ1026" s="58">
        <v>0</v>
      </c>
      <c r="AR1026" s="58">
        <v>0</v>
      </c>
      <c r="AS1026" s="58">
        <v>4</v>
      </c>
      <c r="AT1026" s="58">
        <v>1199151.3700000001</v>
      </c>
      <c r="AU1026" s="58">
        <v>0</v>
      </c>
      <c r="AV1026" s="58">
        <v>0</v>
      </c>
      <c r="AW1026" s="58">
        <v>0</v>
      </c>
      <c r="AX1026" s="58">
        <v>0</v>
      </c>
    </row>
    <row r="1027" spans="1:50" x14ac:dyDescent="0.25">
      <c r="A1027" s="52">
        <f t="shared" si="47"/>
        <v>1022</v>
      </c>
      <c r="B1027" s="60" t="str">
        <f t="shared" si="49"/>
        <v>0105644683</v>
      </c>
      <c r="C1027" s="55" t="s">
        <v>39</v>
      </c>
      <c r="D1027" s="53" t="s">
        <v>2160</v>
      </c>
      <c r="E1027" s="55" t="str">
        <f t="shared" si="48"/>
        <v>01056</v>
      </c>
      <c r="F1027" s="53" t="s">
        <v>2161</v>
      </c>
      <c r="G1027" s="55" t="s">
        <v>19</v>
      </c>
      <c r="H1027" s="53" t="s">
        <v>1932</v>
      </c>
      <c r="I1027" s="55">
        <v>309781921</v>
      </c>
      <c r="J1027" s="55" t="s">
        <v>1933</v>
      </c>
      <c r="K1027" s="55" t="s">
        <v>1934</v>
      </c>
      <c r="L1027" s="53" t="s">
        <v>2054</v>
      </c>
      <c r="M1027" s="55" t="s">
        <v>49</v>
      </c>
      <c r="N1027" s="52">
        <v>1750000000</v>
      </c>
      <c r="O1027" s="52">
        <v>1750000000</v>
      </c>
      <c r="P1027" s="52">
        <v>1750000000</v>
      </c>
      <c r="Q1027" s="57">
        <v>45587</v>
      </c>
      <c r="R1027" s="57">
        <v>46670</v>
      </c>
      <c r="S1027" s="56">
        <v>27.99</v>
      </c>
      <c r="T1027" s="54">
        <v>0</v>
      </c>
      <c r="U1027" s="52">
        <v>1069444444.46</v>
      </c>
      <c r="V1027" s="52">
        <v>1020833333.35</v>
      </c>
      <c r="W1027" s="52">
        <v>48611111.109999999</v>
      </c>
      <c r="X1027" s="57">
        <v>46034</v>
      </c>
      <c r="Y1027" s="52">
        <v>0</v>
      </c>
      <c r="Z1027" s="52">
        <v>0</v>
      </c>
      <c r="AA1027" s="52">
        <v>1</v>
      </c>
      <c r="AB1027" s="52">
        <v>0</v>
      </c>
      <c r="AC1027" s="52">
        <v>20953390.920000002</v>
      </c>
      <c r="AD1027" s="52">
        <v>15656506.85</v>
      </c>
      <c r="AE1027" s="52">
        <v>0</v>
      </c>
      <c r="AF1027" s="52">
        <v>0</v>
      </c>
      <c r="AG1027" s="52">
        <v>5296884.07</v>
      </c>
      <c r="AH1027" s="52">
        <v>0</v>
      </c>
      <c r="AI1027" s="52">
        <v>0</v>
      </c>
      <c r="AJ1027" s="52">
        <v>2</v>
      </c>
      <c r="AK1027" s="52"/>
      <c r="AL1027" s="52">
        <v>37789631419</v>
      </c>
      <c r="AM1027" s="52">
        <v>7753422597</v>
      </c>
      <c r="AN1027" s="52">
        <v>2187500000</v>
      </c>
      <c r="AO1027" s="52">
        <v>152698000</v>
      </c>
      <c r="AP1027" s="52">
        <v>0</v>
      </c>
      <c r="AQ1027" s="58">
        <v>0</v>
      </c>
      <c r="AR1027" s="58">
        <v>0</v>
      </c>
      <c r="AS1027" s="58">
        <v>0</v>
      </c>
      <c r="AT1027" s="58">
        <v>0</v>
      </c>
      <c r="AU1027" s="58">
        <v>0</v>
      </c>
      <c r="AV1027" s="58">
        <v>0</v>
      </c>
      <c r="AW1027" s="58">
        <v>0</v>
      </c>
      <c r="AX1027" s="58">
        <v>0</v>
      </c>
    </row>
    <row r="1028" spans="1:50" x14ac:dyDescent="0.25">
      <c r="A1028" s="52">
        <f t="shared" si="47"/>
        <v>1023</v>
      </c>
      <c r="B1028" s="60" t="str">
        <f t="shared" si="49"/>
        <v>0105644535</v>
      </c>
      <c r="C1028" s="55" t="s">
        <v>39</v>
      </c>
      <c r="D1028" s="53" t="s">
        <v>2160</v>
      </c>
      <c r="E1028" s="55" t="str">
        <f t="shared" si="48"/>
        <v>01056</v>
      </c>
      <c r="F1028" s="53" t="s">
        <v>2161</v>
      </c>
      <c r="G1028" s="55" t="s">
        <v>19</v>
      </c>
      <c r="H1028" s="53" t="s">
        <v>1935</v>
      </c>
      <c r="I1028" s="55">
        <v>303239459</v>
      </c>
      <c r="J1028" s="55" t="s">
        <v>1936</v>
      </c>
      <c r="K1028" s="55" t="s">
        <v>1937</v>
      </c>
      <c r="L1028" s="53" t="s">
        <v>2054</v>
      </c>
      <c r="M1028" s="55" t="s">
        <v>75</v>
      </c>
      <c r="N1028" s="52">
        <v>157200</v>
      </c>
      <c r="O1028" s="52">
        <v>1897051872</v>
      </c>
      <c r="P1028" s="52">
        <v>1897051872</v>
      </c>
      <c r="Q1028" s="57">
        <v>45435</v>
      </c>
      <c r="R1028" s="57">
        <v>46517</v>
      </c>
      <c r="S1028" s="56">
        <v>14</v>
      </c>
      <c r="T1028" s="54">
        <v>3</v>
      </c>
      <c r="U1028" s="52">
        <v>929794541.54999995</v>
      </c>
      <c r="V1028" s="52">
        <v>929794541.54999995</v>
      </c>
      <c r="W1028" s="52">
        <v>0</v>
      </c>
      <c r="X1028" s="57"/>
      <c r="Y1028" s="52">
        <v>0</v>
      </c>
      <c r="Z1028" s="52">
        <v>0</v>
      </c>
      <c r="AA1028" s="52">
        <v>1</v>
      </c>
      <c r="AB1028" s="52">
        <v>0</v>
      </c>
      <c r="AC1028" s="52">
        <v>6779771.8159999996</v>
      </c>
      <c r="AD1028" s="52">
        <v>6779771.8159999996</v>
      </c>
      <c r="AE1028" s="52">
        <v>0</v>
      </c>
      <c r="AF1028" s="52">
        <v>0</v>
      </c>
      <c r="AG1028" s="52">
        <v>0</v>
      </c>
      <c r="AH1028" s="52">
        <v>0</v>
      </c>
      <c r="AI1028" s="52">
        <v>0</v>
      </c>
      <c r="AJ1028" s="52">
        <v>2</v>
      </c>
      <c r="AK1028" s="52"/>
      <c r="AL1028" s="52">
        <v>44227017537</v>
      </c>
      <c r="AM1028" s="52">
        <v>0</v>
      </c>
      <c r="AN1028" s="52">
        <v>6198588125</v>
      </c>
      <c r="AO1028" s="52">
        <v>4585259000</v>
      </c>
      <c r="AP1028" s="52">
        <v>0</v>
      </c>
      <c r="AQ1028" s="58">
        <v>0</v>
      </c>
      <c r="AR1028" s="58">
        <v>0</v>
      </c>
      <c r="AS1028" s="58">
        <v>9</v>
      </c>
      <c r="AT1028" s="58">
        <v>224280</v>
      </c>
      <c r="AU1028" s="58">
        <v>11</v>
      </c>
      <c r="AV1028" s="58">
        <v>452549.48</v>
      </c>
      <c r="AW1028" s="58">
        <v>22</v>
      </c>
      <c r="AX1028" s="58">
        <v>840958.2300000001</v>
      </c>
    </row>
    <row r="1029" spans="1:50" x14ac:dyDescent="0.25">
      <c r="A1029" s="52">
        <f t="shared" si="47"/>
        <v>1024</v>
      </c>
      <c r="B1029" s="60" t="str">
        <f t="shared" si="49"/>
        <v>0105638645</v>
      </c>
      <c r="C1029" s="55" t="s">
        <v>39</v>
      </c>
      <c r="D1029" s="53" t="s">
        <v>2160</v>
      </c>
      <c r="E1029" s="55" t="str">
        <f t="shared" si="48"/>
        <v>01056</v>
      </c>
      <c r="F1029" s="53" t="s">
        <v>2161</v>
      </c>
      <c r="G1029" s="55" t="s">
        <v>19</v>
      </c>
      <c r="H1029" s="53" t="s">
        <v>1921</v>
      </c>
      <c r="I1029" s="55">
        <v>308966896</v>
      </c>
      <c r="J1029" s="55" t="s">
        <v>1938</v>
      </c>
      <c r="K1029" s="55" t="s">
        <v>1939</v>
      </c>
      <c r="L1029" s="53" t="s">
        <v>2054</v>
      </c>
      <c r="M1029" s="55" t="s">
        <v>49</v>
      </c>
      <c r="N1029" s="52">
        <v>2000000000</v>
      </c>
      <c r="O1029" s="52">
        <v>2000000000</v>
      </c>
      <c r="P1029" s="52">
        <v>2000000000</v>
      </c>
      <c r="Q1029" s="57">
        <v>44964</v>
      </c>
      <c r="R1029" s="57">
        <v>46059</v>
      </c>
      <c r="S1029" s="56">
        <v>0</v>
      </c>
      <c r="T1029" s="54">
        <v>0</v>
      </c>
      <c r="U1029" s="52">
        <v>909332966.75999999</v>
      </c>
      <c r="V1029" s="52">
        <v>66666666.859999999</v>
      </c>
      <c r="W1029" s="52">
        <v>842666299.89999998</v>
      </c>
      <c r="X1029" s="57">
        <v>45611</v>
      </c>
      <c r="Y1029" s="52">
        <v>0</v>
      </c>
      <c r="Z1029" s="52">
        <v>0</v>
      </c>
      <c r="AA1029" s="52">
        <v>3</v>
      </c>
      <c r="AB1029" s="52">
        <v>227333241.69</v>
      </c>
      <c r="AC1029" s="52">
        <v>243095936.28999999</v>
      </c>
      <c r="AD1029" s="52">
        <v>0</v>
      </c>
      <c r="AE1029" s="52">
        <v>0</v>
      </c>
      <c r="AF1029" s="52">
        <v>0</v>
      </c>
      <c r="AG1029" s="52">
        <v>243095936.28999999</v>
      </c>
      <c r="AH1029" s="52">
        <v>0</v>
      </c>
      <c r="AI1029" s="52">
        <v>0</v>
      </c>
      <c r="AJ1029" s="52">
        <v>2</v>
      </c>
      <c r="AK1029" s="52"/>
      <c r="AL1029" s="52">
        <v>298054393962</v>
      </c>
      <c r="AM1029" s="52">
        <v>87749615143</v>
      </c>
      <c r="AN1029" s="52">
        <v>2500000000</v>
      </c>
      <c r="AO1029" s="52">
        <v>1500250222</v>
      </c>
      <c r="AP1029" s="52">
        <v>0</v>
      </c>
      <c r="AQ1029" s="58">
        <v>0</v>
      </c>
      <c r="AR1029" s="58">
        <v>0</v>
      </c>
      <c r="AS1029" s="58">
        <v>0</v>
      </c>
      <c r="AT1029" s="58">
        <v>0</v>
      </c>
      <c r="AU1029" s="58">
        <v>0</v>
      </c>
      <c r="AV1029" s="58">
        <v>0</v>
      </c>
      <c r="AW1029" s="58">
        <v>3</v>
      </c>
      <c r="AX1029" s="58">
        <v>150000</v>
      </c>
    </row>
    <row r="1030" spans="1:50" x14ac:dyDescent="0.25">
      <c r="A1030" s="52">
        <f t="shared" si="47"/>
        <v>1025</v>
      </c>
      <c r="B1030" s="60" t="str">
        <f t="shared" si="49"/>
        <v>0105644894</v>
      </c>
      <c r="C1030" s="55" t="s">
        <v>39</v>
      </c>
      <c r="D1030" s="53" t="s">
        <v>2160</v>
      </c>
      <c r="E1030" s="55" t="str">
        <f t="shared" si="48"/>
        <v>01056</v>
      </c>
      <c r="F1030" s="53" t="s">
        <v>2161</v>
      </c>
      <c r="G1030" s="55" t="s">
        <v>19</v>
      </c>
      <c r="H1030" s="53" t="s">
        <v>1940</v>
      </c>
      <c r="I1030" s="55">
        <v>302099603</v>
      </c>
      <c r="J1030" s="55" t="s">
        <v>1941</v>
      </c>
      <c r="K1030" s="55" t="s">
        <v>1942</v>
      </c>
      <c r="L1030" s="53" t="s">
        <v>2054</v>
      </c>
      <c r="M1030" s="55" t="s">
        <v>49</v>
      </c>
      <c r="N1030" s="52">
        <v>1248000000</v>
      </c>
      <c r="O1030" s="52">
        <v>1248000000</v>
      </c>
      <c r="P1030" s="52">
        <v>1248000000</v>
      </c>
      <c r="Q1030" s="57">
        <v>45735</v>
      </c>
      <c r="R1030" s="57">
        <v>46822</v>
      </c>
      <c r="S1030" s="56">
        <v>23.99</v>
      </c>
      <c r="T1030" s="54">
        <v>0</v>
      </c>
      <c r="U1030" s="52">
        <v>873440207.24000001</v>
      </c>
      <c r="V1030" s="52">
        <v>873440207.24000001</v>
      </c>
      <c r="W1030" s="52">
        <v>0</v>
      </c>
      <c r="X1030" s="57"/>
      <c r="Y1030" s="52">
        <v>0</v>
      </c>
      <c r="Z1030" s="52">
        <v>0</v>
      </c>
      <c r="AA1030" s="52">
        <v>1</v>
      </c>
      <c r="AB1030" s="52">
        <v>0</v>
      </c>
      <c r="AC1030" s="52">
        <v>10782543.859999999</v>
      </c>
      <c r="AD1030" s="52">
        <v>10782543.859999999</v>
      </c>
      <c r="AE1030" s="52">
        <v>0</v>
      </c>
      <c r="AF1030" s="52">
        <v>0</v>
      </c>
      <c r="AG1030" s="52">
        <v>0</v>
      </c>
      <c r="AH1030" s="52">
        <v>0</v>
      </c>
      <c r="AI1030" s="52">
        <v>0</v>
      </c>
      <c r="AJ1030" s="52">
        <v>2</v>
      </c>
      <c r="AK1030" s="52"/>
      <c r="AL1030" s="52">
        <v>0</v>
      </c>
      <c r="AM1030" s="52">
        <v>0</v>
      </c>
      <c r="AN1030" s="52">
        <v>1560000000</v>
      </c>
      <c r="AO1030" s="52">
        <v>2565652000</v>
      </c>
      <c r="AP1030" s="52">
        <v>0</v>
      </c>
      <c r="AQ1030" s="58">
        <v>0</v>
      </c>
      <c r="AR1030" s="58">
        <v>0</v>
      </c>
      <c r="AS1030" s="58">
        <v>0</v>
      </c>
      <c r="AT1030" s="58">
        <v>0</v>
      </c>
      <c r="AU1030" s="58">
        <v>0</v>
      </c>
      <c r="AV1030" s="58">
        <v>0</v>
      </c>
      <c r="AW1030" s="58">
        <v>0</v>
      </c>
      <c r="AX1030" s="58">
        <v>0</v>
      </c>
    </row>
    <row r="1031" spans="1:50" x14ac:dyDescent="0.25">
      <c r="A1031" s="52">
        <f t="shared" si="47"/>
        <v>1026</v>
      </c>
      <c r="B1031" s="60" t="str">
        <f t="shared" si="49"/>
        <v>0105644752</v>
      </c>
      <c r="C1031" s="55" t="s">
        <v>39</v>
      </c>
      <c r="D1031" s="53" t="s">
        <v>2160</v>
      </c>
      <c r="E1031" s="55" t="str">
        <f t="shared" si="48"/>
        <v>01056</v>
      </c>
      <c r="F1031" s="53" t="s">
        <v>2161</v>
      </c>
      <c r="G1031" s="55" t="s">
        <v>19</v>
      </c>
      <c r="H1031" s="53" t="s">
        <v>2651</v>
      </c>
      <c r="I1031" s="55">
        <v>303496837</v>
      </c>
      <c r="J1031" s="55" t="s">
        <v>1943</v>
      </c>
      <c r="K1031" s="55" t="s">
        <v>1944</v>
      </c>
      <c r="L1031" s="53" t="s">
        <v>2054</v>
      </c>
      <c r="M1031" s="55" t="s">
        <v>49</v>
      </c>
      <c r="N1031" s="52">
        <v>1000000000</v>
      </c>
      <c r="O1031" s="52">
        <v>1000000000</v>
      </c>
      <c r="P1031" s="52">
        <v>1000000000</v>
      </c>
      <c r="Q1031" s="57">
        <v>45642</v>
      </c>
      <c r="R1031" s="57">
        <v>46731</v>
      </c>
      <c r="S1031" s="56">
        <v>27.99</v>
      </c>
      <c r="T1031" s="54">
        <v>3</v>
      </c>
      <c r="U1031" s="52">
        <v>782936213.68000007</v>
      </c>
      <c r="V1031" s="52">
        <v>696969697</v>
      </c>
      <c r="W1031" s="52">
        <v>85966516.680000007</v>
      </c>
      <c r="X1031" s="57">
        <v>45940</v>
      </c>
      <c r="Y1031" s="52">
        <v>0</v>
      </c>
      <c r="Z1031" s="52">
        <v>0</v>
      </c>
      <c r="AA1031" s="52">
        <v>1</v>
      </c>
      <c r="AB1031" s="52">
        <v>0</v>
      </c>
      <c r="AC1031" s="52">
        <v>57579291.379999995</v>
      </c>
      <c r="AD1031" s="52">
        <v>10689414.699999999</v>
      </c>
      <c r="AE1031" s="52">
        <v>0</v>
      </c>
      <c r="AF1031" s="52">
        <v>0</v>
      </c>
      <c r="AG1031" s="52">
        <v>46889876.68</v>
      </c>
      <c r="AH1031" s="52">
        <v>0</v>
      </c>
      <c r="AI1031" s="52">
        <v>0</v>
      </c>
      <c r="AJ1031" s="52">
        <v>2</v>
      </c>
      <c r="AK1031" s="52"/>
      <c r="AL1031" s="52">
        <v>60212997</v>
      </c>
      <c r="AM1031" s="52">
        <v>4982283104</v>
      </c>
      <c r="AN1031" s="52">
        <v>1250000000</v>
      </c>
      <c r="AO1031" s="52">
        <v>758965120</v>
      </c>
      <c r="AP1031" s="52">
        <v>0</v>
      </c>
      <c r="AQ1031" s="58">
        <v>0</v>
      </c>
      <c r="AR1031" s="58">
        <v>0</v>
      </c>
      <c r="AS1031" s="58">
        <v>0</v>
      </c>
      <c r="AT1031" s="58">
        <v>0</v>
      </c>
      <c r="AU1031" s="58">
        <v>1</v>
      </c>
      <c r="AV1031" s="58">
        <v>14000</v>
      </c>
      <c r="AW1031" s="58">
        <v>1</v>
      </c>
      <c r="AX1031" s="58">
        <v>70400</v>
      </c>
    </row>
    <row r="1032" spans="1:50" x14ac:dyDescent="0.25">
      <c r="A1032" s="52">
        <f t="shared" ref="A1032:A1059" si="50">+A1031+1</f>
        <v>1027</v>
      </c>
      <c r="B1032" s="60" t="str">
        <f t="shared" si="49"/>
        <v>0105644580</v>
      </c>
      <c r="C1032" s="55" t="s">
        <v>39</v>
      </c>
      <c r="D1032" s="53" t="s">
        <v>2160</v>
      </c>
      <c r="E1032" s="55" t="str">
        <f t="shared" si="48"/>
        <v>01056</v>
      </c>
      <c r="F1032" s="53" t="s">
        <v>2161</v>
      </c>
      <c r="G1032" s="55" t="s">
        <v>19</v>
      </c>
      <c r="H1032" s="53" t="s">
        <v>1929</v>
      </c>
      <c r="I1032" s="55">
        <v>305466895</v>
      </c>
      <c r="J1032" s="55" t="s">
        <v>1945</v>
      </c>
      <c r="K1032" s="55" t="s">
        <v>1946</v>
      </c>
      <c r="L1032" s="53" t="s">
        <v>2054</v>
      </c>
      <c r="M1032" s="55" t="s">
        <v>49</v>
      </c>
      <c r="N1032" s="52">
        <v>1400000000</v>
      </c>
      <c r="O1032" s="52">
        <v>1400000000</v>
      </c>
      <c r="P1032" s="52">
        <v>1400000000</v>
      </c>
      <c r="Q1032" s="57">
        <v>45484</v>
      </c>
      <c r="R1032" s="57">
        <v>46578</v>
      </c>
      <c r="S1032" s="56">
        <v>27.99</v>
      </c>
      <c r="T1032" s="54">
        <v>0</v>
      </c>
      <c r="U1032" s="52">
        <v>700000000.15999997</v>
      </c>
      <c r="V1032" s="52">
        <v>700000000.15999997</v>
      </c>
      <c r="W1032" s="52">
        <v>0</v>
      </c>
      <c r="X1032" s="57"/>
      <c r="Y1032" s="52">
        <v>0</v>
      </c>
      <c r="Z1032" s="52">
        <v>0</v>
      </c>
      <c r="AA1032" s="52">
        <v>1</v>
      </c>
      <c r="AB1032" s="52">
        <v>0</v>
      </c>
      <c r="AC1032" s="52">
        <v>10735890.41</v>
      </c>
      <c r="AD1032" s="52">
        <v>10735890.41</v>
      </c>
      <c r="AE1032" s="52">
        <v>0</v>
      </c>
      <c r="AF1032" s="52">
        <v>0</v>
      </c>
      <c r="AG1032" s="52">
        <v>0</v>
      </c>
      <c r="AH1032" s="52">
        <v>0</v>
      </c>
      <c r="AI1032" s="52">
        <v>0</v>
      </c>
      <c r="AJ1032" s="52">
        <v>2</v>
      </c>
      <c r="AK1032" s="52"/>
      <c r="AL1032" s="52">
        <v>0</v>
      </c>
      <c r="AM1032" s="52">
        <v>0</v>
      </c>
      <c r="AN1032" s="52">
        <v>1750000000</v>
      </c>
      <c r="AO1032" s="52">
        <v>3250256472</v>
      </c>
      <c r="AP1032" s="52">
        <v>0</v>
      </c>
      <c r="AQ1032" s="58">
        <v>0</v>
      </c>
      <c r="AR1032" s="58">
        <v>0</v>
      </c>
      <c r="AS1032" s="58">
        <v>4</v>
      </c>
      <c r="AT1032" s="58">
        <v>1199151.3700000001</v>
      </c>
      <c r="AU1032" s="58">
        <v>0</v>
      </c>
      <c r="AV1032" s="58">
        <v>0</v>
      </c>
      <c r="AW1032" s="58">
        <v>0</v>
      </c>
      <c r="AX1032" s="58">
        <v>0</v>
      </c>
    </row>
    <row r="1033" spans="1:50" x14ac:dyDescent="0.25">
      <c r="A1033" s="52">
        <f t="shared" si="50"/>
        <v>1028</v>
      </c>
      <c r="B1033" s="60" t="str">
        <f t="shared" si="49"/>
        <v>0105645181</v>
      </c>
      <c r="C1033" s="55" t="s">
        <v>39</v>
      </c>
      <c r="D1033" s="53" t="s">
        <v>2160</v>
      </c>
      <c r="E1033" s="55" t="str">
        <f t="shared" si="48"/>
        <v>01056</v>
      </c>
      <c r="F1033" s="53" t="s">
        <v>2161</v>
      </c>
      <c r="G1033" s="55" t="s">
        <v>19</v>
      </c>
      <c r="H1033" s="53" t="s">
        <v>2652</v>
      </c>
      <c r="I1033" s="55">
        <v>307575316</v>
      </c>
      <c r="J1033" s="55" t="s">
        <v>1947</v>
      </c>
      <c r="K1033" s="55" t="s">
        <v>1948</v>
      </c>
      <c r="L1033" s="53" t="s">
        <v>2054</v>
      </c>
      <c r="M1033" s="55" t="s">
        <v>75</v>
      </c>
      <c r="N1033" s="52">
        <v>60000</v>
      </c>
      <c r="O1033" s="52">
        <v>724065600</v>
      </c>
      <c r="P1033" s="52">
        <v>724065600</v>
      </c>
      <c r="Q1033" s="57">
        <v>45846</v>
      </c>
      <c r="R1033" s="57">
        <v>46397</v>
      </c>
      <c r="S1033" s="56">
        <v>14</v>
      </c>
      <c r="T1033" s="54">
        <v>4</v>
      </c>
      <c r="U1033" s="52">
        <v>627382390.28999996</v>
      </c>
      <c r="V1033" s="52">
        <v>627382390.28999996</v>
      </c>
      <c r="W1033" s="52">
        <v>0</v>
      </c>
      <c r="X1033" s="57"/>
      <c r="Y1033" s="52">
        <v>0</v>
      </c>
      <c r="Z1033" s="52">
        <v>0</v>
      </c>
      <c r="AA1033" s="52">
        <v>1</v>
      </c>
      <c r="AB1033" s="52">
        <v>0</v>
      </c>
      <c r="AC1033" s="52">
        <v>4879640</v>
      </c>
      <c r="AD1033" s="52">
        <v>4879640</v>
      </c>
      <c r="AE1033" s="52">
        <v>0</v>
      </c>
      <c r="AF1033" s="52">
        <v>0</v>
      </c>
      <c r="AG1033" s="52">
        <v>0</v>
      </c>
      <c r="AH1033" s="52">
        <v>0</v>
      </c>
      <c r="AI1033" s="52">
        <v>0</v>
      </c>
      <c r="AJ1033" s="52">
        <v>2</v>
      </c>
      <c r="AK1033" s="52"/>
      <c r="AL1033" s="52">
        <v>0</v>
      </c>
      <c r="AM1033" s="52">
        <v>0</v>
      </c>
      <c r="AN1033" s="52">
        <v>905082000</v>
      </c>
      <c r="AO1033" s="52">
        <v>526200254</v>
      </c>
      <c r="AP1033" s="52">
        <v>0</v>
      </c>
      <c r="AQ1033" s="58">
        <v>0</v>
      </c>
      <c r="AR1033" s="58">
        <v>0</v>
      </c>
      <c r="AS1033" s="58">
        <v>1</v>
      </c>
      <c r="AT1033" s="58">
        <v>0</v>
      </c>
      <c r="AU1033" s="58">
        <v>33</v>
      </c>
      <c r="AV1033" s="58">
        <v>1538522.6</v>
      </c>
      <c r="AW1033" s="58">
        <v>36</v>
      </c>
      <c r="AX1033" s="58">
        <v>1560781.89</v>
      </c>
    </row>
    <row r="1034" spans="1:50" x14ac:dyDescent="0.25">
      <c r="A1034" s="52">
        <f t="shared" si="50"/>
        <v>1029</v>
      </c>
      <c r="B1034" s="60" t="str">
        <f t="shared" si="49"/>
        <v>0105645302</v>
      </c>
      <c r="C1034" s="55" t="s">
        <v>39</v>
      </c>
      <c r="D1034" s="53" t="s">
        <v>2160</v>
      </c>
      <c r="E1034" s="55" t="str">
        <f t="shared" si="48"/>
        <v>01056</v>
      </c>
      <c r="F1034" s="53" t="s">
        <v>2161</v>
      </c>
      <c r="G1034" s="55" t="s">
        <v>19</v>
      </c>
      <c r="H1034" s="53" t="s">
        <v>1926</v>
      </c>
      <c r="I1034" s="55">
        <v>200572233</v>
      </c>
      <c r="J1034" s="55" t="s">
        <v>1949</v>
      </c>
      <c r="K1034" s="55" t="s">
        <v>1950</v>
      </c>
      <c r="L1034" s="53" t="s">
        <v>2054</v>
      </c>
      <c r="M1034" s="55" t="s">
        <v>49</v>
      </c>
      <c r="N1034" s="52">
        <v>700000000</v>
      </c>
      <c r="O1034" s="52">
        <v>700000000</v>
      </c>
      <c r="P1034" s="52">
        <v>700000000</v>
      </c>
      <c r="Q1034" s="57">
        <v>45916</v>
      </c>
      <c r="R1034" s="57">
        <v>47006</v>
      </c>
      <c r="S1034" s="56">
        <v>23.99</v>
      </c>
      <c r="T1034" s="54">
        <v>0</v>
      </c>
      <c r="U1034" s="52">
        <v>622222222.24000001</v>
      </c>
      <c r="V1034" s="52">
        <v>622222222.24000001</v>
      </c>
      <c r="W1034" s="52">
        <v>0</v>
      </c>
      <c r="X1034" s="57"/>
      <c r="Y1034" s="52">
        <v>0</v>
      </c>
      <c r="Z1034" s="52">
        <v>0</v>
      </c>
      <c r="AA1034" s="52">
        <v>1</v>
      </c>
      <c r="AB1034" s="52">
        <v>0</v>
      </c>
      <c r="AC1034" s="52">
        <v>8179238.9699999997</v>
      </c>
      <c r="AD1034" s="52">
        <v>8179238.9699999997</v>
      </c>
      <c r="AE1034" s="52">
        <v>0</v>
      </c>
      <c r="AF1034" s="52">
        <v>0</v>
      </c>
      <c r="AG1034" s="52">
        <v>0</v>
      </c>
      <c r="AH1034" s="52">
        <v>0</v>
      </c>
      <c r="AI1034" s="52">
        <v>0</v>
      </c>
      <c r="AJ1034" s="52">
        <v>2</v>
      </c>
      <c r="AK1034" s="52"/>
      <c r="AL1034" s="52">
        <v>0</v>
      </c>
      <c r="AM1034" s="52">
        <v>0</v>
      </c>
      <c r="AN1034" s="52">
        <v>875000000</v>
      </c>
      <c r="AO1034" s="52">
        <v>55158950002</v>
      </c>
      <c r="AP1034" s="52">
        <v>0</v>
      </c>
      <c r="AQ1034" s="58">
        <v>0</v>
      </c>
      <c r="AR1034" s="58">
        <v>0</v>
      </c>
      <c r="AS1034" s="58">
        <v>0</v>
      </c>
      <c r="AT1034" s="58">
        <v>0</v>
      </c>
      <c r="AU1034" s="58">
        <v>2</v>
      </c>
      <c r="AV1034" s="58">
        <v>15050</v>
      </c>
      <c r="AW1034" s="58">
        <v>0</v>
      </c>
      <c r="AX1034" s="58">
        <v>0</v>
      </c>
    </row>
    <row r="1035" spans="1:50" x14ac:dyDescent="0.25">
      <c r="A1035" s="52">
        <f t="shared" si="50"/>
        <v>1030</v>
      </c>
      <c r="B1035" s="60" t="str">
        <f t="shared" si="49"/>
        <v>0105644970</v>
      </c>
      <c r="C1035" s="55" t="s">
        <v>39</v>
      </c>
      <c r="D1035" s="53" t="s">
        <v>2160</v>
      </c>
      <c r="E1035" s="55" t="str">
        <f t="shared" si="48"/>
        <v>01056</v>
      </c>
      <c r="F1035" s="53" t="s">
        <v>2161</v>
      </c>
      <c r="G1035" s="55" t="s">
        <v>19</v>
      </c>
      <c r="H1035" s="53" t="s">
        <v>2652</v>
      </c>
      <c r="I1035" s="55">
        <v>307575316</v>
      </c>
      <c r="J1035" s="55" t="s">
        <v>1951</v>
      </c>
      <c r="K1035" s="55" t="s">
        <v>1952</v>
      </c>
      <c r="L1035" s="53" t="s">
        <v>2054</v>
      </c>
      <c r="M1035" s="55" t="s">
        <v>75</v>
      </c>
      <c r="N1035" s="52">
        <v>70000</v>
      </c>
      <c r="O1035" s="52">
        <v>844743200</v>
      </c>
      <c r="P1035" s="52">
        <v>844743200</v>
      </c>
      <c r="Q1035" s="57">
        <v>45770</v>
      </c>
      <c r="R1035" s="57">
        <v>46305</v>
      </c>
      <c r="S1035" s="56">
        <v>14</v>
      </c>
      <c r="T1035" s="54">
        <v>4</v>
      </c>
      <c r="U1035" s="52">
        <v>548959500.00999999</v>
      </c>
      <c r="V1035" s="52">
        <v>548959500.00999999</v>
      </c>
      <c r="W1035" s="52">
        <v>0</v>
      </c>
      <c r="X1035" s="57"/>
      <c r="Y1035" s="52">
        <v>0</v>
      </c>
      <c r="Z1035" s="52">
        <v>0</v>
      </c>
      <c r="AA1035" s="52">
        <v>1</v>
      </c>
      <c r="AB1035" s="52">
        <v>0</v>
      </c>
      <c r="AC1035" s="52">
        <v>4269685</v>
      </c>
      <c r="AD1035" s="52">
        <v>4269685</v>
      </c>
      <c r="AE1035" s="52">
        <v>0</v>
      </c>
      <c r="AF1035" s="52">
        <v>0</v>
      </c>
      <c r="AG1035" s="52">
        <v>0</v>
      </c>
      <c r="AH1035" s="52">
        <v>0</v>
      </c>
      <c r="AI1035" s="52">
        <v>0</v>
      </c>
      <c r="AJ1035" s="52">
        <v>2</v>
      </c>
      <c r="AK1035" s="52"/>
      <c r="AL1035" s="52">
        <v>0</v>
      </c>
      <c r="AM1035" s="52">
        <v>0</v>
      </c>
      <c r="AN1035" s="52">
        <v>1055929000</v>
      </c>
      <c r="AO1035" s="52">
        <v>526200254</v>
      </c>
      <c r="AP1035" s="52">
        <v>0</v>
      </c>
      <c r="AQ1035" s="58">
        <v>0</v>
      </c>
      <c r="AR1035" s="58">
        <v>0</v>
      </c>
      <c r="AS1035" s="58">
        <v>1</v>
      </c>
      <c r="AT1035" s="58">
        <v>0</v>
      </c>
      <c r="AU1035" s="58">
        <v>33</v>
      </c>
      <c r="AV1035" s="58">
        <v>1538522.6</v>
      </c>
      <c r="AW1035" s="58">
        <v>36</v>
      </c>
      <c r="AX1035" s="58">
        <v>1560781.89</v>
      </c>
    </row>
    <row r="1036" spans="1:50" x14ac:dyDescent="0.25">
      <c r="A1036" s="52">
        <f t="shared" si="50"/>
        <v>1031</v>
      </c>
      <c r="B1036" s="60" t="str">
        <f t="shared" si="49"/>
        <v>0105644829</v>
      </c>
      <c r="C1036" s="55" t="s">
        <v>39</v>
      </c>
      <c r="D1036" s="53" t="s">
        <v>2160</v>
      </c>
      <c r="E1036" s="55" t="str">
        <f t="shared" si="48"/>
        <v>01056</v>
      </c>
      <c r="F1036" s="53" t="s">
        <v>2161</v>
      </c>
      <c r="G1036" s="55" t="s">
        <v>19</v>
      </c>
      <c r="H1036" s="53" t="s">
        <v>1935</v>
      </c>
      <c r="I1036" s="55">
        <v>303239459</v>
      </c>
      <c r="J1036" s="55" t="s">
        <v>1953</v>
      </c>
      <c r="K1036" s="55" t="s">
        <v>1954</v>
      </c>
      <c r="L1036" s="53" t="s">
        <v>2054</v>
      </c>
      <c r="M1036" s="55" t="s">
        <v>75</v>
      </c>
      <c r="N1036" s="52">
        <v>80000</v>
      </c>
      <c r="O1036" s="52">
        <v>965420800</v>
      </c>
      <c r="P1036" s="52">
        <v>965420800</v>
      </c>
      <c r="Q1036" s="57">
        <v>45698</v>
      </c>
      <c r="R1036" s="57">
        <v>46244</v>
      </c>
      <c r="S1036" s="56">
        <v>14</v>
      </c>
      <c r="T1036" s="54">
        <v>3</v>
      </c>
      <c r="U1036" s="52">
        <v>455433391.99000001</v>
      </c>
      <c r="V1036" s="52">
        <v>455433391.99000001</v>
      </c>
      <c r="W1036" s="52">
        <v>0</v>
      </c>
      <c r="X1036" s="57"/>
      <c r="Y1036" s="52">
        <v>0</v>
      </c>
      <c r="Z1036" s="52">
        <v>0</v>
      </c>
      <c r="AA1036" s="52">
        <v>1</v>
      </c>
      <c r="AB1036" s="52">
        <v>0</v>
      </c>
      <c r="AC1036" s="52">
        <v>3036233.9989999998</v>
      </c>
      <c r="AD1036" s="52">
        <v>3036233.9989999998</v>
      </c>
      <c r="AE1036" s="52">
        <v>0</v>
      </c>
      <c r="AF1036" s="52">
        <v>0</v>
      </c>
      <c r="AG1036" s="52">
        <v>0</v>
      </c>
      <c r="AH1036" s="52">
        <v>0</v>
      </c>
      <c r="AI1036" s="52">
        <v>0</v>
      </c>
      <c r="AJ1036" s="52">
        <v>2</v>
      </c>
      <c r="AK1036" s="52"/>
      <c r="AL1036" s="52">
        <v>44227017537</v>
      </c>
      <c r="AM1036" s="52">
        <v>0</v>
      </c>
      <c r="AN1036" s="52">
        <v>6198588125</v>
      </c>
      <c r="AO1036" s="52">
        <v>4585259000</v>
      </c>
      <c r="AP1036" s="52">
        <v>0</v>
      </c>
      <c r="AQ1036" s="58">
        <v>0</v>
      </c>
      <c r="AR1036" s="58">
        <v>0</v>
      </c>
      <c r="AS1036" s="58">
        <v>9</v>
      </c>
      <c r="AT1036" s="58">
        <v>224280</v>
      </c>
      <c r="AU1036" s="58">
        <v>11</v>
      </c>
      <c r="AV1036" s="58">
        <v>452549.48</v>
      </c>
      <c r="AW1036" s="58">
        <v>22</v>
      </c>
      <c r="AX1036" s="58">
        <v>840958.2300000001</v>
      </c>
    </row>
    <row r="1037" spans="1:50" x14ac:dyDescent="0.25">
      <c r="A1037" s="52">
        <f t="shared" si="50"/>
        <v>1032</v>
      </c>
      <c r="B1037" s="60" t="str">
        <f t="shared" si="49"/>
        <v>0105644800</v>
      </c>
      <c r="C1037" s="55" t="s">
        <v>39</v>
      </c>
      <c r="D1037" s="53" t="s">
        <v>2160</v>
      </c>
      <c r="E1037" s="55" t="str">
        <f t="shared" si="48"/>
        <v>01056</v>
      </c>
      <c r="F1037" s="53" t="s">
        <v>2161</v>
      </c>
      <c r="G1037" s="55" t="s">
        <v>19</v>
      </c>
      <c r="H1037" s="53" t="s">
        <v>2653</v>
      </c>
      <c r="I1037" s="55">
        <v>304977474</v>
      </c>
      <c r="J1037" s="55" t="s">
        <v>1955</v>
      </c>
      <c r="K1037" s="55" t="s">
        <v>1956</v>
      </c>
      <c r="L1037" s="53" t="s">
        <v>2054</v>
      </c>
      <c r="M1037" s="55" t="s">
        <v>75</v>
      </c>
      <c r="N1037" s="52">
        <v>50000</v>
      </c>
      <c r="O1037" s="52">
        <v>603388000</v>
      </c>
      <c r="P1037" s="52">
        <v>603388000</v>
      </c>
      <c r="Q1037" s="57">
        <v>45693</v>
      </c>
      <c r="R1037" s="57">
        <v>46785</v>
      </c>
      <c r="S1037" s="56">
        <v>14</v>
      </c>
      <c r="T1037" s="54">
        <v>1</v>
      </c>
      <c r="U1037" s="52">
        <v>410162043.92000002</v>
      </c>
      <c r="V1037" s="52">
        <v>410162043.92000002</v>
      </c>
      <c r="W1037" s="52">
        <v>0</v>
      </c>
      <c r="X1037" s="57"/>
      <c r="Y1037" s="52">
        <v>0</v>
      </c>
      <c r="Z1037" s="52">
        <v>0</v>
      </c>
      <c r="AA1037" s="52">
        <v>1</v>
      </c>
      <c r="AB1037" s="52">
        <v>0</v>
      </c>
      <c r="AC1037" s="52">
        <v>3190186.6409999998</v>
      </c>
      <c r="AD1037" s="52">
        <v>3190186.6409999998</v>
      </c>
      <c r="AE1037" s="52">
        <v>0</v>
      </c>
      <c r="AF1037" s="52">
        <v>0</v>
      </c>
      <c r="AG1037" s="52">
        <v>0</v>
      </c>
      <c r="AH1037" s="52">
        <v>0</v>
      </c>
      <c r="AI1037" s="52">
        <v>0</v>
      </c>
      <c r="AJ1037" s="52">
        <v>2</v>
      </c>
      <c r="AK1037" s="52"/>
      <c r="AL1037" s="52">
        <v>0</v>
      </c>
      <c r="AM1037" s="52">
        <v>0</v>
      </c>
      <c r="AN1037" s="52">
        <v>754235000</v>
      </c>
      <c r="AO1037" s="52">
        <v>1520000250</v>
      </c>
      <c r="AP1037" s="52">
        <v>0</v>
      </c>
      <c r="AQ1037" s="58">
        <v>12</v>
      </c>
      <c r="AR1037" s="58">
        <v>36835.160000000003</v>
      </c>
      <c r="AS1037" s="58">
        <v>1</v>
      </c>
      <c r="AT1037" s="58">
        <v>5000</v>
      </c>
      <c r="AU1037" s="58">
        <v>55</v>
      </c>
      <c r="AV1037" s="58">
        <v>520852.12</v>
      </c>
      <c r="AW1037" s="58">
        <v>22</v>
      </c>
      <c r="AX1037" s="58">
        <v>345982.6</v>
      </c>
    </row>
    <row r="1038" spans="1:50" x14ac:dyDescent="0.25">
      <c r="A1038" s="52">
        <f t="shared" si="50"/>
        <v>1033</v>
      </c>
      <c r="B1038" s="60" t="str">
        <f t="shared" si="49"/>
        <v>010563721</v>
      </c>
      <c r="C1038" s="55" t="s">
        <v>39</v>
      </c>
      <c r="D1038" s="53" t="s">
        <v>2160</v>
      </c>
      <c r="E1038" s="55" t="str">
        <f t="shared" si="48"/>
        <v>01056</v>
      </c>
      <c r="F1038" s="53" t="s">
        <v>2161</v>
      </c>
      <c r="G1038" s="55" t="s">
        <v>19</v>
      </c>
      <c r="H1038" s="53" t="s">
        <v>2654</v>
      </c>
      <c r="I1038" s="55">
        <v>206653665</v>
      </c>
      <c r="J1038" s="55" t="s">
        <v>1957</v>
      </c>
      <c r="K1038" s="55" t="s">
        <v>1958</v>
      </c>
      <c r="L1038" s="53" t="s">
        <v>2045</v>
      </c>
      <c r="M1038" s="55" t="s">
        <v>49</v>
      </c>
      <c r="N1038" s="52">
        <v>14564869230</v>
      </c>
      <c r="O1038" s="52">
        <v>14564869230</v>
      </c>
      <c r="P1038" s="52">
        <v>11564869230</v>
      </c>
      <c r="Q1038" s="57">
        <v>43168</v>
      </c>
      <c r="R1038" s="57">
        <v>46087</v>
      </c>
      <c r="S1038" s="56">
        <v>17</v>
      </c>
      <c r="T1038" s="54">
        <v>24</v>
      </c>
      <c r="U1038" s="52">
        <v>398707811.83999997</v>
      </c>
      <c r="V1038" s="52">
        <v>398707811.83999997</v>
      </c>
      <c r="W1038" s="52">
        <v>0</v>
      </c>
      <c r="X1038" s="57"/>
      <c r="Y1038" s="52">
        <v>0</v>
      </c>
      <c r="Z1038" s="52">
        <v>0</v>
      </c>
      <c r="AA1038" s="52">
        <v>1</v>
      </c>
      <c r="AB1038" s="52">
        <v>0</v>
      </c>
      <c r="AC1038" s="52">
        <v>988664.24</v>
      </c>
      <c r="AD1038" s="52">
        <v>988664.24</v>
      </c>
      <c r="AE1038" s="52">
        <v>0</v>
      </c>
      <c r="AF1038" s="52">
        <v>0</v>
      </c>
      <c r="AG1038" s="52">
        <v>0</v>
      </c>
      <c r="AH1038" s="52">
        <v>0</v>
      </c>
      <c r="AI1038" s="52">
        <v>0</v>
      </c>
      <c r="AJ1038" s="52">
        <v>2</v>
      </c>
      <c r="AK1038" s="52"/>
      <c r="AL1038" s="52">
        <v>0</v>
      </c>
      <c r="AM1038" s="52">
        <v>0</v>
      </c>
      <c r="AN1038" s="52">
        <v>25000000000</v>
      </c>
      <c r="AO1038" s="52">
        <v>2427289050896</v>
      </c>
      <c r="AP1038" s="52">
        <v>2427289050896</v>
      </c>
      <c r="AQ1038" s="58">
        <v>0</v>
      </c>
      <c r="AR1038" s="58">
        <v>0</v>
      </c>
      <c r="AS1038" s="58">
        <v>163</v>
      </c>
      <c r="AT1038" s="58">
        <v>1559694.6699999997</v>
      </c>
      <c r="AU1038" s="58">
        <v>0</v>
      </c>
      <c r="AV1038" s="58">
        <v>0</v>
      </c>
      <c r="AW1038" s="58">
        <v>40</v>
      </c>
      <c r="AX1038" s="58">
        <v>865554.58</v>
      </c>
    </row>
    <row r="1039" spans="1:50" x14ac:dyDescent="0.25">
      <c r="A1039" s="52">
        <f t="shared" si="50"/>
        <v>1034</v>
      </c>
      <c r="B1039" s="60" t="str">
        <f t="shared" si="49"/>
        <v>0105645225</v>
      </c>
      <c r="C1039" s="55" t="s">
        <v>39</v>
      </c>
      <c r="D1039" s="53" t="s">
        <v>2160</v>
      </c>
      <c r="E1039" s="55" t="str">
        <f t="shared" si="48"/>
        <v>01056</v>
      </c>
      <c r="F1039" s="53" t="s">
        <v>2161</v>
      </c>
      <c r="G1039" s="55" t="s">
        <v>19</v>
      </c>
      <c r="H1039" s="53" t="s">
        <v>1935</v>
      </c>
      <c r="I1039" s="55">
        <v>303239459</v>
      </c>
      <c r="J1039" s="55" t="s">
        <v>1959</v>
      </c>
      <c r="K1039" s="55" t="s">
        <v>1960</v>
      </c>
      <c r="L1039" s="53" t="s">
        <v>2054</v>
      </c>
      <c r="M1039" s="55" t="s">
        <v>75</v>
      </c>
      <c r="N1039" s="52">
        <v>38000</v>
      </c>
      <c r="O1039" s="52">
        <v>458574880</v>
      </c>
      <c r="P1039" s="52">
        <v>458574880</v>
      </c>
      <c r="Q1039" s="57">
        <v>45859</v>
      </c>
      <c r="R1039" s="57">
        <v>46397</v>
      </c>
      <c r="S1039" s="56">
        <v>14</v>
      </c>
      <c r="T1039" s="54">
        <v>3</v>
      </c>
      <c r="U1039" s="52">
        <v>370852762</v>
      </c>
      <c r="V1039" s="52">
        <v>370852762</v>
      </c>
      <c r="W1039" s="52">
        <v>0</v>
      </c>
      <c r="X1039" s="57"/>
      <c r="Y1039" s="52">
        <v>0</v>
      </c>
      <c r="Z1039" s="52">
        <v>0</v>
      </c>
      <c r="AA1039" s="52">
        <v>1</v>
      </c>
      <c r="AB1039" s="52">
        <v>0</v>
      </c>
      <c r="AC1039" s="52">
        <v>2728206.7239999999</v>
      </c>
      <c r="AD1039" s="52">
        <v>2728206.7239999999</v>
      </c>
      <c r="AE1039" s="52">
        <v>0</v>
      </c>
      <c r="AF1039" s="52">
        <v>0</v>
      </c>
      <c r="AG1039" s="52">
        <v>0</v>
      </c>
      <c r="AH1039" s="52">
        <v>0</v>
      </c>
      <c r="AI1039" s="52">
        <v>0</v>
      </c>
      <c r="AJ1039" s="52">
        <v>2</v>
      </c>
      <c r="AK1039" s="52"/>
      <c r="AL1039" s="52">
        <v>44227017537</v>
      </c>
      <c r="AM1039" s="52">
        <v>0</v>
      </c>
      <c r="AN1039" s="52">
        <v>6198588125</v>
      </c>
      <c r="AO1039" s="52">
        <v>4585259000</v>
      </c>
      <c r="AP1039" s="52">
        <v>0</v>
      </c>
      <c r="AQ1039" s="58">
        <v>0</v>
      </c>
      <c r="AR1039" s="58">
        <v>0</v>
      </c>
      <c r="AS1039" s="58">
        <v>9</v>
      </c>
      <c r="AT1039" s="58">
        <v>224280</v>
      </c>
      <c r="AU1039" s="58">
        <v>11</v>
      </c>
      <c r="AV1039" s="58">
        <v>452549.48</v>
      </c>
      <c r="AW1039" s="58">
        <v>22</v>
      </c>
      <c r="AX1039" s="58">
        <v>840958.2300000001</v>
      </c>
    </row>
    <row r="1040" spans="1:50" x14ac:dyDescent="0.25">
      <c r="A1040" s="52">
        <f t="shared" si="50"/>
        <v>1035</v>
      </c>
      <c r="B1040" s="60" t="str">
        <f t="shared" si="49"/>
        <v>0105644477</v>
      </c>
      <c r="C1040" s="55" t="s">
        <v>39</v>
      </c>
      <c r="D1040" s="53" t="s">
        <v>2160</v>
      </c>
      <c r="E1040" s="55" t="str">
        <f t="shared" si="48"/>
        <v>01056</v>
      </c>
      <c r="F1040" s="53" t="s">
        <v>2161</v>
      </c>
      <c r="G1040" s="55" t="s">
        <v>19</v>
      </c>
      <c r="H1040" s="53" t="s">
        <v>2651</v>
      </c>
      <c r="I1040" s="55">
        <v>303496837</v>
      </c>
      <c r="J1040" s="55" t="s">
        <v>1961</v>
      </c>
      <c r="K1040" s="55" t="s">
        <v>1962</v>
      </c>
      <c r="L1040" s="53" t="s">
        <v>2054</v>
      </c>
      <c r="M1040" s="55" t="s">
        <v>49</v>
      </c>
      <c r="N1040" s="52">
        <v>1000000000</v>
      </c>
      <c r="O1040" s="52">
        <v>1000000000</v>
      </c>
      <c r="P1040" s="52">
        <v>1000000000</v>
      </c>
      <c r="Q1040" s="57">
        <v>45380</v>
      </c>
      <c r="R1040" s="57">
        <v>46456</v>
      </c>
      <c r="S1040" s="56">
        <v>27.99</v>
      </c>
      <c r="T1040" s="54">
        <v>3</v>
      </c>
      <c r="U1040" s="52">
        <v>335000000.04000002</v>
      </c>
      <c r="V1040" s="52">
        <v>335000000.04000002</v>
      </c>
      <c r="W1040" s="52">
        <v>0</v>
      </c>
      <c r="X1040" s="57"/>
      <c r="Y1040" s="52">
        <v>0</v>
      </c>
      <c r="Z1040" s="52">
        <v>0</v>
      </c>
      <c r="AA1040" s="52">
        <v>1</v>
      </c>
      <c r="AB1040" s="52">
        <v>0</v>
      </c>
      <c r="AC1040" s="52">
        <v>21322245.210000001</v>
      </c>
      <c r="AD1040" s="52">
        <v>5137890.42</v>
      </c>
      <c r="AE1040" s="52">
        <v>0</v>
      </c>
      <c r="AF1040" s="52">
        <v>0</v>
      </c>
      <c r="AG1040" s="52">
        <v>16184354.789999999</v>
      </c>
      <c r="AH1040" s="52">
        <v>0</v>
      </c>
      <c r="AI1040" s="52">
        <v>0</v>
      </c>
      <c r="AJ1040" s="52">
        <v>2</v>
      </c>
      <c r="AK1040" s="52"/>
      <c r="AL1040" s="52">
        <v>60212997</v>
      </c>
      <c r="AM1040" s="52">
        <v>4982283104</v>
      </c>
      <c r="AN1040" s="52">
        <v>1250000000</v>
      </c>
      <c r="AO1040" s="52">
        <v>2562561210</v>
      </c>
      <c r="AP1040" s="52">
        <v>0</v>
      </c>
      <c r="AQ1040" s="58">
        <v>0</v>
      </c>
      <c r="AR1040" s="58">
        <v>0</v>
      </c>
      <c r="AS1040" s="58">
        <v>0</v>
      </c>
      <c r="AT1040" s="58">
        <v>0</v>
      </c>
      <c r="AU1040" s="58">
        <v>1</v>
      </c>
      <c r="AV1040" s="58">
        <v>14000</v>
      </c>
      <c r="AW1040" s="58">
        <v>1</v>
      </c>
      <c r="AX1040" s="58">
        <v>70400</v>
      </c>
    </row>
    <row r="1041" spans="1:50" x14ac:dyDescent="0.25">
      <c r="A1041" s="52">
        <f t="shared" si="50"/>
        <v>1036</v>
      </c>
      <c r="B1041" s="60" t="str">
        <f t="shared" si="49"/>
        <v>0105645072</v>
      </c>
      <c r="C1041" s="55" t="s">
        <v>39</v>
      </c>
      <c r="D1041" s="53" t="s">
        <v>2160</v>
      </c>
      <c r="E1041" s="55" t="str">
        <f t="shared" si="48"/>
        <v>01056</v>
      </c>
      <c r="F1041" s="53" t="s">
        <v>2161</v>
      </c>
      <c r="G1041" s="55" t="s">
        <v>19</v>
      </c>
      <c r="H1041" s="53" t="s">
        <v>1935</v>
      </c>
      <c r="I1041" s="55">
        <v>303239459</v>
      </c>
      <c r="J1041" s="55" t="s">
        <v>1963</v>
      </c>
      <c r="K1041" s="55" t="s">
        <v>1964</v>
      </c>
      <c r="L1041" s="53" t="s">
        <v>2054</v>
      </c>
      <c r="M1041" s="55" t="s">
        <v>75</v>
      </c>
      <c r="N1041" s="52">
        <v>38400</v>
      </c>
      <c r="O1041" s="52">
        <v>463401984</v>
      </c>
      <c r="P1041" s="52">
        <v>463401984</v>
      </c>
      <c r="Q1041" s="57">
        <v>45796</v>
      </c>
      <c r="R1041" s="57">
        <v>46336</v>
      </c>
      <c r="S1041" s="56">
        <v>14</v>
      </c>
      <c r="T1041" s="54">
        <v>3</v>
      </c>
      <c r="U1041" s="52">
        <v>312296960.00999999</v>
      </c>
      <c r="V1041" s="52">
        <v>312296960.00999999</v>
      </c>
      <c r="W1041" s="52">
        <v>0</v>
      </c>
      <c r="X1041" s="57"/>
      <c r="Y1041" s="52">
        <v>0</v>
      </c>
      <c r="Z1041" s="52">
        <v>0</v>
      </c>
      <c r="AA1041" s="52">
        <v>1</v>
      </c>
      <c r="AB1041" s="52">
        <v>0</v>
      </c>
      <c r="AC1041" s="52">
        <v>2156190.9249999998</v>
      </c>
      <c r="AD1041" s="52">
        <v>2156190.9249999998</v>
      </c>
      <c r="AE1041" s="52">
        <v>0</v>
      </c>
      <c r="AF1041" s="52">
        <v>0</v>
      </c>
      <c r="AG1041" s="52">
        <v>0</v>
      </c>
      <c r="AH1041" s="52">
        <v>0</v>
      </c>
      <c r="AI1041" s="52">
        <v>0</v>
      </c>
      <c r="AJ1041" s="52">
        <v>2</v>
      </c>
      <c r="AK1041" s="52"/>
      <c r="AL1041" s="52">
        <v>44227017537</v>
      </c>
      <c r="AM1041" s="52">
        <v>0</v>
      </c>
      <c r="AN1041" s="52">
        <v>6198588125</v>
      </c>
      <c r="AO1041" s="52">
        <v>4585259000</v>
      </c>
      <c r="AP1041" s="52">
        <v>0</v>
      </c>
      <c r="AQ1041" s="58">
        <v>0</v>
      </c>
      <c r="AR1041" s="58">
        <v>0</v>
      </c>
      <c r="AS1041" s="58">
        <v>9</v>
      </c>
      <c r="AT1041" s="58">
        <v>224280</v>
      </c>
      <c r="AU1041" s="58">
        <v>11</v>
      </c>
      <c r="AV1041" s="58">
        <v>452549.48</v>
      </c>
      <c r="AW1041" s="58">
        <v>22</v>
      </c>
      <c r="AX1041" s="58">
        <v>840958.2300000001</v>
      </c>
    </row>
    <row r="1042" spans="1:50" x14ac:dyDescent="0.25">
      <c r="A1042" s="52">
        <f t="shared" si="50"/>
        <v>1037</v>
      </c>
      <c r="B1042" s="60" t="str">
        <f t="shared" si="49"/>
        <v>0105641611</v>
      </c>
      <c r="C1042" s="55" t="s">
        <v>39</v>
      </c>
      <c r="D1042" s="53" t="s">
        <v>2160</v>
      </c>
      <c r="E1042" s="55" t="str">
        <f t="shared" si="48"/>
        <v>01056</v>
      </c>
      <c r="F1042" s="53" t="s">
        <v>2161</v>
      </c>
      <c r="G1042" s="55" t="s">
        <v>19</v>
      </c>
      <c r="H1042" s="53" t="s">
        <v>1929</v>
      </c>
      <c r="I1042" s="55">
        <v>305466895</v>
      </c>
      <c r="J1042" s="55" t="s">
        <v>1965</v>
      </c>
      <c r="K1042" s="55" t="s">
        <v>1966</v>
      </c>
      <c r="L1042" s="53" t="s">
        <v>2054</v>
      </c>
      <c r="M1042" s="55" t="s">
        <v>49</v>
      </c>
      <c r="N1042" s="52">
        <v>2500000000</v>
      </c>
      <c r="O1042" s="52">
        <v>2500000000</v>
      </c>
      <c r="P1042" s="52">
        <v>2500000000</v>
      </c>
      <c r="Q1042" s="57">
        <v>45065</v>
      </c>
      <c r="R1042" s="57">
        <v>46157</v>
      </c>
      <c r="S1042" s="56">
        <v>23.99</v>
      </c>
      <c r="T1042" s="54">
        <v>0</v>
      </c>
      <c r="U1042" s="52">
        <v>277777777.92000002</v>
      </c>
      <c r="V1042" s="52">
        <v>277777777.92000002</v>
      </c>
      <c r="W1042" s="52">
        <v>0</v>
      </c>
      <c r="X1042" s="57"/>
      <c r="Y1042" s="52">
        <v>0</v>
      </c>
      <c r="Z1042" s="52">
        <v>0</v>
      </c>
      <c r="AA1042" s="52">
        <v>1</v>
      </c>
      <c r="AB1042" s="52">
        <v>0</v>
      </c>
      <c r="AC1042" s="52">
        <v>3103729.07</v>
      </c>
      <c r="AD1042" s="52">
        <v>3103729.07</v>
      </c>
      <c r="AE1042" s="52">
        <v>0</v>
      </c>
      <c r="AF1042" s="52">
        <v>0</v>
      </c>
      <c r="AG1042" s="52">
        <v>0</v>
      </c>
      <c r="AH1042" s="52">
        <v>0</v>
      </c>
      <c r="AI1042" s="52">
        <v>0</v>
      </c>
      <c r="AJ1042" s="52">
        <v>2</v>
      </c>
      <c r="AK1042" s="52"/>
      <c r="AL1042" s="52">
        <v>0</v>
      </c>
      <c r="AM1042" s="52">
        <v>0</v>
      </c>
      <c r="AN1042" s="52">
        <v>3125000000</v>
      </c>
      <c r="AO1042" s="52">
        <v>3250256472</v>
      </c>
      <c r="AP1042" s="52">
        <v>0</v>
      </c>
      <c r="AQ1042" s="58">
        <v>0</v>
      </c>
      <c r="AR1042" s="58">
        <v>0</v>
      </c>
      <c r="AS1042" s="58">
        <v>4</v>
      </c>
      <c r="AT1042" s="58">
        <v>1199151.3700000001</v>
      </c>
      <c r="AU1042" s="58">
        <v>0</v>
      </c>
      <c r="AV1042" s="58">
        <v>0</v>
      </c>
      <c r="AW1042" s="58">
        <v>0</v>
      </c>
      <c r="AX1042" s="58">
        <v>0</v>
      </c>
    </row>
    <row r="1043" spans="1:50" x14ac:dyDescent="0.25">
      <c r="A1043" s="52">
        <f t="shared" si="50"/>
        <v>1038</v>
      </c>
      <c r="B1043" s="60" t="str">
        <f t="shared" si="49"/>
        <v>0105644708</v>
      </c>
      <c r="C1043" s="55" t="s">
        <v>39</v>
      </c>
      <c r="D1043" s="53" t="s">
        <v>2160</v>
      </c>
      <c r="E1043" s="55" t="str">
        <f t="shared" si="48"/>
        <v>01056</v>
      </c>
      <c r="F1043" s="53" t="s">
        <v>2161</v>
      </c>
      <c r="G1043" s="55" t="s">
        <v>19</v>
      </c>
      <c r="H1043" s="53" t="s">
        <v>1940</v>
      </c>
      <c r="I1043" s="55">
        <v>302099603</v>
      </c>
      <c r="J1043" s="55" t="s">
        <v>1967</v>
      </c>
      <c r="K1043" s="55" t="s">
        <v>1968</v>
      </c>
      <c r="L1043" s="53" t="s">
        <v>2054</v>
      </c>
      <c r="M1043" s="55" t="s">
        <v>49</v>
      </c>
      <c r="N1043" s="52">
        <v>390000000</v>
      </c>
      <c r="O1043" s="52">
        <v>390000000</v>
      </c>
      <c r="P1043" s="52">
        <v>390000000</v>
      </c>
      <c r="Q1043" s="57">
        <v>45609</v>
      </c>
      <c r="R1043" s="57">
        <v>46701</v>
      </c>
      <c r="S1043" s="56">
        <v>27.99</v>
      </c>
      <c r="T1043" s="54">
        <v>0</v>
      </c>
      <c r="U1043" s="52">
        <v>238333333.38</v>
      </c>
      <c r="V1043" s="52">
        <v>238333333.38</v>
      </c>
      <c r="W1043" s="52">
        <v>0</v>
      </c>
      <c r="X1043" s="57"/>
      <c r="Y1043" s="52">
        <v>0</v>
      </c>
      <c r="Z1043" s="52">
        <v>0</v>
      </c>
      <c r="AA1043" s="52">
        <v>1</v>
      </c>
      <c r="AB1043" s="52">
        <v>0</v>
      </c>
      <c r="AC1043" s="52">
        <v>3514086.98</v>
      </c>
      <c r="AD1043" s="52">
        <v>3514086.98</v>
      </c>
      <c r="AE1043" s="52">
        <v>0</v>
      </c>
      <c r="AF1043" s="52">
        <v>0</v>
      </c>
      <c r="AG1043" s="52">
        <v>0</v>
      </c>
      <c r="AH1043" s="52">
        <v>0</v>
      </c>
      <c r="AI1043" s="52">
        <v>0</v>
      </c>
      <c r="AJ1043" s="52">
        <v>2</v>
      </c>
      <c r="AK1043" s="52"/>
      <c r="AL1043" s="52">
        <v>0</v>
      </c>
      <c r="AM1043" s="52">
        <v>0</v>
      </c>
      <c r="AN1043" s="52">
        <v>487500000</v>
      </c>
      <c r="AO1043" s="52">
        <v>1256985245</v>
      </c>
      <c r="AP1043" s="52">
        <v>0</v>
      </c>
      <c r="AQ1043" s="58">
        <v>0</v>
      </c>
      <c r="AR1043" s="58">
        <v>0</v>
      </c>
      <c r="AS1043" s="58">
        <v>0</v>
      </c>
      <c r="AT1043" s="58">
        <v>0</v>
      </c>
      <c r="AU1043" s="58">
        <v>0</v>
      </c>
      <c r="AV1043" s="58">
        <v>0</v>
      </c>
      <c r="AW1043" s="58">
        <v>0</v>
      </c>
      <c r="AX1043" s="58">
        <v>0</v>
      </c>
    </row>
    <row r="1044" spans="1:50" x14ac:dyDescent="0.25">
      <c r="A1044" s="52">
        <f t="shared" si="50"/>
        <v>1039</v>
      </c>
      <c r="B1044" s="60" t="str">
        <f t="shared" si="49"/>
        <v>0105645314</v>
      </c>
      <c r="C1044" s="55" t="s">
        <v>39</v>
      </c>
      <c r="D1044" s="53" t="s">
        <v>2160</v>
      </c>
      <c r="E1044" s="55" t="str">
        <f t="shared" si="48"/>
        <v>01056</v>
      </c>
      <c r="F1044" s="53" t="s">
        <v>2161</v>
      </c>
      <c r="G1044" s="55" t="s">
        <v>19</v>
      </c>
      <c r="H1044" s="53" t="s">
        <v>2653</v>
      </c>
      <c r="I1044" s="55">
        <v>304977474</v>
      </c>
      <c r="J1044" s="55" t="s">
        <v>1969</v>
      </c>
      <c r="K1044" s="55" t="s">
        <v>1970</v>
      </c>
      <c r="L1044" s="53" t="s">
        <v>2054</v>
      </c>
      <c r="M1044" s="55" t="s">
        <v>75</v>
      </c>
      <c r="N1044" s="52">
        <v>28000</v>
      </c>
      <c r="O1044" s="52">
        <v>337897280</v>
      </c>
      <c r="P1044" s="52">
        <v>337897280</v>
      </c>
      <c r="Q1044" s="57">
        <v>45904</v>
      </c>
      <c r="R1044" s="57">
        <v>46268</v>
      </c>
      <c r="S1044" s="56">
        <v>15</v>
      </c>
      <c r="T1044" s="54">
        <v>1</v>
      </c>
      <c r="U1044" s="52">
        <v>227716696</v>
      </c>
      <c r="V1044" s="52">
        <v>227716696</v>
      </c>
      <c r="W1044" s="52">
        <v>0</v>
      </c>
      <c r="X1044" s="57"/>
      <c r="Y1044" s="52">
        <v>0</v>
      </c>
      <c r="Z1044" s="52">
        <v>0</v>
      </c>
      <c r="AA1044" s="52">
        <v>1</v>
      </c>
      <c r="AB1044" s="52">
        <v>0</v>
      </c>
      <c r="AC1044" s="52">
        <v>1897570.0049999999</v>
      </c>
      <c r="AD1044" s="52">
        <v>1897570.0049999999</v>
      </c>
      <c r="AE1044" s="52">
        <v>0</v>
      </c>
      <c r="AF1044" s="52">
        <v>0</v>
      </c>
      <c r="AG1044" s="52">
        <v>0</v>
      </c>
      <c r="AH1044" s="52">
        <v>0</v>
      </c>
      <c r="AI1044" s="52">
        <v>0</v>
      </c>
      <c r="AJ1044" s="52">
        <v>2</v>
      </c>
      <c r="AK1044" s="52"/>
      <c r="AL1044" s="52">
        <v>0</v>
      </c>
      <c r="AM1044" s="52">
        <v>0</v>
      </c>
      <c r="AN1044" s="52">
        <v>422371600</v>
      </c>
      <c r="AO1044" s="52">
        <v>1520000250</v>
      </c>
      <c r="AP1044" s="52">
        <v>0</v>
      </c>
      <c r="AQ1044" s="58">
        <v>12</v>
      </c>
      <c r="AR1044" s="58">
        <v>36835.160000000003</v>
      </c>
      <c r="AS1044" s="58">
        <v>1</v>
      </c>
      <c r="AT1044" s="58">
        <v>5000</v>
      </c>
      <c r="AU1044" s="58">
        <v>55</v>
      </c>
      <c r="AV1044" s="58">
        <v>520852.12</v>
      </c>
      <c r="AW1044" s="58">
        <v>22</v>
      </c>
      <c r="AX1044" s="58">
        <v>345982.6</v>
      </c>
    </row>
    <row r="1045" spans="1:50" x14ac:dyDescent="0.25">
      <c r="A1045" s="52">
        <f t="shared" si="50"/>
        <v>1040</v>
      </c>
      <c r="B1045" s="60" t="str">
        <f t="shared" si="49"/>
        <v>0105644943</v>
      </c>
      <c r="C1045" s="55" t="s">
        <v>39</v>
      </c>
      <c r="D1045" s="53" t="s">
        <v>2160</v>
      </c>
      <c r="E1045" s="55" t="str">
        <f t="shared" si="48"/>
        <v>01056</v>
      </c>
      <c r="F1045" s="53" t="s">
        <v>2161</v>
      </c>
      <c r="G1045" s="55" t="s">
        <v>19</v>
      </c>
      <c r="H1045" s="53" t="s">
        <v>1935</v>
      </c>
      <c r="I1045" s="55">
        <v>303239459</v>
      </c>
      <c r="J1045" s="55" t="s">
        <v>1971</v>
      </c>
      <c r="K1045" s="55" t="s">
        <v>1972</v>
      </c>
      <c r="L1045" s="53" t="s">
        <v>2054</v>
      </c>
      <c r="M1045" s="55" t="s">
        <v>75</v>
      </c>
      <c r="N1045" s="52">
        <v>30000</v>
      </c>
      <c r="O1045" s="52">
        <v>362032800</v>
      </c>
      <c r="P1045" s="52">
        <v>362032800</v>
      </c>
      <c r="Q1045" s="57">
        <v>45758</v>
      </c>
      <c r="R1045" s="57">
        <v>46305</v>
      </c>
      <c r="S1045" s="56">
        <v>14</v>
      </c>
      <c r="T1045" s="54">
        <v>3</v>
      </c>
      <c r="U1045" s="52">
        <v>219583800.00999999</v>
      </c>
      <c r="V1045" s="52">
        <v>219583800.00999999</v>
      </c>
      <c r="W1045" s="52">
        <v>0</v>
      </c>
      <c r="X1045" s="57"/>
      <c r="Y1045" s="52">
        <v>0</v>
      </c>
      <c r="Z1045" s="52">
        <v>0</v>
      </c>
      <c r="AA1045" s="52">
        <v>1</v>
      </c>
      <c r="AB1045" s="52">
        <v>0</v>
      </c>
      <c r="AC1045" s="52">
        <v>1518056.004</v>
      </c>
      <c r="AD1045" s="52">
        <v>1518056.004</v>
      </c>
      <c r="AE1045" s="52">
        <v>0</v>
      </c>
      <c r="AF1045" s="52">
        <v>0</v>
      </c>
      <c r="AG1045" s="52">
        <v>0</v>
      </c>
      <c r="AH1045" s="52">
        <v>0</v>
      </c>
      <c r="AI1045" s="52">
        <v>0</v>
      </c>
      <c r="AJ1045" s="52">
        <v>2</v>
      </c>
      <c r="AK1045" s="52"/>
      <c r="AL1045" s="52">
        <v>44227017537</v>
      </c>
      <c r="AM1045" s="52">
        <v>0</v>
      </c>
      <c r="AN1045" s="52">
        <v>6198588125</v>
      </c>
      <c r="AO1045" s="52">
        <v>4585259000</v>
      </c>
      <c r="AP1045" s="52">
        <v>0</v>
      </c>
      <c r="AQ1045" s="58">
        <v>0</v>
      </c>
      <c r="AR1045" s="58">
        <v>0</v>
      </c>
      <c r="AS1045" s="58">
        <v>9</v>
      </c>
      <c r="AT1045" s="58">
        <v>224280</v>
      </c>
      <c r="AU1045" s="58">
        <v>11</v>
      </c>
      <c r="AV1045" s="58">
        <v>452549.48</v>
      </c>
      <c r="AW1045" s="58">
        <v>22</v>
      </c>
      <c r="AX1045" s="58">
        <v>840958.2300000001</v>
      </c>
    </row>
    <row r="1046" spans="1:50" x14ac:dyDescent="0.25">
      <c r="A1046" s="52">
        <f t="shared" si="50"/>
        <v>1041</v>
      </c>
      <c r="B1046" s="60" t="str">
        <f t="shared" si="49"/>
        <v>0105644666</v>
      </c>
      <c r="C1046" s="55" t="s">
        <v>39</v>
      </c>
      <c r="D1046" s="53" t="s">
        <v>2160</v>
      </c>
      <c r="E1046" s="55" t="str">
        <f t="shared" si="48"/>
        <v>01056</v>
      </c>
      <c r="F1046" s="53" t="s">
        <v>2161</v>
      </c>
      <c r="G1046" s="55" t="s">
        <v>19</v>
      </c>
      <c r="H1046" s="53" t="s">
        <v>2652</v>
      </c>
      <c r="I1046" s="55">
        <v>307575316</v>
      </c>
      <c r="J1046" s="55" t="s">
        <v>1973</v>
      </c>
      <c r="K1046" s="55" t="s">
        <v>1974</v>
      </c>
      <c r="L1046" s="53" t="s">
        <v>2054</v>
      </c>
      <c r="M1046" s="55" t="s">
        <v>75</v>
      </c>
      <c r="N1046" s="52">
        <v>119210</v>
      </c>
      <c r="O1046" s="52">
        <v>1438597669.5999999</v>
      </c>
      <c r="P1046" s="52">
        <v>1438597670</v>
      </c>
      <c r="Q1046" s="57">
        <v>45560</v>
      </c>
      <c r="R1046" s="57">
        <v>46091</v>
      </c>
      <c r="S1046" s="56">
        <v>14</v>
      </c>
      <c r="T1046" s="54">
        <v>4</v>
      </c>
      <c r="U1046" s="52">
        <v>207750673.00999999</v>
      </c>
      <c r="V1046" s="52">
        <v>207750673.00999999</v>
      </c>
      <c r="W1046" s="52">
        <v>0</v>
      </c>
      <c r="X1046" s="57"/>
      <c r="Y1046" s="52">
        <v>0</v>
      </c>
      <c r="Z1046" s="52">
        <v>0</v>
      </c>
      <c r="AA1046" s="52">
        <v>1</v>
      </c>
      <c r="AB1046" s="52">
        <v>0</v>
      </c>
      <c r="AC1046" s="52">
        <v>1615892.7860000001</v>
      </c>
      <c r="AD1046" s="52">
        <v>1615892.7860000001</v>
      </c>
      <c r="AE1046" s="52">
        <v>0</v>
      </c>
      <c r="AF1046" s="52">
        <v>0</v>
      </c>
      <c r="AG1046" s="52">
        <v>0</v>
      </c>
      <c r="AH1046" s="52">
        <v>0</v>
      </c>
      <c r="AI1046" s="52">
        <v>0</v>
      </c>
      <c r="AJ1046" s="52">
        <v>2</v>
      </c>
      <c r="AK1046" s="52"/>
      <c r="AL1046" s="52">
        <v>0</v>
      </c>
      <c r="AM1046" s="52">
        <v>0</v>
      </c>
      <c r="AN1046" s="52">
        <v>17982470875</v>
      </c>
      <c r="AO1046" s="52">
        <v>526200254</v>
      </c>
      <c r="AP1046" s="52">
        <v>0</v>
      </c>
      <c r="AQ1046" s="58">
        <v>0</v>
      </c>
      <c r="AR1046" s="58">
        <v>0</v>
      </c>
      <c r="AS1046" s="58">
        <v>1</v>
      </c>
      <c r="AT1046" s="58">
        <v>0</v>
      </c>
      <c r="AU1046" s="58">
        <v>33</v>
      </c>
      <c r="AV1046" s="58">
        <v>1538522.6</v>
      </c>
      <c r="AW1046" s="58">
        <v>36</v>
      </c>
      <c r="AX1046" s="58">
        <v>1560781.89</v>
      </c>
    </row>
    <row r="1047" spans="1:50" x14ac:dyDescent="0.25">
      <c r="A1047" s="52">
        <f t="shared" si="50"/>
        <v>1042</v>
      </c>
      <c r="B1047" s="60" t="str">
        <f t="shared" si="49"/>
        <v>0105645157</v>
      </c>
      <c r="C1047" s="55" t="s">
        <v>39</v>
      </c>
      <c r="D1047" s="53" t="s">
        <v>2160</v>
      </c>
      <c r="E1047" s="55" t="str">
        <f t="shared" si="48"/>
        <v>01056</v>
      </c>
      <c r="F1047" s="53" t="s">
        <v>2161</v>
      </c>
      <c r="G1047" s="55" t="s">
        <v>19</v>
      </c>
      <c r="H1047" s="53" t="s">
        <v>2653</v>
      </c>
      <c r="I1047" s="55">
        <v>304977474</v>
      </c>
      <c r="J1047" s="55" t="s">
        <v>1975</v>
      </c>
      <c r="K1047" s="55" t="s">
        <v>1976</v>
      </c>
      <c r="L1047" s="53" t="s">
        <v>2054</v>
      </c>
      <c r="M1047" s="55" t="s">
        <v>75</v>
      </c>
      <c r="N1047" s="52">
        <v>48000</v>
      </c>
      <c r="O1047" s="52">
        <v>579252480</v>
      </c>
      <c r="P1047" s="52">
        <v>579252480</v>
      </c>
      <c r="Q1047" s="57">
        <v>45840</v>
      </c>
      <c r="R1047" s="57">
        <v>46204</v>
      </c>
      <c r="S1047" s="56">
        <v>15</v>
      </c>
      <c r="T1047" s="54">
        <v>1</v>
      </c>
      <c r="U1047" s="52">
        <v>207384700.00999999</v>
      </c>
      <c r="V1047" s="52">
        <v>207384700.00999999</v>
      </c>
      <c r="W1047" s="52">
        <v>0</v>
      </c>
      <c r="X1047" s="57"/>
      <c r="Y1047" s="52">
        <v>0</v>
      </c>
      <c r="Z1047" s="52">
        <v>0</v>
      </c>
      <c r="AA1047" s="52">
        <v>1</v>
      </c>
      <c r="AB1047" s="52">
        <v>0</v>
      </c>
      <c r="AC1047" s="52">
        <v>1728124.5060000001</v>
      </c>
      <c r="AD1047" s="52">
        <v>1728124.5060000001</v>
      </c>
      <c r="AE1047" s="52">
        <v>0</v>
      </c>
      <c r="AF1047" s="52">
        <v>0</v>
      </c>
      <c r="AG1047" s="52">
        <v>0</v>
      </c>
      <c r="AH1047" s="52">
        <v>0</v>
      </c>
      <c r="AI1047" s="52">
        <v>0</v>
      </c>
      <c r="AJ1047" s="52">
        <v>2</v>
      </c>
      <c r="AK1047" s="52"/>
      <c r="AL1047" s="52">
        <v>0</v>
      </c>
      <c r="AM1047" s="52">
        <v>0</v>
      </c>
      <c r="AN1047" s="52">
        <v>724065600</v>
      </c>
      <c r="AO1047" s="52">
        <v>1520000250</v>
      </c>
      <c r="AP1047" s="52">
        <v>0</v>
      </c>
      <c r="AQ1047" s="58">
        <v>12</v>
      </c>
      <c r="AR1047" s="58">
        <v>36835.160000000003</v>
      </c>
      <c r="AS1047" s="58">
        <v>1</v>
      </c>
      <c r="AT1047" s="58">
        <v>5000</v>
      </c>
      <c r="AU1047" s="58">
        <v>55</v>
      </c>
      <c r="AV1047" s="58">
        <v>520852.12</v>
      </c>
      <c r="AW1047" s="58">
        <v>22</v>
      </c>
      <c r="AX1047" s="58">
        <v>345982.6</v>
      </c>
    </row>
    <row r="1048" spans="1:50" x14ac:dyDescent="0.25">
      <c r="A1048" s="52">
        <f t="shared" si="50"/>
        <v>1043</v>
      </c>
      <c r="B1048" s="60" t="str">
        <f t="shared" si="49"/>
        <v>0105644635</v>
      </c>
      <c r="C1048" s="55" t="s">
        <v>39</v>
      </c>
      <c r="D1048" s="53" t="s">
        <v>2160</v>
      </c>
      <c r="E1048" s="55" t="str">
        <f t="shared" si="48"/>
        <v>01056</v>
      </c>
      <c r="F1048" s="53" t="s">
        <v>2161</v>
      </c>
      <c r="G1048" s="55" t="s">
        <v>19</v>
      </c>
      <c r="H1048" s="53" t="s">
        <v>2652</v>
      </c>
      <c r="I1048" s="55">
        <v>307575316</v>
      </c>
      <c r="J1048" s="55" t="s">
        <v>1977</v>
      </c>
      <c r="K1048" s="55" t="s">
        <v>1978</v>
      </c>
      <c r="L1048" s="53" t="s">
        <v>2054</v>
      </c>
      <c r="M1048" s="55" t="s">
        <v>75</v>
      </c>
      <c r="N1048" s="52">
        <v>160790</v>
      </c>
      <c r="O1048" s="52">
        <v>1940375130.4000001</v>
      </c>
      <c r="P1048" s="52">
        <v>1940375130</v>
      </c>
      <c r="Q1048" s="57">
        <v>45531</v>
      </c>
      <c r="R1048" s="57">
        <v>46063</v>
      </c>
      <c r="S1048" s="56">
        <v>14</v>
      </c>
      <c r="T1048" s="54">
        <v>4</v>
      </c>
      <c r="U1048" s="52">
        <v>140106663.50999999</v>
      </c>
      <c r="V1048" s="52">
        <v>140106663.50999999</v>
      </c>
      <c r="W1048" s="52">
        <v>0</v>
      </c>
      <c r="X1048" s="57"/>
      <c r="Y1048" s="52">
        <v>0</v>
      </c>
      <c r="Z1048" s="52">
        <v>0</v>
      </c>
      <c r="AA1048" s="52">
        <v>1</v>
      </c>
      <c r="AB1048" s="52">
        <v>0</v>
      </c>
      <c r="AC1048" s="52">
        <v>1089745.6029999999</v>
      </c>
      <c r="AD1048" s="52">
        <v>1089745.6029999999</v>
      </c>
      <c r="AE1048" s="52">
        <v>0</v>
      </c>
      <c r="AF1048" s="52">
        <v>0</v>
      </c>
      <c r="AG1048" s="52">
        <v>0</v>
      </c>
      <c r="AH1048" s="52">
        <v>0</v>
      </c>
      <c r="AI1048" s="52">
        <v>0</v>
      </c>
      <c r="AJ1048" s="52">
        <v>2</v>
      </c>
      <c r="AK1048" s="52"/>
      <c r="AL1048" s="52">
        <v>0</v>
      </c>
      <c r="AM1048" s="52">
        <v>0</v>
      </c>
      <c r="AN1048" s="52">
        <v>2425468912</v>
      </c>
      <c r="AO1048" s="52">
        <v>526200254</v>
      </c>
      <c r="AP1048" s="52">
        <v>0</v>
      </c>
      <c r="AQ1048" s="58">
        <v>0</v>
      </c>
      <c r="AR1048" s="58">
        <v>0</v>
      </c>
      <c r="AS1048" s="58">
        <v>1</v>
      </c>
      <c r="AT1048" s="58">
        <v>0</v>
      </c>
      <c r="AU1048" s="58">
        <v>33</v>
      </c>
      <c r="AV1048" s="58">
        <v>1538522.6</v>
      </c>
      <c r="AW1048" s="58">
        <v>36</v>
      </c>
      <c r="AX1048" s="58">
        <v>1560781.89</v>
      </c>
    </row>
    <row r="1049" spans="1:50" x14ac:dyDescent="0.25">
      <c r="A1049" s="52">
        <f t="shared" si="50"/>
        <v>1044</v>
      </c>
      <c r="B1049" s="60" t="str">
        <f t="shared" si="49"/>
        <v>0108028109</v>
      </c>
      <c r="C1049" s="55" t="s">
        <v>39</v>
      </c>
      <c r="D1049" s="53" t="s">
        <v>2160</v>
      </c>
      <c r="E1049" s="55" t="str">
        <f t="shared" si="48"/>
        <v>01080</v>
      </c>
      <c r="F1049" s="53" t="s">
        <v>2162</v>
      </c>
      <c r="G1049" s="55" t="s">
        <v>20</v>
      </c>
      <c r="H1049" s="53" t="s">
        <v>2655</v>
      </c>
      <c r="I1049" s="55">
        <v>301031980</v>
      </c>
      <c r="J1049" s="55" t="s">
        <v>1979</v>
      </c>
      <c r="K1049" s="55" t="s">
        <v>1980</v>
      </c>
      <c r="L1049" s="53" t="s">
        <v>2045</v>
      </c>
      <c r="M1049" s="55" t="s">
        <v>49</v>
      </c>
      <c r="N1049" s="52">
        <v>10000000000</v>
      </c>
      <c r="O1049" s="52">
        <v>10000000000</v>
      </c>
      <c r="P1049" s="52">
        <v>10000000000</v>
      </c>
      <c r="Q1049" s="57">
        <v>45898</v>
      </c>
      <c r="R1049" s="57">
        <v>46975</v>
      </c>
      <c r="S1049" s="56">
        <v>27</v>
      </c>
      <c r="T1049" s="54">
        <v>6</v>
      </c>
      <c r="U1049" s="52">
        <v>10000000000</v>
      </c>
      <c r="V1049" s="52">
        <v>10000000000</v>
      </c>
      <c r="W1049" s="52">
        <v>0</v>
      </c>
      <c r="X1049" s="57"/>
      <c r="Y1049" s="52">
        <v>0</v>
      </c>
      <c r="Z1049" s="52">
        <v>0</v>
      </c>
      <c r="AA1049" s="52">
        <v>1</v>
      </c>
      <c r="AB1049" s="52">
        <v>0</v>
      </c>
      <c r="AC1049" s="52">
        <v>147945205.47999999</v>
      </c>
      <c r="AD1049" s="52">
        <v>147945205.47999999</v>
      </c>
      <c r="AE1049" s="52">
        <v>0</v>
      </c>
      <c r="AF1049" s="52">
        <v>0</v>
      </c>
      <c r="AG1049" s="52">
        <v>0</v>
      </c>
      <c r="AH1049" s="52">
        <v>0</v>
      </c>
      <c r="AI1049" s="52">
        <v>0</v>
      </c>
      <c r="AJ1049" s="52">
        <v>2</v>
      </c>
      <c r="AK1049" s="52"/>
      <c r="AL1049" s="52">
        <v>0</v>
      </c>
      <c r="AM1049" s="52">
        <v>0</v>
      </c>
      <c r="AN1049" s="52">
        <v>12500000000</v>
      </c>
      <c r="AO1049" s="52">
        <v>2048245388154</v>
      </c>
      <c r="AP1049" s="52">
        <v>169027000</v>
      </c>
      <c r="AQ1049" s="58">
        <v>0</v>
      </c>
      <c r="AR1049" s="58">
        <v>0</v>
      </c>
      <c r="AS1049" s="58">
        <v>0</v>
      </c>
      <c r="AT1049" s="58">
        <v>0</v>
      </c>
      <c r="AU1049" s="58">
        <v>26</v>
      </c>
      <c r="AV1049" s="58">
        <v>73386.600000000006</v>
      </c>
      <c r="AW1049" s="58">
        <v>2</v>
      </c>
      <c r="AX1049" s="58">
        <v>7933</v>
      </c>
    </row>
    <row r="1050" spans="1:50" x14ac:dyDescent="0.25">
      <c r="A1050" s="52">
        <f t="shared" si="50"/>
        <v>1045</v>
      </c>
      <c r="B1050" s="60" t="str">
        <f t="shared" si="49"/>
        <v>0108027498</v>
      </c>
      <c r="C1050" s="55" t="s">
        <v>39</v>
      </c>
      <c r="D1050" s="53" t="s">
        <v>2160</v>
      </c>
      <c r="E1050" s="55" t="str">
        <f t="shared" si="48"/>
        <v>01080</v>
      </c>
      <c r="F1050" s="53" t="s">
        <v>2162</v>
      </c>
      <c r="G1050" s="55" t="s">
        <v>20</v>
      </c>
      <c r="H1050" s="53" t="s">
        <v>2656</v>
      </c>
      <c r="I1050" s="55">
        <v>309043636</v>
      </c>
      <c r="J1050" s="55" t="s">
        <v>1981</v>
      </c>
      <c r="K1050" s="55" t="s">
        <v>1982</v>
      </c>
      <c r="L1050" s="53" t="s">
        <v>2045</v>
      </c>
      <c r="M1050" s="55" t="s">
        <v>49</v>
      </c>
      <c r="N1050" s="52">
        <v>10000000000</v>
      </c>
      <c r="O1050" s="52">
        <v>10000000000</v>
      </c>
      <c r="P1050" s="52">
        <v>10000000000</v>
      </c>
      <c r="Q1050" s="57">
        <v>45498</v>
      </c>
      <c r="R1050" s="57">
        <v>46584</v>
      </c>
      <c r="S1050" s="56">
        <v>26</v>
      </c>
      <c r="T1050" s="54">
        <v>6</v>
      </c>
      <c r="U1050" s="52">
        <v>7000000000</v>
      </c>
      <c r="V1050" s="52">
        <v>6000000000</v>
      </c>
      <c r="W1050" s="52">
        <v>1000000000</v>
      </c>
      <c r="X1050" s="57">
        <v>46044</v>
      </c>
      <c r="Y1050" s="52">
        <v>0</v>
      </c>
      <c r="Z1050" s="52">
        <v>0</v>
      </c>
      <c r="AA1050" s="52">
        <v>1</v>
      </c>
      <c r="AB1050" s="52">
        <v>0</v>
      </c>
      <c r="AC1050" s="52">
        <v>208000000</v>
      </c>
      <c r="AD1050" s="52">
        <v>42739726.020000003</v>
      </c>
      <c r="AE1050" s="52">
        <v>0</v>
      </c>
      <c r="AF1050" s="52">
        <v>0</v>
      </c>
      <c r="AG1050" s="52">
        <v>165260273.97999999</v>
      </c>
      <c r="AH1050" s="52">
        <v>0</v>
      </c>
      <c r="AI1050" s="52">
        <v>0</v>
      </c>
      <c r="AJ1050" s="52">
        <v>2</v>
      </c>
      <c r="AK1050" s="52"/>
      <c r="AL1050" s="52">
        <v>0</v>
      </c>
      <c r="AM1050" s="52">
        <v>0</v>
      </c>
      <c r="AN1050" s="52">
        <v>17908820000</v>
      </c>
      <c r="AO1050" s="52">
        <v>3343000000</v>
      </c>
      <c r="AP1050" s="52">
        <v>3343000000</v>
      </c>
      <c r="AQ1050" s="58">
        <v>0</v>
      </c>
      <c r="AR1050" s="58">
        <v>0</v>
      </c>
      <c r="AS1050" s="58">
        <v>0</v>
      </c>
      <c r="AT1050" s="58">
        <v>0</v>
      </c>
      <c r="AU1050" s="58">
        <v>3</v>
      </c>
      <c r="AV1050" s="58">
        <v>10557.880000000001</v>
      </c>
      <c r="AW1050" s="58">
        <v>4</v>
      </c>
      <c r="AX1050" s="58">
        <v>12350</v>
      </c>
    </row>
    <row r="1051" spans="1:50" x14ac:dyDescent="0.25">
      <c r="A1051" s="52">
        <f t="shared" si="50"/>
        <v>1046</v>
      </c>
      <c r="B1051" s="60" t="str">
        <f t="shared" si="49"/>
        <v>0108027519</v>
      </c>
      <c r="C1051" s="55" t="s">
        <v>39</v>
      </c>
      <c r="D1051" s="53" t="s">
        <v>2160</v>
      </c>
      <c r="E1051" s="55" t="str">
        <f t="shared" si="48"/>
        <v>01080</v>
      </c>
      <c r="F1051" s="53" t="s">
        <v>2162</v>
      </c>
      <c r="G1051" s="55" t="s">
        <v>20</v>
      </c>
      <c r="H1051" s="53" t="s">
        <v>1983</v>
      </c>
      <c r="I1051" s="55">
        <v>302869127</v>
      </c>
      <c r="J1051" s="55" t="s">
        <v>1984</v>
      </c>
      <c r="K1051" s="55" t="s">
        <v>1985</v>
      </c>
      <c r="L1051" s="53" t="s">
        <v>2107</v>
      </c>
      <c r="M1051" s="55" t="s">
        <v>49</v>
      </c>
      <c r="N1051" s="52">
        <v>7000000000</v>
      </c>
      <c r="O1051" s="52">
        <v>7000000000</v>
      </c>
      <c r="P1051" s="52">
        <v>7000000000</v>
      </c>
      <c r="Q1051" s="57">
        <v>45586</v>
      </c>
      <c r="R1051" s="57">
        <v>46670</v>
      </c>
      <c r="S1051" s="56">
        <v>27</v>
      </c>
      <c r="T1051" s="54">
        <v>6</v>
      </c>
      <c r="U1051" s="52">
        <v>4900000000.0299997</v>
      </c>
      <c r="V1051" s="52">
        <v>4900000000.0299997</v>
      </c>
      <c r="W1051" s="52">
        <v>0</v>
      </c>
      <c r="X1051" s="57"/>
      <c r="Y1051" s="52">
        <v>0</v>
      </c>
      <c r="Z1051" s="52">
        <v>0</v>
      </c>
      <c r="AA1051" s="52">
        <v>1</v>
      </c>
      <c r="AB1051" s="52">
        <v>0</v>
      </c>
      <c r="AC1051" s="52">
        <v>72493150.680000007</v>
      </c>
      <c r="AD1051" s="52">
        <v>72493150.680000007</v>
      </c>
      <c r="AE1051" s="52">
        <v>0</v>
      </c>
      <c r="AF1051" s="52">
        <v>0</v>
      </c>
      <c r="AG1051" s="52">
        <v>0</v>
      </c>
      <c r="AH1051" s="52">
        <v>0</v>
      </c>
      <c r="AI1051" s="52">
        <v>0</v>
      </c>
      <c r="AJ1051" s="52">
        <v>2</v>
      </c>
      <c r="AK1051" s="52"/>
      <c r="AL1051" s="52">
        <v>0</v>
      </c>
      <c r="AM1051" s="52">
        <v>0</v>
      </c>
      <c r="AN1051" s="52">
        <v>17500000000</v>
      </c>
      <c r="AO1051" s="52">
        <v>5833075062815</v>
      </c>
      <c r="AP1051" s="52">
        <v>225754155251</v>
      </c>
      <c r="AQ1051" s="58">
        <v>1</v>
      </c>
      <c r="AR1051" s="58">
        <v>27465</v>
      </c>
      <c r="AS1051" s="58">
        <v>0</v>
      </c>
      <c r="AT1051" s="58">
        <v>0</v>
      </c>
      <c r="AU1051" s="58">
        <v>19</v>
      </c>
      <c r="AV1051" s="58">
        <v>670121.80000000005</v>
      </c>
      <c r="AW1051" s="58">
        <v>11</v>
      </c>
      <c r="AX1051" s="58">
        <v>350514.2</v>
      </c>
    </row>
    <row r="1052" spans="1:50" x14ac:dyDescent="0.25">
      <c r="A1052" s="52">
        <f t="shared" si="50"/>
        <v>1047</v>
      </c>
      <c r="B1052" s="60" t="str">
        <f t="shared" si="49"/>
        <v>0108028328</v>
      </c>
      <c r="C1052" s="55" t="s">
        <v>39</v>
      </c>
      <c r="D1052" s="53" t="s">
        <v>2160</v>
      </c>
      <c r="E1052" s="55" t="str">
        <f t="shared" si="48"/>
        <v>01080</v>
      </c>
      <c r="F1052" s="53" t="s">
        <v>2162</v>
      </c>
      <c r="G1052" s="55" t="s">
        <v>20</v>
      </c>
      <c r="H1052" s="53" t="s">
        <v>1986</v>
      </c>
      <c r="I1052" s="55">
        <v>308661217</v>
      </c>
      <c r="J1052" s="55" t="s">
        <v>1987</v>
      </c>
      <c r="K1052" s="55" t="s">
        <v>1988</v>
      </c>
      <c r="L1052" s="53" t="s">
        <v>2107</v>
      </c>
      <c r="M1052" s="55" t="s">
        <v>49</v>
      </c>
      <c r="N1052" s="52">
        <v>3000000000</v>
      </c>
      <c r="O1052" s="52">
        <v>3000000000</v>
      </c>
      <c r="P1052" s="52">
        <v>3000000000</v>
      </c>
      <c r="Q1052" s="57">
        <v>45884</v>
      </c>
      <c r="R1052" s="57">
        <v>46975</v>
      </c>
      <c r="S1052" s="56">
        <v>23.99</v>
      </c>
      <c r="T1052" s="54">
        <v>3</v>
      </c>
      <c r="U1052" s="52">
        <v>3000000000</v>
      </c>
      <c r="V1052" s="52">
        <v>2818181818.1999998</v>
      </c>
      <c r="W1052" s="52">
        <v>181818181.80000001</v>
      </c>
      <c r="X1052" s="57">
        <v>46001</v>
      </c>
      <c r="Y1052" s="52">
        <v>0</v>
      </c>
      <c r="Z1052" s="52">
        <v>0</v>
      </c>
      <c r="AA1052" s="52">
        <v>1</v>
      </c>
      <c r="AB1052" s="52">
        <v>0</v>
      </c>
      <c r="AC1052" s="52">
        <v>144370025.22</v>
      </c>
      <c r="AD1052" s="52">
        <v>37045579.07</v>
      </c>
      <c r="AE1052" s="52">
        <v>0</v>
      </c>
      <c r="AF1052" s="52">
        <v>0</v>
      </c>
      <c r="AG1052" s="52">
        <v>107324446.15000001</v>
      </c>
      <c r="AH1052" s="52">
        <v>0</v>
      </c>
      <c r="AI1052" s="52">
        <v>0</v>
      </c>
      <c r="AJ1052" s="52">
        <v>2</v>
      </c>
      <c r="AK1052" s="52"/>
      <c r="AL1052" s="52">
        <v>0</v>
      </c>
      <c r="AM1052" s="52">
        <v>0</v>
      </c>
      <c r="AN1052" s="52">
        <v>3750000000</v>
      </c>
      <c r="AO1052" s="52">
        <v>392012948</v>
      </c>
      <c r="AP1052" s="52">
        <v>0</v>
      </c>
      <c r="AQ1052" s="58">
        <v>0</v>
      </c>
      <c r="AR1052" s="58">
        <v>0</v>
      </c>
      <c r="AS1052" s="58">
        <v>0</v>
      </c>
      <c r="AT1052" s="58">
        <v>0</v>
      </c>
      <c r="AU1052" s="58">
        <v>0</v>
      </c>
      <c r="AV1052" s="58">
        <v>0</v>
      </c>
      <c r="AW1052" s="58">
        <v>0</v>
      </c>
      <c r="AX1052" s="58">
        <v>0</v>
      </c>
    </row>
    <row r="1053" spans="1:50" x14ac:dyDescent="0.25">
      <c r="A1053" s="52">
        <f t="shared" si="50"/>
        <v>1048</v>
      </c>
      <c r="B1053" s="60" t="str">
        <f t="shared" si="49"/>
        <v>0108027646</v>
      </c>
      <c r="C1053" s="55" t="s">
        <v>39</v>
      </c>
      <c r="D1053" s="53" t="s">
        <v>2160</v>
      </c>
      <c r="E1053" s="55" t="str">
        <f t="shared" si="48"/>
        <v>01080</v>
      </c>
      <c r="F1053" s="53" t="s">
        <v>2162</v>
      </c>
      <c r="G1053" s="55" t="s">
        <v>20</v>
      </c>
      <c r="H1053" s="53" t="s">
        <v>1989</v>
      </c>
      <c r="I1053" s="55">
        <v>308443068</v>
      </c>
      <c r="J1053" s="55" t="s">
        <v>1990</v>
      </c>
      <c r="K1053" s="55" t="s">
        <v>1991</v>
      </c>
      <c r="L1053" s="53" t="s">
        <v>2107</v>
      </c>
      <c r="M1053" s="55" t="s">
        <v>49</v>
      </c>
      <c r="N1053" s="52">
        <v>2000000000</v>
      </c>
      <c r="O1053" s="52">
        <v>2000000000</v>
      </c>
      <c r="P1053" s="52">
        <v>2000000000</v>
      </c>
      <c r="Q1053" s="57">
        <v>45716</v>
      </c>
      <c r="R1053" s="57">
        <v>46793</v>
      </c>
      <c r="S1053" s="56">
        <v>0</v>
      </c>
      <c r="T1053" s="54">
        <v>3</v>
      </c>
      <c r="U1053" s="52">
        <v>1818181818.2</v>
      </c>
      <c r="V1053" s="52">
        <v>1515151515.2</v>
      </c>
      <c r="W1053" s="52">
        <v>303030303</v>
      </c>
      <c r="X1053" s="57">
        <v>45910</v>
      </c>
      <c r="Y1053" s="52">
        <v>0</v>
      </c>
      <c r="Z1053" s="52">
        <v>0</v>
      </c>
      <c r="AA1053" s="52">
        <v>3</v>
      </c>
      <c r="AB1053" s="52">
        <v>454545454.55000001</v>
      </c>
      <c r="AC1053" s="52">
        <v>159121491.63</v>
      </c>
      <c r="AD1053" s="52">
        <v>0</v>
      </c>
      <c r="AE1053" s="52">
        <v>0</v>
      </c>
      <c r="AF1053" s="52">
        <v>0</v>
      </c>
      <c r="AG1053" s="52">
        <v>159121491.63</v>
      </c>
      <c r="AH1053" s="52">
        <v>0</v>
      </c>
      <c r="AI1053" s="52">
        <v>0</v>
      </c>
      <c r="AJ1053" s="52">
        <v>2</v>
      </c>
      <c r="AK1053" s="52"/>
      <c r="AL1053" s="52">
        <v>0</v>
      </c>
      <c r="AM1053" s="52">
        <v>0</v>
      </c>
      <c r="AN1053" s="52">
        <v>2500000000</v>
      </c>
      <c r="AO1053" s="52">
        <v>3921000000</v>
      </c>
      <c r="AP1053" s="52">
        <v>28564669156</v>
      </c>
      <c r="AQ1053" s="58">
        <v>2</v>
      </c>
      <c r="AR1053" s="58">
        <v>13600</v>
      </c>
      <c r="AS1053" s="58">
        <v>8</v>
      </c>
      <c r="AT1053" s="58">
        <v>38000</v>
      </c>
      <c r="AU1053" s="58">
        <v>0</v>
      </c>
      <c r="AV1053" s="58">
        <v>0</v>
      </c>
      <c r="AW1053" s="58">
        <v>0</v>
      </c>
      <c r="AX1053" s="58">
        <v>0</v>
      </c>
    </row>
    <row r="1054" spans="1:50" x14ac:dyDescent="0.25">
      <c r="A1054" s="52">
        <f t="shared" si="50"/>
        <v>1049</v>
      </c>
      <c r="B1054" s="60" t="str">
        <f t="shared" si="49"/>
        <v>0108027480</v>
      </c>
      <c r="C1054" s="55" t="s">
        <v>39</v>
      </c>
      <c r="D1054" s="53" t="s">
        <v>2160</v>
      </c>
      <c r="E1054" s="55" t="str">
        <f t="shared" si="48"/>
        <v>01080</v>
      </c>
      <c r="F1054" s="53" t="s">
        <v>2162</v>
      </c>
      <c r="G1054" s="55" t="s">
        <v>20</v>
      </c>
      <c r="H1054" s="53" t="s">
        <v>1992</v>
      </c>
      <c r="I1054" s="55">
        <v>204493954</v>
      </c>
      <c r="J1054" s="55" t="s">
        <v>1993</v>
      </c>
      <c r="K1054" s="55" t="s">
        <v>1994</v>
      </c>
      <c r="L1054" s="53" t="s">
        <v>2107</v>
      </c>
      <c r="M1054" s="55" t="s">
        <v>49</v>
      </c>
      <c r="N1054" s="52">
        <v>3100000000</v>
      </c>
      <c r="O1054" s="52">
        <v>3100000000</v>
      </c>
      <c r="P1054" s="52">
        <v>3100000000</v>
      </c>
      <c r="Q1054" s="57">
        <v>45484</v>
      </c>
      <c r="R1054" s="57">
        <v>46578</v>
      </c>
      <c r="S1054" s="56">
        <v>27</v>
      </c>
      <c r="T1054" s="54">
        <v>0</v>
      </c>
      <c r="U1054" s="52">
        <v>1750000000</v>
      </c>
      <c r="V1054" s="52">
        <v>1750000000</v>
      </c>
      <c r="W1054" s="52">
        <v>0</v>
      </c>
      <c r="X1054" s="57"/>
      <c r="Y1054" s="52">
        <v>0</v>
      </c>
      <c r="Z1054" s="52">
        <v>0</v>
      </c>
      <c r="AA1054" s="52">
        <v>1</v>
      </c>
      <c r="AB1054" s="52">
        <v>0</v>
      </c>
      <c r="AC1054" s="52">
        <v>15534246.58</v>
      </c>
      <c r="AD1054" s="52">
        <v>15534246.58</v>
      </c>
      <c r="AE1054" s="52">
        <v>0</v>
      </c>
      <c r="AF1054" s="52">
        <v>0</v>
      </c>
      <c r="AG1054" s="52">
        <v>0</v>
      </c>
      <c r="AH1054" s="52">
        <v>0</v>
      </c>
      <c r="AI1054" s="52">
        <v>0</v>
      </c>
      <c r="AJ1054" s="52">
        <v>2</v>
      </c>
      <c r="AK1054" s="52"/>
      <c r="AL1054" s="52">
        <v>0</v>
      </c>
      <c r="AM1054" s="52">
        <v>0</v>
      </c>
      <c r="AN1054" s="52">
        <v>387499999714</v>
      </c>
      <c r="AO1054" s="52">
        <v>820922418921</v>
      </c>
      <c r="AP1054" s="52">
        <v>136910734487</v>
      </c>
      <c r="AQ1054" s="58">
        <v>0</v>
      </c>
      <c r="AR1054" s="58">
        <v>0</v>
      </c>
      <c r="AS1054" s="58">
        <v>0</v>
      </c>
      <c r="AT1054" s="58">
        <v>0</v>
      </c>
      <c r="AU1054" s="58">
        <v>17</v>
      </c>
      <c r="AV1054" s="58">
        <v>876015.91</v>
      </c>
      <c r="AW1054" s="58">
        <v>8</v>
      </c>
      <c r="AX1054" s="58">
        <v>230075</v>
      </c>
    </row>
    <row r="1055" spans="1:50" x14ac:dyDescent="0.25">
      <c r="A1055" s="52">
        <f t="shared" si="50"/>
        <v>1050</v>
      </c>
      <c r="B1055" s="60" t="str">
        <f t="shared" si="49"/>
        <v>0108027882</v>
      </c>
      <c r="C1055" s="55" t="s">
        <v>39</v>
      </c>
      <c r="D1055" s="53" t="s">
        <v>2160</v>
      </c>
      <c r="E1055" s="55" t="str">
        <f t="shared" si="48"/>
        <v>01080</v>
      </c>
      <c r="F1055" s="53" t="s">
        <v>2162</v>
      </c>
      <c r="G1055" s="55" t="s">
        <v>20</v>
      </c>
      <c r="H1055" s="53" t="s">
        <v>2657</v>
      </c>
      <c r="I1055" s="55">
        <v>308298913</v>
      </c>
      <c r="J1055" s="55" t="s">
        <v>1995</v>
      </c>
      <c r="K1055" s="55" t="s">
        <v>1996</v>
      </c>
      <c r="L1055" s="53" t="s">
        <v>2045</v>
      </c>
      <c r="M1055" s="55" t="s">
        <v>49</v>
      </c>
      <c r="N1055" s="52">
        <v>1800000000</v>
      </c>
      <c r="O1055" s="52">
        <v>1800000000</v>
      </c>
      <c r="P1055" s="52">
        <v>1800000000</v>
      </c>
      <c r="Q1055" s="57">
        <v>45776</v>
      </c>
      <c r="R1055" s="57">
        <v>46489</v>
      </c>
      <c r="S1055" s="56">
        <v>23.99</v>
      </c>
      <c r="T1055" s="54">
        <v>6</v>
      </c>
      <c r="U1055" s="52">
        <v>1560000000</v>
      </c>
      <c r="V1055" s="52">
        <v>1500000000</v>
      </c>
      <c r="W1055" s="52">
        <v>60000000</v>
      </c>
      <c r="X1055" s="57">
        <v>46034</v>
      </c>
      <c r="Y1055" s="52">
        <v>0</v>
      </c>
      <c r="Z1055" s="52">
        <v>0</v>
      </c>
      <c r="AA1055" s="52">
        <v>1</v>
      </c>
      <c r="AB1055" s="52">
        <v>0</v>
      </c>
      <c r="AC1055" s="52">
        <v>52716638.239999995</v>
      </c>
      <c r="AD1055" s="52">
        <v>19717808.219999999</v>
      </c>
      <c r="AE1055" s="52">
        <v>0</v>
      </c>
      <c r="AF1055" s="52">
        <v>0</v>
      </c>
      <c r="AG1055" s="52">
        <v>32998830.02</v>
      </c>
      <c r="AH1055" s="52">
        <v>0</v>
      </c>
      <c r="AI1055" s="52">
        <v>0</v>
      </c>
      <c r="AJ1055" s="52">
        <v>2</v>
      </c>
      <c r="AK1055" s="52"/>
      <c r="AL1055" s="52">
        <v>0</v>
      </c>
      <c r="AM1055" s="52">
        <v>0</v>
      </c>
      <c r="AN1055" s="52">
        <v>2250000000</v>
      </c>
      <c r="AO1055" s="52">
        <v>426080000</v>
      </c>
      <c r="AP1055" s="52">
        <v>32068527123</v>
      </c>
      <c r="AQ1055" s="58">
        <v>0</v>
      </c>
      <c r="AR1055" s="58">
        <v>0</v>
      </c>
      <c r="AS1055" s="58">
        <v>0</v>
      </c>
      <c r="AT1055" s="58">
        <v>0</v>
      </c>
      <c r="AU1055" s="58">
        <v>5</v>
      </c>
      <c r="AV1055" s="58">
        <v>67851</v>
      </c>
      <c r="AW1055" s="58">
        <v>0</v>
      </c>
      <c r="AX1055" s="58">
        <v>0</v>
      </c>
    </row>
    <row r="1056" spans="1:50" x14ac:dyDescent="0.25">
      <c r="A1056" s="52">
        <f t="shared" si="50"/>
        <v>1051</v>
      </c>
      <c r="B1056" s="60" t="str">
        <f t="shared" si="49"/>
        <v>0108027557</v>
      </c>
      <c r="C1056" s="55" t="s">
        <v>39</v>
      </c>
      <c r="D1056" s="53" t="s">
        <v>2160</v>
      </c>
      <c r="E1056" s="55" t="str">
        <f t="shared" si="48"/>
        <v>01080</v>
      </c>
      <c r="F1056" s="53" t="s">
        <v>2162</v>
      </c>
      <c r="G1056" s="55" t="s">
        <v>20</v>
      </c>
      <c r="H1056" s="53" t="s">
        <v>1997</v>
      </c>
      <c r="I1056" s="55">
        <v>309799669</v>
      </c>
      <c r="J1056" s="55" t="s">
        <v>1998</v>
      </c>
      <c r="K1056" s="55" t="s">
        <v>1999</v>
      </c>
      <c r="L1056" s="53" t="s">
        <v>2107</v>
      </c>
      <c r="M1056" s="55" t="s">
        <v>75</v>
      </c>
      <c r="N1056" s="52">
        <v>75000</v>
      </c>
      <c r="O1056" s="52">
        <v>905082000</v>
      </c>
      <c r="P1056" s="52">
        <v>905082000</v>
      </c>
      <c r="Q1056" s="57">
        <v>45663</v>
      </c>
      <c r="R1056" s="57">
        <v>46757</v>
      </c>
      <c r="S1056" s="56">
        <v>15</v>
      </c>
      <c r="T1056" s="54">
        <v>3</v>
      </c>
      <c r="U1056" s="52">
        <v>645080234.63</v>
      </c>
      <c r="V1056" s="52">
        <v>621825334.26999998</v>
      </c>
      <c r="W1056" s="52">
        <v>23254900.359999999</v>
      </c>
      <c r="X1056" s="57">
        <v>46034</v>
      </c>
      <c r="Y1056" s="52">
        <v>0</v>
      </c>
      <c r="Z1056" s="52">
        <v>0</v>
      </c>
      <c r="AA1056" s="52">
        <v>1</v>
      </c>
      <c r="AB1056" s="52">
        <v>0</v>
      </c>
      <c r="AC1056" s="52">
        <v>13254566.131999999</v>
      </c>
      <c r="AD1056" s="52">
        <v>5181933.6979999999</v>
      </c>
      <c r="AE1056" s="52">
        <v>0</v>
      </c>
      <c r="AF1056" s="52">
        <v>0</v>
      </c>
      <c r="AG1056" s="52">
        <v>8072632.4340000004</v>
      </c>
      <c r="AH1056" s="52">
        <v>0</v>
      </c>
      <c r="AI1056" s="52">
        <v>0</v>
      </c>
      <c r="AJ1056" s="52">
        <v>2</v>
      </c>
      <c r="AK1056" s="52"/>
      <c r="AL1056" s="52">
        <v>0</v>
      </c>
      <c r="AM1056" s="52">
        <v>0</v>
      </c>
      <c r="AN1056" s="52">
        <v>93750</v>
      </c>
      <c r="AO1056" s="52">
        <v>1280020811</v>
      </c>
      <c r="AP1056" s="52">
        <v>149165818</v>
      </c>
      <c r="AQ1056" s="58">
        <v>2</v>
      </c>
      <c r="AR1056" s="58">
        <v>64800</v>
      </c>
      <c r="AS1056" s="58">
        <v>3</v>
      </c>
      <c r="AT1056" s="58">
        <v>149198</v>
      </c>
      <c r="AU1056" s="58">
        <v>27</v>
      </c>
      <c r="AV1056" s="58">
        <v>209739.88999999998</v>
      </c>
      <c r="AW1056" s="58">
        <v>6</v>
      </c>
      <c r="AX1056" s="58">
        <v>71627.53</v>
      </c>
    </row>
    <row r="1057" spans="1:50" x14ac:dyDescent="0.25">
      <c r="A1057" s="52">
        <f t="shared" si="50"/>
        <v>1052</v>
      </c>
      <c r="B1057" s="60" t="str">
        <f t="shared" si="49"/>
        <v>0108028383</v>
      </c>
      <c r="C1057" s="55" t="s">
        <v>39</v>
      </c>
      <c r="D1057" s="53" t="s">
        <v>2160</v>
      </c>
      <c r="E1057" s="55" t="str">
        <f t="shared" si="48"/>
        <v>01080</v>
      </c>
      <c r="F1057" s="53" t="s">
        <v>2162</v>
      </c>
      <c r="G1057" s="55" t="s">
        <v>20</v>
      </c>
      <c r="H1057" s="53" t="s">
        <v>2000</v>
      </c>
      <c r="I1057" s="55">
        <v>306632324</v>
      </c>
      <c r="J1057" s="55" t="s">
        <v>2001</v>
      </c>
      <c r="K1057" s="55" t="s">
        <v>2002</v>
      </c>
      <c r="L1057" s="53" t="s">
        <v>2107</v>
      </c>
      <c r="M1057" s="55" t="s">
        <v>49</v>
      </c>
      <c r="N1057" s="52">
        <v>690000000</v>
      </c>
      <c r="O1057" s="52">
        <v>690000000</v>
      </c>
      <c r="P1057" s="52">
        <v>690000000</v>
      </c>
      <c r="Q1057" s="57">
        <v>45911</v>
      </c>
      <c r="R1057" s="57">
        <v>46275</v>
      </c>
      <c r="S1057" s="56">
        <v>26.99</v>
      </c>
      <c r="T1057" s="54">
        <v>0</v>
      </c>
      <c r="U1057" s="52">
        <v>460000000</v>
      </c>
      <c r="V1057" s="52">
        <v>460000000</v>
      </c>
      <c r="W1057" s="52">
        <v>0</v>
      </c>
      <c r="X1057" s="57"/>
      <c r="Y1057" s="52">
        <v>0</v>
      </c>
      <c r="Z1057" s="52">
        <v>0</v>
      </c>
      <c r="AA1057" s="52">
        <v>1</v>
      </c>
      <c r="AB1057" s="52">
        <v>0</v>
      </c>
      <c r="AC1057" s="52">
        <v>6802958.9000000004</v>
      </c>
      <c r="AD1057" s="52">
        <v>6802958.9000000004</v>
      </c>
      <c r="AE1057" s="52">
        <v>0</v>
      </c>
      <c r="AF1057" s="52">
        <v>0</v>
      </c>
      <c r="AG1057" s="52">
        <v>0</v>
      </c>
      <c r="AH1057" s="52">
        <v>0</v>
      </c>
      <c r="AI1057" s="52">
        <v>0</v>
      </c>
      <c r="AJ1057" s="52">
        <v>2</v>
      </c>
      <c r="AK1057" s="52"/>
      <c r="AL1057" s="52">
        <v>0</v>
      </c>
      <c r="AM1057" s="52">
        <v>0</v>
      </c>
      <c r="AN1057" s="52">
        <v>862500000</v>
      </c>
      <c r="AO1057" s="52">
        <v>9472740514991</v>
      </c>
      <c r="AP1057" s="52">
        <v>0</v>
      </c>
      <c r="AQ1057" s="58">
        <v>2</v>
      </c>
      <c r="AR1057" s="58">
        <v>72264.739999999991</v>
      </c>
      <c r="AS1057" s="58">
        <v>0</v>
      </c>
      <c r="AT1057" s="58">
        <v>0</v>
      </c>
      <c r="AU1057" s="58">
        <v>35</v>
      </c>
      <c r="AV1057" s="58">
        <v>824350</v>
      </c>
      <c r="AW1057" s="58">
        <v>3</v>
      </c>
      <c r="AX1057" s="58">
        <v>32659</v>
      </c>
    </row>
    <row r="1058" spans="1:50" x14ac:dyDescent="0.25">
      <c r="A1058" s="52">
        <f t="shared" si="50"/>
        <v>1053</v>
      </c>
      <c r="B1058" s="60" t="str">
        <f t="shared" si="49"/>
        <v>0108026188</v>
      </c>
      <c r="C1058" s="55" t="s">
        <v>39</v>
      </c>
      <c r="D1058" s="53" t="s">
        <v>2160</v>
      </c>
      <c r="E1058" s="55" t="str">
        <f t="shared" si="48"/>
        <v>01080</v>
      </c>
      <c r="F1058" s="53" t="s">
        <v>2162</v>
      </c>
      <c r="G1058" s="55" t="s">
        <v>20</v>
      </c>
      <c r="H1058" s="53" t="s">
        <v>1992</v>
      </c>
      <c r="I1058" s="55">
        <v>204493954</v>
      </c>
      <c r="J1058" s="55" t="s">
        <v>2003</v>
      </c>
      <c r="K1058" s="55" t="s">
        <v>2004</v>
      </c>
      <c r="L1058" s="53" t="s">
        <v>2107</v>
      </c>
      <c r="M1058" s="55" t="s">
        <v>49</v>
      </c>
      <c r="N1058" s="52">
        <v>2850000000</v>
      </c>
      <c r="O1058" s="52">
        <v>2850000000</v>
      </c>
      <c r="P1058" s="52">
        <v>2850000000</v>
      </c>
      <c r="Q1058" s="57">
        <v>45062</v>
      </c>
      <c r="R1058" s="57">
        <v>46152</v>
      </c>
      <c r="S1058" s="56">
        <v>20.99</v>
      </c>
      <c r="T1058" s="54">
        <v>0</v>
      </c>
      <c r="U1058" s="52">
        <v>445000000</v>
      </c>
      <c r="V1058" s="52">
        <v>445000000</v>
      </c>
      <c r="W1058" s="52">
        <v>0</v>
      </c>
      <c r="X1058" s="57"/>
      <c r="Y1058" s="52">
        <v>0</v>
      </c>
      <c r="Z1058" s="52">
        <v>0</v>
      </c>
      <c r="AA1058" s="52">
        <v>1</v>
      </c>
      <c r="AB1058" s="52">
        <v>0</v>
      </c>
      <c r="AC1058" s="52">
        <v>5118109.59</v>
      </c>
      <c r="AD1058" s="52">
        <v>5118109.59</v>
      </c>
      <c r="AE1058" s="52">
        <v>0</v>
      </c>
      <c r="AF1058" s="52">
        <v>0</v>
      </c>
      <c r="AG1058" s="52">
        <v>0</v>
      </c>
      <c r="AH1058" s="52">
        <v>0</v>
      </c>
      <c r="AI1058" s="52">
        <v>0</v>
      </c>
      <c r="AJ1058" s="52">
        <v>2</v>
      </c>
      <c r="AK1058" s="52"/>
      <c r="AL1058" s="52">
        <v>0</v>
      </c>
      <c r="AM1058" s="52">
        <v>0</v>
      </c>
      <c r="AN1058" s="52">
        <v>55150149412</v>
      </c>
      <c r="AO1058" s="52">
        <v>820922418921</v>
      </c>
      <c r="AP1058" s="52">
        <v>285318333014</v>
      </c>
      <c r="AQ1058" s="58">
        <v>0</v>
      </c>
      <c r="AR1058" s="58">
        <v>0</v>
      </c>
      <c r="AS1058" s="58">
        <v>0</v>
      </c>
      <c r="AT1058" s="58">
        <v>0</v>
      </c>
      <c r="AU1058" s="58">
        <v>17</v>
      </c>
      <c r="AV1058" s="58">
        <v>876015.91</v>
      </c>
      <c r="AW1058" s="58">
        <v>8</v>
      </c>
      <c r="AX1058" s="58">
        <v>230075</v>
      </c>
    </row>
    <row r="1059" spans="1:50" x14ac:dyDescent="0.25">
      <c r="A1059" s="52">
        <f t="shared" si="50"/>
        <v>1054</v>
      </c>
      <c r="B1059" s="60" t="str">
        <f t="shared" si="49"/>
        <v>0108027589</v>
      </c>
      <c r="C1059" s="55" t="s">
        <v>39</v>
      </c>
      <c r="D1059" s="53" t="s">
        <v>2160</v>
      </c>
      <c r="E1059" s="55" t="str">
        <f t="shared" si="48"/>
        <v>01080</v>
      </c>
      <c r="F1059" s="53" t="s">
        <v>2162</v>
      </c>
      <c r="G1059" s="55" t="s">
        <v>20</v>
      </c>
      <c r="H1059" s="53" t="s">
        <v>1997</v>
      </c>
      <c r="I1059" s="55">
        <v>309799669</v>
      </c>
      <c r="J1059" s="55" t="s">
        <v>2005</v>
      </c>
      <c r="K1059" s="55" t="s">
        <v>2006</v>
      </c>
      <c r="L1059" s="53" t="s">
        <v>2107</v>
      </c>
      <c r="M1059" s="55" t="s">
        <v>49</v>
      </c>
      <c r="N1059" s="52">
        <v>450000000</v>
      </c>
      <c r="O1059" s="52">
        <v>450000000</v>
      </c>
      <c r="P1059" s="52">
        <v>450000000</v>
      </c>
      <c r="Q1059" s="57">
        <v>45694</v>
      </c>
      <c r="R1059" s="57">
        <v>46786</v>
      </c>
      <c r="S1059" s="56">
        <v>27.99</v>
      </c>
      <c r="T1059" s="54">
        <v>3</v>
      </c>
      <c r="U1059" s="52">
        <v>340909090.95999998</v>
      </c>
      <c r="V1059" s="52">
        <v>340909090.95999998</v>
      </c>
      <c r="W1059" s="52">
        <v>0</v>
      </c>
      <c r="X1059" s="57"/>
      <c r="Y1059" s="52">
        <v>0</v>
      </c>
      <c r="Z1059" s="52">
        <v>0</v>
      </c>
      <c r="AA1059" s="52">
        <v>1</v>
      </c>
      <c r="AB1059" s="52">
        <v>0</v>
      </c>
      <c r="AC1059" s="52">
        <v>5228518.0599999996</v>
      </c>
      <c r="AD1059" s="52">
        <v>5228518.0599999996</v>
      </c>
      <c r="AE1059" s="52">
        <v>0</v>
      </c>
      <c r="AF1059" s="52">
        <v>0</v>
      </c>
      <c r="AG1059" s="52">
        <v>0</v>
      </c>
      <c r="AH1059" s="52">
        <v>0</v>
      </c>
      <c r="AI1059" s="52">
        <v>0</v>
      </c>
      <c r="AJ1059" s="52">
        <v>2</v>
      </c>
      <c r="AK1059" s="52"/>
      <c r="AL1059" s="52">
        <v>0</v>
      </c>
      <c r="AM1059" s="52">
        <v>0</v>
      </c>
      <c r="AN1059" s="52">
        <v>562500000</v>
      </c>
      <c r="AO1059" s="52">
        <v>1280020811</v>
      </c>
      <c r="AP1059" s="52">
        <v>7872134494</v>
      </c>
      <c r="AQ1059" s="58">
        <v>2</v>
      </c>
      <c r="AR1059" s="58">
        <v>64800</v>
      </c>
      <c r="AS1059" s="58">
        <v>3</v>
      </c>
      <c r="AT1059" s="58">
        <v>149198</v>
      </c>
      <c r="AU1059" s="58">
        <v>27</v>
      </c>
      <c r="AV1059" s="58">
        <v>209739.88999999998</v>
      </c>
      <c r="AW1059" s="58">
        <v>6</v>
      </c>
      <c r="AX1059" s="58">
        <v>71627.53</v>
      </c>
    </row>
  </sheetData>
  <autoFilter ref="A5:AX1059" xr:uid="{78A4F06C-859C-4CEF-9C17-6F69CCFA6C63}"/>
  <mergeCells count="50">
    <mergeCell ref="F2:F4"/>
    <mergeCell ref="A2:A4"/>
    <mergeCell ref="B2:B4"/>
    <mergeCell ref="C2:C4"/>
    <mergeCell ref="D2:D4"/>
    <mergeCell ref="E2:E4"/>
    <mergeCell ref="G2:G4"/>
    <mergeCell ref="H2:H4"/>
    <mergeCell ref="I2:I4"/>
    <mergeCell ref="J2:J4"/>
    <mergeCell ref="K2:K4"/>
    <mergeCell ref="AB2:AB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Z2"/>
    <mergeCell ref="AA2:AA4"/>
    <mergeCell ref="Z3:Z4"/>
    <mergeCell ref="AM2:AM4"/>
    <mergeCell ref="AF3:AF4"/>
    <mergeCell ref="AG3:AG4"/>
    <mergeCell ref="AH3:AH4"/>
    <mergeCell ref="AI3:AI4"/>
    <mergeCell ref="AU2:AX2"/>
    <mergeCell ref="AQ3:AR3"/>
    <mergeCell ref="AS3:AT3"/>
    <mergeCell ref="AU3:AV3"/>
    <mergeCell ref="AW3:AX3"/>
    <mergeCell ref="AN2:AN4"/>
    <mergeCell ref="AO2:AO4"/>
    <mergeCell ref="AP2:AP4"/>
    <mergeCell ref="AQ2:AT2"/>
    <mergeCell ref="L2:L4"/>
    <mergeCell ref="V3:V4"/>
    <mergeCell ref="W3:W4"/>
    <mergeCell ref="X3:X4"/>
    <mergeCell ref="Y3:Y4"/>
    <mergeCell ref="AC2:AC4"/>
    <mergeCell ref="AD2:AI2"/>
    <mergeCell ref="AJ2:AJ4"/>
    <mergeCell ref="AK2:AK4"/>
    <mergeCell ref="AL2:AL4"/>
    <mergeCell ref="AD3:AD4"/>
    <mergeCell ref="AE3:A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6</vt:i4>
      </vt:variant>
    </vt:vector>
  </HeadingPairs>
  <TitlesOfParts>
    <vt:vector size="15" baseType="lpstr">
      <vt:lpstr>Солиштирма 2024</vt:lpstr>
      <vt:lpstr>Солиштирма 2025</vt:lpstr>
      <vt:lpstr>Соҳа</vt:lpstr>
      <vt:lpstr>Бошқа</vt:lpstr>
      <vt:lpstr>Йиллар</vt:lpstr>
      <vt:lpstr>Валюта</vt:lpstr>
      <vt:lpstr>Чора кўрилиши</vt:lpstr>
      <vt:lpstr>Дав т. ходимлари</vt:lpstr>
      <vt:lpstr>Йириклар</vt:lpstr>
      <vt:lpstr>Бошқа!Область_печати</vt:lpstr>
      <vt:lpstr>Валюта!Область_печати</vt:lpstr>
      <vt:lpstr>'Дав т. ходимлари'!Область_печати</vt:lpstr>
      <vt:lpstr>Йиллар!Область_печати</vt:lpstr>
      <vt:lpstr>Соҳа!Область_печати</vt:lpstr>
      <vt:lpstr>'Чора кўрилиши'!Область_печати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Oltibaev</dc:creator>
  <cp:lastModifiedBy>CBUser</cp:lastModifiedBy>
  <cp:lastPrinted>2025-11-22T09:56:36Z</cp:lastPrinted>
  <dcterms:created xsi:type="dcterms:W3CDTF">2021-05-11T18:16:55Z</dcterms:created>
  <dcterms:modified xsi:type="dcterms:W3CDTF">2026-02-24T14:33:51Z</dcterms:modified>
</cp:coreProperties>
</file>